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7.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6.xml" ContentType="application/vnd.openxmlformats-officedocument.drawing+xml"/>
  <Override PartName="/xl/drawings/drawing15.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drawings/drawing6.xml" ContentType="application/vnd.openxmlformats-officedocument.drawing+xml"/>
  <Override PartName="/xl/worksheets/sheet18.xml" ContentType="application/vnd.openxmlformats-officedocument.spreadsheetml.worksheet+xml"/>
  <Override PartName="/xl/drawings/drawing1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worksheets/sheet17.xml" ContentType="application/vnd.openxmlformats-officedocument.spreadsheetml.worksheet+xml"/>
  <Override PartName="/xl/drawings/drawing10.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worksheets/sheet12.xml" ContentType="application/vnd.openxmlformats-officedocument.spreadsheetml.worksheet+xml"/>
  <Override PartName="/xl/comments5.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2.xml" ContentType="application/vnd.openxmlformats-officedocument.spreadsheetml.comments+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6.xml" ContentType="application/vnd.openxmlformats-officedocument.spreadsheetml.comment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eita-itou\Desktop\【共通T作業】\mDOC\svn\branches\V2.1\91_sample\"/>
    </mc:Choice>
  </mc:AlternateContent>
  <bookViews>
    <workbookView xWindow="22230" yWindow="-120" windowWidth="29040" windowHeight="16440" tabRatio="846"/>
  </bookViews>
  <sheets>
    <sheet name="表紙" sheetId="1" r:id="rId1"/>
    <sheet name="来歴" sheetId="31" r:id="rId2"/>
    <sheet name="承認票" sheetId="32" r:id="rId3"/>
    <sheet name="レビュー記録" sheetId="40" r:id="rId4"/>
    <sheet name="機能概要" sheetId="14" r:id="rId5"/>
    <sheet name="レイアウト" sheetId="5" r:id="rId6"/>
    <sheet name="操作種別・検索モード仕様" sheetId="24" r:id="rId7"/>
    <sheet name="項目仕様" sheetId="30" r:id="rId8"/>
    <sheet name="機能関連図" sheetId="41" r:id="rId9"/>
    <sheet name="処理・サービス関連図" sheetId="33" r:id="rId10"/>
    <sheet name="検索入出力仕様" sheetId="37" r:id="rId11"/>
    <sheet name="更新入出力仕様" sheetId="38" r:id="rId12"/>
    <sheet name="画面遷移" sheetId="39" r:id="rId13"/>
    <sheet name="補助説明" sheetId="13" r:id="rId14"/>
    <sheet name="処理フロー" sheetId="34" r:id="rId15"/>
    <sheet name="処理詳細" sheetId="25" r:id="rId16"/>
    <sheet name="サービス呼出仕様" sheetId="35" r:id="rId17"/>
    <sheet name="電文項目仕様" sheetId="36" r:id="rId18"/>
  </sheets>
  <definedNames>
    <definedName name="_xlnm.Print_Area" localSheetId="16">サービス呼出仕様!$A$1:$H$94</definedName>
    <definedName name="_xlnm.Print_Area" localSheetId="3">レビュー記録!$A$1:$I$47</definedName>
    <definedName name="_xlnm.Print_Area" localSheetId="4">機能概要!$A$1:$AX$93</definedName>
    <definedName name="_xlnm.Print_Area" localSheetId="8">機能関連図!$A$1:$AX$34</definedName>
    <definedName name="_xlnm.Print_Area" localSheetId="7">項目仕様!$A$1:$F$304</definedName>
    <definedName name="_xlnm.Print_Area" localSheetId="9">処理・サービス関連図!$A$1:$AX$99</definedName>
    <definedName name="_xlnm.Print_Area" localSheetId="15">処理詳細!$A$1:$AX$452</definedName>
    <definedName name="_xlnm.Print_Area" localSheetId="2">承認票!$A$1:$I$47</definedName>
    <definedName name="_xlnm.Print_Area" localSheetId="6">操作種別・検索モード仕様!$A$1:$AX$39</definedName>
    <definedName name="_xlnm.Print_Area" localSheetId="17">電文項目仕様!$A$1:$E$120</definedName>
    <definedName name="_xlnm.Print_Area" localSheetId="0">表紙!$A$1:$AX$40</definedName>
    <definedName name="_xlnm.Print_Area" localSheetId="13">補助説明!$A$1:$AX$126</definedName>
    <definedName name="_xlnm.Print_Area" localSheetId="1">来歴!$A$1:$F$46</definedName>
    <definedName name="_xlnm.Print_Titles" localSheetId="16">サービス呼出仕様!$4:$4</definedName>
    <definedName name="_xlnm.Print_Titles" localSheetId="5">レイアウト!$1:$5</definedName>
    <definedName name="_xlnm.Print_Titles" localSheetId="3">レビュー記録!$4:$6</definedName>
    <definedName name="_xlnm.Print_Titles" localSheetId="12">画面遷移!$4:$6</definedName>
    <definedName name="_xlnm.Print_Titles" localSheetId="4">機能概要!$1:$5</definedName>
    <definedName name="_xlnm.Print_Titles" localSheetId="10">検索入出力仕様!$4:$4</definedName>
    <definedName name="_xlnm.Print_Titles" localSheetId="11">更新入出力仕様!$4:$4</definedName>
    <definedName name="_xlnm.Print_Titles" localSheetId="7">項目仕様!$4:$5</definedName>
    <definedName name="_xlnm.Print_Titles" localSheetId="15">処理詳細!$1:$5</definedName>
    <definedName name="_xlnm.Print_Titles" localSheetId="2">承認票!$4:$6</definedName>
    <definedName name="_xlnm.Print_Titles" localSheetId="6">操作種別・検索モード仕様!$1:$4</definedName>
    <definedName name="_xlnm.Print_Titles" localSheetId="17">電文項目仕様!$4:$5</definedName>
    <definedName name="_xlnm.Print_Titles" localSheetId="13">補助説明!$1:$5</definedName>
    <definedName name="_xlnm.Print_Titles" localSheetId="1">来歴!$4:$5</definedName>
    <definedName name="Rev">表紙!$G$60</definedName>
    <definedName name="Version">表紙!$G$50</definedName>
    <definedName name="サブシステム">表紙!$G$51</definedName>
    <definedName name="システム">表紙!$G$49</definedName>
    <definedName name="プロジェクト名">表紙!$G$48</definedName>
    <definedName name="機能ID">表紙!$G$53</definedName>
    <definedName name="機能名">表紙!$G$55</definedName>
    <definedName name="顧客名">表紙!$G$47</definedName>
    <definedName name="作成者">表紙!$G$56</definedName>
    <definedName name="作成日">表紙!$G$58</definedName>
    <definedName name="修正者">表紙!$G$57</definedName>
    <definedName name="修正日">表紙!$G$59</definedName>
    <definedName name="分類ID">表紙!$G$52</definedName>
    <definedName name="分類名">表紙!$G$54</definedName>
    <definedName name="文書番号">表紙!$G$61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E85" i="1" l="1"/>
  <c r="BC85" i="1"/>
  <c r="BJ84" i="1"/>
  <c r="BG84" i="1"/>
  <c r="BE84" i="1"/>
  <c r="BC84" i="1"/>
  <c r="BG83" i="1"/>
  <c r="BE83" i="1"/>
  <c r="BC83" i="1"/>
  <c r="BE81" i="1"/>
  <c r="BC81" i="1"/>
  <c r="BJ80" i="1"/>
  <c r="BG80" i="1"/>
  <c r="BE80" i="1"/>
  <c r="BC80" i="1"/>
  <c r="BG79" i="1"/>
  <c r="BE79" i="1"/>
  <c r="BC79" i="1"/>
  <c r="BE77" i="1"/>
  <c r="BC77" i="1"/>
  <c r="BJ76" i="1"/>
  <c r="BG76" i="1"/>
  <c r="BE76" i="1"/>
  <c r="BC76" i="1"/>
  <c r="BG75" i="1"/>
  <c r="BE75" i="1"/>
  <c r="BC75" i="1"/>
  <c r="BE73" i="1"/>
  <c r="BC73" i="1"/>
  <c r="BJ72" i="1"/>
  <c r="BG72" i="1"/>
  <c r="BE72" i="1"/>
  <c r="BC72" i="1"/>
  <c r="BG71" i="1"/>
  <c r="BE71" i="1"/>
  <c r="BC71" i="1"/>
  <c r="BE69" i="1"/>
  <c r="BC69" i="1"/>
  <c r="BJ68" i="1"/>
  <c r="BG68" i="1"/>
  <c r="BE68" i="1"/>
  <c r="BC68" i="1"/>
  <c r="BG67" i="1"/>
  <c r="BE67" i="1"/>
  <c r="BC67" i="1"/>
  <c r="BE65" i="1"/>
  <c r="BC65" i="1"/>
  <c r="BJ64" i="1"/>
  <c r="BG64" i="1"/>
  <c r="BE64" i="1"/>
  <c r="BC64" i="1"/>
  <c r="BG63" i="1"/>
  <c r="BE63" i="1"/>
  <c r="BC63" i="1"/>
  <c r="G60" i="1"/>
  <c r="BI85" i="1" s="1"/>
  <c r="G59" i="1"/>
  <c r="BI84" i="1" s="1"/>
  <c r="G58" i="1"/>
  <c r="BI83" i="1" s="1"/>
  <c r="BE61" i="1"/>
  <c r="BC61" i="1"/>
  <c r="BJ60" i="1"/>
  <c r="BG60" i="1"/>
  <c r="BE60" i="1"/>
  <c r="BC60" i="1"/>
  <c r="BG59" i="1"/>
  <c r="BE59" i="1"/>
  <c r="BC59" i="1"/>
  <c r="BE57" i="1"/>
  <c r="BC57" i="1"/>
  <c r="BJ56" i="1"/>
  <c r="BG56" i="1"/>
  <c r="BE56" i="1"/>
  <c r="BC56" i="1"/>
  <c r="BG55" i="1"/>
  <c r="BE55" i="1"/>
  <c r="BC55" i="1"/>
  <c r="BE53" i="1"/>
  <c r="BC53" i="1"/>
  <c r="BJ52" i="1"/>
  <c r="BG52" i="1"/>
  <c r="BE52" i="1"/>
  <c r="BC52" i="1"/>
  <c r="BG51" i="1"/>
  <c r="BE51" i="1"/>
  <c r="BC51" i="1"/>
  <c r="BE49" i="1"/>
  <c r="BC49" i="1"/>
  <c r="BJ48" i="1"/>
  <c r="BG48" i="1"/>
  <c r="BE48" i="1"/>
  <c r="BC48" i="1"/>
  <c r="BG47" i="1"/>
  <c r="BE47" i="1"/>
  <c r="BC47" i="1"/>
  <c r="BI56" i="1"/>
  <c r="W3" i="25"/>
  <c r="L3" i="25"/>
  <c r="AU2" i="25"/>
  <c r="W2" i="25"/>
  <c r="L2" i="25"/>
  <c r="W1" i="25"/>
  <c r="L1" i="25"/>
  <c r="W3" i="24"/>
  <c r="L3" i="24"/>
  <c r="AU2" i="24"/>
  <c r="W2" i="24"/>
  <c r="L2" i="24"/>
  <c r="W1" i="24"/>
  <c r="L1" i="24"/>
  <c r="W3" i="13"/>
  <c r="L3" i="13"/>
  <c r="AU2" i="13"/>
  <c r="W2" i="13"/>
  <c r="L2" i="13"/>
  <c r="W1" i="13"/>
  <c r="L1" i="13"/>
  <c r="W3" i="5"/>
  <c r="L3" i="5"/>
  <c r="AU2" i="5"/>
  <c r="W2" i="5"/>
  <c r="L2" i="5"/>
  <c r="W1" i="5"/>
  <c r="L1" i="5"/>
  <c r="W3" i="14"/>
  <c r="L3" i="14"/>
  <c r="AU2" i="14"/>
  <c r="W2" i="14"/>
  <c r="L2" i="14"/>
  <c r="W1" i="14"/>
  <c r="L1" i="14"/>
  <c r="AF5" i="1"/>
  <c r="AH2" i="25"/>
  <c r="AH2" i="24"/>
  <c r="AH2" i="13"/>
  <c r="AH2" i="5"/>
  <c r="AH2" i="14"/>
  <c r="AQ2" i="25"/>
  <c r="AQ2" i="14"/>
  <c r="V31" i="1"/>
  <c r="V30" i="1"/>
  <c r="AB29" i="1"/>
  <c r="V29" i="1"/>
  <c r="V28" i="1"/>
  <c r="V27" i="1"/>
  <c r="AL5" i="1"/>
  <c r="BI51" i="1"/>
  <c r="BI55" i="1"/>
  <c r="BI59" i="1"/>
  <c r="BI49" i="1"/>
  <c r="AH1" i="24"/>
  <c r="AH1" i="25"/>
  <c r="AQ1" i="25"/>
  <c r="AQ1" i="24"/>
  <c r="AQ3" i="25"/>
  <c r="AH1" i="13"/>
  <c r="AH1" i="14"/>
  <c r="AH1" i="5"/>
  <c r="AQ1" i="13"/>
  <c r="AQ1" i="5"/>
  <c r="AQ1" i="14"/>
  <c r="AQ3" i="5"/>
  <c r="AR5" i="1" l="1"/>
  <c r="AQ2" i="13"/>
  <c r="BI48" i="1"/>
  <c r="BI47" i="1"/>
  <c r="AQ3" i="13"/>
  <c r="AQ3" i="24"/>
  <c r="BI61" i="1"/>
  <c r="AQ2" i="5"/>
  <c r="BI60" i="1"/>
  <c r="BI57" i="1"/>
  <c r="AQ3" i="14"/>
  <c r="BI53" i="1"/>
  <c r="AQ2" i="24"/>
  <c r="BI52" i="1"/>
  <c r="BI63" i="1"/>
  <c r="BI64" i="1"/>
  <c r="BI65" i="1"/>
  <c r="BI67" i="1"/>
  <c r="BI68" i="1"/>
  <c r="BI69" i="1"/>
  <c r="BI71" i="1"/>
  <c r="BI72" i="1"/>
  <c r="BI73" i="1"/>
  <c r="BI75" i="1"/>
  <c r="BI76" i="1"/>
  <c r="BI77" i="1"/>
  <c r="BI79" i="1"/>
  <c r="BI80" i="1"/>
  <c r="BI81" i="1"/>
</calcChain>
</file>

<file path=xl/comments1.xml><?xml version="1.0" encoding="utf-8"?>
<comments xmlns="http://schemas.openxmlformats.org/spreadsheetml/2006/main">
  <authors>
    <author>itadministrator</author>
  </authors>
  <commentList>
    <comment ref="H60" authorId="0" shapeId="0">
      <text>
        <r>
          <rPr>
            <b/>
            <sz val="9"/>
            <color indexed="81"/>
            <rFont val="ＭＳ Ｐゴシック"/>
            <family val="3"/>
            <charset val="128"/>
          </rPr>
          <t>新業務機能展開表との
紐付けを行う</t>
        </r>
        <r>
          <rPr>
            <sz val="9"/>
            <color indexed="81"/>
            <rFont val="ＭＳ Ｐゴシック"/>
            <family val="3"/>
            <charset val="128"/>
          </rPr>
          <t xml:space="preserve">
</t>
        </r>
      </text>
    </comment>
  </commentList>
</comments>
</file>

<file path=xl/comments2.xml><?xml version="1.0" encoding="utf-8"?>
<comments xmlns="http://schemas.openxmlformats.org/spreadsheetml/2006/main">
  <authors>
    <author>作成者</author>
    <author>Itou Keita</author>
  </authors>
  <commentList>
    <comment ref="A5" authorId="0" shapeId="0">
      <text>
        <r>
          <rPr>
            <sz val="9"/>
            <color indexed="81"/>
            <rFont val="ＭＳ Ｐゴシック"/>
            <family val="3"/>
            <charset val="128"/>
          </rPr>
          <t>新：新規追加項目
変：カスタマイズ項目
削：削除項目
非：非表示項目</t>
        </r>
      </text>
    </comment>
    <comment ref="D5" authorId="0" shapeId="0">
      <text>
        <r>
          <rPr>
            <sz val="9"/>
            <color indexed="81"/>
            <rFont val="ＭＳ Ｐゴシック"/>
            <family val="3"/>
            <charset val="128"/>
          </rPr>
          <t>S：文字（テキストフィールド）
N：数値（テキストフィールド）
D：日（テキストフィールド）
T：時刻（テキストフィールド）
DT：日＋時刻（テキストフィールド）
CB：チェックボックス
RB：ラジオボタン
BT：ボタン</t>
        </r>
      </text>
    </comment>
    <comment ref="E5" authorId="0" shapeId="0">
      <text>
        <r>
          <rPr>
            <sz val="9"/>
            <color indexed="81"/>
            <rFont val="ＭＳ Ｐゴシック"/>
            <family val="3"/>
            <charset val="128"/>
          </rPr>
          <t>文字･数値の場合 
 カンマ編集
 ゼロ埋め
日付・日時の場合 
 YYYY/MM/DD
 YY/MM/DD
 YYYY/MM/DD HH:MM:SS
 YY/MM/DD HH:MM:SS
 YYYY/MM
 YY/MM
 GGGG年MM月DD日
 YYYYMMDD
 YYMMDD
 YYYYMMDDHHMMSS
 YYMMDDHHMMSS
 YYYYMM
 YYMM</t>
        </r>
      </text>
    </comment>
    <comment ref="F5" authorId="0" shapeId="0">
      <text>
        <r>
          <rPr>
            <sz val="9"/>
            <color indexed="81"/>
            <rFont val="ＭＳ Ｐゴシック"/>
            <family val="3"/>
            <charset val="128"/>
          </rPr>
          <t xml:space="preserve">エンドユーザ様向け説明
</t>
        </r>
      </text>
    </comment>
    <comment ref="G5" authorId="0" shapeId="0">
      <text>
        <r>
          <rPr>
            <b/>
            <sz val="9"/>
            <color indexed="81"/>
            <rFont val="MS P ゴシック"/>
            <family val="3"/>
            <charset val="128"/>
          </rPr>
          <t xml:space="preserve">R : 必須入力(Required)
E : 活性(Enable)
RO : 読取専用(ReadOnly)
D : 非活性(Disable)
I : 非表示(Invisible)
　　空欄の場合にはその項目の
　　モード切り替えは行わない。
　　RO / D / I にはタブ移動時に
　　フォーカスが当たらない
　　R / ROは、ボタンには指定できない。
　　埋込画面の場合は、
　　埋込画面のモードを指定する。
</t>
        </r>
      </text>
    </comment>
    <comment ref="O5" authorId="0" shapeId="0">
      <text>
        <r>
          <rPr>
            <sz val="9"/>
            <color indexed="81"/>
            <rFont val="ＭＳ Ｐゴシック"/>
            <family val="3"/>
            <charset val="128"/>
          </rPr>
          <t xml:space="preserve">複数値検索項目の場合、●を入れる
</t>
        </r>
      </text>
    </comment>
    <comment ref="P5" authorId="0" shapeId="0">
      <text>
        <r>
          <rPr>
            <sz val="9"/>
            <color indexed="81"/>
            <rFont val="ＭＳ Ｐゴシック"/>
            <family val="3"/>
            <charset val="128"/>
          </rPr>
          <t xml:space="preserve">参照登録時に値を保持する項目に●を入れる
</t>
        </r>
      </text>
    </comment>
    <comment ref="Q5" authorId="0" shapeId="0">
      <text>
        <r>
          <rPr>
            <sz val="9"/>
            <color indexed="81"/>
            <rFont val="ＭＳ Ｐゴシック"/>
            <family val="3"/>
            <charset val="128"/>
          </rPr>
          <t xml:space="preserve">行コピー時に値を保持する項目に●を入れる
</t>
        </r>
      </text>
    </comment>
    <comment ref="R5" authorId="0" shapeId="0">
      <text>
        <r>
          <rPr>
            <b/>
            <sz val="9"/>
            <color indexed="81"/>
            <rFont val="MS P ゴシック"/>
            <family val="3"/>
            <charset val="128"/>
          </rPr>
          <t xml:space="preserve">埋込画面IDを記載する。
連携部品の場合は、連携する項目を記載する。
例：
MA.MAUBP5040.Qty
（連携項目：「明細」枠[単位ＣＤ]、「明細」枠[単位小数部有効桁数])
</t>
        </r>
      </text>
    </comment>
    <comment ref="S5" authorId="0" shapeId="0">
      <text>
        <r>
          <rPr>
            <b/>
            <sz val="9"/>
            <color indexed="81"/>
            <rFont val="MS P ゴシック"/>
            <family val="3"/>
            <charset val="128"/>
          </rPr>
          <t xml:space="preserve">リストロジックID及びBASE_IN、IN、BASE_OUT、OUTを指定する。
記載形式
 [リストロジックＩＤ]
 【入力】
  [LIST_IN_BASE] : [LIST_IN] 
 【出力】
  [LIST_OUT_BASE] : [LIST_OUT] </t>
        </r>
      </text>
    </comment>
    <comment ref="T5" authorId="0" shapeId="0">
      <text>
        <r>
          <rPr>
            <b/>
            <sz val="9"/>
            <color indexed="81"/>
            <rFont val="MS P ゴシック"/>
            <family val="3"/>
            <charset val="128"/>
          </rPr>
          <t xml:space="preserve">検索、更新等で呼び出すオペレーションIDを記載する。
</t>
        </r>
      </text>
    </comment>
    <comment ref="U5" authorId="1" shapeId="0">
      <text>
        <r>
          <rPr>
            <b/>
            <sz val="9"/>
            <color indexed="81"/>
            <rFont val="MS P ゴシック"/>
            <family val="3"/>
            <charset val="128"/>
          </rPr>
          <t xml:space="preserve">画面起動時や操作種別変更時の初期値を記述する。     
 例：基準日項目の初期値設定    
  【画面起動】   
   運用日付  
  【操作種別：登録する】   
   運用日付  </t>
        </r>
      </text>
    </comment>
    <comment ref="V5" authorId="0" shapeId="0">
      <text>
        <r>
          <rPr>
            <b/>
            <sz val="9"/>
            <color indexed="81"/>
            <rFont val="MS P ゴシック"/>
            <family val="3"/>
            <charset val="128"/>
          </rPr>
          <t>項目変更で入力制御や値を変更する場合に、条件と変更内容を記載する。
原則として条件になる変更元項目に記載する。
例：
・「明細」枠「数量」が入力された時
　- 「明細」枠[基準単位数量]を取得する。
実装については以下ドキュメントを参照のこと
M7-DV-0903_M7_開発規約_【5. クライアント（実装）編】
5-5. 入力項目変更時の制御</t>
        </r>
      </text>
    </comment>
  </commentList>
</comments>
</file>

<file path=xl/comments3.xml><?xml version="1.0" encoding="utf-8"?>
<comments xmlns="http://schemas.openxmlformats.org/spreadsheetml/2006/main">
  <authors>
    <author>Itou Keita</author>
    <author>itadministrator</author>
    <author>Nakanishi Kazunori</author>
  </authors>
  <commentList>
    <comment ref="D5" authorId="0" shapeId="0">
      <text>
        <r>
          <rPr>
            <b/>
            <sz val="9"/>
            <color indexed="81"/>
            <rFont val="MS P ゴシック"/>
            <family val="3"/>
            <charset val="128"/>
          </rPr>
          <t>入出力処理を行うボタン
検索、登録など</t>
        </r>
      </text>
    </comment>
    <comment ref="G5" authorId="1" shapeId="0">
      <text>
        <r>
          <rPr>
            <b/>
            <sz val="9"/>
            <color indexed="81"/>
            <rFont val="ＭＳ Ｐゴシック"/>
            <family val="3"/>
            <charset val="128"/>
          </rPr>
          <t>ボタン押下で動作する処理
Srch01など</t>
        </r>
      </text>
    </comment>
    <comment ref="B6" authorId="0" shapeId="0">
      <text>
        <r>
          <rPr>
            <b/>
            <sz val="9"/>
            <color indexed="81"/>
            <rFont val="MS P ゴシック"/>
            <family val="3"/>
            <charset val="128"/>
          </rPr>
          <t>検索、追加、更新、削除など</t>
        </r>
      </text>
    </comment>
    <comment ref="B8" authorId="2" shapeId="0">
      <text>
        <r>
          <rPr>
            <b/>
            <sz val="9"/>
            <color indexed="81"/>
            <rFont val="ＭＳ Ｐゴシック"/>
            <family val="3"/>
            <charset val="128"/>
          </rPr>
          <t>画面オブジェクト
　→「画」
DBテーブル
　→「T」
ファイル
　→「フ」
帳票（xmlフォーム、帳票CSV）
　→「帳」</t>
        </r>
      </text>
    </comment>
    <comment ref="E8" authorId="2" shapeId="0">
      <text>
        <r>
          <rPr>
            <b/>
            <sz val="9"/>
            <color indexed="81"/>
            <rFont val="ＭＳ Ｐゴシック"/>
            <family val="3"/>
            <charset val="128"/>
          </rPr>
          <t>画面オブジェクト
　→「画」
DBテーブル
　→「T」
ファイル
　→「フ」
帳票（xmlフォーム、帳票CSV）
　→「帳」</t>
        </r>
      </text>
    </comment>
  </commentList>
</comments>
</file>

<file path=xl/comments4.xml><?xml version="1.0" encoding="utf-8"?>
<comments xmlns="http://schemas.openxmlformats.org/spreadsheetml/2006/main">
  <authors>
    <author>Itou Keita</author>
    <author>itadministrator</author>
    <author>Nakanishi Kazunori</author>
  </authors>
  <commentList>
    <comment ref="D5" authorId="0" shapeId="0">
      <text>
        <r>
          <rPr>
            <b/>
            <sz val="9"/>
            <color indexed="81"/>
            <rFont val="MS P ゴシック"/>
            <family val="3"/>
            <charset val="128"/>
          </rPr>
          <t>入出力処理を行うボタン
検索、登録など</t>
        </r>
      </text>
    </comment>
    <comment ref="G5" authorId="1" shapeId="0">
      <text>
        <r>
          <rPr>
            <b/>
            <sz val="9"/>
            <color indexed="81"/>
            <rFont val="ＭＳ Ｐゴシック"/>
            <family val="3"/>
            <charset val="128"/>
          </rPr>
          <t>ボタン押下で動作する処理
Srch01など</t>
        </r>
      </text>
    </comment>
    <comment ref="B6" authorId="0" shapeId="0">
      <text>
        <r>
          <rPr>
            <b/>
            <sz val="9"/>
            <color indexed="81"/>
            <rFont val="MS P ゴシック"/>
            <family val="3"/>
            <charset val="128"/>
          </rPr>
          <t>検索、追加、更新、削除など</t>
        </r>
      </text>
    </comment>
    <comment ref="B8" authorId="2" shapeId="0">
      <text>
        <r>
          <rPr>
            <b/>
            <sz val="9"/>
            <color indexed="81"/>
            <rFont val="ＭＳ Ｐゴシック"/>
            <family val="3"/>
            <charset val="128"/>
          </rPr>
          <t>画面オブジェクト
　→「画」
DBテーブル
　→「T」
ファイル
　→「フ」
帳票（xmlフォーム、帳票CSV）
　→「帳」</t>
        </r>
      </text>
    </comment>
    <comment ref="E8" authorId="2" shapeId="0">
      <text>
        <r>
          <rPr>
            <b/>
            <sz val="9"/>
            <color indexed="81"/>
            <rFont val="ＭＳ Ｐゴシック"/>
            <family val="3"/>
            <charset val="128"/>
          </rPr>
          <t>画面オブジェクト
　→「画」
DBテーブル
　→「T」
ファイル
　→「フ」
帳票（xmlフォーム、帳票CSV）
　→「帳」</t>
        </r>
      </text>
    </comment>
    <comment ref="D28" authorId="0" shapeId="0">
      <text>
        <r>
          <rPr>
            <b/>
            <sz val="9"/>
            <color indexed="81"/>
            <rFont val="MS P ゴシック"/>
            <family val="3"/>
            <charset val="128"/>
          </rPr>
          <t>入出力処理を行うボタン
検索、登録など</t>
        </r>
      </text>
    </comment>
    <comment ref="G28" authorId="1" shapeId="0">
      <text>
        <r>
          <rPr>
            <b/>
            <sz val="9"/>
            <color indexed="81"/>
            <rFont val="ＭＳ Ｐゴシック"/>
            <family val="3"/>
            <charset val="128"/>
          </rPr>
          <t>ボタン押下で動作する処理
Srch01など</t>
        </r>
      </text>
    </comment>
    <comment ref="B29" authorId="0" shapeId="0">
      <text>
        <r>
          <rPr>
            <b/>
            <sz val="9"/>
            <color indexed="81"/>
            <rFont val="MS P ゴシック"/>
            <family val="3"/>
            <charset val="128"/>
          </rPr>
          <t>検索、追加、更新、削除など</t>
        </r>
      </text>
    </comment>
    <comment ref="B31" authorId="2" shapeId="0">
      <text>
        <r>
          <rPr>
            <b/>
            <sz val="9"/>
            <color indexed="81"/>
            <rFont val="ＭＳ Ｐゴシック"/>
            <family val="3"/>
            <charset val="128"/>
          </rPr>
          <t>画面オブジェクト
　→「画」
DBテーブル
　→「T」
ファイル
　→「フ」
帳票（xmlフォーム、帳票CSV）
　→「帳」</t>
        </r>
      </text>
    </comment>
    <comment ref="E31" authorId="2" shapeId="0">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authors>
    <author>itadministrator</author>
    <author>Nakanishi Kazunori</author>
  </authors>
  <commentList>
    <comment ref="B5" authorId="0" shapeId="0">
      <text>
        <r>
          <rPr>
            <sz val="9"/>
            <color indexed="81"/>
            <rFont val="ＭＳ Ｐゴシック"/>
            <family val="3"/>
            <charset val="128"/>
          </rPr>
          <t>C：クライアント処理
S：サーバ処理</t>
        </r>
      </text>
    </comment>
    <comment ref="K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AX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authors>
    <author>作成者</author>
  </authors>
  <commentList>
    <comment ref="F6" authorId="0" shapeId="0">
      <text>
        <r>
          <rPr>
            <b/>
            <sz val="9"/>
            <color indexed="81"/>
            <rFont val="MS P ゴシック"/>
            <family val="3"/>
            <charset val="128"/>
          </rPr>
          <t>更新カウンタチェック時に必須の項目が指定されているかどうかをチェックします。
行ステータスが新規以外の行をチェックする場合は「E」を指定します。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G6" authorId="0" shapeId="0">
      <text>
        <r>
          <rPr>
            <b/>
            <sz val="9"/>
            <color indexed="81"/>
            <rFont val="MS P ゴシック"/>
            <family val="3"/>
            <charset val="128"/>
          </rPr>
          <t>必須の項目が指定されているかどうかをチェックします。
行ステータスが削除以外の行をチェックする場合は「E」を指定します。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H6" authorId="0" shapeId="0">
      <text>
        <r>
          <rPr>
            <b/>
            <sz val="9"/>
            <color indexed="81"/>
            <rFont val="MS P ゴシック"/>
            <family val="3"/>
            <charset val="128"/>
          </rPr>
          <t>数値項目の値が適切かどうかをチェックします。
正の数が指定されているかをチェックする場合は「positive」を指定します。
0以外の数が指定されているかをチェックする場合は「notZero」を指定します。</t>
        </r>
      </text>
    </comment>
    <comment ref="I6" authorId="0" shapeId="0">
      <text>
        <r>
          <rPr>
            <b/>
            <sz val="9"/>
            <color indexed="81"/>
            <rFont val="MS P ゴシック"/>
            <family val="3"/>
            <charset val="128"/>
          </rPr>
          <t>数値項目の値が適切かどうかをチェックします。
値が指定した範囲かどうかをチェックする場合は「{下限}:{上限}」と指定します。</t>
        </r>
      </text>
    </comment>
    <comment ref="J6" authorId="0" shapeId="0">
      <text>
        <r>
          <rPr>
            <b/>
            <sz val="9"/>
            <color indexed="81"/>
            <rFont val="MS P ゴシック"/>
            <family val="3"/>
            <charset val="128"/>
          </rPr>
          <t>日付項目の値が適切かどうかをチェックします。
以下の通り指定します。
・運用日付以前：bfToday
・運用日付以降：afToday
・会社マスタの日付切替時間を考慮した日付が運用日付以前：tmBfToday</t>
        </r>
      </text>
    </comment>
    <comment ref="K6" authorId="0" shapeId="0">
      <text>
        <r>
          <rPr>
            <b/>
            <sz val="9"/>
            <color indexed="81"/>
            <rFont val="MS P ゴシック"/>
            <family val="3"/>
            <charset val="128"/>
          </rPr>
          <t>日付項目の値が、同じ行の別の項目と比較して適切かどうかをチェックします。
以下の通り指定します。
・グループ名:BF（過去の方）
・グループ名:AF（未来の方）</t>
        </r>
      </text>
    </comment>
    <comment ref="L6" authorId="0" shapeId="0">
      <text>
        <r>
          <rPr>
            <b/>
            <sz val="9"/>
            <color indexed="81"/>
            <rFont val="MS P ゴシック"/>
            <family val="3"/>
            <charset val="128"/>
          </rPr>
          <t>値が電話番号またはFAX番号として適切かどうかをチェックする場合は「TEL」を指定します。
値が郵便番号として適切かチェックする場合は「ZIP」を指定します。</t>
        </r>
      </text>
    </comment>
    <comment ref="M6" authorId="0" shapeId="0">
      <text>
        <r>
          <rPr>
            <b/>
            <sz val="9"/>
            <color indexed="81"/>
            <rFont val="MS P ゴシック"/>
            <family val="3"/>
            <charset val="128"/>
          </rPr>
          <t>他の行と重複した値になっていないかどうかをチェックします。重複チェックしたい項目または項目の組み合わせに任意のグループ名を指定します。</t>
        </r>
      </text>
    </comment>
    <comment ref="N6" authorId="0" shapeId="0">
      <text>
        <r>
          <rPr>
            <b/>
            <sz val="9"/>
            <color indexed="81"/>
            <rFont val="MS P ゴシック"/>
            <family val="3"/>
            <charset val="128"/>
          </rPr>
          <t>複数の項目の内1つだけ指定されているかどうかをチェックします。対象の項目に任意のグループ名を指定します。</t>
        </r>
      </text>
    </comment>
    <comment ref="O6" authorId="0" shapeId="0">
      <text>
        <r>
          <rPr>
            <b/>
            <sz val="9"/>
            <color indexed="81"/>
            <rFont val="MS P ゴシック"/>
            <family val="3"/>
            <charset val="128"/>
          </rPr>
          <t>複数の項目の内1つ以上指定されているかどうかをチェックします。対象の項目に任意のグループ名を指定します。</t>
        </r>
      </text>
    </comment>
    <comment ref="P6" authorId="0" shapeId="0">
      <text>
        <r>
          <rPr>
            <b/>
            <sz val="9"/>
            <color indexed="81"/>
            <rFont val="MS P ゴシック"/>
            <family val="3"/>
            <charset val="128"/>
          </rPr>
          <t xml:space="preserve">リストロジックを利用して、マスタの存在チェックおよび必要に応じて補完します。利用するリストロジックＩＤ、LIST_IN、LIST_OUT、LIST_IN_BASE、LIST_OUT_BASEを指定します。
記載形式
 [リストロジックＩＤ]
 【入力】
  [LIST_IN_BASE] : [LIST_IN] 
 【出力】
  [LIST_OUT_BASE] : [LIST_OUT] </t>
        </r>
      </text>
    </comment>
    <comment ref="Q6" authorId="0" shapeId="0">
      <text>
        <r>
          <rPr>
            <b/>
            <sz val="9"/>
            <color indexed="81"/>
            <rFont val="MS P ゴシック"/>
            <family val="3"/>
            <charset val="128"/>
          </rPr>
          <t>定数の存在チェックをします。チェックする定数の定数グループＩＤを指定します。
定数名を補完する場合は、定数名の項目名を定数の項目名＋「_nm」にします。</t>
        </r>
      </text>
    </comment>
    <comment ref="R6" authorId="0" shapeId="0">
      <text>
        <r>
          <rPr>
            <b/>
            <sz val="9"/>
            <color indexed="81"/>
            <rFont val="MS P ゴシック"/>
            <family val="3"/>
            <charset val="128"/>
          </rPr>
          <t>値が指定されていない時にnull文字を補完する場合は「E」を指定します。</t>
        </r>
      </text>
    </comment>
    <comment ref="S6" authorId="0" shapeId="0">
      <text>
        <r>
          <rPr>
            <b/>
            <sz val="9"/>
            <color indexed="81"/>
            <rFont val="MS P ゴシック"/>
            <family val="3"/>
            <charset val="128"/>
          </rPr>
          <t xml:space="preserve">更新前のデータのDACチェックを行う場合「E」を指定します。
</t>
        </r>
      </text>
    </comment>
    <comment ref="T6" authorId="0" shapeId="0">
      <text>
        <r>
          <rPr>
            <b/>
            <sz val="9"/>
            <color indexed="81"/>
            <rFont val="MS P ゴシック"/>
            <family val="3"/>
            <charset val="128"/>
          </rPr>
          <t xml:space="preserve">更新前のデータのDACチェックを行う場合「E」を指定します。
</t>
        </r>
      </text>
    </comment>
    <comment ref="U6" authorId="0" shapeId="0">
      <text>
        <r>
          <rPr>
            <b/>
            <sz val="9"/>
            <color indexed="81"/>
            <rFont val="MS P ゴシック"/>
            <family val="3"/>
            <charset val="128"/>
          </rPr>
          <t>その他、固有チェック処理がある場合は、内容を記載します。
複数ある場合は、列を分けます</t>
        </r>
      </text>
    </comment>
    <comment ref="B9" authorId="0" shapeId="0">
      <text>
        <r>
          <rPr>
            <b/>
            <sz val="9"/>
            <color indexed="81"/>
            <rFont val="MS P ゴシック"/>
            <family val="3"/>
            <charset val="128"/>
          </rPr>
          <t xml:space="preserve">ブロック名称は、
１文字目大文字２文字目以降半角、
単語の区切りの先頭文字は大文字
を推奨
　　例） Search / ResultList
</t>
        </r>
      </text>
    </comment>
    <comment ref="C9" authorId="0" shapeId="0">
      <text>
        <r>
          <rPr>
            <b/>
            <sz val="9"/>
            <color indexed="81"/>
            <rFont val="MS P ゴシック"/>
            <family val="3"/>
            <charset val="128"/>
          </rPr>
          <t xml:space="preserve">R : Row
L : List （Listクラスを生成しない）
GL : List （Listクラスを生成する）
</t>
        </r>
      </text>
    </comment>
    <comment ref="D9" authorId="0" shapeId="0">
      <text>
        <r>
          <rPr>
            <sz val="9"/>
            <color indexed="81"/>
            <rFont val="MS P ゴシック"/>
            <family val="3"/>
            <charset val="128"/>
          </rPr>
          <t xml:space="preserve">&lt;share&gt;
　コンテナ共有ができる（クラス共有）。
　「super/share」に$share$と記述し
　「対象ブロック」にブロック名を指定する。
　　記述方法）
　　　 オペレーションのブロック指定の場合
　　 　　 OPE:[ModuleID].[LogicID].[OperationID].[BlockID]
       DBコンテナのブロック指定の場合
　　　 　 DBC:[ModuleID].[DBTable名]
　　 　帳票のブロック指定の場合
　　 　　 RPR:[ModuleID].[LogicID].[ReportID].[BlockID]
　※ 先頭の「機能種別」（OPE: / DBC: / RPR:）を省略した場合には
　　　"OPE:"が指定されたものとして自動生成を行う。
&lt;super&gt;
　継承を利用してコンテナを定義する。
　「super/share」に$super$と記述し
　「対象ブロック」に継承するブロック名を指定する。
　　記述方法１ （ID指定）
　　　[機能種別]:[ModuleID].[LogicID].[OperationID].[BlockID]
　　　※ [機能種別]については上の&lt;share&gt;と同様のルール
　　記述方法２ （クラス直接指定）
　　　"[RowのSuperクラスのFullPath]"
　　ブロックが"GL"の場合
　　　"[RowのSuperクラスのFullPath],[ListのSuperクラスのFullPath]"
</t>
        </r>
      </text>
    </comment>
    <comment ref="B11" authorId="0" shapeId="0">
      <text>
        <r>
          <rPr>
            <b/>
            <sz val="9"/>
            <color indexed="81"/>
            <rFont val="MS P ゴシック"/>
            <family val="3"/>
            <charset val="128"/>
          </rPr>
          <t xml:space="preserve">項目名称を記述する。
通常はここで定義された項目名称で
Rowクラスのデータ項目の定義が自動生成される。
&lt;&lt;&lt;カラムパス記述&gt;&gt;&gt;
型が"RI"の項目は項目名カラムパスで記述することで
どの"R"(InnerRow)の内部項目を展開するかを表現する。
記述例
　項目名"iii"で定義されるのInnerRow項目（型"R"）の
　内部項目"xxx"を展開して定義する場合
　　項目名　　 型
　　-------------
　　iii.xxx　　RI
&lt;&lt;&lt;エイリアス定義&gt;&gt;&gt;
型"RI"の項目では、
項目名の後端にエイリアス名（項目別名）を定義できる。
エイリアスを定義することで
Rowクラスのデータ項目の定義がエイリアス名で自動生成される。
記述例
　項目名"iii"のInnerRow項目（型"R"）の内部項目"xxx"の
　"RI"項目に対して"AAA"のエイリアスを定義する場合
　　項目名　　     型
　　-----------------
　　iii.xxx#AAA　　RI
"#"の右側が無記述の場合（エイリアス名称が未定義の場合）には
内部項目の名称がエイリアス名称として定義されます
（上の記述例で"AAA"を省略した場合には、内部項目名"xxx"が
　このRI項目のエイリアス名として定義されます）。
</t>
        </r>
      </text>
    </comment>
    <comment ref="C11" authorId="0" shapeId="0">
      <text>
        <r>
          <rPr>
            <b/>
            <sz val="9"/>
            <color indexed="81"/>
            <rFont val="MS P ゴシック"/>
            <family val="3"/>
            <charset val="128"/>
          </rPr>
          <t xml:space="preserve">＝＝受信電文上り項目定義＝＝
R : 必須の通信項目
E : 通信項目
- : 通信項目ではない
</t>
        </r>
      </text>
    </comment>
    <comment ref="D11" authorId="0" shapeId="0">
      <text>
        <r>
          <rPr>
            <b/>
            <sz val="9"/>
            <color indexed="81"/>
            <rFont val="MS P ゴシック"/>
            <family val="3"/>
            <charset val="128"/>
          </rPr>
          <t>＝＝受信電文下り項目定義＝＝
R : 必須の通信項目
E : 通信項目
- : 通信項目ではない</t>
        </r>
      </text>
    </comment>
  </commentList>
</comments>
</file>

<file path=xl/sharedStrings.xml><?xml version="1.0" encoding="utf-8"?>
<sst xmlns="http://schemas.openxmlformats.org/spreadsheetml/2006/main" count="3033" uniqueCount="1339">
  <si>
    <t>文書番号</t>
    <rPh sb="0" eb="2">
      <t>ブンショ</t>
    </rPh>
    <rPh sb="2" eb="4">
      <t>バンゴウ</t>
    </rPh>
    <phoneticPr fontId="3"/>
  </si>
  <si>
    <t>Revision</t>
    <phoneticPr fontId="3"/>
  </si>
  <si>
    <t>顧客名</t>
    <rPh sb="0" eb="2">
      <t>コキャク</t>
    </rPh>
    <rPh sb="2" eb="3">
      <t>メイ</t>
    </rPh>
    <phoneticPr fontId="3"/>
  </si>
  <si>
    <t>プロジェクト名</t>
    <rPh sb="6" eb="7">
      <t>メイ</t>
    </rPh>
    <phoneticPr fontId="3"/>
  </si>
  <si>
    <t>分類ID/機能ID</t>
    <rPh sb="0" eb="2">
      <t>ブンルイ</t>
    </rPh>
    <rPh sb="5" eb="7">
      <t>キノウ</t>
    </rPh>
    <phoneticPr fontId="3"/>
  </si>
  <si>
    <t>分類名</t>
    <rPh sb="0" eb="2">
      <t>ブンルイ</t>
    </rPh>
    <rPh sb="2" eb="3">
      <t>メイ</t>
    </rPh>
    <phoneticPr fontId="3"/>
  </si>
  <si>
    <t>機能名</t>
    <rPh sb="0" eb="3">
      <t>キノウメイ</t>
    </rPh>
    <phoneticPr fontId="3"/>
  </si>
  <si>
    <t>システム</t>
    <phoneticPr fontId="3"/>
  </si>
  <si>
    <t>作成者</t>
    <rPh sb="0" eb="3">
      <t>サクセイシャ</t>
    </rPh>
    <phoneticPr fontId="4"/>
  </si>
  <si>
    <t>作成日</t>
    <rPh sb="0" eb="3">
      <t>サクセイビ</t>
    </rPh>
    <phoneticPr fontId="4"/>
  </si>
  <si>
    <t>プロジェクト</t>
    <phoneticPr fontId="3"/>
  </si>
  <si>
    <t>修正者</t>
    <rPh sb="0" eb="2">
      <t>シュウセイ</t>
    </rPh>
    <rPh sb="2" eb="3">
      <t>シャ</t>
    </rPh>
    <phoneticPr fontId="3"/>
  </si>
  <si>
    <t>修正日</t>
    <rPh sb="0" eb="2">
      <t>シュウセイ</t>
    </rPh>
    <rPh sb="2" eb="3">
      <t>ビ</t>
    </rPh>
    <phoneticPr fontId="3"/>
  </si>
  <si>
    <t>Rev.</t>
  </si>
  <si>
    <t>機能ID</t>
    <rPh sb="0" eb="2">
      <t>キノウ</t>
    </rPh>
    <phoneticPr fontId="3"/>
  </si>
  <si>
    <t>機能名</t>
    <rPh sb="0" eb="2">
      <t>キノウ</t>
    </rPh>
    <rPh sb="2" eb="3">
      <t>メイ</t>
    </rPh>
    <phoneticPr fontId="3"/>
  </si>
  <si>
    <t>システム</t>
    <phoneticPr fontId="3"/>
  </si>
  <si>
    <t>サブシステム</t>
    <phoneticPr fontId="3"/>
  </si>
  <si>
    <t>作成者</t>
    <rPh sb="0" eb="3">
      <t>サクセイシャ</t>
    </rPh>
    <phoneticPr fontId="3"/>
  </si>
  <si>
    <t>作成日</t>
    <rPh sb="0" eb="3">
      <t>サクセイビ</t>
    </rPh>
    <phoneticPr fontId="3"/>
  </si>
  <si>
    <t>Rev</t>
    <phoneticPr fontId="3"/>
  </si>
  <si>
    <t>分類ID</t>
    <rPh sb="0" eb="2">
      <t>ブンルイ</t>
    </rPh>
    <phoneticPr fontId="3"/>
  </si>
  <si>
    <t>Version</t>
    <phoneticPr fontId="3"/>
  </si>
  <si>
    <t>※ここを変更してください</t>
    <rPh sb="4" eb="6">
      <t>ヘンコウ</t>
    </rPh>
    <phoneticPr fontId="3"/>
  </si>
  <si>
    <t>変更内容及び変更理由</t>
    <rPh sb="0" eb="2">
      <t>ヘンコウ</t>
    </rPh>
    <rPh sb="2" eb="4">
      <t>ナイヨウ</t>
    </rPh>
    <rPh sb="4" eb="5">
      <t>オヨ</t>
    </rPh>
    <rPh sb="6" eb="8">
      <t>ヘンコウ</t>
    </rPh>
    <rPh sb="8" eb="10">
      <t>リユウ</t>
    </rPh>
    <phoneticPr fontId="3"/>
  </si>
  <si>
    <t>最終更新者</t>
    <rPh sb="0" eb="2">
      <t>サイシュウ</t>
    </rPh>
    <rPh sb="2" eb="5">
      <t>コウシンシャ</t>
    </rPh>
    <phoneticPr fontId="3"/>
  </si>
  <si>
    <t>最終更新日</t>
    <rPh sb="0" eb="2">
      <t>サイシュウ</t>
    </rPh>
    <rPh sb="2" eb="5">
      <t>コウシンビ</t>
    </rPh>
    <phoneticPr fontId="3"/>
  </si>
  <si>
    <t>備考</t>
    <rPh sb="0" eb="2">
      <t>ビコウ</t>
    </rPh>
    <phoneticPr fontId="3"/>
  </si>
  <si>
    <t>項目名</t>
    <rPh sb="0" eb="2">
      <t>コウモク</t>
    </rPh>
    <rPh sb="2" eb="3">
      <t>メイ</t>
    </rPh>
    <phoneticPr fontId="3"/>
  </si>
  <si>
    <t>入力</t>
    <rPh sb="0" eb="2">
      <t>ニュウリョク</t>
    </rPh>
    <phoneticPr fontId="3"/>
  </si>
  <si>
    <t>説明</t>
    <rPh sb="0" eb="2">
      <t>セツメイ</t>
    </rPh>
    <phoneticPr fontId="3"/>
  </si>
  <si>
    <t>初期値</t>
    <rPh sb="0" eb="3">
      <t>ショキチ</t>
    </rPh>
    <phoneticPr fontId="3"/>
  </si>
  <si>
    <t>形式</t>
  </si>
  <si>
    <t>型</t>
    <rPh sb="0" eb="1">
      <t>ガタ</t>
    </rPh>
    <phoneticPr fontId="3"/>
  </si>
  <si>
    <t>機能概要</t>
    <rPh sb="2" eb="4">
      <t>ガイヨウ</t>
    </rPh>
    <phoneticPr fontId="3"/>
  </si>
  <si>
    <t>1. 機能概要</t>
    <rPh sb="3" eb="5">
      <t>キノウ</t>
    </rPh>
    <rPh sb="5" eb="7">
      <t>ガイヨウ</t>
    </rPh>
    <phoneticPr fontId="3"/>
  </si>
  <si>
    <t>ロジック名称</t>
    <rPh sb="4" eb="6">
      <t>メイショウ</t>
    </rPh>
    <phoneticPr fontId="3"/>
  </si>
  <si>
    <t>転送元</t>
    <rPh sb="0" eb="2">
      <t>テンソウ</t>
    </rPh>
    <rPh sb="2" eb="3">
      <t>モト</t>
    </rPh>
    <phoneticPr fontId="3"/>
  </si>
  <si>
    <t>処理分類</t>
    <rPh sb="0" eb="2">
      <t>ショリ</t>
    </rPh>
    <rPh sb="2" eb="4">
      <t>ブンルイ</t>
    </rPh>
    <phoneticPr fontId="3"/>
  </si>
  <si>
    <t>処理</t>
    <rPh sb="0" eb="2">
      <t>ショリ</t>
    </rPh>
    <phoneticPr fontId="3"/>
  </si>
  <si>
    <t>出力</t>
    <rPh sb="0" eb="2">
      <t>シュツリョク</t>
    </rPh>
    <phoneticPr fontId="3"/>
  </si>
  <si>
    <t>ｻﾌﾞｼｽﾃﾑ</t>
    <phoneticPr fontId="3"/>
  </si>
  <si>
    <t>承認票</t>
    <rPh sb="0" eb="2">
      <t>ショウニン</t>
    </rPh>
    <rPh sb="2" eb="3">
      <t>ヒョウ</t>
    </rPh>
    <phoneticPr fontId="3"/>
  </si>
  <si>
    <t>確認者</t>
    <rPh sb="0" eb="2">
      <t>カクニン</t>
    </rPh>
    <rPh sb="2" eb="3">
      <t>シャ</t>
    </rPh>
    <phoneticPr fontId="3"/>
  </si>
  <si>
    <t>承認者</t>
    <rPh sb="0" eb="2">
      <t>ショウニン</t>
    </rPh>
    <rPh sb="2" eb="3">
      <t>シャ</t>
    </rPh>
    <phoneticPr fontId="3"/>
  </si>
  <si>
    <t>責任者</t>
    <rPh sb="0" eb="3">
      <t>セキニンシャ</t>
    </rPh>
    <phoneticPr fontId="3"/>
  </si>
  <si>
    <t>生産</t>
    <rPh sb="0" eb="2">
      <t>セイサン</t>
    </rPh>
    <phoneticPr fontId="3"/>
  </si>
  <si>
    <t>基準単位名</t>
  </si>
  <si>
    <t>単位名</t>
  </si>
  <si>
    <t>承認状況区分</t>
  </si>
  <si>
    <t>承認状況区分名</t>
  </si>
  <si>
    <t>b.検索</t>
    <rPh sb="2" eb="4">
      <t>ケンサク</t>
    </rPh>
    <phoneticPr fontId="3"/>
  </si>
  <si>
    <t>内容</t>
    <rPh sb="0" eb="2">
      <t>ナイヨウ</t>
    </rPh>
    <phoneticPr fontId="3"/>
  </si>
  <si>
    <t>NO</t>
    <phoneticPr fontId="3"/>
  </si>
  <si>
    <t>検索</t>
    <rPh sb="0" eb="2">
      <t>ケンサク</t>
    </rPh>
    <phoneticPr fontId="3"/>
  </si>
  <si>
    <t>転送先</t>
    <rPh sb="0" eb="2">
      <t>テンソウ</t>
    </rPh>
    <rPh sb="2" eb="3">
      <t>サキ</t>
    </rPh>
    <phoneticPr fontId="3"/>
  </si>
  <si>
    <t>明細</t>
    <rPh sb="0" eb="2">
      <t>メイサイ</t>
    </rPh>
    <phoneticPr fontId="3"/>
  </si>
  <si>
    <t>3. カスタマイズ要件/アドオン要件</t>
    <rPh sb="9" eb="11">
      <t>ヨウケン</t>
    </rPh>
    <rPh sb="16" eb="18">
      <t>ヨウケン</t>
    </rPh>
    <phoneticPr fontId="3"/>
  </si>
  <si>
    <t>4. データアクセスコントロール</t>
    <phoneticPr fontId="3"/>
  </si>
  <si>
    <t>レイアウト</t>
    <phoneticPr fontId="3"/>
  </si>
  <si>
    <t>補助説明書</t>
    <rPh sb="0" eb="2">
      <t>ホジョ</t>
    </rPh>
    <rPh sb="2" eb="5">
      <t>セツメイショ</t>
    </rPh>
    <phoneticPr fontId="3"/>
  </si>
  <si>
    <t>新規作成</t>
    <rPh sb="0" eb="4">
      <t>シンキサクセイ</t>
    </rPh>
    <phoneticPr fontId="3"/>
  </si>
  <si>
    <t>・</t>
    <phoneticPr fontId="3"/>
  </si>
  <si>
    <t>種</t>
    <rPh sb="0" eb="1">
      <t>タネ</t>
    </rPh>
    <phoneticPr fontId="3"/>
  </si>
  <si>
    <t>画</t>
    <rPh sb="0" eb="1">
      <t>ガ</t>
    </rPh>
    <phoneticPr fontId="3"/>
  </si>
  <si>
    <t>説明</t>
    <rPh sb="0" eb="2">
      <t>セツメイ</t>
    </rPh>
    <phoneticPr fontId="3"/>
  </si>
  <si>
    <t>計算</t>
    <rPh sb="0" eb="2">
      <t>ケイサン</t>
    </rPh>
    <phoneticPr fontId="3"/>
  </si>
  <si>
    <t>東洋ﾋﾞｼﾞﾈｽｴﾝｼﾞﾆｱﾘﾝｸﾞ㈱</t>
    <rPh sb="0" eb="2">
      <t>トウヨウ</t>
    </rPh>
    <phoneticPr fontId="3"/>
  </si>
  <si>
    <t>新基幹システム構築プロジェクト</t>
    <phoneticPr fontId="3"/>
  </si>
  <si>
    <t>新業務機能展開表</t>
    <rPh sb="0" eb="3">
      <t>シンギョウム</t>
    </rPh>
    <rPh sb="3" eb="5">
      <t>キノウ</t>
    </rPh>
    <rPh sb="5" eb="7">
      <t>テンカイ</t>
    </rPh>
    <rPh sb="7" eb="8">
      <t>ヒョウ</t>
    </rPh>
    <phoneticPr fontId="3"/>
  </si>
  <si>
    <t>項目番号</t>
    <rPh sb="0" eb="2">
      <t>コウモク</t>
    </rPh>
    <rPh sb="2" eb="4">
      <t>バンゴウ</t>
    </rPh>
    <phoneticPr fontId="3"/>
  </si>
  <si>
    <t>分類</t>
    <rPh sb="0" eb="2">
      <t>ブンルイ</t>
    </rPh>
    <phoneticPr fontId="3"/>
  </si>
  <si>
    <t>mcframe7</t>
    <phoneticPr fontId="3"/>
  </si>
  <si>
    <t>SCM</t>
    <phoneticPr fontId="3"/>
  </si>
  <si>
    <t>MSBDP0080</t>
    <phoneticPr fontId="3"/>
  </si>
  <si>
    <t>MSBD</t>
    <phoneticPr fontId="3"/>
  </si>
  <si>
    <t>発注登録</t>
    <rPh sb="0" eb="2">
      <t>ハッチュウ</t>
    </rPh>
    <rPh sb="2" eb="4">
      <t>トウロク</t>
    </rPh>
    <phoneticPr fontId="3"/>
  </si>
  <si>
    <t>購買管理</t>
    <phoneticPr fontId="3"/>
  </si>
  <si>
    <t>販売</t>
    <rPh sb="0" eb="2">
      <t>ハンバイ</t>
    </rPh>
    <phoneticPr fontId="3"/>
  </si>
  <si>
    <t>納入希望日</t>
  </si>
  <si>
    <t>納入希望時刻</t>
  </si>
  <si>
    <t>金額合計</t>
  </si>
  <si>
    <t>税込金額合計</t>
  </si>
  <si>
    <t>登録する</t>
  </si>
  <si>
    <t>訂正する</t>
  </si>
  <si>
    <t>取り消す</t>
  </si>
  <si>
    <t>参照する</t>
  </si>
  <si>
    <t>発注ＮＯ</t>
  </si>
  <si>
    <t>改訂番号</t>
  </si>
  <si>
    <t>最新</t>
  </si>
  <si>
    <t>検索する</t>
    <rPh sb="0" eb="2">
      <t>ケンサク</t>
    </rPh>
    <phoneticPr fontId="12"/>
  </si>
  <si>
    <t>取引ＣＤ</t>
  </si>
  <si>
    <t>取引名</t>
  </si>
  <si>
    <t>発注改訂番号</t>
  </si>
  <si>
    <t>注文書発行日</t>
  </si>
  <si>
    <t>注文書発行済ＦＬＧ</t>
  </si>
  <si>
    <t>承認引戻ＦＬＧ</t>
  </si>
  <si>
    <t>承認対象ＦＬＧ</t>
  </si>
  <si>
    <t>承認ＮＯ</t>
  </si>
  <si>
    <t>更新可能ＦＬＧ</t>
  </si>
  <si>
    <t>削除可能ＦＬＧ</t>
  </si>
  <si>
    <t>発注日</t>
  </si>
  <si>
    <t>発注先ＣＤ</t>
  </si>
  <si>
    <t>発注先名</t>
  </si>
  <si>
    <t>発注先国ＣＤ</t>
  </si>
  <si>
    <t>発注先国名</t>
  </si>
  <si>
    <t>発注先郵便番号</t>
  </si>
  <si>
    <t>発注先住所１</t>
  </si>
  <si>
    <t>発注先住所２</t>
  </si>
  <si>
    <t>発注先住所３</t>
  </si>
  <si>
    <t>発注先住所４</t>
  </si>
  <si>
    <t>発注先ＴＥＬ</t>
  </si>
  <si>
    <t>発注先ＦＡＸ</t>
  </si>
  <si>
    <t>発注先部署</t>
  </si>
  <si>
    <t>発注先担当者</t>
  </si>
  <si>
    <t>下請対象ＦＬＧ</t>
  </si>
  <si>
    <t>Ｉ／Ｖ取引対象ＦＬＧ</t>
  </si>
  <si>
    <t>購買担当者ＣＤ</t>
  </si>
  <si>
    <t>購買担当者名</t>
  </si>
  <si>
    <t>購買部門ＣＤ</t>
  </si>
  <si>
    <t>購買部門名</t>
  </si>
  <si>
    <t>ワーキンググループＣＤ</t>
  </si>
  <si>
    <t>ワーキンググループ名</t>
  </si>
  <si>
    <t>通貨ＣＤ</t>
  </si>
  <si>
    <t>通貨名</t>
  </si>
  <si>
    <t>基準通貨ＣＤ</t>
  </si>
  <si>
    <t>基準通貨名</t>
  </si>
  <si>
    <t>為替レート指定ＦＬＧ</t>
  </si>
  <si>
    <t>為替レート</t>
  </si>
  <si>
    <t>納税通貨ＣＤ</t>
  </si>
  <si>
    <t>納税通貨名</t>
  </si>
  <si>
    <t>納税為替レート指定ＦＬＧ</t>
  </si>
  <si>
    <t>納税為替レート</t>
  </si>
  <si>
    <t>案件ＮＯ</t>
  </si>
  <si>
    <t>案件名</t>
  </si>
  <si>
    <t>取引備考</t>
  </si>
  <si>
    <t>内部備考</t>
  </si>
  <si>
    <t>注文書備考</t>
  </si>
  <si>
    <t>納品書備考</t>
  </si>
  <si>
    <t>注文書表示ＣＤ</t>
  </si>
  <si>
    <t>注文書表示名</t>
  </si>
  <si>
    <t>変更注文書発行予定日</t>
  </si>
  <si>
    <t>訂正理由ＣＤ</t>
  </si>
  <si>
    <t>訂正理由名</t>
  </si>
  <si>
    <t>訂正理由備考</t>
  </si>
  <si>
    <t>取引条件ＣＤ１</t>
  </si>
  <si>
    <t>取引条件名１</t>
  </si>
  <si>
    <t>取引条件備考１</t>
  </si>
  <si>
    <t>取引条件ＣＤ２</t>
  </si>
  <si>
    <t>取引条件名２</t>
  </si>
  <si>
    <t>取引条件備考２</t>
  </si>
  <si>
    <t>取引条件ＣＤ３</t>
  </si>
  <si>
    <t>取引条件名３</t>
  </si>
  <si>
    <t>買掛先ＣＤ</t>
  </si>
  <si>
    <t>買掛先名</t>
  </si>
  <si>
    <t>登録ユーザＩＤ</t>
  </si>
  <si>
    <t>登録ユーザ名</t>
  </si>
  <si>
    <t>登録機能ＩＤ</t>
  </si>
  <si>
    <t>登録機能名</t>
  </si>
  <si>
    <t>更新ユーザＩＤ</t>
  </si>
  <si>
    <t>更新ユーザ名</t>
  </si>
  <si>
    <t>更新機能ＩＤ</t>
  </si>
  <si>
    <t>更新機能名</t>
  </si>
  <si>
    <t>登録日時</t>
  </si>
  <si>
    <t>更新日時</t>
  </si>
  <si>
    <t>更新リクエストＮＯ</t>
  </si>
  <si>
    <t>納品書発行</t>
  </si>
  <si>
    <t>納期調整</t>
    <rPh sb="0" eb="2">
      <t>ノウキ</t>
    </rPh>
    <rPh sb="2" eb="4">
      <t>チョウセイ</t>
    </rPh>
    <phoneticPr fontId="12"/>
  </si>
  <si>
    <t>予定まとめ</t>
    <rPh sb="0" eb="2">
      <t>ヨテイ</t>
    </rPh>
    <phoneticPr fontId="12"/>
  </si>
  <si>
    <t>単価再取得</t>
    <rPh sb="0" eb="2">
      <t>タンカ</t>
    </rPh>
    <rPh sb="2" eb="5">
      <t>サイシュトク</t>
    </rPh>
    <phoneticPr fontId="12"/>
  </si>
  <si>
    <t>納品書取得</t>
    <rPh sb="0" eb="3">
      <t>ノウヒンショ</t>
    </rPh>
    <rPh sb="3" eb="5">
      <t>シュトク</t>
    </rPh>
    <phoneticPr fontId="12"/>
  </si>
  <si>
    <t>最上行に移動</t>
    <rPh sb="0" eb="2">
      <t>サイジョウ</t>
    </rPh>
    <rPh sb="2" eb="3">
      <t>ギョウ</t>
    </rPh>
    <rPh sb="4" eb="6">
      <t>イドウ</t>
    </rPh>
    <phoneticPr fontId="12"/>
  </si>
  <si>
    <t>一つ上の行に移動</t>
    <rPh sb="0" eb="1">
      <t>ヒト</t>
    </rPh>
    <rPh sb="2" eb="3">
      <t>ウエ</t>
    </rPh>
    <rPh sb="4" eb="5">
      <t>ギョウ</t>
    </rPh>
    <rPh sb="6" eb="8">
      <t>イドウ</t>
    </rPh>
    <phoneticPr fontId="12"/>
  </si>
  <si>
    <t>一つ下の行に移動</t>
    <rPh sb="0" eb="1">
      <t>ヒト</t>
    </rPh>
    <rPh sb="2" eb="3">
      <t>シタ</t>
    </rPh>
    <rPh sb="4" eb="5">
      <t>ギョウ</t>
    </rPh>
    <rPh sb="6" eb="8">
      <t>イドウ</t>
    </rPh>
    <phoneticPr fontId="12"/>
  </si>
  <si>
    <t>最下行に移動</t>
    <rPh sb="0" eb="1">
      <t>サイ</t>
    </rPh>
    <rPh sb="1" eb="2">
      <t>シタ</t>
    </rPh>
    <rPh sb="2" eb="3">
      <t>ギョウ</t>
    </rPh>
    <rPh sb="4" eb="6">
      <t>イドウ</t>
    </rPh>
    <phoneticPr fontId="12"/>
  </si>
  <si>
    <t>行追加</t>
    <rPh sb="0" eb="1">
      <t>ギョウ</t>
    </rPh>
    <rPh sb="1" eb="3">
      <t>ツイカ</t>
    </rPh>
    <phoneticPr fontId="12"/>
  </si>
  <si>
    <t>行削除</t>
    <rPh sb="0" eb="1">
      <t>ギョウ</t>
    </rPh>
    <rPh sb="1" eb="3">
      <t>サクジョ</t>
    </rPh>
    <phoneticPr fontId="12"/>
  </si>
  <si>
    <t>行コピー</t>
    <rPh sb="0" eb="1">
      <t>ギョウ</t>
    </rPh>
    <phoneticPr fontId="12"/>
  </si>
  <si>
    <t>帳票発行</t>
    <rPh sb="0" eb="2">
      <t>チョウヒョウ</t>
    </rPh>
    <rPh sb="2" eb="4">
      <t>ハッコウ</t>
    </rPh>
    <phoneticPr fontId="12"/>
  </si>
  <si>
    <t>更新する</t>
    <rPh sb="0" eb="2">
      <t>コウシン</t>
    </rPh>
    <phoneticPr fontId="12"/>
  </si>
  <si>
    <t>取り消す</t>
    <rPh sb="0" eb="1">
      <t>ト</t>
    </rPh>
    <rPh sb="2" eb="3">
      <t>ケ</t>
    </rPh>
    <phoneticPr fontId="12"/>
  </si>
  <si>
    <t>選択</t>
  </si>
  <si>
    <t>納入場所ＣＤ</t>
  </si>
  <si>
    <t>納入場所名</t>
  </si>
  <si>
    <t>納入場所郵便番号</t>
  </si>
  <si>
    <t>納入場所住所１</t>
  </si>
  <si>
    <t>納入場所住所２</t>
  </si>
  <si>
    <t>納入場所住所３</t>
  </si>
  <si>
    <t>納入場所住所４</t>
  </si>
  <si>
    <t>納入場所ＴＥＬ</t>
  </si>
  <si>
    <t>納入場所ワーキンググループ名</t>
  </si>
  <si>
    <t>価格印字ＦＬＧ</t>
  </si>
  <si>
    <t>直納区分</t>
  </si>
  <si>
    <t>直納区分名</t>
  </si>
  <si>
    <t>棚・ラインＣＤ</t>
  </si>
  <si>
    <t>棚・ライン名</t>
  </si>
  <si>
    <t>棚・ライン無</t>
  </si>
  <si>
    <t>依頼元使用可能希望日</t>
  </si>
  <si>
    <t>品目ＣＤ</t>
  </si>
  <si>
    <t>枝番１</t>
  </si>
  <si>
    <t>枝番２</t>
  </si>
  <si>
    <t>枝番３</t>
  </si>
  <si>
    <t>品名</t>
  </si>
  <si>
    <t>Ｉ／Ｖ表記品名</t>
  </si>
  <si>
    <t>諸口品ＦＬＧ</t>
  </si>
  <si>
    <t>資産管理区分</t>
  </si>
  <si>
    <t>資産管理区分名</t>
  </si>
  <si>
    <t>依頼元納入希望日</t>
  </si>
  <si>
    <t>依頼元納入希望時刻</t>
  </si>
  <si>
    <t>仕入予定日</t>
  </si>
  <si>
    <t>版ＮＯ</t>
  </si>
  <si>
    <t>メーカＣＤ</t>
  </si>
  <si>
    <t>メーカ名</t>
  </si>
  <si>
    <t>業者ロットＮＯ</t>
  </si>
  <si>
    <t>発注先品目ＣＤ</t>
  </si>
  <si>
    <t>発注先品名</t>
  </si>
  <si>
    <t>債務部門ＣＤ</t>
  </si>
  <si>
    <t>債務部門名</t>
  </si>
  <si>
    <t>納品先ＣＤ</t>
  </si>
  <si>
    <t>納品先名</t>
  </si>
  <si>
    <t>納品先諸口</t>
  </si>
  <si>
    <t>納品先国ＣＤ</t>
  </si>
  <si>
    <t>納品先国名</t>
  </si>
  <si>
    <t>納品先郵便番号</t>
  </si>
  <si>
    <t>納品先住所１</t>
  </si>
  <si>
    <t>納品先住所２</t>
  </si>
  <si>
    <t>納品先住所３</t>
  </si>
  <si>
    <t>納品先住所４</t>
  </si>
  <si>
    <t>納品先ＴＥＬ</t>
  </si>
  <si>
    <t>納品先ＦＡＸ</t>
  </si>
  <si>
    <t>購買識別区分</t>
  </si>
  <si>
    <t>購買識別区分名</t>
  </si>
  <si>
    <t>請書受領ＦＬＧ</t>
  </si>
  <si>
    <t>請書受領日</t>
  </si>
  <si>
    <t>単位ＣＤ</t>
  </si>
  <si>
    <t>発注数量</t>
  </si>
  <si>
    <t>基準単位ＣＤ</t>
  </si>
  <si>
    <t>基準単位数量</t>
  </si>
  <si>
    <t>標準有効成分</t>
  </si>
  <si>
    <t>有効成分単位ＣＤ</t>
  </si>
  <si>
    <t>有効成分単位名</t>
  </si>
  <si>
    <t>標準有効成分係数</t>
  </si>
  <si>
    <t>購買状況区分</t>
  </si>
  <si>
    <t>購買状況区分名</t>
  </si>
  <si>
    <t>納入指示数量</t>
  </si>
  <si>
    <t>納入指示回答受領数量</t>
  </si>
  <si>
    <t>輸入インボイス数</t>
  </si>
  <si>
    <t>入荷数量</t>
  </si>
  <si>
    <t>入荷予定分割</t>
  </si>
  <si>
    <t>入荷完了ＦＬＧ</t>
  </si>
  <si>
    <t>支払繰越回数</t>
  </si>
  <si>
    <t>購買単価取得区分</t>
  </si>
  <si>
    <t>購買単価取得区分名</t>
  </si>
  <si>
    <t>単価取得対象外</t>
  </si>
  <si>
    <t>取引通貨単価</t>
  </si>
  <si>
    <t>仮単価</t>
  </si>
  <si>
    <t>取引通貨金額</t>
  </si>
  <si>
    <t>取引通貨税込金額</t>
  </si>
  <si>
    <t>税指定</t>
  </si>
  <si>
    <t>税ＣＤ</t>
  </si>
  <si>
    <t>税名</t>
  </si>
  <si>
    <t>税率</t>
  </si>
  <si>
    <t>取引通貨税額</t>
  </si>
  <si>
    <t>取引通貨値引額</t>
  </si>
  <si>
    <t>値引理由ＣＤ</t>
  </si>
  <si>
    <t>値引理由名</t>
  </si>
  <si>
    <t>取引通貨加工単価</t>
  </si>
  <si>
    <t>取引通貨加工金額</t>
  </si>
  <si>
    <t>取引通貨有償支給単価</t>
  </si>
  <si>
    <t>取引通貨有償支給金額</t>
  </si>
  <si>
    <t>基準通貨単価</t>
  </si>
  <si>
    <t>基準通貨値引額</t>
  </si>
  <si>
    <t>基準通貨金額</t>
  </si>
  <si>
    <t>基準通貨税額</t>
  </si>
  <si>
    <t>基準通貨税込金額</t>
  </si>
  <si>
    <t>基準通貨加工単価</t>
  </si>
  <si>
    <t>基準通貨加工金額</t>
  </si>
  <si>
    <t>基準通貨有償支給単価</t>
  </si>
  <si>
    <t>基準通貨有償支給金額</t>
  </si>
  <si>
    <t>納税通貨単価</t>
  </si>
  <si>
    <t>納税通貨値引額</t>
  </si>
  <si>
    <t>納税通貨金額</t>
  </si>
  <si>
    <t>納税通貨税額</t>
  </si>
  <si>
    <t>納税通貨税込金額</t>
  </si>
  <si>
    <t>納税通貨加工単価</t>
  </si>
  <si>
    <t>納税通貨加工金額</t>
  </si>
  <si>
    <t>納税通貨有償支給単価</t>
  </si>
  <si>
    <t>納税通貨有償支給金額</t>
  </si>
  <si>
    <t>源泉徴収税率</t>
  </si>
  <si>
    <t>源泉徴収税額</t>
  </si>
  <si>
    <t>製造場所ＣＤ</t>
  </si>
  <si>
    <t>製造場所名</t>
  </si>
  <si>
    <t>構成パタン</t>
  </si>
  <si>
    <t>外注ＦＬＧ</t>
  </si>
  <si>
    <t>仕入理由ＣＤ</t>
  </si>
  <si>
    <t>仕入理由名</t>
  </si>
  <si>
    <t>手配ＮＯ１</t>
  </si>
  <si>
    <t>手配ＮＯ２</t>
  </si>
  <si>
    <t>手配ＮＯ３</t>
  </si>
  <si>
    <t>手配ＮＯ４</t>
  </si>
  <si>
    <t>負担部門ＣＤ</t>
  </si>
  <si>
    <t>負担部門名</t>
  </si>
  <si>
    <t>負担品目ＣＤ</t>
  </si>
  <si>
    <t>負担枝番１</t>
  </si>
  <si>
    <t>負担枝番２</t>
  </si>
  <si>
    <t>負担枝番３</t>
  </si>
  <si>
    <t>負担品目名</t>
  </si>
  <si>
    <t>負担ロットＮＯ</t>
  </si>
  <si>
    <t>負担サブロットＮＯ</t>
  </si>
  <si>
    <t>負担手配ＮＯ１</t>
  </si>
  <si>
    <t>負担手配ＮＯ２</t>
  </si>
  <si>
    <t>負担手配ＮＯ３</t>
  </si>
  <si>
    <t>負担手配ＮＯ４</t>
  </si>
  <si>
    <t>負担場所ＣＤ</t>
  </si>
  <si>
    <t>負担場所名</t>
  </si>
  <si>
    <t>負担品群ＣＤ</t>
  </si>
  <si>
    <t>負担品群名</t>
  </si>
  <si>
    <t>負担工程ＣＤ</t>
  </si>
  <si>
    <t>負担工程名</t>
  </si>
  <si>
    <t>負担インボイスＮＯ</t>
  </si>
  <si>
    <t>負担受注ＮＯ</t>
  </si>
  <si>
    <t>負担発注ＮＯ</t>
  </si>
  <si>
    <t>紐切れＦＬＧ</t>
  </si>
  <si>
    <t>発注連絡備考</t>
  </si>
  <si>
    <t>明細予備１</t>
  </si>
  <si>
    <t>明細予備２</t>
  </si>
  <si>
    <t>明細予備３</t>
  </si>
  <si>
    <t>内部明細備考</t>
  </si>
  <si>
    <t>取引明細備考</t>
  </si>
  <si>
    <t>注文書明細備考</t>
  </si>
  <si>
    <t>納品書明細備考</t>
  </si>
  <si>
    <t>入荷連絡備考</t>
  </si>
  <si>
    <t>受注ＮＯ</t>
  </si>
  <si>
    <t>受注明細ＮＯ</t>
  </si>
  <si>
    <t>発注予定作成元区分</t>
  </si>
  <si>
    <t>発注予定作成元区分名</t>
  </si>
  <si>
    <t>発注予定作成元ＮＯ</t>
  </si>
  <si>
    <t>まとめＦＬＧ</t>
  </si>
  <si>
    <t>発注明細ＮＯ</t>
  </si>
  <si>
    <t>表示順</t>
  </si>
  <si>
    <t>f.明細</t>
    <rPh sb="2" eb="4">
      <t>メイサイ</t>
    </rPh>
    <phoneticPr fontId="3"/>
  </si>
  <si>
    <t>購買部門でデータアクセスコントロールする。</t>
    <phoneticPr fontId="3"/>
  </si>
  <si>
    <t>手動初物判定</t>
    <rPh sb="0" eb="2">
      <t>シュドウ</t>
    </rPh>
    <rPh sb="2" eb="4">
      <t>ハツモノ</t>
    </rPh>
    <rPh sb="4" eb="6">
      <t>ハンテイ</t>
    </rPh>
    <phoneticPr fontId="3"/>
  </si>
  <si>
    <t>初物</t>
    <rPh sb="0" eb="2">
      <t>ハツモノ</t>
    </rPh>
    <phoneticPr fontId="3"/>
  </si>
  <si>
    <t>オフ</t>
    <phoneticPr fontId="3"/>
  </si>
  <si>
    <t>T</t>
  </si>
  <si>
    <t>検査予定</t>
    <rPh sb="0" eb="2">
      <t>ケンサ</t>
    </rPh>
    <rPh sb="2" eb="4">
      <t>ヨテイ</t>
    </rPh>
    <phoneticPr fontId="3"/>
  </si>
  <si>
    <t>変</t>
    <rPh sb="0" eb="1">
      <t>ヘン</t>
    </rPh>
    <phoneticPr fontId="3"/>
  </si>
  <si>
    <t>削</t>
    <rPh sb="0" eb="1">
      <t>サク</t>
    </rPh>
    <phoneticPr fontId="3"/>
  </si>
  <si>
    <t>初物判定</t>
  </si>
  <si>
    <t>発注対象の品目が初回発注の場合に初物と判定する。</t>
    <rPh sb="5" eb="7">
      <t>ヒンモク</t>
    </rPh>
    <rPh sb="13" eb="15">
      <t>バアイ</t>
    </rPh>
    <rPh sb="16" eb="18">
      <t>ハツモノ</t>
    </rPh>
    <rPh sb="19" eb="21">
      <t>ハンテイ</t>
    </rPh>
    <phoneticPr fontId="3"/>
  </si>
  <si>
    <t>判定ロジック</t>
    <rPh sb="0" eb="2">
      <t>ハンテイ</t>
    </rPh>
    <phoneticPr fontId="3"/>
  </si>
  <si>
    <t>①</t>
    <phoneticPr fontId="3"/>
  </si>
  <si>
    <t>判定データ取得</t>
    <rPh sb="0" eb="2">
      <t>ハンテイ</t>
    </rPh>
    <rPh sb="5" eb="7">
      <t>シュトク</t>
    </rPh>
    <phoneticPr fontId="3"/>
  </si>
  <si>
    <t>入力チェック</t>
    <rPh sb="0" eb="2">
      <t>ニュウリョク</t>
    </rPh>
    <phoneticPr fontId="3"/>
  </si>
  <si>
    <t>判定に必要な項目が入力されているかチェックする。</t>
    <rPh sb="0" eb="2">
      <t>ハンテイ</t>
    </rPh>
    <rPh sb="3" eb="5">
      <t>ヒツヨウ</t>
    </rPh>
    <rPh sb="6" eb="8">
      <t>コウモク</t>
    </rPh>
    <rPh sb="9" eb="11">
      <t>ニュウリョク</t>
    </rPh>
    <phoneticPr fontId="3"/>
  </si>
  <si>
    <t>以下の項目のうち1つでも未入力の場合、後続の処理を行わない。（メッセージは出さない）</t>
    <rPh sb="0" eb="2">
      <t>イカ</t>
    </rPh>
    <rPh sb="3" eb="5">
      <t>コウモク</t>
    </rPh>
    <rPh sb="12" eb="15">
      <t>ミニュウリョク</t>
    </rPh>
    <rPh sb="16" eb="18">
      <t>バアイ</t>
    </rPh>
    <rPh sb="19" eb="21">
      <t>コウゾク</t>
    </rPh>
    <rPh sb="22" eb="24">
      <t>ショリ</t>
    </rPh>
    <rPh sb="25" eb="26">
      <t>オコナ</t>
    </rPh>
    <rPh sb="37" eb="38">
      <t>ダ</t>
    </rPh>
    <phoneticPr fontId="3"/>
  </si>
  <si>
    <t>・品目</t>
    <rPh sb="1" eb="3">
      <t>ヒンモク</t>
    </rPh>
    <phoneticPr fontId="3"/>
  </si>
  <si>
    <t>・発注先</t>
    <rPh sb="1" eb="3">
      <t>ハッチュウ</t>
    </rPh>
    <rPh sb="3" eb="4">
      <t>サキ</t>
    </rPh>
    <phoneticPr fontId="3"/>
  </si>
  <si>
    <t>・納入場所ＷＧ</t>
    <rPh sb="1" eb="3">
      <t>ノウニュウ</t>
    </rPh>
    <rPh sb="3" eb="5">
      <t>バショ</t>
    </rPh>
    <phoneticPr fontId="3"/>
  </si>
  <si>
    <t>②</t>
    <phoneticPr fontId="3"/>
  </si>
  <si>
    <t>発注ヘッダ</t>
    <rPh sb="0" eb="2">
      <t>ハッチュウ</t>
    </rPh>
    <phoneticPr fontId="3"/>
  </si>
  <si>
    <t>発注先</t>
    <rPh sb="0" eb="2">
      <t>ハッチュウ</t>
    </rPh>
    <rPh sb="2" eb="3">
      <t>サキ</t>
    </rPh>
    <phoneticPr fontId="3"/>
  </si>
  <si>
    <t>ＷＧ</t>
    <phoneticPr fontId="3"/>
  </si>
  <si>
    <t>発注明細</t>
    <rPh sb="0" eb="2">
      <t>ハッチュウ</t>
    </rPh>
    <rPh sb="2" eb="4">
      <t>メイサイ</t>
    </rPh>
    <phoneticPr fontId="3"/>
  </si>
  <si>
    <t>品目</t>
    <rPh sb="0" eb="2">
      <t>ヒンモク</t>
    </rPh>
    <phoneticPr fontId="3"/>
  </si>
  <si>
    <t>元データ</t>
    <rPh sb="0" eb="1">
      <t>モト</t>
    </rPh>
    <phoneticPr fontId="3"/>
  </si>
  <si>
    <t>納入場所ＷＧ</t>
    <rPh sb="0" eb="2">
      <t>ノウニュウ</t>
    </rPh>
    <rPh sb="2" eb="4">
      <t>バショ</t>
    </rPh>
    <phoneticPr fontId="3"/>
  </si>
  <si>
    <t>取得先</t>
    <rPh sb="0" eb="2">
      <t>シュトク</t>
    </rPh>
    <rPh sb="2" eb="3">
      <t>サキ</t>
    </rPh>
    <phoneticPr fontId="3"/>
  </si>
  <si>
    <t>項目</t>
    <rPh sb="0" eb="2">
      <t>コウモク</t>
    </rPh>
    <phoneticPr fontId="3"/>
  </si>
  <si>
    <t>購買</t>
    <rPh sb="0" eb="2">
      <t>コウバイ</t>
    </rPh>
    <phoneticPr fontId="3"/>
  </si>
  <si>
    <t>製造指図ＮＯ</t>
  </si>
  <si>
    <t>内製</t>
    <rPh sb="0" eb="2">
      <t>ナイセイ</t>
    </rPh>
    <phoneticPr fontId="3"/>
  </si>
  <si>
    <t>wg1</t>
    <phoneticPr fontId="3"/>
  </si>
  <si>
    <t>*</t>
    <phoneticPr fontId="3"/>
  </si>
  <si>
    <t>cst01</t>
    <phoneticPr fontId="3"/>
  </si>
  <si>
    <t>itm01</t>
    <phoneticPr fontId="3"/>
  </si>
  <si>
    <t>000000021</t>
    <phoneticPr fontId="3"/>
  </si>
  <si>
    <t>itm01</t>
    <phoneticPr fontId="3"/>
  </si>
  <si>
    <t>wg1</t>
    <phoneticPr fontId="3"/>
  </si>
  <si>
    <t>cst01</t>
    <phoneticPr fontId="3"/>
  </si>
  <si>
    <t>値</t>
    <rPh sb="0" eb="1">
      <t>アタイ</t>
    </rPh>
    <phoneticPr fontId="3"/>
  </si>
  <si>
    <t>品目詳細マスタ</t>
    <rPh sb="0" eb="2">
      <t>ヒンモク</t>
    </rPh>
    <rPh sb="2" eb="4">
      <t>ショウサイ</t>
    </rPh>
    <phoneticPr fontId="3"/>
  </si>
  <si>
    <t>発注先ＣＤ</t>
    <phoneticPr fontId="3"/>
  </si>
  <si>
    <t>ワーキンググループＣＤ</t>
    <phoneticPr fontId="3"/>
  </si>
  <si>
    <t>適用開始日</t>
    <phoneticPr fontId="3"/>
  </si>
  <si>
    <t>メモ１</t>
    <phoneticPr fontId="3"/>
  </si>
  <si>
    <t>品目ＣＤ</t>
    <phoneticPr fontId="3"/>
  </si>
  <si>
    <t>適用終了日</t>
    <phoneticPr fontId="3"/>
  </si>
  <si>
    <t>0001</t>
    <phoneticPr fontId="3"/>
  </si>
  <si>
    <t>0001</t>
    <phoneticPr fontId="3"/>
  </si>
  <si>
    <t>cst01</t>
    <phoneticPr fontId="3"/>
  </si>
  <si>
    <t>wg1</t>
    <phoneticPr fontId="3"/>
  </si>
  <si>
    <t>1/1</t>
    <phoneticPr fontId="3"/>
  </si>
  <si>
    <t>4/30</t>
    <phoneticPr fontId="3"/>
  </si>
  <si>
    <t>12/31</t>
    <phoneticPr fontId="3"/>
  </si>
  <si>
    <t>5/1</t>
    <phoneticPr fontId="3"/>
  </si>
  <si>
    <t>0002</t>
    <phoneticPr fontId="3"/>
  </si>
  <si>
    <t>※一致するWGが無い場合、ＮＵＬＬ文字のレコードを採用する</t>
    <rPh sb="1" eb="3">
      <t>イッチ</t>
    </rPh>
    <rPh sb="8" eb="9">
      <t>ナ</t>
    </rPh>
    <rPh sb="10" eb="12">
      <t>バアイ</t>
    </rPh>
    <rPh sb="17" eb="19">
      <t>モジ</t>
    </rPh>
    <rPh sb="25" eb="27">
      <t>サイヨウ</t>
    </rPh>
    <phoneticPr fontId="3"/>
  </si>
  <si>
    <t>※発注登録、発注一覧登録の場合、購買</t>
    <rPh sb="1" eb="3">
      <t>ハッチュウ</t>
    </rPh>
    <rPh sb="3" eb="5">
      <t>トウロク</t>
    </rPh>
    <rPh sb="6" eb="8">
      <t>ハッチュウ</t>
    </rPh>
    <rPh sb="8" eb="10">
      <t>イチラン</t>
    </rPh>
    <rPh sb="10" eb="12">
      <t>トウロク</t>
    </rPh>
    <rPh sb="13" eb="15">
      <t>バアイ</t>
    </rPh>
    <rPh sb="16" eb="18">
      <t>コウバイ</t>
    </rPh>
    <phoneticPr fontId="3"/>
  </si>
  <si>
    <t>画面項目の値を用いて判定に必要な初物判定データを取得する。</t>
    <rPh sb="0" eb="2">
      <t>ガメン</t>
    </rPh>
    <rPh sb="2" eb="4">
      <t>コウモク</t>
    </rPh>
    <rPh sb="5" eb="6">
      <t>アタイ</t>
    </rPh>
    <rPh sb="7" eb="8">
      <t>モチ</t>
    </rPh>
    <rPh sb="10" eb="12">
      <t>ハンテイ</t>
    </rPh>
    <rPh sb="13" eb="15">
      <t>ヒツヨウ</t>
    </rPh>
    <rPh sb="16" eb="18">
      <t>ハツモノ</t>
    </rPh>
    <rPh sb="18" eb="20">
      <t>ハンテイ</t>
    </rPh>
    <rPh sb="24" eb="26">
      <t>シュトク</t>
    </rPh>
    <phoneticPr fontId="3"/>
  </si>
  <si>
    <t>③</t>
    <phoneticPr fontId="3"/>
  </si>
  <si>
    <t>初物判定処理</t>
    <rPh sb="0" eb="2">
      <t>ハツモノ</t>
    </rPh>
    <rPh sb="2" eb="4">
      <t>ハンテイ</t>
    </rPh>
    <rPh sb="4" eb="6">
      <t>ショリ</t>
    </rPh>
    <phoneticPr fontId="3"/>
  </si>
  <si>
    <t>設定値</t>
    <rPh sb="0" eb="3">
      <t>セッテイチ</t>
    </rPh>
    <phoneticPr fontId="3"/>
  </si>
  <si>
    <t>品目詳細マスタのメモ１</t>
    <rPh sb="0" eb="2">
      <t>ヒンモク</t>
    </rPh>
    <rPh sb="2" eb="4">
      <t>ショウサイ</t>
    </rPh>
    <phoneticPr fontId="3"/>
  </si>
  <si>
    <t>初物判定の済ＦＬＧ</t>
  </si>
  <si>
    <t>・初物判定処理を組み込む。（変更）</t>
    <rPh sb="14" eb="16">
      <t>ヘンコウ</t>
    </rPh>
    <phoneticPr fontId="3"/>
  </si>
  <si>
    <t>・発注登録画面で入力した備考を、検査指図に連携する。（変更）</t>
    <phoneticPr fontId="3"/>
  </si>
  <si>
    <t>　※未承認の場合、注文書の発行はできない。</t>
  </si>
  <si>
    <t>　・FAX：全工場の要望。Docuwayにプリンタドライバ経由で印刷。</t>
  </si>
  <si>
    <t>　・EDI：九州工場の要望は取り下げ（KIKAN_02-124 I/F「MCFrame → WebEDI」の検討）</t>
  </si>
  <si>
    <t>・種別：参照または、帳票発行から承認済・未発行の注文書を発行する。（追加）</t>
    <rPh sb="34" eb="36">
      <t>ツイカ</t>
    </rPh>
    <phoneticPr fontId="3"/>
  </si>
  <si>
    <t>・他工場への発注を登録する。相手先工場への発注データを自動作成する（7-2-1の受注データの自動作成に必要）（追加）</t>
    <rPh sb="55" eb="57">
      <t>ツイカ</t>
    </rPh>
    <phoneticPr fontId="3"/>
  </si>
  <si>
    <t>・他工場への発注も取引先への発注時の注文書を利用する。（追加）</t>
    <phoneticPr fontId="3"/>
  </si>
  <si>
    <t>発注時のコメントを検査連絡備考に連携する。（変更）</t>
    <rPh sb="22" eb="24">
      <t>ヘンコウ</t>
    </rPh>
    <phoneticPr fontId="3"/>
  </si>
  <si>
    <t>◆キー項目</t>
  </si>
  <si>
    <t>　・ＷＧ、得意先、納品先、仕向先、仕入先、品目分類３、品目</t>
  </si>
  <si>
    <t>◆項目</t>
  </si>
  <si>
    <t>＜表示先画面＞</t>
  </si>
  <si>
    <t>＜表示先帳票＞</t>
  </si>
  <si>
    <t>【出荷承認・出荷指示書】【送り状(4種類)】</t>
  </si>
  <si>
    <t>・先入金確認、代引き、現品票対応、国内ケースマーク、剥離ラベル、検査票対応、検査票発送、検査票発行条件、検査票対応、検査票フォーム様式ＮＯ、</t>
    <phoneticPr fontId="3"/>
  </si>
  <si>
    <t>　検査票の宛名、送り状FAX対応、荷送人指定対応、荷送人名、郵便番号、電話番号、荷送人住所、納品書対応、納品書種類、納品書発送、指定納品書、</t>
    <phoneticPr fontId="3"/>
  </si>
  <si>
    <t>　指定荷札、段数シール貼付け対応、生産計画注意事項、得意先注意事項</t>
    <phoneticPr fontId="3"/>
  </si>
  <si>
    <t>【受注登録】【ＷＧ間依頼調整】【ＷＧ間依頼調整(営業)】【出荷予定登録】【出荷指図一覧登録】【オーダ確認】【生産計画登録】【発注登録】</t>
    <phoneticPr fontId="3"/>
  </si>
  <si>
    <t>・発注登録時に、相手先工場の受注データを自動作成する。（追加）</t>
    <phoneticPr fontId="3"/>
  </si>
  <si>
    <t>・記事欄にコメントを表示するためのテーブルを新規アドオンする。（追加）</t>
    <phoneticPr fontId="3"/>
  </si>
  <si>
    <t>購入仕様書№を表示する。（変更）</t>
    <phoneticPr fontId="3"/>
  </si>
  <si>
    <t>支払条件</t>
  </si>
  <si>
    <t>支払条件</t>
    <rPh sb="0" eb="2">
      <t>シハライ</t>
    </rPh>
    <rPh sb="2" eb="4">
      <t>ジョウケン</t>
    </rPh>
    <phoneticPr fontId="3"/>
  </si>
  <si>
    <t>搬入口</t>
  </si>
  <si>
    <t>購入仕様書ＮＯ</t>
  </si>
  <si>
    <t>購入仕様書ＮＯを表示する。</t>
    <rPh sb="8" eb="10">
      <t>ヒョウジ</t>
    </rPh>
    <phoneticPr fontId="3"/>
  </si>
  <si>
    <t>注文書に表示する支払条件を入力する。</t>
    <rPh sb="0" eb="3">
      <t>チュウモンショ</t>
    </rPh>
    <rPh sb="4" eb="6">
      <t>ヒョウジ</t>
    </rPh>
    <rPh sb="13" eb="15">
      <t>ニュウリョク</t>
    </rPh>
    <phoneticPr fontId="3"/>
  </si>
  <si>
    <t>Srch01</t>
    <phoneticPr fontId="3"/>
  </si>
  <si>
    <t>検索</t>
    <rPh sb="0" eb="2">
      <t>ケンサク</t>
    </rPh>
    <phoneticPr fontId="3"/>
  </si>
  <si>
    <t>明細</t>
  </si>
  <si>
    <t>画</t>
  </si>
  <si>
    <t>検査連絡備考</t>
  </si>
  <si>
    <t>検査連絡備考</t>
    <rPh sb="0" eb="2">
      <t>ケンサ</t>
    </rPh>
    <rPh sb="2" eb="4">
      <t>レンラク</t>
    </rPh>
    <rPh sb="4" eb="6">
      <t>ビコウ</t>
    </rPh>
    <phoneticPr fontId="3"/>
  </si>
  <si>
    <t>検査予定に連携する検査連絡備考を設定する。</t>
    <rPh sb="0" eb="2">
      <t>ケンサ</t>
    </rPh>
    <rPh sb="2" eb="4">
      <t>ヨテイ</t>
    </rPh>
    <rPh sb="5" eb="7">
      <t>レンケイ</t>
    </rPh>
    <rPh sb="16" eb="18">
      <t>セッテイ</t>
    </rPh>
    <phoneticPr fontId="3"/>
  </si>
  <si>
    <t>手動初物判定</t>
  </si>
  <si>
    <t>手動初物判定</t>
    <rPh sb="0" eb="2">
      <t>シュドウ</t>
    </rPh>
    <rPh sb="2" eb="4">
      <t>ハツモノ</t>
    </rPh>
    <rPh sb="4" eb="6">
      <t>ハンテイ</t>
    </rPh>
    <phoneticPr fontId="3"/>
  </si>
  <si>
    <t>初物</t>
    <rPh sb="0" eb="2">
      <t>ハツモノ</t>
    </rPh>
    <phoneticPr fontId="3"/>
  </si>
  <si>
    <t>オフ</t>
    <phoneticPr fontId="3"/>
  </si>
  <si>
    <t>オン</t>
    <phoneticPr fontId="3"/>
  </si>
  <si>
    <t>画面明細</t>
    <rPh sb="0" eb="2">
      <t>ガメン</t>
    </rPh>
    <rPh sb="2" eb="4">
      <t>メイサイ</t>
    </rPh>
    <phoneticPr fontId="3"/>
  </si>
  <si>
    <t>※該当行がない場合、オフとみなす。</t>
    <rPh sb="1" eb="3">
      <t>ガイトウ</t>
    </rPh>
    <rPh sb="3" eb="4">
      <t>ギョウ</t>
    </rPh>
    <rPh sb="7" eb="9">
      <t>バアイ</t>
    </rPh>
    <phoneticPr fontId="3"/>
  </si>
  <si>
    <t>初物判定の済ＦＬＧがオフの場合、オン</t>
    <rPh sb="0" eb="2">
      <t>ハツモノ</t>
    </rPh>
    <rPh sb="2" eb="4">
      <t>ハンテイ</t>
    </rPh>
    <rPh sb="5" eb="6">
      <t>スミ</t>
    </rPh>
    <rPh sb="13" eb="15">
      <t>バアイ</t>
    </rPh>
    <phoneticPr fontId="3"/>
  </si>
  <si>
    <t>（初物判定に該当行がない場合もオン）</t>
    <phoneticPr fontId="3"/>
  </si>
  <si>
    <t>判定データを用いて初物判定を行い、画面の明細項目に結果を反映させる。</t>
    <rPh sb="0" eb="2">
      <t>ハンテイ</t>
    </rPh>
    <rPh sb="6" eb="7">
      <t>モチ</t>
    </rPh>
    <rPh sb="9" eb="11">
      <t>ハツモノ</t>
    </rPh>
    <rPh sb="11" eb="13">
      <t>ハンテイ</t>
    </rPh>
    <rPh sb="14" eb="15">
      <t>オコナ</t>
    </rPh>
    <rPh sb="17" eb="19">
      <t>ガメン</t>
    </rPh>
    <rPh sb="20" eb="22">
      <t>メイサイ</t>
    </rPh>
    <rPh sb="22" eb="24">
      <t>コウモク</t>
    </rPh>
    <rPh sb="25" eb="27">
      <t>ケッカ</t>
    </rPh>
    <rPh sb="28" eb="30">
      <t>ハンエイ</t>
    </rPh>
    <phoneticPr fontId="3"/>
  </si>
  <si>
    <t>判定タイミング</t>
    <rPh sb="0" eb="2">
      <t>ハンテイ</t>
    </rPh>
    <phoneticPr fontId="3"/>
  </si>
  <si>
    <t>操作種別</t>
    <rPh sb="0" eb="2">
      <t>ソウサ</t>
    </rPh>
    <rPh sb="2" eb="4">
      <t>シュベツ</t>
    </rPh>
    <phoneticPr fontId="3"/>
  </si>
  <si>
    <t>登録</t>
    <rPh sb="0" eb="2">
      <t>トウロク</t>
    </rPh>
    <phoneticPr fontId="3"/>
  </si>
  <si>
    <t>訂正</t>
    <rPh sb="0" eb="2">
      <t>テイセイ</t>
    </rPh>
    <phoneticPr fontId="3"/>
  </si>
  <si>
    <t>上記以外</t>
    <rPh sb="0" eb="2">
      <t>ジョウキ</t>
    </rPh>
    <rPh sb="2" eb="4">
      <t>イガイ</t>
    </rPh>
    <phoneticPr fontId="3"/>
  </si>
  <si>
    <t>納入先ＷＧ</t>
    <rPh sb="0" eb="3">
      <t>ノウニュウサキ</t>
    </rPh>
    <phoneticPr fontId="3"/>
  </si>
  <si>
    <t>画面操作</t>
    <rPh sb="0" eb="2">
      <t>ガメン</t>
    </rPh>
    <rPh sb="2" eb="4">
      <t>ソウサ</t>
    </rPh>
    <phoneticPr fontId="3"/>
  </si>
  <si>
    <t>値変更</t>
    <rPh sb="0" eb="1">
      <t>アタイ</t>
    </rPh>
    <rPh sb="1" eb="3">
      <t>ヘンコウ</t>
    </rPh>
    <phoneticPr fontId="3"/>
  </si>
  <si>
    <t>値変更（納入場所）</t>
    <rPh sb="0" eb="1">
      <t>アタイ</t>
    </rPh>
    <rPh sb="1" eb="3">
      <t>ヘンコウ</t>
    </rPh>
    <rPh sb="4" eb="6">
      <t>ノウニュウ</t>
    </rPh>
    <rPh sb="6" eb="8">
      <t>バショ</t>
    </rPh>
    <phoneticPr fontId="3"/>
  </si>
  <si>
    <t>自動判定</t>
    <rPh sb="0" eb="2">
      <t>ジドウ</t>
    </rPh>
    <rPh sb="2" eb="4">
      <t>ハンテイ</t>
    </rPh>
    <phoneticPr fontId="3"/>
  </si>
  <si>
    <t>○</t>
  </si>
  <si>
    <t>○</t>
    <phoneticPr fontId="3"/>
  </si>
  <si>
    <t>×</t>
    <phoneticPr fontId="3"/>
  </si>
  <si>
    <t>※納入先ＷＧは納入場所を入力すると自動設定される。</t>
  </si>
  <si>
    <t>オン⇒オフ</t>
  </si>
  <si>
    <t>オン⇒オフ</t>
    <phoneticPr fontId="3"/>
  </si>
  <si>
    <t>以下の画面操作タイミングで初物判定を行う。</t>
    <rPh sb="0" eb="2">
      <t>イカ</t>
    </rPh>
    <rPh sb="3" eb="5">
      <t>ガメン</t>
    </rPh>
    <rPh sb="5" eb="7">
      <t>ソウサ</t>
    </rPh>
    <rPh sb="13" eb="15">
      <t>ハツモノ</t>
    </rPh>
    <rPh sb="15" eb="17">
      <t>ハンテイ</t>
    </rPh>
    <rPh sb="18" eb="19">
      <t>オコナ</t>
    </rPh>
    <phoneticPr fontId="3"/>
  </si>
  <si>
    <t>ボタン押下</t>
    <rPh sb="3" eb="5">
      <t>オウカ</t>
    </rPh>
    <phoneticPr fontId="3"/>
  </si>
  <si>
    <t>※発注一覧登録のみ</t>
    <rPh sb="1" eb="3">
      <t>ハッチュウ</t>
    </rPh>
    <rPh sb="3" eb="5">
      <t>イチラン</t>
    </rPh>
    <rPh sb="5" eb="7">
      <t>トウロク</t>
    </rPh>
    <phoneticPr fontId="3"/>
  </si>
  <si>
    <t>済ＦＬＧ（非表示）</t>
  </si>
  <si>
    <t>（初物判定に該当行がない場合はオフ）</t>
    <phoneticPr fontId="3"/>
  </si>
  <si>
    <t>初物判定</t>
    <phoneticPr fontId="3"/>
  </si>
  <si>
    <t>初物判定</t>
    <rPh sb="0" eb="2">
      <t>ハツモノ</t>
    </rPh>
    <rPh sb="2" eb="4">
      <t>ハンテイ</t>
    </rPh>
    <phoneticPr fontId="3"/>
  </si>
  <si>
    <t>仕様ＮＯ</t>
  </si>
  <si>
    <t>仕様ＮＯ</t>
    <phoneticPr fontId="3"/>
  </si>
  <si>
    <t>格納場所ＷＧ</t>
    <rPh sb="0" eb="2">
      <t>カクノウ</t>
    </rPh>
    <rPh sb="2" eb="4">
      <t>バショ</t>
    </rPh>
    <phoneticPr fontId="3"/>
  </si>
  <si>
    <t>更新</t>
    <rPh sb="0" eb="2">
      <t>コウシン</t>
    </rPh>
    <phoneticPr fontId="3"/>
  </si>
  <si>
    <t>Upd01</t>
    <phoneticPr fontId="3"/>
  </si>
  <si>
    <t>追加</t>
    <rPh sb="0" eb="2">
      <t>ツイカ</t>
    </rPh>
    <phoneticPr fontId="3"/>
  </si>
  <si>
    <t>定数.初物判定種別</t>
    <rPh sb="0" eb="2">
      <t>テイスウ</t>
    </rPh>
    <rPh sb="7" eb="9">
      <t>シュベツ</t>
    </rPh>
    <phoneticPr fontId="3"/>
  </si>
  <si>
    <t>初物判定に該当行が存在しない場合のみ登録する。</t>
    <rPh sb="0" eb="2">
      <t>ハツモノ</t>
    </rPh>
    <rPh sb="2" eb="4">
      <t>ハンテイ</t>
    </rPh>
    <rPh sb="5" eb="7">
      <t>ガイトウ</t>
    </rPh>
    <rPh sb="7" eb="8">
      <t>ギョウ</t>
    </rPh>
    <rPh sb="9" eb="11">
      <t>ソンザイ</t>
    </rPh>
    <rPh sb="14" eb="16">
      <t>バアイ</t>
    </rPh>
    <rPh sb="18" eb="20">
      <t>トウロク</t>
    </rPh>
    <phoneticPr fontId="3"/>
  </si>
  <si>
    <t>④</t>
    <phoneticPr fontId="3"/>
  </si>
  <si>
    <t>（購買状況区分が</t>
  </si>
  <si>
    <t>　発注済かつ未承認）</t>
  </si>
  <si>
    <t>発注登録時の初物情報連携</t>
    <rPh sb="0" eb="2">
      <t>ハッチュウ</t>
    </rPh>
    <rPh sb="2" eb="4">
      <t>トウロク</t>
    </rPh>
    <rPh sb="4" eb="5">
      <t>ジ</t>
    </rPh>
    <rPh sb="6" eb="8">
      <t>ハツモノ</t>
    </rPh>
    <rPh sb="8" eb="10">
      <t>ジョウホウ</t>
    </rPh>
    <rPh sb="10" eb="12">
      <t>レンケイ</t>
    </rPh>
    <phoneticPr fontId="3"/>
  </si>
  <si>
    <t>発注日：5/1</t>
    <rPh sb="0" eb="2">
      <t>ハッチュウ</t>
    </rPh>
    <rPh sb="2" eb="3">
      <t>ビ</t>
    </rPh>
    <phoneticPr fontId="3"/>
  </si>
  <si>
    <t>発注日</t>
    <rPh sb="0" eb="2">
      <t>ハッチュウ</t>
    </rPh>
    <rPh sb="2" eb="3">
      <t>ビ</t>
    </rPh>
    <phoneticPr fontId="3"/>
  </si>
  <si>
    <t>発注予定日</t>
    <rPh sb="0" eb="2">
      <t>ハッチュウ</t>
    </rPh>
    <rPh sb="2" eb="4">
      <t>ヨテイ</t>
    </rPh>
    <rPh sb="4" eb="5">
      <t>ビ</t>
    </rPh>
    <phoneticPr fontId="3"/>
  </si>
  <si>
    <t>値変更（発注日未入力）</t>
    <rPh sb="0" eb="1">
      <t>アタイ</t>
    </rPh>
    <rPh sb="1" eb="3">
      <t>ヘンコウ</t>
    </rPh>
    <rPh sb="4" eb="6">
      <t>ハッチュウ</t>
    </rPh>
    <rPh sb="6" eb="7">
      <t>ビ</t>
    </rPh>
    <rPh sb="7" eb="8">
      <t>ミ</t>
    </rPh>
    <rPh sb="8" eb="10">
      <t>ニュウリョク</t>
    </rPh>
    <phoneticPr fontId="3"/>
  </si>
  <si>
    <t>値変更（発注日入力済）</t>
    <rPh sb="0" eb="1">
      <t>アタイ</t>
    </rPh>
    <rPh sb="1" eb="3">
      <t>ヘンコウ</t>
    </rPh>
    <rPh sb="4" eb="6">
      <t>ハッチュウ</t>
    </rPh>
    <rPh sb="6" eb="7">
      <t>ビ</t>
    </rPh>
    <rPh sb="7" eb="9">
      <t>ニュウリョク</t>
    </rPh>
    <rPh sb="9" eb="10">
      <t>ズ</t>
    </rPh>
    <phoneticPr fontId="3"/>
  </si>
  <si>
    <t>・発注日（未設定の場合、発注予定日を参照）</t>
    <rPh sb="1" eb="3">
      <t>ハッチュウ</t>
    </rPh>
    <rPh sb="3" eb="4">
      <t>ビ</t>
    </rPh>
    <rPh sb="5" eb="8">
      <t>ミセッテイ</t>
    </rPh>
    <rPh sb="9" eb="11">
      <t>バアイ</t>
    </rPh>
    <rPh sb="12" eb="14">
      <t>ハッチュウ</t>
    </rPh>
    <rPh sb="14" eb="16">
      <t>ヨテイ</t>
    </rPh>
    <rPh sb="16" eb="17">
      <t>ビ</t>
    </rPh>
    <rPh sb="18" eb="20">
      <t>サンショウ</t>
    </rPh>
    <phoneticPr fontId="3"/>
  </si>
  <si>
    <t>ヘッダ</t>
    <phoneticPr fontId="3"/>
  </si>
  <si>
    <t>発注先</t>
  </si>
  <si>
    <t>明細</t>
    <rPh sb="0" eb="2">
      <t>メイサイ</t>
    </rPh>
    <phoneticPr fontId="3"/>
  </si>
  <si>
    <t>品目</t>
    <rPh sb="0" eb="2">
      <t>ヒンモク</t>
    </rPh>
    <phoneticPr fontId="3"/>
  </si>
  <si>
    <t>-</t>
  </si>
  <si>
    <t>-</t>
    <phoneticPr fontId="3"/>
  </si>
  <si>
    <t>-</t>
    <phoneticPr fontId="3"/>
  </si>
  <si>
    <t>明細</t>
    <rPh sb="0" eb="1">
      <t>メイサイ</t>
    </rPh>
    <phoneticPr fontId="3"/>
  </si>
  <si>
    <t>項目</t>
    <rPh sb="0" eb="2">
      <t>コウモク</t>
    </rPh>
    <phoneticPr fontId="3"/>
  </si>
  <si>
    <t>オブジェクト</t>
    <phoneticPr fontId="3"/>
  </si>
  <si>
    <t>ＤＢ項目</t>
    <rPh sb="2" eb="4">
      <t>コウモク</t>
    </rPh>
    <phoneticPr fontId="3"/>
  </si>
  <si>
    <t>備考</t>
    <rPh sb="0" eb="2">
      <t>ビコウ</t>
    </rPh>
    <phoneticPr fontId="3"/>
  </si>
  <si>
    <t>固定値：オフ</t>
    <rPh sb="0" eb="2">
      <t>コテイチ</t>
    </rPh>
    <phoneticPr fontId="3"/>
  </si>
  <si>
    <t>設定しない</t>
    <rPh sb="0" eb="2">
      <t>セッテイ</t>
    </rPh>
    <phoneticPr fontId="3"/>
  </si>
  <si>
    <t>納入場所ＷＧ</t>
    <phoneticPr fontId="3"/>
  </si>
  <si>
    <t>検査予定</t>
  </si>
  <si>
    <t>テーブル名</t>
    <rPh sb="4" eb="5">
      <t>メイ</t>
    </rPh>
    <phoneticPr fontId="3"/>
  </si>
  <si>
    <t>（新規追加のみ）</t>
  </si>
  <si>
    <t>手動初物判定</t>
    <rPh sb="0" eb="2">
      <t>シュドウ</t>
    </rPh>
    <rPh sb="2" eb="4">
      <t>ハツモノ</t>
    </rPh>
    <rPh sb="4" eb="6">
      <t>ハンテイ</t>
    </rPh>
    <phoneticPr fontId="3"/>
  </si>
  <si>
    <t>初物</t>
    <rPh sb="0" eb="2">
      <t>ハツモノ</t>
    </rPh>
    <phoneticPr fontId="3"/>
  </si>
  <si>
    <t>購入仕様書ＮＯ</t>
    <phoneticPr fontId="3"/>
  </si>
  <si>
    <t>初物判定</t>
    <phoneticPr fontId="3"/>
  </si>
  <si>
    <t>※初物判定テーブルはレコード追加のみで、既にキーが一致するデータが存在する場合は更新しない。</t>
    <rPh sb="14" eb="16">
      <t>ツイカ</t>
    </rPh>
    <rPh sb="20" eb="21">
      <t>スデ</t>
    </rPh>
    <rPh sb="25" eb="27">
      <t>イッチ</t>
    </rPh>
    <rPh sb="33" eb="35">
      <t>ソンザイ</t>
    </rPh>
    <rPh sb="37" eb="39">
      <t>バアイ</t>
    </rPh>
    <rPh sb="40" eb="42">
      <t>コウシン</t>
    </rPh>
    <phoneticPr fontId="3"/>
  </si>
  <si>
    <t>定数：初物判定種別．購買</t>
    <rPh sb="0" eb="2">
      <t>テイスウ</t>
    </rPh>
    <rPh sb="3" eb="5">
      <t>ハツモノ</t>
    </rPh>
    <rPh sb="5" eb="7">
      <t>ハンテイ</t>
    </rPh>
    <rPh sb="7" eb="9">
      <t>シュベツ</t>
    </rPh>
    <rPh sb="10" eb="12">
      <t>コウバイ</t>
    </rPh>
    <phoneticPr fontId="3"/>
  </si>
  <si>
    <t>初物判定済ＦＬＧ</t>
    <phoneticPr fontId="3"/>
  </si>
  <si>
    <t>初物判定種別</t>
    <rPh sb="4" eb="6">
      <t>シュベツ</t>
    </rPh>
    <phoneticPr fontId="3"/>
  </si>
  <si>
    <t>初物判定種別</t>
    <rPh sb="0" eb="2">
      <t>ハツモノ</t>
    </rPh>
    <rPh sb="2" eb="4">
      <t>ハンテイ</t>
    </rPh>
    <rPh sb="4" eb="6">
      <t>シュベツ</t>
    </rPh>
    <phoneticPr fontId="3"/>
  </si>
  <si>
    <t>-</t>
    <phoneticPr fontId="3"/>
  </si>
  <si>
    <t>発注明細</t>
    <rPh sb="0" eb="2">
      <t>ハッチュウ</t>
    </rPh>
    <rPh sb="2" eb="4">
      <t>メイサイ</t>
    </rPh>
    <phoneticPr fontId="3"/>
  </si>
  <si>
    <t>購入仕様書ＮＯ</t>
    <phoneticPr fontId="3"/>
  </si>
  <si>
    <t>購入仕様書ＮＯ</t>
    <phoneticPr fontId="3"/>
  </si>
  <si>
    <t>初物判定済ＦＬＧ</t>
    <phoneticPr fontId="3"/>
  </si>
  <si>
    <t>相手先工場の受注データを自動作成</t>
    <phoneticPr fontId="3"/>
  </si>
  <si>
    <t>社内他工場への発注登録時に、相手先工場の受注データを自動作成する。</t>
    <phoneticPr fontId="3"/>
  </si>
  <si>
    <t>・</t>
    <phoneticPr fontId="3"/>
  </si>
  <si>
    <t>社内他工場の判断条件</t>
    <rPh sb="0" eb="2">
      <t>シャナイ</t>
    </rPh>
    <rPh sb="2" eb="5">
      <t>タコウジョウ</t>
    </rPh>
    <rPh sb="6" eb="8">
      <t>ハンダン</t>
    </rPh>
    <rPh sb="8" eb="10">
      <t>ジョウケン</t>
    </rPh>
    <phoneticPr fontId="3"/>
  </si>
  <si>
    <t>発注先にひもづく取引先マスタの「社内取引対象ＦＬＧ」（追加項目）がオンに設定されている。</t>
    <rPh sb="0" eb="2">
      <t>ハッチュウ</t>
    </rPh>
    <rPh sb="2" eb="3">
      <t>サキ</t>
    </rPh>
    <rPh sb="8" eb="10">
      <t>トリヒキ</t>
    </rPh>
    <rPh sb="10" eb="11">
      <t>サキ</t>
    </rPh>
    <rPh sb="16" eb="18">
      <t>シャナイ</t>
    </rPh>
    <rPh sb="18" eb="20">
      <t>トリヒキ</t>
    </rPh>
    <rPh sb="20" eb="22">
      <t>タイショウ</t>
    </rPh>
    <rPh sb="27" eb="29">
      <t>ツイカ</t>
    </rPh>
    <rPh sb="29" eb="31">
      <t>コウモク</t>
    </rPh>
    <rPh sb="36" eb="38">
      <t>セッテイ</t>
    </rPh>
    <phoneticPr fontId="3"/>
  </si>
  <si>
    <t>・発注の登録、訂正を行う。
・発注明細の「手動初物判定ＦＬＧ」と「初物ＦＬＧ」を検査予定の「手動初物判定ＦＬＧ」と「初物ＦＬＧ」へ反映する。
・発注先が社内他工場の場合、相手先工場の受注データを作成する。</t>
    <rPh sb="15" eb="17">
      <t>ハッチュウ</t>
    </rPh>
    <rPh sb="17" eb="19">
      <t>メイサイ</t>
    </rPh>
    <rPh sb="21" eb="23">
      <t>シュドウ</t>
    </rPh>
    <rPh sb="23" eb="25">
      <t>ハツモノ</t>
    </rPh>
    <rPh sb="25" eb="27">
      <t>ハンテイ</t>
    </rPh>
    <rPh sb="33" eb="35">
      <t>ハツモノ</t>
    </rPh>
    <rPh sb="40" eb="42">
      <t>ケンサ</t>
    </rPh>
    <rPh sb="42" eb="44">
      <t>ヨテイ</t>
    </rPh>
    <rPh sb="65" eb="67">
      <t>ハンエイ</t>
    </rPh>
    <rPh sb="72" eb="74">
      <t>ハッチュウ</t>
    </rPh>
    <rPh sb="74" eb="75">
      <t>サキ</t>
    </rPh>
    <rPh sb="82" eb="84">
      <t>バアイ</t>
    </rPh>
    <phoneticPr fontId="3"/>
  </si>
  <si>
    <t>非表示とする。</t>
    <rPh sb="0" eb="3">
      <t>ヒヒョウジ</t>
    </rPh>
    <phoneticPr fontId="3"/>
  </si>
  <si>
    <t>初物ＦＬＧ</t>
    <rPh sb="0" eb="2">
      <t>ハツモノ</t>
    </rPh>
    <phoneticPr fontId="3"/>
  </si>
  <si>
    <t>手動初物判定ＦＬＧ</t>
    <rPh sb="0" eb="2">
      <t>シュドウ</t>
    </rPh>
    <rPh sb="2" eb="4">
      <t>ハツモノ</t>
    </rPh>
    <rPh sb="4" eb="6">
      <t>ハンテイ</t>
    </rPh>
    <phoneticPr fontId="3"/>
  </si>
  <si>
    <t>１．</t>
    <phoneticPr fontId="3"/>
  </si>
  <si>
    <t>２．</t>
  </si>
  <si>
    <t>搬入口名</t>
    <rPh sb="3" eb="4">
      <t>メイ</t>
    </rPh>
    <phoneticPr fontId="3"/>
  </si>
  <si>
    <t>・</t>
  </si>
  <si>
    <t>発注を登録し、注文書を発行する。</t>
  </si>
  <si>
    <t>発注予定をもとにして発注を行う。（発注一覧登録で発注予定を検索して本画面に遷移する）</t>
  </si>
  <si>
    <t>計画外（発注予定に紐づかない）の発注を登録する。</t>
  </si>
  <si>
    <t>注文書を発行する。</t>
  </si>
  <si>
    <t>画面のフッタの「注文書発行」をオンにして登録すると、登録と同時に注文書を発行できる。</t>
  </si>
  <si>
    <t>複数の発注予定をまとめて1つの発注明細として登録を行う。</t>
  </si>
  <si>
    <t>【カスタマイズ概要】</t>
  </si>
  <si>
    <t>初物判定処理のため以下の項目を画面の明細に追加する。</t>
  </si>
  <si>
    <t>手動初物判定ＦＬＧ、初物ＦＬＧ</t>
  </si>
  <si>
    <t>（ヘッダ）発注先、納入先ＷＧ、（明細）品目、発注日、発注予定日、手動初物判定</t>
  </si>
  <si>
    <t>初物判定結果に関わらず、手動で初物設定することが出来る。</t>
  </si>
  <si>
    <t>登録・訂正時に初物判定結果を検査予定に反映する。</t>
  </si>
  <si>
    <t>品質保証Ｇへの連絡事項を「検査連絡備考」へ入力し、検査予定へ連携する。</t>
  </si>
  <si>
    <t>取引先マスタの帳票ロケールがja_JPの場合は注文書(日本語)、en_USの場合は英文注文書を出力する。</t>
  </si>
  <si>
    <t>注文書(日本語)を出力する場合は、発注先ごとにまとめてプリンタに出力する。</t>
  </si>
  <si>
    <t>英文注文書を出力する場合は、発注ＮＯ＋発注改訂番号ごとにExcelファイルに出力する。</t>
  </si>
  <si>
    <t>画面フッターの「納品書ＦＬＧ」はオフ固定で非表示とする。</t>
  </si>
  <si>
    <t>社内他工場への発注登録時に、相手先工場の受注データを自動作成する。</t>
  </si>
  <si>
    <t>（「補助説明書」シートの「２．相手先工場の受注データを自動作成」を参照）</t>
  </si>
  <si>
    <t>※承認対象外の場合は発注時に、承認対象の場合は承認時に受注データを自動作成する。</t>
  </si>
  <si>
    <t>発注先の決定時に、「注文書備考」をコメントマスタから初期表示する。</t>
  </si>
  <si>
    <t>発注先の決定時に、画面の「取引先条件１～３」に取引先マスタの「発注先取引条件の１～３」を初期表示する。</t>
  </si>
  <si>
    <t>画面に「支払条件」を追加し、発注先選択時に取引先マスタの支払条件を初期設定する。</t>
  </si>
  <si>
    <t>画面の明細に「搬入口」を追加し、搬入口を選択できるようにする。</t>
  </si>
  <si>
    <t>他工場への発注において、外部委託先や納品先への直送を行わない。</t>
  </si>
  <si>
    <t>発注の変更、取消時に他工場の受注への連携は行わない。</t>
  </si>
  <si>
    <t>初物判定種別</t>
  </si>
  <si>
    <t>初物判定済ＦＬＧ</t>
  </si>
  <si>
    <t>定数.文字列定数</t>
    <rPh sb="0" eb="2">
      <t>テイスウ</t>
    </rPh>
    <rPh sb="3" eb="6">
      <t>モジレツ</t>
    </rPh>
    <rPh sb="6" eb="8">
      <t>テイスウ</t>
    </rPh>
    <phoneticPr fontId="3"/>
  </si>
  <si>
    <t>ＮＵＬＬ文字</t>
    <rPh sb="4" eb="6">
      <t>モジ</t>
    </rPh>
    <phoneticPr fontId="3"/>
  </si>
  <si>
    <t>・搬入口ＣＤを選択する。(リストの一覧は汎用マスタから取得する)
・搬入口ＣＤに紐づく搬入口名を表示する。</t>
    <rPh sb="1" eb="3">
      <t>ハンニュウ</t>
    </rPh>
    <rPh sb="3" eb="4">
      <t>グチ</t>
    </rPh>
    <rPh sb="7" eb="9">
      <t>センタク</t>
    </rPh>
    <rPh sb="17" eb="19">
      <t>イチラン</t>
    </rPh>
    <rPh sb="27" eb="29">
      <t>シュトク</t>
    </rPh>
    <rPh sb="40" eb="41">
      <t>ヒモ</t>
    </rPh>
    <rPh sb="46" eb="47">
      <t>メイ</t>
    </rPh>
    <rPh sb="48" eb="50">
      <t>ヒョウジ</t>
    </rPh>
    <phoneticPr fontId="3"/>
  </si>
  <si>
    <t>検査あり、または、輸入の場合は画面の明細の「同時計上ＦＬＧ」を編集不可でオフ固定とする。</t>
    <rPh sb="0" eb="2">
      <t>ケンサ</t>
    </rPh>
    <rPh sb="9" eb="11">
      <t>ユニュウ</t>
    </rPh>
    <rPh sb="12" eb="14">
      <t>バアイ</t>
    </rPh>
    <rPh sb="15" eb="17">
      <t>ガメン</t>
    </rPh>
    <rPh sb="18" eb="20">
      <t>メイサイ</t>
    </rPh>
    <phoneticPr fontId="3"/>
  </si>
  <si>
    <t>・</t>
    <phoneticPr fontId="3"/>
  </si>
  <si>
    <t>検査あり：品目品管マスタと品目検査パタンマスタが登録されている品目。</t>
    <rPh sb="0" eb="2">
      <t>ケンサ</t>
    </rPh>
    <rPh sb="5" eb="7">
      <t>ヒンモク</t>
    </rPh>
    <rPh sb="7" eb="9">
      <t>ヒンカン</t>
    </rPh>
    <rPh sb="13" eb="15">
      <t>ヒンモク</t>
    </rPh>
    <rPh sb="15" eb="17">
      <t>ケンサ</t>
    </rPh>
    <rPh sb="24" eb="26">
      <t>トウロク</t>
    </rPh>
    <rPh sb="31" eb="33">
      <t>ヒンモク</t>
    </rPh>
    <phoneticPr fontId="3"/>
  </si>
  <si>
    <t>輸入：取引先マスタの発注先インボイス取引ＦＬＧがオンの発注先。</t>
    <rPh sb="0" eb="2">
      <t>ユニュウ</t>
    </rPh>
    <rPh sb="3" eb="5">
      <t>トリヒキ</t>
    </rPh>
    <rPh sb="5" eb="6">
      <t>サキ</t>
    </rPh>
    <rPh sb="27" eb="29">
      <t>ハッチュウ</t>
    </rPh>
    <rPh sb="29" eb="30">
      <t>サキ</t>
    </rPh>
    <phoneticPr fontId="3"/>
  </si>
  <si>
    <t>同時計上ＦＬＧがオフの場合は、入荷と仕入を別々に登録する必要がある。</t>
    <rPh sb="0" eb="2">
      <t>ドウジ</t>
    </rPh>
    <rPh sb="2" eb="4">
      <t>ケイジョウ</t>
    </rPh>
    <rPh sb="11" eb="13">
      <t>バアイ</t>
    </rPh>
    <rPh sb="15" eb="17">
      <t>ニュウカ</t>
    </rPh>
    <rPh sb="18" eb="20">
      <t>シイレ</t>
    </rPh>
    <rPh sb="21" eb="23">
      <t>ベツベツ</t>
    </rPh>
    <rPh sb="24" eb="26">
      <t>トウロク</t>
    </rPh>
    <rPh sb="28" eb="30">
      <t>ヒツヨウ</t>
    </rPh>
    <phoneticPr fontId="3"/>
  </si>
  <si>
    <t>※WGは必ず設定する。</t>
    <rPh sb="4" eb="5">
      <t>カナラ</t>
    </rPh>
    <rPh sb="6" eb="8">
      <t>セッテイ</t>
    </rPh>
    <phoneticPr fontId="3"/>
  </si>
  <si>
    <t>※初物判定データが取得できない場合、初物判定済ＦＬをオフとして後続の処理を進める。</t>
    <rPh sb="18" eb="20">
      <t>ハツモノ</t>
    </rPh>
    <rPh sb="20" eb="22">
      <t>ハンテイ</t>
    </rPh>
    <rPh sb="31" eb="33">
      <t>コウゾク</t>
    </rPh>
    <rPh sb="34" eb="36">
      <t>ショリ</t>
    </rPh>
    <rPh sb="37" eb="38">
      <t>スス</t>
    </rPh>
    <phoneticPr fontId="3"/>
  </si>
  <si>
    <t>初物再判定</t>
    <rPh sb="0" eb="2">
      <t>ハツモノ</t>
    </rPh>
    <rPh sb="2" eb="5">
      <t>サイハンテイ</t>
    </rPh>
    <phoneticPr fontId="12"/>
  </si>
  <si>
    <t>-</t>
    <phoneticPr fontId="3"/>
  </si>
  <si>
    <t>一覧の選択がオンになっている品目に対して、初物再判定を行う。
購入仕様書ＮＯは再取得、手動初物判定ＦＬＧはオフ、初物ＦＬＧは再判定結果を設定する。</t>
    <rPh sb="0" eb="2">
      <t>イチラン</t>
    </rPh>
    <rPh sb="3" eb="5">
      <t>センタク</t>
    </rPh>
    <rPh sb="14" eb="16">
      <t>ヒンモク</t>
    </rPh>
    <rPh sb="17" eb="18">
      <t>タイ</t>
    </rPh>
    <rPh sb="21" eb="23">
      <t>ハツモノ</t>
    </rPh>
    <rPh sb="23" eb="26">
      <t>サイハンテイ</t>
    </rPh>
    <rPh sb="27" eb="28">
      <t>オコナ</t>
    </rPh>
    <rPh sb="31" eb="33">
      <t>コウニュウ</t>
    </rPh>
    <rPh sb="33" eb="36">
      <t>シヨウショ</t>
    </rPh>
    <rPh sb="39" eb="42">
      <t>サイシュトク</t>
    </rPh>
    <rPh sb="43" eb="45">
      <t>シュドウ</t>
    </rPh>
    <rPh sb="45" eb="47">
      <t>ハツモノ</t>
    </rPh>
    <rPh sb="47" eb="49">
      <t>ハンテイ</t>
    </rPh>
    <rPh sb="56" eb="58">
      <t>ハツモノ</t>
    </rPh>
    <rPh sb="62" eb="65">
      <t>サイハンテイ</t>
    </rPh>
    <rPh sb="65" eb="67">
      <t>ケッカ</t>
    </rPh>
    <rPh sb="68" eb="70">
      <t>セッテイ</t>
    </rPh>
    <phoneticPr fontId="3"/>
  </si>
  <si>
    <t>初物再判定</t>
    <rPh sb="0" eb="2">
      <t>ハツモノ</t>
    </rPh>
    <rPh sb="2" eb="5">
      <t>サイハンテイ</t>
    </rPh>
    <phoneticPr fontId="3"/>
  </si>
  <si>
    <t>ボタン押下</t>
    <rPh sb="3" eb="5">
      <t>オウカ</t>
    </rPh>
    <phoneticPr fontId="3"/>
  </si>
  <si>
    <t>金額0円で発注を登録できるようにする。</t>
    <rPh sb="0" eb="2">
      <t>キンガク</t>
    </rPh>
    <rPh sb="3" eb="4">
      <t>エン</t>
    </rPh>
    <rPh sb="5" eb="7">
      <t>ハッチュウ</t>
    </rPh>
    <rPh sb="8" eb="10">
      <t>トウロク</t>
    </rPh>
    <phoneticPr fontId="3"/>
  </si>
  <si>
    <t>以下の条件に合致する場合、発注の登録を行った際に受注の登録を自動で行う。</t>
    <rPh sb="0" eb="2">
      <t>イカ</t>
    </rPh>
    <rPh sb="3" eb="5">
      <t>ジョウケン</t>
    </rPh>
    <rPh sb="6" eb="8">
      <t>ガッチ</t>
    </rPh>
    <rPh sb="10" eb="12">
      <t>バアイ</t>
    </rPh>
    <rPh sb="13" eb="15">
      <t>ハッチュウ</t>
    </rPh>
    <rPh sb="16" eb="18">
      <t>トウロク</t>
    </rPh>
    <rPh sb="19" eb="20">
      <t>オコナ</t>
    </rPh>
    <rPh sb="22" eb="23">
      <t>サイ</t>
    </rPh>
    <rPh sb="24" eb="26">
      <t>ジュチュウ</t>
    </rPh>
    <rPh sb="30" eb="32">
      <t>ジドウ</t>
    </rPh>
    <rPh sb="33" eb="34">
      <t>オコナ</t>
    </rPh>
    <phoneticPr fontId="3"/>
  </si>
  <si>
    <t>取引先マスタ．ワーキンググループＣＤ＝画面の購買部門ＣＤに紐づく部門マスタのワーキンググループＣＤ</t>
    <rPh sb="0" eb="2">
      <t>トリヒキ</t>
    </rPh>
    <rPh sb="2" eb="3">
      <t>サキ</t>
    </rPh>
    <rPh sb="19" eb="21">
      <t>ガメン</t>
    </rPh>
    <rPh sb="22" eb="24">
      <t>コウバイ</t>
    </rPh>
    <rPh sb="24" eb="26">
      <t>ブモン</t>
    </rPh>
    <rPh sb="29" eb="30">
      <t>ヒモ</t>
    </rPh>
    <rPh sb="32" eb="34">
      <t>ブモン</t>
    </rPh>
    <phoneticPr fontId="3"/>
  </si>
  <si>
    <t>以下の条件で取得した取引先マスタの取引先ＣＤを得意先、納品先とする。</t>
    <rPh sb="0" eb="2">
      <t>イカ</t>
    </rPh>
    <rPh sb="3" eb="5">
      <t>ジョウケン</t>
    </rPh>
    <rPh sb="6" eb="8">
      <t>シュトク</t>
    </rPh>
    <rPh sb="10" eb="12">
      <t>トリヒキ</t>
    </rPh>
    <rPh sb="12" eb="13">
      <t>サキ</t>
    </rPh>
    <rPh sb="17" eb="19">
      <t>トリヒキ</t>
    </rPh>
    <rPh sb="19" eb="20">
      <t>サキ</t>
    </rPh>
    <rPh sb="23" eb="26">
      <t>トクイサキ</t>
    </rPh>
    <rPh sb="27" eb="29">
      <t>ノウヒン</t>
    </rPh>
    <rPh sb="29" eb="30">
      <t>サキ</t>
    </rPh>
    <phoneticPr fontId="3"/>
  </si>
  <si>
    <t>受注の得意先、納品先について</t>
    <rPh sb="0" eb="2">
      <t>ジュチュウ</t>
    </rPh>
    <rPh sb="3" eb="6">
      <t>トクイサキ</t>
    </rPh>
    <rPh sb="7" eb="9">
      <t>ノウヒン</t>
    </rPh>
    <rPh sb="9" eb="10">
      <t>サキ</t>
    </rPh>
    <phoneticPr fontId="3"/>
  </si>
  <si>
    <t>※複数件取得できた場合は、取引先ＣＤの昇順で最初の1件目を使用する。</t>
    <rPh sb="1" eb="3">
      <t>フクスウ</t>
    </rPh>
    <rPh sb="3" eb="4">
      <t>ケン</t>
    </rPh>
    <rPh sb="4" eb="6">
      <t>シュトク</t>
    </rPh>
    <rPh sb="9" eb="11">
      <t>バアイ</t>
    </rPh>
    <rPh sb="13" eb="15">
      <t>トリヒキ</t>
    </rPh>
    <rPh sb="15" eb="16">
      <t>サキ</t>
    </rPh>
    <rPh sb="19" eb="21">
      <t>ショウジュン</t>
    </rPh>
    <rPh sb="22" eb="24">
      <t>サイショ</t>
    </rPh>
    <rPh sb="26" eb="27">
      <t>ケン</t>
    </rPh>
    <rPh sb="27" eb="28">
      <t>メ</t>
    </rPh>
    <rPh sb="29" eb="31">
      <t>シヨウ</t>
    </rPh>
    <phoneticPr fontId="3"/>
  </si>
  <si>
    <t>更新ボタン押下時の初物情報の連携先。手動初物判定がオンの場合も全てのテーブルに連携する。</t>
    <rPh sb="0" eb="2">
      <t>コウシン</t>
    </rPh>
    <rPh sb="5" eb="7">
      <t>オウカ</t>
    </rPh>
    <rPh sb="7" eb="8">
      <t>ジ</t>
    </rPh>
    <rPh sb="9" eb="11">
      <t>ハツモノ</t>
    </rPh>
    <rPh sb="11" eb="13">
      <t>ジョウホウ</t>
    </rPh>
    <rPh sb="14" eb="16">
      <t>レンケイ</t>
    </rPh>
    <rPh sb="16" eb="17">
      <t>サキ</t>
    </rPh>
    <rPh sb="18" eb="20">
      <t>シュドウ</t>
    </rPh>
    <rPh sb="20" eb="22">
      <t>ハツモノ</t>
    </rPh>
    <rPh sb="22" eb="24">
      <t>ハンテイ</t>
    </rPh>
    <rPh sb="28" eb="30">
      <t>バアイ</t>
    </rPh>
    <rPh sb="31" eb="32">
      <t>スベ</t>
    </rPh>
    <rPh sb="39" eb="41">
      <t>レンケイ</t>
    </rPh>
    <phoneticPr fontId="3"/>
  </si>
  <si>
    <t>内部レビュー指摘を反映</t>
    <rPh sb="0" eb="2">
      <t>ナイブ</t>
    </rPh>
    <rPh sb="6" eb="8">
      <t>シテキ</t>
    </rPh>
    <rPh sb="9" eb="11">
      <t>ハンエイ</t>
    </rPh>
    <phoneticPr fontId="3"/>
  </si>
  <si>
    <t>九州工場と北陸工場とで別々に初物判定を行う。(他工場で良品と判定された購入仕様書ＮＯでも自工場では初物と判定する。)</t>
    <rPh sb="0" eb="2">
      <t>キュウシュウ</t>
    </rPh>
    <rPh sb="2" eb="4">
      <t>コウジョウ</t>
    </rPh>
    <rPh sb="5" eb="7">
      <t>ホクリク</t>
    </rPh>
    <rPh sb="7" eb="9">
      <t>コウジョウ</t>
    </rPh>
    <rPh sb="11" eb="13">
      <t>ベツベツ</t>
    </rPh>
    <rPh sb="14" eb="16">
      <t>ハツモノ</t>
    </rPh>
    <rPh sb="16" eb="18">
      <t>ハンテイ</t>
    </rPh>
    <rPh sb="19" eb="20">
      <t>オコナ</t>
    </rPh>
    <rPh sb="23" eb="26">
      <t>タコウジョウ</t>
    </rPh>
    <rPh sb="27" eb="29">
      <t>リョウヒン</t>
    </rPh>
    <rPh sb="30" eb="32">
      <t>ハンテイ</t>
    </rPh>
    <rPh sb="35" eb="37">
      <t>コウニュウ</t>
    </rPh>
    <rPh sb="37" eb="40">
      <t>シヨウショ</t>
    </rPh>
    <rPh sb="44" eb="45">
      <t>ジ</t>
    </rPh>
    <rPh sb="45" eb="47">
      <t>コウジョウ</t>
    </rPh>
    <rPh sb="49" eb="51">
      <t>ハツモノ</t>
    </rPh>
    <rPh sb="52" eb="54">
      <t>ハンテイ</t>
    </rPh>
    <phoneticPr fontId="3"/>
  </si>
  <si>
    <t>ユーザレビュー時の説明事項を前提事項に追記</t>
    <rPh sb="7" eb="8">
      <t>ジ</t>
    </rPh>
    <rPh sb="9" eb="11">
      <t>セツメイ</t>
    </rPh>
    <rPh sb="11" eb="13">
      <t>ジコウ</t>
    </rPh>
    <rPh sb="14" eb="16">
      <t>ゼンテイ</t>
    </rPh>
    <rPh sb="16" eb="18">
      <t>ジコウ</t>
    </rPh>
    <rPh sb="19" eb="21">
      <t>ツイキ</t>
    </rPh>
    <phoneticPr fontId="3"/>
  </si>
  <si>
    <t>調達Gユーザレビューの指摘を反映</t>
    <rPh sb="0" eb="2">
      <t>チョウタツ</t>
    </rPh>
    <rPh sb="11" eb="13">
      <t>シテキ</t>
    </rPh>
    <rPh sb="14" eb="16">
      <t>ハンエイ</t>
    </rPh>
    <phoneticPr fontId="3"/>
  </si>
  <si>
    <t>※取得した購入仕様書№(メモ１)が空白の場合は、初物でないと判定し後続の処理を行わない。</t>
    <rPh sb="1" eb="3">
      <t>シュトク</t>
    </rPh>
    <rPh sb="5" eb="7">
      <t>コウニュウ</t>
    </rPh>
    <rPh sb="7" eb="10">
      <t>シヨウショ</t>
    </rPh>
    <rPh sb="17" eb="19">
      <t>クウハク</t>
    </rPh>
    <rPh sb="20" eb="22">
      <t>バアイ</t>
    </rPh>
    <rPh sb="24" eb="26">
      <t>ハツモノ</t>
    </rPh>
    <rPh sb="30" eb="32">
      <t>ハンテイ</t>
    </rPh>
    <rPh sb="33" eb="35">
      <t>コウゾク</t>
    </rPh>
    <rPh sb="36" eb="38">
      <t>ショリ</t>
    </rPh>
    <rPh sb="39" eb="40">
      <t>オコナ</t>
    </rPh>
    <phoneticPr fontId="3"/>
  </si>
  <si>
    <t>購入仕様書ＮＯが設定されていない場合は、初物でないと判定する。(調達Gは購入仕様書ＮＯを設定しないため、初物と判定しない。)</t>
    <rPh sb="0" eb="2">
      <t>コウニュウ</t>
    </rPh>
    <rPh sb="2" eb="5">
      <t>シヨウショ</t>
    </rPh>
    <rPh sb="8" eb="10">
      <t>セッテイ</t>
    </rPh>
    <rPh sb="16" eb="18">
      <t>バアイ</t>
    </rPh>
    <rPh sb="20" eb="22">
      <t>ハツモノ</t>
    </rPh>
    <rPh sb="26" eb="28">
      <t>ハンテイ</t>
    </rPh>
    <rPh sb="32" eb="34">
      <t>チョウタツ</t>
    </rPh>
    <rPh sb="36" eb="38">
      <t>コウニュウ</t>
    </rPh>
    <rPh sb="38" eb="41">
      <t>シヨウショ</t>
    </rPh>
    <rPh sb="44" eb="46">
      <t>セッテイ</t>
    </rPh>
    <rPh sb="52" eb="54">
      <t>ハツモノ</t>
    </rPh>
    <rPh sb="55" eb="57">
      <t>ハンテイ</t>
    </rPh>
    <phoneticPr fontId="3"/>
  </si>
  <si>
    <t>基本設計フェーズ成果物として納品</t>
    <rPh sb="0" eb="2">
      <t>キホン</t>
    </rPh>
    <rPh sb="2" eb="4">
      <t>セッケイ</t>
    </rPh>
    <phoneticPr fontId="3"/>
  </si>
  <si>
    <t>3.</t>
    <phoneticPr fontId="3"/>
  </si>
  <si>
    <t>2.</t>
    <phoneticPr fontId="3"/>
  </si>
  <si>
    <t>BR-SX-2120_画面設計書_MSBDP0080_発注登録_r01.00をもとに新規作成</t>
    <rPh sb="42" eb="44">
      <t>シンキ</t>
    </rPh>
    <rPh sb="44" eb="46">
      <t>サクセイ</t>
    </rPh>
    <phoneticPr fontId="3"/>
  </si>
  <si>
    <t>基本設計部「項目仕様」シートの同時計上FLGを修正</t>
    <rPh sb="0" eb="2">
      <t>キホン</t>
    </rPh>
    <rPh sb="2" eb="4">
      <t>セッケイ</t>
    </rPh>
    <rPh sb="4" eb="5">
      <t>ブ</t>
    </rPh>
    <rPh sb="15" eb="17">
      <t>ドウジ</t>
    </rPh>
    <rPh sb="17" eb="19">
      <t>ケイジョウ</t>
    </rPh>
    <rPh sb="23" eb="25">
      <t>シュウセイ</t>
    </rPh>
    <phoneticPr fontId="3"/>
  </si>
  <si>
    <t>入力制御</t>
    <phoneticPr fontId="3"/>
  </si>
  <si>
    <t>システム</t>
    <phoneticPr fontId="3"/>
  </si>
  <si>
    <t>プロジェクト</t>
    <phoneticPr fontId="3"/>
  </si>
  <si>
    <t>ｻﾌﾞｼｽﾃﾑ</t>
    <phoneticPr fontId="3"/>
  </si>
  <si>
    <t>１．</t>
    <phoneticPr fontId="3"/>
  </si>
  <si>
    <t>種別</t>
    <rPh sb="0" eb="2">
      <t>シュベツ</t>
    </rPh>
    <phoneticPr fontId="3"/>
  </si>
  <si>
    <t>登録する</t>
    <rPh sb="0" eb="2">
      <t>トウロク</t>
    </rPh>
    <phoneticPr fontId="3"/>
  </si>
  <si>
    <t>○</t>
    <phoneticPr fontId="3"/>
  </si>
  <si>
    <t>必須</t>
    <rPh sb="0" eb="2">
      <t>ヒッス</t>
    </rPh>
    <phoneticPr fontId="3"/>
  </si>
  <si>
    <t>・・・</t>
    <phoneticPr fontId="3"/>
  </si>
  <si>
    <t>必須入力</t>
    <rPh sb="0" eb="2">
      <t>ヒッス</t>
    </rPh>
    <rPh sb="2" eb="4">
      <t>ニュウリョク</t>
    </rPh>
    <phoneticPr fontId="3"/>
  </si>
  <si>
    <t>訂正する</t>
    <rPh sb="0" eb="2">
      <t>テイセイ</t>
    </rPh>
    <phoneticPr fontId="3"/>
  </si>
  <si>
    <t>可</t>
    <rPh sb="0" eb="1">
      <t>カ</t>
    </rPh>
    <phoneticPr fontId="3"/>
  </si>
  <si>
    <t>入力・押下可能</t>
    <rPh sb="0" eb="2">
      <t>ニュウリョク</t>
    </rPh>
    <rPh sb="3" eb="5">
      <t>オウカ</t>
    </rPh>
    <rPh sb="5" eb="7">
      <t>カノウ</t>
    </rPh>
    <phoneticPr fontId="3"/>
  </si>
  <si>
    <t>取り消す</t>
    <rPh sb="0" eb="1">
      <t>ト</t>
    </rPh>
    <rPh sb="2" eb="3">
      <t>ケ</t>
    </rPh>
    <phoneticPr fontId="3"/>
  </si>
  <si>
    <t>不可</t>
    <rPh sb="0" eb="2">
      <t>フカ</t>
    </rPh>
    <phoneticPr fontId="3"/>
  </si>
  <si>
    <t>読取専用・非活性</t>
    <rPh sb="0" eb="2">
      <t>ヨミトリ</t>
    </rPh>
    <rPh sb="2" eb="4">
      <t>センヨウ</t>
    </rPh>
    <rPh sb="5" eb="6">
      <t>ヒ</t>
    </rPh>
    <rPh sb="6" eb="8">
      <t>カッセイ</t>
    </rPh>
    <phoneticPr fontId="3"/>
  </si>
  <si>
    <t>参照する</t>
    <rPh sb="0" eb="2">
      <t>サンショウ</t>
    </rPh>
    <phoneticPr fontId="3"/>
  </si>
  <si>
    <t>条件</t>
    <rPh sb="0" eb="2">
      <t>ジョウケン</t>
    </rPh>
    <phoneticPr fontId="3"/>
  </si>
  <si>
    <t>条件付き入力※１</t>
    <rPh sb="0" eb="2">
      <t>ジョウケン</t>
    </rPh>
    <rPh sb="2" eb="3">
      <t>ツ</t>
    </rPh>
    <rPh sb="4" eb="6">
      <t>ニュウリョク</t>
    </rPh>
    <phoneticPr fontId="3"/>
  </si>
  <si>
    <t>処理前後</t>
    <rPh sb="0" eb="2">
      <t>ショリ</t>
    </rPh>
    <rPh sb="2" eb="4">
      <t>ゼンゴ</t>
    </rPh>
    <phoneticPr fontId="3"/>
  </si>
  <si>
    <t>検索前</t>
    <rPh sb="0" eb="2">
      <t>ケンサク</t>
    </rPh>
    <rPh sb="2" eb="3">
      <t>マエ</t>
    </rPh>
    <phoneticPr fontId="3"/>
  </si>
  <si>
    <t>-</t>
    <phoneticPr fontId="3"/>
  </si>
  <si>
    <t>非表示</t>
    <rPh sb="0" eb="3">
      <t>ヒヒョウジ</t>
    </rPh>
    <phoneticPr fontId="3"/>
  </si>
  <si>
    <t>検索後</t>
    <rPh sb="0" eb="2">
      <t>ケンサク</t>
    </rPh>
    <rPh sb="2" eb="3">
      <t>ゴ</t>
    </rPh>
    <phoneticPr fontId="3"/>
  </si>
  <si>
    <t>更新後</t>
    <rPh sb="0" eb="3">
      <t>コウシンゴ</t>
    </rPh>
    <phoneticPr fontId="3"/>
  </si>
  <si>
    <t>※１</t>
    <phoneticPr fontId="3"/>
  </si>
  <si>
    <t>条件によって制御が変わる項目</t>
    <rPh sb="0" eb="2">
      <t>ジョウケン</t>
    </rPh>
    <rPh sb="6" eb="8">
      <t>セイギョ</t>
    </rPh>
    <rPh sb="9" eb="10">
      <t>カ</t>
    </rPh>
    <rPh sb="12" eb="14">
      <t>コウモク</t>
    </rPh>
    <phoneticPr fontId="3"/>
  </si>
  <si>
    <t>その他</t>
    <rPh sb="2" eb="3">
      <t>タ</t>
    </rPh>
    <phoneticPr fontId="3"/>
  </si>
  <si>
    <t>※２</t>
    <phoneticPr fontId="3"/>
  </si>
  <si>
    <t>モード</t>
    <phoneticPr fontId="3"/>
  </si>
  <si>
    <t>[新規登録]</t>
    <rPh sb="1" eb="3">
      <t>シンキ</t>
    </rPh>
    <rPh sb="3" eb="5">
      <t>トウロク</t>
    </rPh>
    <phoneticPr fontId="3"/>
  </si>
  <si>
    <t>[検索]</t>
    <rPh sb="1" eb="3">
      <t>ケンサク</t>
    </rPh>
    <phoneticPr fontId="3"/>
  </si>
  <si>
    <t>[参照]</t>
    <rPh sb="1" eb="3">
      <t>サンショウ</t>
    </rPh>
    <phoneticPr fontId="3"/>
  </si>
  <si>
    <t>[訂正（承認中）]</t>
    <phoneticPr fontId="3"/>
  </si>
  <si>
    <t>[訂正（入荷済）]</t>
    <phoneticPr fontId="3"/>
  </si>
  <si>
    <t>[訂正]</t>
    <rPh sb="1" eb="3">
      <t>テイセイ</t>
    </rPh>
    <phoneticPr fontId="3"/>
  </si>
  <si>
    <t>○</t>
    <phoneticPr fontId="3"/>
  </si>
  <si>
    <t>※１</t>
    <phoneticPr fontId="3"/>
  </si>
  <si>
    <t>※２</t>
    <phoneticPr fontId="3"/>
  </si>
  <si>
    <t>モード</t>
    <phoneticPr fontId="3"/>
  </si>
  <si>
    <t>[取消（承認中・承認済み）]</t>
    <phoneticPr fontId="3"/>
  </si>
  <si>
    <t>[取消]</t>
    <phoneticPr fontId="3"/>
  </si>
  <si>
    <r>
      <t>[新規登録後</t>
    </r>
    <r>
      <rPr>
        <sz val="9"/>
        <rFont val="ＭＳ Ｐゴシック"/>
        <family val="3"/>
        <charset val="128"/>
      </rPr>
      <t>]</t>
    </r>
    <rPh sb="1" eb="3">
      <t>シンキ</t>
    </rPh>
    <rPh sb="3" eb="5">
      <t>トウロク</t>
    </rPh>
    <rPh sb="5" eb="6">
      <t>ゴ</t>
    </rPh>
    <phoneticPr fontId="3"/>
  </si>
  <si>
    <t>[訂正後]</t>
    <rPh sb="1" eb="3">
      <t>テイセイ</t>
    </rPh>
    <rPh sb="3" eb="4">
      <t>ゴ</t>
    </rPh>
    <phoneticPr fontId="3"/>
  </si>
  <si>
    <t>[取消後]</t>
    <rPh sb="1" eb="3">
      <t>トリケシ</t>
    </rPh>
    <rPh sb="3" eb="4">
      <t>ゴ</t>
    </rPh>
    <phoneticPr fontId="3"/>
  </si>
  <si>
    <t>承認引戻ＦＬＧオフかつ一次承認済または最終承認済</t>
    <phoneticPr fontId="3"/>
  </si>
  <si>
    <t>入荷済または仕入済または受領インボイス登録済</t>
    <phoneticPr fontId="3"/>
  </si>
  <si>
    <t>または入荷未済かつ入荷完了かつ入荷不要でない</t>
    <phoneticPr fontId="3"/>
  </si>
  <si>
    <t>または仕入未済かつ仕入完了かつＶＭＩ</t>
    <phoneticPr fontId="3"/>
  </si>
  <si>
    <t>または仕入未済かつ仕入完了かつ無償受給</t>
    <phoneticPr fontId="3"/>
  </si>
  <si>
    <t>搬入口ＣＤ</t>
  </si>
  <si>
    <t>処理詳細</t>
    <rPh sb="2" eb="4">
      <t>ショウサイ</t>
    </rPh>
    <phoneticPr fontId="3"/>
  </si>
  <si>
    <t>システム</t>
    <phoneticPr fontId="3"/>
  </si>
  <si>
    <t>No</t>
    <phoneticPr fontId="3"/>
  </si>
  <si>
    <t>C/S</t>
    <phoneticPr fontId="3"/>
  </si>
  <si>
    <t>初期表示</t>
  </si>
  <si>
    <t>C</t>
    <phoneticPr fontId="3"/>
  </si>
  <si>
    <t>1.</t>
    <phoneticPr fontId="3"/>
  </si>
  <si>
    <t>1.1</t>
    <phoneticPr fontId="3"/>
  </si>
  <si>
    <t>部品の定義</t>
    <rPh sb="0" eb="2">
      <t>ブヒン</t>
    </rPh>
    <rPh sb="3" eb="5">
      <t>テイギ</t>
    </rPh>
    <phoneticPr fontId="3"/>
  </si>
  <si>
    <t>戻り値</t>
    <rPh sb="0" eb="1">
      <t>モド</t>
    </rPh>
    <rPh sb="2" eb="3">
      <t>チ</t>
    </rPh>
    <phoneticPr fontId="3"/>
  </si>
  <si>
    <t>2.</t>
    <phoneticPr fontId="3"/>
  </si>
  <si>
    <t>2.1</t>
    <phoneticPr fontId="3"/>
  </si>
  <si>
    <t>画面操作</t>
    <rPh sb="2" eb="4">
      <t>ソウサ</t>
    </rPh>
    <phoneticPr fontId="3"/>
  </si>
  <si>
    <t>C</t>
    <phoneticPr fontId="3"/>
  </si>
  <si>
    <t>1.</t>
    <phoneticPr fontId="3"/>
  </si>
  <si>
    <t>初物設定処理</t>
    <rPh sb="0" eb="2">
      <t>ハツモノ</t>
    </rPh>
    <rPh sb="2" eb="4">
      <t>セッテイ</t>
    </rPh>
    <rPh sb="4" eb="6">
      <t>ショリ</t>
    </rPh>
    <phoneticPr fontId="3"/>
  </si>
  <si>
    <t>1.1</t>
    <phoneticPr fontId="3"/>
  </si>
  <si>
    <t>1.2</t>
    <phoneticPr fontId="3"/>
  </si>
  <si>
    <t>初物判定処理からの戻り値を下記項目に設定する。</t>
    <rPh sb="0" eb="2">
      <t>ハツモノ</t>
    </rPh>
    <rPh sb="2" eb="4">
      <t>ハンテイ</t>
    </rPh>
    <rPh sb="4" eb="6">
      <t>ショリ</t>
    </rPh>
    <rPh sb="9" eb="10">
      <t>モド</t>
    </rPh>
    <rPh sb="11" eb="12">
      <t>チ</t>
    </rPh>
    <rPh sb="13" eb="15">
      <t>カキ</t>
    </rPh>
    <rPh sb="15" eb="17">
      <t>コウモク</t>
    </rPh>
    <rPh sb="18" eb="20">
      <t>セッテイ</t>
    </rPh>
    <phoneticPr fontId="3"/>
  </si>
  <si>
    <t>LCイベント</t>
    <phoneticPr fontId="3"/>
  </si>
  <si>
    <t>リストロジック『コメントマスタ_発注注意事項』を呼び出す</t>
    <rPh sb="16" eb="18">
      <t>ハッチュウ</t>
    </rPh>
    <rPh sb="18" eb="20">
      <t>チュウイ</t>
    </rPh>
    <rPh sb="20" eb="22">
      <t>ジコウ</t>
    </rPh>
    <rPh sb="24" eb="25">
      <t>ヨ</t>
    </rPh>
    <rPh sb="26" eb="27">
      <t>ダ</t>
    </rPh>
    <phoneticPr fontId="3"/>
  </si>
  <si>
    <t>引数</t>
    <rPh sb="0" eb="2">
      <t>ヒキスウ</t>
    </rPh>
    <phoneticPr fontId="3"/>
  </si>
  <si>
    <t>3.</t>
    <phoneticPr fontId="3"/>
  </si>
  <si>
    <t>入力・表示制御</t>
    <rPh sb="0" eb="2">
      <t>ニュウリョク</t>
    </rPh>
    <rPh sb="3" eb="5">
      <t>ヒョウジ</t>
    </rPh>
    <rPh sb="5" eb="7">
      <t>セイギョ</t>
    </rPh>
    <phoneticPr fontId="3"/>
  </si>
  <si>
    <t>入力・表示制御</t>
  </si>
  <si>
    <t>明細項目のCellConfig</t>
    <rPh sb="0" eb="2">
      <t>メイサイ</t>
    </rPh>
    <rPh sb="2" eb="4">
      <t>コウモク</t>
    </rPh>
    <phoneticPr fontId="3"/>
  </si>
  <si>
    <t>1.1.1</t>
    <phoneticPr fontId="3"/>
  </si>
  <si>
    <t>1.1.2</t>
    <phoneticPr fontId="3"/>
  </si>
  <si>
    <t>発注検索【F1】 Srch01</t>
    <phoneticPr fontId="3"/>
  </si>
  <si>
    <t>前提条件</t>
    <rPh sb="0" eb="2">
      <t>ゼンテイ</t>
    </rPh>
    <rPh sb="2" eb="4">
      <t>ジョウケン</t>
    </rPh>
    <phoneticPr fontId="3"/>
  </si>
  <si>
    <t>標準通り</t>
    <rPh sb="0" eb="2">
      <t>ヒョウジュン</t>
    </rPh>
    <rPh sb="2" eb="3">
      <t>ドオ</t>
    </rPh>
    <phoneticPr fontId="3"/>
  </si>
  <si>
    <t>検索前処理</t>
    <rPh sb="0" eb="2">
      <t>ケンサク</t>
    </rPh>
    <rPh sb="2" eb="3">
      <t>マエ</t>
    </rPh>
    <rPh sb="3" eb="5">
      <t>ショリ</t>
    </rPh>
    <phoneticPr fontId="3"/>
  </si>
  <si>
    <t>S</t>
    <phoneticPr fontId="3"/>
  </si>
  <si>
    <t>検索処理</t>
    <rPh sb="0" eb="2">
      <t>ケンサク</t>
    </rPh>
    <rPh sb="2" eb="4">
      <t>ショリ</t>
    </rPh>
    <phoneticPr fontId="3"/>
  </si>
  <si>
    <t>3.1</t>
    <phoneticPr fontId="3"/>
  </si>
  <si>
    <t>検索条件に一致する発注情報、発注明細情報を取得する。</t>
    <rPh sb="0" eb="2">
      <t>ケンサク</t>
    </rPh>
    <rPh sb="2" eb="4">
      <t>ジョウケン</t>
    </rPh>
    <rPh sb="5" eb="7">
      <t>イッチ</t>
    </rPh>
    <rPh sb="9" eb="11">
      <t>ハッチュウ</t>
    </rPh>
    <rPh sb="11" eb="13">
      <t>ジョウホウ</t>
    </rPh>
    <rPh sb="14" eb="16">
      <t>ハッチュウ</t>
    </rPh>
    <rPh sb="16" eb="18">
      <t>メイサイ</t>
    </rPh>
    <rPh sb="18" eb="20">
      <t>ジョウホウ</t>
    </rPh>
    <rPh sb="21" eb="23">
      <t>シュトク</t>
    </rPh>
    <phoneticPr fontId="3"/>
  </si>
  <si>
    <t>（実際には発注、発注明細の履歴テーブルから値を取得している）</t>
    <rPh sb="1" eb="3">
      <t>ジッサイ</t>
    </rPh>
    <rPh sb="5" eb="7">
      <t>ハッチュウ</t>
    </rPh>
    <rPh sb="8" eb="10">
      <t>ハッチュウ</t>
    </rPh>
    <rPh sb="10" eb="12">
      <t>メイサイ</t>
    </rPh>
    <rPh sb="13" eb="15">
      <t>リレキ</t>
    </rPh>
    <rPh sb="21" eb="22">
      <t>アタイ</t>
    </rPh>
    <rPh sb="23" eb="25">
      <t>シュトク</t>
    </rPh>
    <phoneticPr fontId="3"/>
  </si>
  <si>
    <t>SQLID</t>
    <phoneticPr fontId="3"/>
  </si>
  <si>
    <t>：</t>
  </si>
  <si>
    <t>MSBDL0080_MST_PO_S01</t>
    <phoneticPr fontId="3"/>
  </si>
  <si>
    <t>■抽出項目</t>
    <rPh sb="1" eb="3">
      <t>チュウシュツ</t>
    </rPh>
    <rPh sb="3" eb="5">
      <t>コウモク</t>
    </rPh>
    <phoneticPr fontId="3"/>
  </si>
  <si>
    <t>設定値</t>
    <rPh sb="0" eb="2">
      <t>セッテイ</t>
    </rPh>
    <rPh sb="2" eb="3">
      <t>アタイ</t>
    </rPh>
    <phoneticPr fontId="3"/>
  </si>
  <si>
    <t>T2.手動初物判定ＦＬＧ</t>
    <rPh sb="3" eb="5">
      <t>シュドウ</t>
    </rPh>
    <rPh sb="5" eb="7">
      <t>ハツモノ</t>
    </rPh>
    <rPh sb="7" eb="9">
      <t>ハンテイ</t>
    </rPh>
    <phoneticPr fontId="3"/>
  </si>
  <si>
    <t>T2.初物ＦＬＧ</t>
    <rPh sb="3" eb="5">
      <t>ハツモノ</t>
    </rPh>
    <phoneticPr fontId="3"/>
  </si>
  <si>
    <t>T2.購入仕様書ＮＯ</t>
    <rPh sb="3" eb="5">
      <t>コウニュウ</t>
    </rPh>
    <rPh sb="5" eb="8">
      <t>シヨウショ</t>
    </rPh>
    <phoneticPr fontId="3"/>
  </si>
  <si>
    <t>追加</t>
  </si>
  <si>
    <t>T2.搬入口</t>
    <rPh sb="3" eb="5">
      <t>ハンニュウ</t>
    </rPh>
    <rPh sb="5" eb="6">
      <t>グチ</t>
    </rPh>
    <phoneticPr fontId="3"/>
  </si>
  <si>
    <t>T2.検査連絡備考</t>
    <rPh sb="3" eb="5">
      <t>ケンサ</t>
    </rPh>
    <rPh sb="5" eb="7">
      <t>レンラク</t>
    </rPh>
    <rPh sb="7" eb="9">
      <t>ビコウ</t>
    </rPh>
    <phoneticPr fontId="3"/>
  </si>
  <si>
    <t>■取得対象テーブル</t>
    <rPh sb="1" eb="3">
      <t>シュトク</t>
    </rPh>
    <rPh sb="3" eb="5">
      <t>タイショウ</t>
    </rPh>
    <phoneticPr fontId="3"/>
  </si>
  <si>
    <t>以下、テーブル・結合・抽出条件ともに標準通り</t>
    <rPh sb="0" eb="2">
      <t>イカ</t>
    </rPh>
    <rPh sb="8" eb="10">
      <t>ケツゴウ</t>
    </rPh>
    <rPh sb="11" eb="13">
      <t>チュウシュツ</t>
    </rPh>
    <rPh sb="13" eb="15">
      <t>ジョウケン</t>
    </rPh>
    <rPh sb="18" eb="20">
      <t>ヒョウジュン</t>
    </rPh>
    <rPh sb="20" eb="21">
      <t>ドオ</t>
    </rPh>
    <phoneticPr fontId="3"/>
  </si>
  <si>
    <t>発注_R</t>
    <rPh sb="0" eb="2">
      <t>ハッチュウ</t>
    </rPh>
    <phoneticPr fontId="3"/>
  </si>
  <si>
    <t>T1</t>
  </si>
  <si>
    <t>発注明細_R</t>
    <rPh sb="0" eb="2">
      <t>ハッチュウ</t>
    </rPh>
    <rPh sb="2" eb="4">
      <t>メイサイ</t>
    </rPh>
    <phoneticPr fontId="3"/>
  </si>
  <si>
    <t xml:space="preserve">T2 </t>
  </si>
  <si>
    <t>4.</t>
    <phoneticPr fontId="3"/>
  </si>
  <si>
    <t>4.1</t>
    <phoneticPr fontId="3"/>
  </si>
  <si>
    <t>（オペレーション仕様書_Srch01シートの、Srch01_Hdrコンテナに以下のヘッダ項目を追加する）</t>
    <rPh sb="8" eb="11">
      <t>シヨウショ</t>
    </rPh>
    <rPh sb="38" eb="40">
      <t>イカ</t>
    </rPh>
    <rPh sb="44" eb="46">
      <t>コウモク</t>
    </rPh>
    <rPh sb="47" eb="49">
      <t>ツイカ</t>
    </rPh>
    <phoneticPr fontId="3"/>
  </si>
  <si>
    <t>下り電文項目</t>
    <rPh sb="0" eb="1">
      <t>クダ</t>
    </rPh>
    <rPh sb="2" eb="4">
      <t>デンブン</t>
    </rPh>
    <rPh sb="4" eb="6">
      <t>コウモク</t>
    </rPh>
    <phoneticPr fontId="3"/>
  </si>
  <si>
    <t>4.2</t>
    <phoneticPr fontId="3"/>
  </si>
  <si>
    <t>（オペレーション仕様書_Srch01シートの、Srch01_Dtlコンテナに以下のヘッダ項目を追加する）</t>
    <rPh sb="8" eb="11">
      <t>シヨウショ</t>
    </rPh>
    <rPh sb="38" eb="40">
      <t>イカ</t>
    </rPh>
    <rPh sb="44" eb="46">
      <t>コウモク</t>
    </rPh>
    <rPh sb="47" eb="49">
      <t>ツイカ</t>
    </rPh>
    <phoneticPr fontId="3"/>
  </si>
  <si>
    <t>C</t>
    <phoneticPr fontId="3"/>
  </si>
  <si>
    <t>5.</t>
    <phoneticPr fontId="3"/>
  </si>
  <si>
    <t>検索後処理</t>
    <rPh sb="0" eb="2">
      <t>ケンサク</t>
    </rPh>
    <rPh sb="2" eb="3">
      <t>アト</t>
    </rPh>
    <rPh sb="3" eb="5">
      <t>ショリ</t>
    </rPh>
    <phoneticPr fontId="3"/>
  </si>
  <si>
    <t>帳票発行【F9】 Prnt01</t>
    <rPh sb="0" eb="2">
      <t>チョウヒョウ</t>
    </rPh>
    <rPh sb="2" eb="4">
      <t>ハッコウ</t>
    </rPh>
    <phoneticPr fontId="3"/>
  </si>
  <si>
    <t>1.</t>
    <phoneticPr fontId="3"/>
  </si>
  <si>
    <t>2.</t>
    <phoneticPr fontId="3"/>
  </si>
  <si>
    <t>印刷前処理</t>
    <rPh sb="0" eb="2">
      <t>インサツ</t>
    </rPh>
    <rPh sb="2" eb="3">
      <t>マエ</t>
    </rPh>
    <rPh sb="3" eb="5">
      <t>ショリ</t>
    </rPh>
    <phoneticPr fontId="3"/>
  </si>
  <si>
    <t>S</t>
    <phoneticPr fontId="3"/>
  </si>
  <si>
    <t>3.</t>
    <phoneticPr fontId="3"/>
  </si>
  <si>
    <t>3.1</t>
    <phoneticPr fontId="3"/>
  </si>
  <si>
    <t>印刷処理呼出</t>
    <rPh sb="0" eb="2">
      <t>インサツ</t>
    </rPh>
    <rPh sb="2" eb="4">
      <t>ショリ</t>
    </rPh>
    <rPh sb="4" eb="6">
      <t>ヨビダシ</t>
    </rPh>
    <phoneticPr fontId="3"/>
  </si>
  <si>
    <t>印刷後処理</t>
    <rPh sb="0" eb="2">
      <t>インサツ</t>
    </rPh>
    <rPh sb="2" eb="3">
      <t>アト</t>
    </rPh>
    <rPh sb="3" eb="5">
      <t>ショリ</t>
    </rPh>
    <phoneticPr fontId="3"/>
  </si>
  <si>
    <t>6</t>
    <phoneticPr fontId="3"/>
  </si>
  <si>
    <t>初物判定処理の実行</t>
    <rPh sb="0" eb="2">
      <t>ハツモノ</t>
    </rPh>
    <rPh sb="2" eb="4">
      <t>ハンテイ</t>
    </rPh>
    <rPh sb="4" eb="6">
      <t>ショリ</t>
    </rPh>
    <rPh sb="7" eb="9">
      <t>ジッコウ</t>
    </rPh>
    <phoneticPr fontId="3"/>
  </si>
  <si>
    <t>明細から、選択チェックがオンのレコードを抽出し、判定リストを作成する。</t>
    <rPh sb="0" eb="2">
      <t>メイサイ</t>
    </rPh>
    <rPh sb="5" eb="7">
      <t>センタク</t>
    </rPh>
    <rPh sb="20" eb="22">
      <t>チュウシュツ</t>
    </rPh>
    <rPh sb="24" eb="26">
      <t>ハンテイ</t>
    </rPh>
    <rPh sb="30" eb="32">
      <t>サクセイ</t>
    </rPh>
    <phoneticPr fontId="3"/>
  </si>
  <si>
    <t>[判定リスト]</t>
    <rPh sb="1" eb="3">
      <t>ハンテイ</t>
    </rPh>
    <phoneticPr fontId="3"/>
  </si>
  <si>
    <t>1.2</t>
    <phoneticPr fontId="3"/>
  </si>
  <si>
    <t>初物判定セット</t>
    <rPh sb="0" eb="2">
      <t>ハツモノ</t>
    </rPh>
    <rPh sb="2" eb="4">
      <t>ハンテイ</t>
    </rPh>
    <phoneticPr fontId="3"/>
  </si>
  <si>
    <t>初物判定処理を実行し、戻り値を反映する。</t>
    <rPh sb="0" eb="2">
      <t>ハツモノ</t>
    </rPh>
    <rPh sb="2" eb="4">
      <t>ハンテイ</t>
    </rPh>
    <rPh sb="4" eb="6">
      <t>ショリ</t>
    </rPh>
    <rPh sb="7" eb="9">
      <t>ジッコウ</t>
    </rPh>
    <rPh sb="11" eb="12">
      <t>モド</t>
    </rPh>
    <rPh sb="13" eb="14">
      <t>チ</t>
    </rPh>
    <rPh sb="15" eb="17">
      <t>ハンエイ</t>
    </rPh>
    <phoneticPr fontId="3"/>
  </si>
  <si>
    <t>引数として、反映対象の明細コンテナを受け取る。</t>
    <rPh sb="0" eb="2">
      <t>ヒキスウ</t>
    </rPh>
    <rPh sb="6" eb="8">
      <t>ハンエイ</t>
    </rPh>
    <rPh sb="8" eb="10">
      <t>タイショウ</t>
    </rPh>
    <rPh sb="11" eb="13">
      <t>メイサイ</t>
    </rPh>
    <rPh sb="18" eb="19">
      <t>ウ</t>
    </rPh>
    <rPh sb="20" eb="21">
      <t>ト</t>
    </rPh>
    <phoneticPr fontId="3"/>
  </si>
  <si>
    <t>初物判定ユーティリティ．購買初物判定処理の実行</t>
    <rPh sb="0" eb="2">
      <t>ハツモノ</t>
    </rPh>
    <rPh sb="2" eb="4">
      <t>ハンテイ</t>
    </rPh>
    <rPh sb="12" eb="14">
      <t>コウバイ</t>
    </rPh>
    <rPh sb="14" eb="16">
      <t>ハツモノ</t>
    </rPh>
    <rPh sb="16" eb="18">
      <t>ハンテイ</t>
    </rPh>
    <rPh sb="18" eb="20">
      <t>ショリ</t>
    </rPh>
    <rPh sb="21" eb="23">
      <t>ジッコウ</t>
    </rPh>
    <phoneticPr fontId="3"/>
  </si>
  <si>
    <t>引数として以下をセットし、『初物判定ユーティリティ』[購買初物判定]を実行する。</t>
    <rPh sb="0" eb="2">
      <t>ヒキスウ</t>
    </rPh>
    <rPh sb="5" eb="7">
      <t>イカ</t>
    </rPh>
    <rPh sb="14" eb="16">
      <t>ハツモノ</t>
    </rPh>
    <rPh sb="16" eb="18">
      <t>ハンテイ</t>
    </rPh>
    <rPh sb="27" eb="29">
      <t>コウバイ</t>
    </rPh>
    <rPh sb="29" eb="31">
      <t>ハツモノ</t>
    </rPh>
    <rPh sb="31" eb="33">
      <t>ハンテイ</t>
    </rPh>
    <rPh sb="35" eb="37">
      <t>ジッコウ</t>
    </rPh>
    <phoneticPr fontId="3"/>
  </si>
  <si>
    <t>コンテナ項目</t>
    <rPh sb="4" eb="6">
      <t>コウモク</t>
    </rPh>
    <phoneticPr fontId="3"/>
  </si>
  <si>
    <t>品目ＣＤ</t>
    <rPh sb="0" eb="2">
      <t>ヒンモク</t>
    </rPh>
    <phoneticPr fontId="2"/>
  </si>
  <si>
    <t>[引数]品目ＣＤ</t>
    <rPh sb="1" eb="3">
      <t>ヒキスウ</t>
    </rPh>
    <rPh sb="4" eb="6">
      <t>ヒンモク</t>
    </rPh>
    <phoneticPr fontId="2"/>
  </si>
  <si>
    <t>発注先ＣＤ</t>
    <rPh sb="0" eb="2">
      <t>ハッチュウ</t>
    </rPh>
    <rPh sb="2" eb="3">
      <t>サキ</t>
    </rPh>
    <phoneticPr fontId="2"/>
  </si>
  <si>
    <t>[引数]発注先ＣＤ</t>
    <rPh sb="1" eb="3">
      <t>ヒキスウ</t>
    </rPh>
    <rPh sb="4" eb="6">
      <t>ハッチュウ</t>
    </rPh>
    <rPh sb="6" eb="7">
      <t>サキ</t>
    </rPh>
    <phoneticPr fontId="2"/>
  </si>
  <si>
    <t>納入場所ＷＧ</t>
    <rPh sb="0" eb="2">
      <t>ノウニュウ</t>
    </rPh>
    <rPh sb="2" eb="4">
      <t>バショ</t>
    </rPh>
    <phoneticPr fontId="2"/>
  </si>
  <si>
    <t>[引数]納入場所ＷＧ</t>
    <rPh sb="1" eb="3">
      <t>ヒキスウ</t>
    </rPh>
    <rPh sb="4" eb="6">
      <t>ノウニュウ</t>
    </rPh>
    <rPh sb="6" eb="8">
      <t>バショ</t>
    </rPh>
    <phoneticPr fontId="2"/>
  </si>
  <si>
    <t>発注日</t>
    <rPh sb="0" eb="2">
      <t>ハッチュウ</t>
    </rPh>
    <rPh sb="2" eb="3">
      <t>ビ</t>
    </rPh>
    <phoneticPr fontId="2"/>
  </si>
  <si>
    <t>[引数]発注日</t>
    <rPh sb="1" eb="3">
      <t>ヒキスウ</t>
    </rPh>
    <rPh sb="4" eb="6">
      <t>ハッチュウ</t>
    </rPh>
    <rPh sb="6" eb="7">
      <t>ビ</t>
    </rPh>
    <phoneticPr fontId="2"/>
  </si>
  <si>
    <t>MCRowで受け取った戻り値を、以下の通り[引数]のコンテナに反映する。</t>
    <rPh sb="6" eb="7">
      <t>ウ</t>
    </rPh>
    <rPh sb="8" eb="9">
      <t>ト</t>
    </rPh>
    <rPh sb="11" eb="12">
      <t>モド</t>
    </rPh>
    <rPh sb="13" eb="14">
      <t>チ</t>
    </rPh>
    <rPh sb="16" eb="18">
      <t>イカ</t>
    </rPh>
    <rPh sb="19" eb="20">
      <t>トオ</t>
    </rPh>
    <rPh sb="22" eb="24">
      <t>ヒキスウ</t>
    </rPh>
    <rPh sb="31" eb="33">
      <t>ハンエイ</t>
    </rPh>
    <phoneticPr fontId="3"/>
  </si>
  <si>
    <t>[引数]項目</t>
    <rPh sb="1" eb="3">
      <t>ヒキスウ</t>
    </rPh>
    <rPh sb="4" eb="6">
      <t>コウモク</t>
    </rPh>
    <phoneticPr fontId="3"/>
  </si>
  <si>
    <t>手動初物判定</t>
    <rPh sb="0" eb="2">
      <t>シュドウ</t>
    </rPh>
    <rPh sb="2" eb="4">
      <t>ハツモノ</t>
    </rPh>
    <rPh sb="4" eb="6">
      <t>ハンテイ</t>
    </rPh>
    <phoneticPr fontId="2"/>
  </si>
  <si>
    <t>オフ</t>
    <phoneticPr fontId="3"/>
  </si>
  <si>
    <t>初物ＦＬＧ</t>
    <rPh sb="0" eb="2">
      <t>ハツモノ</t>
    </rPh>
    <phoneticPr fontId="2"/>
  </si>
  <si>
    <t>[戻り値]初物ＦＬＧ</t>
    <rPh sb="1" eb="2">
      <t>モド</t>
    </rPh>
    <rPh sb="3" eb="4">
      <t>チ</t>
    </rPh>
    <rPh sb="5" eb="7">
      <t>ハツモノ</t>
    </rPh>
    <phoneticPr fontId="3"/>
  </si>
  <si>
    <t>[戻り値]購入仕様書ＮＯ</t>
    <rPh sb="1" eb="2">
      <t>モド</t>
    </rPh>
    <rPh sb="3" eb="4">
      <t>チ</t>
    </rPh>
    <rPh sb="5" eb="7">
      <t>コウニュウ</t>
    </rPh>
    <rPh sb="7" eb="10">
      <t>シヨウショ</t>
    </rPh>
    <phoneticPr fontId="3"/>
  </si>
  <si>
    <t>[戻り値]判定済ＦＬＧ</t>
    <rPh sb="1" eb="2">
      <t>モド</t>
    </rPh>
    <rPh sb="3" eb="4">
      <t>チ</t>
    </rPh>
    <rPh sb="5" eb="7">
      <t>ハンテイ</t>
    </rPh>
    <rPh sb="7" eb="8">
      <t>ズ</t>
    </rPh>
    <phoneticPr fontId="3"/>
  </si>
  <si>
    <t>更新する (新規登録) 【F9】 Ins01</t>
    <rPh sb="6" eb="8">
      <t>シンキ</t>
    </rPh>
    <rPh sb="8" eb="10">
      <t>トウロク</t>
    </rPh>
    <phoneticPr fontId="3"/>
  </si>
  <si>
    <t>C</t>
    <phoneticPr fontId="3"/>
  </si>
  <si>
    <t>1.</t>
    <phoneticPr fontId="3"/>
  </si>
  <si>
    <t>2.</t>
    <phoneticPr fontId="3"/>
  </si>
  <si>
    <t>登録前処理</t>
    <rPh sb="0" eb="2">
      <t>トウロク</t>
    </rPh>
    <rPh sb="2" eb="3">
      <t>マエ</t>
    </rPh>
    <rPh sb="3" eb="5">
      <t>ショリ</t>
    </rPh>
    <phoneticPr fontId="3"/>
  </si>
  <si>
    <t>S</t>
    <phoneticPr fontId="3"/>
  </si>
  <si>
    <t>3.</t>
    <phoneticPr fontId="3"/>
  </si>
  <si>
    <t>チェック処理</t>
    <rPh sb="4" eb="6">
      <t>ショリ</t>
    </rPh>
    <phoneticPr fontId="3"/>
  </si>
  <si>
    <t>標準通り（登録チェック処理（Chk01）が実行される）</t>
    <rPh sb="0" eb="2">
      <t>ヒョウジュン</t>
    </rPh>
    <rPh sb="2" eb="3">
      <t>ドオ</t>
    </rPh>
    <rPh sb="21" eb="23">
      <t>ジッコウ</t>
    </rPh>
    <phoneticPr fontId="3"/>
  </si>
  <si>
    <t>4.</t>
    <phoneticPr fontId="3"/>
  </si>
  <si>
    <t>発注情報の新規登録処理</t>
    <rPh sb="0" eb="2">
      <t>ハッチュウ</t>
    </rPh>
    <rPh sb="2" eb="4">
      <t>ジョウホウ</t>
    </rPh>
    <rPh sb="5" eb="7">
      <t>シンキ</t>
    </rPh>
    <rPh sb="7" eb="9">
      <t>トウロク</t>
    </rPh>
    <rPh sb="9" eb="11">
      <t>ショリ</t>
    </rPh>
    <phoneticPr fontId="3"/>
  </si>
  <si>
    <t>4.1</t>
    <phoneticPr fontId="3"/>
  </si>
  <si>
    <t>4.1.1</t>
    <phoneticPr fontId="3"/>
  </si>
  <si>
    <t>Rowマッパーに、上り電文0の以下の項目を追加する。</t>
    <rPh sb="9" eb="10">
      <t>ノボ</t>
    </rPh>
    <rPh sb="11" eb="13">
      <t>デンブン</t>
    </rPh>
    <rPh sb="15" eb="17">
      <t>イカ</t>
    </rPh>
    <rPh sb="18" eb="20">
      <t>コウモク</t>
    </rPh>
    <rPh sb="21" eb="23">
      <t>ツイカ</t>
    </rPh>
    <phoneticPr fontId="3"/>
  </si>
  <si>
    <t>（上り電文にあらかじめ項目を追加しておく）</t>
    <rPh sb="1" eb="2">
      <t>ノボ</t>
    </rPh>
    <rPh sb="3" eb="5">
      <t>デンブン</t>
    </rPh>
    <rPh sb="11" eb="13">
      <t>コウモク</t>
    </rPh>
    <rPh sb="14" eb="16">
      <t>ツイカ</t>
    </rPh>
    <phoneticPr fontId="3"/>
  </si>
  <si>
    <t>4.1.2</t>
    <phoneticPr fontId="3"/>
  </si>
  <si>
    <t>Rowマッパーに、上り電文1の以下の項目を追加する。</t>
    <rPh sb="9" eb="10">
      <t>ノボ</t>
    </rPh>
    <rPh sb="11" eb="13">
      <t>デンブン</t>
    </rPh>
    <rPh sb="15" eb="17">
      <t>イカ</t>
    </rPh>
    <rPh sb="18" eb="20">
      <t>コウモク</t>
    </rPh>
    <rPh sb="21" eb="23">
      <t>ツイカ</t>
    </rPh>
    <phoneticPr fontId="3"/>
  </si>
  <si>
    <t>発注登録サービスの実行</t>
    <rPh sb="0" eb="2">
      <t>ハッチュウ</t>
    </rPh>
    <rPh sb="2" eb="4">
      <t>トウロク</t>
    </rPh>
    <rPh sb="9" eb="11">
      <t>ジッコウ</t>
    </rPh>
    <phoneticPr fontId="3"/>
  </si>
  <si>
    <t>以下、標準通り</t>
    <rPh sb="0" eb="2">
      <t>イカ</t>
    </rPh>
    <rPh sb="3" eb="5">
      <t>ヒョウジュン</t>
    </rPh>
    <rPh sb="5" eb="6">
      <t>ドオ</t>
    </rPh>
    <phoneticPr fontId="3"/>
  </si>
  <si>
    <t>登録後処理</t>
    <rPh sb="0" eb="2">
      <t>トウロク</t>
    </rPh>
    <rPh sb="2" eb="3">
      <t>アト</t>
    </rPh>
    <rPh sb="3" eb="5">
      <t>ショリ</t>
    </rPh>
    <phoneticPr fontId="3"/>
  </si>
  <si>
    <t>C</t>
    <phoneticPr fontId="3"/>
  </si>
  <si>
    <t>1.</t>
    <phoneticPr fontId="3"/>
  </si>
  <si>
    <t>2.</t>
    <phoneticPr fontId="3"/>
  </si>
  <si>
    <t>S</t>
    <phoneticPr fontId="3"/>
  </si>
  <si>
    <t>3.</t>
    <phoneticPr fontId="3"/>
  </si>
  <si>
    <t>3.1</t>
    <phoneticPr fontId="3"/>
  </si>
  <si>
    <t>4.</t>
    <phoneticPr fontId="3"/>
  </si>
  <si>
    <t>4.1</t>
    <phoneticPr fontId="3"/>
  </si>
  <si>
    <t>4.1.1</t>
    <phoneticPr fontId="3"/>
  </si>
  <si>
    <t>（Ins01と同じマッパーを使用しているため、更新処理部での修正は無し。実装仕様書のみ項目追加）</t>
    <rPh sb="7" eb="8">
      <t>オナ</t>
    </rPh>
    <rPh sb="14" eb="16">
      <t>シヨウ</t>
    </rPh>
    <rPh sb="23" eb="25">
      <t>コウシン</t>
    </rPh>
    <rPh sb="25" eb="27">
      <t>ショリ</t>
    </rPh>
    <rPh sb="27" eb="28">
      <t>ブ</t>
    </rPh>
    <rPh sb="30" eb="32">
      <t>シュウセイ</t>
    </rPh>
    <rPh sb="33" eb="34">
      <t>ナ</t>
    </rPh>
    <rPh sb="36" eb="38">
      <t>ジッソウ</t>
    </rPh>
    <rPh sb="38" eb="41">
      <t>シヨウショ</t>
    </rPh>
    <rPh sb="43" eb="45">
      <t>コウモク</t>
    </rPh>
    <rPh sb="45" eb="47">
      <t>ツイカ</t>
    </rPh>
    <phoneticPr fontId="3"/>
  </si>
  <si>
    <t>4.1.2</t>
    <phoneticPr fontId="3"/>
  </si>
  <si>
    <t>4.1.3</t>
    <phoneticPr fontId="3"/>
  </si>
  <si>
    <t>5.</t>
    <phoneticPr fontId="3"/>
  </si>
  <si>
    <t>6.</t>
    <phoneticPr fontId="3"/>
  </si>
  <si>
    <t>取消処理実行</t>
    <rPh sb="0" eb="2">
      <t>トリケシ</t>
    </rPh>
    <rPh sb="2" eb="4">
      <t>ショリ</t>
    </rPh>
    <rPh sb="4" eb="6">
      <t>ジッコウ</t>
    </rPh>
    <phoneticPr fontId="3"/>
  </si>
  <si>
    <t>取消後処理</t>
    <rPh sb="0" eb="1">
      <t>ト</t>
    </rPh>
    <rPh sb="1" eb="2">
      <t>ケ</t>
    </rPh>
    <rPh sb="2" eb="3">
      <t>アト</t>
    </rPh>
    <rPh sb="3" eb="5">
      <t>ショリ</t>
    </rPh>
    <phoneticPr fontId="3"/>
  </si>
  <si>
    <t>特になし</t>
    <rPh sb="0" eb="1">
      <t>トク</t>
    </rPh>
    <phoneticPr fontId="3"/>
  </si>
  <si>
    <t>呼出サービスNo</t>
    <rPh sb="0" eb="2">
      <t>ヨビダシ</t>
    </rPh>
    <phoneticPr fontId="20"/>
  </si>
  <si>
    <t>ロジックID</t>
    <phoneticPr fontId="20"/>
  </si>
  <si>
    <t>特記事項</t>
    <rPh sb="0" eb="2">
      <t>トッキ</t>
    </rPh>
    <rPh sb="2" eb="4">
      <t>ジコウ</t>
    </rPh>
    <phoneticPr fontId="20"/>
  </si>
  <si>
    <t>ブロック名</t>
    <rPh sb="4" eb="5">
      <t>メイ</t>
    </rPh>
    <phoneticPr fontId="20"/>
  </si>
  <si>
    <t>ブロック形式</t>
    <rPh sb="4" eb="6">
      <t>ケイシキ</t>
    </rPh>
    <phoneticPr fontId="20"/>
  </si>
  <si>
    <t>オブジェクト名</t>
    <rPh sb="6" eb="7">
      <t>メイ</t>
    </rPh>
    <phoneticPr fontId="20"/>
  </si>
  <si>
    <t>項目名/固定値</t>
    <rPh sb="0" eb="3">
      <t>コウモクメイ</t>
    </rPh>
    <rPh sb="4" eb="7">
      <t>コテイチ</t>
    </rPh>
    <phoneticPr fontId="20"/>
  </si>
  <si>
    <t>注文書備考</t>
    <rPh sb="0" eb="3">
      <t>チュウモンショ</t>
    </rPh>
    <rPh sb="3" eb="5">
      <t>ビコウ</t>
    </rPh>
    <phoneticPr fontId="3"/>
  </si>
  <si>
    <t>初物判定の済ＦＬＧがオンの場合、オフ</t>
    <phoneticPr fontId="3"/>
  </si>
  <si>
    <t>基本設計部「補助説明書」シートの入力チェック項目、戻り値を修正</t>
    <rPh sb="0" eb="2">
      <t>キホン</t>
    </rPh>
    <rPh sb="2" eb="4">
      <t>セッケイ</t>
    </rPh>
    <rPh sb="4" eb="5">
      <t>ブ</t>
    </rPh>
    <rPh sb="6" eb="8">
      <t>ホジョ</t>
    </rPh>
    <rPh sb="8" eb="11">
      <t>セツメイショ</t>
    </rPh>
    <rPh sb="16" eb="18">
      <t>ニュウリョク</t>
    </rPh>
    <rPh sb="22" eb="24">
      <t>コウモク</t>
    </rPh>
    <rPh sb="25" eb="26">
      <t>モド</t>
    </rPh>
    <rPh sb="27" eb="28">
      <t>チ</t>
    </rPh>
    <rPh sb="29" eb="31">
      <t>シュウセイ</t>
    </rPh>
    <phoneticPr fontId="3"/>
  </si>
  <si>
    <t>品目ＣＤ（検査確認用）</t>
    <rPh sb="0" eb="2">
      <t>ヒンモク</t>
    </rPh>
    <rPh sb="5" eb="7">
      <t>ケンサ</t>
    </rPh>
    <rPh sb="7" eb="10">
      <t>カクニンヨウ</t>
    </rPh>
    <phoneticPr fontId="3"/>
  </si>
  <si>
    <t>追加</t>
    <rPh sb="0" eb="2">
      <t>ツイカ</t>
    </rPh>
    <phoneticPr fontId="3"/>
  </si>
  <si>
    <t>品目品管マスタ</t>
    <rPh sb="0" eb="2">
      <t>ヒンモク</t>
    </rPh>
    <rPh sb="2" eb="4">
      <t>ヒンカン</t>
    </rPh>
    <phoneticPr fontId="3"/>
  </si>
  <si>
    <t>M44</t>
    <phoneticPr fontId="3"/>
  </si>
  <si>
    <t>T1.品目ＣＤ　=　M44.品目ＣＤ</t>
    <rPh sb="3" eb="5">
      <t>ヒンモク</t>
    </rPh>
    <rPh sb="14" eb="16">
      <t>ヒンモク</t>
    </rPh>
    <phoneticPr fontId="3"/>
  </si>
  <si>
    <t>M44.適用開始日≦運用日付≦M44.適用終了日</t>
    <rPh sb="4" eb="6">
      <t>テキヨウ</t>
    </rPh>
    <rPh sb="6" eb="8">
      <t>カイシ</t>
    </rPh>
    <rPh sb="8" eb="9">
      <t>ビ</t>
    </rPh>
    <rPh sb="10" eb="12">
      <t>ウンヨウ</t>
    </rPh>
    <rPh sb="12" eb="14">
      <t>ヒヅケ</t>
    </rPh>
    <rPh sb="19" eb="21">
      <t>テキヨウ</t>
    </rPh>
    <rPh sb="21" eb="24">
      <t>シュウリョウビ</t>
    </rPh>
    <phoneticPr fontId="3"/>
  </si>
  <si>
    <t>M43</t>
    <phoneticPr fontId="3"/>
  </si>
  <si>
    <t>T2.品目ＣＤ　=　M43.品目ＣＤ</t>
    <rPh sb="3" eb="5">
      <t>ヒンモク</t>
    </rPh>
    <rPh sb="14" eb="16">
      <t>ヒンモク</t>
    </rPh>
    <phoneticPr fontId="3"/>
  </si>
  <si>
    <t>M43.適用開始日≦運用日付≦M43.適用終了日</t>
    <rPh sb="4" eb="6">
      <t>テキヨウ</t>
    </rPh>
    <rPh sb="6" eb="8">
      <t>カイシ</t>
    </rPh>
    <rPh sb="8" eb="9">
      <t>ビ</t>
    </rPh>
    <rPh sb="10" eb="12">
      <t>ウンヨウ</t>
    </rPh>
    <rPh sb="12" eb="14">
      <t>ヒヅケ</t>
    </rPh>
    <rPh sb="19" eb="21">
      <t>テキヨウ</t>
    </rPh>
    <rPh sb="21" eb="24">
      <t>シュウリョウビ</t>
    </rPh>
    <phoneticPr fontId="3"/>
  </si>
  <si>
    <t>M43.適用開始日≦T1.発注日≦M43.適用終了日</t>
    <rPh sb="4" eb="6">
      <t>テキヨウ</t>
    </rPh>
    <rPh sb="6" eb="8">
      <t>カイシ</t>
    </rPh>
    <rPh sb="8" eb="9">
      <t>ビ</t>
    </rPh>
    <rPh sb="13" eb="15">
      <t>ハッチュウ</t>
    </rPh>
    <rPh sb="15" eb="16">
      <t>ビ</t>
    </rPh>
    <rPh sb="21" eb="23">
      <t>テキヨウ</t>
    </rPh>
    <rPh sb="23" eb="26">
      <t>シュウリョウビ</t>
    </rPh>
    <phoneticPr fontId="3"/>
  </si>
  <si>
    <t>M43.品目ＣＤ</t>
    <rPh sb="4" eb="6">
      <t>ヒンモク</t>
    </rPh>
    <phoneticPr fontId="3"/>
  </si>
  <si>
    <t>4.2.1</t>
    <phoneticPr fontId="3"/>
  </si>
  <si>
    <t>品目検査有無ＦＬＧのセット</t>
    <rPh sb="0" eb="2">
      <t>ヒンモク</t>
    </rPh>
    <rPh sb="2" eb="4">
      <t>ケンサ</t>
    </rPh>
    <rPh sb="4" eb="6">
      <t>ウム</t>
    </rPh>
    <phoneticPr fontId="3"/>
  </si>
  <si>
    <t>下り電文0のループ処理内にて、品目検査有無ＦＬＧの反映を行う。</t>
    <rPh sb="0" eb="1">
      <t>クダ</t>
    </rPh>
    <rPh sb="2" eb="4">
      <t>デンブン</t>
    </rPh>
    <rPh sb="9" eb="11">
      <t>ショリ</t>
    </rPh>
    <rPh sb="11" eb="12">
      <t>ナイ</t>
    </rPh>
    <rPh sb="15" eb="17">
      <t>ヒンモク</t>
    </rPh>
    <rPh sb="17" eb="19">
      <t>ケンサ</t>
    </rPh>
    <rPh sb="19" eb="21">
      <t>ウム</t>
    </rPh>
    <rPh sb="25" eb="27">
      <t>ハンエイ</t>
    </rPh>
    <rPh sb="28" eb="29">
      <t>オコナ</t>
    </rPh>
    <phoneticPr fontId="3"/>
  </si>
  <si>
    <t>4.2.1.1</t>
    <phoneticPr fontId="3"/>
  </si>
  <si>
    <t>&lt;条件&gt;[下り電文1]「品目ＣＤ（検査確認用）」がNULLの場合、</t>
    <rPh sb="1" eb="3">
      <t>ジョウケン</t>
    </rPh>
    <rPh sb="5" eb="6">
      <t>クダ</t>
    </rPh>
    <rPh sb="7" eb="9">
      <t>デンブン</t>
    </rPh>
    <rPh sb="12" eb="14">
      <t>ヒンモク</t>
    </rPh>
    <rPh sb="17" eb="19">
      <t>ケンサ</t>
    </rPh>
    <rPh sb="19" eb="22">
      <t>カクニンヨウ</t>
    </rPh>
    <rPh sb="30" eb="32">
      <t>バアイ</t>
    </rPh>
    <phoneticPr fontId="3"/>
  </si>
  <si>
    <t>&lt;条件&gt;[下り電文1]「品目ＣＤ（検査確認用）」がNULL以外の場合、</t>
    <rPh sb="1" eb="3">
      <t>ジョウケン</t>
    </rPh>
    <rPh sb="5" eb="6">
      <t>クダ</t>
    </rPh>
    <rPh sb="7" eb="9">
      <t>デンブン</t>
    </rPh>
    <rPh sb="12" eb="14">
      <t>ヒンモク</t>
    </rPh>
    <rPh sb="17" eb="19">
      <t>ケンサ</t>
    </rPh>
    <rPh sb="19" eb="22">
      <t>カクニンヨウ</t>
    </rPh>
    <rPh sb="29" eb="31">
      <t>イガイ</t>
    </rPh>
    <rPh sb="32" eb="34">
      <t>バアイ</t>
    </rPh>
    <phoneticPr fontId="3"/>
  </si>
  <si>
    <t>品目検査有無ＦＬＧ</t>
    <rPh sb="0" eb="2">
      <t>ヒンモク</t>
    </rPh>
    <rPh sb="2" eb="4">
      <t>ケンサ</t>
    </rPh>
    <rPh sb="4" eb="6">
      <t>ウム</t>
    </rPh>
    <phoneticPr fontId="3"/>
  </si>
  <si>
    <t>上記でセット。</t>
    <rPh sb="0" eb="2">
      <t>ジョウキ</t>
    </rPh>
    <phoneticPr fontId="3"/>
  </si>
  <si>
    <t>その他標準通り</t>
    <rPh sb="2" eb="3">
      <t>タ</t>
    </rPh>
    <rPh sb="3" eb="5">
      <t>ヒョウジュン</t>
    </rPh>
    <rPh sb="5" eb="6">
      <t>ドオ</t>
    </rPh>
    <phoneticPr fontId="3"/>
  </si>
  <si>
    <t>MSBDL0080_MST_PO_SCHD_S01</t>
  </si>
  <si>
    <t>M18.支払い条件</t>
    <rPh sb="4" eb="6">
      <t>シハラ</t>
    </rPh>
    <rPh sb="7" eb="9">
      <t>ジョウケン</t>
    </rPh>
    <phoneticPr fontId="3"/>
  </si>
  <si>
    <t>注文書備考</t>
    <rPh sb="0" eb="3">
      <t>チュウモンショ</t>
    </rPh>
    <rPh sb="3" eb="5">
      <t>ビコウ</t>
    </rPh>
    <phoneticPr fontId="3"/>
  </si>
  <si>
    <t>M43.発注注意事項</t>
    <rPh sb="4" eb="6">
      <t>ハッチュウ</t>
    </rPh>
    <rPh sb="6" eb="8">
      <t>チュウイ</t>
    </rPh>
    <rPh sb="8" eb="10">
      <t>ジコウ</t>
    </rPh>
    <phoneticPr fontId="3"/>
  </si>
  <si>
    <t>取引先条件ＣＤ１</t>
    <rPh sb="2" eb="3">
      <t>サキ</t>
    </rPh>
    <phoneticPr fontId="3"/>
  </si>
  <si>
    <t>M18.発注先取引条件ＣＤ１</t>
    <phoneticPr fontId="3"/>
  </si>
  <si>
    <t>取引先条件ＣＤ２</t>
    <rPh sb="2" eb="3">
      <t>サキ</t>
    </rPh>
    <phoneticPr fontId="3"/>
  </si>
  <si>
    <t>M18.発注先取引条件ＣＤ２</t>
  </si>
  <si>
    <t>取引先条件ＣＤ３</t>
    <rPh sb="2" eb="3">
      <t>サキ</t>
    </rPh>
    <phoneticPr fontId="3"/>
  </si>
  <si>
    <t>M18.発注先取引条件ＣＤ３</t>
  </si>
  <si>
    <t>取引先条件名１</t>
    <rPh sb="2" eb="3">
      <t>サキ</t>
    </rPh>
    <rPh sb="5" eb="6">
      <t>メイ</t>
    </rPh>
    <phoneticPr fontId="3"/>
  </si>
  <si>
    <t>M40.取引条件名</t>
    <phoneticPr fontId="3"/>
  </si>
  <si>
    <t>取引先条件名２</t>
    <rPh sb="2" eb="3">
      <t>サキ</t>
    </rPh>
    <rPh sb="5" eb="6">
      <t>メイ</t>
    </rPh>
    <phoneticPr fontId="3"/>
  </si>
  <si>
    <t>M41.取引条件名</t>
  </si>
  <si>
    <t>取引先条件名３</t>
    <rPh sb="2" eb="3">
      <t>サキ</t>
    </rPh>
    <rPh sb="5" eb="6">
      <t>メイ</t>
    </rPh>
    <phoneticPr fontId="3"/>
  </si>
  <si>
    <t>M42.取引条件名</t>
  </si>
  <si>
    <t>品目ＣＤ（検査確認用）</t>
    <rPh sb="0" eb="2">
      <t>ヒンモク</t>
    </rPh>
    <rPh sb="5" eb="7">
      <t>ケンサ</t>
    </rPh>
    <rPh sb="7" eb="10">
      <t>カクニンヨウ</t>
    </rPh>
    <phoneticPr fontId="3"/>
  </si>
  <si>
    <t>M44.品目ＣＤ</t>
    <rPh sb="4" eb="6">
      <t>ヒンモク</t>
    </rPh>
    <phoneticPr fontId="3"/>
  </si>
  <si>
    <t>テーブル・結合・抽出条件ともに標準通り</t>
    <rPh sb="5" eb="7">
      <t>ケツゴウ</t>
    </rPh>
    <rPh sb="8" eb="10">
      <t>チュウシュツ</t>
    </rPh>
    <rPh sb="10" eb="12">
      <t>ジョウケン</t>
    </rPh>
    <rPh sb="15" eb="17">
      <t>ヒョウジュン</t>
    </rPh>
    <rPh sb="17" eb="18">
      <t>ドオ</t>
    </rPh>
    <phoneticPr fontId="3"/>
  </si>
  <si>
    <t>取引条件マスタ</t>
  </si>
  <si>
    <t>M40</t>
    <phoneticPr fontId="3"/>
  </si>
  <si>
    <t>M18.発注先取引条件ＣＤ１　=　M40.取引条件ＣＤ</t>
    <rPh sb="4" eb="6">
      <t>ハッチュウ</t>
    </rPh>
    <rPh sb="6" eb="7">
      <t>サキ</t>
    </rPh>
    <rPh sb="7" eb="9">
      <t>トリヒキ</t>
    </rPh>
    <rPh sb="9" eb="11">
      <t>ジョウケン</t>
    </rPh>
    <rPh sb="21" eb="23">
      <t>トリヒキ</t>
    </rPh>
    <rPh sb="23" eb="25">
      <t>ジョウケン</t>
    </rPh>
    <phoneticPr fontId="3"/>
  </si>
  <si>
    <t>取引条件マスタ</t>
    <phoneticPr fontId="3"/>
  </si>
  <si>
    <t>M41</t>
  </si>
  <si>
    <t>M18.発注先取引条件ＣＤ１　=　M41.取引条件ＣＤ</t>
    <rPh sb="4" eb="6">
      <t>ハッチュウ</t>
    </rPh>
    <rPh sb="6" eb="7">
      <t>サキ</t>
    </rPh>
    <rPh sb="7" eb="9">
      <t>トリヒキ</t>
    </rPh>
    <rPh sb="9" eb="11">
      <t>ジョウケン</t>
    </rPh>
    <rPh sb="21" eb="23">
      <t>トリヒキ</t>
    </rPh>
    <rPh sb="23" eb="25">
      <t>ジョウケン</t>
    </rPh>
    <phoneticPr fontId="3"/>
  </si>
  <si>
    <t>M42</t>
  </si>
  <si>
    <t>M18.発注先取引条件ＣＤ１　=　M42.取引条件ＣＤ</t>
    <rPh sb="4" eb="6">
      <t>ハッチュウ</t>
    </rPh>
    <rPh sb="6" eb="7">
      <t>サキ</t>
    </rPh>
    <rPh sb="7" eb="9">
      <t>トリヒキ</t>
    </rPh>
    <rPh sb="9" eb="11">
      <t>ジョウケン</t>
    </rPh>
    <rPh sb="21" eb="23">
      <t>トリヒキ</t>
    </rPh>
    <rPh sb="23" eb="25">
      <t>ジョウケン</t>
    </rPh>
    <phoneticPr fontId="3"/>
  </si>
  <si>
    <t>コメントマスタ</t>
    <phoneticPr fontId="3"/>
  </si>
  <si>
    <t>M43</t>
    <phoneticPr fontId="3"/>
  </si>
  <si>
    <t>T1.発注ＷＧ　=　M43.WG</t>
    <rPh sb="3" eb="5">
      <t>ハッチュウ</t>
    </rPh>
    <phoneticPr fontId="3"/>
  </si>
  <si>
    <t>T1.発注先ＣＤ　=　M43.発注先ＣＤ</t>
    <rPh sb="3" eb="5">
      <t>ハッチュウ</t>
    </rPh>
    <rPh sb="5" eb="6">
      <t>サキ</t>
    </rPh>
    <phoneticPr fontId="3"/>
  </si>
  <si>
    <t>4.</t>
    <phoneticPr fontId="3"/>
  </si>
  <si>
    <t>固定値の設定</t>
    <rPh sb="0" eb="3">
      <t>コテイチ</t>
    </rPh>
    <rPh sb="4" eb="6">
      <t>セッテイ</t>
    </rPh>
    <phoneticPr fontId="3"/>
  </si>
  <si>
    <t>品目ＣＤ</t>
    <rPh sb="0" eb="2">
      <t>ヒンモク</t>
    </rPh>
    <phoneticPr fontId="1"/>
  </si>
  <si>
    <t>発注先ＣＤ</t>
    <rPh sb="0" eb="2">
      <t>ハッチュウ</t>
    </rPh>
    <rPh sb="2" eb="3">
      <t>サキ</t>
    </rPh>
    <phoneticPr fontId="1"/>
  </si>
  <si>
    <t>納入場所ＷＧ</t>
    <rPh sb="0" eb="2">
      <t>ノウニュウ</t>
    </rPh>
    <rPh sb="2" eb="4">
      <t>バショ</t>
    </rPh>
    <phoneticPr fontId="1"/>
  </si>
  <si>
    <t>発注日</t>
    <rPh sb="0" eb="2">
      <t>ハッチュウ</t>
    </rPh>
    <rPh sb="2" eb="3">
      <t>ビ</t>
    </rPh>
    <phoneticPr fontId="1"/>
  </si>
  <si>
    <t>[下り電文0]項目</t>
    <rPh sb="1" eb="2">
      <t>クダ</t>
    </rPh>
    <rPh sb="3" eb="5">
      <t>デンブン</t>
    </rPh>
    <rPh sb="7" eb="9">
      <t>コウモク</t>
    </rPh>
    <phoneticPr fontId="3"/>
  </si>
  <si>
    <t>初物ＦＬＧ</t>
    <rPh sb="0" eb="2">
      <t>ハツモノ</t>
    </rPh>
    <phoneticPr fontId="1"/>
  </si>
  <si>
    <t>品目検査有無ＦＬＧのセット</t>
    <rPh sb="0" eb="2">
      <t>ヒンモク</t>
    </rPh>
    <rPh sb="2" eb="4">
      <t>ケンサ</t>
    </rPh>
    <rPh sb="4" eb="6">
      <t>ウム</t>
    </rPh>
    <phoneticPr fontId="3"/>
  </si>
  <si>
    <t>下り電文1の手動初物判定ＦＬＧに対し、固定値でオフの値をセットする処理を追加。</t>
    <rPh sb="0" eb="1">
      <t>クダ</t>
    </rPh>
    <rPh sb="2" eb="4">
      <t>デンブン</t>
    </rPh>
    <rPh sb="6" eb="8">
      <t>シュドウ</t>
    </rPh>
    <rPh sb="8" eb="10">
      <t>ハツモノ</t>
    </rPh>
    <rPh sb="10" eb="12">
      <t>ハンテイ</t>
    </rPh>
    <rPh sb="16" eb="17">
      <t>タイ</t>
    </rPh>
    <rPh sb="19" eb="22">
      <t>コテイチ</t>
    </rPh>
    <rPh sb="26" eb="27">
      <t>アタイ</t>
    </rPh>
    <rPh sb="33" eb="35">
      <t>ショリ</t>
    </rPh>
    <rPh sb="36" eb="38">
      <t>ツイカ</t>
    </rPh>
    <phoneticPr fontId="3"/>
  </si>
  <si>
    <t>下り電文1のループ処理内にて、初物判定処理の実行と、実行結果の反映を行う。</t>
    <rPh sb="0" eb="1">
      <t>クダ</t>
    </rPh>
    <rPh sb="2" eb="4">
      <t>デンブン</t>
    </rPh>
    <rPh sb="9" eb="11">
      <t>ショリ</t>
    </rPh>
    <rPh sb="11" eb="12">
      <t>ナイ</t>
    </rPh>
    <rPh sb="15" eb="17">
      <t>ハツモノ</t>
    </rPh>
    <rPh sb="17" eb="19">
      <t>ハンテイ</t>
    </rPh>
    <rPh sb="19" eb="21">
      <t>ショリ</t>
    </rPh>
    <rPh sb="22" eb="24">
      <t>ジッコウ</t>
    </rPh>
    <rPh sb="26" eb="28">
      <t>ジッコウ</t>
    </rPh>
    <rPh sb="28" eb="30">
      <t>ケッカ</t>
    </rPh>
    <rPh sb="31" eb="33">
      <t>ハンエイ</t>
    </rPh>
    <rPh sb="34" eb="35">
      <t>オコナ</t>
    </rPh>
    <phoneticPr fontId="3"/>
  </si>
  <si>
    <t>[下り電文1]品目ＣＤ</t>
    <rPh sb="1" eb="2">
      <t>クダ</t>
    </rPh>
    <rPh sb="3" eb="5">
      <t>デンブン</t>
    </rPh>
    <rPh sb="7" eb="9">
      <t>ヒンモク</t>
    </rPh>
    <phoneticPr fontId="1"/>
  </si>
  <si>
    <t>[下り電文1]発注先ＣＤ</t>
    <rPh sb="1" eb="2">
      <t>クダ</t>
    </rPh>
    <rPh sb="3" eb="5">
      <t>デンブン</t>
    </rPh>
    <rPh sb="7" eb="9">
      <t>ハッチュウ</t>
    </rPh>
    <rPh sb="9" eb="10">
      <t>サキ</t>
    </rPh>
    <phoneticPr fontId="1"/>
  </si>
  <si>
    <t>[下り電文1]納入場所ＷＧ</t>
    <rPh sb="1" eb="2">
      <t>クダ</t>
    </rPh>
    <rPh sb="3" eb="5">
      <t>デンブン</t>
    </rPh>
    <rPh sb="7" eb="9">
      <t>ノウニュウ</t>
    </rPh>
    <rPh sb="9" eb="11">
      <t>バショ</t>
    </rPh>
    <phoneticPr fontId="1"/>
  </si>
  <si>
    <t>[下り電文1]発注日</t>
    <rPh sb="1" eb="2">
      <t>クダ</t>
    </rPh>
    <rPh sb="3" eb="5">
      <t>デンブン</t>
    </rPh>
    <rPh sb="7" eb="9">
      <t>ハッチュウ</t>
    </rPh>
    <rPh sb="9" eb="10">
      <t>ビ</t>
    </rPh>
    <phoneticPr fontId="1"/>
  </si>
  <si>
    <t>MCRowで受け取った戻り値を、以下の通り[下り電文1]のコンテナに反映する。</t>
    <rPh sb="6" eb="7">
      <t>ウ</t>
    </rPh>
    <rPh sb="8" eb="9">
      <t>ト</t>
    </rPh>
    <rPh sb="11" eb="12">
      <t>モド</t>
    </rPh>
    <rPh sb="13" eb="14">
      <t>チ</t>
    </rPh>
    <rPh sb="16" eb="18">
      <t>イカ</t>
    </rPh>
    <rPh sb="19" eb="20">
      <t>トオ</t>
    </rPh>
    <rPh sb="22" eb="23">
      <t>クダ</t>
    </rPh>
    <rPh sb="24" eb="26">
      <t>デンブン</t>
    </rPh>
    <rPh sb="34" eb="36">
      <t>ハンエイ</t>
    </rPh>
    <phoneticPr fontId="3"/>
  </si>
  <si>
    <t>下り電文1のループ処理内にて、品目検査有無ＦＬＧの反映を行う。</t>
    <rPh sb="0" eb="1">
      <t>クダ</t>
    </rPh>
    <rPh sb="2" eb="4">
      <t>デンブン</t>
    </rPh>
    <rPh sb="9" eb="11">
      <t>ショリ</t>
    </rPh>
    <rPh sb="11" eb="12">
      <t>ナイ</t>
    </rPh>
    <rPh sb="15" eb="17">
      <t>ヒンモク</t>
    </rPh>
    <rPh sb="17" eb="19">
      <t>ケンサ</t>
    </rPh>
    <rPh sb="19" eb="21">
      <t>ウム</t>
    </rPh>
    <rPh sb="25" eb="27">
      <t>ハンエイ</t>
    </rPh>
    <rPh sb="28" eb="29">
      <t>オコナ</t>
    </rPh>
    <phoneticPr fontId="3"/>
  </si>
  <si>
    <t>発注予定検索【F1】 Srch02　※画面遷移時に使用される</t>
    <rPh sb="2" eb="4">
      <t>ヨテイ</t>
    </rPh>
    <rPh sb="19" eb="21">
      <t>ガメン</t>
    </rPh>
    <rPh sb="21" eb="23">
      <t>センイ</t>
    </rPh>
    <rPh sb="23" eb="24">
      <t>ジ</t>
    </rPh>
    <rPh sb="25" eb="27">
      <t>シヨウ</t>
    </rPh>
    <phoneticPr fontId="3"/>
  </si>
  <si>
    <t>4.2.1</t>
    <phoneticPr fontId="3"/>
  </si>
  <si>
    <t>（オペレーション仕様書_Srch02シートの、Srch01_Hdrコンテナに以下のヘッダ項目を追加する）</t>
    <rPh sb="8" eb="11">
      <t>シヨウショ</t>
    </rPh>
    <rPh sb="38" eb="40">
      <t>イカ</t>
    </rPh>
    <rPh sb="44" eb="46">
      <t>コウモク</t>
    </rPh>
    <rPh sb="47" eb="49">
      <t>ツイカ</t>
    </rPh>
    <phoneticPr fontId="3"/>
  </si>
  <si>
    <t>4.2.2</t>
    <phoneticPr fontId="3"/>
  </si>
  <si>
    <t>4.2.2.1</t>
    <phoneticPr fontId="3"/>
  </si>
  <si>
    <t>4.2.2.2</t>
    <phoneticPr fontId="3"/>
  </si>
  <si>
    <t>4.2.3</t>
    <phoneticPr fontId="3"/>
  </si>
  <si>
    <t>4.2.3.1</t>
    <phoneticPr fontId="3"/>
  </si>
  <si>
    <t>4.2</t>
    <phoneticPr fontId="3"/>
  </si>
  <si>
    <t>ー</t>
    <phoneticPr fontId="3"/>
  </si>
  <si>
    <t>ー</t>
    <phoneticPr fontId="3"/>
  </si>
  <si>
    <t>入力補助として、連携項目に『取引先Ａ(MA.MAUAP0010.BpA)』を使用する。</t>
    <rPh sb="0" eb="2">
      <t>ニュウリョク</t>
    </rPh>
    <rPh sb="2" eb="4">
      <t>ホジョ</t>
    </rPh>
    <rPh sb="8" eb="10">
      <t>レンケイ</t>
    </rPh>
    <rPh sb="10" eb="12">
      <t>コウモク</t>
    </rPh>
    <rPh sb="14" eb="16">
      <t>トリヒキ</t>
    </rPh>
    <rPh sb="16" eb="17">
      <t>サキ</t>
    </rPh>
    <rPh sb="38" eb="40">
      <t>シヨウ</t>
    </rPh>
    <phoneticPr fontId="3"/>
  </si>
  <si>
    <t>※共通定義書：MAUAL0010_取引先_取引条件　を参照。</t>
    <rPh sb="1" eb="3">
      <t>キョウツウ</t>
    </rPh>
    <rPh sb="3" eb="6">
      <t>テイギショ</t>
    </rPh>
    <rPh sb="27" eb="29">
      <t>サンショウ</t>
    </rPh>
    <phoneticPr fontId="3"/>
  </si>
  <si>
    <t>LCイベント</t>
    <phoneticPr fontId="3"/>
  </si>
  <si>
    <t>※共通定義書：MAUAL0010_コメントマスタ_発注注意事項　を参照。</t>
    <rPh sb="1" eb="3">
      <t>キョウツウ</t>
    </rPh>
    <rPh sb="3" eb="6">
      <t>テイギショ</t>
    </rPh>
    <rPh sb="25" eb="27">
      <t>ハッチュウ</t>
    </rPh>
    <rPh sb="27" eb="29">
      <t>チュウイ</t>
    </rPh>
    <rPh sb="29" eb="31">
      <t>ジコウ</t>
    </rPh>
    <rPh sb="33" eb="35">
      <t>サンショウ</t>
    </rPh>
    <phoneticPr fontId="3"/>
  </si>
  <si>
    <t>4</t>
    <phoneticPr fontId="3"/>
  </si>
  <si>
    <t>5</t>
    <phoneticPr fontId="3"/>
  </si>
  <si>
    <t>7</t>
    <phoneticPr fontId="3"/>
  </si>
  <si>
    <t>9</t>
    <phoneticPr fontId="3"/>
  </si>
  <si>
    <t>※共通定義書：MAUAL0010_品目品管マスタ存在有無　を参照。</t>
    <rPh sb="1" eb="3">
      <t>キョウツウ</t>
    </rPh>
    <rPh sb="3" eb="6">
      <t>テイギショ</t>
    </rPh>
    <rPh sb="17" eb="19">
      <t>ヒンモク</t>
    </rPh>
    <rPh sb="19" eb="21">
      <t>ヒンカン</t>
    </rPh>
    <rPh sb="24" eb="26">
      <t>ソンザイ</t>
    </rPh>
    <rPh sb="26" eb="28">
      <t>ウム</t>
    </rPh>
    <rPh sb="30" eb="32">
      <t>サンショウ</t>
    </rPh>
    <phoneticPr fontId="3"/>
  </si>
  <si>
    <t>※必須チェックで引っ掛かった場合、またはマスタ登録が無い場合などは戻り値は空行（false、NULLの値）で</t>
    <rPh sb="1" eb="3">
      <t>ヒッス</t>
    </rPh>
    <rPh sb="8" eb="9">
      <t>ヒ</t>
    </rPh>
    <rPh sb="10" eb="11">
      <t>カ</t>
    </rPh>
    <rPh sb="14" eb="16">
      <t>バアイ</t>
    </rPh>
    <rPh sb="23" eb="25">
      <t>トウロク</t>
    </rPh>
    <rPh sb="26" eb="27">
      <t>ナ</t>
    </rPh>
    <rPh sb="28" eb="30">
      <t>バアイ</t>
    </rPh>
    <rPh sb="33" eb="34">
      <t>モド</t>
    </rPh>
    <rPh sb="35" eb="36">
      <t>チ</t>
    </rPh>
    <rPh sb="37" eb="38">
      <t>カラ</t>
    </rPh>
    <rPh sb="38" eb="39">
      <t>ギョウ</t>
    </rPh>
    <rPh sb="51" eb="52">
      <t>アタイ</t>
    </rPh>
    <phoneticPr fontId="3"/>
  </si>
  <si>
    <t>戻ってくるため、そのまま上書きで初期化する。</t>
    <rPh sb="0" eb="1">
      <t>モド</t>
    </rPh>
    <rPh sb="12" eb="14">
      <t>ウワガ</t>
    </rPh>
    <rPh sb="16" eb="19">
      <t>ショキカ</t>
    </rPh>
    <phoneticPr fontId="3"/>
  </si>
  <si>
    <t>[登録]枠[発注先]</t>
    <rPh sb="1" eb="3">
      <t>トウロク</t>
    </rPh>
    <rPh sb="4" eb="5">
      <t>ワク</t>
    </rPh>
    <rPh sb="6" eb="8">
      <t>ハッチュウ</t>
    </rPh>
    <rPh sb="8" eb="9">
      <t>サキ</t>
    </rPh>
    <phoneticPr fontId="3"/>
  </si>
  <si>
    <t>［明細]枠「搬入口」</t>
    <rPh sb="1" eb="3">
      <t>メイサイ</t>
    </rPh>
    <rPh sb="6" eb="8">
      <t>ハンニュウ</t>
    </rPh>
    <rPh sb="8" eb="9">
      <t>グチ</t>
    </rPh>
    <phoneticPr fontId="3"/>
  </si>
  <si>
    <t>[明細]枠「初物」の入力制御</t>
    <rPh sb="6" eb="8">
      <t>ハツモノ</t>
    </rPh>
    <rPh sb="10" eb="12">
      <t>ニュウリョク</t>
    </rPh>
    <rPh sb="12" eb="14">
      <t>セイギョ</t>
    </rPh>
    <phoneticPr fontId="3"/>
  </si>
  <si>
    <t>[明細]枠「同時計上」</t>
    <rPh sb="1" eb="3">
      <t>メイサイ</t>
    </rPh>
    <rPh sb="4" eb="5">
      <t>ワク</t>
    </rPh>
    <rPh sb="6" eb="8">
      <t>ドウジ</t>
    </rPh>
    <rPh sb="8" eb="10">
      <t>ケイジョウ</t>
    </rPh>
    <phoneticPr fontId="3"/>
  </si>
  <si>
    <t>T1支払条件</t>
    <rPh sb="2" eb="4">
      <t>シハラ</t>
    </rPh>
    <rPh sb="4" eb="6">
      <t>ジョウケン</t>
    </rPh>
    <phoneticPr fontId="3"/>
  </si>
  <si>
    <t>リストロジック『品目品管マスタ存在有無』を使用する。</t>
    <rPh sb="8" eb="10">
      <t>ヒンモク</t>
    </rPh>
    <rPh sb="10" eb="11">
      <t>ヒン</t>
    </rPh>
    <rPh sb="11" eb="12">
      <t>カン</t>
    </rPh>
    <rPh sb="15" eb="17">
      <t>ソンザイ</t>
    </rPh>
    <rPh sb="17" eb="19">
      <t>ウム</t>
    </rPh>
    <rPh sb="21" eb="23">
      <t>シヨウ</t>
    </rPh>
    <phoneticPr fontId="3"/>
  </si>
  <si>
    <t>リストロジック『汎用マスタ』を使用する。</t>
    <rPh sb="8" eb="10">
      <t>ハンヨウ</t>
    </rPh>
    <rPh sb="15" eb="17">
      <t>シヨウ</t>
    </rPh>
    <phoneticPr fontId="3"/>
  </si>
  <si>
    <t>※共通定義書：MAUAL0010_汎用マスタ　を参照。</t>
    <rPh sb="1" eb="3">
      <t>キョウツウ</t>
    </rPh>
    <rPh sb="3" eb="6">
      <t>テイギショ</t>
    </rPh>
    <rPh sb="17" eb="19">
      <t>ハンヨウ</t>
    </rPh>
    <rPh sb="24" eb="26">
      <t>サンショウ</t>
    </rPh>
    <phoneticPr fontId="3"/>
  </si>
  <si>
    <t>項目名</t>
    <rPh sb="0" eb="2">
      <t>コウモク</t>
    </rPh>
    <rPh sb="2" eb="3">
      <t>メイ</t>
    </rPh>
    <phoneticPr fontId="20"/>
  </si>
  <si>
    <t>5.</t>
    <phoneticPr fontId="3"/>
  </si>
  <si>
    <t>12</t>
    <phoneticPr fontId="3"/>
  </si>
  <si>
    <t>チェック Chk01</t>
    <phoneticPr fontId="3"/>
  </si>
  <si>
    <t>取り消す 【12】 Del01</t>
    <phoneticPr fontId="3"/>
  </si>
  <si>
    <t>更新する (更新) 【F9】　Upd01</t>
    <rPh sb="6" eb="8">
      <t>コウシン</t>
    </rPh>
    <phoneticPr fontId="3"/>
  </si>
  <si>
    <t>1.</t>
    <phoneticPr fontId="3"/>
  </si>
  <si>
    <t>標準通り</t>
    <rPh sb="0" eb="2">
      <t>ヒョウジュン</t>
    </rPh>
    <rPh sb="2" eb="3">
      <t>ドオ</t>
    </rPh>
    <phoneticPr fontId="3"/>
  </si>
  <si>
    <t>2.</t>
    <phoneticPr fontId="3"/>
  </si>
  <si>
    <t>2.1</t>
    <phoneticPr fontId="3"/>
  </si>
  <si>
    <t>上り電文のセット</t>
    <rPh sb="0" eb="1">
      <t>ノボ</t>
    </rPh>
    <rPh sb="2" eb="4">
      <t>デンブン</t>
    </rPh>
    <phoneticPr fontId="3"/>
  </si>
  <si>
    <t>2.2</t>
    <phoneticPr fontId="3"/>
  </si>
  <si>
    <t>発注登録サービスのチェック処理（MSBD5100.Po_Chk01）</t>
    <rPh sb="0" eb="2">
      <t>ハッチュウ</t>
    </rPh>
    <rPh sb="2" eb="4">
      <t>トウロク</t>
    </rPh>
    <rPh sb="13" eb="15">
      <t>ショリ</t>
    </rPh>
    <phoneticPr fontId="3"/>
  </si>
  <si>
    <t>2.3</t>
    <phoneticPr fontId="3"/>
  </si>
  <si>
    <t>エラーフラグの反映</t>
    <rPh sb="7" eb="9">
      <t>ハンエイ</t>
    </rPh>
    <phoneticPr fontId="3"/>
  </si>
  <si>
    <t>2.4</t>
    <phoneticPr fontId="3"/>
  </si>
  <si>
    <t>受注登録（社内発注）保持用リストの作成</t>
    <rPh sb="0" eb="2">
      <t>ジュチュウ</t>
    </rPh>
    <rPh sb="2" eb="4">
      <t>トウロク</t>
    </rPh>
    <rPh sb="5" eb="7">
      <t>シャナイ</t>
    </rPh>
    <rPh sb="7" eb="9">
      <t>ハッチュウ</t>
    </rPh>
    <rPh sb="10" eb="13">
      <t>ホジヨウ</t>
    </rPh>
    <rPh sb="17" eb="19">
      <t>サクセイ</t>
    </rPh>
    <phoneticPr fontId="3"/>
  </si>
  <si>
    <t>2.4.1</t>
    <phoneticPr fontId="3"/>
  </si>
  <si>
    <t>&lt;条件&gt;発注情報登録サービスのチェック処理の[下り電文3]が空ではない場合</t>
    <rPh sb="1" eb="3">
      <t>ジョウケン</t>
    </rPh>
    <rPh sb="4" eb="6">
      <t>ハッチュウ</t>
    </rPh>
    <rPh sb="6" eb="8">
      <t>ジョウホウ</t>
    </rPh>
    <rPh sb="8" eb="10">
      <t>トウロク</t>
    </rPh>
    <rPh sb="19" eb="21">
      <t>ショリ</t>
    </rPh>
    <rPh sb="23" eb="24">
      <t>クダ</t>
    </rPh>
    <rPh sb="25" eb="27">
      <t>デンブン</t>
    </rPh>
    <rPh sb="30" eb="31">
      <t>カラ</t>
    </rPh>
    <rPh sb="35" eb="37">
      <t>バアイ</t>
    </rPh>
    <phoneticPr fontId="3"/>
  </si>
  <si>
    <t>・</t>
    <phoneticPr fontId="3"/>
  </si>
  <si>
    <t>発注情報サービスのチェック処理（MSBDL5100.Po_Chk01）のSlo_Upd01_Hdrコンテナを元に、</t>
    <rPh sb="0" eb="2">
      <t>ハッチュウ</t>
    </rPh>
    <rPh sb="2" eb="4">
      <t>ジョウホウ</t>
    </rPh>
    <rPh sb="13" eb="15">
      <t>ショリ</t>
    </rPh>
    <rPh sb="54" eb="55">
      <t>モト</t>
    </rPh>
    <phoneticPr fontId="3"/>
  </si>
  <si>
    <t>[受注登録（社内発注）ヘッダ]リストを作成する。</t>
    <rPh sb="1" eb="3">
      <t>ジュチュウ</t>
    </rPh>
    <rPh sb="3" eb="5">
      <t>トウロク</t>
    </rPh>
    <rPh sb="6" eb="8">
      <t>シャナイ</t>
    </rPh>
    <rPh sb="8" eb="10">
      <t>ハッチュウ</t>
    </rPh>
    <rPh sb="19" eb="21">
      <t>サクセイ</t>
    </rPh>
    <phoneticPr fontId="3"/>
  </si>
  <si>
    <t>[受注登録（社内発注）ヘッダ]</t>
  </si>
  <si>
    <t>発注情報サービスのチェック処理（MSBDL5100.Po_Chk01）のSlo_Upd01_Dtlコンテナを元に、</t>
    <rPh sb="0" eb="2">
      <t>ハッチュウ</t>
    </rPh>
    <rPh sb="2" eb="4">
      <t>ジョウホウ</t>
    </rPh>
    <rPh sb="13" eb="15">
      <t>ショリ</t>
    </rPh>
    <rPh sb="54" eb="55">
      <t>モト</t>
    </rPh>
    <phoneticPr fontId="3"/>
  </si>
  <si>
    <t>[受注登録（社内発注）明細]リストを作成する。</t>
    <rPh sb="1" eb="3">
      <t>ジュチュウ</t>
    </rPh>
    <rPh sb="3" eb="5">
      <t>トウロク</t>
    </rPh>
    <rPh sb="6" eb="8">
      <t>シャナイ</t>
    </rPh>
    <rPh sb="8" eb="10">
      <t>ハッチュウ</t>
    </rPh>
    <rPh sb="11" eb="13">
      <t>メイサイ</t>
    </rPh>
    <rPh sb="18" eb="20">
      <t>サクセイ</t>
    </rPh>
    <phoneticPr fontId="3"/>
  </si>
  <si>
    <t>[受注登録（社内発注）明細]</t>
  </si>
  <si>
    <t>以下を発注登録（MSBDL0080）のインスタンス変数として、キャッシュの宣言の下あたりに宣言を追加する。</t>
    <rPh sb="0" eb="2">
      <t>イカ</t>
    </rPh>
    <rPh sb="3" eb="5">
      <t>ハッチュウ</t>
    </rPh>
    <rPh sb="5" eb="7">
      <t>トウロク</t>
    </rPh>
    <rPh sb="25" eb="27">
      <t>ヘンスウ</t>
    </rPh>
    <rPh sb="37" eb="39">
      <t>センゲン</t>
    </rPh>
    <rPh sb="40" eb="41">
      <t>シタ</t>
    </rPh>
    <rPh sb="45" eb="47">
      <t>センゲン</t>
    </rPh>
    <rPh sb="48" eb="50">
      <t>ツイカ</t>
    </rPh>
    <phoneticPr fontId="3"/>
  </si>
  <si>
    <t>発注情報登録サービスのチェック処理の[下り電文3]を、[受注登録（社内発注）ヘッダ]にセットする。</t>
    <rPh sb="28" eb="30">
      <t>ジュチュウ</t>
    </rPh>
    <rPh sb="30" eb="32">
      <t>トウロク</t>
    </rPh>
    <rPh sb="33" eb="35">
      <t>シャナイ</t>
    </rPh>
    <rPh sb="35" eb="37">
      <t>ハッチュウ</t>
    </rPh>
    <phoneticPr fontId="3"/>
  </si>
  <si>
    <t>発注情報登録サービスのチェック処理の[下り電文4]を、[受注登録（社内発注）明細]にセットする。</t>
    <rPh sb="28" eb="30">
      <t>ジュチュウ</t>
    </rPh>
    <rPh sb="30" eb="32">
      <t>トウロク</t>
    </rPh>
    <rPh sb="33" eb="35">
      <t>シャナイ</t>
    </rPh>
    <rPh sb="35" eb="37">
      <t>ハッチュウ</t>
    </rPh>
    <rPh sb="38" eb="40">
      <t>メイサイ</t>
    </rPh>
    <phoneticPr fontId="3"/>
  </si>
  <si>
    <t>4.1.3</t>
  </si>
  <si>
    <t>4.1.3.1</t>
    <phoneticPr fontId="3"/>
  </si>
  <si>
    <t>表示順コピー</t>
    <rPh sb="0" eb="2">
      <t>ヒョウジ</t>
    </rPh>
    <rPh sb="2" eb="3">
      <t>ジュン</t>
    </rPh>
    <phoneticPr fontId="3"/>
  </si>
  <si>
    <t>&lt;ループ&gt;[上り電文「1」をループし、以下の処理を繰り返す。</t>
    <rPh sb="6" eb="7">
      <t>ノボ</t>
    </rPh>
    <rPh sb="8" eb="10">
      <t>デンブン</t>
    </rPh>
    <rPh sb="19" eb="21">
      <t>イカ</t>
    </rPh>
    <rPh sb="22" eb="24">
      <t>ショリ</t>
    </rPh>
    <rPh sb="25" eb="26">
      <t>ク</t>
    </rPh>
    <rPh sb="27" eb="28">
      <t>カエ</t>
    </rPh>
    <phoneticPr fontId="3"/>
  </si>
  <si>
    <t>[受注登録（社内発注）明細]</t>
    <phoneticPr fontId="3"/>
  </si>
  <si>
    <t>明細を取得する。</t>
    <rPh sb="0" eb="2">
      <t>メイサイ</t>
    </rPh>
    <rPh sb="3" eb="5">
      <t>シュトク</t>
    </rPh>
    <phoneticPr fontId="3"/>
  </si>
  <si>
    <t>[受注登録（社内発注）明細]から、ループ対象の[上り電文1]「紐付けＮＯ」が一致する</t>
    <rPh sb="20" eb="22">
      <t>タイショウ</t>
    </rPh>
    <rPh sb="24" eb="25">
      <t>ノボ</t>
    </rPh>
    <rPh sb="26" eb="28">
      <t>デンブン</t>
    </rPh>
    <rPh sb="31" eb="32">
      <t>ヒモ</t>
    </rPh>
    <rPh sb="32" eb="33">
      <t>ヅ</t>
    </rPh>
    <rPh sb="38" eb="40">
      <t>イッチ</t>
    </rPh>
    <phoneticPr fontId="3"/>
  </si>
  <si>
    <t>取得した明細の「表示順」に、ループ対象の[上り電文1]「表示順」をコピーする。</t>
    <rPh sb="0" eb="2">
      <t>シュトク</t>
    </rPh>
    <rPh sb="4" eb="6">
      <t>メイサイ</t>
    </rPh>
    <rPh sb="8" eb="10">
      <t>ヒョウジ</t>
    </rPh>
    <rPh sb="10" eb="11">
      <t>ジュン</t>
    </rPh>
    <rPh sb="17" eb="19">
      <t>タイショウ</t>
    </rPh>
    <rPh sb="21" eb="22">
      <t>ノボ</t>
    </rPh>
    <rPh sb="23" eb="25">
      <t>デンブン</t>
    </rPh>
    <rPh sb="28" eb="30">
      <t>ヒョウジ</t>
    </rPh>
    <rPh sb="30" eb="31">
      <t>ジュン</t>
    </rPh>
    <phoneticPr fontId="3"/>
  </si>
  <si>
    <t>4.1.3.2</t>
  </si>
  <si>
    <t>※</t>
    <phoneticPr fontId="3"/>
  </si>
  <si>
    <t>4.1.3.3</t>
  </si>
  <si>
    <t>[受注登録（社内発注）ヘッダ]</t>
    <phoneticPr fontId="3"/>
  </si>
  <si>
    <t>の設定を行う。（今回追加処理）</t>
    <rPh sb="4" eb="5">
      <t>オコナ</t>
    </rPh>
    <phoneticPr fontId="3"/>
  </si>
  <si>
    <t>&lt;条件&gt;[受注登録（社内発注）ヘッダ]が空ではない場合、受注登録（社内発注）用上り電文</t>
    <rPh sb="1" eb="3">
      <t>ジョウケン</t>
    </rPh>
    <rPh sb="25" eb="27">
      <t>バアイ</t>
    </rPh>
    <phoneticPr fontId="3"/>
  </si>
  <si>
    <t>4.1.4</t>
    <phoneticPr fontId="3"/>
  </si>
  <si>
    <t>MSBDL5100</t>
    <phoneticPr fontId="3"/>
  </si>
  <si>
    <t>Po_Ins01</t>
    <phoneticPr fontId="3"/>
  </si>
  <si>
    <t>発注情報を登録する。</t>
  </si>
  <si>
    <t>Po_Ins01_Hdr</t>
  </si>
  <si>
    <t>List</t>
  </si>
  <si>
    <t>標準通り。</t>
    <rPh sb="0" eb="3">
      <t>ヒョウジュンドオ</t>
    </rPh>
    <phoneticPr fontId="3"/>
  </si>
  <si>
    <t>[上り電文0]</t>
    <rPh sb="1" eb="2">
      <t>ノボ</t>
    </rPh>
    <rPh sb="3" eb="5">
      <t>デンブン</t>
    </rPh>
    <phoneticPr fontId="3"/>
  </si>
  <si>
    <t>支払い条件</t>
    <rPh sb="0" eb="2">
      <t>シハラ</t>
    </rPh>
    <rPh sb="3" eb="5">
      <t>ジョウケン</t>
    </rPh>
    <phoneticPr fontId="3"/>
  </si>
  <si>
    <t>受注登録（社内発注）のために、発注サービスのチェック内で行った受注登録サービスのチェックの結果を保持・使用しないといけない。</t>
    <rPh sb="0" eb="2">
      <t>ジュチュウ</t>
    </rPh>
    <rPh sb="2" eb="4">
      <t>トウロク</t>
    </rPh>
    <rPh sb="5" eb="7">
      <t>シャナイ</t>
    </rPh>
    <rPh sb="7" eb="9">
      <t>ハッチュウ</t>
    </rPh>
    <rPh sb="15" eb="17">
      <t>ハッチュウ</t>
    </rPh>
    <rPh sb="26" eb="27">
      <t>ナイ</t>
    </rPh>
    <rPh sb="28" eb="29">
      <t>オコナ</t>
    </rPh>
    <rPh sb="31" eb="33">
      <t>ジュチュウ</t>
    </rPh>
    <rPh sb="33" eb="35">
      <t>トウロク</t>
    </rPh>
    <rPh sb="45" eb="47">
      <t>ケッカ</t>
    </rPh>
    <rPh sb="48" eb="50">
      <t>ホジ</t>
    </rPh>
    <rPh sb="51" eb="53">
      <t>シヨウ</t>
    </rPh>
    <phoneticPr fontId="3"/>
  </si>
  <si>
    <t>上り項目、下り項目の設定もコピーする。</t>
    <rPh sb="0" eb="1">
      <t>ノボ</t>
    </rPh>
    <rPh sb="2" eb="4">
      <t>コウモク</t>
    </rPh>
    <rPh sb="5" eb="6">
      <t>クダ</t>
    </rPh>
    <rPh sb="7" eb="9">
      <t>コウモク</t>
    </rPh>
    <rPh sb="10" eb="12">
      <t>セッテイ</t>
    </rPh>
    <phoneticPr fontId="3"/>
  </si>
  <si>
    <t>ただし、紐付けＮＯは上り下りともにEとする。</t>
    <rPh sb="4" eb="5">
      <t>ヒモ</t>
    </rPh>
    <rPh sb="5" eb="6">
      <t>ヅケ</t>
    </rPh>
    <rPh sb="10" eb="11">
      <t>ノボ</t>
    </rPh>
    <rPh sb="12" eb="13">
      <t>クダ</t>
    </rPh>
    <phoneticPr fontId="3"/>
  </si>
  <si>
    <t>Po_Upd01</t>
  </si>
  <si>
    <t>発注情報を訂正する。</t>
  </si>
  <si>
    <t>Po_Ins01_Dtl</t>
  </si>
  <si>
    <t>更新前チェック</t>
    <rPh sb="0" eb="2">
      <t>コウシン</t>
    </rPh>
    <rPh sb="2" eb="3">
      <t>マエ</t>
    </rPh>
    <phoneticPr fontId="3"/>
  </si>
  <si>
    <t>Po_Chk01_Hdr</t>
  </si>
  <si>
    <t>そのために、Slo_ChkA01のオペレーションに受注登録サービスのSlo_Chk01オペレーションの、Slo_Upd01_Hdrブロックをシェアで追加する。</t>
    <rPh sb="25" eb="27">
      <t>ジュチュウ</t>
    </rPh>
    <rPh sb="27" eb="29">
      <t>トウロク</t>
    </rPh>
    <rPh sb="74" eb="76">
      <t>ツイカ</t>
    </rPh>
    <phoneticPr fontId="3"/>
  </si>
  <si>
    <t>そのために、Slo_ChkA01のオペレーションに受注登録サービスのSlo_Chk01オペレーションの、Slo_Upd01_Dtlブロックをシェアで追加する。</t>
    <rPh sb="25" eb="27">
      <t>ジュチュウ</t>
    </rPh>
    <rPh sb="27" eb="29">
      <t>トウロク</t>
    </rPh>
    <rPh sb="74" eb="76">
      <t>ツイカ</t>
    </rPh>
    <phoneticPr fontId="3"/>
  </si>
  <si>
    <t>[受注登録（社内発注）ヘッダ]の同名項目を、[サービスの上り電文3]にセットする。</t>
    <rPh sb="1" eb="3">
      <t>ジュチュウ</t>
    </rPh>
    <rPh sb="3" eb="5">
      <t>トウロク</t>
    </rPh>
    <rPh sb="6" eb="8">
      <t>シャナイ</t>
    </rPh>
    <rPh sb="8" eb="10">
      <t>ハッチュウ</t>
    </rPh>
    <rPh sb="16" eb="18">
      <t>ドウメイ</t>
    </rPh>
    <rPh sb="18" eb="20">
      <t>コウモク</t>
    </rPh>
    <rPh sb="28" eb="29">
      <t>ノボ</t>
    </rPh>
    <rPh sb="30" eb="32">
      <t>デンブン</t>
    </rPh>
    <phoneticPr fontId="3"/>
  </si>
  <si>
    <t>[受注登録（社内発注）明細]の同名項目を、[サービスの上り電文4]にセットする。</t>
    <rPh sb="1" eb="3">
      <t>ジュチュウ</t>
    </rPh>
    <rPh sb="3" eb="5">
      <t>トウロク</t>
    </rPh>
    <rPh sb="6" eb="8">
      <t>シャナイ</t>
    </rPh>
    <rPh sb="8" eb="10">
      <t>ハッチュウ</t>
    </rPh>
    <rPh sb="11" eb="13">
      <t>メイサイ</t>
    </rPh>
    <rPh sb="15" eb="17">
      <t>ドウメイ</t>
    </rPh>
    <rPh sb="17" eb="19">
      <t>コウモク</t>
    </rPh>
    <rPh sb="27" eb="28">
      <t>ノボ</t>
    </rPh>
    <rPh sb="29" eb="31">
      <t>デンブン</t>
    </rPh>
    <phoneticPr fontId="3"/>
  </si>
  <si>
    <t>株式会社XXXX殿</t>
    <phoneticPr fontId="3"/>
  </si>
  <si>
    <t>XX</t>
    <phoneticPr fontId="3"/>
  </si>
  <si>
    <t>XX-XX-9999</t>
    <phoneticPr fontId="3"/>
  </si>
  <si>
    <t>詳細設計フェーズ成果物として納品</t>
    <rPh sb="0" eb="2">
      <t>ショウサイ</t>
    </rPh>
    <rPh sb="2" eb="4">
      <t>セッケイ</t>
    </rPh>
    <phoneticPr fontId="3"/>
  </si>
  <si>
    <t>【説明】</t>
    <rPh sb="1" eb="3">
      <t>セツメイ</t>
    </rPh>
    <phoneticPr fontId="3"/>
  </si>
  <si>
    <t>【目的】</t>
    <rPh sb="1" eb="3">
      <t>モクテキ</t>
    </rPh>
    <phoneticPr fontId="3"/>
  </si>
  <si>
    <t>【操作イメージ】</t>
    <rPh sb="1" eb="3">
      <t>ソウサ</t>
    </rPh>
    <phoneticPr fontId="3"/>
  </si>
  <si>
    <t>・</t>
    <phoneticPr fontId="3"/>
  </si>
  <si>
    <t>検索ボタンを押下して発注情報を検索する。</t>
    <rPh sb="0" eb="2">
      <t>ケンサク</t>
    </rPh>
    <rPh sb="6" eb="8">
      <t>オウカ</t>
    </rPh>
    <rPh sb="10" eb="12">
      <t>ハッチュウ</t>
    </rPh>
    <rPh sb="12" eb="14">
      <t>ジョウホウ</t>
    </rPh>
    <rPh sb="15" eb="17">
      <t>ケンサク</t>
    </rPh>
    <phoneticPr fontId="3"/>
  </si>
  <si>
    <t>登録ボタンを押下して発注情報を登録する。</t>
    <rPh sb="0" eb="2">
      <t>トウロク</t>
    </rPh>
    <rPh sb="6" eb="8">
      <t>オウカ</t>
    </rPh>
    <rPh sb="10" eb="12">
      <t>ハッチュウ</t>
    </rPh>
    <rPh sb="12" eb="14">
      <t>ジョウホウ</t>
    </rPh>
    <rPh sb="15" eb="17">
      <t>トウロク</t>
    </rPh>
    <phoneticPr fontId="3"/>
  </si>
  <si>
    <t>発注の登録と同時に注文書を発行する場合は、注文書フラグをオンにして登録する。</t>
    <rPh sb="0" eb="2">
      <t>ハッチュウ</t>
    </rPh>
    <rPh sb="3" eb="5">
      <t>トウロク</t>
    </rPh>
    <rPh sb="6" eb="8">
      <t>ドウジ</t>
    </rPh>
    <rPh sb="9" eb="12">
      <t>チュウモンショ</t>
    </rPh>
    <rPh sb="13" eb="15">
      <t>ハッコウ</t>
    </rPh>
    <rPh sb="17" eb="19">
      <t>バアイ</t>
    </rPh>
    <rPh sb="21" eb="24">
      <t>チュウモンショ</t>
    </rPh>
    <rPh sb="33" eb="35">
      <t>トウロク</t>
    </rPh>
    <phoneticPr fontId="3"/>
  </si>
  <si>
    <t>削除ボタンを押下して発注情報を削除する。</t>
    <rPh sb="0" eb="2">
      <t>サクジョ</t>
    </rPh>
    <rPh sb="6" eb="8">
      <t>オウカ</t>
    </rPh>
    <rPh sb="10" eb="12">
      <t>ハッチュウ</t>
    </rPh>
    <rPh sb="12" eb="14">
      <t>ジョウホウ</t>
    </rPh>
    <rPh sb="15" eb="17">
      <t>サクジョ</t>
    </rPh>
    <phoneticPr fontId="3"/>
  </si>
  <si>
    <t>2. 前提条件</t>
    <rPh sb="3" eb="5">
      <t>ゼンテイ</t>
    </rPh>
    <rPh sb="5" eb="7">
      <t>ジョウケン</t>
    </rPh>
    <phoneticPr fontId="3"/>
  </si>
  <si>
    <t>画面の以下の項目変更時に初物判定を行い、判定結果を画面明細の購入仕様書ＮＯ、手動初物判定ＦＬＧ、初物ＦＬＧに表示する。</t>
    <phoneticPr fontId="3"/>
  </si>
  <si>
    <t>2</t>
    <phoneticPr fontId="3"/>
  </si>
  <si>
    <t>3</t>
    <phoneticPr fontId="3"/>
  </si>
  <si>
    <t>10</t>
    <phoneticPr fontId="3"/>
  </si>
  <si>
    <t>11</t>
    <phoneticPr fontId="3"/>
  </si>
  <si>
    <t>13</t>
    <phoneticPr fontId="3"/>
  </si>
  <si>
    <t>[登録]枠「発注先」選択時の処理</t>
    <rPh sb="1" eb="3">
      <t>トウロク</t>
    </rPh>
    <rPh sb="6" eb="8">
      <t>ハッチュウ</t>
    </rPh>
    <rPh sb="8" eb="9">
      <t>サキ</t>
    </rPh>
    <phoneticPr fontId="3"/>
  </si>
  <si>
    <t>[登録]枠「発注日」、[明細]枠「品目」選択時の処理</t>
    <rPh sb="1" eb="3">
      <t>トウロク</t>
    </rPh>
    <rPh sb="4" eb="5">
      <t>ワク</t>
    </rPh>
    <rPh sb="6" eb="8">
      <t>ハッチュウ</t>
    </rPh>
    <rPh sb="8" eb="9">
      <t>ビ</t>
    </rPh>
    <rPh sb="12" eb="14">
      <t>メイサイ</t>
    </rPh>
    <rPh sb="15" eb="16">
      <t>ワク</t>
    </rPh>
    <rPh sb="17" eb="19">
      <t>ヒンモク</t>
    </rPh>
    <rPh sb="20" eb="22">
      <t>センタク</t>
    </rPh>
    <rPh sb="22" eb="23">
      <t>ジ</t>
    </rPh>
    <rPh sb="24" eb="26">
      <t>ショリ</t>
    </rPh>
    <phoneticPr fontId="3"/>
  </si>
  <si>
    <t>&lt;ループ&gt;[判定リスト]をループし、9.初物判定セットを実行する。</t>
    <rPh sb="6" eb="8">
      <t>ハンテイ</t>
    </rPh>
    <rPh sb="20" eb="22">
      <t>ハツモノ</t>
    </rPh>
    <rPh sb="22" eb="24">
      <t>ハンテイ</t>
    </rPh>
    <rPh sb="28" eb="30">
      <t>ジッコウ</t>
    </rPh>
    <phoneticPr fontId="3"/>
  </si>
  <si>
    <t>株式会社XXXX殿</t>
    <rPh sb="0" eb="4">
      <t>カブシキガイシャ</t>
    </rPh>
    <rPh sb="8" eb="9">
      <t>トノ</t>
    </rPh>
    <phoneticPr fontId="3"/>
  </si>
  <si>
    <t>・注文書はmcframe標準のものとXXXX様現在使用のもののレイアウト及び、印刷内容の乖離が大きいため、アドオン対応する。（追加）</t>
    <phoneticPr fontId="3"/>
  </si>
  <si>
    <t>行編集ボタンで明細行を編集する。</t>
    <rPh sb="0" eb="1">
      <t>ギョウ</t>
    </rPh>
    <rPh sb="1" eb="3">
      <t>ヘンシュウ</t>
    </rPh>
    <rPh sb="7" eb="9">
      <t>メイサイ</t>
    </rPh>
    <rPh sb="9" eb="10">
      <t>ギョウ</t>
    </rPh>
    <rPh sb="11" eb="13">
      <t>ヘンシュウ</t>
    </rPh>
    <phoneticPr fontId="3"/>
  </si>
  <si>
    <t>ヘッダ、明細枠に発注情報を入力する。</t>
    <rPh sb="4" eb="6">
      <t>メイサイ</t>
    </rPh>
    <rPh sb="6" eb="7">
      <t>ワク</t>
    </rPh>
    <rPh sb="8" eb="10">
      <t>ハッチュウ</t>
    </rPh>
    <rPh sb="10" eb="12">
      <t>ジョウホウ</t>
    </rPh>
    <rPh sb="13" eb="15">
      <t>ニュウリョク</t>
    </rPh>
    <phoneticPr fontId="3"/>
  </si>
  <si>
    <t>LEFT OUTER JOIN</t>
    <phoneticPr fontId="3"/>
  </si>
  <si>
    <t>7.0.1.1</t>
    <phoneticPr fontId="3"/>
  </si>
  <si>
    <t>搬入口ＣＤ</t>
    <rPh sb="0" eb="2">
      <t>ハンニュウ</t>
    </rPh>
    <rPh sb="2" eb="3">
      <t>グチ</t>
    </rPh>
    <phoneticPr fontId="3"/>
  </si>
  <si>
    <t>搬入口名</t>
    <rPh sb="0" eb="2">
      <t>ハンニュウ</t>
    </rPh>
    <rPh sb="2" eb="3">
      <t>グチ</t>
    </rPh>
    <rPh sb="3" eb="4">
      <t>メイ</t>
    </rPh>
    <phoneticPr fontId="3"/>
  </si>
  <si>
    <t>購入仕様書ＮＯ</t>
    <rPh sb="0" eb="2">
      <t>コウニュウ</t>
    </rPh>
    <rPh sb="2" eb="5">
      <t>シヨウショ</t>
    </rPh>
    <phoneticPr fontId="20"/>
  </si>
  <si>
    <t>ID</t>
    <phoneticPr fontId="3"/>
  </si>
  <si>
    <t>処理名</t>
    <rPh sb="0" eb="2">
      <t>ショリ</t>
    </rPh>
    <rPh sb="2" eb="3">
      <t>メイ</t>
    </rPh>
    <phoneticPr fontId="3"/>
  </si>
  <si>
    <t>ダブルクリック対象</t>
    <rPh sb="7" eb="9">
      <t>タイショウ</t>
    </rPh>
    <phoneticPr fontId="3"/>
  </si>
  <si>
    <t>ダブルクリック処理条件</t>
    <rPh sb="7" eb="9">
      <t>ショリ</t>
    </rPh>
    <rPh sb="9" eb="11">
      <t>ジョウケン</t>
    </rPh>
    <phoneticPr fontId="3"/>
  </si>
  <si>
    <t>納期調整</t>
    <rPh sb="0" eb="2">
      <t>ノウキ</t>
    </rPh>
    <rPh sb="2" eb="4">
      <t>チョウセイ</t>
    </rPh>
    <phoneticPr fontId="3"/>
  </si>
  <si>
    <t>遷移処理</t>
    <rPh sb="0" eb="2">
      <t>センイ</t>
    </rPh>
    <rPh sb="2" eb="4">
      <t>ショリ</t>
    </rPh>
    <phoneticPr fontId="3"/>
  </si>
  <si>
    <t>遷移先画面ＩＤ</t>
    <rPh sb="0" eb="2">
      <t>センイ</t>
    </rPh>
    <rPh sb="2" eb="3">
      <t>サキ</t>
    </rPh>
    <rPh sb="3" eb="5">
      <t>ガメン</t>
    </rPh>
    <phoneticPr fontId="3"/>
  </si>
  <si>
    <t>遷移先画面名</t>
    <rPh sb="0" eb="2">
      <t>センイ</t>
    </rPh>
    <rPh sb="2" eb="3">
      <t>サキ</t>
    </rPh>
    <rPh sb="3" eb="5">
      <t>ガメン</t>
    </rPh>
    <rPh sb="5" eb="6">
      <t>メイ</t>
    </rPh>
    <phoneticPr fontId="3"/>
  </si>
  <si>
    <t>購買納期調整登録</t>
    <rPh sb="0" eb="2">
      <t>コウバイ</t>
    </rPh>
    <rPh sb="2" eb="4">
      <t>ノウキ</t>
    </rPh>
    <rPh sb="4" eb="6">
      <t>チョウセイ</t>
    </rPh>
    <rPh sb="6" eb="8">
      <t>トウロク</t>
    </rPh>
    <phoneticPr fontId="3"/>
  </si>
  <si>
    <t>遷移条件</t>
    <rPh sb="0" eb="2">
      <t>センイ</t>
    </rPh>
    <rPh sb="2" eb="4">
      <t>ジョウケン</t>
    </rPh>
    <phoneticPr fontId="3"/>
  </si>
  <si>
    <t>操作種別が「登録する」・「訂正する」で登録後、操作種別が「参照する」のいずれか</t>
    <rPh sb="0" eb="2">
      <t>ソウサ</t>
    </rPh>
    <rPh sb="2" eb="4">
      <t>シュベツ</t>
    </rPh>
    <rPh sb="6" eb="8">
      <t>トウロク</t>
    </rPh>
    <rPh sb="19" eb="21">
      <t>トウロク</t>
    </rPh>
    <rPh sb="21" eb="22">
      <t>ゴ</t>
    </rPh>
    <phoneticPr fontId="3"/>
  </si>
  <si>
    <t>引継項目・種別</t>
    <rPh sb="0" eb="2">
      <t>ヒキツ</t>
    </rPh>
    <rPh sb="2" eb="4">
      <t>コウモク</t>
    </rPh>
    <rPh sb="5" eb="7">
      <t>シュベツ</t>
    </rPh>
    <phoneticPr fontId="3"/>
  </si>
  <si>
    <t>遷移元画面項目</t>
    <rPh sb="0" eb="2">
      <t>センイ</t>
    </rPh>
    <rPh sb="2" eb="3">
      <t>モト</t>
    </rPh>
    <rPh sb="3" eb="5">
      <t>ガメン</t>
    </rPh>
    <rPh sb="5" eb="7">
      <t>コウモク</t>
    </rPh>
    <phoneticPr fontId="3"/>
  </si>
  <si>
    <t>遷移先画面項目</t>
    <rPh sb="0" eb="2">
      <t>センイ</t>
    </rPh>
    <rPh sb="2" eb="3">
      <t>サキ</t>
    </rPh>
    <rPh sb="3" eb="5">
      <t>ガメン</t>
    </rPh>
    <rPh sb="5" eb="7">
      <t>コウモク</t>
    </rPh>
    <phoneticPr fontId="3"/>
  </si>
  <si>
    <t>発注ＮＯ</t>
    <rPh sb="0" eb="2">
      <t>ハッチュウ</t>
    </rPh>
    <phoneticPr fontId="3"/>
  </si>
  <si>
    <t>検索対象ＮＯ（発注ＮＯ)</t>
    <rPh sb="0" eb="2">
      <t>ケンサク</t>
    </rPh>
    <rPh sb="2" eb="4">
      <t>タイショウ</t>
    </rPh>
    <rPh sb="7" eb="9">
      <t>ハッチュウ</t>
    </rPh>
    <phoneticPr fontId="3"/>
  </si>
  <si>
    <t>遷移後のアクション</t>
    <rPh sb="0" eb="2">
      <t>センイ</t>
    </rPh>
    <rPh sb="2" eb="3">
      <t>ゴ</t>
    </rPh>
    <phoneticPr fontId="3"/>
  </si>
  <si>
    <t>ソート順</t>
    <rPh sb="3" eb="4">
      <t>ジュン</t>
    </rPh>
    <phoneticPr fontId="3"/>
  </si>
  <si>
    <t>来歴</t>
    <rPh sb="0" eb="2">
      <t>ライレキ</t>
    </rPh>
    <phoneticPr fontId="3"/>
  </si>
  <si>
    <t>顧客名</t>
    <rPh sb="0" eb="2">
      <t>コキャク</t>
    </rPh>
    <rPh sb="2" eb="3">
      <t>メイ</t>
    </rPh>
    <phoneticPr fontId="3"/>
  </si>
  <si>
    <t>作成者</t>
    <rPh sb="0" eb="3">
      <t>サクセイシャ</t>
    </rPh>
    <phoneticPr fontId="3"/>
  </si>
  <si>
    <t>作成日</t>
    <rPh sb="0" eb="3">
      <t>サクセイビ</t>
    </rPh>
    <phoneticPr fontId="3"/>
  </si>
  <si>
    <t>文書番号</t>
    <rPh sb="0" eb="2">
      <t>ブンショ</t>
    </rPh>
    <rPh sb="2" eb="4">
      <t>バンゴウ</t>
    </rPh>
    <phoneticPr fontId="3"/>
  </si>
  <si>
    <t>サブシステム</t>
    <phoneticPr fontId="3"/>
  </si>
  <si>
    <t>修正者</t>
    <rPh sb="0" eb="2">
      <t>シュウセイ</t>
    </rPh>
    <rPh sb="2" eb="3">
      <t>シャ</t>
    </rPh>
    <phoneticPr fontId="3"/>
  </si>
  <si>
    <t>修正日</t>
    <rPh sb="0" eb="2">
      <t>シュウセイ</t>
    </rPh>
    <rPh sb="2" eb="3">
      <t>ビ</t>
    </rPh>
    <phoneticPr fontId="3"/>
  </si>
  <si>
    <t>機能ID</t>
    <rPh sb="0" eb="2">
      <t>キノウ</t>
    </rPh>
    <phoneticPr fontId="3"/>
  </si>
  <si>
    <t>機能名</t>
    <rPh sb="0" eb="3">
      <t>キノウメイ</t>
    </rPh>
    <phoneticPr fontId="3"/>
  </si>
  <si>
    <t>システム</t>
    <phoneticPr fontId="3"/>
  </si>
  <si>
    <t>Rev.</t>
    <phoneticPr fontId="3"/>
  </si>
  <si>
    <t>項目仕様</t>
    <rPh sb="0" eb="2">
      <t>コウモク</t>
    </rPh>
    <rPh sb="2" eb="4">
      <t>シヨウ</t>
    </rPh>
    <phoneticPr fontId="3"/>
  </si>
  <si>
    <t>メッセージ一覧</t>
    <rPh sb="5" eb="7">
      <t>イチラン</t>
    </rPh>
    <phoneticPr fontId="3"/>
  </si>
  <si>
    <t>プロジェクト</t>
    <phoneticPr fontId="3"/>
  </si>
  <si>
    <t>プロジェクト</t>
    <phoneticPr fontId="3"/>
  </si>
  <si>
    <t>Rev.</t>
    <phoneticPr fontId="3"/>
  </si>
  <si>
    <t>r00.00</t>
  </si>
  <si>
    <t>r00.01</t>
  </si>
  <si>
    <t>r00.02</t>
  </si>
  <si>
    <t>r00.03</t>
  </si>
  <si>
    <t>r01.00</t>
  </si>
  <si>
    <t>r01.01</t>
  </si>
  <si>
    <t>r01.02</t>
  </si>
  <si>
    <t>r01.03</t>
  </si>
  <si>
    <t>r02.00</t>
  </si>
  <si>
    <t>XX</t>
  </si>
  <si>
    <t>YY</t>
  </si>
  <si>
    <t>Rev.</t>
    <phoneticPr fontId="3"/>
  </si>
  <si>
    <t>a.操作種別</t>
  </si>
  <si>
    <t>d.システム情報</t>
  </si>
  <si>
    <t>e.共通項目</t>
  </si>
  <si>
    <t>g.フッタ</t>
  </si>
  <si>
    <t>取引条件備考３</t>
  </si>
  <si>
    <t>同時計上ＦＬＧ</t>
  </si>
  <si>
    <t>注文書発行</t>
  </si>
  <si>
    <t>オフ</t>
  </si>
  <si>
    <t>r01.00</t>
    <phoneticPr fontId="3"/>
  </si>
  <si>
    <t>基本設計フェーズ成果物として納品</t>
    <phoneticPr fontId="3"/>
  </si>
  <si>
    <t>XX</t>
    <phoneticPr fontId="3"/>
  </si>
  <si>
    <t>XX</t>
    <phoneticPr fontId="3"/>
  </si>
  <si>
    <t>PM(XX)</t>
    <phoneticPr fontId="3"/>
  </si>
  <si>
    <t>XX</t>
    <phoneticPr fontId="3"/>
  </si>
  <si>
    <t>埋込画面</t>
    <rPh sb="0" eb="2">
      <t>ウメコミ</t>
    </rPh>
    <rPh sb="2" eb="4">
      <t>ガメン</t>
    </rPh>
    <phoneticPr fontId="3"/>
  </si>
  <si>
    <t>呼出オペレーション</t>
    <rPh sb="0" eb="2">
      <t>ヨビダシ</t>
    </rPh>
    <phoneticPr fontId="3"/>
  </si>
  <si>
    <t>追</t>
  </si>
  <si>
    <t>追</t>
    <rPh sb="0" eb="1">
      <t>ツイ</t>
    </rPh>
    <phoneticPr fontId="3"/>
  </si>
  <si>
    <t>追/変</t>
    <rPh sb="2" eb="3">
      <t>ヘン</t>
    </rPh>
    <phoneticPr fontId="3"/>
  </si>
  <si>
    <t>初物判定を自動で行うか、手動で行うかを設定する。</t>
    <rPh sb="0" eb="2">
      <t>ハツモノ</t>
    </rPh>
    <rPh sb="2" eb="4">
      <t>ハンテイ</t>
    </rPh>
    <rPh sb="5" eb="7">
      <t>ジドウ</t>
    </rPh>
    <rPh sb="8" eb="9">
      <t>オコナ</t>
    </rPh>
    <rPh sb="12" eb="14">
      <t>シュドウ</t>
    </rPh>
    <rPh sb="15" eb="16">
      <t>オコナ</t>
    </rPh>
    <rPh sb="19" eb="21">
      <t>セッテイ</t>
    </rPh>
    <phoneticPr fontId="3"/>
  </si>
  <si>
    <t>初物判定結果を表示する。
手動判定の場合は品目が初物か否かを設定する。</t>
    <rPh sb="0" eb="2">
      <t>ハツモノ</t>
    </rPh>
    <rPh sb="2" eb="4">
      <t>ハンテイ</t>
    </rPh>
    <rPh sb="4" eb="6">
      <t>ケッカ</t>
    </rPh>
    <rPh sb="7" eb="9">
      <t>ヒョウジ</t>
    </rPh>
    <rPh sb="13" eb="15">
      <t>シュドウ</t>
    </rPh>
    <rPh sb="15" eb="17">
      <t>ハンテイ</t>
    </rPh>
    <rPh sb="18" eb="20">
      <t>バアイ</t>
    </rPh>
    <rPh sb="21" eb="23">
      <t>ヒンモク</t>
    </rPh>
    <rPh sb="24" eb="26">
      <t>ハツモノ</t>
    </rPh>
    <rPh sb="27" eb="28">
      <t>イナ</t>
    </rPh>
    <rPh sb="30" eb="32">
      <t>セッテイ</t>
    </rPh>
    <phoneticPr fontId="3"/>
  </si>
  <si>
    <t>E</t>
    <phoneticPr fontId="3"/>
  </si>
  <si>
    <t>更新処理</t>
    <rPh sb="0" eb="2">
      <t>コウシン</t>
    </rPh>
    <rPh sb="2" eb="4">
      <t>ショリ</t>
    </rPh>
    <phoneticPr fontId="3"/>
  </si>
  <si>
    <t>処理・サービス関連図</t>
    <rPh sb="0" eb="2">
      <t>ショリ</t>
    </rPh>
    <rPh sb="7" eb="9">
      <t>カンレン</t>
    </rPh>
    <rPh sb="9" eb="10">
      <t>ズ</t>
    </rPh>
    <phoneticPr fontId="3"/>
  </si>
  <si>
    <t>MSBDP0080</t>
  </si>
  <si>
    <t>mcframe7</t>
  </si>
  <si>
    <t>新基幹システム構築プロジェクト</t>
  </si>
  <si>
    <t>発注登録</t>
  </si>
  <si>
    <t>株式会社XXXX殿</t>
  </si>
  <si>
    <t>SCM</t>
  </si>
  <si>
    <t>XX-XX-9999</t>
  </si>
  <si>
    <t>（リストロジック：getCmnt）</t>
    <phoneticPr fontId="30"/>
  </si>
  <si>
    <t>WG</t>
    <phoneticPr fontId="3"/>
  </si>
  <si>
    <t>発注日</t>
    <rPh sb="0" eb="2">
      <t>ハッチュウ</t>
    </rPh>
    <rPh sb="2" eb="3">
      <t>ビ</t>
    </rPh>
    <phoneticPr fontId="3"/>
  </si>
  <si>
    <t>[登録]枠.「ワーキンググループ」</t>
    <rPh sb="0" eb="1">
      <t>ノボ</t>
    </rPh>
    <rPh sb="1" eb="3">
      <t>トウロク</t>
    </rPh>
    <rPh sb="4" eb="5">
      <t>ワク</t>
    </rPh>
    <phoneticPr fontId="3"/>
  </si>
  <si>
    <t>[登録]枠.「発注先CD」</t>
    <rPh sb="0" eb="1">
      <t>ノボ</t>
    </rPh>
    <rPh sb="1" eb="3">
      <t>トウロク</t>
    </rPh>
    <rPh sb="4" eb="5">
      <t>ワク</t>
    </rPh>
    <rPh sb="7" eb="9">
      <t>ハッチュウ</t>
    </rPh>
    <rPh sb="9" eb="10">
      <t>サキ</t>
    </rPh>
    <phoneticPr fontId="3"/>
  </si>
  <si>
    <t>[登録]枠.「発注日」</t>
    <rPh sb="0" eb="1">
      <t>ノボ</t>
    </rPh>
    <rPh sb="1" eb="3">
      <t>トウロク</t>
    </rPh>
    <rPh sb="4" eb="5">
      <t>ワク</t>
    </rPh>
    <rPh sb="7" eb="9">
      <t>ハッチュウ</t>
    </rPh>
    <rPh sb="9" eb="10">
      <t>ビ</t>
    </rPh>
    <phoneticPr fontId="3"/>
  </si>
  <si>
    <t>設定値</t>
    <rPh sb="0" eb="2">
      <t>セッテイ</t>
    </rPh>
    <rPh sb="2" eb="3">
      <t>チ</t>
    </rPh>
    <phoneticPr fontId="3"/>
  </si>
  <si>
    <t>（リストロジック：getItmInsp）</t>
    <phoneticPr fontId="30"/>
  </si>
  <si>
    <t>品目CD</t>
    <rPh sb="0" eb="2">
      <t>ヒンモク</t>
    </rPh>
    <phoneticPr fontId="3"/>
  </si>
  <si>
    <t>基準日</t>
    <rPh sb="0" eb="3">
      <t>キジュンビ</t>
    </rPh>
    <phoneticPr fontId="3"/>
  </si>
  <si>
    <t>[登録]枠.「品目」</t>
    <rPh sb="0" eb="1">
      <t>ノボ</t>
    </rPh>
    <rPh sb="1" eb="3">
      <t>トウロク</t>
    </rPh>
    <rPh sb="4" eb="5">
      <t>ワク</t>
    </rPh>
    <rPh sb="7" eb="9">
      <t>ヒンモク</t>
    </rPh>
    <phoneticPr fontId="3"/>
  </si>
  <si>
    <t>[登録]枠.「発注日」</t>
    <rPh sb="0" eb="1">
      <t>ノボ</t>
    </rPh>
    <rPh sb="1" eb="3">
      <t>トウロク</t>
    </rPh>
    <rPh sb="4" eb="5">
      <t>ワク</t>
    </rPh>
    <rPh sb="7" eb="9">
      <t>ハッチュウ</t>
    </rPh>
    <rPh sb="9" eb="10">
      <t>ヒ</t>
    </rPh>
    <phoneticPr fontId="3"/>
  </si>
  <si>
    <t>[明細]枠.「品目検査有無」</t>
    <rPh sb="0" eb="2">
      <t>メイサイ</t>
    </rPh>
    <rPh sb="3" eb="4">
      <t>ワク</t>
    </rPh>
    <rPh sb="7" eb="9">
      <t>ヒンモク</t>
    </rPh>
    <rPh sb="9" eb="11">
      <t>ケンサ</t>
    </rPh>
    <rPh sb="11" eb="13">
      <t>ウム</t>
    </rPh>
    <phoneticPr fontId="3"/>
  </si>
  <si>
    <t>　オン</t>
  </si>
  <si>
    <t>・戻り値がfalseの場合</t>
  </si>
  <si>
    <t>　オフ</t>
  </si>
  <si>
    <t>・戻り値がtrueの場合</t>
    <phoneticPr fontId="3"/>
  </si>
  <si>
    <t>[下り電文１].「品目検査有無」</t>
    <rPh sb="1" eb="2">
      <t>クダ</t>
    </rPh>
    <rPh sb="3" eb="5">
      <t>デンブン</t>
    </rPh>
    <rPh sb="9" eb="11">
      <t>ヒンモク</t>
    </rPh>
    <rPh sb="11" eb="13">
      <t>ケンサ</t>
    </rPh>
    <rPh sb="13" eb="15">
      <t>ウム</t>
    </rPh>
    <phoneticPr fontId="3"/>
  </si>
  <si>
    <t>（入力補助：MA.MAUAP0010.BpA）</t>
    <rPh sb="1" eb="3">
      <t>ニュウリョク</t>
    </rPh>
    <rPh sb="3" eb="5">
      <t>ホジョ</t>
    </rPh>
    <phoneticPr fontId="30"/>
  </si>
  <si>
    <t>取引先入力補助検索区分</t>
    <rPh sb="0" eb="2">
      <t>トリヒキ</t>
    </rPh>
    <rPh sb="2" eb="3">
      <t>サキ</t>
    </rPh>
    <rPh sb="3" eb="5">
      <t>ニュウリョク</t>
    </rPh>
    <rPh sb="5" eb="7">
      <t>ホジョ</t>
    </rPh>
    <rPh sb="7" eb="9">
      <t>ケンサク</t>
    </rPh>
    <rPh sb="9" eb="11">
      <t>クブン</t>
    </rPh>
    <phoneticPr fontId="3"/>
  </si>
  <si>
    <t>取引先入力補助検索区分.発注先</t>
    <rPh sb="0" eb="2">
      <t>トリヒキ</t>
    </rPh>
    <rPh sb="2" eb="3">
      <t>サキ</t>
    </rPh>
    <rPh sb="3" eb="5">
      <t>ニュウリョク</t>
    </rPh>
    <rPh sb="5" eb="7">
      <t>ホジョ</t>
    </rPh>
    <rPh sb="7" eb="9">
      <t>ケンサク</t>
    </rPh>
    <rPh sb="9" eb="11">
      <t>クブン</t>
    </rPh>
    <rPh sb="12" eb="14">
      <t>ハッチュウ</t>
    </rPh>
    <rPh sb="14" eb="15">
      <t>サキ</t>
    </rPh>
    <phoneticPr fontId="3"/>
  </si>
  <si>
    <t>[登録]枠.「発注先」</t>
    <rPh sb="0" eb="1">
      <t>ノボ</t>
    </rPh>
    <rPh sb="1" eb="3">
      <t>トウロク</t>
    </rPh>
    <rPh sb="4" eb="5">
      <t>ワク</t>
    </rPh>
    <rPh sb="7" eb="9">
      <t>ハッチュウ</t>
    </rPh>
    <rPh sb="9" eb="10">
      <t>サキ</t>
    </rPh>
    <phoneticPr fontId="3"/>
  </si>
  <si>
    <t>国外FLG</t>
    <rPh sb="0" eb="1">
      <t>コクガイ</t>
    </rPh>
    <phoneticPr fontId="3"/>
  </si>
  <si>
    <t>[登録]枠.「国外」</t>
    <rPh sb="1" eb="3">
      <t>トウロク</t>
    </rPh>
    <rPh sb="3" eb="4">
      <t>ワク</t>
    </rPh>
    <rPh sb="7" eb="9">
      <t>コクガイ</t>
    </rPh>
    <phoneticPr fontId="3"/>
  </si>
  <si>
    <t>[登録]枠.「取引先条件１」</t>
    <rPh sb="1" eb="3">
      <t>トウロク</t>
    </rPh>
    <rPh sb="3" eb="4">
      <t>ワク</t>
    </rPh>
    <rPh sb="7" eb="9">
      <t>トリヒキ</t>
    </rPh>
    <rPh sb="9" eb="10">
      <t>サキ</t>
    </rPh>
    <rPh sb="10" eb="12">
      <t>ジョウケン</t>
    </rPh>
    <phoneticPr fontId="3"/>
  </si>
  <si>
    <t>発注先取引先条件CD１</t>
    <rPh sb="0" eb="1">
      <t>ハッチュウ</t>
    </rPh>
    <rPh sb="1" eb="2">
      <t>サキ</t>
    </rPh>
    <rPh sb="2" eb="4">
      <t>トリヒキ</t>
    </rPh>
    <rPh sb="4" eb="5">
      <t>サキ</t>
    </rPh>
    <rPh sb="5" eb="7">
      <t>ジョウケン</t>
    </rPh>
    <phoneticPr fontId="3"/>
  </si>
  <si>
    <t>[登録]枠.「取引先条件２」</t>
    <rPh sb="1" eb="3">
      <t>トウロク</t>
    </rPh>
    <rPh sb="3" eb="4">
      <t>ワク</t>
    </rPh>
    <rPh sb="7" eb="9">
      <t>トリヒキ</t>
    </rPh>
    <rPh sb="9" eb="10">
      <t>サキ</t>
    </rPh>
    <rPh sb="10" eb="12">
      <t>ジョウケン</t>
    </rPh>
    <phoneticPr fontId="3"/>
  </si>
  <si>
    <t>発注先取引先条件CD２</t>
    <rPh sb="0" eb="1">
      <t>ハッチュウ</t>
    </rPh>
    <rPh sb="1" eb="2">
      <t>サキ</t>
    </rPh>
    <rPh sb="2" eb="4">
      <t>トリヒキ</t>
    </rPh>
    <rPh sb="4" eb="5">
      <t>サキ</t>
    </rPh>
    <rPh sb="5" eb="7">
      <t>ジョウケン</t>
    </rPh>
    <phoneticPr fontId="3"/>
  </si>
  <si>
    <t>[登録]枠.「取引先条件３」</t>
    <rPh sb="1" eb="3">
      <t>トウロク</t>
    </rPh>
    <rPh sb="3" eb="4">
      <t>ワク</t>
    </rPh>
    <rPh sb="7" eb="9">
      <t>トリヒキ</t>
    </rPh>
    <rPh sb="9" eb="10">
      <t>サキ</t>
    </rPh>
    <rPh sb="10" eb="12">
      <t>ジョウケン</t>
    </rPh>
    <phoneticPr fontId="3"/>
  </si>
  <si>
    <t>発注先取引先条件CD３</t>
    <rPh sb="0" eb="1">
      <t>ハッチュウ</t>
    </rPh>
    <rPh sb="1" eb="2">
      <t>サキ</t>
    </rPh>
    <rPh sb="2" eb="4">
      <t>トリヒキ</t>
    </rPh>
    <rPh sb="4" eb="5">
      <t>サキ</t>
    </rPh>
    <rPh sb="5" eb="7">
      <t>ジョウケン</t>
    </rPh>
    <phoneticPr fontId="3"/>
  </si>
  <si>
    <t>[登録]枠.「取引先条件名１」</t>
    <rPh sb="1" eb="3">
      <t>トウロク</t>
    </rPh>
    <rPh sb="3" eb="4">
      <t>ワク</t>
    </rPh>
    <rPh sb="7" eb="9">
      <t>トリヒキ</t>
    </rPh>
    <rPh sb="9" eb="10">
      <t>サキ</t>
    </rPh>
    <rPh sb="10" eb="12">
      <t>ジョウケン</t>
    </rPh>
    <rPh sb="12" eb="13">
      <t>メイ</t>
    </rPh>
    <phoneticPr fontId="3"/>
  </si>
  <si>
    <t>発注先取引先条件名１</t>
    <rPh sb="0" eb="1">
      <t>ハッチュウ</t>
    </rPh>
    <rPh sb="1" eb="2">
      <t>サキ</t>
    </rPh>
    <rPh sb="2" eb="4">
      <t>トリヒキ</t>
    </rPh>
    <rPh sb="4" eb="5">
      <t>サキ</t>
    </rPh>
    <rPh sb="5" eb="7">
      <t>ジョウケン</t>
    </rPh>
    <rPh sb="8" eb="9">
      <t>メイ</t>
    </rPh>
    <phoneticPr fontId="3"/>
  </si>
  <si>
    <t>[登録]枠.「取引先条件名２」</t>
    <rPh sb="1" eb="3">
      <t>トウロク</t>
    </rPh>
    <rPh sb="3" eb="4">
      <t>ワク</t>
    </rPh>
    <rPh sb="7" eb="9">
      <t>トリヒキ</t>
    </rPh>
    <rPh sb="9" eb="10">
      <t>サキ</t>
    </rPh>
    <rPh sb="10" eb="12">
      <t>ジョウケン</t>
    </rPh>
    <rPh sb="12" eb="13">
      <t>メイ</t>
    </rPh>
    <phoneticPr fontId="3"/>
  </si>
  <si>
    <t>発注先取引先条件名２</t>
    <rPh sb="0" eb="1">
      <t>ハッチュウ</t>
    </rPh>
    <rPh sb="1" eb="2">
      <t>サキ</t>
    </rPh>
    <rPh sb="2" eb="4">
      <t>トリヒキ</t>
    </rPh>
    <rPh sb="4" eb="5">
      <t>サキ</t>
    </rPh>
    <rPh sb="5" eb="7">
      <t>ジョウケン</t>
    </rPh>
    <rPh sb="8" eb="9">
      <t>メイ</t>
    </rPh>
    <phoneticPr fontId="3"/>
  </si>
  <si>
    <t>[登録]枠.「取引先条件名３」</t>
    <rPh sb="1" eb="3">
      <t>トウロク</t>
    </rPh>
    <rPh sb="3" eb="4">
      <t>ワク</t>
    </rPh>
    <rPh sb="7" eb="9">
      <t>トリヒキ</t>
    </rPh>
    <rPh sb="9" eb="10">
      <t>サキ</t>
    </rPh>
    <rPh sb="10" eb="12">
      <t>ジョウケン</t>
    </rPh>
    <rPh sb="12" eb="13">
      <t>メイ</t>
    </rPh>
    <phoneticPr fontId="3"/>
  </si>
  <si>
    <t>発注先取引先条件名３</t>
    <rPh sb="0" eb="1">
      <t>ハッチュウ</t>
    </rPh>
    <rPh sb="1" eb="2">
      <t>サキ</t>
    </rPh>
    <rPh sb="2" eb="4">
      <t>トリヒキ</t>
    </rPh>
    <rPh sb="4" eb="5">
      <t>サキ</t>
    </rPh>
    <rPh sb="5" eb="7">
      <t>ジョウケン</t>
    </rPh>
    <rPh sb="8" eb="9">
      <t>メイ</t>
    </rPh>
    <phoneticPr fontId="3"/>
  </si>
  <si>
    <t>[登録]枠.「支払条件」</t>
    <rPh sb="1" eb="3">
      <t>トウロク</t>
    </rPh>
    <rPh sb="3" eb="4">
      <t>ワク</t>
    </rPh>
    <rPh sb="7" eb="9">
      <t>シハラ</t>
    </rPh>
    <rPh sb="9" eb="11">
      <t>ジョウケン</t>
    </rPh>
    <phoneticPr fontId="3"/>
  </si>
  <si>
    <t>支払条件</t>
    <rPh sb="0" eb="1">
      <t>シハライ</t>
    </rPh>
    <rPh sb="1" eb="3">
      <t>ジョウケン</t>
    </rPh>
    <phoneticPr fontId="3"/>
  </si>
  <si>
    <t>（リストロジック：MA.MAUAP0010.CarryPort）</t>
    <phoneticPr fontId="30"/>
  </si>
  <si>
    <t>汎用分類CD</t>
    <rPh sb="0" eb="2">
      <t>ハンヨウ</t>
    </rPh>
    <rPh sb="2" eb="4">
      <t>ブンルイ</t>
    </rPh>
    <phoneticPr fontId="3"/>
  </si>
  <si>
    <t>[明細]枠.「搬入口」</t>
    <rPh sb="0" eb="1">
      <t>ノボ</t>
    </rPh>
    <rPh sb="1" eb="3">
      <t>メイサイ</t>
    </rPh>
    <rPh sb="4" eb="5">
      <t>ワク</t>
    </rPh>
    <rPh sb="7" eb="9">
      <t>ハンニュウ</t>
    </rPh>
    <rPh sb="9" eb="10">
      <t>グチ</t>
    </rPh>
    <phoneticPr fontId="3"/>
  </si>
  <si>
    <t>[明細]枠.「搬入口」</t>
    <rPh sb="1" eb="3">
      <t>メイサイ</t>
    </rPh>
    <rPh sb="3" eb="4">
      <t>ワク</t>
    </rPh>
    <rPh sb="7" eb="9">
      <t>ハンニュウ</t>
    </rPh>
    <rPh sb="9" eb="10">
      <t>グチ</t>
    </rPh>
    <phoneticPr fontId="3"/>
  </si>
  <si>
    <t>[明細]枠.「搬入口名」</t>
    <rPh sb="1" eb="3">
      <t>メイサイ</t>
    </rPh>
    <rPh sb="3" eb="4">
      <t>ワク</t>
    </rPh>
    <rPh sb="7" eb="9">
      <t>ハンニュウ</t>
    </rPh>
    <rPh sb="9" eb="10">
      <t>グチ</t>
    </rPh>
    <rPh sb="10" eb="11">
      <t>メイ</t>
    </rPh>
    <phoneticPr fontId="3"/>
  </si>
  <si>
    <t>文字列１</t>
    <rPh sb="0" eb="2">
      <t>モジレツ</t>
    </rPh>
    <phoneticPr fontId="3"/>
  </si>
  <si>
    <t>文字列２</t>
    <rPh sb="0" eb="2">
      <t>モジレツ</t>
    </rPh>
    <phoneticPr fontId="3"/>
  </si>
  <si>
    <t>処理フロー</t>
    <rPh sb="0" eb="2">
      <t>ショリ</t>
    </rPh>
    <phoneticPr fontId="3"/>
  </si>
  <si>
    <t>・</t>
    <phoneticPr fontId="3"/>
  </si>
  <si>
    <t>発注検索（Srch01）</t>
    <rPh sb="0" eb="2">
      <t>ハッチュウ</t>
    </rPh>
    <rPh sb="2" eb="4">
      <t>ケンサク</t>
    </rPh>
    <phoneticPr fontId="3"/>
  </si>
  <si>
    <t>発注予定検索（Srch02）</t>
    <rPh sb="0" eb="2">
      <t>ハッチュウ</t>
    </rPh>
    <rPh sb="2" eb="4">
      <t>ヨテイ</t>
    </rPh>
    <rPh sb="4" eb="6">
      <t>ケンサク</t>
    </rPh>
    <phoneticPr fontId="3"/>
  </si>
  <si>
    <t>登録処理（Ins01）</t>
    <rPh sb="0" eb="2">
      <t>トウロク</t>
    </rPh>
    <rPh sb="2" eb="4">
      <t>ショリ</t>
    </rPh>
    <phoneticPr fontId="3"/>
  </si>
  <si>
    <t>訂正処理（Upd01）</t>
    <rPh sb="0" eb="2">
      <t>テイセイ</t>
    </rPh>
    <rPh sb="2" eb="4">
      <t>ショリ</t>
    </rPh>
    <phoneticPr fontId="3"/>
  </si>
  <si>
    <t>チェック処理（Chk01）</t>
    <rPh sb="4" eb="6">
      <t>ショリ</t>
    </rPh>
    <phoneticPr fontId="3"/>
  </si>
  <si>
    <t>複</t>
    <rPh sb="0" eb="1">
      <t>フク</t>
    </rPh>
    <phoneticPr fontId="3"/>
  </si>
  <si>
    <t>参</t>
    <rPh sb="0" eb="1">
      <t>サン</t>
    </rPh>
    <phoneticPr fontId="3"/>
  </si>
  <si>
    <t>c.登録</t>
    <rPh sb="2" eb="4">
      <t>トウロク</t>
    </rPh>
    <phoneticPr fontId="3"/>
  </si>
  <si>
    <t>モード割り振り・フォーカス位置</t>
    <rPh sb="13" eb="15">
      <t>イチ</t>
    </rPh>
    <phoneticPr fontId="3"/>
  </si>
  <si>
    <t>フォーカス</t>
    <phoneticPr fontId="3"/>
  </si>
  <si>
    <t>標準と同じ</t>
    <rPh sb="0" eb="2">
      <t>ヒョウジュン</t>
    </rPh>
    <rPh sb="3" eb="4">
      <t>オナ</t>
    </rPh>
    <phoneticPr fontId="3"/>
  </si>
  <si>
    <t>フォーカス</t>
    <phoneticPr fontId="3"/>
  </si>
  <si>
    <t>案件NO</t>
    <rPh sb="0" eb="2">
      <t>アンケン</t>
    </rPh>
    <phoneticPr fontId="3"/>
  </si>
  <si>
    <t>案件名</t>
    <rPh sb="0" eb="2">
      <t>アンケン</t>
    </rPh>
    <phoneticPr fontId="3"/>
  </si>
  <si>
    <t>案件基準日</t>
    <rPh sb="0" eb="2">
      <t>アンケン</t>
    </rPh>
    <rPh sb="2" eb="5">
      <t>キジュンビ</t>
    </rPh>
    <phoneticPr fontId="3"/>
  </si>
  <si>
    <t>項目仕様シートに記載。</t>
    <rPh sb="0" eb="2">
      <t>コウモク</t>
    </rPh>
    <rPh sb="2" eb="4">
      <t>シヨウ</t>
    </rPh>
    <rPh sb="8" eb="10">
      <t>キサイ</t>
    </rPh>
    <phoneticPr fontId="3"/>
  </si>
  <si>
    <t>[登録]枠.「取引条件CD１」</t>
    <rPh sb="0" eb="1">
      <t>ノボ</t>
    </rPh>
    <rPh sb="1" eb="3">
      <t>トウロク</t>
    </rPh>
    <rPh sb="4" eb="5">
      <t>ワク</t>
    </rPh>
    <rPh sb="7" eb="9">
      <t>トリヒキ</t>
    </rPh>
    <rPh sb="9" eb="11">
      <t>ジョウケン</t>
    </rPh>
    <phoneticPr fontId="3"/>
  </si>
  <si>
    <t>[登録]枠.「取引条件CD２」</t>
    <rPh sb="0" eb="1">
      <t>ノボ</t>
    </rPh>
    <rPh sb="1" eb="3">
      <t>トウロク</t>
    </rPh>
    <rPh sb="4" eb="5">
      <t>ワク</t>
    </rPh>
    <rPh sb="7" eb="9">
      <t>トリヒキ</t>
    </rPh>
    <rPh sb="9" eb="11">
      <t>ジョウケン</t>
    </rPh>
    <phoneticPr fontId="3"/>
  </si>
  <si>
    <t>[登録]枠.「取引条件CD３」</t>
    <rPh sb="0" eb="1">
      <t>ノボ</t>
    </rPh>
    <rPh sb="1" eb="3">
      <t>トウロク</t>
    </rPh>
    <rPh sb="4" eb="5">
      <t>ワク</t>
    </rPh>
    <rPh sb="7" eb="9">
      <t>トリヒキ</t>
    </rPh>
    <rPh sb="9" eb="11">
      <t>ジョウケン</t>
    </rPh>
    <phoneticPr fontId="3"/>
  </si>
  <si>
    <t>[登録]枠.「支払条件」</t>
    <rPh sb="0" eb="1">
      <t>ノボ</t>
    </rPh>
    <rPh sb="1" eb="3">
      <t>トウロク</t>
    </rPh>
    <rPh sb="4" eb="5">
      <t>ワク</t>
    </rPh>
    <rPh sb="7" eb="9">
      <t>シハラ</t>
    </rPh>
    <rPh sb="9" eb="11">
      <t>ジョウケン</t>
    </rPh>
    <phoneticPr fontId="3"/>
  </si>
  <si>
    <t>[戻り値].「取引条件CD１」</t>
    <rPh sb="0" eb="1">
      <t>モド</t>
    </rPh>
    <rPh sb="2" eb="3">
      <t>チ</t>
    </rPh>
    <rPh sb="6" eb="7">
      <t>トリヒキ</t>
    </rPh>
    <rPh sb="7" eb="9">
      <t>ジョウケン</t>
    </rPh>
    <phoneticPr fontId="3"/>
  </si>
  <si>
    <t>[戻り値].「取引条件CD２」</t>
    <rPh sb="6" eb="7">
      <t>トリヒキ</t>
    </rPh>
    <rPh sb="7" eb="9">
      <t>ジョウケン</t>
    </rPh>
    <phoneticPr fontId="3"/>
  </si>
  <si>
    <t>[戻り値].「取引条件CD３」</t>
    <rPh sb="6" eb="7">
      <t>トリヒキ</t>
    </rPh>
    <rPh sb="7" eb="9">
      <t>ジョウケン</t>
    </rPh>
    <phoneticPr fontId="3"/>
  </si>
  <si>
    <t>[戻り値].「支払条件」</t>
    <rPh sb="6" eb="7">
      <t>シハライ</t>
    </rPh>
    <rPh sb="7" eb="9">
      <t>ジョウケン</t>
    </rPh>
    <phoneticPr fontId="3"/>
  </si>
  <si>
    <t>品目の検査が必要な場合にオンを設定する。</t>
    <rPh sb="0" eb="2">
      <t>ヒンモク</t>
    </rPh>
    <rPh sb="3" eb="5">
      <t>ケンサ</t>
    </rPh>
    <rPh sb="6" eb="8">
      <t>ヒツヨウ</t>
    </rPh>
    <rPh sb="9" eb="11">
      <t>バアイ</t>
    </rPh>
    <rPh sb="15" eb="17">
      <t>セッテイ</t>
    </rPh>
    <phoneticPr fontId="3"/>
  </si>
  <si>
    <t>品目検査有無FLG</t>
    <rPh sb="0" eb="2">
      <t>ヒンモク</t>
    </rPh>
    <rPh sb="2" eb="4">
      <t>ケンサ</t>
    </rPh>
    <rPh sb="4" eb="6">
      <t>ウム</t>
    </rPh>
    <phoneticPr fontId="3"/>
  </si>
  <si>
    <t>オペレーションＩＤ</t>
    <phoneticPr fontId="20"/>
  </si>
  <si>
    <t>設定値</t>
    <rPh sb="0" eb="2">
      <t>セッテイ</t>
    </rPh>
    <rPh sb="2" eb="3">
      <t>チ</t>
    </rPh>
    <phoneticPr fontId="20"/>
  </si>
  <si>
    <t>No</t>
    <phoneticPr fontId="20"/>
  </si>
  <si>
    <t>種別</t>
    <rPh sb="0" eb="2">
      <t>シュベツ</t>
    </rPh>
    <phoneticPr fontId="20"/>
  </si>
  <si>
    <t>I/O</t>
    <phoneticPr fontId="20"/>
  </si>
  <si>
    <t>備考</t>
    <rPh sb="0" eb="2">
      <t>ビコウ</t>
    </rPh>
    <phoneticPr fontId="30"/>
  </si>
  <si>
    <t>オペレーションNo</t>
    <phoneticPr fontId="34"/>
  </si>
  <si>
    <t>ロジックID</t>
    <phoneticPr fontId="34"/>
  </si>
  <si>
    <t>オペレーションNoID</t>
    <phoneticPr fontId="34"/>
  </si>
  <si>
    <t>特記事項</t>
    <rPh sb="0" eb="2">
      <t>トッキ</t>
    </rPh>
    <rPh sb="2" eb="4">
      <t>ジコウ</t>
    </rPh>
    <phoneticPr fontId="34"/>
  </si>
  <si>
    <t>型</t>
    <rPh sb="0" eb="1">
      <t>カタ</t>
    </rPh>
    <phoneticPr fontId="20"/>
  </si>
  <si>
    <t>super/share</t>
    <phoneticPr fontId="20"/>
  </si>
  <si>
    <t>対象ブロック名</t>
    <rPh sb="0" eb="2">
      <t>タイショウ</t>
    </rPh>
    <rPh sb="6" eb="7">
      <t>メイ</t>
    </rPh>
    <phoneticPr fontId="20"/>
  </si>
  <si>
    <t>項目No</t>
    <rPh sb="0" eb="2">
      <t>コウモク</t>
    </rPh>
    <phoneticPr fontId="20"/>
  </si>
  <si>
    <t>項目名</t>
    <rPh sb="0" eb="2">
      <t>コウモク</t>
    </rPh>
    <rPh sb="2" eb="3">
      <t>メイ</t>
    </rPh>
    <phoneticPr fontId="34"/>
  </si>
  <si>
    <t>上り項目</t>
    <rPh sb="0" eb="1">
      <t>ノボ</t>
    </rPh>
    <rPh sb="2" eb="4">
      <t>コウモク</t>
    </rPh>
    <phoneticPr fontId="34"/>
  </si>
  <si>
    <t>下り項目</t>
    <rPh sb="0" eb="1">
      <t>クダ</t>
    </rPh>
    <rPh sb="2" eb="4">
      <t>コウモク</t>
    </rPh>
    <phoneticPr fontId="34"/>
  </si>
  <si>
    <t>説明</t>
    <rPh sb="0" eb="2">
      <t>セツメイ</t>
    </rPh>
    <phoneticPr fontId="20"/>
  </si>
  <si>
    <t>super/share</t>
    <phoneticPr fontId="20"/>
  </si>
  <si>
    <t>日本語名</t>
    <rPh sb="0" eb="3">
      <t>ニホンゴ</t>
    </rPh>
    <rPh sb="3" eb="4">
      <t>メイ</t>
    </rPh>
    <phoneticPr fontId="34"/>
  </si>
  <si>
    <t>オペレーションNo</t>
    <phoneticPr fontId="34"/>
  </si>
  <si>
    <t>ロジックID</t>
    <phoneticPr fontId="34"/>
  </si>
  <si>
    <t>サービス呼出仕様</t>
    <rPh sb="4" eb="6">
      <t>ヨビダシ</t>
    </rPh>
    <rPh sb="6" eb="8">
      <t>シヨウ</t>
    </rPh>
    <phoneticPr fontId="3"/>
  </si>
  <si>
    <t>電文項目仕様</t>
    <rPh sb="0" eb="2">
      <t>デンブン</t>
    </rPh>
    <rPh sb="2" eb="4">
      <t>コウモク</t>
    </rPh>
    <rPh sb="4" eb="6">
      <t>シヨウ</t>
    </rPh>
    <phoneticPr fontId="3"/>
  </si>
  <si>
    <t>I</t>
    <phoneticPr fontId="20"/>
  </si>
  <si>
    <t>Slo_Upd01_Dtl</t>
  </si>
  <si>
    <t>MSBDL5100</t>
  </si>
  <si>
    <t>Po_Chk01</t>
  </si>
  <si>
    <t>Po_Chk01_Dtl</t>
  </si>
  <si>
    <t>MSBDL0080</t>
  </si>
  <si>
    <t>Srch01</t>
  </si>
  <si>
    <t>Hdr</t>
    <phoneticPr fontId="3"/>
  </si>
  <si>
    <t>Row</t>
    <phoneticPr fontId="3"/>
  </si>
  <si>
    <t>E</t>
    <phoneticPr fontId="3"/>
  </si>
  <si>
    <t>注文書に表示する支払条件を入力する。</t>
  </si>
  <si>
    <t>Dtl</t>
    <phoneticPr fontId="3"/>
  </si>
  <si>
    <t>List</t>
    <phoneticPr fontId="3"/>
  </si>
  <si>
    <t>Srch02</t>
  </si>
  <si>
    <t>Hdr</t>
    <phoneticPr fontId="3"/>
  </si>
  <si>
    <t>$share$</t>
    <phoneticPr fontId="20"/>
  </si>
  <si>
    <t>MS.MSBDL0080.Srch01.Hdr</t>
    <phoneticPr fontId="20"/>
  </si>
  <si>
    <t>MS.MSBDL0080.Srch01.Dtl</t>
    <phoneticPr fontId="20"/>
  </si>
  <si>
    <t>Chk01</t>
    <phoneticPr fontId="3"/>
  </si>
  <si>
    <t>E</t>
    <phoneticPr fontId="3"/>
  </si>
  <si>
    <t>R</t>
    <phoneticPr fontId="3"/>
  </si>
  <si>
    <t>Chk02</t>
    <phoneticPr fontId="3"/>
  </si>
  <si>
    <t>Ins01</t>
    <phoneticPr fontId="3"/>
  </si>
  <si>
    <t>MS.MSBDL0080.Chk01.Hdr</t>
    <phoneticPr fontId="20"/>
  </si>
  <si>
    <t>MS.MSBDL0080.Chk01.Dtl</t>
    <phoneticPr fontId="20"/>
  </si>
  <si>
    <t>R</t>
    <phoneticPr fontId="3"/>
  </si>
  <si>
    <t>Upd01</t>
    <phoneticPr fontId="3"/>
  </si>
  <si>
    <t>MS.MSBDL0080.Chk02.Hdr</t>
    <phoneticPr fontId="20"/>
  </si>
  <si>
    <t>MS.MSBDL0080.Chk02.Dtl</t>
    <phoneticPr fontId="20"/>
  </si>
  <si>
    <t>検索前（SRCH）</t>
    <rPh sb="0" eb="2">
      <t>ケンサク</t>
    </rPh>
    <rPh sb="2" eb="3">
      <t>マエ</t>
    </rPh>
    <phoneticPr fontId="3"/>
  </si>
  <si>
    <t>参照(REF)</t>
    <rPh sb="0" eb="2">
      <t>サンショウ</t>
    </rPh>
    <phoneticPr fontId="3"/>
  </si>
  <si>
    <t>訂正(UPD)</t>
    <rPh sb="0" eb="2">
      <t>テイセイ</t>
    </rPh>
    <phoneticPr fontId="3"/>
  </si>
  <si>
    <t>訂正後(UPD_FIX)</t>
    <rPh sb="0" eb="2">
      <t>テイセイ</t>
    </rPh>
    <rPh sb="2" eb="3">
      <t>ゴ</t>
    </rPh>
    <phoneticPr fontId="3"/>
  </si>
  <si>
    <t>登録（INS)</t>
    <rPh sb="0" eb="2">
      <t>トウロク</t>
    </rPh>
    <phoneticPr fontId="3"/>
  </si>
  <si>
    <t>登録後(INS_FIX)</t>
    <rPh sb="0" eb="2">
      <t>トウロク</t>
    </rPh>
    <rPh sb="2" eb="3">
      <t>ゴ</t>
    </rPh>
    <phoneticPr fontId="3"/>
  </si>
  <si>
    <t>削除(DEL)</t>
    <rPh sb="0" eb="2">
      <t>サクジョ</t>
    </rPh>
    <phoneticPr fontId="3"/>
  </si>
  <si>
    <t>削除後(DEL_FIX)</t>
    <rPh sb="0" eb="2">
      <t>サクジョ</t>
    </rPh>
    <rPh sb="2" eb="3">
      <t>ゴ</t>
    </rPh>
    <phoneticPr fontId="3"/>
  </si>
  <si>
    <t>・「登録」枠[発注日]を変更した時
　- 空行を除くすべての明細に対して初物判定を行う
　  ※初物判定については処理詳細シートを参照
  - リストロジック『品目品管マスタ存在有無』を呼び出し
　  戻り値を以下項目に設定する。※詳細は処理詳細シートを参照
　  [明細]枠.「品目検査有無」
　  [明細]枠.「同時計上」</t>
    <rPh sb="2" eb="4">
      <t>トウロク</t>
    </rPh>
    <rPh sb="5" eb="6">
      <t>ワク</t>
    </rPh>
    <rPh sb="7" eb="9">
      <t>ハッチュウ</t>
    </rPh>
    <rPh sb="9" eb="10">
      <t>ビ</t>
    </rPh>
    <rPh sb="12" eb="14">
      <t>ヘンコウ</t>
    </rPh>
    <rPh sb="16" eb="17">
      <t>ジ</t>
    </rPh>
    <rPh sb="21" eb="22">
      <t>カラ</t>
    </rPh>
    <rPh sb="22" eb="23">
      <t>ギョウ</t>
    </rPh>
    <rPh sb="24" eb="25">
      <t>ノゾ</t>
    </rPh>
    <rPh sb="30" eb="32">
      <t>メイサイ</t>
    </rPh>
    <rPh sb="33" eb="34">
      <t>タイ</t>
    </rPh>
    <rPh sb="36" eb="38">
      <t>ハツモノ</t>
    </rPh>
    <rPh sb="38" eb="40">
      <t>ハンテイ</t>
    </rPh>
    <rPh sb="41" eb="42">
      <t>オコナ</t>
    </rPh>
    <rPh sb="48" eb="50">
      <t>ハツモノ</t>
    </rPh>
    <rPh sb="50" eb="52">
      <t>ハンテイ</t>
    </rPh>
    <rPh sb="57" eb="59">
      <t>ショリ</t>
    </rPh>
    <rPh sb="59" eb="61">
      <t>ショウサイ</t>
    </rPh>
    <rPh sb="65" eb="67">
      <t>サンショウ</t>
    </rPh>
    <rPh sb="158" eb="160">
      <t>ドウジ</t>
    </rPh>
    <rPh sb="160" eb="162">
      <t>ケイジョウ</t>
    </rPh>
    <phoneticPr fontId="3"/>
  </si>
  <si>
    <t>・「登録」枠[発注先ＣＤ]を変更した時
　- 空行を除くすべての明細に対して初物判定を行う
　　※初物判定については処理詳細シートを参照
・「登録」枠[発注先ＣＤ]を変更した時
　- リストロジック「コメントマスタ_発注注意事項」を呼び出し
　  戻り値を以下項目に設定する。※詳細は処理詳細シートを参照
　  [登録]枠「取引条件CD１」
　  [登録]枠「取引条件CD２」
　  [登録]枠「取引条件CD３」
　  [登録]枠「支払条件」
・「登録」枠[発注先ＣＤ]にインボイス取引対象の発注先が設定された時
　- [明細]枠「同時計上FLG」をオフ固定にし、入力不可にする。</t>
    <rPh sb="9" eb="10">
      <t>サキ</t>
    </rPh>
    <rPh sb="117" eb="118">
      <t>ヨ</t>
    </rPh>
    <rPh sb="119" eb="120">
      <t>ダ</t>
    </rPh>
    <rPh sb="125" eb="126">
      <t>モド</t>
    </rPh>
    <rPh sb="127" eb="128">
      <t>チ</t>
    </rPh>
    <rPh sb="134" eb="136">
      <t>セッテイ</t>
    </rPh>
    <rPh sb="140" eb="142">
      <t>ショウサイ</t>
    </rPh>
    <rPh sb="143" eb="145">
      <t>ショリ</t>
    </rPh>
    <rPh sb="145" eb="147">
      <t>ショウサイ</t>
    </rPh>
    <rPh sb="151" eb="153">
      <t>サンショウ</t>
    </rPh>
    <rPh sb="163" eb="165">
      <t>トリヒキ</t>
    </rPh>
    <rPh sb="165" eb="167">
      <t>ジョウケン</t>
    </rPh>
    <rPh sb="217" eb="219">
      <t>シハラ</t>
    </rPh>
    <rPh sb="219" eb="221">
      <t>ジョウケン</t>
    </rPh>
    <rPh sb="248" eb="250">
      <t>ハッチュウ</t>
    </rPh>
    <rPh sb="250" eb="251">
      <t>サキ</t>
    </rPh>
    <rPh sb="252" eb="254">
      <t>セッテイ</t>
    </rPh>
    <rPh sb="257" eb="258">
      <t>トキ</t>
    </rPh>
    <rPh sb="279" eb="281">
      <t>コテイ</t>
    </rPh>
    <rPh sb="284" eb="286">
      <t>ニュウリョク</t>
    </rPh>
    <rPh sb="286" eb="288">
      <t>フカ</t>
    </rPh>
    <phoneticPr fontId="3"/>
  </si>
  <si>
    <t>S</t>
    <phoneticPr fontId="3"/>
  </si>
  <si>
    <t>RO</t>
    <phoneticPr fontId="3"/>
  </si>
  <si>
    <t>E</t>
    <phoneticPr fontId="3"/>
  </si>
  <si>
    <t>E</t>
    <phoneticPr fontId="3"/>
  </si>
  <si>
    <t>RO</t>
    <phoneticPr fontId="3"/>
  </si>
  <si>
    <t>S</t>
    <phoneticPr fontId="3"/>
  </si>
  <si>
    <t>●</t>
    <phoneticPr fontId="3"/>
  </si>
  <si>
    <t>D</t>
    <phoneticPr fontId="3"/>
  </si>
  <si>
    <t>YYYY/MM/DD</t>
    <phoneticPr fontId="3"/>
  </si>
  <si>
    <t>R</t>
    <phoneticPr fontId="3"/>
  </si>
  <si>
    <t>納入場所ワーキンググループＣＤ</t>
    <phoneticPr fontId="3"/>
  </si>
  <si>
    <t>・「明細」枠[納入場所ワーキンググループＣＤ]を変更した時
　- 初物判定を行う
　   ※初物判定については処理詳細シートを参照</t>
    <rPh sb="2" eb="4">
      <t>メイサイ</t>
    </rPh>
    <rPh sb="7" eb="9">
      <t>ノウニュウ</t>
    </rPh>
    <rPh sb="9" eb="11">
      <t>バショ</t>
    </rPh>
    <rPh sb="33" eb="35">
      <t>ハツモノ</t>
    </rPh>
    <rPh sb="35" eb="37">
      <t>ハンテイ</t>
    </rPh>
    <rPh sb="38" eb="39">
      <t>オコナ</t>
    </rPh>
    <phoneticPr fontId="3"/>
  </si>
  <si>
    <t>・「明細」枠[品目ＣＤ]を変更した時
　- 初物判定を行う
　   ※初物判定については処理詳細シートを参照
　- リストロジック『品目品管マスタ存在有無』を呼び出し
　  入力制御、値の設定を行う※詳細は処理詳細シートを参照</t>
    <rPh sb="22" eb="24">
      <t>ハツモノ</t>
    </rPh>
    <rPh sb="24" eb="26">
      <t>ハンテイ</t>
    </rPh>
    <rPh sb="27" eb="28">
      <t>オコナ</t>
    </rPh>
    <rPh sb="87" eb="89">
      <t>ニュウリョク</t>
    </rPh>
    <rPh sb="89" eb="91">
      <t>セイギョ</t>
    </rPh>
    <rPh sb="92" eb="93">
      <t>アタイ</t>
    </rPh>
    <rPh sb="94" eb="96">
      <t>セッテイ</t>
    </rPh>
    <rPh sb="97" eb="98">
      <t>オコナ</t>
    </rPh>
    <phoneticPr fontId="3"/>
  </si>
  <si>
    <t>S</t>
    <phoneticPr fontId="3"/>
  </si>
  <si>
    <t>RO</t>
    <phoneticPr fontId="3"/>
  </si>
  <si>
    <t>CB</t>
    <phoneticPr fontId="3"/>
  </si>
  <si>
    <t>・「明細」枠[手動初物判定ＦＬＧ]をオンに変更した時
　- 初物判定を行う
　   ※初物判定については処理詳細シートを参照
  - [明細]枠「初物FLG」を入力可にする
・「明細」枠[手動初物判定ＦＬＧ]をオフに変更した時
  - [明細]枠「初物FLG」を入力不可にする</t>
    <rPh sb="7" eb="9">
      <t>シュドウ</t>
    </rPh>
    <rPh sb="9" eb="11">
      <t>ハツモノ</t>
    </rPh>
    <rPh sb="11" eb="13">
      <t>ハンテイ</t>
    </rPh>
    <phoneticPr fontId="3"/>
  </si>
  <si>
    <t>CB</t>
    <phoneticPr fontId="3"/>
  </si>
  <si>
    <t>・「明細」枠[品目検査有無ＦＬＧ]をオンに変更した時
  - [明細]枠「同時計上FLG」をオンにし、入力不可にする
・「明細」枠[品目検査有無ＦＬＧ]をオフに変更した時
  - [明細]枠「同時計上FLG」を入力可にする</t>
    <rPh sb="7" eb="9">
      <t>ヒンモク</t>
    </rPh>
    <rPh sb="9" eb="11">
      <t>ケンサ</t>
    </rPh>
    <rPh sb="11" eb="13">
      <t>ウム</t>
    </rPh>
    <rPh sb="37" eb="39">
      <t>ドウジ</t>
    </rPh>
    <rPh sb="39" eb="41">
      <t>ケイジョウ</t>
    </rPh>
    <rPh sb="51" eb="53">
      <t>ニュウリョク</t>
    </rPh>
    <rPh sb="53" eb="55">
      <t>フカ</t>
    </rPh>
    <rPh sb="108" eb="109">
      <t>カ</t>
    </rPh>
    <phoneticPr fontId="3"/>
  </si>
  <si>
    <t>E</t>
    <phoneticPr fontId="3"/>
  </si>
  <si>
    <t>D</t>
    <phoneticPr fontId="3"/>
  </si>
  <si>
    <t>No</t>
    <phoneticPr fontId="3"/>
  </si>
  <si>
    <t>モード</t>
    <phoneticPr fontId="3"/>
  </si>
  <si>
    <t>イベント</t>
    <phoneticPr fontId="3"/>
  </si>
  <si>
    <t>・「操作種別」を　登録　に変更した時、
　- [登録]枠「案件基準日」に運用日付を設定する。</t>
    <phoneticPr fontId="30"/>
  </si>
  <si>
    <t>　</t>
    <phoneticPr fontId="3"/>
  </si>
  <si>
    <t>S</t>
    <phoneticPr fontId="3"/>
  </si>
  <si>
    <t>RO</t>
    <phoneticPr fontId="3"/>
  </si>
  <si>
    <t>RO</t>
    <phoneticPr fontId="3"/>
  </si>
  <si>
    <t>RO</t>
    <phoneticPr fontId="3"/>
  </si>
  <si>
    <t>RO</t>
    <phoneticPr fontId="3"/>
  </si>
  <si>
    <t>RO</t>
    <phoneticPr fontId="3"/>
  </si>
  <si>
    <t>RO</t>
    <phoneticPr fontId="3"/>
  </si>
  <si>
    <t>RO</t>
    <phoneticPr fontId="3"/>
  </si>
  <si>
    <t>BT</t>
    <phoneticPr fontId="3"/>
  </si>
  <si>
    <t>ボタン</t>
    <phoneticPr fontId="3"/>
  </si>
  <si>
    <t>オブジェクト</t>
    <phoneticPr fontId="3"/>
  </si>
  <si>
    <t>オブジェクト</t>
    <phoneticPr fontId="3"/>
  </si>
  <si>
    <t>検索入出力仕様</t>
    <rPh sb="0" eb="2">
      <t>ケンサク</t>
    </rPh>
    <rPh sb="2" eb="5">
      <t>ニュウシュツリョク</t>
    </rPh>
    <rPh sb="5" eb="7">
      <t>シヨウ</t>
    </rPh>
    <phoneticPr fontId="3"/>
  </si>
  <si>
    <t>更新入出力仕様</t>
    <rPh sb="0" eb="2">
      <t>コウシン</t>
    </rPh>
    <rPh sb="2" eb="5">
      <t>ニュウシュツリョク</t>
    </rPh>
    <rPh sb="5" eb="7">
      <t>シヨウ</t>
    </rPh>
    <phoneticPr fontId="3"/>
  </si>
  <si>
    <t>画面遷移</t>
    <rPh sb="0" eb="2">
      <t>ガメン</t>
    </rPh>
    <rPh sb="2" eb="4">
      <t>センイ</t>
    </rPh>
    <phoneticPr fontId="3"/>
  </si>
  <si>
    <t>S1</t>
    <phoneticPr fontId="3"/>
  </si>
  <si>
    <t>MSBDP0120</t>
  </si>
  <si>
    <t>操作種別：本画面の操作種別が「登録する」・「訂正する」の場合、</t>
    <rPh sb="0" eb="2">
      <t>ソウサ</t>
    </rPh>
    <rPh sb="2" eb="4">
      <t>シュベツ</t>
    </rPh>
    <rPh sb="5" eb="6">
      <t>ホン</t>
    </rPh>
    <rPh sb="6" eb="8">
      <t>ガメン</t>
    </rPh>
    <rPh sb="22" eb="24">
      <t>テイセイ</t>
    </rPh>
    <rPh sb="28" eb="30">
      <t>バアイ</t>
    </rPh>
    <phoneticPr fontId="3"/>
  </si>
  <si>
    <t>　それ以外は「参照する」</t>
    <phoneticPr fontId="3"/>
  </si>
  <si>
    <t>　「納入指示」</t>
    <phoneticPr fontId="3"/>
  </si>
  <si>
    <t>チェック処理</t>
    <rPh sb="4" eb="6">
      <t>ショリ</t>
    </rPh>
    <phoneticPr fontId="30"/>
  </si>
  <si>
    <t>更新カウンタチェック用必須チェック</t>
  </si>
  <si>
    <t>必須チェック</t>
  </si>
  <si>
    <t>数値チェック</t>
  </si>
  <si>
    <t>数値範囲チェック</t>
  </si>
  <si>
    <t>日付チェック</t>
  </si>
  <si>
    <t>日付範囲チェック</t>
  </si>
  <si>
    <t>文字列パタンチェック</t>
  </si>
  <si>
    <t>重複チェック</t>
  </si>
  <si>
    <t>一つだけ入力チェック</t>
    <rPh sb="0" eb="1">
      <t>ヒト</t>
    </rPh>
    <rPh sb="4" eb="6">
      <t>ニュウリョク</t>
    </rPh>
    <phoneticPr fontId="30"/>
  </si>
  <si>
    <t>一つ以上入力チェック</t>
    <rPh sb="0" eb="1">
      <t>ヒト</t>
    </rPh>
    <rPh sb="2" eb="4">
      <t>イジョウ</t>
    </rPh>
    <rPh sb="4" eb="6">
      <t>ニュウリョク</t>
    </rPh>
    <phoneticPr fontId="30"/>
  </si>
  <si>
    <t>リストロジックチェック</t>
    <phoneticPr fontId="30"/>
  </si>
  <si>
    <t>定数存在チェック</t>
    <rPh sb="0" eb="2">
      <t>テイスウ</t>
    </rPh>
    <rPh sb="2" eb="4">
      <t>ソンザイ</t>
    </rPh>
    <phoneticPr fontId="30"/>
  </si>
  <si>
    <t>NULL文字補完</t>
    <rPh sb="4" eb="6">
      <t>モジ</t>
    </rPh>
    <rPh sb="6" eb="8">
      <t>ホカン</t>
    </rPh>
    <phoneticPr fontId="30"/>
  </si>
  <si>
    <t>更新前データのDACチェック</t>
    <rPh sb="0" eb="2">
      <t>コウシン</t>
    </rPh>
    <rPh sb="2" eb="3">
      <t>マエ</t>
    </rPh>
    <phoneticPr fontId="30"/>
  </si>
  <si>
    <t>更新データのDACチェック</t>
    <rPh sb="0" eb="2">
      <t>コウシン</t>
    </rPh>
    <phoneticPr fontId="30"/>
  </si>
  <si>
    <t>固有チェック１</t>
    <rPh sb="0" eb="2">
      <t>コユウ</t>
    </rPh>
    <phoneticPr fontId="30"/>
  </si>
  <si>
    <t xml:space="preserve">MA.MAUAP0010.CarryPort
</t>
  </si>
  <si>
    <t>MS.MSUBP0010.WrkNo</t>
    <phoneticPr fontId="3"/>
  </si>
  <si>
    <t xml:space="preserve">RO
</t>
    <phoneticPr fontId="3"/>
  </si>
  <si>
    <t>【画面起動】
運用日付
【操作種別：登録する】
運用日付</t>
    <rPh sb="1" eb="3">
      <t>ガメン</t>
    </rPh>
    <rPh sb="3" eb="5">
      <t>キドウ</t>
    </rPh>
    <rPh sb="7" eb="9">
      <t>ウンヨウ</t>
    </rPh>
    <rPh sb="9" eb="11">
      <t>ヒヅケ</t>
    </rPh>
    <rPh sb="13" eb="15">
      <t>ソウサ</t>
    </rPh>
    <rPh sb="15" eb="17">
      <t>シュベツ</t>
    </rPh>
    <rPh sb="18" eb="20">
      <t>トウロク</t>
    </rPh>
    <rPh sb="24" eb="26">
      <t>ウンヨウ</t>
    </rPh>
    <rPh sb="26" eb="28">
      <t>ヒヅケ</t>
    </rPh>
    <phoneticPr fontId="3"/>
  </si>
  <si>
    <t>リストロジック</t>
    <phoneticPr fontId="3"/>
  </si>
  <si>
    <t>【画面起動】
オフ</t>
    <rPh sb="1" eb="3">
      <t>ガメン</t>
    </rPh>
    <rPh sb="3" eb="5">
      <t>キドウ</t>
    </rPh>
    <phoneticPr fontId="3"/>
  </si>
  <si>
    <t>RO
[登録]枠「購買状況区分」が　発注済または未承認　の時、
[明細]枠「手動初物判定FLG」を「E」にする。</t>
    <phoneticPr fontId="3"/>
  </si>
  <si>
    <t>発注情報検索（selectPo）</t>
    <rPh sb="0" eb="2">
      <t>ハッチュウ</t>
    </rPh>
    <rPh sb="2" eb="4">
      <t>ジョウホウ</t>
    </rPh>
    <rPh sb="4" eb="6">
      <t>ケンサク</t>
    </rPh>
    <phoneticPr fontId="3"/>
  </si>
  <si>
    <t>[下り電文1（down1）]</t>
    <rPh sb="1" eb="2">
      <t>クダ</t>
    </rPh>
    <rPh sb="3" eb="5">
      <t>デンブン</t>
    </rPh>
    <phoneticPr fontId="3"/>
  </si>
  <si>
    <t>下り電文編集処理(setDown)</t>
    <rPh sb="0" eb="1">
      <t>クダ</t>
    </rPh>
    <rPh sb="2" eb="4">
      <t>デンブン</t>
    </rPh>
    <rPh sb="4" eb="6">
      <t>ヘンシュウ</t>
    </rPh>
    <rPh sb="6" eb="8">
      <t>ショリ</t>
    </rPh>
    <phoneticPr fontId="3"/>
  </si>
  <si>
    <t>ヘッダ項目の設定（setHdr）</t>
    <rPh sb="3" eb="5">
      <t>コウモク</t>
    </rPh>
    <rPh sb="6" eb="8">
      <t>セッテイ</t>
    </rPh>
    <phoneticPr fontId="3"/>
  </si>
  <si>
    <t>[下り電文（down0）]</t>
    <rPh sb="1" eb="2">
      <t>クダ</t>
    </rPh>
    <rPh sb="3" eb="5">
      <t>デンブン</t>
    </rPh>
    <phoneticPr fontId="3"/>
  </si>
  <si>
    <t>[下り電文1（down1）]「支払条件」</t>
    <rPh sb="15" eb="17">
      <t>シハラ</t>
    </rPh>
    <rPh sb="17" eb="19">
      <t>ジョウケン</t>
    </rPh>
    <phoneticPr fontId="3"/>
  </si>
  <si>
    <t>明細項目の設定（setDtl）</t>
    <rPh sb="0" eb="2">
      <t>メイサイ</t>
    </rPh>
    <rPh sb="2" eb="4">
      <t>コウモク</t>
    </rPh>
    <rPh sb="5" eb="7">
      <t>セッテイ</t>
    </rPh>
    <phoneticPr fontId="3"/>
  </si>
  <si>
    <t>[下り電文1（down1）]「手動初物判定ＦＬＧ」</t>
    <rPh sb="15" eb="17">
      <t>シュドウ</t>
    </rPh>
    <rPh sb="17" eb="19">
      <t>ハツモノ</t>
    </rPh>
    <rPh sb="19" eb="21">
      <t>ハンテイ</t>
    </rPh>
    <phoneticPr fontId="3"/>
  </si>
  <si>
    <t>[下り電文1（down1）]「初物ＦＬＧ」</t>
    <rPh sb="15" eb="17">
      <t>ハツモノ</t>
    </rPh>
    <phoneticPr fontId="3"/>
  </si>
  <si>
    <t>[下り電文1（down1）]「購入仕様書ＮＯ」</t>
    <rPh sb="15" eb="17">
      <t>コウニュウ</t>
    </rPh>
    <rPh sb="17" eb="20">
      <t>シヨウショ</t>
    </rPh>
    <phoneticPr fontId="3"/>
  </si>
  <si>
    <t>[下り電文1（down1）]「搬入口」</t>
    <rPh sb="15" eb="17">
      <t>ハンニュウ</t>
    </rPh>
    <rPh sb="17" eb="18">
      <t>クチ</t>
    </rPh>
    <phoneticPr fontId="3"/>
  </si>
  <si>
    <t>[下り電文1（down1）]「検査連絡備考」</t>
    <rPh sb="15" eb="17">
      <t>ケンサ</t>
    </rPh>
    <rPh sb="17" eb="19">
      <t>レンラク</t>
    </rPh>
    <rPh sb="19" eb="21">
      <t>ビコウ</t>
    </rPh>
    <phoneticPr fontId="3"/>
  </si>
  <si>
    <t>発注情報検索（selectPoSchd）</t>
    <rPh sb="0" eb="2">
      <t>ハッチュウ</t>
    </rPh>
    <rPh sb="2" eb="4">
      <t>ジョウホウ</t>
    </rPh>
    <rPh sb="4" eb="6">
      <t>ケンサク</t>
    </rPh>
    <phoneticPr fontId="3"/>
  </si>
  <si>
    <t>下り電文設定(setDown)</t>
    <rPh sb="0" eb="1">
      <t>クダ</t>
    </rPh>
    <rPh sb="2" eb="4">
      <t>デンブン</t>
    </rPh>
    <rPh sb="4" eb="6">
      <t>セッテイ</t>
    </rPh>
    <phoneticPr fontId="3"/>
  </si>
  <si>
    <t>[下り電文1（down1）]「注文書備考」</t>
    <rPh sb="15" eb="18">
      <t>チュウモンショ</t>
    </rPh>
    <rPh sb="18" eb="20">
      <t>ビコウ</t>
    </rPh>
    <phoneticPr fontId="3"/>
  </si>
  <si>
    <t>[下り電文1（down1）]「取引先条件ＣＤ１」</t>
    <rPh sb="17" eb="18">
      <t>サキ</t>
    </rPh>
    <phoneticPr fontId="3"/>
  </si>
  <si>
    <t>[下り電文1（down1）]「取引先条件ＣＤ２」</t>
    <rPh sb="17" eb="18">
      <t>サキ</t>
    </rPh>
    <phoneticPr fontId="3"/>
  </si>
  <si>
    <t>[下り電文1（down1）]「取引先条件ＣＤ３」</t>
    <rPh sb="17" eb="18">
      <t>サキ</t>
    </rPh>
    <phoneticPr fontId="3"/>
  </si>
  <si>
    <t>[下り電文1（down1）]「取引先条件名１」</t>
    <rPh sb="17" eb="18">
      <t>サキ</t>
    </rPh>
    <rPh sb="20" eb="21">
      <t>メイ</t>
    </rPh>
    <phoneticPr fontId="3"/>
  </si>
  <si>
    <t>[下り電文1（down1）]「取引先条件名２」</t>
    <rPh sb="17" eb="18">
      <t>サキ</t>
    </rPh>
    <rPh sb="20" eb="21">
      <t>メイ</t>
    </rPh>
    <phoneticPr fontId="3"/>
  </si>
  <si>
    <t>[下り電文1（down1）]「取引先条件名３」</t>
    <rPh sb="17" eb="18">
      <t>サキ</t>
    </rPh>
    <rPh sb="20" eb="21">
      <t>メイ</t>
    </rPh>
    <phoneticPr fontId="3"/>
  </si>
  <si>
    <t>明細情報の設定（setDtl）</t>
    <rPh sb="0" eb="2">
      <t>メイサイ</t>
    </rPh>
    <rPh sb="2" eb="4">
      <t>ジョウホウ</t>
    </rPh>
    <rPh sb="5" eb="7">
      <t>セッテイ</t>
    </rPh>
    <phoneticPr fontId="3"/>
  </si>
  <si>
    <t>発注登録サービスを実行するための上り電文の設定を行う（callPoRegPoIns01）</t>
  </si>
  <si>
    <t>サービスの上り電文0（ヘッダ）のマッピング（createMap_Po_Ins01_HdrR_Chk01_HdrR）</t>
    <rPh sb="5" eb="6">
      <t>ノボ</t>
    </rPh>
    <rPh sb="7" eb="9">
      <t>デンブン</t>
    </rPh>
    <phoneticPr fontId="3"/>
  </si>
  <si>
    <t>[上り電文0（up0）]</t>
    <rPh sb="1" eb="2">
      <t>ノボ</t>
    </rPh>
    <rPh sb="3" eb="5">
      <t>デンブン</t>
    </rPh>
    <phoneticPr fontId="3"/>
  </si>
  <si>
    <t>[上り電文0（up0）]「支払条件」</t>
    <rPh sb="1" eb="2">
      <t>ノボ</t>
    </rPh>
    <rPh sb="13" eb="15">
      <t>シハラ</t>
    </rPh>
    <rPh sb="15" eb="17">
      <t>ジョウケン</t>
    </rPh>
    <phoneticPr fontId="3"/>
  </si>
  <si>
    <t>[上り電文0（up1）]</t>
    <rPh sb="1" eb="2">
      <t>ノボ</t>
    </rPh>
    <rPh sb="3" eb="5">
      <t>デンブン</t>
    </rPh>
    <phoneticPr fontId="3"/>
  </si>
  <si>
    <t>サービスの上り電文1（明細）のマッピング（createMap_Po_Ins01_DtlR_Chk01_DtlR）</t>
    <rPh sb="5" eb="6">
      <t>ノボ</t>
    </rPh>
    <rPh sb="7" eb="9">
      <t>デンブン</t>
    </rPh>
    <rPh sb="11" eb="13">
      <t>メイサイ</t>
    </rPh>
    <phoneticPr fontId="3"/>
  </si>
  <si>
    <t>[上り電文1（up1）]「手動初物判定ＦＬＧ」</t>
    <rPh sb="13" eb="15">
      <t>シュドウ</t>
    </rPh>
    <rPh sb="15" eb="17">
      <t>ハツモノ</t>
    </rPh>
    <rPh sb="17" eb="19">
      <t>ハンテイ</t>
    </rPh>
    <phoneticPr fontId="3"/>
  </si>
  <si>
    <t>[上り電文1（up1）]「初物ＦＬＧ」</t>
    <rPh sb="13" eb="15">
      <t>ハツモノ</t>
    </rPh>
    <phoneticPr fontId="3"/>
  </si>
  <si>
    <t>[上り電文1（up1）]「購入仕様書ＮＯ」</t>
    <rPh sb="13" eb="15">
      <t>コウニュウ</t>
    </rPh>
    <rPh sb="15" eb="18">
      <t>シヨウショ</t>
    </rPh>
    <phoneticPr fontId="3"/>
  </si>
  <si>
    <t>[上り電文1（up1）]「搬入口」</t>
    <rPh sb="13" eb="15">
      <t>ハンニュウ</t>
    </rPh>
    <rPh sb="15" eb="16">
      <t>クチ</t>
    </rPh>
    <phoneticPr fontId="3"/>
  </si>
  <si>
    <t>[上り電文1（up1）]「検査連絡備考」</t>
    <rPh sb="13" eb="15">
      <t>ケンサ</t>
    </rPh>
    <rPh sb="15" eb="17">
      <t>レンラク</t>
    </rPh>
    <rPh sb="17" eb="19">
      <t>ビコウ</t>
    </rPh>
    <phoneticPr fontId="3"/>
  </si>
  <si>
    <t>poIns01.exec;の直線にこの処理を追加する。</t>
    <rPh sb="14" eb="16">
      <t>チョクセン</t>
    </rPh>
    <rPh sb="19" eb="21">
      <t>ショリ</t>
    </rPh>
    <rPh sb="22" eb="24">
      <t>ツイカ</t>
    </rPh>
    <phoneticPr fontId="3"/>
  </si>
  <si>
    <t>発注登録サービスを実行するための上り電文の設定を行う（callPoRegPoUpd01）</t>
  </si>
  <si>
    <t>本処理（doIt）</t>
    <rPh sb="0" eb="1">
      <t>ホン</t>
    </rPh>
    <rPh sb="1" eb="3">
      <t>ショリ</t>
    </rPh>
    <phoneticPr fontId="3"/>
  </si>
  <si>
    <t>発注登録サービスのChk01を呼び出す。（callPoRegChk01）</t>
  </si>
  <si>
    <t xml:space="preserve">MA.MAUAP0010.CarryPort
【入力】
　搬入口ＣＤ：搬入口ＣＤ
【出力】
　搬入口名：搬入口名
</t>
    <rPh sb="24" eb="26">
      <t>ニュウリョク</t>
    </rPh>
    <rPh sb="29" eb="31">
      <t>ハンニュウ</t>
    </rPh>
    <rPh sb="31" eb="32">
      <t>グチ</t>
    </rPh>
    <rPh sb="35" eb="37">
      <t>ハンニュウ</t>
    </rPh>
    <rPh sb="37" eb="38">
      <t>グチ</t>
    </rPh>
    <rPh sb="42" eb="44">
      <t>シュツリョク</t>
    </rPh>
    <rPh sb="47" eb="49">
      <t>ハンニュウ</t>
    </rPh>
    <rPh sb="49" eb="50">
      <t>グチ</t>
    </rPh>
    <rPh sb="50" eb="51">
      <t>メイ</t>
    </rPh>
    <rPh sb="52" eb="54">
      <t>ハンニュウ</t>
    </rPh>
    <rPh sb="54" eb="55">
      <t>グチ</t>
    </rPh>
    <rPh sb="55" eb="56">
      <t>メイ</t>
    </rPh>
    <phoneticPr fontId="3"/>
  </si>
  <si>
    <t>詳細設計</t>
    <rPh sb="0" eb="2">
      <t>ショウサイ</t>
    </rPh>
    <rPh sb="2" eb="4">
      <t>セッケイ</t>
    </rPh>
    <phoneticPr fontId="3"/>
  </si>
  <si>
    <t>基本設計</t>
    <rPh sb="0" eb="2">
      <t>キホン</t>
    </rPh>
    <rPh sb="2" eb="4">
      <t>セッケイ</t>
    </rPh>
    <phoneticPr fontId="3"/>
  </si>
  <si>
    <t>削/非</t>
    <rPh sb="0" eb="1">
      <t>サク</t>
    </rPh>
    <rPh sb="2" eb="3">
      <t>ヒ</t>
    </rPh>
    <phoneticPr fontId="3"/>
  </si>
  <si>
    <t>コ</t>
    <phoneticPr fontId="3"/>
  </si>
  <si>
    <t>レビュー実施記録</t>
    <rPh sb="4" eb="6">
      <t>ジッシ</t>
    </rPh>
    <rPh sb="6" eb="8">
      <t>キロク</t>
    </rPh>
    <phoneticPr fontId="3"/>
  </si>
  <si>
    <t>NO</t>
    <phoneticPr fontId="3"/>
  </si>
  <si>
    <t>レビュー日</t>
    <rPh sb="4" eb="5">
      <t>ビ</t>
    </rPh>
    <phoneticPr fontId="3"/>
  </si>
  <si>
    <t>開催場所</t>
    <rPh sb="0" eb="2">
      <t>カイサイ</t>
    </rPh>
    <rPh sb="2" eb="4">
      <t>バショ</t>
    </rPh>
    <phoneticPr fontId="3"/>
  </si>
  <si>
    <t>参加者</t>
    <rPh sb="0" eb="3">
      <t>サンカシャ</t>
    </rPh>
    <phoneticPr fontId="3"/>
  </si>
  <si>
    <t>本社</t>
    <rPh sb="0" eb="2">
      <t>ホンシャ</t>
    </rPh>
    <phoneticPr fontId="3"/>
  </si>
  <si>
    <t>レビュー指摘・確認対応記録</t>
    <rPh sb="4" eb="6">
      <t>シテキ</t>
    </rPh>
    <rPh sb="7" eb="9">
      <t>カクニン</t>
    </rPh>
    <rPh sb="9" eb="11">
      <t>タイオウ</t>
    </rPh>
    <rPh sb="11" eb="13">
      <t>キロク</t>
    </rPh>
    <phoneticPr fontId="3"/>
  </si>
  <si>
    <t>指摘・確認事項</t>
    <rPh sb="0" eb="2">
      <t>シテキ</t>
    </rPh>
    <rPh sb="3" eb="5">
      <t>カクニン</t>
    </rPh>
    <rPh sb="5" eb="7">
      <t>ジコウ</t>
    </rPh>
    <phoneticPr fontId="3"/>
  </si>
  <si>
    <t>回答</t>
    <rPh sb="0" eb="2">
      <t>カイトウ</t>
    </rPh>
    <phoneticPr fontId="3"/>
  </si>
  <si>
    <t>確認日</t>
    <rPh sb="0" eb="2">
      <t>カクニン</t>
    </rPh>
    <rPh sb="2" eb="3">
      <t>ビ</t>
    </rPh>
    <phoneticPr fontId="3"/>
  </si>
  <si>
    <t>担当者</t>
    <rPh sb="0" eb="3">
      <t>タントウシャ</t>
    </rPh>
    <phoneticPr fontId="3"/>
  </si>
  <si>
    <t>××</t>
    <phoneticPr fontId="3"/>
  </si>
  <si>
    <t>××</t>
    <phoneticPr fontId="3"/>
  </si>
  <si>
    <t>NO</t>
    <phoneticPr fontId="3"/>
  </si>
  <si>
    <t>EU：××、××</t>
    <phoneticPr fontId="3"/>
  </si>
  <si>
    <t>BP：××、××</t>
    <phoneticPr fontId="3"/>
  </si>
  <si>
    <t>B-ENG：××、××</t>
    <phoneticPr fontId="3"/>
  </si>
  <si>
    <t>レビュー記録</t>
    <rPh sb="4" eb="6">
      <t>キロク</t>
    </rPh>
    <phoneticPr fontId="3"/>
  </si>
  <si>
    <t>機能関連図</t>
    <rPh sb="0" eb="2">
      <t>キノウ</t>
    </rPh>
    <rPh sb="2" eb="4">
      <t>カンレン</t>
    </rPh>
    <rPh sb="4" eb="5">
      <t>ズ</t>
    </rPh>
    <phoneticPr fontId="3"/>
  </si>
  <si>
    <t>※</t>
    <phoneticPr fontId="3"/>
  </si>
  <si>
    <t>今回のカスタマイズによる機能関連図の変更はない</t>
    <rPh sb="0" eb="2">
      <t>コンカイ</t>
    </rPh>
    <rPh sb="12" eb="14">
      <t>キノウ</t>
    </rPh>
    <rPh sb="14" eb="16">
      <t>カンレン</t>
    </rPh>
    <rPh sb="16" eb="17">
      <t>ズ</t>
    </rPh>
    <rPh sb="18" eb="20">
      <t>ヘンコウ</t>
    </rPh>
    <phoneticPr fontId="3"/>
  </si>
  <si>
    <t>【機能関連図】</t>
    <rPh sb="1" eb="3">
      <t>キノウ</t>
    </rPh>
    <rPh sb="3" eb="5">
      <t>カンレン</t>
    </rPh>
    <rPh sb="5" eb="6">
      <t>ズ</t>
    </rPh>
    <phoneticPr fontId="3"/>
  </si>
  <si>
    <t>※</t>
  </si>
  <si>
    <t>今回のカスタマイズによる機能関連図の変更はない。標準と同じ</t>
    <rPh sb="0" eb="2">
      <t>コンカイ</t>
    </rPh>
    <rPh sb="12" eb="14">
      <t>キノウ</t>
    </rPh>
    <rPh sb="14" eb="16">
      <t>カンレン</t>
    </rPh>
    <rPh sb="16" eb="17">
      <t>ズ</t>
    </rPh>
    <rPh sb="18" eb="20">
      <t>ヘンコウ</t>
    </rPh>
    <rPh sb="24" eb="26">
      <t>ヒョウジュン</t>
    </rPh>
    <rPh sb="27" eb="28">
      <t>オナ</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</si>
</sst>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38">
    <font>
      <sz val="9"/>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2"/>
      <name val="ＭＳ Ｐゴシック"/>
      <family val="3"/>
      <charset val="128"/>
    </font>
    <font>
      <sz val="9"/>
      <color indexed="81"/>
      <name val="ＭＳ Ｐゴシック"/>
      <family val="3"/>
      <charset val="128"/>
    </font>
    <font>
      <b/>
      <sz val="9"/>
      <color indexed="81"/>
      <name val="ＭＳ Ｐゴシック"/>
      <family val="3"/>
      <charset val="128"/>
    </font>
    <font>
      <sz val="9"/>
      <color indexed="10"/>
      <name val="ＭＳ Ｐゴシック"/>
      <family val="3"/>
      <charset val="128"/>
    </font>
    <font>
      <b/>
      <sz val="11"/>
      <name val="Meiryo UI"/>
      <family val="3"/>
      <charset val="128"/>
    </font>
    <font>
      <sz val="9"/>
      <name val="Meiryo UI"/>
      <family val="3"/>
      <charset val="128"/>
    </font>
    <font>
      <sz val="11"/>
      <name val="Meiryo UI"/>
      <family val="3"/>
      <charset val="128"/>
    </font>
    <font>
      <b/>
      <sz val="20"/>
      <color indexed="10"/>
      <name val="Meiryo UI"/>
      <family val="3"/>
      <charset val="128"/>
    </font>
    <font>
      <b/>
      <sz val="12"/>
      <name val="Meiryo UI"/>
      <family val="3"/>
      <charset val="128"/>
    </font>
    <font>
      <sz val="9"/>
      <color rgb="FFFF0000"/>
      <name val="Meiryo UI"/>
      <family val="3"/>
      <charset val="128"/>
    </font>
    <font>
      <b/>
      <sz val="9"/>
      <name val="Meiryo UI"/>
      <family val="3"/>
      <charset val="128"/>
    </font>
    <font>
      <b/>
      <sz val="8"/>
      <name val="Meiryo UI"/>
      <family val="3"/>
      <charset val="128"/>
    </font>
    <font>
      <sz val="8"/>
      <name val="Meiryo UI"/>
      <family val="3"/>
      <charset val="128"/>
    </font>
    <font>
      <sz val="9"/>
      <name val="ＭＳ Ｐゴシック"/>
      <family val="3"/>
      <charset val="128"/>
    </font>
    <font>
      <b/>
      <sz val="10"/>
      <name val="Meiryo UI"/>
      <family val="3"/>
      <charset val="128"/>
    </font>
    <font>
      <sz val="10"/>
      <name val="Meiryo UI"/>
      <family val="3"/>
      <charset val="128"/>
    </font>
    <font>
      <sz val="11"/>
      <name val="ＭＳ Ｐゴシック"/>
      <family val="3"/>
      <charset val="128"/>
    </font>
    <font>
      <sz val="9"/>
      <color theme="3"/>
      <name val="Meiryo UI"/>
      <family val="3"/>
      <charset val="128"/>
    </font>
    <font>
      <sz val="9"/>
      <color theme="3"/>
      <name val="ＭＳ ゴシック"/>
      <family val="3"/>
      <charset val="128"/>
    </font>
    <font>
      <sz val="9"/>
      <name val="ＭＳ ゴシック"/>
      <family val="3"/>
      <charset val="128"/>
    </font>
    <font>
      <sz val="9"/>
      <color theme="0" tint="-0.499984740745262"/>
      <name val="Meiryo UI"/>
      <family val="3"/>
      <charset val="128"/>
    </font>
    <font>
      <sz val="8"/>
      <color rgb="FFFF0000"/>
      <name val="Meiryo UI"/>
      <family val="3"/>
      <charset val="128"/>
    </font>
    <font>
      <sz val="9"/>
      <color rgb="FF0070C0"/>
      <name val="Meiryo UI"/>
      <family val="3"/>
      <charset val="128"/>
    </font>
    <font>
      <sz val="11"/>
      <color theme="1"/>
      <name val="ＭＳ Ｐゴシック"/>
      <family val="3"/>
      <charset val="128"/>
      <scheme val="minor"/>
    </font>
    <font>
      <b/>
      <sz val="9"/>
      <color indexed="81"/>
      <name val="MS P ゴシック"/>
      <family val="3"/>
      <charset val="128"/>
    </font>
    <font>
      <sz val="11"/>
      <color theme="1"/>
      <name val="ＭＳ Ｐゴシック"/>
      <family val="2"/>
      <scheme val="minor"/>
    </font>
    <font>
      <sz val="6"/>
      <name val="ＭＳ Ｐゴシック"/>
      <family val="3"/>
      <charset val="128"/>
      <scheme val="minor"/>
    </font>
    <font>
      <sz val="9"/>
      <color theme="1"/>
      <name val="Meiryo UI"/>
      <family val="3"/>
      <charset val="128"/>
    </font>
    <font>
      <sz val="11"/>
      <color theme="1"/>
      <name val="Meiryo UI"/>
      <family val="3"/>
      <charset val="128"/>
    </font>
    <font>
      <b/>
      <sz val="11"/>
      <color theme="1"/>
      <name val="Meiryo UI"/>
      <family val="3"/>
      <charset val="128"/>
    </font>
    <font>
      <sz val="6"/>
      <name val="ＭＳ Ｐ明朝"/>
      <family val="1"/>
      <charset val="128"/>
    </font>
    <font>
      <sz val="9"/>
      <color indexed="8"/>
      <name val="Meiryo UI"/>
      <family val="3"/>
      <charset val="128"/>
    </font>
    <font>
      <b/>
      <sz val="9"/>
      <color theme="1"/>
      <name val="Meiryo UI"/>
      <family val="3"/>
      <charset val="128"/>
    </font>
    <font>
      <sz val="9"/>
      <color indexed="81"/>
      <name val="MS P ゴシック"/>
      <family val="3"/>
      <charset val="128"/>
    </font>
  </fonts>
  <fills count="20">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rgb="FFCCFFCC"/>
        <bgColor indexed="64"/>
      </patternFill>
    </fill>
    <fill>
      <patternFill patternType="solid">
        <fgColor rgb="FFFFFF99"/>
        <bgColor indexed="64"/>
      </patternFill>
    </fill>
    <fill>
      <patternFill patternType="solid">
        <fgColor theme="0"/>
        <bgColor indexed="64"/>
      </patternFill>
    </fill>
    <fill>
      <patternFill patternType="solid">
        <fgColor rgb="FFFFCCFF"/>
        <bgColor indexed="64"/>
      </patternFill>
    </fill>
    <fill>
      <patternFill patternType="solid">
        <fgColor theme="0" tint="-0.14999847407452621"/>
        <bgColor indexed="64"/>
      </patternFill>
    </fill>
    <fill>
      <patternFill patternType="solid">
        <fgColor rgb="FF99FF99"/>
        <bgColor indexed="64"/>
      </patternFill>
    </fill>
    <fill>
      <patternFill patternType="solid">
        <fgColor theme="0" tint="-0.14996795556505021"/>
        <bgColor indexed="64"/>
      </patternFill>
    </fill>
    <fill>
      <patternFill patternType="solid">
        <fgColor rgb="FFCCFFFF"/>
        <bgColor indexed="64"/>
      </patternFill>
    </fill>
    <fill>
      <patternFill patternType="solid">
        <fgColor theme="5" tint="0.79995117038483843"/>
        <bgColor theme="0"/>
      </patternFill>
    </fill>
    <fill>
      <patternFill patternType="solid">
        <fgColor indexed="65"/>
        <bgColor theme="0"/>
      </patternFill>
    </fill>
    <fill>
      <patternFill patternType="solid">
        <fgColor rgb="FF92D050"/>
        <bgColor theme="0"/>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1" tint="0.499984740745262"/>
        <bgColor indexed="64"/>
      </patternFill>
    </fill>
  </fills>
  <borders count="142">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double">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diagonal/>
    </border>
    <border>
      <left style="thin">
        <color indexed="64"/>
      </left>
      <right/>
      <top style="medium">
        <color indexed="64"/>
      </top>
      <bottom style="double">
        <color indexed="64"/>
      </bottom>
      <diagonal/>
    </border>
    <border>
      <left/>
      <right style="thin">
        <color indexed="64"/>
      </right>
      <top style="double">
        <color indexed="64"/>
      </top>
      <bottom style="thin">
        <color indexed="64"/>
      </bottom>
      <diagonal/>
    </border>
    <border>
      <left style="thin">
        <color indexed="64"/>
      </left>
      <right/>
      <top/>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thin">
        <color indexed="64"/>
      </left>
      <right style="hair">
        <color indexed="64"/>
      </right>
      <top style="medium">
        <color indexed="64"/>
      </top>
      <bottom style="double">
        <color indexed="64"/>
      </bottom>
      <diagonal/>
    </border>
    <border>
      <left style="thin">
        <color indexed="64"/>
      </left>
      <right style="hair">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style="medium">
        <color indexed="64"/>
      </top>
      <bottom/>
      <diagonal/>
    </border>
    <border>
      <left style="thin">
        <color indexed="64"/>
      </left>
      <right/>
      <top/>
      <bottom style="double">
        <color indexed="64"/>
      </bottom>
      <diagonal/>
    </border>
    <border>
      <left/>
      <right/>
      <top/>
      <bottom style="double">
        <color indexed="64"/>
      </bottom>
      <diagonal/>
    </border>
    <border>
      <left style="thin">
        <color indexed="64"/>
      </left>
      <right style="hair">
        <color indexed="64"/>
      </right>
      <top style="thin">
        <color indexed="64"/>
      </top>
      <bottom style="double">
        <color indexed="64"/>
      </bottom>
      <diagonal/>
    </border>
    <border>
      <left/>
      <right style="medium">
        <color indexed="64"/>
      </right>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diagonal/>
    </border>
    <border>
      <left/>
      <right style="thin">
        <color indexed="64"/>
      </right>
      <top style="double">
        <color indexed="64"/>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double">
        <color indexed="64"/>
      </top>
      <bottom/>
      <diagonal/>
    </border>
    <border>
      <left style="thin">
        <color indexed="64"/>
      </left>
      <right style="thin">
        <color indexed="64"/>
      </right>
      <top style="medium">
        <color indexed="64"/>
      </top>
      <bottom/>
      <diagonal/>
    </border>
    <border>
      <left/>
      <right style="medium">
        <color indexed="64"/>
      </right>
      <top style="double">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hair">
        <color indexed="64"/>
      </top>
      <bottom/>
      <diagonal/>
    </border>
    <border>
      <left style="double">
        <color indexed="64"/>
      </left>
      <right/>
      <top style="hair">
        <color indexed="64"/>
      </top>
      <bottom style="hair">
        <color indexed="64"/>
      </bottom>
      <diagonal/>
    </border>
    <border>
      <left/>
      <right style="double">
        <color indexed="64"/>
      </right>
      <top style="hair">
        <color indexed="64"/>
      </top>
      <bottom style="hair">
        <color indexed="64"/>
      </bottom>
      <diagonal/>
    </border>
    <border>
      <left/>
      <right style="double">
        <color indexed="64"/>
      </right>
      <top style="hair">
        <color indexed="64"/>
      </top>
      <bottom style="thin">
        <color indexed="64"/>
      </bottom>
      <diagonal/>
    </border>
    <border>
      <left style="double">
        <color indexed="64"/>
      </left>
      <right/>
      <top style="hair">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s>
  <cellStyleXfs count="13">
    <xf numFmtId="0" fontId="0" fillId="0" borderId="0">
      <alignment vertical="center"/>
    </xf>
    <xf numFmtId="0" fontId="20" fillId="0" borderId="0">
      <alignment vertical="center"/>
    </xf>
    <xf numFmtId="0" fontId="20" fillId="0" borderId="0"/>
    <xf numFmtId="0" fontId="20" fillId="0" borderId="0"/>
    <xf numFmtId="0" fontId="20" fillId="0" borderId="0"/>
    <xf numFmtId="0" fontId="27" fillId="0" borderId="0">
      <alignment vertical="center"/>
    </xf>
    <xf numFmtId="0" fontId="17" fillId="0" borderId="0">
      <alignment vertical="center"/>
    </xf>
    <xf numFmtId="0" fontId="2" fillId="0" borderId="0">
      <alignment vertical="center"/>
    </xf>
    <xf numFmtId="0" fontId="20" fillId="0" borderId="0"/>
    <xf numFmtId="0" fontId="17" fillId="0" borderId="0">
      <alignment vertical="center"/>
    </xf>
    <xf numFmtId="0" fontId="2" fillId="0" borderId="0">
      <alignment vertical="center"/>
    </xf>
    <xf numFmtId="0" fontId="29" fillId="0" borderId="0"/>
    <xf numFmtId="0" fontId="17" fillId="0" borderId="0">
      <alignment vertical="center"/>
    </xf>
  </cellStyleXfs>
  <cellXfs count="1019">
    <xf numFmtId="0" fontId="0" fillId="0" borderId="0" xfId="0">
      <alignment vertical="center"/>
    </xf>
    <xf numFmtId="0" fontId="9" fillId="0" borderId="0" xfId="0" applyFont="1">
      <alignment vertical="center"/>
    </xf>
    <xf numFmtId="0" fontId="11" fillId="0" borderId="0" xfId="0" applyFont="1">
      <alignment vertical="center"/>
    </xf>
    <xf numFmtId="0" fontId="9" fillId="0" borderId="0" xfId="0" applyFont="1" applyFill="1">
      <alignment vertical="center"/>
    </xf>
    <xf numFmtId="0" fontId="9" fillId="0" borderId="22" xfId="0" applyNumberFormat="1" applyFont="1" applyBorder="1" applyAlignment="1">
      <alignment horizontal="center" vertical="top"/>
    </xf>
    <xf numFmtId="0" fontId="9" fillId="0" borderId="23" xfId="0" applyNumberFormat="1" applyFont="1" applyBorder="1" applyAlignment="1">
      <alignment horizontal="center" vertical="top"/>
    </xf>
    <xf numFmtId="0" fontId="9" fillId="2" borderId="4" xfId="0" applyFont="1" applyFill="1" applyBorder="1">
      <alignment vertical="center"/>
    </xf>
    <xf numFmtId="0" fontId="9" fillId="2" borderId="5" xfId="0" applyFont="1" applyFill="1" applyBorder="1">
      <alignment vertical="center"/>
    </xf>
    <xf numFmtId="0" fontId="9" fillId="2" borderId="57" xfId="0" applyFont="1" applyFill="1" applyBorder="1">
      <alignment vertical="center"/>
    </xf>
    <xf numFmtId="0" fontId="14" fillId="3" borderId="9" xfId="0" applyFont="1" applyFill="1" applyBorder="1">
      <alignment vertical="center"/>
    </xf>
    <xf numFmtId="0" fontId="9" fillId="3" borderId="6" xfId="0" applyFont="1" applyFill="1" applyBorder="1">
      <alignment vertical="center"/>
    </xf>
    <xf numFmtId="0" fontId="9" fillId="3" borderId="68" xfId="0" applyFont="1" applyFill="1" applyBorder="1">
      <alignment vertical="center"/>
    </xf>
    <xf numFmtId="0" fontId="9" fillId="0" borderId="1" xfId="0" applyFont="1" applyBorder="1">
      <alignment vertical="center"/>
    </xf>
    <xf numFmtId="0" fontId="9" fillId="0" borderId="0" xfId="0" applyFont="1" applyBorder="1">
      <alignment vertical="center"/>
    </xf>
    <xf numFmtId="0" fontId="9" fillId="0" borderId="25" xfId="0" applyFont="1" applyBorder="1">
      <alignment vertical="center"/>
    </xf>
    <xf numFmtId="49" fontId="9" fillId="0" borderId="0" xfId="0" applyNumberFormat="1" applyFont="1" applyBorder="1">
      <alignment vertical="center"/>
    </xf>
    <xf numFmtId="0" fontId="9" fillId="0" borderId="0" xfId="0" applyFont="1" applyFill="1" applyBorder="1">
      <alignment vertical="center"/>
    </xf>
    <xf numFmtId="0" fontId="14" fillId="3" borderId="8" xfId="0" applyFont="1" applyFill="1" applyBorder="1">
      <alignment vertical="center"/>
    </xf>
    <xf numFmtId="0" fontId="9" fillId="3" borderId="7" xfId="0" applyFont="1" applyFill="1" applyBorder="1">
      <alignment vertical="center"/>
    </xf>
    <xf numFmtId="0" fontId="9" fillId="3" borderId="34" xfId="0" applyFont="1" applyFill="1" applyBorder="1">
      <alignment vertical="center"/>
    </xf>
    <xf numFmtId="0" fontId="14" fillId="2" borderId="64" xfId="0" applyFont="1" applyFill="1" applyBorder="1">
      <alignment vertical="center"/>
    </xf>
    <xf numFmtId="0" fontId="14" fillId="2" borderId="27" xfId="0" applyFont="1" applyFill="1" applyBorder="1">
      <alignment vertical="center"/>
    </xf>
    <xf numFmtId="0" fontId="14" fillId="4" borderId="24" xfId="0" applyFont="1" applyFill="1" applyBorder="1">
      <alignment vertical="center"/>
    </xf>
    <xf numFmtId="0" fontId="14" fillId="2" borderId="26" xfId="0" applyFont="1" applyFill="1" applyBorder="1">
      <alignment vertical="center"/>
    </xf>
    <xf numFmtId="0" fontId="14" fillId="2" borderId="69" xfId="0" applyFont="1" applyFill="1" applyBorder="1">
      <alignment vertical="center"/>
    </xf>
    <xf numFmtId="0" fontId="14" fillId="2" borderId="33" xfId="0" applyFont="1" applyFill="1" applyBorder="1">
      <alignment vertical="center"/>
    </xf>
    <xf numFmtId="0" fontId="14" fillId="2" borderId="30" xfId="0" applyFont="1" applyFill="1" applyBorder="1">
      <alignment vertical="center"/>
    </xf>
    <xf numFmtId="0" fontId="14" fillId="2" borderId="16" xfId="0" applyFont="1" applyFill="1" applyBorder="1">
      <alignment vertical="center"/>
    </xf>
    <xf numFmtId="0" fontId="14" fillId="2" borderId="7" xfId="0" applyFont="1" applyFill="1" applyBorder="1">
      <alignment vertical="center"/>
    </xf>
    <xf numFmtId="0" fontId="14" fillId="2" borderId="44" xfId="0" applyFont="1" applyFill="1" applyBorder="1">
      <alignment vertical="center"/>
    </xf>
    <xf numFmtId="0" fontId="14" fillId="4" borderId="44" xfId="0" applyFont="1" applyFill="1" applyBorder="1">
      <alignment vertical="center"/>
    </xf>
    <xf numFmtId="0" fontId="14" fillId="2" borderId="29" xfId="0" applyFont="1" applyFill="1" applyBorder="1">
      <alignment vertical="center"/>
    </xf>
    <xf numFmtId="0" fontId="14" fillId="2" borderId="70" xfId="0" applyFont="1" applyFill="1" applyBorder="1">
      <alignment vertical="center"/>
    </xf>
    <xf numFmtId="0" fontId="9" fillId="0" borderId="26" xfId="0" applyFont="1" applyBorder="1" applyAlignment="1">
      <alignment horizontal="left" vertical="center" wrapText="1"/>
    </xf>
    <xf numFmtId="0" fontId="9" fillId="0" borderId="73" xfId="0" applyFont="1" applyBorder="1" applyAlignment="1">
      <alignment horizontal="center" vertical="center" wrapText="1"/>
    </xf>
    <xf numFmtId="0" fontId="9" fillId="0" borderId="74" xfId="0" applyFont="1" applyBorder="1" applyAlignment="1">
      <alignment horizontal="center" vertical="center"/>
    </xf>
    <xf numFmtId="0" fontId="9" fillId="0" borderId="75" xfId="0" applyFont="1" applyBorder="1" applyAlignment="1">
      <alignment horizontal="center" vertical="center"/>
    </xf>
    <xf numFmtId="49" fontId="9" fillId="0" borderId="26" xfId="0" applyNumberFormat="1" applyFont="1" applyBorder="1">
      <alignment vertical="center"/>
    </xf>
    <xf numFmtId="0" fontId="9" fillId="0" borderId="26" xfId="0" applyFont="1" applyBorder="1">
      <alignment vertical="center"/>
    </xf>
    <xf numFmtId="0" fontId="9" fillId="0" borderId="69" xfId="0" applyFont="1" applyBorder="1">
      <alignment vertical="center"/>
    </xf>
    <xf numFmtId="0" fontId="9" fillId="0" borderId="29" xfId="0" applyFont="1" applyBorder="1" applyAlignment="1">
      <alignment horizontal="left" vertical="center" wrapText="1"/>
    </xf>
    <xf numFmtId="0" fontId="9" fillId="0" borderId="76" xfId="0" applyFont="1" applyBorder="1" applyAlignment="1">
      <alignment horizontal="center" vertical="center" wrapText="1"/>
    </xf>
    <xf numFmtId="0" fontId="9" fillId="0" borderId="77" xfId="0" applyFont="1" applyBorder="1" applyAlignment="1">
      <alignment horizontal="center" vertical="center"/>
    </xf>
    <xf numFmtId="0" fontId="9" fillId="0" borderId="78" xfId="0" applyFont="1" applyBorder="1" applyAlignment="1">
      <alignment horizontal="center" vertical="center"/>
    </xf>
    <xf numFmtId="0" fontId="9" fillId="0" borderId="29" xfId="0" applyFont="1" applyBorder="1">
      <alignment vertical="center"/>
    </xf>
    <xf numFmtId="0" fontId="9" fillId="0" borderId="70" xfId="0" applyFont="1" applyBorder="1">
      <alignment vertical="center"/>
    </xf>
    <xf numFmtId="0" fontId="9" fillId="0" borderId="1" xfId="0" applyFont="1" applyBorder="1" applyAlignment="1">
      <alignment vertical="center"/>
    </xf>
    <xf numFmtId="0" fontId="9" fillId="0" borderId="0" xfId="0" applyFont="1" applyBorder="1" applyAlignment="1">
      <alignment horizontal="left" vertical="center" wrapText="1"/>
    </xf>
    <xf numFmtId="0" fontId="9" fillId="0" borderId="79" xfId="0" applyFont="1" applyBorder="1" applyAlignment="1">
      <alignment horizontal="center" vertical="center" wrapText="1"/>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2" xfId="0" applyFont="1" applyBorder="1">
      <alignment vertical="center"/>
    </xf>
    <xf numFmtId="0" fontId="9" fillId="0" borderId="3" xfId="0" applyFont="1" applyBorder="1">
      <alignment vertical="center"/>
    </xf>
    <xf numFmtId="0" fontId="9" fillId="0" borderId="43" xfId="0" applyFont="1" applyBorder="1">
      <alignment vertical="center"/>
    </xf>
    <xf numFmtId="0" fontId="14" fillId="2" borderId="5" xfId="0" applyFont="1" applyFill="1" applyBorder="1" applyAlignment="1">
      <alignment horizontal="center"/>
    </xf>
    <xf numFmtId="0" fontId="14" fillId="4" borderId="57" xfId="0" applyFont="1" applyFill="1" applyBorder="1" applyAlignment="1">
      <alignment horizontal="center"/>
    </xf>
    <xf numFmtId="177" fontId="9" fillId="0" borderId="62" xfId="0" applyNumberFormat="1" applyFont="1" applyBorder="1" applyAlignment="1">
      <alignment horizontal="center" vertical="center"/>
    </xf>
    <xf numFmtId="177" fontId="9" fillId="0" borderId="58" xfId="0" applyNumberFormat="1" applyFont="1" applyBorder="1" applyAlignment="1">
      <alignment horizontal="center" vertical="center"/>
    </xf>
    <xf numFmtId="177" fontId="9" fillId="0" borderId="0" xfId="0" applyNumberFormat="1" applyFont="1" applyBorder="1" applyAlignment="1">
      <alignment horizontal="center" vertical="center"/>
    </xf>
    <xf numFmtId="177" fontId="9" fillId="0" borderId="25" xfId="0" applyNumberFormat="1" applyFont="1" applyBorder="1" applyAlignment="1">
      <alignment horizontal="center" vertical="center"/>
    </xf>
    <xf numFmtId="177" fontId="9" fillId="0" borderId="3" xfId="0" applyNumberFormat="1" applyFont="1" applyBorder="1" applyAlignment="1">
      <alignment horizontal="center" vertical="center"/>
    </xf>
    <xf numFmtId="177" fontId="9" fillId="0" borderId="43" xfId="0" applyNumberFormat="1" applyFont="1" applyBorder="1" applyAlignment="1">
      <alignment horizontal="center" vertical="center"/>
    </xf>
    <xf numFmtId="0" fontId="9" fillId="0" borderId="0" xfId="0" applyFont="1" applyAlignment="1">
      <alignment horizontal="center" vertical="center"/>
    </xf>
    <xf numFmtId="0" fontId="14" fillId="3" borderId="9" xfId="0" applyFont="1" applyFill="1" applyBorder="1" applyAlignment="1">
      <alignment vertical="center"/>
    </xf>
    <xf numFmtId="0" fontId="9" fillId="3" borderId="6" xfId="0" applyFont="1" applyFill="1" applyBorder="1" applyAlignment="1">
      <alignment vertical="center"/>
    </xf>
    <xf numFmtId="0" fontId="9" fillId="3" borderId="6" xfId="0" applyFont="1" applyFill="1" applyBorder="1" applyAlignment="1">
      <alignment horizontal="center" vertical="center"/>
    </xf>
    <xf numFmtId="0" fontId="9" fillId="3" borderId="68" xfId="0" applyFont="1" applyFill="1" applyBorder="1" applyAlignment="1">
      <alignment vertical="center"/>
    </xf>
    <xf numFmtId="0" fontId="14" fillId="2" borderId="4" xfId="0" applyFont="1" applyFill="1" applyBorder="1">
      <alignment vertical="center"/>
    </xf>
    <xf numFmtId="0" fontId="14" fillId="2" borderId="5" xfId="0" applyFont="1" applyFill="1" applyBorder="1">
      <alignment vertical="center"/>
    </xf>
    <xf numFmtId="49" fontId="14" fillId="3" borderId="15" xfId="0" applyNumberFormat="1" applyFont="1" applyFill="1" applyBorder="1">
      <alignment vertical="center"/>
    </xf>
    <xf numFmtId="49" fontId="9" fillId="3" borderId="6" xfId="0" applyNumberFormat="1" applyFont="1" applyFill="1" applyBorder="1">
      <alignment vertical="center"/>
    </xf>
    <xf numFmtId="49" fontId="9" fillId="3" borderId="68" xfId="0" applyNumberFormat="1" applyFont="1" applyFill="1" applyBorder="1">
      <alignment vertical="center"/>
    </xf>
    <xf numFmtId="49" fontId="9" fillId="0" borderId="14" xfId="0" applyNumberFormat="1" applyFont="1" applyBorder="1">
      <alignment vertical="center"/>
    </xf>
    <xf numFmtId="49" fontId="9" fillId="0" borderId="11" xfId="0" applyNumberFormat="1" applyFont="1" applyBorder="1">
      <alignment vertical="center"/>
    </xf>
    <xf numFmtId="49" fontId="9" fillId="0" borderId="25" xfId="0" applyNumberFormat="1" applyFont="1" applyBorder="1">
      <alignment vertical="center"/>
    </xf>
    <xf numFmtId="49" fontId="14" fillId="3" borderId="16" xfId="0" applyNumberFormat="1" applyFont="1" applyFill="1" applyBorder="1">
      <alignment vertical="center"/>
    </xf>
    <xf numFmtId="49" fontId="9" fillId="3" borderId="7" xfId="0" applyNumberFormat="1" applyFont="1" applyFill="1" applyBorder="1">
      <alignment vertical="center"/>
    </xf>
    <xf numFmtId="49" fontId="9" fillId="3" borderId="34" xfId="0" applyNumberFormat="1" applyFont="1" applyFill="1" applyBorder="1">
      <alignment vertical="center"/>
    </xf>
    <xf numFmtId="0" fontId="10" fillId="0" borderId="0" xfId="0" applyFont="1">
      <alignment vertical="center"/>
    </xf>
    <xf numFmtId="0" fontId="9" fillId="0" borderId="0" xfId="0" applyFont="1">
      <alignment vertical="center"/>
    </xf>
    <xf numFmtId="0" fontId="9" fillId="0" borderId="33" xfId="0" applyFont="1" applyBorder="1" applyAlignment="1">
      <alignment vertical="center"/>
    </xf>
    <xf numFmtId="0" fontId="9" fillId="0" borderId="31" xfId="0" applyFont="1" applyBorder="1" applyAlignment="1">
      <alignment vertical="center"/>
    </xf>
    <xf numFmtId="0" fontId="14" fillId="2" borderId="65" xfId="0" applyFont="1" applyFill="1" applyBorder="1" applyAlignment="1">
      <alignment vertical="top"/>
    </xf>
    <xf numFmtId="0" fontId="14" fillId="2" borderId="37" xfId="0" applyFont="1" applyFill="1" applyBorder="1" applyAlignment="1">
      <alignment vertical="top"/>
    </xf>
    <xf numFmtId="0" fontId="14" fillId="6" borderId="36" xfId="0" applyFont="1" applyFill="1" applyBorder="1" applyAlignment="1">
      <alignment vertical="top"/>
    </xf>
    <xf numFmtId="0" fontId="14" fillId="6" borderId="37" xfId="0" applyFont="1" applyFill="1" applyBorder="1" applyAlignment="1">
      <alignment vertical="top"/>
    </xf>
    <xf numFmtId="0" fontId="14" fillId="2" borderId="36" xfId="0" applyFont="1" applyFill="1" applyBorder="1" applyAlignment="1">
      <alignment vertical="top"/>
    </xf>
    <xf numFmtId="0" fontId="14" fillId="6" borderId="39" xfId="0" applyFont="1" applyFill="1" applyBorder="1" applyAlignment="1">
      <alignment vertical="top"/>
    </xf>
    <xf numFmtId="0" fontId="14" fillId="5" borderId="1" xfId="0" applyNumberFormat="1" applyFont="1" applyFill="1" applyBorder="1" applyAlignment="1">
      <alignment vertical="center"/>
    </xf>
    <xf numFmtId="0" fontId="14" fillId="5" borderId="7" xfId="0" applyNumberFormat="1" applyFont="1" applyFill="1" applyBorder="1" applyAlignment="1">
      <alignment vertical="center"/>
    </xf>
    <xf numFmtId="0" fontId="14" fillId="5" borderId="29" xfId="0" applyNumberFormat="1" applyFont="1" applyFill="1" applyBorder="1" applyAlignment="1">
      <alignment vertical="center"/>
    </xf>
    <xf numFmtId="0" fontId="14" fillId="5" borderId="50" xfId="0" applyNumberFormat="1" applyFont="1" applyFill="1" applyBorder="1" applyAlignment="1">
      <alignment vertical="center"/>
    </xf>
    <xf numFmtId="0" fontId="14" fillId="5" borderId="60" xfId="0" applyNumberFormat="1" applyFont="1" applyFill="1" applyBorder="1" applyAlignment="1">
      <alignment vertical="center"/>
    </xf>
    <xf numFmtId="0" fontId="9" fillId="0" borderId="16" xfId="0" applyFont="1" applyFill="1" applyBorder="1" applyAlignment="1"/>
    <xf numFmtId="0" fontId="9" fillId="0" borderId="26" xfId="0" applyFont="1" applyBorder="1" applyAlignment="1">
      <alignment vertical="center"/>
    </xf>
    <xf numFmtId="0" fontId="9" fillId="0" borderId="0" xfId="0" applyFont="1" applyBorder="1">
      <alignment vertical="center"/>
    </xf>
    <xf numFmtId="0" fontId="9" fillId="0" borderId="14" xfId="0" applyFont="1" applyBorder="1" applyAlignment="1">
      <alignment vertical="center"/>
    </xf>
    <xf numFmtId="0" fontId="9" fillId="0" borderId="0" xfId="0" applyFont="1" applyBorder="1" applyAlignment="1">
      <alignment vertical="center"/>
    </xf>
    <xf numFmtId="0" fontId="9" fillId="0" borderId="11" xfId="0" applyFont="1" applyBorder="1" applyAlignment="1">
      <alignment vertical="center"/>
    </xf>
    <xf numFmtId="0" fontId="13" fillId="0" borderId="0" xfId="0" applyFont="1" applyBorder="1">
      <alignment vertical="center"/>
    </xf>
    <xf numFmtId="0" fontId="9" fillId="0" borderId="0" xfId="0" applyFont="1" applyAlignment="1">
      <alignment vertical="center"/>
    </xf>
    <xf numFmtId="0" fontId="9" fillId="0" borderId="0" xfId="0" applyFont="1" applyBorder="1" applyAlignment="1">
      <alignment horizontal="left" vertical="center"/>
    </xf>
    <xf numFmtId="49" fontId="9" fillId="0" borderId="0" xfId="0" applyNumberFormat="1" applyFont="1" applyBorder="1" applyAlignment="1">
      <alignment vertical="center"/>
    </xf>
    <xf numFmtId="0" fontId="9" fillId="0" borderId="16" xfId="0" applyFont="1" applyBorder="1">
      <alignment vertical="center"/>
    </xf>
    <xf numFmtId="0" fontId="9" fillId="0" borderId="7" xfId="0" applyFont="1" applyBorder="1">
      <alignment vertical="center"/>
    </xf>
    <xf numFmtId="0" fontId="9" fillId="0" borderId="17" xfId="0" applyFont="1" applyBorder="1">
      <alignment vertical="center"/>
    </xf>
    <xf numFmtId="0" fontId="9" fillId="0" borderId="82" xfId="0" applyFont="1" applyBorder="1">
      <alignment vertical="center"/>
    </xf>
    <xf numFmtId="0" fontId="9" fillId="0" borderId="84" xfId="0" applyFont="1" applyBorder="1">
      <alignment vertical="center"/>
    </xf>
    <xf numFmtId="0" fontId="9" fillId="0" borderId="83" xfId="0" applyFont="1" applyBorder="1">
      <alignment vertical="center"/>
    </xf>
    <xf numFmtId="0" fontId="9" fillId="0" borderId="85" xfId="0" applyFont="1" applyBorder="1">
      <alignment vertical="center"/>
    </xf>
    <xf numFmtId="0" fontId="9" fillId="0" borderId="86" xfId="0" applyFont="1" applyBorder="1">
      <alignment vertical="center"/>
    </xf>
    <xf numFmtId="0" fontId="9" fillId="0" borderId="87" xfId="0" applyFont="1" applyBorder="1">
      <alignment vertical="center"/>
    </xf>
    <xf numFmtId="0" fontId="9" fillId="0" borderId="14" xfId="0" applyFont="1" applyBorder="1">
      <alignment vertical="center"/>
    </xf>
    <xf numFmtId="0" fontId="9" fillId="0" borderId="11" xfId="0" applyFont="1" applyBorder="1">
      <alignment vertical="center"/>
    </xf>
    <xf numFmtId="0" fontId="9" fillId="0" borderId="85" xfId="0" quotePrefix="1" applyFont="1" applyBorder="1">
      <alignment vertical="center"/>
    </xf>
    <xf numFmtId="0" fontId="9" fillId="0" borderId="28" xfId="0" applyFont="1" applyBorder="1">
      <alignment vertical="center"/>
    </xf>
    <xf numFmtId="0" fontId="9" fillId="0" borderId="88" xfId="0" applyFont="1" applyBorder="1">
      <alignment vertical="center"/>
    </xf>
    <xf numFmtId="0" fontId="9" fillId="0" borderId="89" xfId="0" applyFont="1" applyBorder="1">
      <alignment vertical="center"/>
    </xf>
    <xf numFmtId="0" fontId="9" fillId="0" borderId="87" xfId="0" quotePrefix="1" applyFont="1" applyBorder="1">
      <alignment vertical="center"/>
    </xf>
    <xf numFmtId="0" fontId="9" fillId="0" borderId="90" xfId="0" applyFont="1" applyBorder="1">
      <alignment vertical="center"/>
    </xf>
    <xf numFmtId="0" fontId="9" fillId="0" borderId="91" xfId="0" applyFont="1" applyBorder="1">
      <alignment vertical="center"/>
    </xf>
    <xf numFmtId="0" fontId="9" fillId="0" borderId="92" xfId="0" applyFont="1" applyBorder="1">
      <alignment vertical="center"/>
    </xf>
    <xf numFmtId="0" fontId="9" fillId="0" borderId="91" xfId="0" quotePrefix="1" applyFont="1" applyBorder="1">
      <alignment vertical="center"/>
    </xf>
    <xf numFmtId="0" fontId="9" fillId="0" borderId="92" xfId="0" quotePrefix="1" applyFont="1" applyBorder="1">
      <alignment vertical="center"/>
    </xf>
    <xf numFmtId="0" fontId="9" fillId="0" borderId="86" xfId="0" quotePrefix="1" applyFont="1" applyBorder="1">
      <alignment vertical="center"/>
    </xf>
    <xf numFmtId="0" fontId="9" fillId="0" borderId="90" xfId="0" quotePrefix="1" applyFont="1" applyBorder="1">
      <alignment vertical="center"/>
    </xf>
    <xf numFmtId="0" fontId="9" fillId="0" borderId="7" xfId="0" applyFont="1" applyBorder="1" applyAlignment="1">
      <alignment horizontal="left" vertical="center"/>
    </xf>
    <xf numFmtId="56" fontId="9" fillId="0" borderId="90" xfId="0" quotePrefix="1" applyNumberFormat="1" applyFont="1" applyBorder="1">
      <alignment vertical="center"/>
    </xf>
    <xf numFmtId="0" fontId="9" fillId="0" borderId="24" xfId="0" applyFont="1" applyBorder="1">
      <alignment vertical="center"/>
    </xf>
    <xf numFmtId="0" fontId="9" fillId="0" borderId="93" xfId="0" applyFont="1" applyBorder="1">
      <alignment vertical="center"/>
    </xf>
    <xf numFmtId="0" fontId="9" fillId="0" borderId="94" xfId="0" applyFont="1" applyBorder="1">
      <alignment vertical="center"/>
    </xf>
    <xf numFmtId="0" fontId="9" fillId="0" borderId="95" xfId="0" applyFont="1" applyBorder="1">
      <alignment vertical="center"/>
    </xf>
    <xf numFmtId="0" fontId="9" fillId="0" borderId="30" xfId="0" applyFont="1" applyBorder="1">
      <alignment vertical="center"/>
    </xf>
    <xf numFmtId="0" fontId="9" fillId="0" borderId="96" xfId="0" applyFont="1" applyBorder="1">
      <alignment vertical="center"/>
    </xf>
    <xf numFmtId="0" fontId="9" fillId="0" borderId="27" xfId="0" applyFont="1" applyBorder="1">
      <alignment vertical="center"/>
    </xf>
    <xf numFmtId="0" fontId="9" fillId="0" borderId="26"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0" xfId="0" quotePrefix="1" applyFont="1" applyBorder="1">
      <alignment vertical="center"/>
    </xf>
    <xf numFmtId="0" fontId="9" fillId="0" borderId="11" xfId="0" quotePrefix="1" applyFont="1" applyBorder="1">
      <alignment vertical="center"/>
    </xf>
    <xf numFmtId="0" fontId="9" fillId="0" borderId="29" xfId="0" quotePrefix="1" applyFont="1" applyBorder="1">
      <alignment vertical="center"/>
    </xf>
    <xf numFmtId="0" fontId="9" fillId="0" borderId="30" xfId="0" quotePrefix="1" applyFont="1" applyBorder="1">
      <alignment vertical="center"/>
    </xf>
    <xf numFmtId="0" fontId="9" fillId="0" borderId="97" xfId="0" applyFont="1" applyBorder="1">
      <alignment vertical="center"/>
    </xf>
    <xf numFmtId="0" fontId="9" fillId="0" borderId="98" xfId="0" applyFont="1" applyBorder="1">
      <alignment vertical="center"/>
    </xf>
    <xf numFmtId="0" fontId="9" fillId="0" borderId="99" xfId="0" applyFont="1" applyBorder="1">
      <alignment vertical="center"/>
    </xf>
    <xf numFmtId="0" fontId="9" fillId="0" borderId="100" xfId="0" applyFont="1" applyBorder="1">
      <alignment vertical="center"/>
    </xf>
    <xf numFmtId="0" fontId="9" fillId="0" borderId="101" xfId="0" applyFont="1" applyBorder="1">
      <alignment vertical="center"/>
    </xf>
    <xf numFmtId="0" fontId="9" fillId="0" borderId="101" xfId="0" quotePrefix="1" applyFont="1" applyBorder="1">
      <alignment vertical="center"/>
    </xf>
    <xf numFmtId="0" fontId="9" fillId="0" borderId="100" xfId="0" quotePrefix="1" applyFont="1" applyBorder="1">
      <alignment vertical="center"/>
    </xf>
    <xf numFmtId="0" fontId="9" fillId="0" borderId="102" xfId="0" quotePrefix="1" applyFont="1" applyBorder="1">
      <alignment vertical="center"/>
    </xf>
    <xf numFmtId="0" fontId="9" fillId="0" borderId="103" xfId="0" applyFont="1" applyBorder="1">
      <alignment vertical="center"/>
    </xf>
    <xf numFmtId="0" fontId="9" fillId="0" borderId="1" xfId="0" applyFont="1" applyFill="1" applyBorder="1">
      <alignment vertical="center"/>
    </xf>
    <xf numFmtId="0" fontId="9" fillId="0" borderId="25" xfId="0" applyFont="1" applyFill="1" applyBorder="1">
      <alignment vertical="center"/>
    </xf>
    <xf numFmtId="0" fontId="9" fillId="0" borderId="16" xfId="0" applyFont="1" applyBorder="1" applyAlignment="1">
      <alignment vertical="center"/>
    </xf>
    <xf numFmtId="0" fontId="9" fillId="0" borderId="24" xfId="0" applyFont="1" applyBorder="1" applyAlignment="1">
      <alignment vertical="center"/>
    </xf>
    <xf numFmtId="0" fontId="9" fillId="0" borderId="28" xfId="0" applyFont="1" applyBorder="1" applyAlignment="1">
      <alignment vertical="center"/>
    </xf>
    <xf numFmtId="0" fontId="9" fillId="0" borderId="29" xfId="0" applyFont="1" applyBorder="1" applyAlignment="1">
      <alignment vertical="center"/>
    </xf>
    <xf numFmtId="0" fontId="9" fillId="0" borderId="30" xfId="0" applyFont="1" applyBorder="1" applyAlignment="1">
      <alignment vertical="center"/>
    </xf>
    <xf numFmtId="0" fontId="16" fillId="0" borderId="1" xfId="0" applyNumberFormat="1" applyFont="1" applyFill="1" applyBorder="1">
      <alignment vertical="center"/>
    </xf>
    <xf numFmtId="0" fontId="9" fillId="0" borderId="7" xfId="0" applyFont="1" applyBorder="1" applyAlignment="1">
      <alignment vertical="center"/>
    </xf>
    <xf numFmtId="0" fontId="9" fillId="0" borderId="17" xfId="0" applyFont="1" applyBorder="1" applyAlignment="1">
      <alignment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28" xfId="0" applyNumberFormat="1" applyFont="1" applyBorder="1" applyAlignment="1">
      <alignment horizontal="center" vertical="center"/>
    </xf>
    <xf numFmtId="49" fontId="9" fillId="0" borderId="30" xfId="0" applyNumberFormat="1" applyFont="1" applyBorder="1" applyAlignment="1">
      <alignment horizontal="center" vertical="center"/>
    </xf>
    <xf numFmtId="0" fontId="0" fillId="0" borderId="0" xfId="0" applyFont="1">
      <alignment vertical="center"/>
    </xf>
    <xf numFmtId="0" fontId="20" fillId="0" borderId="0" xfId="1">
      <alignment vertical="center"/>
    </xf>
    <xf numFmtId="0" fontId="20" fillId="0" borderId="0" xfId="1" applyFill="1" applyBorder="1">
      <alignment vertical="center"/>
    </xf>
    <xf numFmtId="49" fontId="21" fillId="2" borderId="4" xfId="1" applyNumberFormat="1" applyFont="1" applyFill="1" applyBorder="1">
      <alignment vertical="center"/>
    </xf>
    <xf numFmtId="49" fontId="21" fillId="2" borderId="5" xfId="1" applyNumberFormat="1" applyFont="1" applyFill="1" applyBorder="1">
      <alignment vertical="center"/>
    </xf>
    <xf numFmtId="49" fontId="21" fillId="2" borderId="57" xfId="1" applyNumberFormat="1" applyFont="1" applyFill="1" applyBorder="1">
      <alignment vertical="center"/>
    </xf>
    <xf numFmtId="49" fontId="22" fillId="0" borderId="0" xfId="1" applyNumberFormat="1" applyFont="1" applyFill="1" applyBorder="1">
      <alignment vertical="center"/>
    </xf>
    <xf numFmtId="49" fontId="17" fillId="0" borderId="0" xfId="1" applyNumberFormat="1" applyFont="1">
      <alignment vertical="center"/>
    </xf>
    <xf numFmtId="49" fontId="9" fillId="0" borderId="1" xfId="1" applyNumberFormat="1" applyFont="1" applyBorder="1" applyAlignment="1">
      <alignment vertical="center"/>
    </xf>
    <xf numFmtId="49" fontId="9" fillId="0" borderId="0" xfId="1" applyNumberFormat="1" applyFont="1" applyBorder="1" applyAlignment="1">
      <alignment vertical="center"/>
    </xf>
    <xf numFmtId="49" fontId="9" fillId="0" borderId="0" xfId="1" applyNumberFormat="1" applyFont="1" applyBorder="1">
      <alignment vertical="center"/>
    </xf>
    <xf numFmtId="49" fontId="9" fillId="0" borderId="25" xfId="1" applyNumberFormat="1" applyFont="1" applyBorder="1" applyAlignment="1">
      <alignment vertical="center"/>
    </xf>
    <xf numFmtId="49" fontId="23" fillId="0" borderId="0" xfId="1" applyNumberFormat="1" applyFont="1" applyFill="1" applyBorder="1" applyAlignment="1">
      <alignment vertical="center"/>
    </xf>
    <xf numFmtId="49" fontId="9" fillId="5" borderId="24" xfId="1" applyNumberFormat="1" applyFont="1" applyFill="1" applyBorder="1" applyAlignment="1">
      <alignment vertical="center"/>
    </xf>
    <xf numFmtId="49" fontId="9" fillId="5" borderId="26" xfId="1" applyNumberFormat="1" applyFont="1" applyFill="1" applyBorder="1" applyAlignment="1">
      <alignment vertical="center"/>
    </xf>
    <xf numFmtId="49" fontId="9" fillId="5" borderId="27" xfId="1" applyNumberFormat="1" applyFont="1" applyFill="1" applyBorder="1" applyAlignment="1">
      <alignment vertical="center"/>
    </xf>
    <xf numFmtId="49" fontId="9" fillId="5" borderId="82" xfId="1" applyNumberFormat="1" applyFont="1" applyFill="1" applyBorder="1" applyAlignment="1">
      <alignment vertical="center"/>
    </xf>
    <xf numFmtId="49" fontId="9" fillId="5" borderId="84" xfId="1" applyNumberFormat="1" applyFont="1" applyFill="1" applyBorder="1" applyAlignment="1">
      <alignment vertical="center"/>
    </xf>
    <xf numFmtId="49" fontId="9" fillId="5" borderId="83" xfId="1" applyNumberFormat="1" applyFont="1" applyFill="1" applyBorder="1" applyAlignment="1">
      <alignment vertical="center"/>
    </xf>
    <xf numFmtId="49" fontId="9" fillId="0" borderId="82" xfId="1" applyNumberFormat="1" applyFont="1" applyFill="1" applyBorder="1" applyAlignment="1">
      <alignment vertical="center"/>
    </xf>
    <xf numFmtId="49" fontId="9" fillId="0" borderId="84" xfId="1" applyNumberFormat="1" applyFont="1" applyFill="1" applyBorder="1" applyAlignment="1">
      <alignment vertical="center"/>
    </xf>
    <xf numFmtId="49" fontId="9" fillId="0" borderId="83" xfId="1" applyNumberFormat="1" applyFont="1" applyFill="1" applyBorder="1" applyAlignment="1">
      <alignment vertical="center"/>
    </xf>
    <xf numFmtId="49" fontId="9" fillId="7" borderId="16" xfId="1" applyNumberFormat="1" applyFont="1" applyFill="1" applyBorder="1" applyAlignment="1">
      <alignment vertical="center"/>
    </xf>
    <xf numFmtId="49" fontId="9" fillId="7" borderId="17" xfId="1" applyNumberFormat="1" applyFont="1" applyFill="1" applyBorder="1" applyAlignment="1">
      <alignment vertical="center"/>
    </xf>
    <xf numFmtId="49" fontId="9" fillId="5" borderId="14" xfId="1" applyNumberFormat="1" applyFont="1" applyFill="1" applyBorder="1" applyAlignment="1">
      <alignment vertical="center"/>
    </xf>
    <xf numFmtId="49" fontId="9" fillId="5" borderId="0" xfId="1" applyNumberFormat="1" applyFont="1" applyFill="1" applyBorder="1" applyAlignment="1">
      <alignment vertical="center"/>
    </xf>
    <xf numFmtId="49" fontId="9" fillId="5" borderId="11" xfId="1" applyNumberFormat="1" applyFont="1" applyFill="1" applyBorder="1" applyAlignment="1">
      <alignment vertical="center"/>
    </xf>
    <xf numFmtId="49" fontId="9" fillId="5" borderId="90" xfId="1" applyNumberFormat="1" applyFont="1" applyFill="1" applyBorder="1" applyAlignment="1">
      <alignment vertical="center"/>
    </xf>
    <xf numFmtId="49" fontId="9" fillId="5" borderId="91" xfId="1" applyNumberFormat="1" applyFont="1" applyFill="1" applyBorder="1" applyAlignment="1">
      <alignment vertical="center"/>
    </xf>
    <xf numFmtId="49" fontId="9" fillId="5" borderId="92" xfId="1" applyNumberFormat="1" applyFont="1" applyFill="1" applyBorder="1" applyAlignment="1">
      <alignment vertical="center"/>
    </xf>
    <xf numFmtId="49" fontId="9" fillId="0" borderId="90" xfId="1" applyNumberFormat="1" applyFont="1" applyFill="1" applyBorder="1" applyAlignment="1">
      <alignment vertical="center"/>
    </xf>
    <xf numFmtId="49" fontId="9" fillId="0" borderId="91" xfId="1" applyNumberFormat="1" applyFont="1" applyFill="1" applyBorder="1" applyAlignment="1">
      <alignment vertical="center"/>
    </xf>
    <xf numFmtId="49" fontId="9" fillId="0" borderId="92" xfId="1" applyNumberFormat="1" applyFont="1" applyFill="1" applyBorder="1" applyAlignment="1">
      <alignment vertical="center"/>
    </xf>
    <xf numFmtId="49" fontId="9" fillId="5" borderId="16" xfId="1" applyNumberFormat="1" applyFont="1" applyFill="1" applyBorder="1" applyAlignment="1">
      <alignment vertical="center"/>
    </xf>
    <xf numFmtId="49" fontId="9" fillId="5" borderId="17" xfId="1" applyNumberFormat="1" applyFont="1" applyFill="1" applyBorder="1" applyAlignment="1">
      <alignment vertical="center"/>
    </xf>
    <xf numFmtId="49" fontId="9" fillId="5" borderId="93" xfId="1" applyNumberFormat="1" applyFont="1" applyFill="1" applyBorder="1" applyAlignment="1">
      <alignment vertical="center"/>
    </xf>
    <xf numFmtId="49" fontId="9" fillId="5" borderId="94" xfId="1" applyNumberFormat="1" applyFont="1" applyFill="1" applyBorder="1" applyAlignment="1">
      <alignment vertical="center"/>
    </xf>
    <xf numFmtId="49" fontId="9" fillId="5" borderId="95" xfId="1" applyNumberFormat="1" applyFont="1" applyFill="1" applyBorder="1" applyAlignment="1">
      <alignment vertical="center"/>
    </xf>
    <xf numFmtId="49" fontId="9" fillId="0" borderId="93" xfId="1" applyNumberFormat="1" applyFont="1" applyFill="1" applyBorder="1" applyAlignment="1">
      <alignment vertical="center"/>
    </xf>
    <xf numFmtId="49" fontId="9" fillId="0" borderId="94" xfId="1" applyNumberFormat="1" applyFont="1" applyFill="1" applyBorder="1" applyAlignment="1">
      <alignment vertical="center"/>
    </xf>
    <xf numFmtId="49" fontId="9" fillId="0" borderId="95" xfId="1" applyNumberFormat="1" applyFont="1" applyFill="1" applyBorder="1" applyAlignment="1">
      <alignment vertical="center"/>
    </xf>
    <xf numFmtId="49" fontId="9" fillId="8" borderId="16" xfId="1" applyNumberFormat="1" applyFont="1" applyFill="1" applyBorder="1" applyAlignment="1">
      <alignment vertical="center"/>
    </xf>
    <xf numFmtId="49" fontId="9" fillId="8" borderId="17" xfId="1" applyNumberFormat="1" applyFont="1" applyFill="1" applyBorder="1" applyAlignment="1">
      <alignment vertical="center"/>
    </xf>
    <xf numFmtId="49" fontId="9" fillId="5" borderId="85" xfId="1" applyNumberFormat="1" applyFont="1" applyFill="1" applyBorder="1" applyAlignment="1">
      <alignment vertical="center"/>
    </xf>
    <xf numFmtId="49" fontId="9" fillId="5" borderId="87" xfId="1" applyNumberFormat="1" applyFont="1" applyFill="1" applyBorder="1" applyAlignment="1">
      <alignment vertical="center"/>
    </xf>
    <xf numFmtId="49" fontId="9" fillId="5" borderId="86" xfId="1" applyNumberFormat="1" applyFont="1" applyFill="1" applyBorder="1" applyAlignment="1">
      <alignment vertical="center"/>
    </xf>
    <xf numFmtId="49" fontId="9" fillId="0" borderId="85" xfId="1" applyNumberFormat="1" applyFont="1" applyFill="1" applyBorder="1" applyAlignment="1">
      <alignment vertical="center"/>
    </xf>
    <xf numFmtId="49" fontId="9" fillId="0" borderId="87" xfId="1" applyNumberFormat="1" applyFont="1" applyFill="1" applyBorder="1" applyAlignment="1">
      <alignment vertical="center"/>
    </xf>
    <xf numFmtId="49" fontId="9" fillId="0" borderId="86" xfId="1" applyNumberFormat="1" applyFont="1" applyFill="1" applyBorder="1" applyAlignment="1">
      <alignment vertical="center"/>
    </xf>
    <xf numFmtId="49" fontId="9" fillId="9" borderId="16" xfId="1" applyNumberFormat="1" applyFont="1" applyFill="1" applyBorder="1" applyAlignment="1">
      <alignment vertical="center"/>
    </xf>
    <xf numFmtId="49" fontId="9" fillId="9" borderId="17" xfId="1" applyNumberFormat="1" applyFont="1" applyFill="1" applyBorder="1" applyAlignment="1">
      <alignment vertical="center"/>
    </xf>
    <xf numFmtId="49" fontId="24" fillId="0" borderId="16" xfId="1" applyNumberFormat="1" applyFont="1" applyBorder="1" applyAlignment="1">
      <alignment vertical="center"/>
    </xf>
    <xf numFmtId="49" fontId="24" fillId="0" borderId="17" xfId="1" applyNumberFormat="1" applyFont="1" applyBorder="1" applyAlignment="1">
      <alignment vertical="center"/>
    </xf>
    <xf numFmtId="49" fontId="9" fillId="0" borderId="14" xfId="1" applyNumberFormat="1" applyFont="1" applyFill="1" applyBorder="1" applyAlignment="1">
      <alignment vertical="center"/>
    </xf>
    <xf numFmtId="49" fontId="9" fillId="0" borderId="0" xfId="1" applyNumberFormat="1" applyFont="1" applyFill="1" applyBorder="1" applyAlignment="1">
      <alignment vertical="center"/>
    </xf>
    <xf numFmtId="49" fontId="9" fillId="0" borderId="11" xfId="1" applyNumberFormat="1" applyFont="1" applyFill="1" applyBorder="1" applyAlignment="1">
      <alignment vertical="center"/>
    </xf>
    <xf numFmtId="49" fontId="9" fillId="0" borderId="0" xfId="1" applyNumberFormat="1" applyFont="1" applyBorder="1" applyAlignment="1">
      <alignment horizontal="right" vertical="center"/>
    </xf>
    <xf numFmtId="49" fontId="9" fillId="0" borderId="24" xfId="1" applyNumberFormat="1" applyFont="1" applyFill="1" applyBorder="1" applyAlignment="1">
      <alignment vertical="center"/>
    </xf>
    <xf numFmtId="49" fontId="9" fillId="0" borderId="26" xfId="1" applyNumberFormat="1" applyFont="1" applyFill="1" applyBorder="1" applyAlignment="1">
      <alignment vertical="center"/>
    </xf>
    <xf numFmtId="49" fontId="9" fillId="0" borderId="27" xfId="1" applyNumberFormat="1" applyFont="1" applyFill="1" applyBorder="1" applyAlignment="1">
      <alignment vertical="center"/>
    </xf>
    <xf numFmtId="49" fontId="9" fillId="5" borderId="28" xfId="1" applyNumberFormat="1" applyFont="1" applyFill="1" applyBorder="1" applyAlignment="1">
      <alignment vertical="center"/>
    </xf>
    <xf numFmtId="49" fontId="9" fillId="5" borderId="29" xfId="1" applyNumberFormat="1" applyFont="1" applyFill="1" applyBorder="1" applyAlignment="1">
      <alignment vertical="center"/>
    </xf>
    <xf numFmtId="49" fontId="9" fillId="5" borderId="7" xfId="1" applyNumberFormat="1" applyFont="1" applyFill="1" applyBorder="1" applyAlignment="1">
      <alignment vertical="center"/>
    </xf>
    <xf numFmtId="49" fontId="9" fillId="5" borderId="17" xfId="1" applyNumberFormat="1" applyFont="1" applyFill="1" applyBorder="1" applyAlignment="1">
      <alignment horizontal="right" vertical="center"/>
    </xf>
    <xf numFmtId="49" fontId="9" fillId="0" borderId="28" xfId="1" applyNumberFormat="1" applyFont="1" applyFill="1" applyBorder="1" applyAlignment="1">
      <alignment vertical="center"/>
    </xf>
    <xf numFmtId="49" fontId="9" fillId="0" borderId="30" xfId="1" applyNumberFormat="1" applyFont="1" applyFill="1" applyBorder="1" applyAlignment="1">
      <alignment vertical="center"/>
    </xf>
    <xf numFmtId="49" fontId="17" fillId="0" borderId="29" xfId="1" applyNumberFormat="1" applyFont="1" applyBorder="1">
      <alignment vertical="center"/>
    </xf>
    <xf numFmtId="49" fontId="9" fillId="0" borderId="16" xfId="1" applyNumberFormat="1" applyFont="1" applyFill="1" applyBorder="1" applyAlignment="1">
      <alignment vertical="center"/>
    </xf>
    <xf numFmtId="49" fontId="9" fillId="0" borderId="17" xfId="1" applyNumberFormat="1" applyFont="1" applyFill="1" applyBorder="1" applyAlignment="1">
      <alignment vertical="center"/>
    </xf>
    <xf numFmtId="49" fontId="9" fillId="0" borderId="44" xfId="1" applyNumberFormat="1" applyFont="1" applyFill="1" applyBorder="1" applyAlignment="1">
      <alignment vertical="center"/>
    </xf>
    <xf numFmtId="49" fontId="9" fillId="0" borderId="29" xfId="1" applyNumberFormat="1" applyFont="1" applyBorder="1" applyAlignment="1">
      <alignment vertical="center"/>
    </xf>
    <xf numFmtId="49" fontId="17" fillId="0" borderId="30" xfId="1" applyNumberFormat="1" applyFont="1" applyBorder="1">
      <alignment vertical="center"/>
    </xf>
    <xf numFmtId="49" fontId="0" fillId="0" borderId="82" xfId="1" applyNumberFormat="1" applyFont="1" applyBorder="1">
      <alignment vertical="center"/>
    </xf>
    <xf numFmtId="49" fontId="9" fillId="0" borderId="84" xfId="1" applyNumberFormat="1" applyFont="1" applyBorder="1" applyAlignment="1">
      <alignment vertical="center"/>
    </xf>
    <xf numFmtId="49" fontId="9" fillId="0" borderId="83" xfId="1" applyNumberFormat="1" applyFont="1" applyBorder="1" applyAlignment="1">
      <alignment vertical="center"/>
    </xf>
    <xf numFmtId="49" fontId="9" fillId="0" borderId="82" xfId="1" applyNumberFormat="1" applyFont="1" applyBorder="1" applyAlignment="1">
      <alignment vertical="center"/>
    </xf>
    <xf numFmtId="49" fontId="17" fillId="0" borderId="90" xfId="1" applyNumberFormat="1" applyFont="1" applyBorder="1">
      <alignment vertical="center"/>
    </xf>
    <xf numFmtId="49" fontId="9" fillId="0" borderId="91" xfId="1" applyNumberFormat="1" applyFont="1" applyBorder="1" applyAlignment="1">
      <alignment vertical="center"/>
    </xf>
    <xf numFmtId="49" fontId="9" fillId="0" borderId="92" xfId="1" applyNumberFormat="1" applyFont="1" applyBorder="1" applyAlignment="1">
      <alignment vertical="center"/>
    </xf>
    <xf numFmtId="49" fontId="9" fillId="0" borderId="90" xfId="1" applyNumberFormat="1" applyFont="1" applyBorder="1" applyAlignment="1">
      <alignment vertical="center"/>
    </xf>
    <xf numFmtId="49" fontId="17" fillId="0" borderId="85" xfId="1" applyNumberFormat="1" applyFont="1" applyBorder="1">
      <alignment vertical="center"/>
    </xf>
    <xf numFmtId="49" fontId="9" fillId="0" borderId="87" xfId="1" applyNumberFormat="1" applyFont="1" applyBorder="1" applyAlignment="1">
      <alignment vertical="center"/>
    </xf>
    <xf numFmtId="49" fontId="9" fillId="0" borderId="86" xfId="1" applyNumberFormat="1" applyFont="1" applyBorder="1" applyAlignment="1">
      <alignment vertical="center"/>
    </xf>
    <xf numFmtId="49" fontId="9" fillId="0" borderId="85" xfId="1" applyNumberFormat="1" applyFont="1" applyBorder="1" applyAlignment="1">
      <alignment vertical="center"/>
    </xf>
    <xf numFmtId="49" fontId="17" fillId="0" borderId="24" xfId="1" applyNumberFormat="1" applyFont="1" applyBorder="1">
      <alignment vertical="center"/>
    </xf>
    <xf numFmtId="49" fontId="17" fillId="0" borderId="26" xfId="1" applyNumberFormat="1" applyFont="1" applyBorder="1">
      <alignment vertical="center"/>
    </xf>
    <xf numFmtId="49" fontId="17" fillId="0" borderId="27" xfId="1" applyNumberFormat="1" applyFont="1" applyBorder="1">
      <alignment vertical="center"/>
    </xf>
    <xf numFmtId="49" fontId="17" fillId="0" borderId="82" xfId="1" applyNumberFormat="1" applyFont="1" applyBorder="1">
      <alignment vertical="center"/>
    </xf>
    <xf numFmtId="49" fontId="17" fillId="0" borderId="83" xfId="1" applyNumberFormat="1" applyFont="1" applyBorder="1">
      <alignment vertical="center"/>
    </xf>
    <xf numFmtId="49" fontId="0" fillId="0" borderId="93" xfId="1" applyNumberFormat="1" applyFont="1" applyBorder="1">
      <alignment vertical="center"/>
    </xf>
    <xf numFmtId="49" fontId="0" fillId="0" borderId="95" xfId="1" applyNumberFormat="1" applyFont="1" applyBorder="1">
      <alignment vertical="center"/>
    </xf>
    <xf numFmtId="49" fontId="0" fillId="0" borderId="85" xfId="1" applyNumberFormat="1" applyFont="1" applyBorder="1">
      <alignment vertical="center"/>
    </xf>
    <xf numFmtId="49" fontId="0" fillId="0" borderId="86" xfId="1" applyNumberFormat="1" applyFont="1" applyBorder="1">
      <alignment vertical="center"/>
    </xf>
    <xf numFmtId="49" fontId="17" fillId="0" borderId="11" xfId="1" applyNumberFormat="1" applyFont="1" applyBorder="1">
      <alignment vertical="center"/>
    </xf>
    <xf numFmtId="49" fontId="0" fillId="0" borderId="24" xfId="1" applyNumberFormat="1" applyFont="1" applyBorder="1">
      <alignment vertical="center"/>
    </xf>
    <xf numFmtId="49" fontId="9" fillId="0" borderId="26" xfId="1" applyNumberFormat="1" applyFont="1" applyBorder="1" applyAlignment="1">
      <alignment vertical="center"/>
    </xf>
    <xf numFmtId="49" fontId="9" fillId="0" borderId="27" xfId="1" applyNumberFormat="1" applyFont="1" applyBorder="1" applyAlignment="1">
      <alignment vertical="center"/>
    </xf>
    <xf numFmtId="49" fontId="9" fillId="0" borderId="24" xfId="1" applyNumberFormat="1" applyFont="1" applyBorder="1" applyAlignment="1">
      <alignment vertical="center"/>
    </xf>
    <xf numFmtId="49" fontId="9" fillId="0" borderId="7" xfId="1" applyNumberFormat="1" applyFont="1" applyFill="1" applyBorder="1" applyAlignment="1">
      <alignment vertical="center"/>
    </xf>
    <xf numFmtId="49" fontId="9" fillId="0" borderId="17" xfId="1" applyNumberFormat="1" applyFont="1" applyBorder="1" applyAlignment="1">
      <alignment vertical="center"/>
    </xf>
    <xf numFmtId="49" fontId="17" fillId="0" borderId="7" xfId="1" applyNumberFormat="1" applyFont="1" applyBorder="1">
      <alignment vertical="center"/>
    </xf>
    <xf numFmtId="49" fontId="17" fillId="0" borderId="17" xfId="1" applyNumberFormat="1" applyFont="1" applyBorder="1">
      <alignment vertical="center"/>
    </xf>
    <xf numFmtId="49" fontId="9" fillId="0" borderId="7" xfId="1" applyNumberFormat="1" applyFont="1" applyBorder="1" applyAlignment="1">
      <alignment vertical="center"/>
    </xf>
    <xf numFmtId="49" fontId="9" fillId="0" borderId="30" xfId="1" applyNumberFormat="1" applyFont="1" applyBorder="1" applyAlignment="1">
      <alignment vertical="center"/>
    </xf>
    <xf numFmtId="49" fontId="9" fillId="0" borderId="28" xfId="1" applyNumberFormat="1" applyFont="1" applyBorder="1" applyAlignment="1">
      <alignment vertical="center"/>
    </xf>
    <xf numFmtId="49" fontId="0" fillId="0" borderId="0" xfId="1" applyNumberFormat="1" applyFont="1">
      <alignment vertical="center"/>
    </xf>
    <xf numFmtId="0" fontId="9" fillId="0" borderId="3" xfId="1" applyFont="1" applyBorder="1">
      <alignment vertical="center"/>
    </xf>
    <xf numFmtId="49" fontId="21" fillId="0" borderId="43" xfId="1" applyNumberFormat="1" applyFont="1" applyBorder="1">
      <alignment vertical="center"/>
    </xf>
    <xf numFmtId="0" fontId="0" fillId="0" borderId="1" xfId="0" applyFont="1" applyBorder="1">
      <alignment vertical="center"/>
    </xf>
    <xf numFmtId="0" fontId="0" fillId="0" borderId="0" xfId="0" applyFont="1" applyBorder="1">
      <alignment vertical="center"/>
    </xf>
    <xf numFmtId="0" fontId="0" fillId="0" borderId="25" xfId="0" applyFont="1" applyBorder="1">
      <alignment vertical="center"/>
    </xf>
    <xf numFmtId="49" fontId="14" fillId="2" borderId="4" xfId="0" applyNumberFormat="1" applyFont="1" applyFill="1" applyBorder="1">
      <alignment vertical="center"/>
    </xf>
    <xf numFmtId="49" fontId="14" fillId="2" borderId="5" xfId="0" applyNumberFormat="1" applyFont="1" applyFill="1" applyBorder="1">
      <alignment vertical="center"/>
    </xf>
    <xf numFmtId="49" fontId="14" fillId="2" borderId="10" xfId="0" applyNumberFormat="1" applyFont="1" applyFill="1" applyBorder="1">
      <alignment vertical="center"/>
    </xf>
    <xf numFmtId="49" fontId="14" fillId="2" borderId="57" xfId="0" applyNumberFormat="1" applyFont="1" applyFill="1" applyBorder="1">
      <alignment vertical="center"/>
    </xf>
    <xf numFmtId="49" fontId="15" fillId="0" borderId="18" xfId="0" applyNumberFormat="1" applyFont="1" applyFill="1" applyBorder="1">
      <alignment vertical="center"/>
    </xf>
    <xf numFmtId="49" fontId="16" fillId="0" borderId="19" xfId="0" applyNumberFormat="1" applyFont="1" applyFill="1" applyBorder="1">
      <alignment vertical="center"/>
    </xf>
    <xf numFmtId="49" fontId="9" fillId="0" borderId="24" xfId="0" quotePrefix="1" applyNumberFormat="1" applyFont="1" applyBorder="1" applyAlignment="1">
      <alignment horizontal="left" vertical="center"/>
    </xf>
    <xf numFmtId="49" fontId="9" fillId="0" borderId="27" xfId="0" applyNumberFormat="1" applyFont="1" applyBorder="1">
      <alignment vertical="center"/>
    </xf>
    <xf numFmtId="0" fontId="13" fillId="0" borderId="0" xfId="0" applyFont="1">
      <alignment vertical="center"/>
    </xf>
    <xf numFmtId="49" fontId="9" fillId="0" borderId="0" xfId="0" quotePrefix="1" applyNumberFormat="1" applyFont="1" applyBorder="1" applyAlignment="1">
      <alignment horizontal="right" vertical="center"/>
    </xf>
    <xf numFmtId="49" fontId="9" fillId="0" borderId="28" xfId="0" applyNumberFormat="1" applyFont="1" applyBorder="1">
      <alignment vertical="center"/>
    </xf>
    <xf numFmtId="49" fontId="9" fillId="0" borderId="29" xfId="0" applyNumberFormat="1" applyFont="1" applyBorder="1">
      <alignment vertical="center"/>
    </xf>
    <xf numFmtId="49" fontId="9" fillId="0" borderId="30" xfId="0" applyNumberFormat="1" applyFont="1" applyBorder="1">
      <alignment vertical="center"/>
    </xf>
    <xf numFmtId="0" fontId="15" fillId="0" borderId="20" xfId="0" applyNumberFormat="1" applyFont="1" applyFill="1" applyBorder="1" applyAlignment="1">
      <alignment horizontal="left" vertical="center"/>
    </xf>
    <xf numFmtId="49" fontId="9" fillId="0" borderId="14" xfId="0" quotePrefix="1" applyNumberFormat="1" applyFont="1" applyBorder="1" applyAlignment="1">
      <alignment horizontal="right" vertical="center"/>
    </xf>
    <xf numFmtId="0" fontId="9" fillId="0" borderId="0" xfId="0" applyFont="1" applyAlignment="1">
      <alignment horizontal="right" vertical="center"/>
    </xf>
    <xf numFmtId="0" fontId="9" fillId="0" borderId="0" xfId="0" applyFont="1" applyAlignment="1">
      <alignment horizontal="left" vertical="center"/>
    </xf>
    <xf numFmtId="49" fontId="9" fillId="0" borderId="14" xfId="0" quotePrefix="1" applyNumberFormat="1" applyFont="1" applyBorder="1" applyAlignment="1">
      <alignment horizontal="left" vertical="center"/>
    </xf>
    <xf numFmtId="49" fontId="9" fillId="0" borderId="0" xfId="0" applyNumberFormat="1" applyFont="1" applyBorder="1" applyAlignment="1">
      <alignment horizontal="right" vertical="center"/>
    </xf>
    <xf numFmtId="49" fontId="15" fillId="0" borderId="20" xfId="0" applyNumberFormat="1" applyFont="1" applyFill="1" applyBorder="1">
      <alignment vertical="center"/>
    </xf>
    <xf numFmtId="49" fontId="16" fillId="0" borderId="1" xfId="0" applyNumberFormat="1" applyFont="1" applyFill="1" applyBorder="1">
      <alignment vertical="center"/>
    </xf>
    <xf numFmtId="49" fontId="9" fillId="0" borderId="24" xfId="0" applyNumberFormat="1" applyFont="1" applyBorder="1">
      <alignment vertical="center"/>
    </xf>
    <xf numFmtId="49" fontId="9" fillId="0" borderId="14" xfId="0" applyNumberFormat="1" applyFont="1" applyBorder="1" applyAlignment="1">
      <alignment horizontal="left" vertical="center"/>
    </xf>
    <xf numFmtId="49" fontId="16" fillId="0" borderId="1" xfId="0" applyNumberFormat="1" applyFont="1" applyBorder="1">
      <alignment vertical="center"/>
    </xf>
    <xf numFmtId="49" fontId="9" fillId="0" borderId="0" xfId="0" applyNumberFormat="1" applyFont="1" applyBorder="1" applyAlignment="1">
      <alignment horizontal="left" vertical="center"/>
    </xf>
    <xf numFmtId="49" fontId="9" fillId="0" borderId="28" xfId="0" applyNumberFormat="1" applyFont="1" applyBorder="1" applyAlignment="1">
      <alignment horizontal="left" vertical="center"/>
    </xf>
    <xf numFmtId="49" fontId="9" fillId="0" borderId="70" xfId="0" applyNumberFormat="1" applyFont="1" applyBorder="1">
      <alignment vertical="center"/>
    </xf>
    <xf numFmtId="49" fontId="16" fillId="0" borderId="19" xfId="0" applyNumberFormat="1" applyFont="1" applyFill="1" applyBorder="1" applyAlignment="1">
      <alignment vertical="center"/>
    </xf>
    <xf numFmtId="49" fontId="9" fillId="0" borderId="11" xfId="0" applyNumberFormat="1" applyFont="1" applyBorder="1" applyAlignment="1">
      <alignment vertical="center"/>
    </xf>
    <xf numFmtId="49" fontId="9" fillId="0" borderId="25" xfId="0" applyNumberFormat="1" applyFont="1" applyBorder="1" applyAlignment="1">
      <alignment vertical="center"/>
    </xf>
    <xf numFmtId="49" fontId="9" fillId="8" borderId="16" xfId="0" applyNumberFormat="1" applyFont="1" applyFill="1" applyBorder="1" applyAlignment="1">
      <alignment vertical="center"/>
    </xf>
    <xf numFmtId="49" fontId="9" fillId="8" borderId="17" xfId="0" applyNumberFormat="1" applyFont="1" applyFill="1" applyBorder="1" applyAlignment="1">
      <alignment vertical="center"/>
    </xf>
    <xf numFmtId="49" fontId="9" fillId="8" borderId="7" xfId="0" applyNumberFormat="1" applyFont="1" applyFill="1" applyBorder="1" applyAlignment="1">
      <alignment vertical="center"/>
    </xf>
    <xf numFmtId="49" fontId="9" fillId="10" borderId="16" xfId="0" applyNumberFormat="1" applyFont="1" applyFill="1" applyBorder="1" applyAlignment="1">
      <alignment vertical="center"/>
    </xf>
    <xf numFmtId="49" fontId="9" fillId="10" borderId="7" xfId="0" applyNumberFormat="1" applyFont="1" applyFill="1" applyBorder="1" applyAlignment="1">
      <alignment vertical="center"/>
    </xf>
    <xf numFmtId="0" fontId="13" fillId="0" borderId="0" xfId="0" applyFont="1" applyAlignment="1">
      <alignment vertical="center"/>
    </xf>
    <xf numFmtId="49" fontId="9" fillId="0" borderId="16" xfId="0" applyNumberFormat="1" applyFont="1" applyBorder="1" applyAlignment="1">
      <alignment horizontal="left" vertical="center"/>
    </xf>
    <xf numFmtId="49" fontId="9" fillId="0" borderId="17" xfId="0" applyNumberFormat="1" applyFont="1" applyBorder="1" applyAlignment="1">
      <alignment horizontal="left" vertical="center"/>
    </xf>
    <xf numFmtId="49" fontId="9" fillId="0" borderId="7" xfId="0" applyNumberFormat="1" applyFont="1" applyBorder="1" applyAlignment="1">
      <alignment horizontal="left" vertical="center"/>
    </xf>
    <xf numFmtId="49" fontId="9" fillId="0" borderId="7" xfId="0" applyNumberFormat="1" applyFont="1" applyBorder="1" applyAlignment="1">
      <alignment vertical="top"/>
    </xf>
    <xf numFmtId="49" fontId="9" fillId="0" borderId="17" xfId="0" applyNumberFormat="1" applyFont="1" applyBorder="1" applyAlignment="1">
      <alignment vertical="top"/>
    </xf>
    <xf numFmtId="49" fontId="9" fillId="0" borderId="16" xfId="0" applyNumberFormat="1" applyFont="1" applyBorder="1" applyAlignment="1">
      <alignment vertical="center"/>
    </xf>
    <xf numFmtId="49" fontId="9" fillId="0" borderId="7" xfId="0" applyNumberFormat="1" applyFont="1" applyBorder="1" applyAlignment="1">
      <alignment vertical="center" shrinkToFit="1"/>
    </xf>
    <xf numFmtId="49" fontId="9" fillId="0" borderId="17" xfId="0" applyNumberFormat="1" applyFont="1" applyBorder="1" applyAlignment="1">
      <alignment vertical="center" shrinkToFit="1"/>
    </xf>
    <xf numFmtId="49" fontId="16" fillId="0" borderId="1" xfId="0" applyNumberFormat="1" applyFont="1" applyFill="1" applyBorder="1" applyAlignment="1">
      <alignment vertical="center"/>
    </xf>
    <xf numFmtId="49" fontId="9" fillId="0" borderId="0" xfId="0" applyNumberFormat="1" applyFont="1" applyBorder="1" applyAlignment="1">
      <alignment vertical="center" shrinkToFit="1"/>
    </xf>
    <xf numFmtId="49" fontId="9" fillId="0" borderId="0" xfId="0" applyNumberFormat="1" applyFont="1" applyBorder="1" applyAlignment="1">
      <alignment vertical="top"/>
    </xf>
    <xf numFmtId="49" fontId="13" fillId="0" borderId="0" xfId="0" applyNumberFormat="1" applyFont="1" applyBorder="1">
      <alignment vertical="center"/>
    </xf>
    <xf numFmtId="49" fontId="25" fillId="0" borderId="33" xfId="0" applyNumberFormat="1" applyFont="1" applyBorder="1">
      <alignment vertical="center"/>
    </xf>
    <xf numFmtId="49" fontId="13" fillId="0" borderId="29" xfId="0" applyNumberFormat="1" applyFont="1" applyBorder="1">
      <alignment vertical="center"/>
    </xf>
    <xf numFmtId="49" fontId="13" fillId="0" borderId="28" xfId="0" applyNumberFormat="1" applyFont="1" applyBorder="1" applyAlignment="1">
      <alignment horizontal="left" vertical="center"/>
    </xf>
    <xf numFmtId="49" fontId="13" fillId="0" borderId="30" xfId="0" applyNumberFormat="1" applyFont="1" applyBorder="1">
      <alignment vertical="center"/>
    </xf>
    <xf numFmtId="49" fontId="13" fillId="0" borderId="70" xfId="0" applyNumberFormat="1" applyFont="1" applyBorder="1">
      <alignment vertical="center"/>
    </xf>
    <xf numFmtId="49" fontId="9" fillId="3" borderId="7" xfId="0" applyNumberFormat="1" applyFont="1" applyFill="1" applyBorder="1" applyAlignment="1">
      <alignment horizontal="left" vertical="center"/>
    </xf>
    <xf numFmtId="49" fontId="9" fillId="0" borderId="24" xfId="0" applyNumberFormat="1" applyFont="1" applyBorder="1" applyAlignment="1">
      <alignment horizontal="left" vertical="center"/>
    </xf>
    <xf numFmtId="49" fontId="9" fillId="0" borderId="69" xfId="0" applyNumberFormat="1" applyFont="1" applyBorder="1">
      <alignment vertical="center"/>
    </xf>
    <xf numFmtId="49" fontId="26" fillId="0" borderId="0" xfId="0" applyNumberFormat="1" applyFont="1" applyBorder="1">
      <alignment vertical="center"/>
    </xf>
    <xf numFmtId="49" fontId="16" fillId="0" borderId="33" xfId="0" applyNumberFormat="1" applyFont="1" applyBorder="1">
      <alignment vertical="center"/>
    </xf>
    <xf numFmtId="49" fontId="9" fillId="0" borderId="14" xfId="0" applyNumberFormat="1" applyFont="1" applyBorder="1" applyAlignment="1">
      <alignment horizontal="right" vertical="center"/>
    </xf>
    <xf numFmtId="49" fontId="9" fillId="0" borderId="7" xfId="0" applyNumberFormat="1" applyFont="1" applyBorder="1">
      <alignment vertical="center"/>
    </xf>
    <xf numFmtId="49" fontId="9" fillId="0" borderId="16" xfId="0" applyNumberFormat="1" applyFont="1" applyBorder="1">
      <alignment vertical="center"/>
    </xf>
    <xf numFmtId="49" fontId="26" fillId="0" borderId="7" xfId="0" applyNumberFormat="1" applyFont="1" applyBorder="1">
      <alignment vertical="center"/>
    </xf>
    <xf numFmtId="49" fontId="9" fillId="0" borderId="17" xfId="0" applyNumberFormat="1" applyFont="1" applyBorder="1">
      <alignment vertical="center"/>
    </xf>
    <xf numFmtId="49" fontId="13" fillId="0" borderId="0" xfId="0" applyNumberFormat="1" applyFont="1" applyBorder="1" applyAlignment="1">
      <alignment horizontal="right" vertical="center"/>
    </xf>
    <xf numFmtId="49" fontId="25" fillId="0" borderId="1" xfId="0" applyNumberFormat="1" applyFont="1" applyBorder="1">
      <alignment vertical="center"/>
    </xf>
    <xf numFmtId="49" fontId="13" fillId="0" borderId="25" xfId="0" applyNumberFormat="1" applyFont="1" applyBorder="1">
      <alignment vertical="center"/>
    </xf>
    <xf numFmtId="49" fontId="9" fillId="0" borderId="26" xfId="0" applyNumberFormat="1" applyFont="1" applyBorder="1" applyAlignment="1">
      <alignment horizontal="left" vertical="center"/>
    </xf>
    <xf numFmtId="0" fontId="0" fillId="6" borderId="16" xfId="2" applyFont="1" applyFill="1" applyBorder="1"/>
    <xf numFmtId="0" fontId="9" fillId="0" borderId="7" xfId="0" applyFont="1" applyBorder="1" applyAlignment="1">
      <alignment vertical="center"/>
    </xf>
    <xf numFmtId="0" fontId="9" fillId="0" borderId="17" xfId="0" applyFont="1" applyBorder="1" applyAlignment="1">
      <alignment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28" xfId="0" applyNumberFormat="1" applyFont="1" applyBorder="1" applyAlignment="1">
      <alignment horizontal="center" vertical="center"/>
    </xf>
    <xf numFmtId="49" fontId="9" fillId="0" borderId="30" xfId="0" applyNumberFormat="1" applyFont="1" applyBorder="1" applyAlignment="1">
      <alignment horizontal="center" vertical="center"/>
    </xf>
    <xf numFmtId="0" fontId="9" fillId="0" borderId="7" xfId="0" applyFont="1" applyBorder="1" applyAlignment="1">
      <alignment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0" fontId="9" fillId="6" borderId="7" xfId="0" applyFont="1" applyFill="1" applyBorder="1">
      <alignment vertical="center"/>
    </xf>
    <xf numFmtId="0" fontId="9" fillId="6" borderId="26" xfId="0" applyFont="1" applyFill="1" applyBorder="1">
      <alignment vertical="center"/>
    </xf>
    <xf numFmtId="0" fontId="9" fillId="6" borderId="28" xfId="0" applyFont="1" applyFill="1" applyBorder="1">
      <alignment vertical="center"/>
    </xf>
    <xf numFmtId="0" fontId="9" fillId="6" borderId="16" xfId="0" applyFont="1" applyFill="1" applyBorder="1">
      <alignment vertical="center"/>
    </xf>
    <xf numFmtId="0" fontId="13" fillId="0" borderId="0" xfId="0" applyFont="1" applyAlignment="1">
      <alignment horizontal="left" vertical="center"/>
    </xf>
    <xf numFmtId="0" fontId="13" fillId="0" borderId="0" xfId="0" applyFont="1" applyFill="1">
      <alignment vertical="center"/>
    </xf>
    <xf numFmtId="49" fontId="17" fillId="0" borderId="0" xfId="1" applyNumberFormat="1" applyFont="1" applyBorder="1">
      <alignment vertical="center"/>
    </xf>
    <xf numFmtId="49" fontId="9" fillId="0" borderId="0" xfId="1" applyNumberFormat="1" applyFont="1" applyFill="1" applyBorder="1" applyAlignment="1">
      <alignment horizontal="right" vertical="center"/>
    </xf>
    <xf numFmtId="0" fontId="8" fillId="12" borderId="65" xfId="0" applyFont="1" applyFill="1" applyBorder="1" applyAlignment="1">
      <alignment vertical="center"/>
    </xf>
    <xf numFmtId="0" fontId="8" fillId="12" borderId="37" xfId="0" applyFont="1" applyFill="1" applyBorder="1" applyAlignment="1">
      <alignment vertical="center"/>
    </xf>
    <xf numFmtId="0" fontId="8" fillId="12" borderId="36" xfId="0" applyFont="1" applyFill="1" applyBorder="1" applyAlignment="1">
      <alignment vertical="center"/>
    </xf>
    <xf numFmtId="0" fontId="9" fillId="13" borderId="8" xfId="0" applyFont="1" applyFill="1" applyBorder="1" applyAlignment="1">
      <alignment vertical="center"/>
    </xf>
    <xf numFmtId="0" fontId="9" fillId="13" borderId="7" xfId="0" applyFont="1" applyFill="1" applyBorder="1" applyAlignment="1">
      <alignment vertical="center"/>
    </xf>
    <xf numFmtId="0" fontId="9" fillId="13" borderId="16" xfId="0" applyFont="1" applyFill="1" applyBorder="1" applyAlignment="1">
      <alignment vertical="center"/>
    </xf>
    <xf numFmtId="0" fontId="9" fillId="13" borderId="64" xfId="0" applyFont="1" applyFill="1" applyBorder="1" applyAlignment="1">
      <alignment vertical="center"/>
    </xf>
    <xf numFmtId="0" fontId="9" fillId="13" borderId="26" xfId="0" applyFont="1" applyFill="1" applyBorder="1" applyAlignment="1">
      <alignment vertical="center"/>
    </xf>
    <xf numFmtId="0" fontId="9" fillId="13" borderId="26" xfId="0" applyFont="1" applyFill="1" applyBorder="1" applyAlignment="1">
      <alignment horizontal="center" vertical="center"/>
    </xf>
    <xf numFmtId="0" fontId="9" fillId="13" borderId="1" xfId="0" applyFont="1" applyFill="1" applyBorder="1" applyAlignment="1">
      <alignment vertical="center"/>
    </xf>
    <xf numFmtId="0" fontId="14" fillId="13" borderId="0" xfId="0" applyFont="1" applyFill="1" applyBorder="1" applyAlignment="1">
      <alignment vertical="center"/>
    </xf>
    <xf numFmtId="0" fontId="9" fillId="13" borderId="0" xfId="0" applyFont="1" applyFill="1" applyBorder="1" applyAlignment="1">
      <alignment vertical="center"/>
    </xf>
    <xf numFmtId="0" fontId="9" fillId="13" borderId="0" xfId="0" applyFont="1" applyFill="1" applyBorder="1" applyAlignment="1">
      <alignment horizontal="center" vertical="center"/>
    </xf>
    <xf numFmtId="0" fontId="14" fillId="14" borderId="16" xfId="0" applyFont="1" applyFill="1" applyBorder="1" applyAlignment="1">
      <alignment vertical="center"/>
    </xf>
    <xf numFmtId="0" fontId="14" fillId="14" borderId="24" xfId="0" applyFont="1" applyFill="1" applyBorder="1" applyAlignment="1">
      <alignment vertical="center"/>
    </xf>
    <xf numFmtId="0" fontId="14" fillId="14" borderId="14" xfId="0" applyFont="1" applyFill="1" applyBorder="1" applyAlignment="1">
      <alignment vertical="center"/>
    </xf>
    <xf numFmtId="0" fontId="9" fillId="13" borderId="2" xfId="0" applyFont="1" applyFill="1" applyBorder="1" applyAlignment="1">
      <alignment vertical="center"/>
    </xf>
    <xf numFmtId="0" fontId="9" fillId="13" borderId="3" xfId="0" applyFont="1" applyFill="1" applyBorder="1" applyAlignment="1">
      <alignment vertical="center"/>
    </xf>
    <xf numFmtId="0" fontId="9" fillId="0" borderId="31" xfId="0" applyFont="1" applyBorder="1" applyAlignment="1">
      <alignment vertical="top" wrapText="1"/>
    </xf>
    <xf numFmtId="0" fontId="9" fillId="0" borderId="16" xfId="0" applyFont="1" applyBorder="1" applyAlignment="1">
      <alignment vertical="top" wrapText="1"/>
    </xf>
    <xf numFmtId="177" fontId="9" fillId="0" borderId="16" xfId="0" applyNumberFormat="1" applyFont="1" applyBorder="1" applyAlignment="1">
      <alignment horizontal="center" vertical="top"/>
    </xf>
    <xf numFmtId="0" fontId="14" fillId="2" borderId="12" xfId="0" applyFont="1" applyFill="1" applyBorder="1" applyAlignment="1">
      <alignment horizontal="center"/>
    </xf>
    <xf numFmtId="0" fontId="9" fillId="0" borderId="15" xfId="0" applyFont="1" applyBorder="1" applyAlignment="1">
      <alignment vertical="top" wrapText="1"/>
    </xf>
    <xf numFmtId="0" fontId="9" fillId="0" borderId="16" xfId="0" applyFont="1" applyBorder="1" applyAlignment="1">
      <alignment horizontal="left" vertical="top" wrapText="1"/>
    </xf>
    <xf numFmtId="0" fontId="9" fillId="0" borderId="45" xfId="0" applyFont="1" applyBorder="1" applyAlignment="1">
      <alignment horizontal="center" vertical="top"/>
    </xf>
    <xf numFmtId="0" fontId="9" fillId="0" borderId="46" xfId="0" applyFont="1" applyBorder="1" applyAlignment="1">
      <alignment horizontal="center" vertical="top"/>
    </xf>
    <xf numFmtId="14" fontId="9" fillId="0" borderId="45" xfId="0" applyNumberFormat="1" applyFont="1" applyBorder="1" applyAlignment="1">
      <alignment horizontal="center" vertical="top"/>
    </xf>
    <xf numFmtId="0" fontId="9" fillId="0" borderId="48" xfId="0" applyFont="1" applyBorder="1" applyAlignment="1">
      <alignment horizontal="center" vertical="top"/>
    </xf>
    <xf numFmtId="0" fontId="14" fillId="2" borderId="47" xfId="0" applyFont="1" applyFill="1" applyBorder="1" applyAlignment="1">
      <alignment horizontal="center"/>
    </xf>
    <xf numFmtId="177" fontId="9" fillId="0" borderId="31" xfId="0" applyNumberFormat="1" applyFont="1" applyBorder="1" applyAlignment="1">
      <alignment horizontal="center" vertical="top"/>
    </xf>
    <xf numFmtId="0" fontId="9" fillId="0" borderId="45" xfId="0" applyNumberFormat="1" applyFont="1" applyBorder="1" applyAlignment="1">
      <alignment horizontal="center" vertical="top"/>
    </xf>
    <xf numFmtId="0" fontId="9" fillId="0" borderId="46" xfId="0" applyNumberFormat="1" applyFont="1" applyBorder="1" applyAlignment="1">
      <alignment horizontal="center" vertical="top"/>
    </xf>
    <xf numFmtId="0" fontId="14" fillId="2" borderId="55" xfId="0" applyFont="1" applyFill="1" applyBorder="1" applyAlignment="1">
      <alignment horizontal="center"/>
    </xf>
    <xf numFmtId="0" fontId="9" fillId="0" borderId="76" xfId="0" applyNumberFormat="1" applyFont="1" applyBorder="1" applyAlignment="1">
      <alignment horizontal="center" vertical="top"/>
    </xf>
    <xf numFmtId="177" fontId="9" fillId="0" borderId="33" xfId="0" applyNumberFormat="1" applyFont="1" applyBorder="1" applyAlignment="1">
      <alignment horizontal="center" vertical="top"/>
    </xf>
    <xf numFmtId="177" fontId="9" fillId="0" borderId="8" xfId="0" applyNumberFormat="1" applyFont="1" applyBorder="1" applyAlignment="1">
      <alignment horizontal="center" vertical="top"/>
    </xf>
    <xf numFmtId="0" fontId="14" fillId="2" borderId="40" xfId="0" applyFont="1" applyFill="1" applyBorder="1" applyAlignment="1">
      <alignment horizontal="center"/>
    </xf>
    <xf numFmtId="0" fontId="9" fillId="4" borderId="50" xfId="0" applyFont="1" applyFill="1" applyBorder="1" applyAlignment="1">
      <alignment horizontal="center"/>
    </xf>
    <xf numFmtId="177" fontId="9" fillId="0" borderId="59" xfId="0" applyNumberFormat="1" applyFont="1" applyBorder="1" applyAlignment="1">
      <alignment horizontal="center" vertical="top"/>
    </xf>
    <xf numFmtId="0" fontId="9" fillId="4" borderId="53" xfId="0" applyFont="1" applyFill="1" applyBorder="1" applyAlignment="1">
      <alignment horizontal="center"/>
    </xf>
    <xf numFmtId="0" fontId="9" fillId="0" borderId="28" xfId="0" applyFont="1" applyBorder="1" applyAlignment="1">
      <alignment vertical="top" wrapText="1"/>
    </xf>
    <xf numFmtId="0" fontId="9" fillId="0" borderId="16" xfId="0" applyNumberFormat="1" applyFont="1" applyBorder="1" applyAlignment="1">
      <alignment horizontal="center" vertical="top"/>
    </xf>
    <xf numFmtId="0" fontId="9" fillId="0" borderId="49" xfId="0" applyFont="1" applyBorder="1" applyAlignment="1">
      <alignment horizontal="center" vertical="center" wrapText="1"/>
    </xf>
    <xf numFmtId="0" fontId="9" fillId="0" borderId="44" xfId="0" applyFont="1" applyBorder="1" applyAlignment="1">
      <alignment vertical="center" wrapText="1"/>
    </xf>
    <xf numFmtId="0" fontId="9" fillId="0" borderId="71" xfId="0" applyFont="1" applyBorder="1" applyAlignment="1">
      <alignment vertical="center" wrapText="1"/>
    </xf>
    <xf numFmtId="0" fontId="9" fillId="0" borderId="44" xfId="0" applyFont="1" applyBorder="1" applyAlignment="1">
      <alignment horizontal="center" vertical="center" wrapText="1"/>
    </xf>
    <xf numFmtId="0" fontId="9" fillId="0" borderId="49" xfId="0" applyFont="1" applyBorder="1" applyAlignment="1">
      <alignment vertical="center" wrapText="1"/>
    </xf>
    <xf numFmtId="0" fontId="9" fillId="0" borderId="8" xfId="0" applyFont="1" applyBorder="1" applyAlignment="1">
      <alignment horizontal="center" vertical="center" wrapText="1"/>
    </xf>
    <xf numFmtId="0" fontId="14" fillId="2" borderId="29" xfId="0" applyFont="1" applyFill="1" applyBorder="1" applyAlignment="1">
      <alignment vertical="top"/>
    </xf>
    <xf numFmtId="0" fontId="14" fillId="6" borderId="29" xfId="0" applyFont="1" applyFill="1" applyBorder="1" applyAlignment="1">
      <alignment vertical="top"/>
    </xf>
    <xf numFmtId="0" fontId="14" fillId="6" borderId="28" xfId="0" applyFont="1" applyFill="1" applyBorder="1" applyAlignment="1">
      <alignment vertical="top"/>
    </xf>
    <xf numFmtId="0" fontId="14" fillId="5" borderId="38" xfId="0" applyFont="1" applyFill="1" applyBorder="1">
      <alignment vertical="center"/>
    </xf>
    <xf numFmtId="0" fontId="9" fillId="0" borderId="105" xfId="0" applyFont="1" applyBorder="1">
      <alignment vertical="center"/>
    </xf>
    <xf numFmtId="0" fontId="14" fillId="5" borderId="105" xfId="0" applyFont="1" applyFill="1" applyBorder="1">
      <alignment vertical="center"/>
    </xf>
    <xf numFmtId="14" fontId="9" fillId="0" borderId="105" xfId="0" applyNumberFormat="1" applyFont="1" applyFill="1" applyBorder="1" applyAlignment="1">
      <alignment horizontal="center" shrinkToFit="1"/>
    </xf>
    <xf numFmtId="0" fontId="14" fillId="5" borderId="106" xfId="0" applyFont="1" applyFill="1" applyBorder="1">
      <alignment vertical="center"/>
    </xf>
    <xf numFmtId="0" fontId="14" fillId="5" borderId="17" xfId="0" applyFont="1" applyFill="1" applyBorder="1">
      <alignment vertical="center"/>
    </xf>
    <xf numFmtId="0" fontId="9" fillId="0" borderId="44" xfId="0" applyFont="1" applyBorder="1">
      <alignment vertical="center"/>
    </xf>
    <xf numFmtId="0" fontId="14" fillId="5" borderId="44" xfId="0" applyFont="1" applyFill="1" applyBorder="1">
      <alignment vertical="center"/>
    </xf>
    <xf numFmtId="14" fontId="9" fillId="0" borderId="44" xfId="0" applyNumberFormat="1" applyFont="1" applyBorder="1" applyAlignment="1">
      <alignment horizontal="center" shrinkToFit="1"/>
    </xf>
    <xf numFmtId="0" fontId="14" fillId="5" borderId="32" xfId="0" applyFont="1" applyFill="1" applyBorder="1">
      <alignment vertical="center"/>
    </xf>
    <xf numFmtId="0" fontId="9" fillId="0" borderId="49" xfId="0" applyFont="1" applyBorder="1">
      <alignment vertical="center"/>
    </xf>
    <xf numFmtId="0" fontId="14" fillId="5" borderId="49" xfId="0" applyFont="1" applyFill="1" applyBorder="1">
      <alignment vertical="center"/>
    </xf>
    <xf numFmtId="177" fontId="9" fillId="0" borderId="49" xfId="0" applyNumberFormat="1" applyFont="1" applyFill="1" applyBorder="1" applyAlignment="1">
      <alignment horizontal="center" shrinkToFit="1"/>
    </xf>
    <xf numFmtId="0" fontId="14" fillId="0" borderId="0" xfId="0" applyFont="1" applyAlignment="1">
      <alignment horizontal="center" vertical="center"/>
    </xf>
    <xf numFmtId="0" fontId="14" fillId="0" borderId="0" xfId="0" applyFont="1" applyBorder="1" applyAlignment="1">
      <alignment horizontal="center" vertical="center"/>
    </xf>
    <xf numFmtId="0" fontId="14" fillId="2" borderId="4" xfId="0" applyFont="1" applyFill="1" applyBorder="1" applyAlignment="1">
      <alignment horizontal="center"/>
    </xf>
    <xf numFmtId="0" fontId="14" fillId="2" borderId="110" xfId="0" applyFont="1" applyFill="1" applyBorder="1" applyAlignment="1">
      <alignment horizontal="center"/>
    </xf>
    <xf numFmtId="0" fontId="9" fillId="0" borderId="9" xfId="0" applyNumberFormat="1" applyFont="1" applyBorder="1" applyAlignment="1">
      <alignment horizontal="center" vertical="top"/>
    </xf>
    <xf numFmtId="177" fontId="9" fillId="0" borderId="111" xfId="0" applyNumberFormat="1" applyFont="1" applyBorder="1" applyAlignment="1">
      <alignment horizontal="center" vertical="top"/>
    </xf>
    <xf numFmtId="0" fontId="14" fillId="2" borderId="67" xfId="0" applyFont="1" applyFill="1" applyBorder="1" applyAlignment="1">
      <alignment horizontal="center"/>
    </xf>
    <xf numFmtId="0" fontId="9" fillId="4" borderId="109" xfId="0" applyFont="1" applyFill="1" applyBorder="1" applyAlignment="1">
      <alignment horizontal="center"/>
    </xf>
    <xf numFmtId="14" fontId="9" fillId="0" borderId="112" xfId="0" applyNumberFormat="1" applyFont="1" applyBorder="1" applyAlignment="1">
      <alignment horizontal="center" vertical="top"/>
    </xf>
    <xf numFmtId="0" fontId="9" fillId="0" borderId="44" xfId="0" applyFont="1" applyBorder="1" applyAlignment="1">
      <alignment horizontal="center" vertical="top"/>
    </xf>
    <xf numFmtId="0" fontId="9" fillId="0" borderId="49" xfId="0" applyFont="1" applyBorder="1" applyAlignment="1">
      <alignment horizontal="center" vertical="top"/>
    </xf>
    <xf numFmtId="0" fontId="9" fillId="0" borderId="44" xfId="0" applyFont="1" applyBorder="1" applyAlignment="1">
      <alignment vertical="center"/>
    </xf>
    <xf numFmtId="0" fontId="9" fillId="0" borderId="22" xfId="0" applyFont="1" applyBorder="1" applyAlignment="1">
      <alignment horizontal="center" vertical="center" wrapText="1"/>
    </xf>
    <xf numFmtId="0" fontId="9" fillId="5" borderId="7" xfId="0" applyFont="1" applyFill="1" applyBorder="1" applyAlignment="1">
      <alignment horizontal="center" vertical="center"/>
    </xf>
    <xf numFmtId="0" fontId="9" fillId="0" borderId="64" xfId="0" applyFont="1" applyBorder="1" applyAlignment="1">
      <alignment horizontal="center" vertical="center" wrapText="1"/>
    </xf>
    <xf numFmtId="0" fontId="9" fillId="0" borderId="11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113" xfId="0" applyFont="1" applyBorder="1" applyAlignment="1">
      <alignment vertical="center" wrapText="1"/>
    </xf>
    <xf numFmtId="0" fontId="9" fillId="0" borderId="114" xfId="0" applyFont="1" applyBorder="1" applyAlignment="1">
      <alignment vertical="center" wrapText="1"/>
    </xf>
    <xf numFmtId="0" fontId="9" fillId="0" borderId="33" xfId="0" applyFont="1" applyBorder="1" applyAlignment="1">
      <alignment horizontal="center" vertical="center" wrapText="1"/>
    </xf>
    <xf numFmtId="0" fontId="9" fillId="0" borderId="112"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112" xfId="0" applyFont="1" applyBorder="1" applyAlignment="1">
      <alignment vertical="center" wrapText="1"/>
    </xf>
    <xf numFmtId="0" fontId="9" fillId="0" borderId="115" xfId="0" applyFont="1" applyBorder="1" applyAlignment="1">
      <alignment vertical="center" wrapText="1"/>
    </xf>
    <xf numFmtId="0" fontId="9" fillId="5" borderId="7" xfId="0" applyFont="1" applyFill="1" applyBorder="1" applyAlignment="1">
      <alignment vertical="center"/>
    </xf>
    <xf numFmtId="0" fontId="9" fillId="5" borderId="7" xfId="0" applyFont="1" applyFill="1" applyBorder="1" applyAlignment="1">
      <alignment vertical="center" wrapText="1"/>
    </xf>
    <xf numFmtId="177" fontId="9" fillId="0" borderId="9" xfId="0" applyNumberFormat="1" applyFont="1" applyBorder="1" applyAlignment="1">
      <alignment horizontal="center" vertical="top"/>
    </xf>
    <xf numFmtId="14" fontId="9" fillId="0" borderId="111" xfId="0" applyNumberFormat="1" applyFont="1" applyBorder="1" applyAlignment="1">
      <alignment horizontal="center" vertical="top" shrinkToFit="1"/>
    </xf>
    <xf numFmtId="0" fontId="9" fillId="0" borderId="48" xfId="0" applyNumberFormat="1" applyFont="1" applyBorder="1" applyAlignment="1">
      <alignment horizontal="center"/>
    </xf>
    <xf numFmtId="0" fontId="9" fillId="15" borderId="44" xfId="0" applyFont="1" applyFill="1" applyBorder="1" applyAlignment="1">
      <alignment horizontal="center" vertical="center" wrapText="1"/>
    </xf>
    <xf numFmtId="0" fontId="9" fillId="15" borderId="44" xfId="0" applyFont="1" applyFill="1" applyBorder="1" applyAlignment="1">
      <alignment vertical="center" wrapText="1"/>
    </xf>
    <xf numFmtId="0" fontId="14" fillId="3" borderId="6" xfId="0" applyFont="1" applyFill="1" applyBorder="1" applyAlignment="1">
      <alignment vertical="center"/>
    </xf>
    <xf numFmtId="0" fontId="9" fillId="15" borderId="44" xfId="0" applyFont="1" applyFill="1" applyBorder="1" applyAlignment="1">
      <alignment vertical="center"/>
    </xf>
    <xf numFmtId="0" fontId="9" fillId="0" borderId="49" xfId="0" applyFont="1" applyBorder="1" applyAlignment="1">
      <alignment vertical="center"/>
    </xf>
    <xf numFmtId="0" fontId="14" fillId="0" borderId="0" xfId="8" applyFont="1" applyBorder="1" applyAlignment="1">
      <alignment vertical="center"/>
    </xf>
    <xf numFmtId="0" fontId="14" fillId="16" borderId="0" xfId="8" applyFont="1" applyFill="1" applyBorder="1" applyAlignment="1">
      <alignment vertical="center"/>
    </xf>
    <xf numFmtId="0" fontId="9" fillId="16" borderId="0" xfId="8" applyFont="1" applyFill="1" applyBorder="1" applyAlignment="1">
      <alignment vertical="center"/>
    </xf>
    <xf numFmtId="0" fontId="9" fillId="16" borderId="0" xfId="8" quotePrefix="1" applyFont="1" applyFill="1" applyBorder="1" applyAlignment="1">
      <alignment vertical="center"/>
    </xf>
    <xf numFmtId="0" fontId="9" fillId="0" borderId="0" xfId="8" applyFont="1" applyBorder="1" applyAlignment="1">
      <alignment vertical="center"/>
    </xf>
    <xf numFmtId="0" fontId="14" fillId="17" borderId="0" xfId="8" applyFont="1" applyFill="1" applyBorder="1" applyAlignment="1">
      <alignment vertical="center"/>
    </xf>
    <xf numFmtId="0" fontId="29" fillId="0" borderId="0" xfId="11"/>
    <xf numFmtId="0" fontId="9" fillId="0" borderId="0" xfId="0" applyFont="1" applyAlignment="1">
      <alignment vertical="center" wrapText="1"/>
    </xf>
    <xf numFmtId="0" fontId="9" fillId="17" borderId="0" xfId="0" applyFont="1" applyFill="1" applyBorder="1" applyAlignment="1">
      <alignment vertical="center"/>
    </xf>
    <xf numFmtId="0" fontId="9" fillId="0" borderId="0" xfId="8" quotePrefix="1" applyFont="1" applyBorder="1" applyAlignment="1">
      <alignment vertical="center"/>
    </xf>
    <xf numFmtId="0" fontId="9" fillId="0" borderId="0" xfId="8" applyFont="1" applyFill="1" applyBorder="1" applyAlignment="1">
      <alignment vertical="center"/>
    </xf>
    <xf numFmtId="0" fontId="9" fillId="0" borderId="0" xfId="8" quotePrefix="1" applyFont="1" applyFill="1" applyBorder="1" applyAlignment="1">
      <alignment vertical="center"/>
    </xf>
    <xf numFmtId="0" fontId="9" fillId="0" borderId="0" xfId="0" applyFont="1" applyFill="1" applyAlignment="1">
      <alignment vertical="center"/>
    </xf>
    <xf numFmtId="0" fontId="14" fillId="0" borderId="0" xfId="8" applyFont="1" applyFill="1" applyBorder="1" applyAlignment="1">
      <alignment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18" borderId="16" xfId="0" applyNumberFormat="1" applyFont="1" applyFill="1" applyBorder="1" applyAlignment="1">
      <alignment vertical="center"/>
    </xf>
    <xf numFmtId="49" fontId="9" fillId="18" borderId="7" xfId="0" applyNumberFormat="1" applyFont="1" applyFill="1" applyBorder="1" applyAlignment="1">
      <alignment vertical="center"/>
    </xf>
    <xf numFmtId="49" fontId="9" fillId="18" borderId="17" xfId="0" applyNumberFormat="1" applyFont="1" applyFill="1" applyBorder="1" applyAlignment="1">
      <alignment vertical="center"/>
    </xf>
    <xf numFmtId="0" fontId="9" fillId="0" borderId="16" xfId="0" applyNumberFormat="1" applyFont="1" applyFill="1" applyBorder="1" applyAlignment="1">
      <alignment horizontal="left" vertical="center"/>
    </xf>
    <xf numFmtId="49" fontId="9" fillId="0" borderId="7" xfId="0" applyNumberFormat="1" applyFont="1" applyBorder="1" applyAlignment="1">
      <alignment vertical="center"/>
    </xf>
    <xf numFmtId="49" fontId="9" fillId="0" borderId="16" xfId="0" quotePrefix="1" applyNumberFormat="1" applyFont="1" applyBorder="1" applyAlignment="1">
      <alignment vertical="center"/>
    </xf>
    <xf numFmtId="49" fontId="9" fillId="0" borderId="17" xfId="0" applyNumberFormat="1" applyFont="1" applyBorder="1" applyAlignment="1">
      <alignment vertical="center"/>
    </xf>
    <xf numFmtId="0" fontId="31" fillId="0" borderId="0" xfId="0" applyFont="1" applyAlignment="1"/>
    <xf numFmtId="0" fontId="9" fillId="0" borderId="0" xfId="0" applyNumberFormat="1" applyFont="1" applyFill="1" applyBorder="1" applyAlignment="1">
      <alignment horizontal="left" vertical="center"/>
    </xf>
    <xf numFmtId="49" fontId="9" fillId="0" borderId="0" xfId="0" quotePrefix="1" applyNumberFormat="1" applyFont="1" applyBorder="1" applyAlignment="1">
      <alignment vertical="center"/>
    </xf>
    <xf numFmtId="49" fontId="9" fillId="18" borderId="24" xfId="0" applyNumberFormat="1" applyFont="1" applyFill="1" applyBorder="1" applyAlignment="1">
      <alignment vertical="center"/>
    </xf>
    <xf numFmtId="49" fontId="9" fillId="18" borderId="26" xfId="0" applyNumberFormat="1" applyFont="1" applyFill="1" applyBorder="1" applyAlignment="1">
      <alignment vertical="center"/>
    </xf>
    <xf numFmtId="49" fontId="9" fillId="18" borderId="27" xfId="0" applyNumberFormat="1" applyFont="1" applyFill="1" applyBorder="1" applyAlignment="1">
      <alignment vertical="center"/>
    </xf>
    <xf numFmtId="49" fontId="9" fillId="0" borderId="24" xfId="0" quotePrefix="1" applyNumberFormat="1" applyFont="1" applyBorder="1" applyAlignment="1">
      <alignment vertical="center"/>
    </xf>
    <xf numFmtId="49" fontId="9" fillId="0" borderId="26" xfId="0" applyNumberFormat="1" applyFont="1" applyBorder="1" applyAlignment="1">
      <alignment vertical="center"/>
    </xf>
    <xf numFmtId="49" fontId="9" fillId="0" borderId="27" xfId="0" applyNumberFormat="1" applyFont="1" applyBorder="1" applyAlignment="1">
      <alignment vertical="center"/>
    </xf>
    <xf numFmtId="49" fontId="9" fillId="0" borderId="14" xfId="0" applyNumberFormat="1" applyFont="1" applyBorder="1" applyAlignment="1">
      <alignment vertical="center"/>
    </xf>
    <xf numFmtId="49" fontId="9" fillId="0" borderId="28" xfId="0" applyNumberFormat="1" applyFont="1" applyBorder="1" applyAlignment="1">
      <alignment vertical="center"/>
    </xf>
    <xf numFmtId="0" fontId="32" fillId="0" borderId="0" xfId="11" applyFont="1"/>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0" fontId="9" fillId="0" borderId="0" xfId="12" applyFont="1">
      <alignment vertical="center"/>
    </xf>
    <xf numFmtId="0" fontId="14" fillId="4" borderId="8" xfId="2" applyFont="1" applyFill="1" applyBorder="1" applyAlignment="1"/>
    <xf numFmtId="0" fontId="31" fillId="4" borderId="7" xfId="4" applyFont="1" applyFill="1" applyBorder="1" applyAlignment="1"/>
    <xf numFmtId="0" fontId="31" fillId="4" borderId="17" xfId="2" applyFont="1" applyFill="1" applyBorder="1"/>
    <xf numFmtId="0" fontId="31" fillId="6" borderId="7" xfId="4" applyFont="1" applyFill="1" applyBorder="1" applyAlignment="1">
      <alignment horizontal="left"/>
    </xf>
    <xf numFmtId="0" fontId="31" fillId="6" borderId="34" xfId="4" applyFont="1" applyFill="1" applyBorder="1" applyAlignment="1">
      <alignment horizontal="left"/>
    </xf>
    <xf numFmtId="0" fontId="31" fillId="6" borderId="7" xfId="3" applyFont="1" applyFill="1" applyBorder="1"/>
    <xf numFmtId="0" fontId="31" fillId="6" borderId="34" xfId="2" applyFont="1" applyFill="1" applyBorder="1"/>
    <xf numFmtId="0" fontId="14" fillId="5" borderId="8" xfId="2" applyFont="1" applyFill="1" applyBorder="1" applyAlignment="1"/>
    <xf numFmtId="0" fontId="31" fillId="5" borderId="17" xfId="2" applyFont="1" applyFill="1" applyBorder="1"/>
    <xf numFmtId="0" fontId="14" fillId="5" borderId="7" xfId="4" applyFont="1" applyFill="1" applyBorder="1" applyAlignment="1"/>
    <xf numFmtId="0" fontId="14" fillId="5" borderId="64" xfId="2" applyFont="1" applyFill="1" applyBorder="1" applyAlignment="1"/>
    <xf numFmtId="0" fontId="14" fillId="5" borderId="26" xfId="4" applyFont="1" applyFill="1" applyBorder="1" applyAlignment="1"/>
    <xf numFmtId="0" fontId="31" fillId="5" borderId="27" xfId="2" applyFont="1" applyFill="1" applyBorder="1"/>
    <xf numFmtId="0" fontId="31" fillId="6" borderId="26" xfId="4" applyFont="1" applyFill="1" applyBorder="1" applyAlignment="1">
      <alignment horizontal="left"/>
    </xf>
    <xf numFmtId="0" fontId="31" fillId="6" borderId="69" xfId="4" applyFont="1" applyFill="1" applyBorder="1" applyAlignment="1">
      <alignment horizontal="left"/>
    </xf>
    <xf numFmtId="0" fontId="14" fillId="11" borderId="66" xfId="12" applyFont="1" applyFill="1" applyBorder="1" applyAlignment="1">
      <alignment horizontal="center"/>
    </xf>
    <xf numFmtId="0" fontId="14" fillId="11" borderId="117" xfId="12" applyFont="1" applyFill="1" applyBorder="1" applyAlignment="1">
      <alignment horizontal="left"/>
    </xf>
    <xf numFmtId="0" fontId="14" fillId="11" borderId="118" xfId="12" applyFont="1" applyFill="1" applyBorder="1" applyAlignment="1">
      <alignment horizontal="left"/>
    </xf>
    <xf numFmtId="0" fontId="14" fillId="11" borderId="62" xfId="4" applyFont="1" applyFill="1" applyBorder="1" applyAlignment="1">
      <alignment horizontal="left"/>
    </xf>
    <xf numFmtId="0" fontId="14" fillId="11" borderId="118" xfId="4" applyFont="1" applyFill="1" applyBorder="1" applyAlignment="1">
      <alignment horizontal="left"/>
    </xf>
    <xf numFmtId="0" fontId="14" fillId="11" borderId="63" xfId="4" applyFont="1" applyFill="1" applyBorder="1" applyAlignment="1">
      <alignment horizontal="left"/>
    </xf>
    <xf numFmtId="0" fontId="14" fillId="11" borderId="58" xfId="2" applyFont="1" applyFill="1" applyBorder="1"/>
    <xf numFmtId="0" fontId="9" fillId="0" borderId="0" xfId="12" applyFont="1" applyBorder="1">
      <alignment vertical="center"/>
    </xf>
    <xf numFmtId="0" fontId="14" fillId="11" borderId="50" xfId="12" applyFont="1" applyFill="1" applyBorder="1" applyAlignment="1">
      <alignment horizontal="center"/>
    </xf>
    <xf numFmtId="0" fontId="14" fillId="11" borderId="53" xfId="12" applyFont="1" applyFill="1" applyBorder="1" applyAlignment="1">
      <alignment horizontal="left"/>
    </xf>
    <xf numFmtId="0" fontId="14" fillId="11" borderId="53" xfId="4" applyFont="1" applyFill="1" applyBorder="1" applyAlignment="1">
      <alignment horizontal="left"/>
    </xf>
    <xf numFmtId="0" fontId="14" fillId="11" borderId="109" xfId="4" applyFont="1" applyFill="1" applyBorder="1" applyAlignment="1">
      <alignment horizontal="left"/>
    </xf>
    <xf numFmtId="0" fontId="14" fillId="11" borderId="51" xfId="4" applyFont="1" applyFill="1" applyBorder="1" applyAlignment="1">
      <alignment horizontal="left"/>
    </xf>
    <xf numFmtId="0" fontId="14" fillId="11" borderId="56" xfId="2" applyFont="1" applyFill="1" applyBorder="1"/>
    <xf numFmtId="0" fontId="9" fillId="0" borderId="8" xfId="12" applyFont="1" applyFill="1" applyBorder="1" applyAlignment="1"/>
    <xf numFmtId="0" fontId="9" fillId="6" borderId="16" xfId="12" applyFont="1" applyFill="1" applyBorder="1">
      <alignment vertical="center"/>
    </xf>
    <xf numFmtId="0" fontId="31" fillId="6" borderId="16" xfId="2" applyFont="1" applyFill="1" applyBorder="1"/>
    <xf numFmtId="0" fontId="31" fillId="6" borderId="44" xfId="2" applyFont="1" applyFill="1" applyBorder="1"/>
    <xf numFmtId="0" fontId="31" fillId="6" borderId="17" xfId="2" applyFont="1" applyFill="1" applyBorder="1"/>
    <xf numFmtId="0" fontId="9" fillId="6" borderId="44" xfId="12" applyFont="1" applyFill="1" applyBorder="1">
      <alignment vertical="center"/>
    </xf>
    <xf numFmtId="0" fontId="9" fillId="6" borderId="17" xfId="12" applyFont="1" applyFill="1" applyBorder="1">
      <alignment vertical="center"/>
    </xf>
    <xf numFmtId="0" fontId="31" fillId="6" borderId="7" xfId="2" applyFont="1" applyFill="1" applyBorder="1"/>
    <xf numFmtId="0" fontId="9" fillId="0" borderId="22" xfId="12" applyFont="1" applyFill="1" applyBorder="1" applyAlignment="1"/>
    <xf numFmtId="0" fontId="9" fillId="0" borderId="1" xfId="12" applyFont="1" applyBorder="1">
      <alignment vertical="center"/>
    </xf>
    <xf numFmtId="0" fontId="9" fillId="0" borderId="21" xfId="12" applyFont="1" applyBorder="1">
      <alignment vertical="center"/>
    </xf>
    <xf numFmtId="0" fontId="9" fillId="0" borderId="43" xfId="12" applyFont="1" applyBorder="1">
      <alignment vertical="center"/>
    </xf>
    <xf numFmtId="0" fontId="14" fillId="5" borderId="65" xfId="2" applyFont="1" applyFill="1" applyBorder="1" applyAlignment="1"/>
    <xf numFmtId="0" fontId="14" fillId="5" borderId="37" xfId="4" applyFont="1" applyFill="1" applyBorder="1" applyAlignment="1"/>
    <xf numFmtId="0" fontId="14" fillId="5" borderId="38" xfId="4" applyFont="1" applyFill="1" applyBorder="1" applyAlignment="1"/>
    <xf numFmtId="0" fontId="9" fillId="6" borderId="37" xfId="11" applyFont="1" applyFill="1" applyBorder="1" applyAlignment="1">
      <alignment vertical="center"/>
    </xf>
    <xf numFmtId="0" fontId="31" fillId="6" borderId="37" xfId="3" applyFont="1" applyFill="1" applyBorder="1"/>
    <xf numFmtId="0" fontId="31" fillId="6" borderId="39" xfId="2" applyFont="1" applyFill="1" applyBorder="1"/>
    <xf numFmtId="0" fontId="14" fillId="5" borderId="27" xfId="4" applyFont="1" applyFill="1" applyBorder="1" applyAlignment="1"/>
    <xf numFmtId="0" fontId="9" fillId="6" borderId="26" xfId="11" applyFont="1" applyFill="1" applyBorder="1" applyAlignment="1">
      <alignment vertical="center"/>
    </xf>
    <xf numFmtId="0" fontId="14" fillId="11" borderId="109" xfId="12" applyFont="1" applyFill="1" applyBorder="1" applyAlignment="1">
      <alignment horizontal="left"/>
    </xf>
    <xf numFmtId="0" fontId="14" fillId="11" borderId="54" xfId="4" applyFont="1" applyFill="1" applyBorder="1" applyAlignment="1">
      <alignment horizontal="left"/>
    </xf>
    <xf numFmtId="0" fontId="9" fillId="0" borderId="33" xfId="11" applyFont="1" applyFill="1" applyBorder="1" applyAlignment="1"/>
    <xf numFmtId="0" fontId="9" fillId="6" borderId="28" xfId="11" applyFont="1" applyFill="1" applyBorder="1" applyAlignment="1">
      <alignment vertical="center"/>
    </xf>
    <xf numFmtId="0" fontId="31" fillId="6" borderId="15" xfId="2" applyFont="1" applyFill="1" applyBorder="1"/>
    <xf numFmtId="0" fontId="31" fillId="0" borderId="15" xfId="2" applyFont="1" applyFill="1" applyBorder="1"/>
    <xf numFmtId="0" fontId="31" fillId="0" borderId="111" xfId="2" applyFont="1" applyFill="1" applyBorder="1" applyAlignment="1">
      <alignment wrapText="1"/>
    </xf>
    <xf numFmtId="0" fontId="31" fillId="0" borderId="68" xfId="2" applyFont="1" applyFill="1" applyBorder="1" applyAlignment="1">
      <alignment wrapText="1"/>
    </xf>
    <xf numFmtId="0" fontId="9" fillId="0" borderId="8" xfId="11" applyFont="1" applyFill="1" applyBorder="1" applyAlignment="1"/>
    <xf numFmtId="49" fontId="9" fillId="0" borderId="16" xfId="11" applyNumberFormat="1" applyFont="1" applyBorder="1" applyAlignment="1">
      <alignment vertical="center"/>
    </xf>
    <xf numFmtId="49" fontId="9" fillId="0" borderId="44" xfId="11" applyNumberFormat="1" applyFont="1" applyBorder="1" applyAlignment="1">
      <alignment vertical="center"/>
    </xf>
    <xf numFmtId="0" fontId="9" fillId="0" borderId="3" xfId="12" applyFont="1" applyBorder="1">
      <alignment vertical="center"/>
    </xf>
    <xf numFmtId="0" fontId="14" fillId="4" borderId="40" xfId="12" applyFont="1" applyFill="1" applyBorder="1">
      <alignment vertical="center"/>
    </xf>
    <xf numFmtId="0" fontId="9" fillId="4" borderId="119" xfId="12" applyFont="1" applyFill="1" applyBorder="1">
      <alignment vertical="center"/>
    </xf>
    <xf numFmtId="0" fontId="9" fillId="0" borderId="105" xfId="12" applyFont="1" applyFill="1" applyBorder="1">
      <alignment vertical="center"/>
    </xf>
    <xf numFmtId="0" fontId="9" fillId="4" borderId="41" xfId="12" applyFont="1" applyFill="1" applyBorder="1">
      <alignment vertical="center"/>
    </xf>
    <xf numFmtId="0" fontId="9" fillId="4" borderId="42" xfId="12" applyFont="1" applyFill="1" applyBorder="1">
      <alignment vertical="center"/>
    </xf>
    <xf numFmtId="0" fontId="14" fillId="4" borderId="8" xfId="12" applyFont="1" applyFill="1" applyBorder="1">
      <alignment vertical="center"/>
    </xf>
    <xf numFmtId="0" fontId="9" fillId="4" borderId="17" xfId="12" applyFont="1" applyFill="1" applyBorder="1">
      <alignment vertical="center"/>
    </xf>
    <xf numFmtId="0" fontId="9" fillId="0" borderId="7" xfId="12" applyFont="1" applyFill="1" applyBorder="1">
      <alignment vertical="center"/>
    </xf>
    <xf numFmtId="0" fontId="9" fillId="0" borderId="34" xfId="12" applyFont="1" applyFill="1" applyBorder="1">
      <alignment vertical="center"/>
    </xf>
    <xf numFmtId="0" fontId="14" fillId="4" borderId="33" xfId="12" applyFont="1" applyFill="1" applyBorder="1">
      <alignment vertical="center"/>
    </xf>
    <xf numFmtId="0" fontId="9" fillId="4" borderId="30" xfId="12" applyFont="1" applyFill="1" applyBorder="1">
      <alignment vertical="center"/>
    </xf>
    <xf numFmtId="0" fontId="9" fillId="0" borderId="28" xfId="12" applyFont="1" applyFill="1" applyBorder="1">
      <alignment vertical="center"/>
    </xf>
    <xf numFmtId="0" fontId="9" fillId="0" borderId="29" xfId="12" applyFont="1" applyFill="1" applyBorder="1">
      <alignment vertical="center"/>
    </xf>
    <xf numFmtId="0" fontId="9" fillId="0" borderId="70" xfId="12" applyFont="1" applyFill="1" applyBorder="1">
      <alignment vertical="center"/>
    </xf>
    <xf numFmtId="0" fontId="14" fillId="5" borderId="22" xfId="12" applyFont="1" applyFill="1" applyBorder="1">
      <alignment vertical="center"/>
    </xf>
    <xf numFmtId="0" fontId="14" fillId="5" borderId="17" xfId="12" applyFont="1" applyFill="1" applyBorder="1">
      <alignment vertical="center"/>
    </xf>
    <xf numFmtId="0" fontId="14" fillId="5" borderId="71" xfId="12" applyFont="1" applyFill="1" applyBorder="1">
      <alignment vertical="center"/>
    </xf>
    <xf numFmtId="0" fontId="35" fillId="0" borderId="22" xfId="11" applyNumberFormat="1" applyFont="1" applyFill="1" applyBorder="1" applyAlignment="1">
      <alignment vertical="top"/>
    </xf>
    <xf numFmtId="0" fontId="9" fillId="0" borderId="44" xfId="11" applyNumberFormat="1" applyFont="1" applyFill="1" applyBorder="1" applyAlignment="1">
      <alignment vertical="center"/>
    </xf>
    <xf numFmtId="0" fontId="9" fillId="0" borderId="44" xfId="11" applyNumberFormat="1" applyFont="1" applyFill="1" applyBorder="1" applyAlignment="1">
      <alignment wrapText="1"/>
    </xf>
    <xf numFmtId="0" fontId="9" fillId="0" borderId="71" xfId="11" applyNumberFormat="1" applyFont="1" applyFill="1" applyBorder="1" applyAlignment="1">
      <alignment wrapText="1"/>
    </xf>
    <xf numFmtId="0" fontId="14" fillId="11" borderId="22" xfId="2" applyFont="1" applyFill="1" applyBorder="1" applyAlignment="1"/>
    <xf numFmtId="0" fontId="36" fillId="11" borderId="44" xfId="4" applyFont="1" applyFill="1" applyBorder="1" applyAlignment="1"/>
    <xf numFmtId="0" fontId="36" fillId="11" borderId="112" xfId="2" applyFont="1" applyFill="1" applyBorder="1"/>
    <xf numFmtId="0" fontId="36" fillId="11" borderId="34" xfId="2" applyFont="1" applyFill="1" applyBorder="1" applyAlignment="1"/>
    <xf numFmtId="0" fontId="9" fillId="0" borderId="44" xfId="11" applyNumberFormat="1" applyFont="1" applyFill="1" applyBorder="1" applyAlignment="1">
      <alignment vertical="top"/>
    </xf>
    <xf numFmtId="0" fontId="9" fillId="0" borderId="44" xfId="11" applyNumberFormat="1" applyFont="1" applyFill="1" applyBorder="1" applyAlignment="1">
      <alignment vertical="top" wrapText="1"/>
    </xf>
    <xf numFmtId="0" fontId="9" fillId="0" borderId="70" xfId="11" applyNumberFormat="1" applyFont="1" applyFill="1" applyBorder="1" applyAlignment="1">
      <alignment wrapText="1"/>
    </xf>
    <xf numFmtId="0" fontId="9" fillId="0" borderId="25" xfId="12" applyFont="1" applyBorder="1">
      <alignment vertical="center"/>
    </xf>
    <xf numFmtId="0" fontId="36" fillId="11" borderId="44" xfId="2" applyFont="1" applyFill="1" applyBorder="1"/>
    <xf numFmtId="0" fontId="9" fillId="0" borderId="16" xfId="11" applyNumberFormat="1" applyFont="1" applyFill="1" applyBorder="1" applyAlignment="1">
      <alignment vertical="top" wrapText="1"/>
    </xf>
    <xf numFmtId="0" fontId="9" fillId="0" borderId="29" xfId="11" applyNumberFormat="1" applyFont="1" applyFill="1" applyBorder="1" applyAlignment="1">
      <alignment wrapText="1"/>
    </xf>
    <xf numFmtId="0" fontId="9" fillId="0" borderId="59" xfId="12" applyFont="1" applyBorder="1">
      <alignment vertical="center"/>
    </xf>
    <xf numFmtId="0" fontId="9" fillId="0" borderId="35" xfId="12" applyFont="1" applyBorder="1">
      <alignment vertical="center"/>
    </xf>
    <xf numFmtId="0" fontId="35" fillId="0" borderId="22" xfId="11" applyNumberFormat="1" applyFont="1" applyFill="1" applyBorder="1" applyAlignment="1">
      <alignment vertical="center"/>
    </xf>
    <xf numFmtId="0" fontId="9" fillId="0" borderId="59" xfId="11" applyFont="1" applyFill="1" applyBorder="1" applyAlignment="1"/>
    <xf numFmtId="49" fontId="9" fillId="0" borderId="31" xfId="11" applyNumberFormat="1" applyFont="1" applyFill="1" applyBorder="1" applyAlignment="1">
      <alignment vertical="center"/>
    </xf>
    <xf numFmtId="0" fontId="31" fillId="0" borderId="31" xfId="2" applyFont="1" applyFill="1" applyBorder="1"/>
    <xf numFmtId="49" fontId="9" fillId="0" borderId="49" xfId="11" applyNumberFormat="1" applyFont="1" applyFill="1" applyBorder="1" applyAlignment="1">
      <alignment vertical="center"/>
    </xf>
    <xf numFmtId="0" fontId="31" fillId="0" borderId="35" xfId="2" applyFont="1" applyFill="1" applyBorder="1"/>
    <xf numFmtId="0" fontId="9" fillId="0" borderId="0" xfId="12" applyFont="1" applyFill="1">
      <alignment vertical="center"/>
    </xf>
    <xf numFmtId="0" fontId="9" fillId="0" borderId="9" xfId="12" applyFont="1" applyFill="1" applyBorder="1" applyAlignment="1"/>
    <xf numFmtId="0" fontId="9" fillId="0" borderId="28" xfId="11" applyFont="1" applyFill="1" applyBorder="1" applyAlignment="1">
      <alignment vertical="center"/>
    </xf>
    <xf numFmtId="0" fontId="31" fillId="0" borderId="16" xfId="2" applyFont="1" applyFill="1" applyBorder="1"/>
    <xf numFmtId="0" fontId="31" fillId="0" borderId="44" xfId="2" applyFont="1" applyFill="1" applyBorder="1"/>
    <xf numFmtId="0" fontId="31" fillId="0" borderId="13" xfId="2" applyFont="1" applyFill="1" applyBorder="1"/>
    <xf numFmtId="0" fontId="31" fillId="0" borderId="34" xfId="2" applyFont="1" applyFill="1" applyBorder="1"/>
    <xf numFmtId="0" fontId="14" fillId="4" borderId="65" xfId="2" applyFont="1" applyFill="1" applyBorder="1" applyAlignment="1"/>
    <xf numFmtId="0" fontId="31" fillId="4" borderId="37" xfId="2" applyFont="1" applyFill="1" applyBorder="1" applyAlignment="1"/>
    <xf numFmtId="0" fontId="31" fillId="4" borderId="38" xfId="2" applyFont="1" applyFill="1" applyBorder="1" applyAlignment="1"/>
    <xf numFmtId="0" fontId="14" fillId="0" borderId="37" xfId="3" applyFont="1" applyFill="1" applyBorder="1" applyAlignment="1"/>
    <xf numFmtId="0" fontId="31" fillId="4" borderId="36" xfId="4" applyFont="1" applyFill="1" applyBorder="1" applyAlignment="1">
      <alignment horizontal="left"/>
    </xf>
    <xf numFmtId="0" fontId="31" fillId="4" borderId="39" xfId="2" applyFont="1" applyFill="1" applyBorder="1" applyAlignment="1"/>
    <xf numFmtId="0" fontId="9" fillId="0" borderId="44" xfId="0" applyNumberFormat="1" applyFont="1" applyFill="1" applyBorder="1" applyAlignment="1">
      <alignment vertical="center"/>
    </xf>
    <xf numFmtId="0" fontId="9" fillId="0" borderId="71" xfId="0" applyNumberFormat="1" applyFont="1" applyFill="1" applyBorder="1" applyAlignment="1">
      <alignment wrapText="1"/>
    </xf>
    <xf numFmtId="0" fontId="9" fillId="0" borderId="7"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6" xfId="0" applyFont="1" applyBorder="1" applyAlignment="1">
      <alignment horizontal="center" vertical="center" wrapText="1"/>
    </xf>
    <xf numFmtId="14" fontId="9" fillId="0" borderId="15" xfId="0" applyNumberFormat="1" applyFont="1" applyBorder="1" applyAlignment="1">
      <alignment horizontal="center" vertical="top" shrinkToFit="1"/>
    </xf>
    <xf numFmtId="14" fontId="9" fillId="0" borderId="16" xfId="0" applyNumberFormat="1" applyFont="1" applyBorder="1" applyAlignment="1">
      <alignment horizontal="center" vertical="top"/>
    </xf>
    <xf numFmtId="0" fontId="9" fillId="0" borderId="16" xfId="0" applyFont="1" applyBorder="1" applyAlignment="1">
      <alignment horizontal="center" vertical="top"/>
    </xf>
    <xf numFmtId="0" fontId="9" fillId="0" borderId="31" xfId="0" applyFont="1" applyBorder="1" applyAlignment="1">
      <alignment horizontal="center" vertical="top"/>
    </xf>
    <xf numFmtId="0" fontId="9" fillId="0" borderId="48" xfId="0" applyFont="1" applyBorder="1" applyAlignment="1">
      <alignment horizontal="left" vertical="top"/>
    </xf>
    <xf numFmtId="0" fontId="9" fillId="0" borderId="45" xfId="0" applyFont="1" applyBorder="1" applyAlignment="1">
      <alignment horizontal="left" vertical="top"/>
    </xf>
    <xf numFmtId="0" fontId="9" fillId="0" borderId="46" xfId="0" applyFont="1" applyBorder="1" applyAlignment="1">
      <alignment horizontal="left" vertical="top"/>
    </xf>
    <xf numFmtId="0" fontId="14" fillId="2" borderId="60" xfId="0" applyFont="1" applyFill="1" applyBorder="1" applyAlignment="1">
      <alignment horizontal="center"/>
    </xf>
    <xf numFmtId="0" fontId="9" fillId="0" borderId="15" xfId="0" applyNumberFormat="1" applyFont="1" applyBorder="1" applyAlignment="1">
      <alignment horizontal="center" shrinkToFit="1"/>
    </xf>
    <xf numFmtId="0" fontId="9" fillId="0" borderId="28" xfId="0" applyNumberFormat="1" applyFont="1" applyBorder="1" applyAlignment="1">
      <alignment horizontal="center" vertical="top"/>
    </xf>
    <xf numFmtId="0" fontId="9" fillId="0" borderId="31" xfId="0" applyNumberFormat="1" applyFont="1" applyBorder="1" applyAlignment="1">
      <alignment horizontal="center" vertical="top"/>
    </xf>
    <xf numFmtId="0" fontId="14" fillId="2" borderId="40" xfId="12" applyFont="1" applyFill="1" applyBorder="1" applyAlignment="1"/>
    <xf numFmtId="0" fontId="14" fillId="2" borderId="67" xfId="12" applyFont="1" applyFill="1" applyBorder="1" applyAlignment="1"/>
    <xf numFmtId="0" fontId="14" fillId="2" borderId="52" xfId="12" applyFont="1" applyFill="1" applyBorder="1" applyAlignment="1">
      <alignment horizontal="center"/>
    </xf>
    <xf numFmtId="0" fontId="14" fillId="2" borderId="36" xfId="12" applyFont="1" applyFill="1" applyBorder="1" applyAlignment="1"/>
    <xf numFmtId="0" fontId="14" fillId="2" borderId="37" xfId="12" applyFont="1" applyFill="1" applyBorder="1" applyAlignment="1"/>
    <xf numFmtId="0" fontId="14" fillId="2" borderId="67" xfId="12" applyFont="1" applyFill="1" applyBorder="1" applyAlignment="1">
      <alignment horizontal="center"/>
    </xf>
    <xf numFmtId="0" fontId="14" fillId="2" borderId="52" xfId="12" applyFont="1" applyFill="1" applyBorder="1" applyAlignment="1"/>
    <xf numFmtId="0" fontId="14" fillId="2" borderId="120" xfId="12" applyFont="1" applyFill="1" applyBorder="1" applyAlignment="1"/>
    <xf numFmtId="0" fontId="14" fillId="2" borderId="50" xfId="12" applyFont="1" applyFill="1" applyBorder="1" applyAlignment="1"/>
    <xf numFmtId="0" fontId="14" fillId="2" borderId="109" xfId="12" applyFont="1" applyFill="1" applyBorder="1" applyAlignment="1"/>
    <xf numFmtId="0" fontId="14" fillId="2" borderId="0" xfId="12" applyFont="1" applyFill="1" applyBorder="1" applyAlignment="1">
      <alignment horizontal="center"/>
    </xf>
    <xf numFmtId="0" fontId="14" fillId="2" borderId="116" xfId="12" applyFont="1" applyFill="1" applyBorder="1" applyAlignment="1"/>
    <xf numFmtId="0" fontId="14" fillId="2" borderId="61" xfId="12" applyFont="1" applyFill="1" applyBorder="1" applyAlignment="1"/>
    <xf numFmtId="0" fontId="14" fillId="2" borderId="51" xfId="12" applyFont="1" applyFill="1" applyBorder="1" applyAlignment="1"/>
    <xf numFmtId="0" fontId="14" fillId="2" borderId="54" xfId="12" applyFont="1" applyFill="1" applyBorder="1" applyAlignment="1">
      <alignment horizontal="center"/>
    </xf>
    <xf numFmtId="0" fontId="14" fillId="2" borderId="109" xfId="12" applyFont="1" applyFill="1" applyBorder="1" applyAlignment="1">
      <alignment horizontal="center"/>
    </xf>
    <xf numFmtId="0" fontId="14" fillId="2" borderId="121" xfId="12" applyFont="1" applyFill="1" applyBorder="1" applyAlignment="1"/>
    <xf numFmtId="0" fontId="9" fillId="15" borderId="22" xfId="0" applyFont="1" applyFill="1" applyBorder="1" applyAlignment="1">
      <alignment vertical="center"/>
    </xf>
    <xf numFmtId="0" fontId="9" fillId="15" borderId="17" xfId="0" applyFont="1" applyFill="1" applyBorder="1" applyAlignment="1">
      <alignment horizontal="center" vertical="center" wrapText="1"/>
    </xf>
    <xf numFmtId="0" fontId="9" fillId="15" borderId="71" xfId="0" applyFont="1" applyFill="1" applyBorder="1" applyAlignment="1">
      <alignment vertical="center" wrapText="1"/>
    </xf>
    <xf numFmtId="0" fontId="14" fillId="5" borderId="8" xfId="0" applyFont="1" applyFill="1" applyBorder="1" applyAlignment="1">
      <alignment horizontal="center" vertical="center"/>
    </xf>
    <xf numFmtId="0" fontId="9" fillId="5" borderId="34" xfId="0" applyFont="1" applyFill="1" applyBorder="1" applyAlignment="1">
      <alignment vertical="center" wrapText="1"/>
    </xf>
    <xf numFmtId="0" fontId="9" fillId="0" borderId="22" xfId="0" applyFont="1" applyBorder="1" applyAlignment="1">
      <alignment vertical="center"/>
    </xf>
    <xf numFmtId="0" fontId="9" fillId="0" borderId="23" xfId="0" applyFont="1" applyBorder="1" applyAlignment="1">
      <alignment vertical="center"/>
    </xf>
    <xf numFmtId="0" fontId="9" fillId="0" borderId="32" xfId="0" applyFont="1" applyBorder="1" applyAlignment="1">
      <alignment horizontal="center" vertical="center" wrapText="1"/>
    </xf>
    <xf numFmtId="0" fontId="9" fillId="0" borderId="72" xfId="0" applyFont="1" applyBorder="1" applyAlignment="1">
      <alignment vertical="center" wrapText="1"/>
    </xf>
    <xf numFmtId="0" fontId="9" fillId="0" borderId="16" xfId="0" applyFont="1" applyBorder="1" applyAlignment="1">
      <alignment horizontal="center" vertical="center" wrapText="1"/>
    </xf>
    <xf numFmtId="0" fontId="9" fillId="0" borderId="64" xfId="0" applyFont="1" applyBorder="1" applyAlignment="1">
      <alignment vertical="center" wrapText="1"/>
    </xf>
    <xf numFmtId="0" fontId="9" fillId="0" borderId="59"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10" fillId="0" borderId="40" xfId="0" applyFont="1" applyBorder="1">
      <alignment vertical="center"/>
    </xf>
    <xf numFmtId="0" fontId="10" fillId="0" borderId="41" xfId="0" applyFont="1" applyBorder="1">
      <alignment vertical="center"/>
    </xf>
    <xf numFmtId="0" fontId="10" fillId="0" borderId="42" xfId="0" applyFont="1" applyBorder="1">
      <alignment vertical="center"/>
    </xf>
    <xf numFmtId="0" fontId="10" fillId="0" borderId="1" xfId="0" applyFont="1" applyBorder="1">
      <alignment vertical="center"/>
    </xf>
    <xf numFmtId="0" fontId="10" fillId="0" borderId="0" xfId="0" applyFont="1" applyBorder="1">
      <alignment vertical="center"/>
    </xf>
    <xf numFmtId="0" fontId="10" fillId="0" borderId="25" xfId="0" applyFont="1" applyBorder="1">
      <alignment vertical="center"/>
    </xf>
    <xf numFmtId="0" fontId="14" fillId="2" borderId="105" xfId="0" applyFont="1" applyFill="1" applyBorder="1" applyAlignment="1">
      <alignment horizontal="left"/>
    </xf>
    <xf numFmtId="0" fontId="14" fillId="2" borderId="122" xfId="0" applyFont="1" applyFill="1" applyBorder="1" applyAlignment="1">
      <alignment horizontal="left"/>
    </xf>
    <xf numFmtId="0" fontId="14" fillId="2" borderId="112" xfId="0" applyFont="1" applyFill="1" applyBorder="1" applyAlignment="1">
      <alignment horizontal="left"/>
    </xf>
    <xf numFmtId="0" fontId="14" fillId="6" borderId="70" xfId="0" applyFont="1" applyFill="1" applyBorder="1" applyAlignment="1">
      <alignment vertical="top"/>
    </xf>
    <xf numFmtId="0" fontId="14" fillId="5" borderId="16" xfId="0" applyNumberFormat="1" applyFont="1" applyFill="1" applyBorder="1" applyAlignment="1">
      <alignment vertical="center"/>
    </xf>
    <xf numFmtId="0" fontId="14" fillId="5" borderId="114" xfId="0" applyNumberFormat="1" applyFont="1" applyFill="1" applyBorder="1" applyAlignment="1">
      <alignment vertical="center"/>
    </xf>
    <xf numFmtId="0" fontId="14" fillId="5" borderId="53" xfId="0" applyNumberFormat="1" applyFont="1" applyFill="1" applyBorder="1" applyAlignment="1">
      <alignment horizontal="center" vertical="center"/>
    </xf>
    <xf numFmtId="0" fontId="14" fillId="5" borderId="121" xfId="0" applyNumberFormat="1" applyFont="1" applyFill="1" applyBorder="1" applyAlignment="1">
      <alignment vertical="center"/>
    </xf>
    <xf numFmtId="0" fontId="9" fillId="0" borderId="16" xfId="0" applyFont="1" applyBorder="1" applyAlignment="1">
      <alignment horizontal="center" vertical="center"/>
    </xf>
    <xf numFmtId="0" fontId="9" fillId="0" borderId="71" xfId="0" applyFont="1" applyBorder="1" applyAlignment="1">
      <alignment vertical="center"/>
    </xf>
    <xf numFmtId="0" fontId="9" fillId="0" borderId="31" xfId="0" applyFont="1" applyBorder="1" applyAlignment="1">
      <alignment horizontal="center" vertical="center" wrapText="1"/>
    </xf>
    <xf numFmtId="0" fontId="9" fillId="0" borderId="31" xfId="0" applyFont="1" applyBorder="1" applyAlignment="1">
      <alignment horizontal="center" vertical="center"/>
    </xf>
    <xf numFmtId="0" fontId="9" fillId="0" borderId="72" xfId="0" applyFont="1" applyBorder="1" applyAlignment="1">
      <alignment vertical="center"/>
    </xf>
    <xf numFmtId="0" fontId="14" fillId="6" borderId="16" xfId="0" applyFont="1" applyFill="1" applyBorder="1" applyAlignment="1">
      <alignment vertical="top"/>
    </xf>
    <xf numFmtId="0" fontId="8" fillId="12" borderId="106" xfId="0" applyFont="1" applyFill="1" applyBorder="1" applyAlignment="1">
      <alignment vertical="center"/>
    </xf>
    <xf numFmtId="0" fontId="9" fillId="13" borderId="71" xfId="0" applyFont="1" applyFill="1" applyBorder="1" applyAlignment="1">
      <alignment vertical="center"/>
    </xf>
    <xf numFmtId="0" fontId="9" fillId="13" borderId="17" xfId="0" applyFont="1" applyFill="1" applyBorder="1" applyAlignment="1">
      <alignment vertical="center"/>
    </xf>
    <xf numFmtId="0" fontId="14" fillId="14" borderId="44" xfId="0" applyFont="1" applyFill="1" applyBorder="1" applyAlignment="1">
      <alignment vertical="center"/>
    </xf>
    <xf numFmtId="0" fontId="9" fillId="13" borderId="44" xfId="0" applyFont="1" applyFill="1" applyBorder="1" applyAlignment="1">
      <alignment vertical="center"/>
    </xf>
    <xf numFmtId="0" fontId="9" fillId="0" borderId="24" xfId="0" applyFont="1" applyBorder="1" applyAlignment="1">
      <alignment horizontal="center" vertical="center"/>
    </xf>
    <xf numFmtId="0" fontId="9" fillId="0" borderId="114" xfId="0" applyFont="1" applyBorder="1" applyAlignment="1">
      <alignment vertical="center"/>
    </xf>
    <xf numFmtId="0" fontId="31" fillId="4" borderId="113" xfId="0" applyFont="1" applyFill="1" applyBorder="1" applyAlignment="1"/>
    <xf numFmtId="0" fontId="31" fillId="4" borderId="24" xfId="0" applyFont="1" applyFill="1" applyBorder="1" applyAlignment="1"/>
    <xf numFmtId="0" fontId="31" fillId="4" borderId="114" xfId="0" applyFont="1" applyFill="1" applyBorder="1" applyAlignment="1"/>
    <xf numFmtId="0" fontId="9" fillId="4" borderId="40" xfId="12" applyFont="1" applyFill="1" applyBorder="1">
      <alignment vertical="center"/>
    </xf>
    <xf numFmtId="0" fontId="9" fillId="4" borderId="64" xfId="12" applyFont="1" applyFill="1" applyBorder="1">
      <alignment vertical="center"/>
    </xf>
    <xf numFmtId="0" fontId="31" fillId="4" borderId="122" xfId="0" applyFont="1" applyFill="1" applyBorder="1" applyAlignment="1"/>
    <xf numFmtId="0" fontId="31" fillId="4" borderId="112" xfId="0" applyFont="1" applyFill="1" applyBorder="1" applyAlignment="1"/>
    <xf numFmtId="0" fontId="31" fillId="4" borderId="115" xfId="0" applyFont="1" applyFill="1" applyBorder="1" applyAlignment="1"/>
    <xf numFmtId="0" fontId="14" fillId="5" borderId="16" xfId="12" applyFont="1" applyFill="1" applyBorder="1">
      <alignment vertical="center"/>
    </xf>
    <xf numFmtId="0" fontId="9" fillId="0" borderId="16" xfId="11" applyNumberFormat="1" applyFont="1" applyFill="1" applyBorder="1" applyAlignment="1">
      <alignment wrapText="1"/>
    </xf>
    <xf numFmtId="0" fontId="36" fillId="11" borderId="7" xfId="2" applyFont="1" applyFill="1" applyBorder="1" applyAlignment="1"/>
    <xf numFmtId="0" fontId="36" fillId="11" borderId="71" xfId="2" applyFont="1" applyFill="1" applyBorder="1" applyAlignment="1"/>
    <xf numFmtId="0" fontId="9" fillId="0" borderId="115" xfId="11" applyNumberFormat="1" applyFont="1" applyFill="1" applyBorder="1" applyAlignment="1">
      <alignment wrapText="1"/>
    </xf>
    <xf numFmtId="0" fontId="9" fillId="0" borderId="125" xfId="12" applyFont="1" applyBorder="1">
      <alignment vertical="center"/>
    </xf>
    <xf numFmtId="0" fontId="9" fillId="0" borderId="72" xfId="12" applyFont="1" applyBorder="1">
      <alignment vertical="center"/>
    </xf>
    <xf numFmtId="0" fontId="14" fillId="5" borderId="44" xfId="12" applyFont="1" applyFill="1" applyBorder="1">
      <alignment vertical="center"/>
    </xf>
    <xf numFmtId="0" fontId="36" fillId="11" borderId="44" xfId="2" applyFont="1" applyFill="1" applyBorder="1" applyAlignment="1"/>
    <xf numFmtId="0" fontId="9" fillId="0" borderId="112" xfId="11" applyNumberFormat="1" applyFont="1" applyFill="1" applyBorder="1" applyAlignment="1">
      <alignment wrapText="1"/>
    </xf>
    <xf numFmtId="0" fontId="9" fillId="0" borderId="126" xfId="12" applyFont="1" applyBorder="1">
      <alignment vertical="center"/>
    </xf>
    <xf numFmtId="0" fontId="9" fillId="0" borderId="49" xfId="12" applyFont="1" applyBorder="1">
      <alignment vertical="center"/>
    </xf>
    <xf numFmtId="0" fontId="9" fillId="19" borderId="29" xfId="12" applyFont="1" applyFill="1" applyBorder="1">
      <alignment vertical="center"/>
    </xf>
    <xf numFmtId="0" fontId="9" fillId="19" borderId="44" xfId="12" applyFont="1" applyFill="1" applyBorder="1">
      <alignment vertical="center"/>
    </xf>
    <xf numFmtId="0" fontId="9" fillId="19" borderId="71" xfId="12" applyFont="1" applyFill="1" applyBorder="1">
      <alignment vertical="center"/>
    </xf>
    <xf numFmtId="0" fontId="9" fillId="0" borderId="3" xfId="11" applyNumberFormat="1" applyFont="1" applyFill="1" applyBorder="1" applyAlignment="1">
      <alignment wrapText="1"/>
    </xf>
    <xf numFmtId="0" fontId="9" fillId="0" borderId="123" xfId="11" applyNumberFormat="1" applyFont="1" applyFill="1" applyBorder="1" applyAlignment="1">
      <alignment wrapText="1"/>
    </xf>
    <xf numFmtId="0" fontId="9" fillId="0" borderId="124" xfId="11" applyNumberFormat="1" applyFont="1" applyFill="1" applyBorder="1" applyAlignment="1">
      <alignment wrapText="1"/>
    </xf>
    <xf numFmtId="0" fontId="35" fillId="0" borderId="23" xfId="11" applyNumberFormat="1" applyFont="1" applyFill="1" applyBorder="1" applyAlignment="1">
      <alignment vertical="top"/>
    </xf>
    <xf numFmtId="0" fontId="9" fillId="0" borderId="31" xfId="11" applyNumberFormat="1" applyFont="1" applyFill="1" applyBorder="1" applyAlignment="1">
      <alignment vertical="top" wrapText="1"/>
    </xf>
    <xf numFmtId="0" fontId="9" fillId="0" borderId="43" xfId="11" applyNumberFormat="1" applyFont="1" applyFill="1" applyBorder="1" applyAlignment="1">
      <alignment wrapText="1"/>
    </xf>
    <xf numFmtId="0" fontId="9" fillId="0" borderId="0" xfId="0" applyFont="1" applyFill="1" applyBorder="1" applyAlignment="1">
      <alignment vertical="center"/>
    </xf>
    <xf numFmtId="0" fontId="9" fillId="0" borderId="16" xfId="0" applyFont="1" applyBorder="1" applyAlignment="1">
      <alignment horizontal="center" vertical="center" wrapText="1"/>
    </xf>
    <xf numFmtId="0" fontId="9" fillId="0" borderId="22" xfId="0" applyFont="1" applyFill="1" applyBorder="1" applyAlignment="1">
      <alignment vertical="center"/>
    </xf>
    <xf numFmtId="0" fontId="9" fillId="0" borderId="44" xfId="0" applyFont="1" applyFill="1" applyBorder="1" applyAlignment="1">
      <alignment vertical="center"/>
    </xf>
    <xf numFmtId="0" fontId="9" fillId="0" borderId="44" xfId="0" applyFont="1" applyFill="1" applyBorder="1" applyAlignment="1">
      <alignment horizontal="center" vertical="center" wrapText="1"/>
    </xf>
    <xf numFmtId="0" fontId="9" fillId="0" borderId="44" xfId="0" applyFont="1" applyFill="1" applyBorder="1" applyAlignment="1">
      <alignment vertical="center" wrapText="1"/>
    </xf>
    <xf numFmtId="0" fontId="9" fillId="0" borderId="17" xfId="0" applyFont="1" applyFill="1" applyBorder="1" applyAlignment="1">
      <alignment horizontal="center" vertical="center" wrapText="1"/>
    </xf>
    <xf numFmtId="0" fontId="9" fillId="0" borderId="71" xfId="0" applyFont="1" applyFill="1" applyBorder="1" applyAlignment="1">
      <alignment vertical="center" wrapText="1"/>
    </xf>
    <xf numFmtId="0" fontId="14" fillId="0" borderId="8" xfId="0" applyFont="1" applyFill="1" applyBorder="1" applyAlignment="1">
      <alignment horizontal="left" vertical="center"/>
    </xf>
    <xf numFmtId="0" fontId="9" fillId="0" borderId="7" xfId="0" applyFont="1" applyFill="1" applyBorder="1" applyAlignment="1">
      <alignment vertical="center" wrapText="1"/>
    </xf>
    <xf numFmtId="0" fontId="9" fillId="0" borderId="7" xfId="0" applyFont="1" applyFill="1" applyBorder="1" applyAlignment="1">
      <alignment vertical="center"/>
    </xf>
    <xf numFmtId="0" fontId="9" fillId="0" borderId="7" xfId="0" applyFont="1" applyFill="1" applyBorder="1" applyAlignment="1">
      <alignment horizontal="center" vertical="center"/>
    </xf>
    <xf numFmtId="0" fontId="9" fillId="0" borderId="17" xfId="0" applyFont="1" applyFill="1" applyBorder="1" applyAlignment="1">
      <alignment vertical="center" wrapText="1"/>
    </xf>
    <xf numFmtId="0" fontId="9" fillId="0" borderId="34" xfId="0" applyFont="1" applyFill="1" applyBorder="1" applyAlignment="1">
      <alignment vertical="center" wrapText="1"/>
    </xf>
    <xf numFmtId="0" fontId="9" fillId="0" borderId="44" xfId="0" applyFont="1" applyFill="1" applyBorder="1" applyAlignment="1">
      <alignment vertical="top"/>
    </xf>
    <xf numFmtId="0" fontId="14" fillId="0" borderId="8" xfId="0" applyFont="1" applyFill="1" applyBorder="1" applyAlignment="1">
      <alignment horizontal="center" vertical="center"/>
    </xf>
    <xf numFmtId="0" fontId="14" fillId="2" borderId="52" xfId="0" applyFont="1" applyFill="1" applyBorder="1" applyAlignment="1">
      <alignment horizontal="center"/>
    </xf>
    <xf numFmtId="0" fontId="32" fillId="0" borderId="1" xfId="11" applyFont="1" applyBorder="1"/>
    <xf numFmtId="0" fontId="32" fillId="0" borderId="0" xfId="11" applyFont="1" applyBorder="1"/>
    <xf numFmtId="0" fontId="32" fillId="0" borderId="25" xfId="11" applyFont="1" applyBorder="1"/>
    <xf numFmtId="0" fontId="9" fillId="0" borderId="0" xfId="0" applyFont="1" applyBorder="1" applyAlignment="1">
      <alignment vertical="center" wrapText="1"/>
    </xf>
    <xf numFmtId="0" fontId="9" fillId="0" borderId="25" xfId="0" applyFont="1" applyBorder="1" applyAlignment="1">
      <alignment vertical="center"/>
    </xf>
    <xf numFmtId="0" fontId="33" fillId="0" borderId="0" xfId="11" applyFont="1" applyBorder="1"/>
    <xf numFmtId="0" fontId="32" fillId="0" borderId="2" xfId="11" applyFont="1" applyBorder="1"/>
    <xf numFmtId="0" fontId="32" fillId="0" borderId="3" xfId="11" applyFont="1" applyBorder="1"/>
    <xf numFmtId="0" fontId="32" fillId="0" borderId="43" xfId="11" applyFont="1" applyBorder="1"/>
    <xf numFmtId="0" fontId="9" fillId="0" borderId="127" xfId="0" applyFont="1" applyBorder="1" applyAlignment="1">
      <alignment horizontal="left" vertical="top"/>
    </xf>
    <xf numFmtId="0" fontId="9" fillId="0" borderId="115" xfId="0" applyFont="1" applyBorder="1" applyAlignment="1">
      <alignment horizontal="left" vertical="top"/>
    </xf>
    <xf numFmtId="0" fontId="9" fillId="0" borderId="71" xfId="0" applyFont="1" applyBorder="1" applyAlignment="1">
      <alignment horizontal="left" vertical="top"/>
    </xf>
    <xf numFmtId="0" fontId="9" fillId="0" borderId="72" xfId="0" applyFont="1" applyBorder="1" applyAlignment="1">
      <alignment horizontal="left" vertical="top"/>
    </xf>
    <xf numFmtId="0" fontId="14" fillId="0" borderId="0" xfId="0" applyFont="1" applyFill="1" applyBorder="1" applyAlignment="1">
      <alignment horizontal="left"/>
    </xf>
    <xf numFmtId="0" fontId="14" fillId="0" borderId="0" xfId="0" applyFont="1" applyFill="1" applyBorder="1" applyAlignment="1">
      <alignment horizontal="center"/>
    </xf>
    <xf numFmtId="0" fontId="14" fillId="0" borderId="0" xfId="0" applyFont="1" applyFill="1" applyBorder="1" applyAlignment="1">
      <alignment horizontal="center" shrinkToFit="1"/>
    </xf>
    <xf numFmtId="0" fontId="9" fillId="0" borderId="0" xfId="0" applyFont="1" applyFill="1" applyBorder="1" applyAlignment="1">
      <alignment horizontal="center" shrinkToFit="1"/>
    </xf>
    <xf numFmtId="0" fontId="9" fillId="0" borderId="0" xfId="0" applyFont="1" applyFill="1" applyBorder="1" applyAlignment="1">
      <alignment horizontal="center"/>
    </xf>
    <xf numFmtId="177" fontId="9" fillId="0" borderId="0" xfId="0" applyNumberFormat="1" applyFont="1" applyBorder="1" applyAlignment="1">
      <alignment horizontal="center"/>
    </xf>
    <xf numFmtId="0" fontId="9" fillId="0" borderId="0" xfId="0" applyFont="1" applyBorder="1" applyAlignment="1">
      <alignment horizontal="center"/>
    </xf>
    <xf numFmtId="0" fontId="9" fillId="0" borderId="0" xfId="0" applyNumberFormat="1" applyFont="1" applyBorder="1" applyAlignment="1">
      <alignment horizontal="center"/>
    </xf>
    <xf numFmtId="0" fontId="29" fillId="0" borderId="1" xfId="11" applyBorder="1"/>
    <xf numFmtId="0" fontId="29" fillId="0" borderId="0" xfId="11" applyBorder="1"/>
    <xf numFmtId="0" fontId="29" fillId="0" borderId="25" xfId="11" applyBorder="1"/>
    <xf numFmtId="0" fontId="9" fillId="0" borderId="25" xfId="0" applyFont="1" applyFill="1" applyBorder="1" applyAlignment="1">
      <alignment vertical="center"/>
    </xf>
    <xf numFmtId="0" fontId="9" fillId="0" borderId="0" xfId="0" applyFont="1" applyFill="1" applyBorder="1" applyAlignment="1">
      <alignment vertical="center" wrapText="1"/>
    </xf>
    <xf numFmtId="0" fontId="9" fillId="0" borderId="2" xfId="0" applyFont="1" applyBorder="1" applyAlignment="1">
      <alignment vertical="center"/>
    </xf>
    <xf numFmtId="0" fontId="9" fillId="0" borderId="3" xfId="0" applyFont="1" applyBorder="1" applyAlignment="1">
      <alignment vertical="center"/>
    </xf>
    <xf numFmtId="0" fontId="9" fillId="0" borderId="3" xfId="0" applyFont="1" applyBorder="1" applyAlignment="1">
      <alignment vertical="center" wrapText="1"/>
    </xf>
    <xf numFmtId="0" fontId="9" fillId="0" borderId="3" xfId="0" applyFont="1" applyFill="1" applyBorder="1" applyAlignment="1">
      <alignment vertical="center"/>
    </xf>
    <xf numFmtId="0" fontId="9" fillId="0" borderId="43" xfId="0" applyFont="1" applyFill="1" applyBorder="1" applyAlignment="1">
      <alignment vertical="center"/>
    </xf>
    <xf numFmtId="0" fontId="29" fillId="7" borderId="1" xfId="11" applyFill="1" applyBorder="1"/>
    <xf numFmtId="0" fontId="29" fillId="7" borderId="0" xfId="11" applyFill="1" applyBorder="1"/>
    <xf numFmtId="0" fontId="29" fillId="7" borderId="25" xfId="11" applyFill="1" applyBorder="1"/>
    <xf numFmtId="0" fontId="9" fillId="16" borderId="0" xfId="0" applyFont="1" applyFill="1" applyBorder="1" applyAlignment="1">
      <alignment vertical="center"/>
    </xf>
    <xf numFmtId="0" fontId="9" fillId="0" borderId="43" xfId="0" applyFont="1" applyBorder="1" applyAlignment="1">
      <alignment vertical="center"/>
    </xf>
    <xf numFmtId="14" fontId="8" fillId="3" borderId="16" xfId="0" applyNumberFormat="1"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10" fillId="0" borderId="16" xfId="0" applyNumberFormat="1" applyFont="1" applyBorder="1" applyAlignment="1">
      <alignment horizontal="left" vertical="center"/>
    </xf>
    <xf numFmtId="0" fontId="10" fillId="0" borderId="7" xfId="0" applyNumberFormat="1" applyFont="1" applyBorder="1" applyAlignment="1">
      <alignment horizontal="left" vertical="center"/>
    </xf>
    <xf numFmtId="0" fontId="10" fillId="0" borderId="17" xfId="0" applyNumberFormat="1" applyFont="1" applyBorder="1" applyAlignment="1">
      <alignment horizontal="left" vertical="center"/>
    </xf>
    <xf numFmtId="0" fontId="10" fillId="0" borderId="16" xfId="0" applyFont="1" applyBorder="1" applyAlignment="1">
      <alignment horizontal="left" vertical="center"/>
    </xf>
    <xf numFmtId="0" fontId="10" fillId="0" borderId="7" xfId="0" applyFont="1" applyBorder="1" applyAlignment="1">
      <alignment horizontal="left" vertical="center"/>
    </xf>
    <xf numFmtId="0" fontId="10" fillId="0" borderId="17" xfId="0" applyFont="1" applyBorder="1" applyAlignment="1">
      <alignment horizontal="left" vertical="center"/>
    </xf>
    <xf numFmtId="14" fontId="10" fillId="0" borderId="16" xfId="0" applyNumberFormat="1" applyFont="1" applyBorder="1" applyAlignment="1">
      <alignment horizontal="left" vertical="center"/>
    </xf>
    <xf numFmtId="0" fontId="8" fillId="3" borderId="16" xfId="0" applyFont="1" applyFill="1" applyBorder="1" applyAlignment="1">
      <alignment horizontal="center" vertical="center" wrapText="1"/>
    </xf>
    <xf numFmtId="0" fontId="10" fillId="3" borderId="7" xfId="0" applyFont="1" applyFill="1" applyBorder="1">
      <alignment vertical="center"/>
    </xf>
    <xf numFmtId="0" fontId="10" fillId="3" borderId="17" xfId="0" applyFont="1" applyFill="1" applyBorder="1">
      <alignment vertical="center"/>
    </xf>
    <xf numFmtId="0" fontId="8" fillId="3" borderId="1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17" xfId="0" applyFont="1" applyFill="1" applyBorder="1" applyAlignment="1">
      <alignment horizontal="center" vertical="center"/>
    </xf>
    <xf numFmtId="14" fontId="10" fillId="0" borderId="16"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10" fillId="0" borderId="44" xfId="0" applyFont="1" applyBorder="1" applyAlignment="1">
      <alignment horizontal="center" vertical="center"/>
    </xf>
    <xf numFmtId="177" fontId="10" fillId="0" borderId="16" xfId="0" applyNumberFormat="1" applyFont="1" applyBorder="1" applyAlignment="1">
      <alignment horizontal="center" vertical="center"/>
    </xf>
    <xf numFmtId="177" fontId="10" fillId="0" borderId="7" xfId="0" applyNumberFormat="1" applyFont="1" applyBorder="1" applyAlignment="1">
      <alignment horizontal="center" vertical="center"/>
    </xf>
    <xf numFmtId="177" fontId="10" fillId="0" borderId="17" xfId="0" applyNumberFormat="1" applyFont="1" applyBorder="1" applyAlignment="1">
      <alignment horizontal="center" vertical="center"/>
    </xf>
    <xf numFmtId="0" fontId="8" fillId="3" borderId="44" xfId="0" applyFont="1" applyFill="1" applyBorder="1" applyAlignment="1">
      <alignment horizontal="center" vertical="center" wrapText="1"/>
    </xf>
    <xf numFmtId="0" fontId="10" fillId="0" borderId="24" xfId="0" applyFont="1" applyBorder="1" applyAlignment="1">
      <alignment horizontal="left" vertical="center"/>
    </xf>
    <xf numFmtId="0" fontId="10" fillId="0" borderId="26" xfId="0" applyFont="1" applyBorder="1" applyAlignment="1">
      <alignment horizontal="left" vertical="center"/>
    </xf>
    <xf numFmtId="0" fontId="10" fillId="0" borderId="27" xfId="0" applyFont="1" applyBorder="1" applyAlignment="1">
      <alignment horizontal="left" vertical="center"/>
    </xf>
    <xf numFmtId="176" fontId="10" fillId="0" borderId="24" xfId="0" applyNumberFormat="1" applyFont="1" applyBorder="1" applyAlignment="1">
      <alignment horizontal="left" vertical="center"/>
    </xf>
    <xf numFmtId="176" fontId="10" fillId="0" borderId="26" xfId="0" applyNumberFormat="1" applyFont="1" applyBorder="1" applyAlignment="1">
      <alignment horizontal="left" vertical="center"/>
    </xf>
    <xf numFmtId="176" fontId="10" fillId="0" borderId="27" xfId="0" applyNumberFormat="1" applyFont="1" applyBorder="1" applyAlignment="1">
      <alignment horizontal="left" vertical="center"/>
    </xf>
    <xf numFmtId="0" fontId="8" fillId="3" borderId="24" xfId="0" applyFont="1" applyFill="1" applyBorder="1" applyAlignment="1">
      <alignment horizontal="center" vertical="center" wrapText="1"/>
    </xf>
    <xf numFmtId="0" fontId="10" fillId="3" borderId="26" xfId="0" applyFont="1" applyFill="1" applyBorder="1">
      <alignment vertical="center"/>
    </xf>
    <xf numFmtId="0" fontId="10" fillId="3" borderId="27" xfId="0" applyFont="1" applyFill="1" applyBorder="1">
      <alignment vertical="center"/>
    </xf>
    <xf numFmtId="0" fontId="10" fillId="0" borderId="16" xfId="0" applyFont="1" applyBorder="1" applyAlignment="1">
      <alignment horizontal="left" vertical="center" wrapText="1"/>
    </xf>
    <xf numFmtId="0" fontId="10" fillId="0" borderId="16" xfId="0" quotePrefix="1" applyFont="1" applyBorder="1" applyAlignment="1">
      <alignment horizontal="left" vertical="center"/>
    </xf>
    <xf numFmtId="0" fontId="12" fillId="4" borderId="104" xfId="0" applyFont="1" applyFill="1" applyBorder="1" applyAlignment="1">
      <alignment horizontal="center" vertical="center"/>
    </xf>
    <xf numFmtId="0" fontId="12" fillId="4" borderId="107" xfId="0" applyFont="1" applyFill="1" applyBorder="1" applyAlignment="1">
      <alignment horizontal="center" vertical="center"/>
    </xf>
    <xf numFmtId="0" fontId="12" fillId="4" borderId="108" xfId="0" applyFont="1" applyFill="1" applyBorder="1" applyAlignment="1">
      <alignment horizontal="center" vertical="center"/>
    </xf>
    <xf numFmtId="0" fontId="12" fillId="4" borderId="0" xfId="0" applyFont="1" applyFill="1" applyBorder="1" applyAlignment="1">
      <alignment horizontal="center" vertical="center"/>
    </xf>
    <xf numFmtId="0" fontId="14" fillId="2" borderId="36" xfId="0" applyFont="1" applyFill="1" applyBorder="1" applyAlignment="1">
      <alignment horizontal="center" shrinkToFit="1"/>
    </xf>
    <xf numFmtId="0" fontId="9" fillId="0" borderId="37" xfId="0" applyFont="1" applyBorder="1" applyAlignment="1">
      <alignment horizontal="center" shrinkToFit="1"/>
    </xf>
    <xf numFmtId="0" fontId="14" fillId="2" borderId="36" xfId="0" applyFont="1" applyFill="1" applyBorder="1" applyAlignment="1">
      <alignment horizontal="center"/>
    </xf>
    <xf numFmtId="0" fontId="9" fillId="0" borderId="37" xfId="0" applyFont="1" applyBorder="1" applyAlignment="1">
      <alignment horizontal="center"/>
    </xf>
    <xf numFmtId="0" fontId="14" fillId="2" borderId="120" xfId="0" applyFont="1" applyFill="1" applyBorder="1" applyAlignment="1">
      <alignment horizontal="center"/>
    </xf>
    <xf numFmtId="0" fontId="9" fillId="0" borderId="121" xfId="0" applyFont="1" applyBorder="1" applyAlignment="1">
      <alignment horizontal="center"/>
    </xf>
    <xf numFmtId="0" fontId="9" fillId="2" borderId="12" xfId="0" applyFont="1" applyFill="1" applyBorder="1" applyAlignment="1">
      <alignment horizontal="center" vertical="top"/>
    </xf>
    <xf numFmtId="0" fontId="9" fillId="2" borderId="5" xfId="0" applyFont="1" applyFill="1" applyBorder="1" applyAlignment="1">
      <alignment horizontal="center" vertical="top"/>
    </xf>
    <xf numFmtId="0" fontId="9" fillId="2" borderId="10" xfId="0" applyFont="1" applyFill="1" applyBorder="1" applyAlignment="1">
      <alignment horizontal="center" vertical="top"/>
    </xf>
    <xf numFmtId="0" fontId="9" fillId="2" borderId="52" xfId="0" applyFont="1" applyFill="1" applyBorder="1" applyAlignment="1">
      <alignment horizontal="center" vertical="top"/>
    </xf>
    <xf numFmtId="0" fontId="9" fillId="2" borderId="41" xfId="0" applyFont="1" applyFill="1" applyBorder="1" applyAlignment="1">
      <alignment horizontal="center" vertical="top"/>
    </xf>
    <xf numFmtId="0" fontId="9" fillId="2" borderId="42" xfId="0" applyFont="1" applyFill="1" applyBorder="1" applyAlignment="1">
      <alignment horizontal="center" vertical="top"/>
    </xf>
    <xf numFmtId="0" fontId="9" fillId="0" borderId="129" xfId="0" applyNumberFormat="1" applyFont="1" applyBorder="1" applyAlignment="1">
      <alignment horizontal="center" vertical="top"/>
    </xf>
    <xf numFmtId="0" fontId="9" fillId="0" borderId="111" xfId="0" applyNumberFormat="1" applyFont="1" applyBorder="1" applyAlignment="1">
      <alignment horizontal="center" vertical="top"/>
    </xf>
    <xf numFmtId="0" fontId="9" fillId="0" borderId="22" xfId="0" applyNumberFormat="1" applyFont="1" applyBorder="1" applyAlignment="1">
      <alignment horizontal="center" vertical="top"/>
    </xf>
    <xf numFmtId="0" fontId="9" fillId="0" borderId="44" xfId="0" applyNumberFormat="1" applyFont="1" applyBorder="1" applyAlignment="1">
      <alignment horizontal="center" vertical="top"/>
    </xf>
    <xf numFmtId="14" fontId="9" fillId="0" borderId="111" xfId="0" applyNumberFormat="1" applyFont="1" applyBorder="1" applyAlignment="1">
      <alignment horizontal="center" vertical="top"/>
    </xf>
    <xf numFmtId="0" fontId="9" fillId="0" borderId="111" xfId="0" applyFont="1" applyBorder="1" applyAlignment="1">
      <alignment horizontal="center" vertical="top"/>
    </xf>
    <xf numFmtId="0" fontId="9" fillId="0" borderId="44" xfId="0" applyFont="1" applyBorder="1" applyAlignment="1">
      <alignment horizontal="center" vertical="top"/>
    </xf>
    <xf numFmtId="0" fontId="9" fillId="0" borderId="117" xfId="0" applyFont="1" applyBorder="1" applyAlignment="1">
      <alignment horizontal="left" vertical="top"/>
    </xf>
    <xf numFmtId="0" fontId="9" fillId="0" borderId="62" xfId="0" applyFont="1" applyBorder="1" applyAlignment="1">
      <alignment horizontal="left" vertical="top"/>
    </xf>
    <xf numFmtId="0" fontId="9" fillId="0" borderId="63" xfId="0" applyFont="1" applyBorder="1" applyAlignment="1">
      <alignment horizontal="left" vertical="top"/>
    </xf>
    <xf numFmtId="0" fontId="9" fillId="0" borderId="15" xfId="0" applyNumberFormat="1" applyFont="1" applyBorder="1" applyAlignment="1">
      <alignment horizontal="center" vertical="top"/>
    </xf>
    <xf numFmtId="0" fontId="9" fillId="0" borderId="6" xfId="0" applyNumberFormat="1" applyFont="1" applyBorder="1" applyAlignment="1">
      <alignment horizontal="center" vertical="top"/>
    </xf>
    <xf numFmtId="0" fontId="9" fillId="0" borderId="68" xfId="0" applyNumberFormat="1" applyFont="1" applyBorder="1" applyAlignment="1">
      <alignment horizontal="center" vertical="top"/>
    </xf>
    <xf numFmtId="0" fontId="9" fillId="0" borderId="16" xfId="0" applyNumberFormat="1" applyFont="1" applyBorder="1" applyAlignment="1">
      <alignment horizontal="center" vertical="top"/>
    </xf>
    <xf numFmtId="0" fontId="9" fillId="0" borderId="7" xfId="0" applyNumberFormat="1" applyFont="1" applyBorder="1" applyAlignment="1">
      <alignment horizontal="center" vertical="top"/>
    </xf>
    <xf numFmtId="0" fontId="9" fillId="0" borderId="34" xfId="0" applyNumberFormat="1" applyFont="1" applyBorder="1" applyAlignment="1">
      <alignment horizontal="center" vertical="top"/>
    </xf>
    <xf numFmtId="0" fontId="9" fillId="0" borderId="14" xfId="0" applyFont="1" applyBorder="1" applyAlignment="1">
      <alignment horizontal="left" vertical="top"/>
    </xf>
    <xf numFmtId="0" fontId="9" fillId="0" borderId="0" xfId="0" applyFont="1" applyBorder="1" applyAlignment="1">
      <alignment horizontal="left" vertical="top"/>
    </xf>
    <xf numFmtId="0" fontId="9" fillId="0" borderId="11" xfId="0" applyFont="1" applyBorder="1" applyAlignment="1">
      <alignment horizontal="left" vertical="top"/>
    </xf>
    <xf numFmtId="0" fontId="9" fillId="2" borderId="128" xfId="0" applyFont="1" applyFill="1" applyBorder="1" applyAlignment="1">
      <alignment horizontal="center" vertical="top"/>
    </xf>
    <xf numFmtId="0" fontId="17" fillId="0" borderId="110" xfId="0" applyFont="1" applyBorder="1" applyAlignment="1">
      <alignment horizontal="center" vertical="top"/>
    </xf>
    <xf numFmtId="0" fontId="9" fillId="2" borderId="110" xfId="0" applyFont="1" applyFill="1" applyBorder="1" applyAlignment="1">
      <alignment horizontal="center" vertical="top"/>
    </xf>
    <xf numFmtId="0" fontId="9" fillId="0" borderId="23" xfId="0" applyNumberFormat="1" applyFont="1" applyBorder="1" applyAlignment="1">
      <alignment horizontal="center" vertical="top"/>
    </xf>
    <xf numFmtId="0" fontId="9" fillId="0" borderId="49" xfId="0" applyNumberFormat="1" applyFont="1" applyBorder="1" applyAlignment="1">
      <alignment horizontal="center" vertical="top"/>
    </xf>
    <xf numFmtId="14" fontId="9" fillId="0" borderId="44" xfId="0" applyNumberFormat="1" applyFont="1" applyBorder="1" applyAlignment="1">
      <alignment horizontal="center" vertical="top"/>
    </xf>
    <xf numFmtId="0" fontId="9" fillId="0" borderId="49" xfId="0" applyFont="1" applyBorder="1" applyAlignment="1">
      <alignment horizontal="center" vertical="top"/>
    </xf>
    <xf numFmtId="0" fontId="9" fillId="0" borderId="24" xfId="0" applyFont="1" applyBorder="1" applyAlignment="1">
      <alignment horizontal="left" vertical="top"/>
    </xf>
    <xf numFmtId="0" fontId="9" fillId="0" borderId="26" xfId="0" applyFont="1" applyBorder="1" applyAlignment="1">
      <alignment horizontal="left" vertical="top"/>
    </xf>
    <xf numFmtId="0" fontId="9" fillId="0" borderId="27" xfId="0" applyFont="1" applyBorder="1" applyAlignment="1">
      <alignment horizontal="left" vertical="top"/>
    </xf>
    <xf numFmtId="0" fontId="9" fillId="0" borderId="31" xfId="0" applyNumberFormat="1" applyFont="1" applyBorder="1" applyAlignment="1">
      <alignment horizontal="center" vertical="top"/>
    </xf>
    <xf numFmtId="0" fontId="9" fillId="0" borderId="21" xfId="0" applyNumberFormat="1" applyFont="1" applyBorder="1" applyAlignment="1">
      <alignment horizontal="center" vertical="top"/>
    </xf>
    <xf numFmtId="0" fontId="9" fillId="0" borderId="35" xfId="0" applyNumberFormat="1" applyFont="1" applyBorder="1" applyAlignment="1">
      <alignment horizontal="center" vertical="top"/>
    </xf>
    <xf numFmtId="0" fontId="9" fillId="0" borderId="130" xfId="0" applyFont="1" applyBorder="1" applyAlignment="1">
      <alignment horizontal="left" vertical="top"/>
    </xf>
    <xf numFmtId="0" fontId="9" fillId="0" borderId="3" xfId="0" applyFont="1" applyBorder="1" applyAlignment="1">
      <alignment horizontal="left" vertical="top"/>
    </xf>
    <xf numFmtId="0" fontId="9" fillId="0" borderId="131" xfId="0" applyFont="1" applyBorder="1" applyAlignment="1">
      <alignment horizontal="left" vertical="top"/>
    </xf>
    <xf numFmtId="0" fontId="9" fillId="4" borderId="132" xfId="0" applyFont="1" applyFill="1" applyBorder="1" applyAlignment="1">
      <alignment horizontal="center" vertical="top"/>
    </xf>
    <xf numFmtId="0" fontId="9" fillId="4" borderId="105" xfId="0" applyFont="1" applyFill="1" applyBorder="1" applyAlignment="1">
      <alignment horizontal="center" vertical="top"/>
    </xf>
    <xf numFmtId="0" fontId="9" fillId="4" borderId="133" xfId="0" applyFont="1" applyFill="1" applyBorder="1" applyAlignment="1">
      <alignment horizontal="center" vertical="top"/>
    </xf>
    <xf numFmtId="0" fontId="9" fillId="4" borderId="116" xfId="0" applyFont="1" applyFill="1" applyBorder="1" applyAlignment="1">
      <alignment horizontal="center" vertical="top"/>
    </xf>
    <xf numFmtId="0" fontId="9" fillId="2" borderId="105" xfId="0" applyFont="1" applyFill="1" applyBorder="1" applyAlignment="1">
      <alignment horizontal="center" vertical="top"/>
    </xf>
    <xf numFmtId="0" fontId="9" fillId="2" borderId="106" xfId="0" applyFont="1" applyFill="1" applyBorder="1" applyAlignment="1">
      <alignment horizontal="center" vertical="top"/>
    </xf>
    <xf numFmtId="0" fontId="9" fillId="2" borderId="116" xfId="0" applyFont="1" applyFill="1" applyBorder="1" applyAlignment="1">
      <alignment horizontal="center" vertical="top"/>
    </xf>
    <xf numFmtId="0" fontId="9" fillId="2" borderId="134" xfId="0" applyFont="1" applyFill="1" applyBorder="1" applyAlignment="1">
      <alignment horizontal="center" vertical="top"/>
    </xf>
    <xf numFmtId="14" fontId="9" fillId="0" borderId="90" xfId="0" applyNumberFormat="1" applyFont="1" applyBorder="1" applyAlignment="1">
      <alignment horizontal="center" vertical="top"/>
    </xf>
    <xf numFmtId="14" fontId="9" fillId="0" borderId="91" xfId="0" applyNumberFormat="1" applyFont="1" applyBorder="1" applyAlignment="1">
      <alignment horizontal="center" vertical="top"/>
    </xf>
    <xf numFmtId="14" fontId="9" fillId="0" borderId="136" xfId="0" applyNumberFormat="1" applyFont="1" applyBorder="1" applyAlignment="1">
      <alignment horizontal="center" vertical="top"/>
    </xf>
    <xf numFmtId="0" fontId="9" fillId="0" borderId="135" xfId="0" applyNumberFormat="1" applyFont="1" applyBorder="1" applyAlignment="1">
      <alignment horizontal="center" vertical="top"/>
    </xf>
    <xf numFmtId="0" fontId="9" fillId="0" borderId="92" xfId="0" applyNumberFormat="1" applyFont="1" applyBorder="1" applyAlignment="1">
      <alignment horizontal="center" vertical="top"/>
    </xf>
    <xf numFmtId="177" fontId="9" fillId="0" borderId="90" xfId="0" applyNumberFormat="1" applyFont="1" applyBorder="1" applyAlignment="1">
      <alignment horizontal="center" vertical="top"/>
    </xf>
    <xf numFmtId="177" fontId="9" fillId="0" borderId="91" xfId="0" applyNumberFormat="1" applyFont="1" applyBorder="1" applyAlignment="1">
      <alignment horizontal="center" vertical="top"/>
    </xf>
    <xf numFmtId="177" fontId="9" fillId="0" borderId="92" xfId="0" applyNumberFormat="1" applyFont="1" applyBorder="1" applyAlignment="1">
      <alignment horizontal="center" vertical="top"/>
    </xf>
    <xf numFmtId="0" fontId="9" fillId="0" borderId="90" xfId="0" applyFont="1" applyBorder="1" applyAlignment="1">
      <alignment vertical="top" wrapText="1"/>
    </xf>
    <xf numFmtId="0" fontId="9" fillId="0" borderId="91" xfId="0" applyFont="1" applyBorder="1" applyAlignment="1">
      <alignment vertical="top"/>
    </xf>
    <xf numFmtId="0" fontId="9" fillId="0" borderId="92" xfId="0" applyFont="1" applyBorder="1" applyAlignment="1">
      <alignment vertical="top"/>
    </xf>
    <xf numFmtId="0" fontId="9" fillId="0" borderId="90" xfId="0" applyNumberFormat="1" applyFont="1" applyBorder="1" applyAlignment="1">
      <alignment horizontal="center" vertical="top"/>
    </xf>
    <xf numFmtId="0" fontId="9" fillId="0" borderId="91" xfId="0" applyNumberFormat="1" applyFont="1" applyBorder="1" applyAlignment="1">
      <alignment horizontal="center" vertical="top"/>
    </xf>
    <xf numFmtId="14" fontId="9" fillId="0" borderId="139" xfId="0" applyNumberFormat="1" applyFont="1" applyBorder="1" applyAlignment="1">
      <alignment horizontal="center" vertical="top"/>
    </xf>
    <xf numFmtId="14" fontId="9" fillId="0" borderId="140" xfId="0" applyNumberFormat="1" applyFont="1" applyBorder="1" applyAlignment="1">
      <alignment horizontal="center" vertical="top"/>
    </xf>
    <xf numFmtId="14" fontId="9" fillId="0" borderId="141" xfId="0" applyNumberFormat="1" applyFont="1" applyBorder="1" applyAlignment="1">
      <alignment horizontal="center" vertical="top"/>
    </xf>
    <xf numFmtId="0" fontId="9" fillId="0" borderId="137" xfId="0" applyNumberFormat="1" applyFont="1" applyBorder="1" applyAlignment="1">
      <alignment horizontal="center" vertical="top"/>
    </xf>
    <xf numFmtId="0" fontId="9" fillId="0" borderId="138" xfId="0" applyNumberFormat="1" applyFont="1" applyBorder="1" applyAlignment="1">
      <alignment horizontal="center" vertical="top"/>
    </xf>
    <xf numFmtId="177" fontId="9" fillId="0" borderId="139" xfId="0" applyNumberFormat="1" applyFont="1" applyBorder="1" applyAlignment="1">
      <alignment horizontal="center" vertical="top"/>
    </xf>
    <xf numFmtId="177" fontId="9" fillId="0" borderId="140" xfId="0" applyNumberFormat="1" applyFont="1" applyBorder="1" applyAlignment="1">
      <alignment horizontal="center" vertical="top"/>
    </xf>
    <xf numFmtId="177" fontId="9" fillId="0" borderId="138" xfId="0" applyNumberFormat="1" applyFont="1" applyBorder="1" applyAlignment="1">
      <alignment horizontal="center" vertical="top"/>
    </xf>
    <xf numFmtId="0" fontId="9" fillId="0" borderId="139" xfId="0" applyFont="1" applyBorder="1" applyAlignment="1">
      <alignment horizontal="left" vertical="top" wrapText="1"/>
    </xf>
    <xf numFmtId="0" fontId="9" fillId="0" borderId="140" xfId="0" applyFont="1" applyBorder="1" applyAlignment="1">
      <alignment horizontal="left" vertical="top" wrapText="1"/>
    </xf>
    <xf numFmtId="0" fontId="9" fillId="0" borderId="138" xfId="0" applyFont="1" applyBorder="1" applyAlignment="1">
      <alignment horizontal="left" vertical="top" wrapText="1"/>
    </xf>
    <xf numFmtId="0" fontId="9" fillId="0" borderId="139" xfId="0" applyNumberFormat="1" applyFont="1" applyBorder="1" applyAlignment="1">
      <alignment horizontal="center" vertical="top"/>
    </xf>
    <xf numFmtId="0" fontId="9" fillId="0" borderId="140" xfId="0" applyNumberFormat="1" applyFont="1" applyBorder="1" applyAlignment="1">
      <alignment horizontal="center" vertical="top"/>
    </xf>
    <xf numFmtId="0" fontId="9" fillId="0" borderId="64" xfId="0" applyFont="1" applyBorder="1" applyAlignment="1">
      <alignment vertical="center"/>
    </xf>
    <xf numFmtId="0" fontId="9" fillId="0" borderId="27" xfId="0" applyFont="1" applyBorder="1" applyAlignment="1">
      <alignment vertical="center"/>
    </xf>
    <xf numFmtId="177" fontId="9" fillId="0" borderId="31" xfId="0" applyNumberFormat="1" applyFont="1" applyFill="1" applyBorder="1" applyAlignment="1">
      <alignment horizontal="center" shrinkToFit="1"/>
    </xf>
    <xf numFmtId="177" fontId="9" fillId="0" borderId="21" xfId="0" applyNumberFormat="1" applyFont="1" applyFill="1" applyBorder="1" applyAlignment="1">
      <alignment horizontal="center" shrinkToFit="1"/>
    </xf>
    <xf numFmtId="177" fontId="9" fillId="0" borderId="32" xfId="0" applyNumberFormat="1" applyFont="1" applyFill="1" applyBorder="1" applyAlignment="1">
      <alignment horizontal="center" shrinkToFit="1"/>
    </xf>
    <xf numFmtId="14" fontId="9" fillId="0" borderId="36" xfId="0" applyNumberFormat="1" applyFont="1" applyFill="1" applyBorder="1" applyAlignment="1">
      <alignment horizontal="center" shrinkToFit="1"/>
    </xf>
    <xf numFmtId="14" fontId="9" fillId="0" borderId="37" xfId="0" applyNumberFormat="1" applyFont="1" applyFill="1" applyBorder="1" applyAlignment="1">
      <alignment horizontal="center" shrinkToFit="1"/>
    </xf>
    <xf numFmtId="14" fontId="9" fillId="0" borderId="38" xfId="0" applyNumberFormat="1" applyFont="1" applyFill="1" applyBorder="1" applyAlignment="1">
      <alignment horizontal="center" shrinkToFit="1"/>
    </xf>
    <xf numFmtId="0" fontId="14" fillId="3" borderId="36" xfId="0" applyFont="1" applyFill="1" applyBorder="1" applyAlignment="1">
      <alignment horizontal="center"/>
    </xf>
    <xf numFmtId="0" fontId="14" fillId="3" borderId="37" xfId="0" applyFont="1" applyFill="1" applyBorder="1" applyAlignment="1">
      <alignment horizontal="center"/>
    </xf>
    <xf numFmtId="0" fontId="14" fillId="3" borderId="39" xfId="0" applyFont="1" applyFill="1" applyBorder="1" applyAlignment="1">
      <alignment horizontal="center"/>
    </xf>
    <xf numFmtId="0" fontId="14" fillId="3" borderId="7" xfId="0" applyFont="1" applyFill="1" applyBorder="1" applyAlignment="1">
      <alignment horizontal="left"/>
    </xf>
    <xf numFmtId="0" fontId="9" fillId="0" borderId="7" xfId="0" applyFont="1" applyBorder="1" applyAlignment="1">
      <alignment horizontal="left"/>
    </xf>
    <xf numFmtId="0" fontId="9" fillId="0" borderId="17" xfId="0" applyFont="1" applyBorder="1" applyAlignment="1">
      <alignment horizontal="left"/>
    </xf>
    <xf numFmtId="0" fontId="9" fillId="0" borderId="16" xfId="0" applyFont="1" applyBorder="1" applyAlignment="1">
      <alignment horizontal="left" shrinkToFit="1"/>
    </xf>
    <xf numFmtId="0" fontId="9" fillId="0" borderId="7" xfId="0" applyFont="1" applyBorder="1" applyAlignment="1">
      <alignment horizontal="left" shrinkToFit="1"/>
    </xf>
    <xf numFmtId="0" fontId="9" fillId="0" borderId="17" xfId="0" applyFont="1" applyBorder="1" applyAlignment="1">
      <alignment horizontal="left" shrinkToFit="1"/>
    </xf>
    <xf numFmtId="0" fontId="14" fillId="3" borderId="16" xfId="0" applyFont="1" applyFill="1" applyBorder="1" applyAlignment="1">
      <alignment horizontal="left"/>
    </xf>
    <xf numFmtId="0" fontId="14" fillId="3" borderId="16" xfId="0" applyFont="1" applyFill="1" applyBorder="1" applyAlignment="1">
      <alignment horizontal="center"/>
    </xf>
    <xf numFmtId="0" fontId="14" fillId="3" borderId="7" xfId="0" applyFont="1" applyFill="1" applyBorder="1" applyAlignment="1">
      <alignment horizontal="center"/>
    </xf>
    <xf numFmtId="0" fontId="14" fillId="3" borderId="17" xfId="0" applyFont="1" applyFill="1" applyBorder="1" applyAlignment="1">
      <alignment horizontal="center"/>
    </xf>
    <xf numFmtId="0" fontId="9" fillId="0" borderId="16" xfId="0" applyFont="1" applyFill="1" applyBorder="1" applyAlignment="1">
      <alignment horizontal="center" shrinkToFit="1"/>
    </xf>
    <xf numFmtId="0" fontId="9" fillId="0" borderId="7" xfId="0" applyFont="1" applyFill="1" applyBorder="1" applyAlignment="1">
      <alignment horizontal="center" shrinkToFit="1"/>
    </xf>
    <xf numFmtId="0" fontId="9" fillId="0" borderId="17" xfId="0" applyFont="1" applyFill="1" applyBorder="1" applyAlignment="1">
      <alignment horizontal="center" shrinkToFit="1"/>
    </xf>
    <xf numFmtId="14" fontId="14" fillId="3" borderId="16" xfId="0" applyNumberFormat="1" applyFont="1" applyFill="1" applyBorder="1" applyAlignment="1">
      <alignment horizontal="center"/>
    </xf>
    <xf numFmtId="14" fontId="14" fillId="3" borderId="7" xfId="0" applyNumberFormat="1" applyFont="1" applyFill="1" applyBorder="1" applyAlignment="1">
      <alignment horizontal="center"/>
    </xf>
    <xf numFmtId="14" fontId="14" fillId="3" borderId="17" xfId="0" applyNumberFormat="1" applyFont="1" applyFill="1" applyBorder="1" applyAlignment="1">
      <alignment horizontal="center"/>
    </xf>
    <xf numFmtId="14" fontId="9" fillId="0" borderId="16" xfId="0" applyNumberFormat="1" applyFont="1" applyBorder="1" applyAlignment="1">
      <alignment horizontal="center" shrinkToFit="1"/>
    </xf>
    <xf numFmtId="14" fontId="9" fillId="0" borderId="7" xfId="0" applyNumberFormat="1" applyFont="1" applyBorder="1" applyAlignment="1">
      <alignment horizontal="center" shrinkToFit="1"/>
    </xf>
    <xf numFmtId="14" fontId="9" fillId="0" borderId="16" xfId="0" applyNumberFormat="1" applyFont="1" applyFill="1" applyBorder="1" applyAlignment="1">
      <alignment horizontal="center" vertical="center" shrinkToFit="1"/>
    </xf>
    <xf numFmtId="0" fontId="9" fillId="0" borderId="7" xfId="0" applyFont="1" applyFill="1" applyBorder="1" applyAlignment="1">
      <alignment horizontal="center" vertical="center" shrinkToFit="1"/>
    </xf>
    <xf numFmtId="0" fontId="9" fillId="0" borderId="34" xfId="0" applyFont="1" applyFill="1" applyBorder="1" applyAlignment="1">
      <alignment horizontal="center" vertical="center" shrinkToFit="1"/>
    </xf>
    <xf numFmtId="0" fontId="9" fillId="0" borderId="31" xfId="0" applyFont="1" applyFill="1" applyBorder="1" applyAlignment="1">
      <alignment horizontal="center" vertical="center" shrinkToFit="1"/>
    </xf>
    <xf numFmtId="0" fontId="9" fillId="0" borderId="21" xfId="0" applyFont="1" applyFill="1" applyBorder="1" applyAlignment="1">
      <alignment horizontal="center" vertical="center" shrinkToFit="1"/>
    </xf>
    <xf numFmtId="0" fontId="9" fillId="0" borderId="35" xfId="0" applyFont="1" applyFill="1" applyBorder="1" applyAlignment="1">
      <alignment horizontal="center" vertical="center" shrinkToFit="1"/>
    </xf>
    <xf numFmtId="0" fontId="14" fillId="3" borderId="21" xfId="0" applyFont="1" applyFill="1" applyBorder="1" applyAlignment="1">
      <alignment horizontal="left"/>
    </xf>
    <xf numFmtId="0" fontId="14" fillId="3" borderId="32" xfId="0" applyFont="1" applyFill="1" applyBorder="1" applyAlignment="1">
      <alignment horizontal="left"/>
    </xf>
    <xf numFmtId="0" fontId="9" fillId="0" borderId="31" xfId="0" applyFont="1" applyFill="1" applyBorder="1" applyAlignment="1">
      <alignment horizontal="left" shrinkToFit="1"/>
    </xf>
    <xf numFmtId="0" fontId="9" fillId="0" borderId="21" xfId="0" applyFont="1" applyBorder="1" applyAlignment="1">
      <alignment horizontal="left" shrinkToFit="1"/>
    </xf>
    <xf numFmtId="14" fontId="14" fillId="3" borderId="31" xfId="0" applyNumberFormat="1" applyFont="1" applyFill="1" applyBorder="1" applyAlignment="1">
      <alignment horizontal="center"/>
    </xf>
    <xf numFmtId="14" fontId="14" fillId="3" borderId="21" xfId="0" applyNumberFormat="1" applyFont="1" applyFill="1" applyBorder="1" applyAlignment="1">
      <alignment horizontal="center"/>
    </xf>
    <xf numFmtId="14" fontId="14" fillId="3" borderId="32" xfId="0" applyNumberFormat="1" applyFont="1" applyFill="1" applyBorder="1" applyAlignment="1">
      <alignment horizontal="center"/>
    </xf>
    <xf numFmtId="0" fontId="14" fillId="3" borderId="36" xfId="0" applyFont="1" applyFill="1" applyBorder="1" applyAlignment="1">
      <alignment horizontal="left"/>
    </xf>
    <xf numFmtId="0" fontId="9" fillId="0" borderId="37" xfId="0" applyFont="1" applyBorder="1" applyAlignment="1">
      <alignment horizontal="left"/>
    </xf>
    <xf numFmtId="0" fontId="9" fillId="0" borderId="38" xfId="0" applyFont="1" applyBorder="1" applyAlignment="1">
      <alignment horizontal="left"/>
    </xf>
    <xf numFmtId="0" fontId="12" fillId="2" borderId="40" xfId="0" applyFont="1" applyFill="1" applyBorder="1" applyAlignment="1">
      <alignment horizontal="center" vertical="center" wrapText="1"/>
    </xf>
    <xf numFmtId="0" fontId="12" fillId="2" borderId="41" xfId="0" applyFont="1" applyFill="1" applyBorder="1" applyAlignment="1">
      <alignment horizontal="center" vertical="center" wrapText="1"/>
    </xf>
    <xf numFmtId="0" fontId="12" fillId="2" borderId="4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3" xfId="0" applyFont="1" applyFill="1" applyBorder="1" applyAlignment="1">
      <alignment horizontal="center" vertical="center" wrapText="1"/>
    </xf>
    <xf numFmtId="0" fontId="14" fillId="3" borderId="37" xfId="0" applyFont="1" applyFill="1" applyBorder="1" applyAlignment="1">
      <alignment horizontal="left"/>
    </xf>
    <xf numFmtId="0" fontId="9" fillId="0" borderId="36" xfId="0" applyFont="1" applyBorder="1" applyAlignment="1">
      <alignment horizontal="left" shrinkToFit="1"/>
    </xf>
    <xf numFmtId="0" fontId="9" fillId="0" borderId="37" xfId="0" applyFont="1" applyBorder="1" applyAlignment="1">
      <alignment horizontal="left" shrinkToFit="1"/>
    </xf>
    <xf numFmtId="0" fontId="9" fillId="0" borderId="38" xfId="0" applyFont="1" applyBorder="1" applyAlignment="1">
      <alignment horizontal="left" shrinkToFit="1"/>
    </xf>
    <xf numFmtId="0" fontId="14" fillId="3" borderId="38" xfId="0" applyFont="1" applyFill="1" applyBorder="1" applyAlignment="1">
      <alignment horizontal="center"/>
    </xf>
    <xf numFmtId="0" fontId="9" fillId="0" borderId="36" xfId="0" applyFont="1" applyFill="1" applyBorder="1" applyAlignment="1">
      <alignment horizontal="center" shrinkToFit="1"/>
    </xf>
    <xf numFmtId="0" fontId="9" fillId="0" borderId="37" xfId="0" applyFont="1" applyFill="1" applyBorder="1" applyAlignment="1">
      <alignment horizontal="center" shrinkToFit="1"/>
    </xf>
    <xf numFmtId="0" fontId="9" fillId="0" borderId="38" xfId="0" applyFont="1" applyFill="1" applyBorder="1" applyAlignment="1">
      <alignment horizontal="center" shrinkToFit="1"/>
    </xf>
    <xf numFmtId="0" fontId="14" fillId="3" borderId="31" xfId="0" applyFont="1" applyFill="1" applyBorder="1" applyAlignment="1">
      <alignment horizontal="left"/>
    </xf>
    <xf numFmtId="0" fontId="9" fillId="0" borderId="21" xfId="0" applyFont="1" applyFill="1" applyBorder="1" applyAlignment="1">
      <alignment horizontal="left" shrinkToFit="1"/>
    </xf>
    <xf numFmtId="0" fontId="9" fillId="0" borderId="32" xfId="0" applyFont="1" applyFill="1" applyBorder="1" applyAlignment="1">
      <alignment horizontal="left" shrinkToFit="1"/>
    </xf>
    <xf numFmtId="0" fontId="18" fillId="3" borderId="36" xfId="0" applyFont="1" applyFill="1" applyBorder="1" applyAlignment="1">
      <alignment horizontal="center"/>
    </xf>
    <xf numFmtId="0" fontId="18" fillId="3" borderId="37" xfId="0" applyFont="1" applyFill="1" applyBorder="1" applyAlignment="1">
      <alignment horizontal="center"/>
    </xf>
    <xf numFmtId="0" fontId="18" fillId="3" borderId="39" xfId="0" applyFont="1" applyFill="1" applyBorder="1" applyAlignment="1">
      <alignment horizontal="center"/>
    </xf>
    <xf numFmtId="0" fontId="18" fillId="3" borderId="7" xfId="0" applyFont="1" applyFill="1" applyBorder="1" applyAlignment="1">
      <alignment horizontal="left"/>
    </xf>
    <xf numFmtId="0" fontId="19" fillId="0" borderId="16" xfId="0" applyFont="1" applyBorder="1" applyAlignment="1">
      <alignment horizontal="left" shrinkToFit="1"/>
    </xf>
    <xf numFmtId="0" fontId="18" fillId="3" borderId="16" xfId="0" applyFont="1" applyFill="1" applyBorder="1" applyAlignment="1">
      <alignment horizontal="left"/>
    </xf>
    <xf numFmtId="0" fontId="18" fillId="3" borderId="16" xfId="0" applyFont="1" applyFill="1" applyBorder="1" applyAlignment="1">
      <alignment horizontal="center"/>
    </xf>
    <xf numFmtId="0" fontId="18" fillId="3" borderId="7" xfId="0" applyFont="1" applyFill="1" applyBorder="1" applyAlignment="1">
      <alignment horizontal="center"/>
    </xf>
    <xf numFmtId="0" fontId="18" fillId="3" borderId="17" xfId="0" applyFont="1" applyFill="1" applyBorder="1" applyAlignment="1">
      <alignment horizontal="center"/>
    </xf>
    <xf numFmtId="0" fontId="19" fillId="0" borderId="16" xfId="0" applyFont="1" applyFill="1" applyBorder="1" applyAlignment="1">
      <alignment horizontal="center" shrinkToFit="1"/>
    </xf>
    <xf numFmtId="0" fontId="19" fillId="0" borderId="7" xfId="0" applyFont="1" applyFill="1" applyBorder="1" applyAlignment="1">
      <alignment horizontal="center" shrinkToFit="1"/>
    </xf>
    <xf numFmtId="0" fontId="19" fillId="0" borderId="17" xfId="0" applyFont="1" applyFill="1" applyBorder="1" applyAlignment="1">
      <alignment horizontal="center" shrinkToFit="1"/>
    </xf>
    <xf numFmtId="0" fontId="18" fillId="3" borderId="38" xfId="0" applyFont="1" applyFill="1" applyBorder="1" applyAlignment="1">
      <alignment horizontal="center"/>
    </xf>
    <xf numFmtId="14" fontId="18" fillId="3" borderId="16" xfId="0" applyNumberFormat="1" applyFont="1" applyFill="1" applyBorder="1" applyAlignment="1">
      <alignment horizontal="center"/>
    </xf>
    <xf numFmtId="14" fontId="18" fillId="3" borderId="7" xfId="0" applyNumberFormat="1" applyFont="1" applyFill="1" applyBorder="1" applyAlignment="1">
      <alignment horizontal="center"/>
    </xf>
    <xf numFmtId="14" fontId="18" fillId="3" borderId="17" xfId="0" applyNumberFormat="1" applyFont="1" applyFill="1" applyBorder="1" applyAlignment="1">
      <alignment horizontal="center"/>
    </xf>
    <xf numFmtId="14" fontId="19" fillId="0" borderId="16" xfId="0" applyNumberFormat="1" applyFont="1" applyBorder="1" applyAlignment="1">
      <alignment horizontal="center" shrinkToFit="1"/>
    </xf>
    <xf numFmtId="14" fontId="19" fillId="0" borderId="7" xfId="0" applyNumberFormat="1" applyFont="1" applyBorder="1" applyAlignment="1">
      <alignment horizontal="center" shrinkToFit="1"/>
    </xf>
    <xf numFmtId="14" fontId="19" fillId="0" borderId="16" xfId="0" applyNumberFormat="1" applyFont="1" applyFill="1" applyBorder="1" applyAlignment="1">
      <alignment horizontal="center" vertical="center" shrinkToFit="1"/>
    </xf>
    <xf numFmtId="0" fontId="19" fillId="0" borderId="7" xfId="0" applyFont="1" applyFill="1" applyBorder="1" applyAlignment="1">
      <alignment horizontal="center" vertical="center" shrinkToFit="1"/>
    </xf>
    <xf numFmtId="0" fontId="19" fillId="0" borderId="34" xfId="0" applyFont="1" applyFill="1" applyBorder="1" applyAlignment="1">
      <alignment horizontal="center" vertical="center" shrinkToFit="1"/>
    </xf>
    <xf numFmtId="0" fontId="19" fillId="0" borderId="31" xfId="0" applyFont="1" applyFill="1" applyBorder="1" applyAlignment="1">
      <alignment horizontal="center" vertical="center" shrinkToFit="1"/>
    </xf>
    <xf numFmtId="0" fontId="19" fillId="0" borderId="21" xfId="0" applyFont="1" applyFill="1" applyBorder="1" applyAlignment="1">
      <alignment horizontal="center" vertical="center" shrinkToFit="1"/>
    </xf>
    <xf numFmtId="0" fontId="19" fillId="0" borderId="35" xfId="0" applyFont="1" applyFill="1" applyBorder="1" applyAlignment="1">
      <alignment horizontal="center" vertical="center" shrinkToFit="1"/>
    </xf>
    <xf numFmtId="0" fontId="18" fillId="3" borderId="21" xfId="0" applyFont="1" applyFill="1" applyBorder="1" applyAlignment="1">
      <alignment horizontal="left"/>
    </xf>
    <xf numFmtId="0" fontId="18" fillId="3" borderId="32" xfId="0" applyFont="1" applyFill="1" applyBorder="1" applyAlignment="1">
      <alignment horizontal="left"/>
    </xf>
    <xf numFmtId="0" fontId="19" fillId="0" borderId="31" xfId="0" applyFont="1" applyFill="1" applyBorder="1" applyAlignment="1">
      <alignment horizontal="left" shrinkToFit="1"/>
    </xf>
    <xf numFmtId="14" fontId="18" fillId="3" borderId="31" xfId="0" applyNumberFormat="1" applyFont="1" applyFill="1" applyBorder="1" applyAlignment="1">
      <alignment horizontal="center"/>
    </xf>
    <xf numFmtId="14" fontId="18" fillId="3" borderId="21" xfId="0" applyNumberFormat="1" applyFont="1" applyFill="1" applyBorder="1" applyAlignment="1">
      <alignment horizontal="center"/>
    </xf>
    <xf numFmtId="14" fontId="18" fillId="3" borderId="32" xfId="0" applyNumberFormat="1" applyFont="1" applyFill="1" applyBorder="1" applyAlignment="1">
      <alignment horizontal="center"/>
    </xf>
    <xf numFmtId="177" fontId="19" fillId="0" borderId="31" xfId="0" applyNumberFormat="1" applyFont="1" applyFill="1" applyBorder="1" applyAlignment="1">
      <alignment horizontal="center" shrinkToFit="1"/>
    </xf>
    <xf numFmtId="177" fontId="19" fillId="0" borderId="21" xfId="0" applyNumberFormat="1" applyFont="1" applyFill="1" applyBorder="1" applyAlignment="1">
      <alignment horizontal="center" shrinkToFit="1"/>
    </xf>
    <xf numFmtId="177" fontId="19" fillId="0" borderId="32" xfId="0" applyNumberFormat="1" applyFont="1" applyFill="1" applyBorder="1" applyAlignment="1">
      <alignment horizontal="center" shrinkToFit="1"/>
    </xf>
    <xf numFmtId="0" fontId="19" fillId="0" borderId="36" xfId="0" applyFont="1" applyFill="1" applyBorder="1" applyAlignment="1">
      <alignment horizontal="center" shrinkToFit="1"/>
    </xf>
    <xf numFmtId="0" fontId="19" fillId="0" borderId="37" xfId="0" applyFont="1" applyFill="1" applyBorder="1" applyAlignment="1">
      <alignment horizontal="center" shrinkToFit="1"/>
    </xf>
    <xf numFmtId="0" fontId="19" fillId="0" borderId="38" xfId="0" applyFont="1" applyFill="1" applyBorder="1" applyAlignment="1">
      <alignment horizontal="center" shrinkToFit="1"/>
    </xf>
    <xf numFmtId="14" fontId="19" fillId="0" borderId="36" xfId="0" applyNumberFormat="1" applyFont="1" applyFill="1" applyBorder="1" applyAlignment="1">
      <alignment horizontal="center" shrinkToFit="1"/>
    </xf>
    <xf numFmtId="14" fontId="19" fillId="0" borderId="37" xfId="0" applyNumberFormat="1" applyFont="1" applyFill="1" applyBorder="1" applyAlignment="1">
      <alignment horizontal="center" shrinkToFit="1"/>
    </xf>
    <xf numFmtId="14" fontId="19" fillId="0" borderId="38" xfId="0" applyNumberFormat="1" applyFont="1" applyFill="1" applyBorder="1" applyAlignment="1">
      <alignment horizontal="center" shrinkToFit="1"/>
    </xf>
    <xf numFmtId="0" fontId="18" fillId="3" borderId="37" xfId="0" applyFont="1" applyFill="1" applyBorder="1" applyAlignment="1">
      <alignment horizontal="left"/>
    </xf>
    <xf numFmtId="0" fontId="19" fillId="0" borderId="36" xfId="0" applyFont="1" applyBorder="1" applyAlignment="1">
      <alignment horizontal="left" shrinkToFit="1"/>
    </xf>
    <xf numFmtId="0" fontId="18" fillId="3" borderId="36" xfId="0" applyFont="1" applyFill="1" applyBorder="1" applyAlignment="1">
      <alignment horizontal="left"/>
    </xf>
    <xf numFmtId="0" fontId="18" fillId="3" borderId="31" xfId="0" applyFont="1" applyFill="1" applyBorder="1" applyAlignment="1">
      <alignment horizontal="left"/>
    </xf>
    <xf numFmtId="0" fontId="19" fillId="0" borderId="21" xfId="0" applyFont="1" applyFill="1" applyBorder="1" applyAlignment="1">
      <alignment horizontal="left" shrinkToFit="1"/>
    </xf>
    <xf numFmtId="0" fontId="19" fillId="0" borderId="32" xfId="0" applyFont="1" applyFill="1" applyBorder="1" applyAlignment="1">
      <alignment horizontal="left" shrinkToFit="1"/>
    </xf>
    <xf numFmtId="0" fontId="14" fillId="2" borderId="5" xfId="0" applyFont="1" applyFill="1" applyBorder="1" applyAlignment="1">
      <alignment horizontal="center"/>
    </xf>
    <xf numFmtId="0" fontId="14" fillId="0" borderId="57" xfId="0" applyFont="1" applyBorder="1" applyAlignment="1">
      <alignment horizontal="center"/>
    </xf>
    <xf numFmtId="49" fontId="9" fillId="0" borderId="24"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28" xfId="0" applyNumberFormat="1" applyFont="1" applyBorder="1" applyAlignment="1">
      <alignment horizontal="center" vertical="center"/>
    </xf>
    <xf numFmtId="49" fontId="9" fillId="0" borderId="30" xfId="0" applyNumberFormat="1" applyFont="1" applyBorder="1" applyAlignment="1">
      <alignment horizontal="center" vertical="center"/>
    </xf>
    <xf numFmtId="49" fontId="13" fillId="0" borderId="14" xfId="0" applyNumberFormat="1" applyFont="1" applyBorder="1" applyAlignment="1">
      <alignment horizontal="center" vertical="center"/>
    </xf>
    <xf numFmtId="49" fontId="13" fillId="0" borderId="11" xfId="0" applyNumberFormat="1" applyFont="1" applyBorder="1" applyAlignment="1">
      <alignment horizontal="center" vertical="center"/>
    </xf>
    <xf numFmtId="49" fontId="13" fillId="0" borderId="28" xfId="0" applyNumberFormat="1" applyFont="1" applyBorder="1" applyAlignment="1">
      <alignment horizontal="center" vertical="center"/>
    </xf>
    <xf numFmtId="49" fontId="13" fillId="0" borderId="30" xfId="0" applyNumberFormat="1" applyFont="1" applyBorder="1" applyAlignment="1">
      <alignment horizontal="center" vertical="center"/>
    </xf>
    <xf numFmtId="49" fontId="9" fillId="0" borderId="14"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14" fillId="2" borderId="12" xfId="0" applyNumberFormat="1" applyFont="1" applyFill="1" applyBorder="1" applyAlignment="1">
      <alignment horizontal="center" vertical="center"/>
    </xf>
    <xf numFmtId="49" fontId="14" fillId="2" borderId="10" xfId="0" applyNumberFormat="1" applyFont="1" applyFill="1" applyBorder="1" applyAlignment="1">
      <alignment horizontal="center" vertical="center"/>
    </xf>
  </cellXfs>
  <cellStyles count="13">
    <cellStyle name="常规 2" xfId="5"/>
    <cellStyle name="標準" xfId="0" builtinId="0"/>
    <cellStyle name="標準 2" xfId="1"/>
    <cellStyle name="標準 2 2" xfId="12"/>
    <cellStyle name="標準 3" xfId="6"/>
    <cellStyle name="標準 4" xfId="2"/>
    <cellStyle name="標準 5" xfId="7"/>
    <cellStyle name="標準 5 2" xfId="8"/>
    <cellStyle name="標準 6" xfId="9"/>
    <cellStyle name="標準 7" xfId="10"/>
    <cellStyle name="標準 8" xfId="11"/>
    <cellStyle name="標準_20020311　キックオフ資料2(阪村産業ASPROVA)" xfId="4"/>
    <cellStyle name="標準_NCA00200_機能設計書（売上情報受信）" xfId="3"/>
  </cellStyles>
  <dxfs count="0"/>
  <tableStyles count="0" defaultTableStyle="TableStyleMedium9" defaultPivotStyle="PivotStyleLight16"/>
  <colors>
    <mruColors>
      <color rgb="FFFFCCFF"/>
      <color rgb="FFFFFF99"/>
      <color rgb="FFCC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7.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9.emf"/></Relationships>
</file>

<file path=xl/drawings/_rels/drawing14.xml.rels><?xml version="1.0" encoding="UTF-8" standalone="yes"?>
<Relationships xmlns="http://schemas.openxmlformats.org/package/2006/relationships"><Relationship Id="rId1" Type="http://schemas.openxmlformats.org/officeDocument/2006/relationships/image" Target="../media/image2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22.emf"/></Relationships>
</file>

<file path=xl/drawings/_rels/drawing17.xml.rels><?xml version="1.0" encoding="UTF-8" standalone="yes"?>
<Relationships xmlns="http://schemas.openxmlformats.org/package/2006/relationships"><Relationship Id="rId1" Type="http://schemas.openxmlformats.org/officeDocument/2006/relationships/image" Target="../media/image2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3.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xdr:from>
      <xdr:col>10</xdr:col>
      <xdr:colOff>48746</xdr:colOff>
      <xdr:row>37</xdr:row>
      <xdr:rowOff>76760</xdr:rowOff>
    </xdr:from>
    <xdr:to>
      <xdr:col>39</xdr:col>
      <xdr:colOff>10646</xdr:colOff>
      <xdr:row>39</xdr:row>
      <xdr:rowOff>86285</xdr:rowOff>
    </xdr:to>
    <xdr:grpSp>
      <xdr:nvGrpSpPr>
        <xdr:cNvPr id="1136" name="Group 2">
          <a:extLst>
            <a:ext uri="{FF2B5EF4-FFF2-40B4-BE49-F238E27FC236}">
              <a16:creationId xmlns:a16="http://schemas.microsoft.com/office/drawing/2014/main" id="{00000000-0008-0000-0000-000070040000}"/>
            </a:ext>
          </a:extLst>
        </xdr:cNvPr>
        <xdr:cNvGrpSpPr>
          <a:grpSpLocks/>
        </xdr:cNvGrpSpPr>
      </xdr:nvGrpSpPr>
      <xdr:grpSpPr bwMode="auto">
        <a:xfrm>
          <a:off x="1953746" y="6334685"/>
          <a:ext cx="5486400" cy="295275"/>
          <a:chOff x="288" y="656"/>
          <a:chExt cx="576" cy="31"/>
        </a:xfrm>
      </xdr:grpSpPr>
      <xdr:pic>
        <xdr:nvPicPr>
          <xdr:cNvPr id="1140" name="Picture 3" descr="BL-J_Bw">
            <a:extLst>
              <a:ext uri="{FF2B5EF4-FFF2-40B4-BE49-F238E27FC236}">
                <a16:creationId xmlns:a16="http://schemas.microsoft.com/office/drawing/2014/main" id="{00000000-0008-0000-0000-000074040000}"/>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4" y="661"/>
            <a:ext cx="450"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41" name="Picture 4">
            <a:extLst>
              <a:ext uri="{FF2B5EF4-FFF2-40B4-BE49-F238E27FC236}">
                <a16:creationId xmlns:a16="http://schemas.microsoft.com/office/drawing/2014/main" id="{00000000-0008-0000-0000-000075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 y="656"/>
            <a:ext cx="107"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grpSp>
    <xdr:clientData/>
  </xdr:twoCellAnchor>
  <xdr:twoCellAnchor editAs="oneCell">
    <xdr:from>
      <xdr:col>8</xdr:col>
      <xdr:colOff>142875</xdr:colOff>
      <xdr:row>10</xdr:row>
      <xdr:rowOff>85725</xdr:rowOff>
    </xdr:from>
    <xdr:to>
      <xdr:col>41</xdr:col>
      <xdr:colOff>38100</xdr:colOff>
      <xdr:row>20</xdr:row>
      <xdr:rowOff>66675</xdr:rowOff>
    </xdr:to>
    <xdr:sp macro="" textlink="">
      <xdr:nvSpPr>
        <xdr:cNvPr id="1033" name="AutoShape 5">
          <a:extLst>
            <a:ext uri="{FF2B5EF4-FFF2-40B4-BE49-F238E27FC236}">
              <a16:creationId xmlns:a16="http://schemas.microsoft.com/office/drawing/2014/main" id="{00000000-0008-0000-0000-000009040000}"/>
            </a:ext>
          </a:extLst>
        </xdr:cNvPr>
        <xdr:cNvSpPr>
          <a:spLocks noChangeArrowheads="1"/>
        </xdr:cNvSpPr>
      </xdr:nvSpPr>
      <xdr:spPr bwMode="auto">
        <a:xfrm>
          <a:off x="1666875" y="1514475"/>
          <a:ext cx="6181725" cy="1409700"/>
        </a:xfrm>
        <a:prstGeom prst="roundRect">
          <a:avLst>
            <a:gd name="adj" fmla="val 16667"/>
          </a:avLst>
        </a:prstGeom>
        <a:solidFill>
          <a:srgbClr val="FFFFFF"/>
        </a:solidFill>
        <a:ln w="25400">
          <a:solidFill>
            <a:srgbClr val="000000"/>
          </a:solidFill>
          <a:round/>
          <a:headEnd/>
          <a:tailEnd/>
        </a:ln>
        <a:effectLst>
          <a:outerShdw dist="107763" dir="2700000" algn="ctr" rotWithShape="0">
            <a:srgbClr val="333333"/>
          </a:outerShdw>
        </a:effectLst>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画面詳細設計書</a:t>
          </a:r>
        </a:p>
      </xdr:txBody>
    </xdr:sp>
    <xdr:clientData/>
  </xdr:twoCellAnchor>
  <xdr:twoCellAnchor editAs="oneCell">
    <xdr:from>
      <xdr:col>44</xdr:col>
      <xdr:colOff>152400</xdr:colOff>
      <xdr:row>0</xdr:row>
      <xdr:rowOff>0</xdr:rowOff>
    </xdr:from>
    <xdr:to>
      <xdr:col>48</xdr:col>
      <xdr:colOff>9525</xdr:colOff>
      <xdr:row>1</xdr:row>
      <xdr:rowOff>66675</xdr:rowOff>
    </xdr:to>
    <xdr:sp macro="" textlink="">
      <xdr:nvSpPr>
        <xdr:cNvPr id="144391" name="Rectangle 7">
          <a:extLst>
            <a:ext uri="{FF2B5EF4-FFF2-40B4-BE49-F238E27FC236}">
              <a16:creationId xmlns:a16="http://schemas.microsoft.com/office/drawing/2014/main" id="{00000000-0008-0000-0000-000007340200}"/>
            </a:ext>
          </a:extLst>
        </xdr:cNvPr>
        <xdr:cNvSpPr>
          <a:spLocks noChangeArrowheads="1"/>
        </xdr:cNvSpPr>
      </xdr:nvSpPr>
      <xdr:spPr bwMode="auto">
        <a:xfrm>
          <a:off x="8067675" y="0"/>
          <a:ext cx="628650" cy="209550"/>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取扱注意</a:t>
          </a:r>
        </a:p>
      </xdr:txBody>
    </xdr:sp>
    <xdr:clientData/>
  </xdr:twoCellAnchor>
  <xdr:twoCellAnchor>
    <xdr:from>
      <xdr:col>0</xdr:col>
      <xdr:colOff>0</xdr:colOff>
      <xdr:row>43</xdr:row>
      <xdr:rowOff>38100</xdr:rowOff>
    </xdr:from>
    <xdr:to>
      <xdr:col>50</xdr:col>
      <xdr:colOff>0</xdr:colOff>
      <xdr:row>43</xdr:row>
      <xdr:rowOff>38100</xdr:rowOff>
    </xdr:to>
    <xdr:sp macro="" textlink="">
      <xdr:nvSpPr>
        <xdr:cNvPr id="1139" name="Line 12">
          <a:extLst>
            <a:ext uri="{FF2B5EF4-FFF2-40B4-BE49-F238E27FC236}">
              <a16:creationId xmlns:a16="http://schemas.microsoft.com/office/drawing/2014/main" id="{00000000-0008-0000-0000-000073040000}"/>
            </a:ext>
          </a:extLst>
        </xdr:cNvPr>
        <xdr:cNvSpPr>
          <a:spLocks noChangeShapeType="1"/>
        </xdr:cNvSpPr>
      </xdr:nvSpPr>
      <xdr:spPr bwMode="auto">
        <a:xfrm>
          <a:off x="0" y="7467600"/>
          <a:ext cx="9525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0</xdr:colOff>
      <xdr:row>2</xdr:row>
      <xdr:rowOff>0</xdr:rowOff>
    </xdr:from>
    <xdr:to>
      <xdr:col>13</xdr:col>
      <xdr:colOff>48451</xdr:colOff>
      <xdr:row>4</xdr:row>
      <xdr:rowOff>91059</xdr:rowOff>
    </xdr:to>
    <xdr:pic>
      <xdr:nvPicPr>
        <xdr:cNvPr id="11" name="図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412376" y="268941"/>
          <a:ext cx="2316522"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9525</xdr:colOff>
          <xdr:row>2</xdr:row>
          <xdr:rowOff>133350</xdr:rowOff>
        </xdr:to>
        <xdr:pic>
          <xdr:nvPicPr>
            <xdr:cNvPr id="4" name="図 3">
              <a:extLst>
                <a:ext uri="{FF2B5EF4-FFF2-40B4-BE49-F238E27FC236}">
                  <a16:creationId xmlns:a16="http://schemas.microsoft.com/office/drawing/2014/main" id="{00000000-0008-0000-0100-000004000000}"/>
                </a:ext>
              </a:extLst>
            </xdr:cNvPr>
            <xdr:cNvPicPr>
              <a:picLocks noChangeAspect="1" noChangeArrowheads="1"/>
              <a:extLst>
                <a:ext uri="{84589F7E-364E-4C9E-8A38-B11213B215E9}">
                  <a14:cameraTool cellRange="表紙!$BA$47:$BJ$49" spid="_x0000_s50312"/>
                </a:ext>
              </a:extLst>
            </xdr:cNvPicPr>
          </xdr:nvPicPr>
          <xdr:blipFill>
            <a:blip xmlns:r="http://schemas.openxmlformats.org/officeDocument/2006/relationships" r:embed="rId1"/>
            <a:srcRect/>
            <a:stretch>
              <a:fillRect/>
            </a:stretch>
          </xdr:blipFill>
          <xdr:spPr bwMode="auto">
            <a:xfrm>
              <a:off x="0" y="0"/>
              <a:ext cx="9534525" cy="4296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9</xdr:col>
          <xdr:colOff>9525</xdr:colOff>
          <xdr:row>2</xdr:row>
          <xdr:rowOff>133350</xdr:rowOff>
        </xdr:to>
        <xdr:pic>
          <xdr:nvPicPr>
            <xdr:cNvPr id="3" name="図 2">
              <a:extLst>
                <a:ext uri="{FF2B5EF4-FFF2-40B4-BE49-F238E27FC236}">
                  <a16:creationId xmlns:a16="http://schemas.microsoft.com/office/drawing/2014/main" id="{00000000-0008-0000-0200-000003000000}"/>
                </a:ext>
              </a:extLst>
            </xdr:cNvPr>
            <xdr:cNvPicPr>
              <a:picLocks noChangeAspect="1" noChangeArrowheads="1"/>
              <a:extLst>
                <a:ext uri="{84589F7E-364E-4C9E-8A38-B11213B215E9}">
                  <a14:cameraTool cellRange="表紙!$BA$51:$BJ$53" spid="_x0000_s51337"/>
                </a:ext>
              </a:extLst>
            </xdr:cNvPicPr>
          </xdr:nvPicPr>
          <xdr:blipFill>
            <a:blip xmlns:r="http://schemas.openxmlformats.org/officeDocument/2006/relationships" r:embed="rId1"/>
            <a:srcRect/>
            <a:stretch>
              <a:fillRect/>
            </a:stretch>
          </xdr:blipFill>
          <xdr:spPr bwMode="auto">
            <a:xfrm>
              <a:off x="0" y="0"/>
              <a:ext cx="9534525" cy="4381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50</xdr:col>
          <xdr:colOff>0</xdr:colOff>
          <xdr:row>3</xdr:row>
          <xdr:rowOff>0</xdr:rowOff>
        </xdr:to>
        <xdr:pic>
          <xdr:nvPicPr>
            <xdr:cNvPr id="4" name="図 3">
              <a:extLst>
                <a:ext uri="{FF2B5EF4-FFF2-40B4-BE49-F238E27FC236}">
                  <a16:creationId xmlns:a16="http://schemas.microsoft.com/office/drawing/2014/main" id="{00000000-0008-0000-0300-000004000000}"/>
                </a:ext>
              </a:extLst>
            </xdr:cNvPr>
            <xdr:cNvPicPr>
              <a:picLocks noChangeAspect="1" noChangeArrowheads="1"/>
              <a:extLst>
                <a:ext uri="{84589F7E-364E-4C9E-8A38-B11213B215E9}">
                  <a14:cameraTool cellRange="表紙!$BA$83:$BJ$85" spid="_x0000_s74766"/>
                </a:ext>
              </a:extLst>
            </xdr:cNvPicPr>
          </xdr:nvPicPr>
          <xdr:blipFill>
            <a:blip xmlns:r="http://schemas.openxmlformats.org/officeDocument/2006/relationships" r:embed="rId1"/>
            <a:srcRect/>
            <a:stretch>
              <a:fillRect/>
            </a:stretch>
          </xdr:blipFill>
          <xdr:spPr bwMode="auto">
            <a:xfrm>
              <a:off x="0" y="0"/>
              <a:ext cx="9525000" cy="4667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37</xdr:col>
      <xdr:colOff>114300</xdr:colOff>
      <xdr:row>35</xdr:row>
      <xdr:rowOff>139700</xdr:rowOff>
    </xdr:to>
    <xdr:pic>
      <xdr:nvPicPr>
        <xdr:cNvPr id="9" name="図 8">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1298222"/>
          <a:ext cx="6591300" cy="452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38</xdr:col>
      <xdr:colOff>148167</xdr:colOff>
      <xdr:row>24</xdr:row>
      <xdr:rowOff>148167</xdr:rowOff>
    </xdr:from>
    <xdr:ext cx="1919112" cy="1355472"/>
    <xdr:sp macro="" textlink="">
      <xdr:nvSpPr>
        <xdr:cNvPr id="6" name="四角形吹き出し 5">
          <a:extLst>
            <a:ext uri="{FF2B5EF4-FFF2-40B4-BE49-F238E27FC236}">
              <a16:creationId xmlns:a16="http://schemas.microsoft.com/office/drawing/2014/main" id="{00000000-0008-0000-0500-000006000000}"/>
            </a:ext>
          </a:extLst>
        </xdr:cNvPr>
        <xdr:cNvSpPr/>
      </xdr:nvSpPr>
      <xdr:spPr>
        <a:xfrm>
          <a:off x="7387167" y="4042834"/>
          <a:ext cx="1919112" cy="1355472"/>
        </a:xfrm>
        <a:prstGeom prst="wedgeRectCallout">
          <a:avLst>
            <a:gd name="adj1" fmla="val -85106"/>
            <a:gd name="adj2" fmla="val 40232"/>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明細</a:t>
          </a:r>
          <a:r>
            <a:rPr kumimoji="1" lang="ja-JP" altLang="ja-JP" sz="900">
              <a:solidFill>
                <a:schemeClr val="dk1"/>
              </a:solidFill>
              <a:effectLst/>
              <a:latin typeface="Meiryo UI" panose="020B0604030504040204" pitchFamily="50" charset="-128"/>
              <a:ea typeface="Meiryo UI" panose="020B0604030504040204" pitchFamily="50" charset="-128"/>
              <a:cs typeface="+mn-cs"/>
            </a:rPr>
            <a:t>に以下の項目を追加。</a:t>
          </a:r>
          <a:endParaRPr lang="ja-JP" altLang="ja-JP" sz="900">
            <a:effectLst/>
            <a:latin typeface="Meiryo UI" panose="020B0604030504040204" pitchFamily="50" charset="-128"/>
            <a:ea typeface="Meiryo UI" panose="020B0604030504040204" pitchFamily="50" charset="-128"/>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・手動初物判定</a:t>
          </a: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・初物</a:t>
          </a: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・購入仕様書ＮＯ</a:t>
          </a: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・搬入口</a:t>
          </a: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・検査連絡備考</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30</xdr:col>
      <xdr:colOff>119945</xdr:colOff>
      <xdr:row>34</xdr:row>
      <xdr:rowOff>21168</xdr:rowOff>
    </xdr:from>
    <xdr:to>
      <xdr:col>33</xdr:col>
      <xdr:colOff>49389</xdr:colOff>
      <xdr:row>35</xdr:row>
      <xdr:rowOff>56445</xdr:rowOff>
    </xdr:to>
    <xdr:sp macro="" textlink="">
      <xdr:nvSpPr>
        <xdr:cNvPr id="10" name="Rectangle 4">
          <a:extLst>
            <a:ext uri="{FF2B5EF4-FFF2-40B4-BE49-F238E27FC236}">
              <a16:creationId xmlns:a16="http://schemas.microsoft.com/office/drawing/2014/main" id="{00000000-0008-0000-0500-00000A000000}"/>
            </a:ext>
          </a:extLst>
        </xdr:cNvPr>
        <xdr:cNvSpPr>
          <a:spLocks noChangeArrowheads="1"/>
        </xdr:cNvSpPr>
      </xdr:nvSpPr>
      <xdr:spPr bwMode="auto">
        <a:xfrm>
          <a:off x="5834945" y="5538612"/>
          <a:ext cx="500944" cy="197555"/>
        </a:xfrm>
        <a:prstGeom prst="rect">
          <a:avLst/>
        </a:prstGeom>
        <a:noFill/>
        <a:ln w="2540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176389</xdr:colOff>
      <xdr:row>34</xdr:row>
      <xdr:rowOff>91723</xdr:rowOff>
    </xdr:from>
    <xdr:to>
      <xdr:col>32</xdr:col>
      <xdr:colOff>176389</xdr:colOff>
      <xdr:row>34</xdr:row>
      <xdr:rowOff>91723</xdr:rowOff>
    </xdr:to>
    <xdr:cxnSp macro="">
      <xdr:nvCxnSpPr>
        <xdr:cNvPr id="3" name="直線コネクタ 2">
          <a:extLst>
            <a:ext uri="{FF2B5EF4-FFF2-40B4-BE49-F238E27FC236}">
              <a16:creationId xmlns:a16="http://schemas.microsoft.com/office/drawing/2014/main" id="{00000000-0008-0000-0500-000003000000}"/>
            </a:ext>
          </a:extLst>
        </xdr:cNvPr>
        <xdr:cNvCxnSpPr/>
      </xdr:nvCxnSpPr>
      <xdr:spPr>
        <a:xfrm>
          <a:off x="5891389" y="5609167"/>
          <a:ext cx="3810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31</xdr:col>
      <xdr:colOff>102306</xdr:colOff>
      <xdr:row>36</xdr:row>
      <xdr:rowOff>76201</xdr:rowOff>
    </xdr:from>
    <xdr:ext cx="2356556" cy="359834"/>
    <xdr:sp macro="" textlink="">
      <xdr:nvSpPr>
        <xdr:cNvPr id="12" name="四角形吹き出し 11">
          <a:extLst>
            <a:ext uri="{FF2B5EF4-FFF2-40B4-BE49-F238E27FC236}">
              <a16:creationId xmlns:a16="http://schemas.microsoft.com/office/drawing/2014/main" id="{00000000-0008-0000-0500-00000C000000}"/>
            </a:ext>
          </a:extLst>
        </xdr:cNvPr>
        <xdr:cNvSpPr/>
      </xdr:nvSpPr>
      <xdr:spPr>
        <a:xfrm>
          <a:off x="6007806" y="5816601"/>
          <a:ext cx="2356556" cy="359834"/>
        </a:xfrm>
        <a:prstGeom prst="wedgeRectCallout">
          <a:avLst>
            <a:gd name="adj1" fmla="val -37488"/>
            <a:gd name="adj2" fmla="val -118860"/>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納品書ＦＬＧはオフ固定で非表示とする。</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oneCellAnchor>
    <xdr:from>
      <xdr:col>38</xdr:col>
      <xdr:colOff>145345</xdr:colOff>
      <xdr:row>19</xdr:row>
      <xdr:rowOff>112889</xdr:rowOff>
    </xdr:from>
    <xdr:ext cx="1919112" cy="583594"/>
    <xdr:sp macro="" textlink="">
      <xdr:nvSpPr>
        <xdr:cNvPr id="11" name="四角形吹き出し 10">
          <a:extLst>
            <a:ext uri="{FF2B5EF4-FFF2-40B4-BE49-F238E27FC236}">
              <a16:creationId xmlns:a16="http://schemas.microsoft.com/office/drawing/2014/main" id="{00000000-0008-0000-0500-00000B000000}"/>
            </a:ext>
          </a:extLst>
        </xdr:cNvPr>
        <xdr:cNvSpPr/>
      </xdr:nvSpPr>
      <xdr:spPr>
        <a:xfrm>
          <a:off x="7384345" y="3196167"/>
          <a:ext cx="1919112" cy="583594"/>
        </a:xfrm>
        <a:prstGeom prst="wedgeRectCallout">
          <a:avLst>
            <a:gd name="adj1" fmla="val -85106"/>
            <a:gd name="adj2" fmla="val 40232"/>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登録枠</a:t>
          </a:r>
          <a:r>
            <a:rPr kumimoji="1" lang="ja-JP" altLang="ja-JP" sz="900">
              <a:solidFill>
                <a:schemeClr val="dk1"/>
              </a:solidFill>
              <a:effectLst/>
              <a:latin typeface="Meiryo UI" panose="020B0604030504040204" pitchFamily="50" charset="-128"/>
              <a:ea typeface="Meiryo UI" panose="020B0604030504040204" pitchFamily="50" charset="-128"/>
              <a:cs typeface="+mn-cs"/>
            </a:rPr>
            <a:t>に以下の項目を追加。</a:t>
          </a:r>
          <a:endParaRPr lang="ja-JP" altLang="ja-JP" sz="900">
            <a:effectLst/>
            <a:latin typeface="Meiryo UI" panose="020B0604030504040204" pitchFamily="50" charset="-128"/>
            <a:ea typeface="Meiryo UI" panose="020B0604030504040204" pitchFamily="50" charset="-128"/>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・支払条件</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oneCellAnchor>
    <xdr:from>
      <xdr:col>10</xdr:col>
      <xdr:colOff>69850</xdr:colOff>
      <xdr:row>37</xdr:row>
      <xdr:rowOff>12700</xdr:rowOff>
    </xdr:from>
    <xdr:ext cx="2356556" cy="359834"/>
    <xdr:sp macro="" textlink="">
      <xdr:nvSpPr>
        <xdr:cNvPr id="8" name="四角形吹き出し 7">
          <a:extLst>
            <a:ext uri="{FF2B5EF4-FFF2-40B4-BE49-F238E27FC236}">
              <a16:creationId xmlns:a16="http://schemas.microsoft.com/office/drawing/2014/main" id="{00000000-0008-0000-0500-000008000000}"/>
            </a:ext>
          </a:extLst>
        </xdr:cNvPr>
        <xdr:cNvSpPr/>
      </xdr:nvSpPr>
      <xdr:spPr>
        <a:xfrm>
          <a:off x="1974850" y="5911850"/>
          <a:ext cx="2356556" cy="359834"/>
        </a:xfrm>
        <a:prstGeom prst="wedgeRectCallout">
          <a:avLst>
            <a:gd name="adj1" fmla="val 5356"/>
            <a:gd name="adj2" fmla="val -145331"/>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初物再判定ボタンを追加する。</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40</xdr:col>
      <xdr:colOff>0</xdr:colOff>
      <xdr:row>6</xdr:row>
      <xdr:rowOff>0</xdr:rowOff>
    </xdr:from>
    <xdr:to>
      <xdr:col>49</xdr:col>
      <xdr:colOff>0</xdr:colOff>
      <xdr:row>13</xdr:row>
      <xdr:rowOff>0</xdr:rowOff>
    </xdr:to>
    <xdr:sp macro="" textlink="">
      <xdr:nvSpPr>
        <xdr:cNvPr id="2" name="AutoShape 2">
          <a:extLst>
            <a:ext uri="{FF2B5EF4-FFF2-40B4-BE49-F238E27FC236}">
              <a16:creationId xmlns:a16="http://schemas.microsoft.com/office/drawing/2014/main" id="{00000000-0008-0000-0600-000002000000}"/>
            </a:ext>
          </a:extLst>
        </xdr:cNvPr>
        <xdr:cNvSpPr>
          <a:spLocks noChangeArrowheads="1"/>
        </xdr:cNvSpPr>
      </xdr:nvSpPr>
      <xdr:spPr bwMode="auto">
        <a:xfrm>
          <a:off x="7620000" y="981075"/>
          <a:ext cx="1714500" cy="1200150"/>
        </a:xfrm>
        <a:prstGeom prst="roundRect">
          <a:avLst>
            <a:gd name="adj" fmla="val 3847"/>
          </a:avLst>
        </a:prstGeom>
        <a:noFill/>
        <a:ln w="12700">
          <a:solidFill>
            <a:srgbClr val="000000"/>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凡例</a:t>
          </a:r>
        </a:p>
      </xdr:txBody>
    </xdr:sp>
    <xdr:clientData/>
  </xdr:twoCellAnchor>
  <xdr:twoCellAnchor>
    <xdr:from>
      <xdr:col>40</xdr:col>
      <xdr:colOff>0</xdr:colOff>
      <xdr:row>6</xdr:row>
      <xdr:rowOff>0</xdr:rowOff>
    </xdr:from>
    <xdr:to>
      <xdr:col>49</xdr:col>
      <xdr:colOff>0</xdr:colOff>
      <xdr:row>13</xdr:row>
      <xdr:rowOff>0</xdr:rowOff>
    </xdr:to>
    <xdr:sp macro="" textlink="">
      <xdr:nvSpPr>
        <xdr:cNvPr id="3" name="AutoShape 2">
          <a:extLst>
            <a:ext uri="{FF2B5EF4-FFF2-40B4-BE49-F238E27FC236}">
              <a16:creationId xmlns:a16="http://schemas.microsoft.com/office/drawing/2014/main" id="{00000000-0008-0000-0600-000003000000}"/>
            </a:ext>
          </a:extLst>
        </xdr:cNvPr>
        <xdr:cNvSpPr>
          <a:spLocks noChangeArrowheads="1"/>
        </xdr:cNvSpPr>
      </xdr:nvSpPr>
      <xdr:spPr bwMode="auto">
        <a:xfrm>
          <a:off x="7620000" y="981075"/>
          <a:ext cx="1714500" cy="1200150"/>
        </a:xfrm>
        <a:prstGeom prst="roundRect">
          <a:avLst>
            <a:gd name="adj" fmla="val 3847"/>
          </a:avLst>
        </a:prstGeom>
        <a:noFill/>
        <a:ln w="12700">
          <a:solidFill>
            <a:srgbClr val="000000"/>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凡例</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9525</xdr:colOff>
          <xdr:row>2</xdr:row>
          <xdr:rowOff>133350</xdr:rowOff>
        </xdr:to>
        <xdr:pic>
          <xdr:nvPicPr>
            <xdr:cNvPr id="4" name="図 3">
              <a:extLst>
                <a:ext uri="{FF2B5EF4-FFF2-40B4-BE49-F238E27FC236}">
                  <a16:creationId xmlns:a16="http://schemas.microsoft.com/office/drawing/2014/main" id="{00000000-0008-0000-0700-000004000000}"/>
                </a:ext>
              </a:extLst>
            </xdr:cNvPr>
            <xdr:cNvPicPr>
              <a:picLocks noChangeAspect="1" noChangeArrowheads="1"/>
              <a:extLst>
                <a:ext uri="{84589F7E-364E-4C9E-8A38-B11213B215E9}">
                  <a14:cameraTool cellRange="表紙!$BA$55:$BJ$57" spid="_x0000_s47297"/>
                </a:ext>
              </a:extLst>
            </xdr:cNvPicPr>
          </xdr:nvPicPr>
          <xdr:blipFill>
            <a:blip xmlns:r="http://schemas.openxmlformats.org/officeDocument/2006/relationships" r:embed="rId1"/>
            <a:srcRect/>
            <a:stretch>
              <a:fillRect/>
            </a:stretch>
          </xdr:blipFill>
          <xdr:spPr bwMode="auto">
            <a:xfrm>
              <a:off x="0" y="0"/>
              <a:ext cx="9534525" cy="4381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21</xdr:col>
      <xdr:colOff>31375</xdr:colOff>
      <xdr:row>18</xdr:row>
      <xdr:rowOff>50800</xdr:rowOff>
    </xdr:from>
    <xdr:to>
      <xdr:col>31</xdr:col>
      <xdr:colOff>114300</xdr:colOff>
      <xdr:row>21</xdr:row>
      <xdr:rowOff>82882</xdr:rowOff>
    </xdr:to>
    <xdr:sp macro="" textlink="">
      <xdr:nvSpPr>
        <xdr:cNvPr id="58" name="フローチャート: 処理 57">
          <a:extLst>
            <a:ext uri="{FF2B5EF4-FFF2-40B4-BE49-F238E27FC236}">
              <a16:creationId xmlns:a16="http://schemas.microsoft.com/office/drawing/2014/main" id="{00000000-0008-0000-0800-00003A000000}"/>
            </a:ext>
          </a:extLst>
        </xdr:cNvPr>
        <xdr:cNvSpPr/>
      </xdr:nvSpPr>
      <xdr:spPr bwMode="auto">
        <a:xfrm>
          <a:off x="4231900" y="3413125"/>
          <a:ext cx="2083175" cy="632157"/>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MSBDP0080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発注登録</a:t>
          </a:r>
        </a:p>
      </xdr:txBody>
    </xdr:sp>
    <xdr:clientData/>
  </xdr:twoCellAnchor>
  <xdr:twoCellAnchor editAs="oneCell">
    <xdr:from>
      <xdr:col>37</xdr:col>
      <xdr:colOff>56029</xdr:colOff>
      <xdr:row>7</xdr:row>
      <xdr:rowOff>11206</xdr:rowOff>
    </xdr:from>
    <xdr:to>
      <xdr:col>49</xdr:col>
      <xdr:colOff>153425</xdr:colOff>
      <xdr:row>12</xdr:row>
      <xdr:rowOff>57376</xdr:rowOff>
    </xdr:to>
    <xdr:pic>
      <xdr:nvPicPr>
        <xdr:cNvPr id="83" name="図 82">
          <a:extLst>
            <a:ext uri="{FF2B5EF4-FFF2-40B4-BE49-F238E27FC236}">
              <a16:creationId xmlns:a16="http://schemas.microsoft.com/office/drawing/2014/main" id="{00000000-0008-0000-0800-000053000000}"/>
            </a:ext>
          </a:extLst>
        </xdr:cNvPr>
        <xdr:cNvPicPr>
          <a:picLocks noChangeAspect="1"/>
        </xdr:cNvPicPr>
      </xdr:nvPicPr>
      <xdr:blipFill>
        <a:blip xmlns:r="http://schemas.openxmlformats.org/officeDocument/2006/relationships" r:embed="rId1"/>
        <a:stretch>
          <a:fillRect/>
        </a:stretch>
      </xdr:blipFill>
      <xdr:spPr>
        <a:xfrm>
          <a:off x="7456954" y="1173256"/>
          <a:ext cx="2497696" cy="1046295"/>
        </a:xfrm>
        <a:prstGeom prst="rect">
          <a:avLst/>
        </a:prstGeom>
      </xdr:spPr>
    </xdr:pic>
    <xdr:clientData/>
  </xdr:twoCellAnchor>
  <xdr:twoCellAnchor>
    <xdr:from>
      <xdr:col>1</xdr:col>
      <xdr:colOff>82362</xdr:colOff>
      <xdr:row>18</xdr:row>
      <xdr:rowOff>32309</xdr:rowOff>
    </xdr:from>
    <xdr:to>
      <xdr:col>11</xdr:col>
      <xdr:colOff>165287</xdr:colOff>
      <xdr:row>21</xdr:row>
      <xdr:rowOff>64391</xdr:rowOff>
    </xdr:to>
    <xdr:sp macro="" textlink="">
      <xdr:nvSpPr>
        <xdr:cNvPr id="84" name="フローチャート: 処理 83">
          <a:extLst>
            <a:ext uri="{FF2B5EF4-FFF2-40B4-BE49-F238E27FC236}">
              <a16:creationId xmlns:a16="http://schemas.microsoft.com/office/drawing/2014/main" id="{00000000-0008-0000-0800-000054000000}"/>
            </a:ext>
          </a:extLst>
        </xdr:cNvPr>
        <xdr:cNvSpPr/>
      </xdr:nvSpPr>
      <xdr:spPr bwMode="auto">
        <a:xfrm>
          <a:off x="282387" y="3394634"/>
          <a:ext cx="2083175" cy="632157"/>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MSBDP0090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発注一覧登録</a:t>
          </a:r>
        </a:p>
      </xdr:txBody>
    </xdr:sp>
    <xdr:clientData/>
  </xdr:twoCellAnchor>
  <xdr:twoCellAnchor>
    <xdr:from>
      <xdr:col>11</xdr:col>
      <xdr:colOff>165287</xdr:colOff>
      <xdr:row>19</xdr:row>
      <xdr:rowOff>148363</xdr:rowOff>
    </xdr:from>
    <xdr:to>
      <xdr:col>21</xdr:col>
      <xdr:colOff>31375</xdr:colOff>
      <xdr:row>19</xdr:row>
      <xdr:rowOff>166854</xdr:rowOff>
    </xdr:to>
    <xdr:cxnSp macro="">
      <xdr:nvCxnSpPr>
        <xdr:cNvPr id="88" name="直線矢印コネクタ 87">
          <a:extLst>
            <a:ext uri="{FF2B5EF4-FFF2-40B4-BE49-F238E27FC236}">
              <a16:creationId xmlns:a16="http://schemas.microsoft.com/office/drawing/2014/main" id="{00000000-0008-0000-0800-000058000000}"/>
            </a:ext>
          </a:extLst>
        </xdr:cNvPr>
        <xdr:cNvCxnSpPr>
          <a:stCxn id="84" idx="3"/>
          <a:endCxn id="58" idx="1"/>
        </xdr:cNvCxnSpPr>
      </xdr:nvCxnSpPr>
      <xdr:spPr>
        <a:xfrm>
          <a:off x="2365562" y="3710713"/>
          <a:ext cx="1866338" cy="1849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94128</xdr:colOff>
      <xdr:row>18</xdr:row>
      <xdr:rowOff>46318</xdr:rowOff>
    </xdr:from>
    <xdr:to>
      <xdr:col>47</xdr:col>
      <xdr:colOff>177053</xdr:colOff>
      <xdr:row>21</xdr:row>
      <xdr:rowOff>78400</xdr:rowOff>
    </xdr:to>
    <xdr:sp macro="" textlink="">
      <xdr:nvSpPr>
        <xdr:cNvPr id="89" name="フローチャート: 処理 88">
          <a:extLst>
            <a:ext uri="{FF2B5EF4-FFF2-40B4-BE49-F238E27FC236}">
              <a16:creationId xmlns:a16="http://schemas.microsoft.com/office/drawing/2014/main" id="{00000000-0008-0000-0800-000059000000}"/>
            </a:ext>
          </a:extLst>
        </xdr:cNvPr>
        <xdr:cNvSpPr/>
      </xdr:nvSpPr>
      <xdr:spPr bwMode="auto">
        <a:xfrm>
          <a:off x="7495053" y="3408643"/>
          <a:ext cx="2083175" cy="632157"/>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MSBDP0120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購買納期調整登録</a:t>
          </a:r>
        </a:p>
      </xdr:txBody>
    </xdr:sp>
    <xdr:clientData/>
  </xdr:twoCellAnchor>
  <xdr:twoCellAnchor>
    <xdr:from>
      <xdr:col>31</xdr:col>
      <xdr:colOff>114300</xdr:colOff>
      <xdr:row>19</xdr:row>
      <xdr:rowOff>162372</xdr:rowOff>
    </xdr:from>
    <xdr:to>
      <xdr:col>37</xdr:col>
      <xdr:colOff>94128</xdr:colOff>
      <xdr:row>19</xdr:row>
      <xdr:rowOff>166854</xdr:rowOff>
    </xdr:to>
    <xdr:cxnSp macro="">
      <xdr:nvCxnSpPr>
        <xdr:cNvPr id="90" name="直線矢印コネクタ 89">
          <a:extLst>
            <a:ext uri="{FF2B5EF4-FFF2-40B4-BE49-F238E27FC236}">
              <a16:creationId xmlns:a16="http://schemas.microsoft.com/office/drawing/2014/main" id="{00000000-0008-0000-0800-00005A000000}"/>
            </a:ext>
          </a:extLst>
        </xdr:cNvPr>
        <xdr:cNvCxnSpPr>
          <a:stCxn id="58" idx="3"/>
          <a:endCxn id="89" idx="1"/>
        </xdr:cNvCxnSpPr>
      </xdr:nvCxnSpPr>
      <xdr:spPr>
        <a:xfrm flipV="1">
          <a:off x="6315075" y="3724722"/>
          <a:ext cx="1179978" cy="448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72838</xdr:colOff>
      <xdr:row>14</xdr:row>
      <xdr:rowOff>193231</xdr:rowOff>
    </xdr:from>
    <xdr:to>
      <xdr:col>26</xdr:col>
      <xdr:colOff>93024</xdr:colOff>
      <xdr:row>18</xdr:row>
      <xdr:rowOff>50800</xdr:rowOff>
    </xdr:to>
    <xdr:cxnSp macro="">
      <xdr:nvCxnSpPr>
        <xdr:cNvPr id="93" name="直線矢印コネクタ 92">
          <a:extLst>
            <a:ext uri="{FF2B5EF4-FFF2-40B4-BE49-F238E27FC236}">
              <a16:creationId xmlns:a16="http://schemas.microsoft.com/office/drawing/2014/main" id="{00000000-0008-0000-0800-00005D000000}"/>
            </a:ext>
          </a:extLst>
        </xdr:cNvPr>
        <xdr:cNvCxnSpPr>
          <a:stCxn id="58" idx="0"/>
          <a:endCxn id="95" idx="2"/>
        </xdr:cNvCxnSpPr>
      </xdr:nvCxnSpPr>
      <xdr:spPr>
        <a:xfrm flipV="1">
          <a:off x="5273488" y="2755456"/>
          <a:ext cx="20186" cy="6576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123265</xdr:colOff>
      <xdr:row>12</xdr:row>
      <xdr:rowOff>22412</xdr:rowOff>
    </xdr:from>
    <xdr:to>
      <xdr:col>31</xdr:col>
      <xdr:colOff>62782</xdr:colOff>
      <xdr:row>15</xdr:row>
      <xdr:rowOff>33618</xdr:rowOff>
    </xdr:to>
    <xdr:sp macro="" textlink="">
      <xdr:nvSpPr>
        <xdr:cNvPr id="95" name="フローチャート: 書類 94">
          <a:extLst>
            <a:ext uri="{FF2B5EF4-FFF2-40B4-BE49-F238E27FC236}">
              <a16:creationId xmlns:a16="http://schemas.microsoft.com/office/drawing/2014/main" id="{00000000-0008-0000-0800-00005F000000}"/>
            </a:ext>
          </a:extLst>
        </xdr:cNvPr>
        <xdr:cNvSpPr/>
      </xdr:nvSpPr>
      <xdr:spPr>
        <a:xfrm>
          <a:off x="4323790" y="2184587"/>
          <a:ext cx="1939767" cy="611281"/>
        </a:xfrm>
        <a:prstGeom prst="flowChartDocumen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altLang="ja-JP" sz="900">
              <a:effectLst/>
              <a:latin typeface="Meiryo UI" panose="020B0604030504040204" pitchFamily="50" charset="-128"/>
              <a:ea typeface="Meiryo UI" panose="020B0604030504040204" pitchFamily="50" charset="-128"/>
            </a:rPr>
            <a:t>MSBDR0080</a:t>
          </a:r>
        </a:p>
        <a:p>
          <a:pPr algn="ctr"/>
          <a:r>
            <a:rPr lang="ja-JP" altLang="en-US" sz="900">
              <a:effectLst/>
              <a:latin typeface="Meiryo UI" panose="020B0604030504040204" pitchFamily="50" charset="-128"/>
              <a:ea typeface="Meiryo UI" panose="020B0604030504040204" pitchFamily="50" charset="-128"/>
            </a:rPr>
            <a:t>注文書</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xdr:col>
      <xdr:colOff>100292</xdr:colOff>
      <xdr:row>13</xdr:row>
      <xdr:rowOff>151092</xdr:rowOff>
    </xdr:from>
    <xdr:to>
      <xdr:col>11</xdr:col>
      <xdr:colOff>183217</xdr:colOff>
      <xdr:row>16</xdr:row>
      <xdr:rowOff>183173</xdr:rowOff>
    </xdr:to>
    <xdr:sp macro="" textlink="">
      <xdr:nvSpPr>
        <xdr:cNvPr id="14" name="フローチャート: 処理 13">
          <a:extLst>
            <a:ext uri="{FF2B5EF4-FFF2-40B4-BE49-F238E27FC236}">
              <a16:creationId xmlns:a16="http://schemas.microsoft.com/office/drawing/2014/main" id="{00000000-0008-0000-0800-00000E000000}"/>
            </a:ext>
          </a:extLst>
        </xdr:cNvPr>
        <xdr:cNvSpPr/>
      </xdr:nvSpPr>
      <xdr:spPr bwMode="auto">
        <a:xfrm>
          <a:off x="300317" y="2513292"/>
          <a:ext cx="2083175" cy="632156"/>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FSBCP0000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メインメニュー</a:t>
          </a:r>
        </a:p>
      </xdr:txBody>
    </xdr:sp>
    <xdr:clientData/>
  </xdr:twoCellAnchor>
  <xdr:twoCellAnchor>
    <xdr:from>
      <xdr:col>11</xdr:col>
      <xdr:colOff>183217</xdr:colOff>
      <xdr:row>15</xdr:row>
      <xdr:rowOff>67120</xdr:rowOff>
    </xdr:from>
    <xdr:to>
      <xdr:col>21</xdr:col>
      <xdr:colOff>31375</xdr:colOff>
      <xdr:row>19</xdr:row>
      <xdr:rowOff>166854</xdr:rowOff>
    </xdr:to>
    <xdr:cxnSp macro="">
      <xdr:nvCxnSpPr>
        <xdr:cNvPr id="4" name="カギ線コネクタ 3">
          <a:extLst>
            <a:ext uri="{FF2B5EF4-FFF2-40B4-BE49-F238E27FC236}">
              <a16:creationId xmlns:a16="http://schemas.microsoft.com/office/drawing/2014/main" id="{00000000-0008-0000-0800-000004000000}"/>
            </a:ext>
          </a:extLst>
        </xdr:cNvPr>
        <xdr:cNvCxnSpPr>
          <a:stCxn id="14" idx="3"/>
          <a:endCxn id="58" idx="1"/>
        </xdr:cNvCxnSpPr>
      </xdr:nvCxnSpPr>
      <xdr:spPr>
        <a:xfrm>
          <a:off x="2383492" y="2829370"/>
          <a:ext cx="1848408" cy="899834"/>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70792</xdr:colOff>
      <xdr:row>65</xdr:row>
      <xdr:rowOff>126634</xdr:rowOff>
    </xdr:from>
    <xdr:to>
      <xdr:col>27</xdr:col>
      <xdr:colOff>137274</xdr:colOff>
      <xdr:row>68</xdr:row>
      <xdr:rowOff>149051</xdr:rowOff>
    </xdr:to>
    <xdr:sp macro="" textlink="">
      <xdr:nvSpPr>
        <xdr:cNvPr id="39" name="フローチャート: 定義済み処理 8">
          <a:extLst>
            <a:ext uri="{FF2B5EF4-FFF2-40B4-BE49-F238E27FC236}">
              <a16:creationId xmlns:a16="http://schemas.microsoft.com/office/drawing/2014/main" id="{00000000-0008-0000-0900-000027000000}"/>
            </a:ext>
          </a:extLst>
        </xdr:cNvPr>
        <xdr:cNvSpPr/>
      </xdr:nvSpPr>
      <xdr:spPr bwMode="auto">
        <a:xfrm>
          <a:off x="3471217" y="12718684"/>
          <a:ext cx="2066732" cy="622492"/>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t>MSBDL5100</a:t>
          </a:r>
          <a:b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effectLst/>
              <a:latin typeface="Meiryo UI" panose="020B0604030504040204" pitchFamily="50" charset="-128"/>
              <a:ea typeface="Meiryo UI" panose="020B0604030504040204" pitchFamily="50" charset="-128"/>
              <a:cs typeface="Meiryo UI" panose="020B0604030504040204" pitchFamily="50" charset="-128"/>
            </a:rPr>
            <a:t>発注登録サービス</a:t>
          </a:r>
          <a:endParaRPr lang="ja-JP" altLang="ja-JP" sz="8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158498</xdr:colOff>
      <xdr:row>63</xdr:row>
      <xdr:rowOff>10457</xdr:rowOff>
    </xdr:from>
    <xdr:to>
      <xdr:col>9</xdr:col>
      <xdr:colOff>46506</xdr:colOff>
      <xdr:row>65</xdr:row>
      <xdr:rowOff>118034</xdr:rowOff>
    </xdr:to>
    <xdr:cxnSp macro="">
      <xdr:nvCxnSpPr>
        <xdr:cNvPr id="40" name="カギ線コネクタ 39">
          <a:extLst>
            <a:ext uri="{FF2B5EF4-FFF2-40B4-BE49-F238E27FC236}">
              <a16:creationId xmlns:a16="http://schemas.microsoft.com/office/drawing/2014/main" id="{00000000-0008-0000-0900-000028000000}"/>
            </a:ext>
          </a:extLst>
        </xdr:cNvPr>
        <xdr:cNvCxnSpPr>
          <a:stCxn id="43" idx="2"/>
          <a:endCxn id="41" idx="0"/>
        </xdr:cNvCxnSpPr>
      </xdr:nvCxnSpPr>
      <xdr:spPr bwMode="auto">
        <a:xfrm rot="5400000">
          <a:off x="1561507" y="12469124"/>
          <a:ext cx="510989" cy="8971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132228</xdr:colOff>
      <xdr:row>65</xdr:row>
      <xdr:rowOff>118035</xdr:rowOff>
    </xdr:from>
    <xdr:to>
      <xdr:col>13</xdr:col>
      <xdr:colOff>184765</xdr:colOff>
      <xdr:row>68</xdr:row>
      <xdr:rowOff>150117</xdr:rowOff>
    </xdr:to>
    <xdr:sp macro="" textlink="">
      <xdr:nvSpPr>
        <xdr:cNvPr id="41" name="フローチャート: 処理 40">
          <a:extLst>
            <a:ext uri="{FF2B5EF4-FFF2-40B4-BE49-F238E27FC236}">
              <a16:creationId xmlns:a16="http://schemas.microsoft.com/office/drawing/2014/main" id="{00000000-0008-0000-0900-000029000000}"/>
            </a:ext>
          </a:extLst>
        </xdr:cNvPr>
        <xdr:cNvSpPr/>
      </xdr:nvSpPr>
      <xdr:spPr bwMode="auto">
        <a:xfrm>
          <a:off x="737346" y="12769476"/>
          <a:ext cx="2069595" cy="63720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MSBDP0080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発注登録</a:t>
          </a:r>
        </a:p>
      </xdr:txBody>
    </xdr:sp>
    <xdr:clientData/>
  </xdr:twoCellAnchor>
  <xdr:twoCellAnchor>
    <xdr:from>
      <xdr:col>13</xdr:col>
      <xdr:colOff>184765</xdr:colOff>
      <xdr:row>67</xdr:row>
      <xdr:rowOff>34064</xdr:rowOff>
    </xdr:from>
    <xdr:to>
      <xdr:col>17</xdr:col>
      <xdr:colOff>70792</xdr:colOff>
      <xdr:row>67</xdr:row>
      <xdr:rowOff>37830</xdr:rowOff>
    </xdr:to>
    <xdr:cxnSp macro="">
      <xdr:nvCxnSpPr>
        <xdr:cNvPr id="42" name="直線矢印コネクタ 41">
          <a:extLst>
            <a:ext uri="{FF2B5EF4-FFF2-40B4-BE49-F238E27FC236}">
              <a16:creationId xmlns:a16="http://schemas.microsoft.com/office/drawing/2014/main" id="{00000000-0008-0000-0900-00002A000000}"/>
            </a:ext>
          </a:extLst>
        </xdr:cNvPr>
        <xdr:cNvCxnSpPr>
          <a:stCxn id="41" idx="3"/>
          <a:endCxn id="39" idx="1"/>
        </xdr:cNvCxnSpPr>
      </xdr:nvCxnSpPr>
      <xdr:spPr bwMode="auto">
        <a:xfrm>
          <a:off x="2785090" y="13026164"/>
          <a:ext cx="686127" cy="37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104216</xdr:colOff>
      <xdr:row>57</xdr:row>
      <xdr:rowOff>35579</xdr:rowOff>
    </xdr:from>
    <xdr:to>
      <xdr:col>14</xdr:col>
      <xdr:colOff>190500</xdr:colOff>
      <xdr:row>63</xdr:row>
      <xdr:rowOff>10458</xdr:rowOff>
    </xdr:to>
    <xdr:sp macro="" textlink="">
      <xdr:nvSpPr>
        <xdr:cNvPr id="43" name="正方形/長方形 42">
          <a:extLst>
            <a:ext uri="{FF2B5EF4-FFF2-40B4-BE49-F238E27FC236}">
              <a16:creationId xmlns:a16="http://schemas.microsoft.com/office/drawing/2014/main" id="{00000000-0008-0000-0900-00002B000000}"/>
            </a:ext>
          </a:extLst>
        </xdr:cNvPr>
        <xdr:cNvSpPr/>
      </xdr:nvSpPr>
      <xdr:spPr bwMode="auto">
        <a:xfrm>
          <a:off x="709334" y="11073373"/>
          <a:ext cx="2305048" cy="1185114"/>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発注一覧登録からの画面遷移</a:t>
          </a:r>
        </a:p>
      </xdr:txBody>
    </xdr:sp>
    <xdr:clientData/>
  </xdr:twoCellAnchor>
  <xdr:twoCellAnchor>
    <xdr:from>
      <xdr:col>5</xdr:col>
      <xdr:colOff>59392</xdr:colOff>
      <xdr:row>59</xdr:row>
      <xdr:rowOff>8807</xdr:rowOff>
    </xdr:from>
    <xdr:to>
      <xdr:col>13</xdr:col>
      <xdr:colOff>89648</xdr:colOff>
      <xdr:row>61</xdr:row>
      <xdr:rowOff>134471</xdr:rowOff>
    </xdr:to>
    <xdr:sp macro="" textlink="">
      <xdr:nvSpPr>
        <xdr:cNvPr id="44" name="Text Box 56">
          <a:extLst>
            <a:ext uri="{FF2B5EF4-FFF2-40B4-BE49-F238E27FC236}">
              <a16:creationId xmlns:a16="http://schemas.microsoft.com/office/drawing/2014/main" id="{00000000-0008-0000-0900-00002C000000}"/>
            </a:ext>
          </a:extLst>
        </xdr:cNvPr>
        <xdr:cNvSpPr txBox="1">
          <a:spLocks noChangeArrowheads="1"/>
        </xdr:cNvSpPr>
      </xdr:nvSpPr>
      <xdr:spPr bwMode="auto">
        <a:xfrm>
          <a:off x="1067921" y="11450013"/>
          <a:ext cx="1643903" cy="529076"/>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66675</xdr:colOff>
      <xdr:row>53</xdr:row>
      <xdr:rowOff>166462</xdr:rowOff>
    </xdr:from>
    <xdr:to>
      <xdr:col>41</xdr:col>
      <xdr:colOff>170330</xdr:colOff>
      <xdr:row>56</xdr:row>
      <xdr:rowOff>170945</xdr:rowOff>
    </xdr:to>
    <xdr:sp macro="" textlink="">
      <xdr:nvSpPr>
        <xdr:cNvPr id="45" name="フローチャート: 定義済み処理 44">
          <a:extLst>
            <a:ext uri="{FF2B5EF4-FFF2-40B4-BE49-F238E27FC236}">
              <a16:creationId xmlns:a16="http://schemas.microsoft.com/office/drawing/2014/main" id="{00000000-0008-0000-0900-00002D000000}"/>
            </a:ext>
          </a:extLst>
        </xdr:cNvPr>
        <xdr:cNvSpPr/>
      </xdr:nvSpPr>
      <xdr:spPr bwMode="auto">
        <a:xfrm>
          <a:off x="6267450" y="10358212"/>
          <a:ext cx="2103905" cy="604558"/>
        </a:xfrm>
        <a:prstGeom prst="flowChartPredefinedProcess">
          <a:avLst/>
        </a:prstGeom>
        <a:solidFill>
          <a:sysClr val="window" lastClr="FFFFFF"/>
        </a:solidFill>
        <a:ln w="38100"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latin typeface="Meiryo UI" panose="020B0604030504040204" pitchFamily="50" charset="-128"/>
              <a:ea typeface="Meiryo UI" panose="020B0604030504040204" pitchFamily="50" charset="-128"/>
              <a:cs typeface="Meiryo UI" panose="020B0604030504040204" pitchFamily="50" charset="-128"/>
            </a:rPr>
            <a:t>MBBAL5010 </a:t>
          </a:r>
          <a:br>
            <a:rPr kumimoji="1" lang="en-US" altLang="ja-JP"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承認提供サービス </a:t>
          </a:r>
          <a:br>
            <a:rPr kumimoji="1" lang="ja-JP" altLang="en-US"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（承認情報作成）</a:t>
          </a:r>
        </a:p>
      </xdr:txBody>
    </xdr:sp>
    <xdr:clientData/>
  </xdr:twoCellAnchor>
  <xdr:twoCellAnchor>
    <xdr:from>
      <xdr:col>31</xdr:col>
      <xdr:colOff>66675</xdr:colOff>
      <xdr:row>58</xdr:row>
      <xdr:rowOff>8743</xdr:rowOff>
    </xdr:from>
    <xdr:to>
      <xdr:col>41</xdr:col>
      <xdr:colOff>170330</xdr:colOff>
      <xdr:row>61</xdr:row>
      <xdr:rowOff>13226</xdr:rowOff>
    </xdr:to>
    <xdr:sp macro="" textlink="">
      <xdr:nvSpPr>
        <xdr:cNvPr id="46" name="フローチャート: 定義済み処理 45">
          <a:extLst>
            <a:ext uri="{FF2B5EF4-FFF2-40B4-BE49-F238E27FC236}">
              <a16:creationId xmlns:a16="http://schemas.microsoft.com/office/drawing/2014/main" id="{00000000-0008-0000-0900-00002E000000}"/>
            </a:ext>
          </a:extLst>
        </xdr:cNvPr>
        <xdr:cNvSpPr/>
      </xdr:nvSpPr>
      <xdr:spPr bwMode="auto">
        <a:xfrm>
          <a:off x="6267450" y="11200618"/>
          <a:ext cx="2103905" cy="604558"/>
        </a:xfrm>
        <a:prstGeom prst="flowChartPredefinedProcess">
          <a:avLst/>
        </a:prstGeom>
        <a:solidFill>
          <a:sysClr val="window" lastClr="FFFFFF"/>
        </a:solidFill>
        <a:ln w="38100"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latin typeface="Meiryo UI" panose="020B0604030504040204" pitchFamily="50" charset="-128"/>
              <a:ea typeface="Meiryo UI" panose="020B0604030504040204" pitchFamily="50" charset="-128"/>
              <a:cs typeface="Meiryo UI" panose="020B0604030504040204" pitchFamily="50" charset="-128"/>
            </a:rPr>
            <a:t>MSBCL5010 </a:t>
          </a:r>
          <a:br>
            <a:rPr kumimoji="1" lang="en-US" altLang="ja-JP"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オーダ登録サービス</a:t>
          </a:r>
        </a:p>
      </xdr:txBody>
    </xdr:sp>
    <xdr:clientData/>
  </xdr:twoCellAnchor>
  <xdr:twoCellAnchor>
    <xdr:from>
      <xdr:col>31</xdr:col>
      <xdr:colOff>66675</xdr:colOff>
      <xdr:row>62</xdr:row>
      <xdr:rowOff>51051</xdr:rowOff>
    </xdr:from>
    <xdr:to>
      <xdr:col>41</xdr:col>
      <xdr:colOff>170330</xdr:colOff>
      <xdr:row>65</xdr:row>
      <xdr:rowOff>55533</xdr:rowOff>
    </xdr:to>
    <xdr:sp macro="" textlink="">
      <xdr:nvSpPr>
        <xdr:cNvPr id="47" name="フローチャート: 定義済み処理 46">
          <a:extLst>
            <a:ext uri="{FF2B5EF4-FFF2-40B4-BE49-F238E27FC236}">
              <a16:creationId xmlns:a16="http://schemas.microsoft.com/office/drawing/2014/main" id="{00000000-0008-0000-0900-00002F000000}"/>
            </a:ext>
          </a:extLst>
        </xdr:cNvPr>
        <xdr:cNvSpPr/>
      </xdr:nvSpPr>
      <xdr:spPr bwMode="auto">
        <a:xfrm>
          <a:off x="6267450" y="12043026"/>
          <a:ext cx="2103905" cy="604557"/>
        </a:xfrm>
        <a:prstGeom prst="flowChartPredefinedProcess">
          <a:avLst/>
        </a:prstGeom>
        <a:solidFill>
          <a:sysClr val="window" lastClr="FFFFFF"/>
        </a:solidFill>
        <a:ln w="38100"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latin typeface="Meiryo UI" panose="020B0604030504040204" pitchFamily="50" charset="-128"/>
              <a:ea typeface="Meiryo UI" panose="020B0604030504040204" pitchFamily="50" charset="-128"/>
              <a:cs typeface="Meiryo UI" panose="020B0604030504040204" pitchFamily="50" charset="-128"/>
            </a:rPr>
            <a:t>MSBEL5020 </a:t>
          </a:r>
          <a:br>
            <a:rPr kumimoji="1" lang="en-US" altLang="ja-JP"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受払予定サービス</a:t>
          </a:r>
        </a:p>
      </xdr:txBody>
    </xdr:sp>
    <xdr:clientData/>
  </xdr:twoCellAnchor>
  <xdr:twoCellAnchor>
    <xdr:from>
      <xdr:col>31</xdr:col>
      <xdr:colOff>66676</xdr:colOff>
      <xdr:row>66</xdr:row>
      <xdr:rowOff>89275</xdr:rowOff>
    </xdr:from>
    <xdr:to>
      <xdr:col>44</xdr:col>
      <xdr:colOff>171451</xdr:colOff>
      <xdr:row>70</xdr:row>
      <xdr:rowOff>38101</xdr:rowOff>
    </xdr:to>
    <xdr:sp macro="" textlink="">
      <xdr:nvSpPr>
        <xdr:cNvPr id="48" name="正方形/長方形 47">
          <a:extLst>
            <a:ext uri="{FF2B5EF4-FFF2-40B4-BE49-F238E27FC236}">
              <a16:creationId xmlns:a16="http://schemas.microsoft.com/office/drawing/2014/main" id="{00000000-0008-0000-0900-000030000000}"/>
            </a:ext>
          </a:extLst>
        </xdr:cNvPr>
        <xdr:cNvSpPr/>
      </xdr:nvSpPr>
      <xdr:spPr bwMode="auto">
        <a:xfrm>
          <a:off x="6267451" y="12881350"/>
          <a:ext cx="2705100" cy="748926"/>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67531</xdr:colOff>
      <xdr:row>67</xdr:row>
      <xdr:rowOff>64426</xdr:rowOff>
    </xdr:from>
    <xdr:to>
      <xdr:col>37</xdr:col>
      <xdr:colOff>149725</xdr:colOff>
      <xdr:row>69</xdr:row>
      <xdr:rowOff>66676</xdr:rowOff>
    </xdr:to>
    <xdr:sp macro="" textlink="">
      <xdr:nvSpPr>
        <xdr:cNvPr id="49" name="Text Box 56">
          <a:extLst>
            <a:ext uri="{FF2B5EF4-FFF2-40B4-BE49-F238E27FC236}">
              <a16:creationId xmlns:a16="http://schemas.microsoft.com/office/drawing/2014/main" id="{00000000-0008-0000-0900-000031000000}"/>
            </a:ext>
          </a:extLst>
        </xdr:cNvPr>
        <xdr:cNvSpPr txBox="1">
          <a:spLocks noChangeArrowheads="1"/>
        </xdr:cNvSpPr>
      </xdr:nvSpPr>
      <xdr:spPr bwMode="auto">
        <a:xfrm>
          <a:off x="6468331" y="13056526"/>
          <a:ext cx="1082319" cy="402300"/>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90263</xdr:colOff>
      <xdr:row>67</xdr:row>
      <xdr:rowOff>54901</xdr:rowOff>
    </xdr:from>
    <xdr:to>
      <xdr:col>43</xdr:col>
      <xdr:colOff>171450</xdr:colOff>
      <xdr:row>69</xdr:row>
      <xdr:rowOff>57151</xdr:rowOff>
    </xdr:to>
    <xdr:sp macro="" textlink="">
      <xdr:nvSpPr>
        <xdr:cNvPr id="50" name="Text Box 56">
          <a:extLst>
            <a:ext uri="{FF2B5EF4-FFF2-40B4-BE49-F238E27FC236}">
              <a16:creationId xmlns:a16="http://schemas.microsoft.com/office/drawing/2014/main" id="{00000000-0008-0000-0900-000032000000}"/>
            </a:ext>
          </a:extLst>
        </xdr:cNvPr>
        <xdr:cNvSpPr txBox="1">
          <a:spLocks noChangeArrowheads="1"/>
        </xdr:cNvSpPr>
      </xdr:nvSpPr>
      <xdr:spPr bwMode="auto">
        <a:xfrm>
          <a:off x="7691213" y="13047001"/>
          <a:ext cx="1081312" cy="402300"/>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38101</xdr:colOff>
      <xdr:row>71</xdr:row>
      <xdr:rowOff>38476</xdr:rowOff>
    </xdr:from>
    <xdr:to>
      <xdr:col>41</xdr:col>
      <xdr:colOff>132416</xdr:colOff>
      <xdr:row>74</xdr:row>
      <xdr:rowOff>60894</xdr:rowOff>
    </xdr:to>
    <xdr:sp macro="" textlink="">
      <xdr:nvSpPr>
        <xdr:cNvPr id="51" name="フローチャート: 定義済み処理 8">
          <a:extLst>
            <a:ext uri="{FF2B5EF4-FFF2-40B4-BE49-F238E27FC236}">
              <a16:creationId xmlns:a16="http://schemas.microsoft.com/office/drawing/2014/main" id="{00000000-0008-0000-0900-000033000000}"/>
            </a:ext>
          </a:extLst>
        </xdr:cNvPr>
        <xdr:cNvSpPr/>
      </xdr:nvSpPr>
      <xdr:spPr bwMode="auto">
        <a:xfrm>
          <a:off x="6238876" y="13830676"/>
          <a:ext cx="2094565" cy="622493"/>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t>MSBDL5090 </a:t>
          </a:r>
          <a:b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effectLst/>
              <a:latin typeface="Meiryo UI" panose="020B0604030504040204" pitchFamily="50" charset="-128"/>
              <a:ea typeface="Meiryo UI" panose="020B0604030504040204" pitchFamily="50" charset="-128"/>
              <a:cs typeface="Meiryo UI" panose="020B0604030504040204" pitchFamily="50" charset="-128"/>
            </a:rPr>
            <a:t>発注予定登録サービス</a:t>
          </a:r>
          <a:endParaRPr lang="ja-JP" altLang="ja-JP" sz="8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4083</xdr:colOff>
      <xdr:row>71</xdr:row>
      <xdr:rowOff>161925</xdr:rowOff>
    </xdr:from>
    <xdr:to>
      <xdr:col>48</xdr:col>
      <xdr:colOff>142875</xdr:colOff>
      <xdr:row>73</xdr:row>
      <xdr:rowOff>143356</xdr:rowOff>
    </xdr:to>
    <xdr:sp macro="" textlink="">
      <xdr:nvSpPr>
        <xdr:cNvPr id="52" name="Text Box 56">
          <a:extLst>
            <a:ext uri="{FF2B5EF4-FFF2-40B4-BE49-F238E27FC236}">
              <a16:creationId xmlns:a16="http://schemas.microsoft.com/office/drawing/2014/main" id="{00000000-0008-0000-0900-000034000000}"/>
            </a:ext>
          </a:extLst>
        </xdr:cNvPr>
        <xdr:cNvSpPr txBox="1">
          <a:spLocks noChangeArrowheads="1"/>
        </xdr:cNvSpPr>
      </xdr:nvSpPr>
      <xdr:spPr bwMode="auto">
        <a:xfrm>
          <a:off x="8605158" y="13954125"/>
          <a:ext cx="1138917" cy="38148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38100</xdr:colOff>
      <xdr:row>75</xdr:row>
      <xdr:rowOff>98716</xdr:rowOff>
    </xdr:from>
    <xdr:to>
      <xdr:col>41</xdr:col>
      <xdr:colOff>143244</xdr:colOff>
      <xdr:row>78</xdr:row>
      <xdr:rowOff>103199</xdr:rowOff>
    </xdr:to>
    <xdr:sp macro="" textlink="">
      <xdr:nvSpPr>
        <xdr:cNvPr id="53" name="フローチャート: 定義済み処理 52">
          <a:extLst>
            <a:ext uri="{FF2B5EF4-FFF2-40B4-BE49-F238E27FC236}">
              <a16:creationId xmlns:a16="http://schemas.microsoft.com/office/drawing/2014/main" id="{00000000-0008-0000-0900-000035000000}"/>
            </a:ext>
          </a:extLst>
        </xdr:cNvPr>
        <xdr:cNvSpPr/>
      </xdr:nvSpPr>
      <xdr:spPr bwMode="auto">
        <a:xfrm>
          <a:off x="6238875" y="14691016"/>
          <a:ext cx="2105394" cy="604558"/>
        </a:xfrm>
        <a:prstGeom prst="flowChartPredefinedProcess">
          <a:avLst/>
        </a:prstGeom>
        <a:solidFill>
          <a:sysClr val="window" lastClr="FFFFFF"/>
        </a:solidFill>
        <a:ln w="38100"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latin typeface="Meiryo UI" panose="020B0604030504040204" pitchFamily="50" charset="-128"/>
              <a:ea typeface="Meiryo UI" panose="020B0604030504040204" pitchFamily="50" charset="-128"/>
              <a:cs typeface="Meiryo UI" panose="020B0604030504040204" pitchFamily="50" charset="-128"/>
            </a:rPr>
            <a:t>MSBEL5900 </a:t>
          </a:r>
          <a:br>
            <a:rPr kumimoji="1" lang="en-US" altLang="ja-JP"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入荷予定サービス</a:t>
          </a:r>
        </a:p>
      </xdr:txBody>
    </xdr:sp>
    <xdr:clientData/>
  </xdr:twoCellAnchor>
  <xdr:twoCellAnchor>
    <xdr:from>
      <xdr:col>31</xdr:col>
      <xdr:colOff>38100</xdr:colOff>
      <xdr:row>79</xdr:row>
      <xdr:rowOff>141022</xdr:rowOff>
    </xdr:from>
    <xdr:to>
      <xdr:col>41</xdr:col>
      <xdr:colOff>143244</xdr:colOff>
      <xdr:row>82</xdr:row>
      <xdr:rowOff>145505</xdr:rowOff>
    </xdr:to>
    <xdr:sp macro="" textlink="">
      <xdr:nvSpPr>
        <xdr:cNvPr id="54" name="フローチャート: 定義済み処理 53">
          <a:extLst>
            <a:ext uri="{FF2B5EF4-FFF2-40B4-BE49-F238E27FC236}">
              <a16:creationId xmlns:a16="http://schemas.microsoft.com/office/drawing/2014/main" id="{00000000-0008-0000-0900-000036000000}"/>
            </a:ext>
          </a:extLst>
        </xdr:cNvPr>
        <xdr:cNvSpPr/>
      </xdr:nvSpPr>
      <xdr:spPr bwMode="auto">
        <a:xfrm>
          <a:off x="6238875" y="15533422"/>
          <a:ext cx="2105394" cy="604558"/>
        </a:xfrm>
        <a:prstGeom prst="flowChartPredefinedProcess">
          <a:avLst/>
        </a:prstGeom>
        <a:solidFill>
          <a:sysClr val="window" lastClr="FFFFFF"/>
        </a:solidFill>
        <a:ln w="38100"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latin typeface="Meiryo UI" panose="020B0604030504040204" pitchFamily="50" charset="-128"/>
              <a:ea typeface="Meiryo UI" panose="020B0604030504040204" pitchFamily="50" charset="-128"/>
              <a:cs typeface="Meiryo UI" panose="020B0604030504040204" pitchFamily="50" charset="-128"/>
            </a:rPr>
            <a:t>MSBBL6080 </a:t>
          </a:r>
          <a:br>
            <a:rPr kumimoji="1" lang="en-US" altLang="ja-JP"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受注状況更新サービス</a:t>
          </a:r>
        </a:p>
      </xdr:txBody>
    </xdr:sp>
    <xdr:clientData/>
  </xdr:twoCellAnchor>
  <xdr:twoCellAnchor>
    <xdr:from>
      <xdr:col>31</xdr:col>
      <xdr:colOff>38101</xdr:colOff>
      <xdr:row>83</xdr:row>
      <xdr:rowOff>182176</xdr:rowOff>
    </xdr:from>
    <xdr:to>
      <xdr:col>41</xdr:col>
      <xdr:colOff>132416</xdr:colOff>
      <xdr:row>87</xdr:row>
      <xdr:rowOff>4567</xdr:rowOff>
    </xdr:to>
    <xdr:sp macro="" textlink="">
      <xdr:nvSpPr>
        <xdr:cNvPr id="55" name="フローチャート: 定義済み処理 8">
          <a:extLst>
            <a:ext uri="{FF2B5EF4-FFF2-40B4-BE49-F238E27FC236}">
              <a16:creationId xmlns:a16="http://schemas.microsoft.com/office/drawing/2014/main" id="{00000000-0008-0000-0900-000037000000}"/>
            </a:ext>
          </a:extLst>
        </xdr:cNvPr>
        <xdr:cNvSpPr/>
      </xdr:nvSpPr>
      <xdr:spPr bwMode="auto">
        <a:xfrm>
          <a:off x="6238876" y="16374676"/>
          <a:ext cx="2094565" cy="622491"/>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t>MSBDL5200 </a:t>
          </a:r>
          <a:b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effectLst/>
              <a:latin typeface="Meiryo UI" panose="020B0604030504040204" pitchFamily="50" charset="-128"/>
              <a:ea typeface="Meiryo UI" panose="020B0604030504040204" pitchFamily="50" charset="-128"/>
              <a:cs typeface="Meiryo UI" panose="020B0604030504040204" pitchFamily="50" charset="-128"/>
            </a:rPr>
            <a:t>購買帳票発行サービス</a:t>
          </a:r>
          <a:endParaRPr lang="ja-JP" altLang="ja-JP" sz="8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38100</xdr:colOff>
      <xdr:row>88</xdr:row>
      <xdr:rowOff>39463</xdr:rowOff>
    </xdr:from>
    <xdr:to>
      <xdr:col>41</xdr:col>
      <xdr:colOff>143244</xdr:colOff>
      <xdr:row>91</xdr:row>
      <xdr:rowOff>43945</xdr:rowOff>
    </xdr:to>
    <xdr:sp macro="" textlink="">
      <xdr:nvSpPr>
        <xdr:cNvPr id="56" name="フローチャート: 定義済み処理 55">
          <a:extLst>
            <a:ext uri="{FF2B5EF4-FFF2-40B4-BE49-F238E27FC236}">
              <a16:creationId xmlns:a16="http://schemas.microsoft.com/office/drawing/2014/main" id="{00000000-0008-0000-0900-000038000000}"/>
            </a:ext>
          </a:extLst>
        </xdr:cNvPr>
        <xdr:cNvSpPr/>
      </xdr:nvSpPr>
      <xdr:spPr bwMode="auto">
        <a:xfrm>
          <a:off x="6238875" y="17232088"/>
          <a:ext cx="2105394" cy="604557"/>
        </a:xfrm>
        <a:prstGeom prst="flowChartPredefinedProcess">
          <a:avLst/>
        </a:prstGeom>
        <a:solidFill>
          <a:sysClr val="window" lastClr="FFFFFF"/>
        </a:solidFill>
        <a:ln w="38100"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latin typeface="Meiryo UI" panose="020B0604030504040204" pitchFamily="50" charset="-128"/>
              <a:ea typeface="Meiryo UI" panose="020B0604030504040204" pitchFamily="50" charset="-128"/>
              <a:cs typeface="Meiryo UI" panose="020B0604030504040204" pitchFamily="50" charset="-128"/>
            </a:rPr>
            <a:t>MABCL5010 </a:t>
          </a:r>
          <a:br>
            <a:rPr kumimoji="1" lang="en-US" altLang="ja-JP"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諸口品登録サービス</a:t>
          </a:r>
        </a:p>
      </xdr:txBody>
    </xdr:sp>
    <xdr:clientData/>
  </xdr:twoCellAnchor>
  <xdr:twoCellAnchor>
    <xdr:from>
      <xdr:col>41</xdr:col>
      <xdr:colOff>132416</xdr:colOff>
      <xdr:row>72</xdr:row>
      <xdr:rowOff>149698</xdr:rowOff>
    </xdr:from>
    <xdr:to>
      <xdr:col>43</xdr:col>
      <xdr:colOff>4083</xdr:colOff>
      <xdr:row>72</xdr:row>
      <xdr:rowOff>152641</xdr:rowOff>
    </xdr:to>
    <xdr:cxnSp macro="">
      <xdr:nvCxnSpPr>
        <xdr:cNvPr id="57" name="カギ線コネクタ 56">
          <a:extLst>
            <a:ext uri="{FF2B5EF4-FFF2-40B4-BE49-F238E27FC236}">
              <a16:creationId xmlns:a16="http://schemas.microsoft.com/office/drawing/2014/main" id="{00000000-0008-0000-0900-000039000000}"/>
            </a:ext>
          </a:extLst>
        </xdr:cNvPr>
        <xdr:cNvCxnSpPr>
          <a:stCxn id="51" idx="3"/>
          <a:endCxn id="52" idx="1"/>
        </xdr:cNvCxnSpPr>
      </xdr:nvCxnSpPr>
      <xdr:spPr bwMode="auto">
        <a:xfrm>
          <a:off x="8333441" y="14141923"/>
          <a:ext cx="271717" cy="294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59</xdr:row>
      <xdr:rowOff>110997</xdr:rowOff>
    </xdr:from>
    <xdr:to>
      <xdr:col>31</xdr:col>
      <xdr:colOff>66675</xdr:colOff>
      <xdr:row>67</xdr:row>
      <xdr:rowOff>37830</xdr:rowOff>
    </xdr:to>
    <xdr:cxnSp macro="">
      <xdr:nvCxnSpPr>
        <xdr:cNvPr id="58" name="カギ線コネクタ 57">
          <a:extLst>
            <a:ext uri="{FF2B5EF4-FFF2-40B4-BE49-F238E27FC236}">
              <a16:creationId xmlns:a16="http://schemas.microsoft.com/office/drawing/2014/main" id="{00000000-0008-0000-0900-00003A000000}"/>
            </a:ext>
          </a:extLst>
        </xdr:cNvPr>
        <xdr:cNvCxnSpPr>
          <a:stCxn id="39" idx="3"/>
          <a:endCxn id="46" idx="1"/>
        </xdr:cNvCxnSpPr>
      </xdr:nvCxnSpPr>
      <xdr:spPr bwMode="auto">
        <a:xfrm flipV="1">
          <a:off x="5537949" y="11502897"/>
          <a:ext cx="729501" cy="152703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63</xdr:row>
      <xdr:rowOff>153305</xdr:rowOff>
    </xdr:from>
    <xdr:to>
      <xdr:col>31</xdr:col>
      <xdr:colOff>66675</xdr:colOff>
      <xdr:row>67</xdr:row>
      <xdr:rowOff>37830</xdr:rowOff>
    </xdr:to>
    <xdr:cxnSp macro="">
      <xdr:nvCxnSpPr>
        <xdr:cNvPr id="59" name="カギ線コネクタ 58">
          <a:extLst>
            <a:ext uri="{FF2B5EF4-FFF2-40B4-BE49-F238E27FC236}">
              <a16:creationId xmlns:a16="http://schemas.microsoft.com/office/drawing/2014/main" id="{00000000-0008-0000-0900-00003B000000}"/>
            </a:ext>
          </a:extLst>
        </xdr:cNvPr>
        <xdr:cNvCxnSpPr>
          <a:stCxn id="39" idx="3"/>
          <a:endCxn id="47" idx="1"/>
        </xdr:cNvCxnSpPr>
      </xdr:nvCxnSpPr>
      <xdr:spPr bwMode="auto">
        <a:xfrm flipV="1">
          <a:off x="5537949" y="12345305"/>
          <a:ext cx="729501" cy="6846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67</xdr:row>
      <xdr:rowOff>37830</xdr:rowOff>
    </xdr:from>
    <xdr:to>
      <xdr:col>31</xdr:col>
      <xdr:colOff>66676</xdr:colOff>
      <xdr:row>68</xdr:row>
      <xdr:rowOff>63688</xdr:rowOff>
    </xdr:to>
    <xdr:cxnSp macro="">
      <xdr:nvCxnSpPr>
        <xdr:cNvPr id="60" name="カギ線コネクタ 59">
          <a:extLst>
            <a:ext uri="{FF2B5EF4-FFF2-40B4-BE49-F238E27FC236}">
              <a16:creationId xmlns:a16="http://schemas.microsoft.com/office/drawing/2014/main" id="{00000000-0008-0000-0900-00003C000000}"/>
            </a:ext>
          </a:extLst>
        </xdr:cNvPr>
        <xdr:cNvCxnSpPr>
          <a:stCxn id="39" idx="3"/>
          <a:endCxn id="48" idx="1"/>
        </xdr:cNvCxnSpPr>
      </xdr:nvCxnSpPr>
      <xdr:spPr bwMode="auto">
        <a:xfrm>
          <a:off x="5537949" y="13029930"/>
          <a:ext cx="729502" cy="225883"/>
        </a:xfrm>
        <a:prstGeom prst="bentConnector3">
          <a:avLst>
            <a:gd name="adj1" fmla="val 5261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67</xdr:row>
      <xdr:rowOff>37830</xdr:rowOff>
    </xdr:from>
    <xdr:to>
      <xdr:col>31</xdr:col>
      <xdr:colOff>38101</xdr:colOff>
      <xdr:row>72</xdr:row>
      <xdr:rowOff>149698</xdr:rowOff>
    </xdr:to>
    <xdr:cxnSp macro="">
      <xdr:nvCxnSpPr>
        <xdr:cNvPr id="61" name="カギ線コネクタ 60">
          <a:extLst>
            <a:ext uri="{FF2B5EF4-FFF2-40B4-BE49-F238E27FC236}">
              <a16:creationId xmlns:a16="http://schemas.microsoft.com/office/drawing/2014/main" id="{00000000-0008-0000-0900-00003D000000}"/>
            </a:ext>
          </a:extLst>
        </xdr:cNvPr>
        <xdr:cNvCxnSpPr>
          <a:stCxn id="39" idx="3"/>
          <a:endCxn id="51" idx="1"/>
        </xdr:cNvCxnSpPr>
      </xdr:nvCxnSpPr>
      <xdr:spPr bwMode="auto">
        <a:xfrm>
          <a:off x="5537949" y="13029930"/>
          <a:ext cx="700927" cy="1111993"/>
        </a:xfrm>
        <a:prstGeom prst="bentConnector3">
          <a:avLst>
            <a:gd name="adj1" fmla="val 5407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67</xdr:row>
      <xdr:rowOff>37830</xdr:rowOff>
    </xdr:from>
    <xdr:to>
      <xdr:col>31</xdr:col>
      <xdr:colOff>38100</xdr:colOff>
      <xdr:row>77</xdr:row>
      <xdr:rowOff>945</xdr:rowOff>
    </xdr:to>
    <xdr:cxnSp macro="">
      <xdr:nvCxnSpPr>
        <xdr:cNvPr id="62" name="カギ線コネクタ 61">
          <a:extLst>
            <a:ext uri="{FF2B5EF4-FFF2-40B4-BE49-F238E27FC236}">
              <a16:creationId xmlns:a16="http://schemas.microsoft.com/office/drawing/2014/main" id="{00000000-0008-0000-0900-00003E000000}"/>
            </a:ext>
          </a:extLst>
        </xdr:cNvPr>
        <xdr:cNvCxnSpPr>
          <a:stCxn id="39" idx="3"/>
          <a:endCxn id="53" idx="1"/>
        </xdr:cNvCxnSpPr>
      </xdr:nvCxnSpPr>
      <xdr:spPr bwMode="auto">
        <a:xfrm>
          <a:off x="5537949" y="13029930"/>
          <a:ext cx="700926" cy="1963365"/>
        </a:xfrm>
        <a:prstGeom prst="bentConnector3">
          <a:avLst>
            <a:gd name="adj1" fmla="val 5407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67</xdr:row>
      <xdr:rowOff>37830</xdr:rowOff>
    </xdr:from>
    <xdr:to>
      <xdr:col>31</xdr:col>
      <xdr:colOff>38100</xdr:colOff>
      <xdr:row>89</xdr:row>
      <xdr:rowOff>141717</xdr:rowOff>
    </xdr:to>
    <xdr:cxnSp macro="">
      <xdr:nvCxnSpPr>
        <xdr:cNvPr id="63" name="カギ線コネクタ 62">
          <a:extLst>
            <a:ext uri="{FF2B5EF4-FFF2-40B4-BE49-F238E27FC236}">
              <a16:creationId xmlns:a16="http://schemas.microsoft.com/office/drawing/2014/main" id="{00000000-0008-0000-0900-00003F000000}"/>
            </a:ext>
          </a:extLst>
        </xdr:cNvPr>
        <xdr:cNvCxnSpPr>
          <a:stCxn id="39" idx="3"/>
          <a:endCxn id="56" idx="1"/>
        </xdr:cNvCxnSpPr>
      </xdr:nvCxnSpPr>
      <xdr:spPr bwMode="auto">
        <a:xfrm>
          <a:off x="5537949" y="13029930"/>
          <a:ext cx="700926" cy="4504437"/>
        </a:xfrm>
        <a:prstGeom prst="bentConnector3">
          <a:avLst>
            <a:gd name="adj1" fmla="val 5543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67</xdr:row>
      <xdr:rowOff>37830</xdr:rowOff>
    </xdr:from>
    <xdr:to>
      <xdr:col>31</xdr:col>
      <xdr:colOff>38101</xdr:colOff>
      <xdr:row>85</xdr:row>
      <xdr:rowOff>93372</xdr:rowOff>
    </xdr:to>
    <xdr:cxnSp macro="">
      <xdr:nvCxnSpPr>
        <xdr:cNvPr id="64" name="カギ線コネクタ 63">
          <a:extLst>
            <a:ext uri="{FF2B5EF4-FFF2-40B4-BE49-F238E27FC236}">
              <a16:creationId xmlns:a16="http://schemas.microsoft.com/office/drawing/2014/main" id="{00000000-0008-0000-0900-000040000000}"/>
            </a:ext>
          </a:extLst>
        </xdr:cNvPr>
        <xdr:cNvCxnSpPr>
          <a:stCxn id="39" idx="3"/>
          <a:endCxn id="55" idx="1"/>
        </xdr:cNvCxnSpPr>
      </xdr:nvCxnSpPr>
      <xdr:spPr bwMode="auto">
        <a:xfrm>
          <a:off x="5537949" y="13029930"/>
          <a:ext cx="700927" cy="3655992"/>
        </a:xfrm>
        <a:prstGeom prst="bentConnector3">
          <a:avLst>
            <a:gd name="adj1" fmla="val 5407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67</xdr:row>
      <xdr:rowOff>37830</xdr:rowOff>
    </xdr:from>
    <xdr:to>
      <xdr:col>31</xdr:col>
      <xdr:colOff>38100</xdr:colOff>
      <xdr:row>81</xdr:row>
      <xdr:rowOff>43251</xdr:rowOff>
    </xdr:to>
    <xdr:cxnSp macro="">
      <xdr:nvCxnSpPr>
        <xdr:cNvPr id="65" name="カギ線コネクタ 64">
          <a:extLst>
            <a:ext uri="{FF2B5EF4-FFF2-40B4-BE49-F238E27FC236}">
              <a16:creationId xmlns:a16="http://schemas.microsoft.com/office/drawing/2014/main" id="{00000000-0008-0000-0900-000041000000}"/>
            </a:ext>
          </a:extLst>
        </xdr:cNvPr>
        <xdr:cNvCxnSpPr>
          <a:stCxn id="39" idx="3"/>
          <a:endCxn id="54" idx="1"/>
        </xdr:cNvCxnSpPr>
      </xdr:nvCxnSpPr>
      <xdr:spPr bwMode="auto">
        <a:xfrm>
          <a:off x="5537949" y="13029930"/>
          <a:ext cx="700926" cy="2805771"/>
        </a:xfrm>
        <a:prstGeom prst="bentConnector3">
          <a:avLst>
            <a:gd name="adj1" fmla="val 5407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137274</xdr:colOff>
      <xdr:row>55</xdr:row>
      <xdr:rowOff>68691</xdr:rowOff>
    </xdr:from>
    <xdr:to>
      <xdr:col>31</xdr:col>
      <xdr:colOff>66675</xdr:colOff>
      <xdr:row>67</xdr:row>
      <xdr:rowOff>37830</xdr:rowOff>
    </xdr:to>
    <xdr:cxnSp macro="">
      <xdr:nvCxnSpPr>
        <xdr:cNvPr id="66" name="カギ線コネクタ 65">
          <a:extLst>
            <a:ext uri="{FF2B5EF4-FFF2-40B4-BE49-F238E27FC236}">
              <a16:creationId xmlns:a16="http://schemas.microsoft.com/office/drawing/2014/main" id="{00000000-0008-0000-0900-000042000000}"/>
            </a:ext>
          </a:extLst>
        </xdr:cNvPr>
        <xdr:cNvCxnSpPr>
          <a:stCxn id="39" idx="3"/>
          <a:endCxn id="45" idx="1"/>
        </xdr:cNvCxnSpPr>
      </xdr:nvCxnSpPr>
      <xdr:spPr bwMode="auto">
        <a:xfrm flipV="1">
          <a:off x="5537949" y="10660491"/>
          <a:ext cx="729501" cy="236943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1715</xdr:colOff>
      <xdr:row>84</xdr:row>
      <xdr:rowOff>104030</xdr:rowOff>
    </xdr:from>
    <xdr:to>
      <xdr:col>48</xdr:col>
      <xdr:colOff>120115</xdr:colOff>
      <xdr:row>86</xdr:row>
      <xdr:rowOff>85853</xdr:rowOff>
    </xdr:to>
    <xdr:sp macro="" textlink="">
      <xdr:nvSpPr>
        <xdr:cNvPr id="67" name="Text Box 56">
          <a:extLst>
            <a:ext uri="{FF2B5EF4-FFF2-40B4-BE49-F238E27FC236}">
              <a16:creationId xmlns:a16="http://schemas.microsoft.com/office/drawing/2014/main" id="{00000000-0008-0000-0900-000043000000}"/>
            </a:ext>
          </a:extLst>
        </xdr:cNvPr>
        <xdr:cNvSpPr txBox="1">
          <a:spLocks noChangeArrowheads="1"/>
        </xdr:cNvSpPr>
      </xdr:nvSpPr>
      <xdr:spPr bwMode="auto">
        <a:xfrm>
          <a:off x="8602790" y="16496555"/>
          <a:ext cx="1118525" cy="38187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132416</xdr:colOff>
      <xdr:row>85</xdr:row>
      <xdr:rowOff>93372</xdr:rowOff>
    </xdr:from>
    <xdr:to>
      <xdr:col>43</xdr:col>
      <xdr:colOff>1715</xdr:colOff>
      <xdr:row>85</xdr:row>
      <xdr:rowOff>94942</xdr:rowOff>
    </xdr:to>
    <xdr:cxnSp macro="">
      <xdr:nvCxnSpPr>
        <xdr:cNvPr id="68" name="直線矢印コネクタ 67">
          <a:extLst>
            <a:ext uri="{FF2B5EF4-FFF2-40B4-BE49-F238E27FC236}">
              <a16:creationId xmlns:a16="http://schemas.microsoft.com/office/drawing/2014/main" id="{00000000-0008-0000-0900-000044000000}"/>
            </a:ext>
          </a:extLst>
        </xdr:cNvPr>
        <xdr:cNvCxnSpPr>
          <a:stCxn id="55" idx="3"/>
          <a:endCxn id="67" idx="1"/>
        </xdr:cNvCxnSpPr>
      </xdr:nvCxnSpPr>
      <xdr:spPr bwMode="auto">
        <a:xfrm>
          <a:off x="8333441" y="16685922"/>
          <a:ext cx="269349" cy="15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31</xdr:col>
      <xdr:colOff>86115</xdr:colOff>
      <xdr:row>92</xdr:row>
      <xdr:rowOff>68969</xdr:rowOff>
    </xdr:from>
    <xdr:to>
      <xdr:col>41</xdr:col>
      <xdr:colOff>163356</xdr:colOff>
      <xdr:row>95</xdr:row>
      <xdr:rowOff>73451</xdr:rowOff>
    </xdr:to>
    <xdr:sp macro="" textlink="">
      <xdr:nvSpPr>
        <xdr:cNvPr id="69" name="フローチャート: 定義済み処理 68">
          <a:extLst>
            <a:ext uri="{FF2B5EF4-FFF2-40B4-BE49-F238E27FC236}">
              <a16:creationId xmlns:a16="http://schemas.microsoft.com/office/drawing/2014/main" id="{00000000-0008-0000-0900-000045000000}"/>
            </a:ext>
          </a:extLst>
        </xdr:cNvPr>
        <xdr:cNvSpPr/>
      </xdr:nvSpPr>
      <xdr:spPr bwMode="auto">
        <a:xfrm>
          <a:off x="6286890" y="18061694"/>
          <a:ext cx="2077491" cy="604557"/>
        </a:xfrm>
        <a:prstGeom prst="flowChartPredefinedProcess">
          <a:avLst/>
        </a:prstGeom>
        <a:solidFill>
          <a:sysClr val="window" lastClr="FFFFFF"/>
        </a:solidFill>
        <a:ln w="38100"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800">
              <a:latin typeface="Meiryo UI" panose="020B0604030504040204" pitchFamily="50" charset="-128"/>
              <a:ea typeface="Meiryo UI" panose="020B0604030504040204" pitchFamily="50" charset="-128"/>
              <a:cs typeface="Meiryo UI" panose="020B0604030504040204" pitchFamily="50" charset="-128"/>
            </a:rPr>
            <a:t>MSLAL5020 </a:t>
          </a:r>
          <a:br>
            <a:rPr kumimoji="1" lang="en-US" altLang="ja-JP" sz="800">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latin typeface="Meiryo UI" panose="020B0604030504040204" pitchFamily="50" charset="-128"/>
              <a:ea typeface="Meiryo UI" panose="020B0604030504040204" pitchFamily="50" charset="-128"/>
              <a:cs typeface="Meiryo UI" panose="020B0604030504040204" pitchFamily="50" charset="-128"/>
            </a:rPr>
            <a:t>ＥＤＩ発注送信ＩＦサービス</a:t>
          </a:r>
        </a:p>
      </xdr:txBody>
    </xdr:sp>
    <xdr:clientData/>
  </xdr:twoCellAnchor>
  <xdr:twoCellAnchor>
    <xdr:from>
      <xdr:col>27</xdr:col>
      <xdr:colOff>137274</xdr:colOff>
      <xdr:row>67</xdr:row>
      <xdr:rowOff>37830</xdr:rowOff>
    </xdr:from>
    <xdr:to>
      <xdr:col>31</xdr:col>
      <xdr:colOff>86115</xdr:colOff>
      <xdr:row>93</xdr:row>
      <xdr:rowOff>171223</xdr:rowOff>
    </xdr:to>
    <xdr:cxnSp macro="">
      <xdr:nvCxnSpPr>
        <xdr:cNvPr id="70" name="カギ線コネクタ 48">
          <a:extLst>
            <a:ext uri="{FF2B5EF4-FFF2-40B4-BE49-F238E27FC236}">
              <a16:creationId xmlns:a16="http://schemas.microsoft.com/office/drawing/2014/main" id="{00000000-0008-0000-0900-000046000000}"/>
            </a:ext>
          </a:extLst>
        </xdr:cNvPr>
        <xdr:cNvCxnSpPr>
          <a:stCxn id="39" idx="3"/>
          <a:endCxn id="69" idx="1"/>
        </xdr:cNvCxnSpPr>
      </xdr:nvCxnSpPr>
      <xdr:spPr bwMode="auto">
        <a:xfrm>
          <a:off x="5537949" y="13029930"/>
          <a:ext cx="748941" cy="533404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169725</xdr:colOff>
      <xdr:row>92</xdr:row>
      <xdr:rowOff>182211</xdr:rowOff>
    </xdr:from>
    <xdr:to>
      <xdr:col>48</xdr:col>
      <xdr:colOff>114927</xdr:colOff>
      <xdr:row>94</xdr:row>
      <xdr:rowOff>161925</xdr:rowOff>
    </xdr:to>
    <xdr:sp macro="" textlink="">
      <xdr:nvSpPr>
        <xdr:cNvPr id="71" name="Text Box 56">
          <a:extLst>
            <a:ext uri="{FF2B5EF4-FFF2-40B4-BE49-F238E27FC236}">
              <a16:creationId xmlns:a16="http://schemas.microsoft.com/office/drawing/2014/main" id="{00000000-0008-0000-0900-000047000000}"/>
            </a:ext>
          </a:extLst>
        </xdr:cNvPr>
        <xdr:cNvSpPr txBox="1">
          <a:spLocks noChangeArrowheads="1"/>
        </xdr:cNvSpPr>
      </xdr:nvSpPr>
      <xdr:spPr bwMode="auto">
        <a:xfrm>
          <a:off x="8570775" y="18174936"/>
          <a:ext cx="1145352" cy="379764"/>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発注送信ＩＦ</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163356</xdr:colOff>
      <xdr:row>93</xdr:row>
      <xdr:rowOff>171223</xdr:rowOff>
    </xdr:from>
    <xdr:to>
      <xdr:col>42</xdr:col>
      <xdr:colOff>169725</xdr:colOff>
      <xdr:row>93</xdr:row>
      <xdr:rowOff>172068</xdr:rowOff>
    </xdr:to>
    <xdr:cxnSp macro="">
      <xdr:nvCxnSpPr>
        <xdr:cNvPr id="72" name="直線矢印コネクタ 71">
          <a:extLst>
            <a:ext uri="{FF2B5EF4-FFF2-40B4-BE49-F238E27FC236}">
              <a16:creationId xmlns:a16="http://schemas.microsoft.com/office/drawing/2014/main" id="{00000000-0008-0000-0900-000048000000}"/>
            </a:ext>
          </a:extLst>
        </xdr:cNvPr>
        <xdr:cNvCxnSpPr>
          <a:stCxn id="69" idx="3"/>
          <a:endCxn id="71" idx="1"/>
        </xdr:cNvCxnSpPr>
      </xdr:nvCxnSpPr>
      <xdr:spPr bwMode="auto">
        <a:xfrm>
          <a:off x="8364381" y="18363973"/>
          <a:ext cx="206394" cy="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190501</xdr:colOff>
      <xdr:row>65</xdr:row>
      <xdr:rowOff>40902</xdr:rowOff>
    </xdr:from>
    <xdr:to>
      <xdr:col>14</xdr:col>
      <xdr:colOff>152400</xdr:colOff>
      <xdr:row>69</xdr:row>
      <xdr:rowOff>79003</xdr:rowOff>
    </xdr:to>
    <xdr:sp macro="" textlink="">
      <xdr:nvSpPr>
        <xdr:cNvPr id="74" name="正方形/長方形 73">
          <a:extLst>
            <a:ext uri="{FF2B5EF4-FFF2-40B4-BE49-F238E27FC236}">
              <a16:creationId xmlns:a16="http://schemas.microsoft.com/office/drawing/2014/main" id="{00000000-0008-0000-0900-00004A000000}"/>
            </a:ext>
          </a:extLst>
        </xdr:cNvPr>
        <xdr:cNvSpPr/>
      </xdr:nvSpPr>
      <xdr:spPr>
        <a:xfrm>
          <a:off x="590551" y="12632952"/>
          <a:ext cx="2362199" cy="838201"/>
        </a:xfrm>
        <a:prstGeom prst="rect">
          <a:avLst/>
        </a:prstGeom>
        <a:no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64436</xdr:colOff>
      <xdr:row>70</xdr:row>
      <xdr:rowOff>38663</xdr:rowOff>
    </xdr:from>
    <xdr:to>
      <xdr:col>16</xdr:col>
      <xdr:colOff>32497</xdr:colOff>
      <xdr:row>71</xdr:row>
      <xdr:rowOff>128307</xdr:rowOff>
    </xdr:to>
    <xdr:sp macro="" textlink="">
      <xdr:nvSpPr>
        <xdr:cNvPr id="75" name="線吹き出し 1 (枠付き) 74">
          <a:extLst>
            <a:ext uri="{FF2B5EF4-FFF2-40B4-BE49-F238E27FC236}">
              <a16:creationId xmlns:a16="http://schemas.microsoft.com/office/drawing/2014/main" id="{00000000-0008-0000-0900-00004B000000}"/>
            </a:ext>
          </a:extLst>
        </xdr:cNvPr>
        <xdr:cNvSpPr/>
      </xdr:nvSpPr>
      <xdr:spPr>
        <a:xfrm>
          <a:off x="2264711" y="13630838"/>
          <a:ext cx="968186" cy="289669"/>
        </a:xfrm>
        <a:prstGeom prst="borderCallout1">
          <a:avLst>
            <a:gd name="adj1" fmla="val 20504"/>
            <a:gd name="adj2" fmla="val -2211"/>
            <a:gd name="adj3" fmla="val -38901"/>
            <a:gd name="adj4" fmla="val -16381"/>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カスタマイズ箇所</a:t>
          </a:r>
        </a:p>
      </xdr:txBody>
    </xdr:sp>
    <xdr:clientData/>
  </xdr:twoCellAnchor>
  <xdr:twoCellAnchor>
    <xdr:from>
      <xdr:col>16</xdr:col>
      <xdr:colOff>177615</xdr:colOff>
      <xdr:row>65</xdr:row>
      <xdr:rowOff>36419</xdr:rowOff>
    </xdr:from>
    <xdr:to>
      <xdr:col>28</xdr:col>
      <xdr:colOff>76201</xdr:colOff>
      <xdr:row>69</xdr:row>
      <xdr:rowOff>74520</xdr:rowOff>
    </xdr:to>
    <xdr:sp macro="" textlink="">
      <xdr:nvSpPr>
        <xdr:cNvPr id="76" name="正方形/長方形 75">
          <a:extLst>
            <a:ext uri="{FF2B5EF4-FFF2-40B4-BE49-F238E27FC236}">
              <a16:creationId xmlns:a16="http://schemas.microsoft.com/office/drawing/2014/main" id="{00000000-0008-0000-0900-00004C000000}"/>
            </a:ext>
          </a:extLst>
        </xdr:cNvPr>
        <xdr:cNvSpPr/>
      </xdr:nvSpPr>
      <xdr:spPr>
        <a:xfrm>
          <a:off x="3378015" y="12628469"/>
          <a:ext cx="2298886" cy="838201"/>
        </a:xfrm>
        <a:prstGeom prst="rect">
          <a:avLst/>
        </a:prstGeom>
        <a:no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36420</xdr:colOff>
      <xdr:row>61</xdr:row>
      <xdr:rowOff>129428</xdr:rowOff>
    </xdr:from>
    <xdr:to>
      <xdr:col>25</xdr:col>
      <xdr:colOff>27347</xdr:colOff>
      <xdr:row>63</xdr:row>
      <xdr:rowOff>52247</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4036920" y="11921378"/>
          <a:ext cx="991052" cy="322869"/>
        </a:xfrm>
        <a:prstGeom prst="borderCallout1">
          <a:avLst>
            <a:gd name="adj1" fmla="val 110544"/>
            <a:gd name="adj2" fmla="val 12045"/>
            <a:gd name="adj3" fmla="val 185431"/>
            <a:gd name="adj4" fmla="val 6215"/>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カスタマイズ箇所</a:t>
          </a:r>
        </a:p>
      </xdr:txBody>
    </xdr:sp>
    <xdr:clientData/>
  </xdr:twoCellAnchor>
  <xdr:twoCellAnchor>
    <xdr:from>
      <xdr:col>1</xdr:col>
      <xdr:colOff>189942</xdr:colOff>
      <xdr:row>71</xdr:row>
      <xdr:rowOff>161644</xdr:rowOff>
    </xdr:from>
    <xdr:to>
      <xdr:col>15</xdr:col>
      <xdr:colOff>122332</xdr:colOff>
      <xdr:row>77</xdr:row>
      <xdr:rowOff>136523</xdr:rowOff>
    </xdr:to>
    <xdr:sp macro="" textlink="">
      <xdr:nvSpPr>
        <xdr:cNvPr id="73" name="正方形/長方形 72">
          <a:extLst>
            <a:ext uri="{FF2B5EF4-FFF2-40B4-BE49-F238E27FC236}">
              <a16:creationId xmlns:a16="http://schemas.microsoft.com/office/drawing/2014/main" id="{00000000-0008-0000-0900-000049000000}"/>
            </a:ext>
          </a:extLst>
        </xdr:cNvPr>
        <xdr:cNvSpPr/>
      </xdr:nvSpPr>
      <xdr:spPr bwMode="auto">
        <a:xfrm>
          <a:off x="389967" y="13953844"/>
          <a:ext cx="2732740" cy="1175029"/>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122705</xdr:colOff>
      <xdr:row>72</xdr:row>
      <xdr:rowOff>90048</xdr:rowOff>
    </xdr:from>
    <xdr:to>
      <xdr:col>8</xdr:col>
      <xdr:colOff>108137</xdr:colOff>
      <xdr:row>74</xdr:row>
      <xdr:rowOff>114859</xdr:rowOff>
    </xdr:to>
    <xdr:sp macro="" textlink="">
      <xdr:nvSpPr>
        <xdr:cNvPr id="78" name="Text Box 56">
          <a:extLst>
            <a:ext uri="{FF2B5EF4-FFF2-40B4-BE49-F238E27FC236}">
              <a16:creationId xmlns:a16="http://schemas.microsoft.com/office/drawing/2014/main" id="{00000000-0008-0000-0900-00004E000000}"/>
            </a:ext>
          </a:extLst>
        </xdr:cNvPr>
        <xdr:cNvSpPr txBox="1">
          <a:spLocks noChangeArrowheads="1"/>
        </xdr:cNvSpPr>
      </xdr:nvSpPr>
      <xdr:spPr bwMode="auto">
        <a:xfrm>
          <a:off x="522755" y="14082273"/>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品目製造指図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41463</xdr:colOff>
      <xdr:row>72</xdr:row>
      <xdr:rowOff>96771</xdr:rowOff>
    </xdr:from>
    <xdr:to>
      <xdr:col>15</xdr:col>
      <xdr:colOff>26895</xdr:colOff>
      <xdr:row>74</xdr:row>
      <xdr:rowOff>121582</xdr:rowOff>
    </xdr:to>
    <xdr:sp macro="" textlink="">
      <xdr:nvSpPr>
        <xdr:cNvPr id="79" name="Text Box 56">
          <a:extLst>
            <a:ext uri="{FF2B5EF4-FFF2-40B4-BE49-F238E27FC236}">
              <a16:creationId xmlns:a16="http://schemas.microsoft.com/office/drawing/2014/main" id="{00000000-0008-0000-0900-00004F000000}"/>
            </a:ext>
          </a:extLst>
        </xdr:cNvPr>
        <xdr:cNvSpPr txBox="1">
          <a:spLocks noChangeArrowheads="1"/>
        </xdr:cNvSpPr>
      </xdr:nvSpPr>
      <xdr:spPr bwMode="auto">
        <a:xfrm>
          <a:off x="1841688" y="14088996"/>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案件手配紐付情報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118223</xdr:colOff>
      <xdr:row>74</xdr:row>
      <xdr:rowOff>197625</xdr:rowOff>
    </xdr:from>
    <xdr:to>
      <xdr:col>8</xdr:col>
      <xdr:colOff>103655</xdr:colOff>
      <xdr:row>77</xdr:row>
      <xdr:rowOff>22411</xdr:rowOff>
    </xdr:to>
    <xdr:sp macro="" textlink="">
      <xdr:nvSpPr>
        <xdr:cNvPr id="81" name="Text Box 56">
          <a:extLst>
            <a:ext uri="{FF2B5EF4-FFF2-40B4-BE49-F238E27FC236}">
              <a16:creationId xmlns:a16="http://schemas.microsoft.com/office/drawing/2014/main" id="{00000000-0008-0000-0900-000051000000}"/>
            </a:ext>
          </a:extLst>
        </xdr:cNvPr>
        <xdr:cNvSpPr txBox="1">
          <a:spLocks noChangeArrowheads="1"/>
        </xdr:cNvSpPr>
      </xdr:nvSpPr>
      <xdr:spPr bwMode="auto">
        <a:xfrm>
          <a:off x="518273" y="14589900"/>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565</xdr:colOff>
      <xdr:row>79</xdr:row>
      <xdr:rowOff>82641</xdr:rowOff>
    </xdr:from>
    <xdr:to>
      <xdr:col>15</xdr:col>
      <xdr:colOff>132980</xdr:colOff>
      <xdr:row>92</xdr:row>
      <xdr:rowOff>141193</xdr:rowOff>
    </xdr:to>
    <xdr:sp macro="" textlink="">
      <xdr:nvSpPr>
        <xdr:cNvPr id="83" name="正方形/長方形 82">
          <a:extLst>
            <a:ext uri="{FF2B5EF4-FFF2-40B4-BE49-F238E27FC236}">
              <a16:creationId xmlns:a16="http://schemas.microsoft.com/office/drawing/2014/main" id="{00000000-0008-0000-0900-000053000000}"/>
            </a:ext>
          </a:extLst>
        </xdr:cNvPr>
        <xdr:cNvSpPr/>
      </xdr:nvSpPr>
      <xdr:spPr bwMode="auto">
        <a:xfrm>
          <a:off x="400615" y="15475041"/>
          <a:ext cx="2732740" cy="2658877"/>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133353</xdr:colOff>
      <xdr:row>80</xdr:row>
      <xdr:rowOff>11046</xdr:rowOff>
    </xdr:from>
    <xdr:to>
      <xdr:col>8</xdr:col>
      <xdr:colOff>118785</xdr:colOff>
      <xdr:row>82</xdr:row>
      <xdr:rowOff>35857</xdr:rowOff>
    </xdr:to>
    <xdr:sp macro="" textlink="">
      <xdr:nvSpPr>
        <xdr:cNvPr id="84" name="Text Box 56">
          <a:extLst>
            <a:ext uri="{FF2B5EF4-FFF2-40B4-BE49-F238E27FC236}">
              <a16:creationId xmlns:a16="http://schemas.microsoft.com/office/drawing/2014/main" id="{00000000-0008-0000-0900-000054000000}"/>
            </a:ext>
          </a:extLst>
        </xdr:cNvPr>
        <xdr:cNvSpPr txBox="1">
          <a:spLocks noChangeArrowheads="1"/>
        </xdr:cNvSpPr>
      </xdr:nvSpPr>
      <xdr:spPr bwMode="auto">
        <a:xfrm>
          <a:off x="533403" y="15603471"/>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入荷進捗</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50430</xdr:colOff>
      <xdr:row>80</xdr:row>
      <xdr:rowOff>17769</xdr:rowOff>
    </xdr:from>
    <xdr:to>
      <xdr:col>15</xdr:col>
      <xdr:colOff>35862</xdr:colOff>
      <xdr:row>82</xdr:row>
      <xdr:rowOff>42580</xdr:rowOff>
    </xdr:to>
    <xdr:sp macro="" textlink="">
      <xdr:nvSpPr>
        <xdr:cNvPr id="85" name="Text Box 56">
          <a:extLst>
            <a:ext uri="{FF2B5EF4-FFF2-40B4-BE49-F238E27FC236}">
              <a16:creationId xmlns:a16="http://schemas.microsoft.com/office/drawing/2014/main" id="{00000000-0008-0000-0900-000055000000}"/>
            </a:ext>
          </a:extLst>
        </xdr:cNvPr>
        <xdr:cNvSpPr txBox="1">
          <a:spLocks noChangeArrowheads="1"/>
        </xdr:cNvSpPr>
      </xdr:nvSpPr>
      <xdr:spPr bwMode="auto">
        <a:xfrm>
          <a:off x="1850655" y="15610194"/>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入荷予定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128871</xdr:colOff>
      <xdr:row>82</xdr:row>
      <xdr:rowOff>118623</xdr:rowOff>
    </xdr:from>
    <xdr:to>
      <xdr:col>8</xdr:col>
      <xdr:colOff>114303</xdr:colOff>
      <xdr:row>84</xdr:row>
      <xdr:rowOff>143434</xdr:rowOff>
    </xdr:to>
    <xdr:sp macro="" textlink="">
      <xdr:nvSpPr>
        <xdr:cNvPr id="86" name="Text Box 56">
          <a:extLst>
            <a:ext uri="{FF2B5EF4-FFF2-40B4-BE49-F238E27FC236}">
              <a16:creationId xmlns:a16="http://schemas.microsoft.com/office/drawing/2014/main" id="{00000000-0008-0000-0900-000056000000}"/>
            </a:ext>
          </a:extLst>
        </xdr:cNvPr>
        <xdr:cNvSpPr txBox="1">
          <a:spLocks noChangeArrowheads="1"/>
        </xdr:cNvSpPr>
      </xdr:nvSpPr>
      <xdr:spPr bwMode="auto">
        <a:xfrm>
          <a:off x="528921" y="16111098"/>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45948</xdr:colOff>
      <xdr:row>82</xdr:row>
      <xdr:rowOff>125346</xdr:rowOff>
    </xdr:from>
    <xdr:to>
      <xdr:col>15</xdr:col>
      <xdr:colOff>31380</xdr:colOff>
      <xdr:row>84</xdr:row>
      <xdr:rowOff>150157</xdr:rowOff>
    </xdr:to>
    <xdr:sp macro="" textlink="">
      <xdr:nvSpPr>
        <xdr:cNvPr id="87" name="Text Box 56">
          <a:extLst>
            <a:ext uri="{FF2B5EF4-FFF2-40B4-BE49-F238E27FC236}">
              <a16:creationId xmlns:a16="http://schemas.microsoft.com/office/drawing/2014/main" id="{00000000-0008-0000-0900-000057000000}"/>
            </a:ext>
          </a:extLst>
        </xdr:cNvPr>
        <xdr:cNvSpPr txBox="1">
          <a:spLocks noChangeArrowheads="1"/>
        </xdr:cNvSpPr>
      </xdr:nvSpPr>
      <xdr:spPr bwMode="auto">
        <a:xfrm>
          <a:off x="1846173" y="16117821"/>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128871</xdr:colOff>
      <xdr:row>85</xdr:row>
      <xdr:rowOff>28975</xdr:rowOff>
    </xdr:from>
    <xdr:to>
      <xdr:col>8</xdr:col>
      <xdr:colOff>114303</xdr:colOff>
      <xdr:row>87</xdr:row>
      <xdr:rowOff>53786</xdr:rowOff>
    </xdr:to>
    <xdr:sp macro="" textlink="">
      <xdr:nvSpPr>
        <xdr:cNvPr id="88" name="Text Box 56">
          <a:extLst>
            <a:ext uri="{FF2B5EF4-FFF2-40B4-BE49-F238E27FC236}">
              <a16:creationId xmlns:a16="http://schemas.microsoft.com/office/drawing/2014/main" id="{00000000-0008-0000-0900-000058000000}"/>
            </a:ext>
          </a:extLst>
        </xdr:cNvPr>
        <xdr:cNvSpPr txBox="1">
          <a:spLocks noChangeArrowheads="1"/>
        </xdr:cNvSpPr>
      </xdr:nvSpPr>
      <xdr:spPr bwMode="auto">
        <a:xfrm>
          <a:off x="528921" y="16621525"/>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45948</xdr:colOff>
      <xdr:row>85</xdr:row>
      <xdr:rowOff>35698</xdr:rowOff>
    </xdr:from>
    <xdr:to>
      <xdr:col>15</xdr:col>
      <xdr:colOff>31380</xdr:colOff>
      <xdr:row>87</xdr:row>
      <xdr:rowOff>60509</xdr:rowOff>
    </xdr:to>
    <xdr:sp macro="" textlink="">
      <xdr:nvSpPr>
        <xdr:cNvPr id="89" name="Text Box 56">
          <a:extLst>
            <a:ext uri="{FF2B5EF4-FFF2-40B4-BE49-F238E27FC236}">
              <a16:creationId xmlns:a16="http://schemas.microsoft.com/office/drawing/2014/main" id="{00000000-0008-0000-0900-000059000000}"/>
            </a:ext>
          </a:extLst>
        </xdr:cNvPr>
        <xdr:cNvSpPr txBox="1">
          <a:spLocks noChangeArrowheads="1"/>
        </xdr:cNvSpPr>
      </xdr:nvSpPr>
      <xdr:spPr bwMode="auto">
        <a:xfrm>
          <a:off x="1846173" y="16628248"/>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仕入予定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124389</xdr:colOff>
      <xdr:row>87</xdr:row>
      <xdr:rowOff>136552</xdr:rowOff>
    </xdr:from>
    <xdr:to>
      <xdr:col>8</xdr:col>
      <xdr:colOff>109821</xdr:colOff>
      <xdr:row>89</xdr:row>
      <xdr:rowOff>161364</xdr:rowOff>
    </xdr:to>
    <xdr:sp macro="" textlink="">
      <xdr:nvSpPr>
        <xdr:cNvPr id="90" name="Text Box 56">
          <a:extLst>
            <a:ext uri="{FF2B5EF4-FFF2-40B4-BE49-F238E27FC236}">
              <a16:creationId xmlns:a16="http://schemas.microsoft.com/office/drawing/2014/main" id="{00000000-0008-0000-0900-00005A000000}"/>
            </a:ext>
          </a:extLst>
        </xdr:cNvPr>
        <xdr:cNvSpPr txBox="1">
          <a:spLocks noChangeArrowheads="1"/>
        </xdr:cNvSpPr>
      </xdr:nvSpPr>
      <xdr:spPr bwMode="auto">
        <a:xfrm>
          <a:off x="524439" y="17129152"/>
          <a:ext cx="1185582" cy="42486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41466</xdr:colOff>
      <xdr:row>87</xdr:row>
      <xdr:rowOff>143275</xdr:rowOff>
    </xdr:from>
    <xdr:to>
      <xdr:col>15</xdr:col>
      <xdr:colOff>26898</xdr:colOff>
      <xdr:row>89</xdr:row>
      <xdr:rowOff>166406</xdr:rowOff>
    </xdr:to>
    <xdr:sp macro="" textlink="">
      <xdr:nvSpPr>
        <xdr:cNvPr id="91" name="Text Box 56">
          <a:extLst>
            <a:ext uri="{FF2B5EF4-FFF2-40B4-BE49-F238E27FC236}">
              <a16:creationId xmlns:a16="http://schemas.microsoft.com/office/drawing/2014/main" id="{00000000-0008-0000-0900-00005B000000}"/>
            </a:ext>
          </a:extLst>
        </xdr:cNvPr>
        <xdr:cNvSpPr txBox="1">
          <a:spLocks noChangeArrowheads="1"/>
        </xdr:cNvSpPr>
      </xdr:nvSpPr>
      <xdr:spPr bwMode="auto">
        <a:xfrm>
          <a:off x="1841691" y="17135875"/>
          <a:ext cx="1185582" cy="42318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品目オーダ</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124389</xdr:colOff>
      <xdr:row>90</xdr:row>
      <xdr:rowOff>31216</xdr:rowOff>
    </xdr:from>
    <xdr:to>
      <xdr:col>8</xdr:col>
      <xdr:colOff>109821</xdr:colOff>
      <xdr:row>92</xdr:row>
      <xdr:rowOff>56027</xdr:rowOff>
    </xdr:to>
    <xdr:sp macro="" textlink="">
      <xdr:nvSpPr>
        <xdr:cNvPr id="96" name="Text Box 56">
          <a:extLst>
            <a:ext uri="{FF2B5EF4-FFF2-40B4-BE49-F238E27FC236}">
              <a16:creationId xmlns:a16="http://schemas.microsoft.com/office/drawing/2014/main" id="{00000000-0008-0000-0900-000060000000}"/>
            </a:ext>
          </a:extLst>
        </xdr:cNvPr>
        <xdr:cNvSpPr txBox="1">
          <a:spLocks noChangeArrowheads="1"/>
        </xdr:cNvSpPr>
      </xdr:nvSpPr>
      <xdr:spPr bwMode="auto">
        <a:xfrm>
          <a:off x="524439" y="17623891"/>
          <a:ext cx="1185582" cy="42486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工程オーダ</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156137</xdr:colOff>
      <xdr:row>68</xdr:row>
      <xdr:rowOff>150117</xdr:rowOff>
    </xdr:from>
    <xdr:to>
      <xdr:col>8</xdr:col>
      <xdr:colOff>158497</xdr:colOff>
      <xdr:row>71</xdr:row>
      <xdr:rowOff>161644</xdr:rowOff>
    </xdr:to>
    <xdr:cxnSp macro="">
      <xdr:nvCxnSpPr>
        <xdr:cNvPr id="100" name="カギ線コネクタ 99">
          <a:extLst>
            <a:ext uri="{FF2B5EF4-FFF2-40B4-BE49-F238E27FC236}">
              <a16:creationId xmlns:a16="http://schemas.microsoft.com/office/drawing/2014/main" id="{00000000-0008-0000-0900-000064000000}"/>
            </a:ext>
          </a:extLst>
        </xdr:cNvPr>
        <xdr:cNvCxnSpPr>
          <a:stCxn id="73" idx="0"/>
          <a:endCxn id="41" idx="2"/>
        </xdr:cNvCxnSpPr>
      </xdr:nvCxnSpPr>
      <xdr:spPr bwMode="auto">
        <a:xfrm rot="5400000" flipH="1" flipV="1">
          <a:off x="1451716" y="13646863"/>
          <a:ext cx="611602" cy="236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166786</xdr:colOff>
      <xdr:row>68</xdr:row>
      <xdr:rowOff>149051</xdr:rowOff>
    </xdr:from>
    <xdr:to>
      <xdr:col>22</xdr:col>
      <xdr:colOff>104034</xdr:colOff>
      <xdr:row>79</xdr:row>
      <xdr:rowOff>82641</xdr:rowOff>
    </xdr:to>
    <xdr:cxnSp macro="">
      <xdr:nvCxnSpPr>
        <xdr:cNvPr id="101" name="カギ線コネクタ 100">
          <a:extLst>
            <a:ext uri="{FF2B5EF4-FFF2-40B4-BE49-F238E27FC236}">
              <a16:creationId xmlns:a16="http://schemas.microsoft.com/office/drawing/2014/main" id="{00000000-0008-0000-0900-000065000000}"/>
            </a:ext>
          </a:extLst>
        </xdr:cNvPr>
        <xdr:cNvCxnSpPr>
          <a:stCxn id="83" idx="0"/>
          <a:endCxn id="39" idx="2"/>
        </xdr:cNvCxnSpPr>
      </xdr:nvCxnSpPr>
      <xdr:spPr bwMode="auto">
        <a:xfrm rot="5400000" flipH="1" flipV="1">
          <a:off x="2068852" y="13039310"/>
          <a:ext cx="2133865" cy="2737598"/>
        </a:xfrm>
        <a:prstGeom prst="bentConnector3">
          <a:avLst>
            <a:gd name="adj1" fmla="val 759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36</xdr:col>
      <xdr:colOff>20781</xdr:colOff>
      <xdr:row>5</xdr:row>
      <xdr:rowOff>179292</xdr:rowOff>
    </xdr:from>
    <xdr:to>
      <xdr:col>49</xdr:col>
      <xdr:colOff>105479</xdr:colOff>
      <xdr:row>18</xdr:row>
      <xdr:rowOff>123264</xdr:rowOff>
    </xdr:to>
    <xdr:pic>
      <xdr:nvPicPr>
        <xdr:cNvPr id="10" name="図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1"/>
        <a:stretch>
          <a:fillRect/>
        </a:stretch>
      </xdr:blipFill>
      <xdr:spPr>
        <a:xfrm>
          <a:off x="7282193" y="986116"/>
          <a:ext cx="2706874" cy="2476501"/>
        </a:xfrm>
        <a:prstGeom prst="rect">
          <a:avLst/>
        </a:prstGeom>
      </xdr:spPr>
    </xdr:pic>
    <xdr:clientData/>
  </xdr:twoCellAnchor>
  <xdr:twoCellAnchor>
    <xdr:from>
      <xdr:col>10</xdr:col>
      <xdr:colOff>67326</xdr:colOff>
      <xdr:row>17</xdr:row>
      <xdr:rowOff>10457</xdr:rowOff>
    </xdr:from>
    <xdr:to>
      <xdr:col>10</xdr:col>
      <xdr:colOff>70412</xdr:colOff>
      <xdr:row>19</xdr:row>
      <xdr:rowOff>118034</xdr:rowOff>
    </xdr:to>
    <xdr:cxnSp macro="">
      <xdr:nvCxnSpPr>
        <xdr:cNvPr id="82" name="カギ線コネクタ 81">
          <a:extLst>
            <a:ext uri="{FF2B5EF4-FFF2-40B4-BE49-F238E27FC236}">
              <a16:creationId xmlns:a16="http://schemas.microsoft.com/office/drawing/2014/main" id="{00000000-0008-0000-0900-000052000000}"/>
            </a:ext>
          </a:extLst>
        </xdr:cNvPr>
        <xdr:cNvCxnSpPr>
          <a:stCxn id="94" idx="2"/>
          <a:endCxn id="92" idx="0"/>
        </xdr:cNvCxnSpPr>
      </xdr:nvCxnSpPr>
      <xdr:spPr bwMode="auto">
        <a:xfrm rot="5400000">
          <a:off x="1830434" y="16882732"/>
          <a:ext cx="510988" cy="308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132228</xdr:colOff>
      <xdr:row>19</xdr:row>
      <xdr:rowOff>118035</xdr:rowOff>
    </xdr:from>
    <xdr:to>
      <xdr:col>17</xdr:col>
      <xdr:colOff>2422</xdr:colOff>
      <xdr:row>22</xdr:row>
      <xdr:rowOff>150117</xdr:rowOff>
    </xdr:to>
    <xdr:sp macro="" textlink="">
      <xdr:nvSpPr>
        <xdr:cNvPr id="92" name="フローチャート: 処理 91">
          <a:extLst>
            <a:ext uri="{FF2B5EF4-FFF2-40B4-BE49-F238E27FC236}">
              <a16:creationId xmlns:a16="http://schemas.microsoft.com/office/drawing/2014/main" id="{00000000-0008-0000-0900-00005C000000}"/>
            </a:ext>
          </a:extLst>
        </xdr:cNvPr>
        <xdr:cNvSpPr/>
      </xdr:nvSpPr>
      <xdr:spPr bwMode="auto">
        <a:xfrm>
          <a:off x="737346" y="17139770"/>
          <a:ext cx="2694076" cy="63720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MSBDP0080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発注登録</a:t>
          </a:r>
        </a:p>
      </xdr:txBody>
    </xdr:sp>
    <xdr:clientData/>
  </xdr:twoCellAnchor>
  <xdr:twoCellAnchor>
    <xdr:from>
      <xdr:col>3</xdr:col>
      <xdr:colOff>104216</xdr:colOff>
      <xdr:row>11</xdr:row>
      <xdr:rowOff>35579</xdr:rowOff>
    </xdr:from>
    <xdr:to>
      <xdr:col>17</xdr:col>
      <xdr:colOff>36606</xdr:colOff>
      <xdr:row>17</xdr:row>
      <xdr:rowOff>10458</xdr:rowOff>
    </xdr:to>
    <xdr:sp macro="" textlink="">
      <xdr:nvSpPr>
        <xdr:cNvPr id="94" name="正方形/長方形 93">
          <a:extLst>
            <a:ext uri="{FF2B5EF4-FFF2-40B4-BE49-F238E27FC236}">
              <a16:creationId xmlns:a16="http://schemas.microsoft.com/office/drawing/2014/main" id="{00000000-0008-0000-0900-00005E000000}"/>
            </a:ext>
          </a:extLst>
        </xdr:cNvPr>
        <xdr:cNvSpPr/>
      </xdr:nvSpPr>
      <xdr:spPr bwMode="auto">
        <a:xfrm>
          <a:off x="709334" y="15443667"/>
          <a:ext cx="2756272" cy="118511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発注一覧登録からの画面遷移</a:t>
          </a:r>
        </a:p>
      </xdr:txBody>
    </xdr:sp>
    <xdr:clientData/>
  </xdr:twoCellAnchor>
  <xdr:twoCellAnchor>
    <xdr:from>
      <xdr:col>5</xdr:col>
      <xdr:colOff>59392</xdr:colOff>
      <xdr:row>13</xdr:row>
      <xdr:rowOff>8806</xdr:rowOff>
    </xdr:from>
    <xdr:to>
      <xdr:col>15</xdr:col>
      <xdr:colOff>5433</xdr:colOff>
      <xdr:row>16</xdr:row>
      <xdr:rowOff>99817</xdr:rowOff>
    </xdr:to>
    <xdr:sp macro="" textlink="">
      <xdr:nvSpPr>
        <xdr:cNvPr id="95" name="Text Box 56">
          <a:extLst>
            <a:ext uri="{FF2B5EF4-FFF2-40B4-BE49-F238E27FC236}">
              <a16:creationId xmlns:a16="http://schemas.microsoft.com/office/drawing/2014/main" id="{00000000-0008-0000-0900-00005F000000}"/>
            </a:ext>
          </a:extLst>
        </xdr:cNvPr>
        <xdr:cNvSpPr txBox="1">
          <a:spLocks noChangeArrowheads="1"/>
        </xdr:cNvSpPr>
      </xdr:nvSpPr>
      <xdr:spPr bwMode="auto">
        <a:xfrm>
          <a:off x="1067921" y="15820306"/>
          <a:ext cx="1963100" cy="69612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17929</xdr:colOff>
      <xdr:row>18</xdr:row>
      <xdr:rowOff>115609</xdr:rowOff>
    </xdr:from>
    <xdr:to>
      <xdr:col>37</xdr:col>
      <xdr:colOff>67235</xdr:colOff>
      <xdr:row>23</xdr:row>
      <xdr:rowOff>156884</xdr:rowOff>
    </xdr:to>
    <xdr:sp macro="" textlink="">
      <xdr:nvSpPr>
        <xdr:cNvPr id="102" name="正方形/長方形 101">
          <a:extLst>
            <a:ext uri="{FF2B5EF4-FFF2-40B4-BE49-F238E27FC236}">
              <a16:creationId xmlns:a16="http://schemas.microsoft.com/office/drawing/2014/main" id="{00000000-0008-0000-0900-000066000000}"/>
            </a:ext>
          </a:extLst>
        </xdr:cNvPr>
        <xdr:cNvSpPr/>
      </xdr:nvSpPr>
      <xdr:spPr bwMode="auto">
        <a:xfrm>
          <a:off x="4052047" y="3454962"/>
          <a:ext cx="3478306" cy="1049804"/>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18785</xdr:colOff>
      <xdr:row>19</xdr:row>
      <xdr:rowOff>77872</xdr:rowOff>
    </xdr:from>
    <xdr:to>
      <xdr:col>28</xdr:col>
      <xdr:colOff>92939</xdr:colOff>
      <xdr:row>21</xdr:row>
      <xdr:rowOff>22412</xdr:rowOff>
    </xdr:to>
    <xdr:sp macro="" textlink="">
      <xdr:nvSpPr>
        <xdr:cNvPr id="103" name="Text Box 56">
          <a:extLst>
            <a:ext uri="{FF2B5EF4-FFF2-40B4-BE49-F238E27FC236}">
              <a16:creationId xmlns:a16="http://schemas.microsoft.com/office/drawing/2014/main" id="{00000000-0008-0000-0900-000067000000}"/>
            </a:ext>
          </a:extLst>
        </xdr:cNvPr>
        <xdr:cNvSpPr txBox="1">
          <a:spLocks noChangeArrowheads="1"/>
        </xdr:cNvSpPr>
      </xdr:nvSpPr>
      <xdr:spPr bwMode="auto">
        <a:xfrm>
          <a:off x="4254609" y="3618931"/>
          <a:ext cx="1486095" cy="34795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173746</xdr:colOff>
      <xdr:row>19</xdr:row>
      <xdr:rowOff>77872</xdr:rowOff>
    </xdr:from>
    <xdr:to>
      <xdr:col>36</xdr:col>
      <xdr:colOff>44823</xdr:colOff>
      <xdr:row>21</xdr:row>
      <xdr:rowOff>22412</xdr:rowOff>
    </xdr:to>
    <xdr:sp macro="" textlink="">
      <xdr:nvSpPr>
        <xdr:cNvPr id="104" name="Text Box 56">
          <a:extLst>
            <a:ext uri="{FF2B5EF4-FFF2-40B4-BE49-F238E27FC236}">
              <a16:creationId xmlns:a16="http://schemas.microsoft.com/office/drawing/2014/main" id="{00000000-0008-0000-0900-000068000000}"/>
            </a:ext>
          </a:extLst>
        </xdr:cNvPr>
        <xdr:cNvSpPr txBox="1">
          <a:spLocks noChangeArrowheads="1"/>
        </xdr:cNvSpPr>
      </xdr:nvSpPr>
      <xdr:spPr bwMode="auto">
        <a:xfrm>
          <a:off x="5821511" y="3618931"/>
          <a:ext cx="1484724" cy="34795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8005</xdr:colOff>
      <xdr:row>21</xdr:row>
      <xdr:rowOff>116863</xdr:rowOff>
    </xdr:from>
    <xdr:to>
      <xdr:col>28</xdr:col>
      <xdr:colOff>97465</xdr:colOff>
      <xdr:row>23</xdr:row>
      <xdr:rowOff>997</xdr:rowOff>
    </xdr:to>
    <xdr:sp macro="" textlink="">
      <xdr:nvSpPr>
        <xdr:cNvPr id="106" name="Text Box 56">
          <a:extLst>
            <a:ext uri="{FF2B5EF4-FFF2-40B4-BE49-F238E27FC236}">
              <a16:creationId xmlns:a16="http://schemas.microsoft.com/office/drawing/2014/main" id="{00000000-0008-0000-0900-00006A000000}"/>
            </a:ext>
          </a:extLst>
        </xdr:cNvPr>
        <xdr:cNvSpPr txBox="1">
          <a:spLocks noChangeArrowheads="1"/>
        </xdr:cNvSpPr>
      </xdr:nvSpPr>
      <xdr:spPr bwMode="auto">
        <a:xfrm>
          <a:off x="4243829" y="4061334"/>
          <a:ext cx="1501401" cy="28754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2422</xdr:colOff>
      <xdr:row>21</xdr:row>
      <xdr:rowOff>33223</xdr:rowOff>
    </xdr:from>
    <xdr:to>
      <xdr:col>20</xdr:col>
      <xdr:colOff>17929</xdr:colOff>
      <xdr:row>21</xdr:row>
      <xdr:rowOff>35393</xdr:rowOff>
    </xdr:to>
    <xdr:cxnSp macro="">
      <xdr:nvCxnSpPr>
        <xdr:cNvPr id="114" name="カギ線コネクタ 113">
          <a:extLst>
            <a:ext uri="{FF2B5EF4-FFF2-40B4-BE49-F238E27FC236}">
              <a16:creationId xmlns:a16="http://schemas.microsoft.com/office/drawing/2014/main" id="{00000000-0008-0000-0900-000072000000}"/>
            </a:ext>
          </a:extLst>
        </xdr:cNvPr>
        <xdr:cNvCxnSpPr>
          <a:stCxn id="92" idx="3"/>
          <a:endCxn id="102" idx="1"/>
        </xdr:cNvCxnSpPr>
      </xdr:nvCxnSpPr>
      <xdr:spPr bwMode="auto">
        <a:xfrm>
          <a:off x="3431422" y="3977694"/>
          <a:ext cx="620625" cy="217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194937</xdr:colOff>
      <xdr:row>21</xdr:row>
      <xdr:rowOff>131074</xdr:rowOff>
    </xdr:from>
    <xdr:to>
      <xdr:col>36</xdr:col>
      <xdr:colOff>56029</xdr:colOff>
      <xdr:row>22</xdr:row>
      <xdr:rowOff>190501</xdr:rowOff>
    </xdr:to>
    <xdr:sp macro="" textlink="">
      <xdr:nvSpPr>
        <xdr:cNvPr id="125" name="Text Box 56">
          <a:extLst>
            <a:ext uri="{FF2B5EF4-FFF2-40B4-BE49-F238E27FC236}">
              <a16:creationId xmlns:a16="http://schemas.microsoft.com/office/drawing/2014/main" id="{00000000-0008-0000-0900-00007D000000}"/>
            </a:ext>
          </a:extLst>
        </xdr:cNvPr>
        <xdr:cNvSpPr txBox="1">
          <a:spLocks noChangeArrowheads="1"/>
        </xdr:cNvSpPr>
      </xdr:nvSpPr>
      <xdr:spPr bwMode="auto">
        <a:xfrm>
          <a:off x="5842702" y="4075545"/>
          <a:ext cx="1474739" cy="26113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発注送信ＩＦ</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190500</xdr:colOff>
      <xdr:row>19</xdr:row>
      <xdr:rowOff>40902</xdr:rowOff>
    </xdr:from>
    <xdr:to>
      <xdr:col>17</xdr:col>
      <xdr:colOff>87967</xdr:colOff>
      <xdr:row>23</xdr:row>
      <xdr:rowOff>79003</xdr:rowOff>
    </xdr:to>
    <xdr:sp macro="" textlink="">
      <xdr:nvSpPr>
        <xdr:cNvPr id="127" name="正方形/長方形 126">
          <a:extLst>
            <a:ext uri="{FF2B5EF4-FFF2-40B4-BE49-F238E27FC236}">
              <a16:creationId xmlns:a16="http://schemas.microsoft.com/office/drawing/2014/main" id="{00000000-0008-0000-0900-00007F000000}"/>
            </a:ext>
          </a:extLst>
        </xdr:cNvPr>
        <xdr:cNvSpPr/>
      </xdr:nvSpPr>
      <xdr:spPr>
        <a:xfrm>
          <a:off x="593912" y="17062637"/>
          <a:ext cx="2923055" cy="844925"/>
        </a:xfrm>
        <a:prstGeom prst="rect">
          <a:avLst/>
        </a:prstGeom>
        <a:no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121586</xdr:colOff>
      <xdr:row>24</xdr:row>
      <xdr:rowOff>67238</xdr:rowOff>
    </xdr:from>
    <xdr:to>
      <xdr:col>17</xdr:col>
      <xdr:colOff>89647</xdr:colOff>
      <xdr:row>25</xdr:row>
      <xdr:rowOff>156882</xdr:rowOff>
    </xdr:to>
    <xdr:sp macro="" textlink="">
      <xdr:nvSpPr>
        <xdr:cNvPr id="128" name="線吹き出し 1 (枠付き) 127">
          <a:extLst>
            <a:ext uri="{FF2B5EF4-FFF2-40B4-BE49-F238E27FC236}">
              <a16:creationId xmlns:a16="http://schemas.microsoft.com/office/drawing/2014/main" id="{00000000-0008-0000-0900-000080000000}"/>
            </a:ext>
          </a:extLst>
        </xdr:cNvPr>
        <xdr:cNvSpPr/>
      </xdr:nvSpPr>
      <xdr:spPr>
        <a:xfrm>
          <a:off x="2542057" y="18097503"/>
          <a:ext cx="976590" cy="291350"/>
        </a:xfrm>
        <a:prstGeom prst="borderCallout1">
          <a:avLst>
            <a:gd name="adj1" fmla="val 20504"/>
            <a:gd name="adj2" fmla="val -2211"/>
            <a:gd name="adj3" fmla="val -38901"/>
            <a:gd name="adj4" fmla="val -16381"/>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カスタマイズ箇所</a:t>
          </a:r>
        </a:p>
      </xdr:txBody>
    </xdr:sp>
    <xdr:clientData/>
  </xdr:twoCellAnchor>
  <xdr:twoCellAnchor>
    <xdr:from>
      <xdr:col>3</xdr:col>
      <xdr:colOff>104217</xdr:colOff>
      <xdr:row>28</xdr:row>
      <xdr:rowOff>114019</xdr:rowOff>
    </xdr:from>
    <xdr:to>
      <xdr:col>17</xdr:col>
      <xdr:colOff>36607</xdr:colOff>
      <xdr:row>47</xdr:row>
      <xdr:rowOff>44823</xdr:rowOff>
    </xdr:to>
    <xdr:sp macro="" textlink="">
      <xdr:nvSpPr>
        <xdr:cNvPr id="131" name="正方形/長方形 130">
          <a:extLst>
            <a:ext uri="{FF2B5EF4-FFF2-40B4-BE49-F238E27FC236}">
              <a16:creationId xmlns:a16="http://schemas.microsoft.com/office/drawing/2014/main" id="{00000000-0008-0000-0900-000083000000}"/>
            </a:ext>
          </a:extLst>
        </xdr:cNvPr>
        <xdr:cNvSpPr/>
      </xdr:nvSpPr>
      <xdr:spPr bwMode="auto">
        <a:xfrm>
          <a:off x="709335" y="5470431"/>
          <a:ext cx="2756272" cy="3763216"/>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36980</xdr:colOff>
      <xdr:row>29</xdr:row>
      <xdr:rowOff>42423</xdr:rowOff>
    </xdr:from>
    <xdr:to>
      <xdr:col>10</xdr:col>
      <xdr:colOff>22412</xdr:colOff>
      <xdr:row>31</xdr:row>
      <xdr:rowOff>67234</xdr:rowOff>
    </xdr:to>
    <xdr:sp macro="" textlink="">
      <xdr:nvSpPr>
        <xdr:cNvPr id="132" name="Text Box 56">
          <a:extLst>
            <a:ext uri="{FF2B5EF4-FFF2-40B4-BE49-F238E27FC236}">
              <a16:creationId xmlns:a16="http://schemas.microsoft.com/office/drawing/2014/main" id="{00000000-0008-0000-0900-000084000000}"/>
            </a:ext>
          </a:extLst>
        </xdr:cNvPr>
        <xdr:cNvSpPr txBox="1">
          <a:spLocks noChangeArrowheads="1"/>
        </xdr:cNvSpPr>
      </xdr:nvSpPr>
      <xdr:spPr bwMode="auto">
        <a:xfrm>
          <a:off x="843804" y="19081217"/>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品目製造指図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155763</xdr:colOff>
      <xdr:row>29</xdr:row>
      <xdr:rowOff>49146</xdr:rowOff>
    </xdr:from>
    <xdr:to>
      <xdr:col>16</xdr:col>
      <xdr:colOff>141195</xdr:colOff>
      <xdr:row>31</xdr:row>
      <xdr:rowOff>73957</xdr:rowOff>
    </xdr:to>
    <xdr:sp macro="" textlink="">
      <xdr:nvSpPr>
        <xdr:cNvPr id="133" name="Text Box 56">
          <a:extLst>
            <a:ext uri="{FF2B5EF4-FFF2-40B4-BE49-F238E27FC236}">
              <a16:creationId xmlns:a16="http://schemas.microsoft.com/office/drawing/2014/main" id="{00000000-0008-0000-0900-000085000000}"/>
            </a:ext>
          </a:extLst>
        </xdr:cNvPr>
        <xdr:cNvSpPr txBox="1">
          <a:spLocks noChangeArrowheads="1"/>
        </xdr:cNvSpPr>
      </xdr:nvSpPr>
      <xdr:spPr bwMode="auto">
        <a:xfrm>
          <a:off x="2172822" y="19087940"/>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案件手配紐付情報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32498</xdr:colOff>
      <xdr:row>31</xdr:row>
      <xdr:rowOff>150000</xdr:rowOff>
    </xdr:from>
    <xdr:to>
      <xdr:col>10</xdr:col>
      <xdr:colOff>17930</xdr:colOff>
      <xdr:row>33</xdr:row>
      <xdr:rowOff>174811</xdr:rowOff>
    </xdr:to>
    <xdr:sp macro="" textlink="">
      <xdr:nvSpPr>
        <xdr:cNvPr id="134" name="Text Box 56">
          <a:extLst>
            <a:ext uri="{FF2B5EF4-FFF2-40B4-BE49-F238E27FC236}">
              <a16:creationId xmlns:a16="http://schemas.microsoft.com/office/drawing/2014/main" id="{00000000-0008-0000-0900-000086000000}"/>
            </a:ext>
          </a:extLst>
        </xdr:cNvPr>
        <xdr:cNvSpPr txBox="1">
          <a:spLocks noChangeArrowheads="1"/>
        </xdr:cNvSpPr>
      </xdr:nvSpPr>
      <xdr:spPr bwMode="auto">
        <a:xfrm>
          <a:off x="839322" y="19592206"/>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67325</xdr:colOff>
      <xdr:row>22</xdr:row>
      <xdr:rowOff>150117</xdr:rowOff>
    </xdr:from>
    <xdr:to>
      <xdr:col>10</xdr:col>
      <xdr:colOff>70412</xdr:colOff>
      <xdr:row>28</xdr:row>
      <xdr:rowOff>114019</xdr:rowOff>
    </xdr:to>
    <xdr:cxnSp macro="">
      <xdr:nvCxnSpPr>
        <xdr:cNvPr id="145" name="カギ線コネクタ 144">
          <a:extLst>
            <a:ext uri="{FF2B5EF4-FFF2-40B4-BE49-F238E27FC236}">
              <a16:creationId xmlns:a16="http://schemas.microsoft.com/office/drawing/2014/main" id="{00000000-0008-0000-0900-000091000000}"/>
            </a:ext>
          </a:extLst>
        </xdr:cNvPr>
        <xdr:cNvCxnSpPr>
          <a:stCxn id="131" idx="0"/>
          <a:endCxn id="92" idx="2"/>
        </xdr:cNvCxnSpPr>
      </xdr:nvCxnSpPr>
      <xdr:spPr bwMode="auto">
        <a:xfrm rot="16200000" flipV="1">
          <a:off x="1498859" y="4881818"/>
          <a:ext cx="1174138" cy="308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31375</xdr:colOff>
      <xdr:row>34</xdr:row>
      <xdr:rowOff>78441</xdr:rowOff>
    </xdr:from>
    <xdr:to>
      <xdr:col>10</xdr:col>
      <xdr:colOff>16807</xdr:colOff>
      <xdr:row>36</xdr:row>
      <xdr:rowOff>103251</xdr:rowOff>
    </xdr:to>
    <xdr:sp macro="" textlink="">
      <xdr:nvSpPr>
        <xdr:cNvPr id="147" name="Text Box 56">
          <a:extLst>
            <a:ext uri="{FF2B5EF4-FFF2-40B4-BE49-F238E27FC236}">
              <a16:creationId xmlns:a16="http://schemas.microsoft.com/office/drawing/2014/main" id="{00000000-0008-0000-0900-000093000000}"/>
            </a:ext>
          </a:extLst>
        </xdr:cNvPr>
        <xdr:cNvSpPr txBox="1">
          <a:spLocks noChangeArrowheads="1"/>
        </xdr:cNvSpPr>
      </xdr:nvSpPr>
      <xdr:spPr bwMode="auto">
        <a:xfrm>
          <a:off x="838199" y="6645088"/>
          <a:ext cx="1195667" cy="42822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入荷進捗</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150158</xdr:colOff>
      <xdr:row>34</xdr:row>
      <xdr:rowOff>85164</xdr:rowOff>
    </xdr:from>
    <xdr:to>
      <xdr:col>16</xdr:col>
      <xdr:colOff>135590</xdr:colOff>
      <xdr:row>36</xdr:row>
      <xdr:rowOff>109974</xdr:rowOff>
    </xdr:to>
    <xdr:sp macro="" textlink="">
      <xdr:nvSpPr>
        <xdr:cNvPr id="148" name="Text Box 56">
          <a:extLst>
            <a:ext uri="{FF2B5EF4-FFF2-40B4-BE49-F238E27FC236}">
              <a16:creationId xmlns:a16="http://schemas.microsoft.com/office/drawing/2014/main" id="{00000000-0008-0000-0900-000094000000}"/>
            </a:ext>
          </a:extLst>
        </xdr:cNvPr>
        <xdr:cNvSpPr txBox="1">
          <a:spLocks noChangeArrowheads="1"/>
        </xdr:cNvSpPr>
      </xdr:nvSpPr>
      <xdr:spPr bwMode="auto">
        <a:xfrm>
          <a:off x="2167217" y="6651811"/>
          <a:ext cx="1195667" cy="42822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入荷予定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26893</xdr:colOff>
      <xdr:row>36</xdr:row>
      <xdr:rowOff>186017</xdr:rowOff>
    </xdr:from>
    <xdr:to>
      <xdr:col>10</xdr:col>
      <xdr:colOff>12325</xdr:colOff>
      <xdr:row>39</xdr:row>
      <xdr:rowOff>9123</xdr:rowOff>
    </xdr:to>
    <xdr:sp macro="" textlink="">
      <xdr:nvSpPr>
        <xdr:cNvPr id="149" name="Text Box 56">
          <a:extLst>
            <a:ext uri="{FF2B5EF4-FFF2-40B4-BE49-F238E27FC236}">
              <a16:creationId xmlns:a16="http://schemas.microsoft.com/office/drawing/2014/main" id="{00000000-0008-0000-0900-000095000000}"/>
            </a:ext>
          </a:extLst>
        </xdr:cNvPr>
        <xdr:cNvSpPr txBox="1">
          <a:spLocks noChangeArrowheads="1"/>
        </xdr:cNvSpPr>
      </xdr:nvSpPr>
      <xdr:spPr bwMode="auto">
        <a:xfrm>
          <a:off x="833717" y="7156076"/>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145676</xdr:colOff>
      <xdr:row>36</xdr:row>
      <xdr:rowOff>192740</xdr:rowOff>
    </xdr:from>
    <xdr:to>
      <xdr:col>16</xdr:col>
      <xdr:colOff>131108</xdr:colOff>
      <xdr:row>39</xdr:row>
      <xdr:rowOff>15846</xdr:rowOff>
    </xdr:to>
    <xdr:sp macro="" textlink="">
      <xdr:nvSpPr>
        <xdr:cNvPr id="150" name="Text Box 56">
          <a:extLst>
            <a:ext uri="{FF2B5EF4-FFF2-40B4-BE49-F238E27FC236}">
              <a16:creationId xmlns:a16="http://schemas.microsoft.com/office/drawing/2014/main" id="{00000000-0008-0000-0900-000096000000}"/>
            </a:ext>
          </a:extLst>
        </xdr:cNvPr>
        <xdr:cNvSpPr txBox="1">
          <a:spLocks noChangeArrowheads="1"/>
        </xdr:cNvSpPr>
      </xdr:nvSpPr>
      <xdr:spPr bwMode="auto">
        <a:xfrm>
          <a:off x="2162735" y="7162799"/>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26893</xdr:colOff>
      <xdr:row>39</xdr:row>
      <xdr:rowOff>96370</xdr:rowOff>
    </xdr:from>
    <xdr:to>
      <xdr:col>10</xdr:col>
      <xdr:colOff>12325</xdr:colOff>
      <xdr:row>41</xdr:row>
      <xdr:rowOff>121181</xdr:rowOff>
    </xdr:to>
    <xdr:sp macro="" textlink="">
      <xdr:nvSpPr>
        <xdr:cNvPr id="151" name="Text Box 56">
          <a:extLst>
            <a:ext uri="{FF2B5EF4-FFF2-40B4-BE49-F238E27FC236}">
              <a16:creationId xmlns:a16="http://schemas.microsoft.com/office/drawing/2014/main" id="{00000000-0008-0000-0900-000097000000}"/>
            </a:ext>
          </a:extLst>
        </xdr:cNvPr>
        <xdr:cNvSpPr txBox="1">
          <a:spLocks noChangeArrowheads="1"/>
        </xdr:cNvSpPr>
      </xdr:nvSpPr>
      <xdr:spPr bwMode="auto">
        <a:xfrm>
          <a:off x="833717" y="7671546"/>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145676</xdr:colOff>
      <xdr:row>39</xdr:row>
      <xdr:rowOff>103093</xdr:rowOff>
    </xdr:from>
    <xdr:to>
      <xdr:col>16</xdr:col>
      <xdr:colOff>131108</xdr:colOff>
      <xdr:row>41</xdr:row>
      <xdr:rowOff>127904</xdr:rowOff>
    </xdr:to>
    <xdr:sp macro="" textlink="">
      <xdr:nvSpPr>
        <xdr:cNvPr id="152" name="Text Box 56">
          <a:extLst>
            <a:ext uri="{FF2B5EF4-FFF2-40B4-BE49-F238E27FC236}">
              <a16:creationId xmlns:a16="http://schemas.microsoft.com/office/drawing/2014/main" id="{00000000-0008-0000-0900-000098000000}"/>
            </a:ext>
          </a:extLst>
        </xdr:cNvPr>
        <xdr:cNvSpPr txBox="1">
          <a:spLocks noChangeArrowheads="1"/>
        </xdr:cNvSpPr>
      </xdr:nvSpPr>
      <xdr:spPr bwMode="auto">
        <a:xfrm>
          <a:off x="2162735" y="7678269"/>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仕入予定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22411</xdr:colOff>
      <xdr:row>42</xdr:row>
      <xdr:rowOff>2241</xdr:rowOff>
    </xdr:from>
    <xdr:to>
      <xdr:col>10</xdr:col>
      <xdr:colOff>7843</xdr:colOff>
      <xdr:row>44</xdr:row>
      <xdr:rowOff>27053</xdr:rowOff>
    </xdr:to>
    <xdr:sp macro="" textlink="">
      <xdr:nvSpPr>
        <xdr:cNvPr id="153" name="Text Box 56">
          <a:extLst>
            <a:ext uri="{FF2B5EF4-FFF2-40B4-BE49-F238E27FC236}">
              <a16:creationId xmlns:a16="http://schemas.microsoft.com/office/drawing/2014/main" id="{00000000-0008-0000-0900-000099000000}"/>
            </a:ext>
          </a:extLst>
        </xdr:cNvPr>
        <xdr:cNvSpPr txBox="1">
          <a:spLocks noChangeArrowheads="1"/>
        </xdr:cNvSpPr>
      </xdr:nvSpPr>
      <xdr:spPr bwMode="auto">
        <a:xfrm>
          <a:off x="829235" y="8182535"/>
          <a:ext cx="1195667" cy="428224"/>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141194</xdr:colOff>
      <xdr:row>42</xdr:row>
      <xdr:rowOff>8964</xdr:rowOff>
    </xdr:from>
    <xdr:to>
      <xdr:col>16</xdr:col>
      <xdr:colOff>126626</xdr:colOff>
      <xdr:row>44</xdr:row>
      <xdr:rowOff>33775</xdr:rowOff>
    </xdr:to>
    <xdr:sp macro="" textlink="">
      <xdr:nvSpPr>
        <xdr:cNvPr id="154" name="Text Box 56">
          <a:extLst>
            <a:ext uri="{FF2B5EF4-FFF2-40B4-BE49-F238E27FC236}">
              <a16:creationId xmlns:a16="http://schemas.microsoft.com/office/drawing/2014/main" id="{00000000-0008-0000-0900-00009A000000}"/>
            </a:ext>
          </a:extLst>
        </xdr:cNvPr>
        <xdr:cNvSpPr txBox="1">
          <a:spLocks noChangeArrowheads="1"/>
        </xdr:cNvSpPr>
      </xdr:nvSpPr>
      <xdr:spPr bwMode="auto">
        <a:xfrm>
          <a:off x="2158253" y="8189258"/>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品目オーダ</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22411</xdr:colOff>
      <xdr:row>44</xdr:row>
      <xdr:rowOff>98610</xdr:rowOff>
    </xdr:from>
    <xdr:to>
      <xdr:col>10</xdr:col>
      <xdr:colOff>7843</xdr:colOff>
      <xdr:row>46</xdr:row>
      <xdr:rowOff>123421</xdr:rowOff>
    </xdr:to>
    <xdr:sp macro="" textlink="">
      <xdr:nvSpPr>
        <xdr:cNvPr id="155" name="Text Box 56">
          <a:extLst>
            <a:ext uri="{FF2B5EF4-FFF2-40B4-BE49-F238E27FC236}">
              <a16:creationId xmlns:a16="http://schemas.microsoft.com/office/drawing/2014/main" id="{00000000-0008-0000-0900-00009B000000}"/>
            </a:ext>
          </a:extLst>
        </xdr:cNvPr>
        <xdr:cNvSpPr txBox="1">
          <a:spLocks noChangeArrowheads="1"/>
        </xdr:cNvSpPr>
      </xdr:nvSpPr>
      <xdr:spPr bwMode="auto">
        <a:xfrm>
          <a:off x="829235" y="8682316"/>
          <a:ext cx="1195667" cy="4282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工程オーダ</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8</xdr:col>
          <xdr:colOff>19050</xdr:colOff>
          <xdr:row>2</xdr:row>
          <xdr:rowOff>133350</xdr:rowOff>
        </xdr:to>
        <xdr:pic>
          <xdr:nvPicPr>
            <xdr:cNvPr id="2" name="図 1">
              <a:extLst>
                <a:ext uri="{FF2B5EF4-FFF2-40B4-BE49-F238E27FC236}">
                  <a16:creationId xmlns:a16="http://schemas.microsoft.com/office/drawing/2014/main" id="{00000000-0008-0000-0A00-000002000000}"/>
                </a:ext>
              </a:extLst>
            </xdr:cNvPr>
            <xdr:cNvPicPr>
              <a:picLocks noChangeAspect="1" noChangeArrowheads="1"/>
              <a:extLst>
                <a:ext uri="{84589F7E-364E-4C9E-8A38-B11213B215E9}">
                  <a14:cameraTool cellRange="表紙!$BA$71:$BJ$73" spid="_x0000_s66629"/>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8</xdr:col>
          <xdr:colOff>19050</xdr:colOff>
          <xdr:row>2</xdr:row>
          <xdr:rowOff>133350</xdr:rowOff>
        </xdr:to>
        <xdr:pic>
          <xdr:nvPicPr>
            <xdr:cNvPr id="2" name="図 1">
              <a:extLst>
                <a:ext uri="{FF2B5EF4-FFF2-40B4-BE49-F238E27FC236}">
                  <a16:creationId xmlns:a16="http://schemas.microsoft.com/office/drawing/2014/main" id="{00000000-0008-0000-0B00-000002000000}"/>
                </a:ext>
              </a:extLst>
            </xdr:cNvPr>
            <xdr:cNvPicPr>
              <a:picLocks noChangeAspect="1" noChangeArrowheads="1"/>
              <a:extLst>
                <a:ext uri="{84589F7E-364E-4C9E-8A38-B11213B215E9}">
                  <a14:cameraTool cellRange="表紙!$BA$75:$BJ$77" spid="_x0000_s67658"/>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4</xdr:col>
          <xdr:colOff>1914525</xdr:colOff>
          <xdr:row>2</xdr:row>
          <xdr:rowOff>133350</xdr:rowOff>
        </xdr:to>
        <xdr:pic>
          <xdr:nvPicPr>
            <xdr:cNvPr id="2" name="図 1">
              <a:extLst>
                <a:ext uri="{FF2B5EF4-FFF2-40B4-BE49-F238E27FC236}">
                  <a16:creationId xmlns:a16="http://schemas.microsoft.com/office/drawing/2014/main" id="{00000000-0008-0000-0C00-000002000000}"/>
                </a:ext>
              </a:extLst>
            </xdr:cNvPr>
            <xdr:cNvPicPr>
              <a:picLocks noChangeAspect="1" noChangeArrowheads="1"/>
              <a:extLst>
                <a:ext uri="{84589F7E-364E-4C9E-8A38-B11213B215E9}">
                  <a14:cameraTool cellRange="表紙!$BA$79:$BJ$81" spid="_x0000_s68672"/>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11</xdr:col>
      <xdr:colOff>134056</xdr:colOff>
      <xdr:row>27</xdr:row>
      <xdr:rowOff>77611</xdr:rowOff>
    </xdr:from>
    <xdr:to>
      <xdr:col>18</xdr:col>
      <xdr:colOff>7056</xdr:colOff>
      <xdr:row>28</xdr:row>
      <xdr:rowOff>84667</xdr:rowOff>
    </xdr:to>
    <xdr:cxnSp macro="">
      <xdr:nvCxnSpPr>
        <xdr:cNvPr id="16" name="直線矢印コネクタ 15">
          <a:extLst>
            <a:ext uri="{FF2B5EF4-FFF2-40B4-BE49-F238E27FC236}">
              <a16:creationId xmlns:a16="http://schemas.microsoft.com/office/drawing/2014/main" id="{00000000-0008-0000-0D00-000010000000}"/>
            </a:ext>
          </a:extLst>
        </xdr:cNvPr>
        <xdr:cNvCxnSpPr/>
      </xdr:nvCxnSpPr>
      <xdr:spPr>
        <a:xfrm>
          <a:off x="2229556" y="3972278"/>
          <a:ext cx="1397000" cy="169333"/>
        </a:xfrm>
        <a:prstGeom prst="straightConnector1">
          <a:avLst/>
        </a:prstGeom>
        <a:ln>
          <a:solidFill>
            <a:srgbClr val="0070C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134055</xdr:colOff>
      <xdr:row>26</xdr:row>
      <xdr:rowOff>91722</xdr:rowOff>
    </xdr:from>
    <xdr:to>
      <xdr:col>18</xdr:col>
      <xdr:colOff>0</xdr:colOff>
      <xdr:row>31</xdr:row>
      <xdr:rowOff>70557</xdr:rowOff>
    </xdr:to>
    <xdr:cxnSp macro="">
      <xdr:nvCxnSpPr>
        <xdr:cNvPr id="17" name="直線矢印コネクタ 16">
          <a:extLst>
            <a:ext uri="{FF2B5EF4-FFF2-40B4-BE49-F238E27FC236}">
              <a16:creationId xmlns:a16="http://schemas.microsoft.com/office/drawing/2014/main" id="{00000000-0008-0000-0D00-000011000000}"/>
            </a:ext>
          </a:extLst>
        </xdr:cNvPr>
        <xdr:cNvCxnSpPr/>
      </xdr:nvCxnSpPr>
      <xdr:spPr>
        <a:xfrm flipV="1">
          <a:off x="2229555" y="3824111"/>
          <a:ext cx="1389945" cy="790224"/>
        </a:xfrm>
        <a:prstGeom prst="straightConnector1">
          <a:avLst/>
        </a:prstGeom>
        <a:ln>
          <a:solidFill>
            <a:srgbClr val="0070C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119944</xdr:colOff>
      <xdr:row>26</xdr:row>
      <xdr:rowOff>56444</xdr:rowOff>
    </xdr:from>
    <xdr:to>
      <xdr:col>18</xdr:col>
      <xdr:colOff>0</xdr:colOff>
      <xdr:row>27</xdr:row>
      <xdr:rowOff>70555</xdr:rowOff>
    </xdr:to>
    <xdr:cxnSp macro="">
      <xdr:nvCxnSpPr>
        <xdr:cNvPr id="20" name="直線矢印コネクタ 19">
          <a:extLst>
            <a:ext uri="{FF2B5EF4-FFF2-40B4-BE49-F238E27FC236}">
              <a16:creationId xmlns:a16="http://schemas.microsoft.com/office/drawing/2014/main" id="{00000000-0008-0000-0D00-000014000000}"/>
            </a:ext>
          </a:extLst>
        </xdr:cNvPr>
        <xdr:cNvCxnSpPr/>
      </xdr:nvCxnSpPr>
      <xdr:spPr>
        <a:xfrm>
          <a:off x="2215444" y="3788833"/>
          <a:ext cx="1404056" cy="176389"/>
        </a:xfrm>
        <a:prstGeom prst="straightConnector1">
          <a:avLst/>
        </a:prstGeom>
        <a:ln>
          <a:solidFill>
            <a:srgbClr val="0070C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119944</xdr:colOff>
      <xdr:row>30</xdr:row>
      <xdr:rowOff>0</xdr:rowOff>
    </xdr:from>
    <xdr:to>
      <xdr:col>17</xdr:col>
      <xdr:colOff>0</xdr:colOff>
      <xdr:row>33</xdr:row>
      <xdr:rowOff>77612</xdr:rowOff>
    </xdr:to>
    <xdr:cxnSp macro="">
      <xdr:nvCxnSpPr>
        <xdr:cNvPr id="26" name="直線矢印コネクタ 25">
          <a:extLst>
            <a:ext uri="{FF2B5EF4-FFF2-40B4-BE49-F238E27FC236}">
              <a16:creationId xmlns:a16="http://schemas.microsoft.com/office/drawing/2014/main" id="{00000000-0008-0000-0D00-00001A000000}"/>
            </a:ext>
          </a:extLst>
        </xdr:cNvPr>
        <xdr:cNvCxnSpPr>
          <a:endCxn id="34" idx="1"/>
        </xdr:cNvCxnSpPr>
      </xdr:nvCxnSpPr>
      <xdr:spPr>
        <a:xfrm flipV="1">
          <a:off x="1834444" y="4381500"/>
          <a:ext cx="1594556" cy="564445"/>
        </a:xfrm>
        <a:prstGeom prst="straightConnector1">
          <a:avLst/>
        </a:prstGeom>
        <a:ln>
          <a:solidFill>
            <a:srgbClr val="0070C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0</xdr:colOff>
      <xdr:row>29</xdr:row>
      <xdr:rowOff>0</xdr:rowOff>
    </xdr:from>
    <xdr:to>
      <xdr:col>18</xdr:col>
      <xdr:colOff>0</xdr:colOff>
      <xdr:row>31</xdr:row>
      <xdr:rowOff>0</xdr:rowOff>
    </xdr:to>
    <xdr:sp macro="" textlink="">
      <xdr:nvSpPr>
        <xdr:cNvPr id="34" name="左中かっこ 33">
          <a:extLst>
            <a:ext uri="{FF2B5EF4-FFF2-40B4-BE49-F238E27FC236}">
              <a16:creationId xmlns:a16="http://schemas.microsoft.com/office/drawing/2014/main" id="{00000000-0008-0000-0D00-000022000000}"/>
            </a:ext>
          </a:extLst>
        </xdr:cNvPr>
        <xdr:cNvSpPr/>
      </xdr:nvSpPr>
      <xdr:spPr>
        <a:xfrm>
          <a:off x="3429000" y="4219222"/>
          <a:ext cx="190500" cy="324556"/>
        </a:xfrm>
        <a:prstGeom prst="leftBrace">
          <a:avLst/>
        </a:prstGeom>
        <a:ln>
          <a:solidFill>
            <a:srgbClr val="0070C0"/>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xdr:col>
      <xdr:colOff>127000</xdr:colOff>
      <xdr:row>26</xdr:row>
      <xdr:rowOff>49389</xdr:rowOff>
    </xdr:from>
    <xdr:to>
      <xdr:col>17</xdr:col>
      <xdr:colOff>176389</xdr:colOff>
      <xdr:row>37</xdr:row>
      <xdr:rowOff>105834</xdr:rowOff>
    </xdr:to>
    <xdr:cxnSp macro="">
      <xdr:nvCxnSpPr>
        <xdr:cNvPr id="36" name="直線矢印コネクタ 35">
          <a:extLst>
            <a:ext uri="{FF2B5EF4-FFF2-40B4-BE49-F238E27FC236}">
              <a16:creationId xmlns:a16="http://schemas.microsoft.com/office/drawing/2014/main" id="{00000000-0008-0000-0D00-000024000000}"/>
            </a:ext>
          </a:extLst>
        </xdr:cNvPr>
        <xdr:cNvCxnSpPr/>
      </xdr:nvCxnSpPr>
      <xdr:spPr>
        <a:xfrm>
          <a:off x="2222500" y="3781778"/>
          <a:ext cx="1382889" cy="18415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148167</xdr:colOff>
      <xdr:row>27</xdr:row>
      <xdr:rowOff>56444</xdr:rowOff>
    </xdr:from>
    <xdr:to>
      <xdr:col>18</xdr:col>
      <xdr:colOff>0</xdr:colOff>
      <xdr:row>36</xdr:row>
      <xdr:rowOff>77611</xdr:rowOff>
    </xdr:to>
    <xdr:cxnSp macro="">
      <xdr:nvCxnSpPr>
        <xdr:cNvPr id="40" name="直線矢印コネクタ 39">
          <a:extLst>
            <a:ext uri="{FF2B5EF4-FFF2-40B4-BE49-F238E27FC236}">
              <a16:creationId xmlns:a16="http://schemas.microsoft.com/office/drawing/2014/main" id="{00000000-0008-0000-0D00-000028000000}"/>
            </a:ext>
          </a:extLst>
        </xdr:cNvPr>
        <xdr:cNvCxnSpPr/>
      </xdr:nvCxnSpPr>
      <xdr:spPr>
        <a:xfrm>
          <a:off x="2243667" y="3951111"/>
          <a:ext cx="1375833" cy="148166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134056</xdr:colOff>
      <xdr:row>31</xdr:row>
      <xdr:rowOff>63500</xdr:rowOff>
    </xdr:from>
    <xdr:to>
      <xdr:col>17</xdr:col>
      <xdr:colOff>176389</xdr:colOff>
      <xdr:row>38</xdr:row>
      <xdr:rowOff>77611</xdr:rowOff>
    </xdr:to>
    <xdr:cxnSp macro="">
      <xdr:nvCxnSpPr>
        <xdr:cNvPr id="43" name="直線矢印コネクタ 42">
          <a:extLst>
            <a:ext uri="{FF2B5EF4-FFF2-40B4-BE49-F238E27FC236}">
              <a16:creationId xmlns:a16="http://schemas.microsoft.com/office/drawing/2014/main" id="{00000000-0008-0000-0D00-00002B000000}"/>
            </a:ext>
          </a:extLst>
        </xdr:cNvPr>
        <xdr:cNvCxnSpPr/>
      </xdr:nvCxnSpPr>
      <xdr:spPr>
        <a:xfrm>
          <a:off x="2229556" y="4607278"/>
          <a:ext cx="1375833" cy="115005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xdr:colOff>
      <xdr:row>31</xdr:row>
      <xdr:rowOff>81139</xdr:rowOff>
    </xdr:from>
    <xdr:to>
      <xdr:col>18</xdr:col>
      <xdr:colOff>2</xdr:colOff>
      <xdr:row>40</xdr:row>
      <xdr:rowOff>81138</xdr:rowOff>
    </xdr:to>
    <xdr:cxnSp macro="">
      <xdr:nvCxnSpPr>
        <xdr:cNvPr id="46" name="直線矢印コネクタ 45">
          <a:extLst>
            <a:ext uri="{FF2B5EF4-FFF2-40B4-BE49-F238E27FC236}">
              <a16:creationId xmlns:a16="http://schemas.microsoft.com/office/drawing/2014/main" id="{00000000-0008-0000-0D00-00002E000000}"/>
            </a:ext>
          </a:extLst>
        </xdr:cNvPr>
        <xdr:cNvCxnSpPr>
          <a:stCxn id="52" idx="1"/>
          <a:endCxn id="55" idx="1"/>
        </xdr:cNvCxnSpPr>
      </xdr:nvCxnSpPr>
      <xdr:spPr>
        <a:xfrm rot="10800000" flipV="1">
          <a:off x="3619501" y="4624917"/>
          <a:ext cx="1" cy="1460499"/>
        </a:xfrm>
        <a:prstGeom prst="bentConnector3">
          <a:avLst>
            <a:gd name="adj1" fmla="val 2286010000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xdr:colOff>
      <xdr:row>31</xdr:row>
      <xdr:rowOff>1</xdr:rowOff>
    </xdr:from>
    <xdr:to>
      <xdr:col>20</xdr:col>
      <xdr:colOff>1</xdr:colOff>
      <xdr:row>32</xdr:row>
      <xdr:rowOff>1</xdr:rowOff>
    </xdr:to>
    <xdr:sp macro="" textlink="">
      <xdr:nvSpPr>
        <xdr:cNvPr id="52" name="正方形/長方形 51">
          <a:extLst>
            <a:ext uri="{FF2B5EF4-FFF2-40B4-BE49-F238E27FC236}">
              <a16:creationId xmlns:a16="http://schemas.microsoft.com/office/drawing/2014/main" id="{00000000-0008-0000-0D00-000034000000}"/>
            </a:ext>
          </a:extLst>
        </xdr:cNvPr>
        <xdr:cNvSpPr/>
      </xdr:nvSpPr>
      <xdr:spPr>
        <a:xfrm>
          <a:off x="3478697" y="5146262"/>
          <a:ext cx="386521" cy="160130"/>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0</xdr:colOff>
      <xdr:row>40</xdr:row>
      <xdr:rowOff>0</xdr:rowOff>
    </xdr:from>
    <xdr:to>
      <xdr:col>20</xdr:col>
      <xdr:colOff>0</xdr:colOff>
      <xdr:row>41</xdr:row>
      <xdr:rowOff>0</xdr:rowOff>
    </xdr:to>
    <xdr:sp macro="" textlink="">
      <xdr:nvSpPr>
        <xdr:cNvPr id="55" name="正方形/長方形 54">
          <a:extLst>
            <a:ext uri="{FF2B5EF4-FFF2-40B4-BE49-F238E27FC236}">
              <a16:creationId xmlns:a16="http://schemas.microsoft.com/office/drawing/2014/main" id="{00000000-0008-0000-0D00-000037000000}"/>
            </a:ext>
          </a:extLst>
        </xdr:cNvPr>
        <xdr:cNvSpPr/>
      </xdr:nvSpPr>
      <xdr:spPr>
        <a:xfrm>
          <a:off x="3619500" y="6004278"/>
          <a:ext cx="381000" cy="162278"/>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0</xdr:colOff>
      <xdr:row>25</xdr:row>
      <xdr:rowOff>162277</xdr:rowOff>
    </xdr:from>
    <xdr:to>
      <xdr:col>30</xdr:col>
      <xdr:colOff>0</xdr:colOff>
      <xdr:row>32</xdr:row>
      <xdr:rowOff>-1</xdr:rowOff>
    </xdr:to>
    <xdr:sp macro="" textlink="">
      <xdr:nvSpPr>
        <xdr:cNvPr id="57" name="正方形/長方形 56">
          <a:extLst>
            <a:ext uri="{FF2B5EF4-FFF2-40B4-BE49-F238E27FC236}">
              <a16:creationId xmlns:a16="http://schemas.microsoft.com/office/drawing/2014/main" id="{00000000-0008-0000-0D00-000039000000}"/>
            </a:ext>
          </a:extLst>
        </xdr:cNvPr>
        <xdr:cNvSpPr/>
      </xdr:nvSpPr>
      <xdr:spPr>
        <a:xfrm>
          <a:off x="5334000" y="3732388"/>
          <a:ext cx="571500" cy="973667"/>
        </a:xfrm>
        <a:prstGeom prst="rect">
          <a:avLst/>
        </a:prstGeom>
        <a:noFill/>
        <a:ln w="19050">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0</xdr:colOff>
      <xdr:row>35</xdr:row>
      <xdr:rowOff>0</xdr:rowOff>
    </xdr:from>
    <xdr:to>
      <xdr:col>31</xdr:col>
      <xdr:colOff>0</xdr:colOff>
      <xdr:row>42</xdr:row>
      <xdr:rowOff>0</xdr:rowOff>
    </xdr:to>
    <xdr:sp macro="" textlink="">
      <xdr:nvSpPr>
        <xdr:cNvPr id="15" name="正方形/長方形 14">
          <a:extLst>
            <a:ext uri="{FF2B5EF4-FFF2-40B4-BE49-F238E27FC236}">
              <a16:creationId xmlns:a16="http://schemas.microsoft.com/office/drawing/2014/main" id="{00000000-0008-0000-0D00-00000F000000}"/>
            </a:ext>
          </a:extLst>
        </xdr:cNvPr>
        <xdr:cNvSpPr/>
      </xdr:nvSpPr>
      <xdr:spPr>
        <a:xfrm>
          <a:off x="5905500" y="5842000"/>
          <a:ext cx="762000" cy="1135944"/>
        </a:xfrm>
        <a:prstGeom prst="rect">
          <a:avLst/>
        </a:prstGeom>
        <a:noFill/>
        <a:ln w="19050">
          <a:solidFill>
            <a:srgbClr val="FF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20</xdr:col>
      <xdr:colOff>44824</xdr:colOff>
      <xdr:row>9</xdr:row>
      <xdr:rowOff>145676</xdr:rowOff>
    </xdr:from>
    <xdr:to>
      <xdr:col>27</xdr:col>
      <xdr:colOff>44824</xdr:colOff>
      <xdr:row>12</xdr:row>
      <xdr:rowOff>145676</xdr:rowOff>
    </xdr:to>
    <xdr:sp macro="" textlink="">
      <xdr:nvSpPr>
        <xdr:cNvPr id="67" name="角丸四角形 66">
          <a:extLst>
            <a:ext uri="{FF2B5EF4-FFF2-40B4-BE49-F238E27FC236}">
              <a16:creationId xmlns:a16="http://schemas.microsoft.com/office/drawing/2014/main" id="{00000000-0008-0000-0E00-000043000000}"/>
            </a:ext>
          </a:extLst>
        </xdr:cNvPr>
        <xdr:cNvSpPr/>
      </xdr:nvSpPr>
      <xdr:spPr>
        <a:xfrm>
          <a:off x="4078942" y="1669676"/>
          <a:ext cx="1411941" cy="50426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検索処理開始</a:t>
          </a:r>
        </a:p>
      </xdr:txBody>
    </xdr:sp>
    <xdr:clientData/>
  </xdr:twoCellAnchor>
  <xdr:twoCellAnchor>
    <xdr:from>
      <xdr:col>18</xdr:col>
      <xdr:colOff>156883</xdr:colOff>
      <xdr:row>27</xdr:row>
      <xdr:rowOff>33618</xdr:rowOff>
    </xdr:from>
    <xdr:to>
      <xdr:col>28</xdr:col>
      <xdr:colOff>115379</xdr:colOff>
      <xdr:row>30</xdr:row>
      <xdr:rowOff>9131</xdr:rowOff>
    </xdr:to>
    <xdr:sp macro="" textlink="">
      <xdr:nvSpPr>
        <xdr:cNvPr id="68" name="AutoShape 6">
          <a:extLst>
            <a:ext uri="{FF2B5EF4-FFF2-40B4-BE49-F238E27FC236}">
              <a16:creationId xmlns:a16="http://schemas.microsoft.com/office/drawing/2014/main" id="{00000000-0008-0000-0E00-000044000000}"/>
            </a:ext>
          </a:extLst>
        </xdr:cNvPr>
        <xdr:cNvSpPr>
          <a:spLocks noChangeArrowheads="1"/>
        </xdr:cNvSpPr>
      </xdr:nvSpPr>
      <xdr:spPr bwMode="auto">
        <a:xfrm>
          <a:off x="3787589" y="4583206"/>
          <a:ext cx="1975555" cy="479778"/>
        </a:xfrm>
        <a:prstGeom prst="flowChartPredefinedProcess">
          <a:avLst/>
        </a:prstGeom>
        <a:solidFill>
          <a:srgbClr val="FFC000"/>
        </a:solid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検索</a:t>
          </a:r>
          <a:r>
            <a:rPr lang="en-US" altLang="ja-JP" sz="900" b="0" i="0" u="none" strike="noStrike" baseline="0">
              <a:solidFill>
                <a:srgbClr val="000000"/>
              </a:solidFill>
              <a:latin typeface="Meiryo UI" panose="020B0604030504040204" pitchFamily="50" charset="-128"/>
              <a:ea typeface="Meiryo UI" panose="020B0604030504040204" pitchFamily="50" charset="-128"/>
            </a:rPr>
            <a:t>(selectPo())</a:t>
          </a:r>
        </a:p>
      </xdr:txBody>
    </xdr:sp>
    <xdr:clientData/>
  </xdr:twoCellAnchor>
  <xdr:twoCellAnchor>
    <xdr:from>
      <xdr:col>18</xdr:col>
      <xdr:colOff>163607</xdr:colOff>
      <xdr:row>14</xdr:row>
      <xdr:rowOff>118782</xdr:rowOff>
    </xdr:from>
    <xdr:to>
      <xdr:col>28</xdr:col>
      <xdr:colOff>122103</xdr:colOff>
      <xdr:row>17</xdr:row>
      <xdr:rowOff>94295</xdr:rowOff>
    </xdr:to>
    <xdr:sp macro="" textlink="">
      <xdr:nvSpPr>
        <xdr:cNvPr id="69" name="AutoShape 6">
          <a:extLst>
            <a:ext uri="{FF2B5EF4-FFF2-40B4-BE49-F238E27FC236}">
              <a16:creationId xmlns:a16="http://schemas.microsoft.com/office/drawing/2014/main" id="{00000000-0008-0000-0E00-000045000000}"/>
            </a:ext>
          </a:extLst>
        </xdr:cNvPr>
        <xdr:cNvSpPr>
          <a:spLocks noChangeArrowheads="1"/>
        </xdr:cNvSpPr>
      </xdr:nvSpPr>
      <xdr:spPr bwMode="auto">
        <a:xfrm>
          <a:off x="3794313" y="2483223"/>
          <a:ext cx="1975555" cy="479778"/>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インスタンス</a:t>
          </a:r>
          <a:r>
            <a:rPr lang="en-US" altLang="ja-JP" sz="900" b="0" i="0" u="none" strike="noStrike" baseline="0">
              <a:solidFill>
                <a:srgbClr val="000000"/>
              </a:solidFill>
              <a:latin typeface="Meiryo UI" panose="020B0604030504040204" pitchFamily="50" charset="-128"/>
              <a:ea typeface="Meiryo UI" panose="020B0604030504040204" pitchFamily="50" charset="-128"/>
            </a:rPr>
            <a:t>ID</a:t>
          </a:r>
          <a:r>
            <a:rPr lang="ja-JP" altLang="en-US" sz="900" b="0" i="0" u="none" strike="noStrike" baseline="0">
              <a:solidFill>
                <a:srgbClr val="000000"/>
              </a:solidFill>
              <a:latin typeface="Meiryo UI" panose="020B0604030504040204" pitchFamily="50" charset="-128"/>
              <a:ea typeface="Meiryo UI" panose="020B0604030504040204" pitchFamily="50" charset="-128"/>
            </a:rPr>
            <a:t>取得</a:t>
          </a:r>
        </a:p>
      </xdr:txBody>
    </xdr:sp>
    <xdr:clientData/>
  </xdr:twoCellAnchor>
  <xdr:twoCellAnchor>
    <xdr:from>
      <xdr:col>18</xdr:col>
      <xdr:colOff>159124</xdr:colOff>
      <xdr:row>19</xdr:row>
      <xdr:rowOff>2241</xdr:rowOff>
    </xdr:from>
    <xdr:to>
      <xdr:col>28</xdr:col>
      <xdr:colOff>117620</xdr:colOff>
      <xdr:row>21</xdr:row>
      <xdr:rowOff>145842</xdr:rowOff>
    </xdr:to>
    <xdr:sp macro="" textlink="">
      <xdr:nvSpPr>
        <xdr:cNvPr id="70" name="AutoShape 6">
          <a:extLst>
            <a:ext uri="{FF2B5EF4-FFF2-40B4-BE49-F238E27FC236}">
              <a16:creationId xmlns:a16="http://schemas.microsoft.com/office/drawing/2014/main" id="{00000000-0008-0000-0E00-000046000000}"/>
            </a:ext>
          </a:extLst>
        </xdr:cNvPr>
        <xdr:cNvSpPr>
          <a:spLocks noChangeArrowheads="1"/>
        </xdr:cNvSpPr>
      </xdr:nvSpPr>
      <xdr:spPr bwMode="auto">
        <a:xfrm>
          <a:off x="3789830" y="3207123"/>
          <a:ext cx="1975555" cy="479778"/>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改訂番号取得</a:t>
          </a:r>
        </a:p>
      </xdr:txBody>
    </xdr:sp>
    <xdr:clientData/>
  </xdr:twoCellAnchor>
  <xdr:twoCellAnchor>
    <xdr:from>
      <xdr:col>18</xdr:col>
      <xdr:colOff>154642</xdr:colOff>
      <xdr:row>23</xdr:row>
      <xdr:rowOff>20170</xdr:rowOff>
    </xdr:from>
    <xdr:to>
      <xdr:col>28</xdr:col>
      <xdr:colOff>113138</xdr:colOff>
      <xdr:row>25</xdr:row>
      <xdr:rowOff>163771</xdr:rowOff>
    </xdr:to>
    <xdr:sp macro="" textlink="">
      <xdr:nvSpPr>
        <xdr:cNvPr id="71" name="AutoShape 6">
          <a:extLst>
            <a:ext uri="{FF2B5EF4-FFF2-40B4-BE49-F238E27FC236}">
              <a16:creationId xmlns:a16="http://schemas.microsoft.com/office/drawing/2014/main" id="{00000000-0008-0000-0E00-000047000000}"/>
            </a:ext>
          </a:extLst>
        </xdr:cNvPr>
        <xdr:cNvSpPr>
          <a:spLocks noChangeArrowheads="1"/>
        </xdr:cNvSpPr>
      </xdr:nvSpPr>
      <xdr:spPr bwMode="auto">
        <a:xfrm>
          <a:off x="3785348" y="3897405"/>
          <a:ext cx="1975555" cy="479778"/>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前処理</a:t>
          </a:r>
        </a:p>
      </xdr:txBody>
    </xdr:sp>
    <xdr:clientData/>
  </xdr:twoCellAnchor>
  <xdr:twoCellAnchor>
    <xdr:from>
      <xdr:col>18</xdr:col>
      <xdr:colOff>152400</xdr:colOff>
      <xdr:row>31</xdr:row>
      <xdr:rowOff>62753</xdr:rowOff>
    </xdr:from>
    <xdr:to>
      <xdr:col>28</xdr:col>
      <xdr:colOff>110896</xdr:colOff>
      <xdr:row>34</xdr:row>
      <xdr:rowOff>38266</xdr:rowOff>
    </xdr:to>
    <xdr:sp macro="" textlink="">
      <xdr:nvSpPr>
        <xdr:cNvPr id="72" name="AutoShape 6">
          <a:extLst>
            <a:ext uri="{FF2B5EF4-FFF2-40B4-BE49-F238E27FC236}">
              <a16:creationId xmlns:a16="http://schemas.microsoft.com/office/drawing/2014/main" id="{00000000-0008-0000-0E00-000048000000}"/>
            </a:ext>
          </a:extLst>
        </xdr:cNvPr>
        <xdr:cNvSpPr>
          <a:spLocks noChangeArrowheads="1"/>
        </xdr:cNvSpPr>
      </xdr:nvSpPr>
      <xdr:spPr bwMode="auto">
        <a:xfrm>
          <a:off x="3783106" y="5284694"/>
          <a:ext cx="1975555" cy="479778"/>
        </a:xfrm>
        <a:prstGeom prst="flowChartPredefinedProcess">
          <a:avLst/>
        </a:prstGeom>
        <a:solidFill>
          <a:srgbClr val="FFC000"/>
        </a:solid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下り電文設定</a:t>
          </a:r>
          <a:r>
            <a:rPr lang="en-US" altLang="ja-JP" sz="900" b="0" i="0" u="none" strike="noStrike" baseline="0">
              <a:solidFill>
                <a:srgbClr val="000000"/>
              </a:solidFill>
              <a:latin typeface="Meiryo UI" panose="020B0604030504040204" pitchFamily="50" charset="-128"/>
              <a:ea typeface="Meiryo UI" panose="020B0604030504040204" pitchFamily="50" charset="-128"/>
            </a:rPr>
            <a:t>(setHdr(),setDtl())</a:t>
          </a:r>
        </a:p>
      </xdr:txBody>
    </xdr:sp>
    <xdr:clientData/>
  </xdr:twoCellAnchor>
  <xdr:twoCellAnchor>
    <xdr:from>
      <xdr:col>20</xdr:col>
      <xdr:colOff>29135</xdr:colOff>
      <xdr:row>35</xdr:row>
      <xdr:rowOff>129987</xdr:rowOff>
    </xdr:from>
    <xdr:to>
      <xdr:col>27</xdr:col>
      <xdr:colOff>29135</xdr:colOff>
      <xdr:row>38</xdr:row>
      <xdr:rowOff>129987</xdr:rowOff>
    </xdr:to>
    <xdr:sp macro="" textlink="">
      <xdr:nvSpPr>
        <xdr:cNvPr id="73" name="角丸四角形 72">
          <a:extLst>
            <a:ext uri="{FF2B5EF4-FFF2-40B4-BE49-F238E27FC236}">
              <a16:creationId xmlns:a16="http://schemas.microsoft.com/office/drawing/2014/main" id="{00000000-0008-0000-0E00-000049000000}"/>
            </a:ext>
          </a:extLst>
        </xdr:cNvPr>
        <xdr:cNvSpPr/>
      </xdr:nvSpPr>
      <xdr:spPr>
        <a:xfrm>
          <a:off x="4063253" y="6024281"/>
          <a:ext cx="1411941" cy="50426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検索処理終了</a:t>
          </a:r>
        </a:p>
      </xdr:txBody>
    </xdr:sp>
    <xdr:clientData/>
  </xdr:twoCellAnchor>
  <xdr:twoCellAnchor>
    <xdr:from>
      <xdr:col>23</xdr:col>
      <xdr:colOff>142856</xdr:colOff>
      <xdr:row>12</xdr:row>
      <xdr:rowOff>145676</xdr:rowOff>
    </xdr:from>
    <xdr:to>
      <xdr:col>23</xdr:col>
      <xdr:colOff>145678</xdr:colOff>
      <xdr:row>14</xdr:row>
      <xdr:rowOff>118782</xdr:rowOff>
    </xdr:to>
    <xdr:cxnSp macro="">
      <xdr:nvCxnSpPr>
        <xdr:cNvPr id="75" name="直線矢印コネクタ 74">
          <a:extLst>
            <a:ext uri="{FF2B5EF4-FFF2-40B4-BE49-F238E27FC236}">
              <a16:creationId xmlns:a16="http://schemas.microsoft.com/office/drawing/2014/main" id="{00000000-0008-0000-0E00-00004B000000}"/>
            </a:ext>
          </a:extLst>
        </xdr:cNvPr>
        <xdr:cNvCxnSpPr>
          <a:stCxn id="67" idx="2"/>
          <a:endCxn id="69" idx="0"/>
        </xdr:cNvCxnSpPr>
      </xdr:nvCxnSpPr>
      <xdr:spPr>
        <a:xfrm flipH="1">
          <a:off x="4782091" y="2173941"/>
          <a:ext cx="2822" cy="30928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138373</xdr:colOff>
      <xdr:row>17</xdr:row>
      <xdr:rowOff>94295</xdr:rowOff>
    </xdr:from>
    <xdr:to>
      <xdr:col>23</xdr:col>
      <xdr:colOff>142856</xdr:colOff>
      <xdr:row>19</xdr:row>
      <xdr:rowOff>2241</xdr:rowOff>
    </xdr:to>
    <xdr:cxnSp macro="">
      <xdr:nvCxnSpPr>
        <xdr:cNvPr id="76" name="直線矢印コネクタ 75">
          <a:extLst>
            <a:ext uri="{FF2B5EF4-FFF2-40B4-BE49-F238E27FC236}">
              <a16:creationId xmlns:a16="http://schemas.microsoft.com/office/drawing/2014/main" id="{00000000-0008-0000-0E00-00004C000000}"/>
            </a:ext>
          </a:extLst>
        </xdr:cNvPr>
        <xdr:cNvCxnSpPr>
          <a:stCxn id="69" idx="2"/>
          <a:endCxn id="70" idx="0"/>
        </xdr:cNvCxnSpPr>
      </xdr:nvCxnSpPr>
      <xdr:spPr>
        <a:xfrm flipH="1">
          <a:off x="4777608" y="2963001"/>
          <a:ext cx="4483" cy="2441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133891</xdr:colOff>
      <xdr:row>21</xdr:row>
      <xdr:rowOff>145842</xdr:rowOff>
    </xdr:from>
    <xdr:to>
      <xdr:col>23</xdr:col>
      <xdr:colOff>138373</xdr:colOff>
      <xdr:row>23</xdr:row>
      <xdr:rowOff>20170</xdr:rowOff>
    </xdr:to>
    <xdr:cxnSp macro="">
      <xdr:nvCxnSpPr>
        <xdr:cNvPr id="80" name="直線矢印コネクタ 79">
          <a:extLst>
            <a:ext uri="{FF2B5EF4-FFF2-40B4-BE49-F238E27FC236}">
              <a16:creationId xmlns:a16="http://schemas.microsoft.com/office/drawing/2014/main" id="{00000000-0008-0000-0E00-000050000000}"/>
            </a:ext>
          </a:extLst>
        </xdr:cNvPr>
        <xdr:cNvCxnSpPr>
          <a:stCxn id="70" idx="2"/>
          <a:endCxn id="71" idx="0"/>
        </xdr:cNvCxnSpPr>
      </xdr:nvCxnSpPr>
      <xdr:spPr>
        <a:xfrm flipH="1">
          <a:off x="4773126" y="3686901"/>
          <a:ext cx="4482" cy="21050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133891</xdr:colOff>
      <xdr:row>25</xdr:row>
      <xdr:rowOff>163771</xdr:rowOff>
    </xdr:from>
    <xdr:to>
      <xdr:col>23</xdr:col>
      <xdr:colOff>136132</xdr:colOff>
      <xdr:row>27</xdr:row>
      <xdr:rowOff>33618</xdr:rowOff>
    </xdr:to>
    <xdr:cxnSp macro="">
      <xdr:nvCxnSpPr>
        <xdr:cNvPr id="83" name="直線矢印コネクタ 82">
          <a:extLst>
            <a:ext uri="{FF2B5EF4-FFF2-40B4-BE49-F238E27FC236}">
              <a16:creationId xmlns:a16="http://schemas.microsoft.com/office/drawing/2014/main" id="{00000000-0008-0000-0E00-000053000000}"/>
            </a:ext>
          </a:extLst>
        </xdr:cNvPr>
        <xdr:cNvCxnSpPr>
          <a:stCxn id="71" idx="2"/>
          <a:endCxn id="68" idx="0"/>
        </xdr:cNvCxnSpPr>
      </xdr:nvCxnSpPr>
      <xdr:spPr>
        <a:xfrm>
          <a:off x="4773126" y="4377183"/>
          <a:ext cx="2241" cy="20602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131649</xdr:colOff>
      <xdr:row>30</xdr:row>
      <xdr:rowOff>9131</xdr:rowOff>
    </xdr:from>
    <xdr:to>
      <xdr:col>23</xdr:col>
      <xdr:colOff>136132</xdr:colOff>
      <xdr:row>31</xdr:row>
      <xdr:rowOff>62753</xdr:rowOff>
    </xdr:to>
    <xdr:cxnSp macro="">
      <xdr:nvCxnSpPr>
        <xdr:cNvPr id="86" name="直線矢印コネクタ 85">
          <a:extLst>
            <a:ext uri="{FF2B5EF4-FFF2-40B4-BE49-F238E27FC236}">
              <a16:creationId xmlns:a16="http://schemas.microsoft.com/office/drawing/2014/main" id="{00000000-0008-0000-0E00-000056000000}"/>
            </a:ext>
          </a:extLst>
        </xdr:cNvPr>
        <xdr:cNvCxnSpPr>
          <a:stCxn id="68" idx="2"/>
          <a:endCxn id="72" idx="0"/>
        </xdr:cNvCxnSpPr>
      </xdr:nvCxnSpPr>
      <xdr:spPr>
        <a:xfrm flipH="1">
          <a:off x="4770884" y="5062984"/>
          <a:ext cx="4483" cy="2217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129989</xdr:colOff>
      <xdr:row>34</xdr:row>
      <xdr:rowOff>38266</xdr:rowOff>
    </xdr:from>
    <xdr:to>
      <xdr:col>23</xdr:col>
      <xdr:colOff>131649</xdr:colOff>
      <xdr:row>35</xdr:row>
      <xdr:rowOff>129987</xdr:rowOff>
    </xdr:to>
    <xdr:cxnSp macro="">
      <xdr:nvCxnSpPr>
        <xdr:cNvPr id="89" name="直線矢印コネクタ 88">
          <a:extLst>
            <a:ext uri="{FF2B5EF4-FFF2-40B4-BE49-F238E27FC236}">
              <a16:creationId xmlns:a16="http://schemas.microsoft.com/office/drawing/2014/main" id="{00000000-0008-0000-0E00-000059000000}"/>
            </a:ext>
          </a:extLst>
        </xdr:cNvPr>
        <xdr:cNvCxnSpPr>
          <a:stCxn id="72" idx="2"/>
          <a:endCxn id="73" idx="0"/>
        </xdr:cNvCxnSpPr>
      </xdr:nvCxnSpPr>
      <xdr:spPr>
        <a:xfrm flipH="1">
          <a:off x="4769224" y="5764472"/>
          <a:ext cx="1660" cy="25980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78441</xdr:colOff>
      <xdr:row>31</xdr:row>
      <xdr:rowOff>38658</xdr:rowOff>
    </xdr:from>
    <xdr:to>
      <xdr:col>14</xdr:col>
      <xdr:colOff>152409</xdr:colOff>
      <xdr:row>33</xdr:row>
      <xdr:rowOff>110189</xdr:rowOff>
    </xdr:to>
    <xdr:sp macro="" textlink="">
      <xdr:nvSpPr>
        <xdr:cNvPr id="93" name="AutoShape 78">
          <a:extLst>
            <a:ext uri="{FF2B5EF4-FFF2-40B4-BE49-F238E27FC236}">
              <a16:creationId xmlns:a16="http://schemas.microsoft.com/office/drawing/2014/main" id="{00000000-0008-0000-0E00-00005D000000}"/>
            </a:ext>
          </a:extLst>
        </xdr:cNvPr>
        <xdr:cNvSpPr>
          <a:spLocks noChangeArrowheads="1"/>
        </xdr:cNvSpPr>
      </xdr:nvSpPr>
      <xdr:spPr bwMode="auto">
        <a:xfrm>
          <a:off x="1893794" y="5014070"/>
          <a:ext cx="1082497" cy="385295"/>
        </a:xfrm>
        <a:prstGeom prst="can">
          <a:avLst>
            <a:gd name="adj" fmla="val 25000"/>
          </a:avLst>
        </a:prstGeom>
        <a:solidFill>
          <a:srgbClr val="FFC000"/>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品目品管マスタ</a:t>
          </a:r>
          <a:endParaRPr lang="ja-JP" altLang="ja-JP" sz="900">
            <a:effectLst/>
          </a:endParaRPr>
        </a:p>
      </xdr:txBody>
    </xdr:sp>
    <xdr:clientData/>
  </xdr:twoCellAnchor>
  <xdr:twoCellAnchor>
    <xdr:from>
      <xdr:col>9</xdr:col>
      <xdr:colOff>85165</xdr:colOff>
      <xdr:row>27</xdr:row>
      <xdr:rowOff>62753</xdr:rowOff>
    </xdr:from>
    <xdr:to>
      <xdr:col>14</xdr:col>
      <xdr:colOff>159133</xdr:colOff>
      <xdr:row>29</xdr:row>
      <xdr:rowOff>150531</xdr:rowOff>
    </xdr:to>
    <xdr:sp macro="" textlink="">
      <xdr:nvSpPr>
        <xdr:cNvPr id="94" name="AutoShape 78">
          <a:extLst>
            <a:ext uri="{FF2B5EF4-FFF2-40B4-BE49-F238E27FC236}">
              <a16:creationId xmlns:a16="http://schemas.microsoft.com/office/drawing/2014/main" id="{00000000-0008-0000-0E00-00005E000000}"/>
            </a:ext>
          </a:extLst>
        </xdr:cNvPr>
        <xdr:cNvSpPr>
          <a:spLocks noChangeArrowheads="1"/>
        </xdr:cNvSpPr>
      </xdr:nvSpPr>
      <xdr:spPr bwMode="auto">
        <a:xfrm>
          <a:off x="1900518" y="4612341"/>
          <a:ext cx="1082497" cy="423955"/>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発注明細</a:t>
          </a:r>
          <a:endParaRPr lang="ja-JP" altLang="ja-JP" sz="900">
            <a:effectLst/>
          </a:endParaRPr>
        </a:p>
      </xdr:txBody>
    </xdr:sp>
    <xdr:clientData/>
  </xdr:twoCellAnchor>
  <xdr:twoCellAnchor>
    <xdr:from>
      <xdr:col>9</xdr:col>
      <xdr:colOff>85165</xdr:colOff>
      <xdr:row>25</xdr:row>
      <xdr:rowOff>85164</xdr:rowOff>
    </xdr:from>
    <xdr:to>
      <xdr:col>14</xdr:col>
      <xdr:colOff>159133</xdr:colOff>
      <xdr:row>28</xdr:row>
      <xdr:rowOff>4855</xdr:rowOff>
    </xdr:to>
    <xdr:sp macro="" textlink="">
      <xdr:nvSpPr>
        <xdr:cNvPr id="95" name="AutoShape 78">
          <a:extLst>
            <a:ext uri="{FF2B5EF4-FFF2-40B4-BE49-F238E27FC236}">
              <a16:creationId xmlns:a16="http://schemas.microsoft.com/office/drawing/2014/main" id="{00000000-0008-0000-0E00-00005F000000}"/>
            </a:ext>
          </a:extLst>
        </xdr:cNvPr>
        <xdr:cNvSpPr>
          <a:spLocks noChangeArrowheads="1"/>
        </xdr:cNvSpPr>
      </xdr:nvSpPr>
      <xdr:spPr bwMode="auto">
        <a:xfrm>
          <a:off x="1900518" y="4298576"/>
          <a:ext cx="1082497" cy="423955"/>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発注</a:t>
          </a:r>
          <a:endParaRPr lang="ja-JP" altLang="ja-JP" sz="900">
            <a:effectLst/>
          </a:endParaRPr>
        </a:p>
      </xdr:txBody>
    </xdr:sp>
    <xdr:clientData/>
  </xdr:twoCellAnchor>
  <xdr:twoCellAnchor>
    <xdr:from>
      <xdr:col>14</xdr:col>
      <xdr:colOff>159133</xdr:colOff>
      <xdr:row>28</xdr:row>
      <xdr:rowOff>105419</xdr:rowOff>
    </xdr:from>
    <xdr:to>
      <xdr:col>18</xdr:col>
      <xdr:colOff>156883</xdr:colOff>
      <xdr:row>28</xdr:row>
      <xdr:rowOff>106643</xdr:rowOff>
    </xdr:to>
    <xdr:cxnSp macro="">
      <xdr:nvCxnSpPr>
        <xdr:cNvPr id="96" name="直線矢印コネクタ 95">
          <a:extLst>
            <a:ext uri="{FF2B5EF4-FFF2-40B4-BE49-F238E27FC236}">
              <a16:creationId xmlns:a16="http://schemas.microsoft.com/office/drawing/2014/main" id="{00000000-0008-0000-0E00-000060000000}"/>
            </a:ext>
          </a:extLst>
        </xdr:cNvPr>
        <xdr:cNvCxnSpPr>
          <a:stCxn id="94" idx="4"/>
          <a:endCxn id="68" idx="1"/>
        </xdr:cNvCxnSpPr>
      </xdr:nvCxnSpPr>
      <xdr:spPr>
        <a:xfrm flipV="1">
          <a:off x="2983015" y="4823095"/>
          <a:ext cx="804574" cy="12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43</xdr:row>
      <xdr:rowOff>145676</xdr:rowOff>
    </xdr:from>
    <xdr:to>
      <xdr:col>27</xdr:col>
      <xdr:colOff>44824</xdr:colOff>
      <xdr:row>46</xdr:row>
      <xdr:rowOff>145676</xdr:rowOff>
    </xdr:to>
    <xdr:sp macro="" textlink="">
      <xdr:nvSpPr>
        <xdr:cNvPr id="110" name="角丸四角形 109">
          <a:extLst>
            <a:ext uri="{FF2B5EF4-FFF2-40B4-BE49-F238E27FC236}">
              <a16:creationId xmlns:a16="http://schemas.microsoft.com/office/drawing/2014/main" id="{00000000-0008-0000-0E00-00006E000000}"/>
            </a:ext>
          </a:extLst>
        </xdr:cNvPr>
        <xdr:cNvSpPr/>
      </xdr:nvSpPr>
      <xdr:spPr>
        <a:xfrm>
          <a:off x="4078942" y="1804147"/>
          <a:ext cx="1411941" cy="60511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検索処理開始</a:t>
          </a:r>
        </a:p>
      </xdr:txBody>
    </xdr:sp>
    <xdr:clientData/>
  </xdr:twoCellAnchor>
  <xdr:twoCellAnchor>
    <xdr:from>
      <xdr:col>18</xdr:col>
      <xdr:colOff>168089</xdr:colOff>
      <xdr:row>48</xdr:row>
      <xdr:rowOff>112058</xdr:rowOff>
    </xdr:from>
    <xdr:to>
      <xdr:col>28</xdr:col>
      <xdr:colOff>126585</xdr:colOff>
      <xdr:row>51</xdr:row>
      <xdr:rowOff>87571</xdr:rowOff>
    </xdr:to>
    <xdr:sp macro="" textlink="">
      <xdr:nvSpPr>
        <xdr:cNvPr id="111" name="AutoShape 6">
          <a:extLst>
            <a:ext uri="{FF2B5EF4-FFF2-40B4-BE49-F238E27FC236}">
              <a16:creationId xmlns:a16="http://schemas.microsoft.com/office/drawing/2014/main" id="{00000000-0008-0000-0E00-00006F000000}"/>
            </a:ext>
          </a:extLst>
        </xdr:cNvPr>
        <xdr:cNvSpPr>
          <a:spLocks noChangeArrowheads="1"/>
        </xdr:cNvSpPr>
      </xdr:nvSpPr>
      <xdr:spPr bwMode="auto">
        <a:xfrm>
          <a:off x="3798795" y="9637058"/>
          <a:ext cx="1975555" cy="580631"/>
        </a:xfrm>
        <a:prstGeom prst="flowChartPredefinedProcess">
          <a:avLst/>
        </a:prstGeom>
        <a:solidFill>
          <a:srgbClr val="FFC000"/>
        </a:solid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検索</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en-US" altLang="ja-JP" sz="1000">
              <a:latin typeface="Meiryo UI" panose="020B0604030504040204" pitchFamily="50" charset="-128"/>
              <a:ea typeface="Meiryo UI" panose="020B0604030504040204" pitchFamily="50" charset="-128"/>
              <a:cs typeface="+mn-cs"/>
            </a:rPr>
            <a:t>selectPoSchd</a:t>
          </a: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p>
      </xdr:txBody>
    </xdr:sp>
    <xdr:clientData/>
  </xdr:twoCellAnchor>
  <xdr:twoCellAnchor>
    <xdr:from>
      <xdr:col>18</xdr:col>
      <xdr:colOff>163606</xdr:colOff>
      <xdr:row>52</xdr:row>
      <xdr:rowOff>141193</xdr:rowOff>
    </xdr:from>
    <xdr:to>
      <xdr:col>28</xdr:col>
      <xdr:colOff>122102</xdr:colOff>
      <xdr:row>55</xdr:row>
      <xdr:rowOff>116707</xdr:rowOff>
    </xdr:to>
    <xdr:sp macro="" textlink="">
      <xdr:nvSpPr>
        <xdr:cNvPr id="115" name="AutoShape 6">
          <a:extLst>
            <a:ext uri="{FF2B5EF4-FFF2-40B4-BE49-F238E27FC236}">
              <a16:creationId xmlns:a16="http://schemas.microsoft.com/office/drawing/2014/main" id="{00000000-0008-0000-0E00-000073000000}"/>
            </a:ext>
          </a:extLst>
        </xdr:cNvPr>
        <xdr:cNvSpPr>
          <a:spLocks noChangeArrowheads="1"/>
        </xdr:cNvSpPr>
      </xdr:nvSpPr>
      <xdr:spPr bwMode="auto">
        <a:xfrm>
          <a:off x="3794312" y="10473017"/>
          <a:ext cx="1975555" cy="580631"/>
        </a:xfrm>
        <a:prstGeom prst="flowChartPredefinedProcess">
          <a:avLst/>
        </a:prstGeom>
        <a:solidFill>
          <a:srgbClr val="FFC000"/>
        </a:solid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下り電文設定</a:t>
          </a:r>
          <a:r>
            <a:rPr lang="en-US" altLang="ja-JP" sz="900" b="0" i="0" u="none" strike="noStrike" baseline="0">
              <a:solidFill>
                <a:srgbClr val="000000"/>
              </a:solidFill>
              <a:latin typeface="Meiryo UI" panose="020B0604030504040204" pitchFamily="50" charset="-128"/>
              <a:ea typeface="Meiryo UI" panose="020B0604030504040204" pitchFamily="50" charset="-128"/>
            </a:rPr>
            <a:t>(setHdr(),setDtl())</a:t>
          </a:r>
        </a:p>
      </xdr:txBody>
    </xdr:sp>
    <xdr:clientData/>
  </xdr:twoCellAnchor>
  <xdr:twoCellAnchor>
    <xdr:from>
      <xdr:col>20</xdr:col>
      <xdr:colOff>40341</xdr:colOff>
      <xdr:row>57</xdr:row>
      <xdr:rowOff>6722</xdr:rowOff>
    </xdr:from>
    <xdr:to>
      <xdr:col>27</xdr:col>
      <xdr:colOff>40341</xdr:colOff>
      <xdr:row>60</xdr:row>
      <xdr:rowOff>6721</xdr:rowOff>
    </xdr:to>
    <xdr:sp macro="" textlink="">
      <xdr:nvSpPr>
        <xdr:cNvPr id="116" name="角丸四角形 115">
          <a:extLst>
            <a:ext uri="{FF2B5EF4-FFF2-40B4-BE49-F238E27FC236}">
              <a16:creationId xmlns:a16="http://schemas.microsoft.com/office/drawing/2014/main" id="{00000000-0008-0000-0E00-000074000000}"/>
            </a:ext>
          </a:extLst>
        </xdr:cNvPr>
        <xdr:cNvSpPr/>
      </xdr:nvSpPr>
      <xdr:spPr>
        <a:xfrm>
          <a:off x="4074459" y="11347075"/>
          <a:ext cx="1411941" cy="60511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検索処理終了</a:t>
          </a:r>
        </a:p>
      </xdr:txBody>
    </xdr:sp>
    <xdr:clientData/>
  </xdr:twoCellAnchor>
  <xdr:twoCellAnchor>
    <xdr:from>
      <xdr:col>23</xdr:col>
      <xdr:colOff>145678</xdr:colOff>
      <xdr:row>46</xdr:row>
      <xdr:rowOff>145676</xdr:rowOff>
    </xdr:from>
    <xdr:to>
      <xdr:col>23</xdr:col>
      <xdr:colOff>147338</xdr:colOff>
      <xdr:row>48</xdr:row>
      <xdr:rowOff>112058</xdr:rowOff>
    </xdr:to>
    <xdr:cxnSp macro="">
      <xdr:nvCxnSpPr>
        <xdr:cNvPr id="117" name="直線矢印コネクタ 116">
          <a:extLst>
            <a:ext uri="{FF2B5EF4-FFF2-40B4-BE49-F238E27FC236}">
              <a16:creationId xmlns:a16="http://schemas.microsoft.com/office/drawing/2014/main" id="{00000000-0008-0000-0E00-000075000000}"/>
            </a:ext>
          </a:extLst>
        </xdr:cNvPr>
        <xdr:cNvCxnSpPr>
          <a:stCxn id="110" idx="2"/>
          <a:endCxn id="111" idx="0"/>
        </xdr:cNvCxnSpPr>
      </xdr:nvCxnSpPr>
      <xdr:spPr>
        <a:xfrm>
          <a:off x="4784913" y="9267264"/>
          <a:ext cx="1660" cy="36979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142855</xdr:colOff>
      <xdr:row>51</xdr:row>
      <xdr:rowOff>87571</xdr:rowOff>
    </xdr:from>
    <xdr:to>
      <xdr:col>23</xdr:col>
      <xdr:colOff>147338</xdr:colOff>
      <xdr:row>52</xdr:row>
      <xdr:rowOff>141193</xdr:rowOff>
    </xdr:to>
    <xdr:cxnSp macro="">
      <xdr:nvCxnSpPr>
        <xdr:cNvPr id="121" name="直線矢印コネクタ 120">
          <a:extLst>
            <a:ext uri="{FF2B5EF4-FFF2-40B4-BE49-F238E27FC236}">
              <a16:creationId xmlns:a16="http://schemas.microsoft.com/office/drawing/2014/main" id="{00000000-0008-0000-0E00-000079000000}"/>
            </a:ext>
          </a:extLst>
        </xdr:cNvPr>
        <xdr:cNvCxnSpPr>
          <a:stCxn id="111" idx="2"/>
          <a:endCxn id="115" idx="0"/>
        </xdr:cNvCxnSpPr>
      </xdr:nvCxnSpPr>
      <xdr:spPr>
        <a:xfrm flipH="1">
          <a:off x="4782090" y="10217689"/>
          <a:ext cx="4483" cy="25532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141195</xdr:colOff>
      <xdr:row>55</xdr:row>
      <xdr:rowOff>116707</xdr:rowOff>
    </xdr:from>
    <xdr:to>
      <xdr:col>23</xdr:col>
      <xdr:colOff>142855</xdr:colOff>
      <xdr:row>57</xdr:row>
      <xdr:rowOff>6722</xdr:rowOff>
    </xdr:to>
    <xdr:cxnSp macro="">
      <xdr:nvCxnSpPr>
        <xdr:cNvPr id="122" name="直線矢印コネクタ 121">
          <a:extLst>
            <a:ext uri="{FF2B5EF4-FFF2-40B4-BE49-F238E27FC236}">
              <a16:creationId xmlns:a16="http://schemas.microsoft.com/office/drawing/2014/main" id="{00000000-0008-0000-0E00-00007A000000}"/>
            </a:ext>
          </a:extLst>
        </xdr:cNvPr>
        <xdr:cNvCxnSpPr>
          <a:stCxn id="115" idx="2"/>
          <a:endCxn id="116" idx="0"/>
        </xdr:cNvCxnSpPr>
      </xdr:nvCxnSpPr>
      <xdr:spPr>
        <a:xfrm flipH="1">
          <a:off x="4780430" y="11053648"/>
          <a:ext cx="1660" cy="29342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89647</xdr:colOff>
      <xdr:row>54</xdr:row>
      <xdr:rowOff>56027</xdr:rowOff>
    </xdr:from>
    <xdr:to>
      <xdr:col>14</xdr:col>
      <xdr:colOff>163615</xdr:colOff>
      <xdr:row>56</xdr:row>
      <xdr:rowOff>143806</xdr:rowOff>
    </xdr:to>
    <xdr:sp macro="" textlink="">
      <xdr:nvSpPr>
        <xdr:cNvPr id="123" name="AutoShape 78">
          <a:extLst>
            <a:ext uri="{FF2B5EF4-FFF2-40B4-BE49-F238E27FC236}">
              <a16:creationId xmlns:a16="http://schemas.microsoft.com/office/drawing/2014/main" id="{00000000-0008-0000-0E00-00007B000000}"/>
            </a:ext>
          </a:extLst>
        </xdr:cNvPr>
        <xdr:cNvSpPr>
          <a:spLocks noChangeArrowheads="1"/>
        </xdr:cNvSpPr>
      </xdr:nvSpPr>
      <xdr:spPr bwMode="auto">
        <a:xfrm>
          <a:off x="1905000" y="8639733"/>
          <a:ext cx="1082497" cy="401544"/>
        </a:xfrm>
        <a:prstGeom prst="can">
          <a:avLst>
            <a:gd name="adj" fmla="val 25000"/>
          </a:avLst>
        </a:prstGeom>
        <a:solidFill>
          <a:srgbClr val="FFC000"/>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品目品管マスタ</a:t>
          </a:r>
          <a:endParaRPr lang="ja-JP" altLang="ja-JP" sz="900">
            <a:effectLst/>
          </a:endParaRPr>
        </a:p>
      </xdr:txBody>
    </xdr:sp>
    <xdr:clientData/>
  </xdr:twoCellAnchor>
  <xdr:twoCellAnchor>
    <xdr:from>
      <xdr:col>9</xdr:col>
      <xdr:colOff>96371</xdr:colOff>
      <xdr:row>46</xdr:row>
      <xdr:rowOff>163605</xdr:rowOff>
    </xdr:from>
    <xdr:to>
      <xdr:col>14</xdr:col>
      <xdr:colOff>170339</xdr:colOff>
      <xdr:row>49</xdr:row>
      <xdr:rowOff>83295</xdr:rowOff>
    </xdr:to>
    <xdr:sp macro="" textlink="">
      <xdr:nvSpPr>
        <xdr:cNvPr id="125" name="AutoShape 78">
          <a:extLst>
            <a:ext uri="{FF2B5EF4-FFF2-40B4-BE49-F238E27FC236}">
              <a16:creationId xmlns:a16="http://schemas.microsoft.com/office/drawing/2014/main" id="{00000000-0008-0000-0E00-00007D000000}"/>
            </a:ext>
          </a:extLst>
        </xdr:cNvPr>
        <xdr:cNvSpPr>
          <a:spLocks noChangeArrowheads="1"/>
        </xdr:cNvSpPr>
      </xdr:nvSpPr>
      <xdr:spPr bwMode="auto">
        <a:xfrm>
          <a:off x="1911724" y="9285193"/>
          <a:ext cx="1082497" cy="524808"/>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発注予定</a:t>
          </a:r>
          <a:endParaRPr lang="ja-JP" altLang="ja-JP" sz="900">
            <a:effectLst/>
          </a:endParaRPr>
        </a:p>
      </xdr:txBody>
    </xdr:sp>
    <xdr:clientData/>
  </xdr:twoCellAnchor>
  <xdr:twoCellAnchor>
    <xdr:from>
      <xdr:col>14</xdr:col>
      <xdr:colOff>170339</xdr:colOff>
      <xdr:row>49</xdr:row>
      <xdr:rowOff>183859</xdr:rowOff>
    </xdr:from>
    <xdr:to>
      <xdr:col>18</xdr:col>
      <xdr:colOff>168089</xdr:colOff>
      <xdr:row>49</xdr:row>
      <xdr:rowOff>185083</xdr:rowOff>
    </xdr:to>
    <xdr:cxnSp macro="">
      <xdr:nvCxnSpPr>
        <xdr:cNvPr id="126" name="直線矢印コネクタ 125">
          <a:extLst>
            <a:ext uri="{FF2B5EF4-FFF2-40B4-BE49-F238E27FC236}">
              <a16:creationId xmlns:a16="http://schemas.microsoft.com/office/drawing/2014/main" id="{00000000-0008-0000-0E00-00007E000000}"/>
            </a:ext>
          </a:extLst>
        </xdr:cNvPr>
        <xdr:cNvCxnSpPr>
          <a:endCxn id="111" idx="1"/>
        </xdr:cNvCxnSpPr>
      </xdr:nvCxnSpPr>
      <xdr:spPr>
        <a:xfrm flipV="1">
          <a:off x="2994221" y="9910565"/>
          <a:ext cx="804574" cy="12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44824</xdr:colOff>
      <xdr:row>29</xdr:row>
      <xdr:rowOff>145675</xdr:rowOff>
    </xdr:from>
    <xdr:to>
      <xdr:col>13</xdr:col>
      <xdr:colOff>100854</xdr:colOff>
      <xdr:row>31</xdr:row>
      <xdr:rowOff>22410</xdr:rowOff>
    </xdr:to>
    <xdr:sp macro="" textlink="">
      <xdr:nvSpPr>
        <xdr:cNvPr id="128" name="テキスト ボックス 127">
          <a:extLst>
            <a:ext uri="{FF2B5EF4-FFF2-40B4-BE49-F238E27FC236}">
              <a16:creationId xmlns:a16="http://schemas.microsoft.com/office/drawing/2014/main" id="{00000000-0008-0000-0E00-000080000000}"/>
            </a:ext>
          </a:extLst>
        </xdr:cNvPr>
        <xdr:cNvSpPr txBox="1"/>
      </xdr:nvSpPr>
      <xdr:spPr>
        <a:xfrm>
          <a:off x="2263589" y="5838263"/>
          <a:ext cx="459441"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11</xdr:col>
      <xdr:colOff>33617</xdr:colOff>
      <xdr:row>49</xdr:row>
      <xdr:rowOff>89648</xdr:rowOff>
    </xdr:from>
    <xdr:to>
      <xdr:col>13</xdr:col>
      <xdr:colOff>89647</xdr:colOff>
      <xdr:row>50</xdr:row>
      <xdr:rowOff>168089</xdr:rowOff>
    </xdr:to>
    <xdr:sp macro="" textlink="">
      <xdr:nvSpPr>
        <xdr:cNvPr id="129" name="テキスト ボックス 128">
          <a:extLst>
            <a:ext uri="{FF2B5EF4-FFF2-40B4-BE49-F238E27FC236}">
              <a16:creationId xmlns:a16="http://schemas.microsoft.com/office/drawing/2014/main" id="{00000000-0008-0000-0E00-000081000000}"/>
            </a:ext>
          </a:extLst>
        </xdr:cNvPr>
        <xdr:cNvSpPr txBox="1"/>
      </xdr:nvSpPr>
      <xdr:spPr>
        <a:xfrm>
          <a:off x="2252382" y="9816354"/>
          <a:ext cx="459441"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9</xdr:col>
      <xdr:colOff>96372</xdr:colOff>
      <xdr:row>52</xdr:row>
      <xdr:rowOff>96368</xdr:rowOff>
    </xdr:from>
    <xdr:to>
      <xdr:col>14</xdr:col>
      <xdr:colOff>170340</xdr:colOff>
      <xdr:row>54</xdr:row>
      <xdr:rowOff>155573</xdr:rowOff>
    </xdr:to>
    <xdr:sp macro="" textlink="">
      <xdr:nvSpPr>
        <xdr:cNvPr id="130" name="AutoShape 78">
          <a:extLst>
            <a:ext uri="{FF2B5EF4-FFF2-40B4-BE49-F238E27FC236}">
              <a16:creationId xmlns:a16="http://schemas.microsoft.com/office/drawing/2014/main" id="{00000000-0008-0000-0E00-000082000000}"/>
            </a:ext>
          </a:extLst>
        </xdr:cNvPr>
        <xdr:cNvSpPr>
          <a:spLocks noChangeArrowheads="1"/>
        </xdr:cNvSpPr>
      </xdr:nvSpPr>
      <xdr:spPr bwMode="auto">
        <a:xfrm>
          <a:off x="1911725" y="8366309"/>
          <a:ext cx="1082497" cy="372970"/>
        </a:xfrm>
        <a:prstGeom prst="can">
          <a:avLst>
            <a:gd name="adj" fmla="val 25000"/>
          </a:avLst>
        </a:prstGeom>
        <a:solidFill>
          <a:srgbClr val="FFC000"/>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コメントマスタ</a:t>
          </a:r>
          <a:endParaRPr lang="ja-JP" altLang="ja-JP" sz="900">
            <a:effectLst/>
          </a:endParaRPr>
        </a:p>
      </xdr:txBody>
    </xdr:sp>
    <xdr:clientData/>
  </xdr:twoCellAnchor>
  <xdr:twoCellAnchor>
    <xdr:from>
      <xdr:col>9</xdr:col>
      <xdr:colOff>91888</xdr:colOff>
      <xdr:row>50</xdr:row>
      <xdr:rowOff>147915</xdr:rowOff>
    </xdr:from>
    <xdr:to>
      <xdr:col>14</xdr:col>
      <xdr:colOff>165856</xdr:colOff>
      <xdr:row>53</xdr:row>
      <xdr:rowOff>33989</xdr:rowOff>
    </xdr:to>
    <xdr:sp macro="" textlink="">
      <xdr:nvSpPr>
        <xdr:cNvPr id="131" name="AutoShape 78">
          <a:extLst>
            <a:ext uri="{FF2B5EF4-FFF2-40B4-BE49-F238E27FC236}">
              <a16:creationId xmlns:a16="http://schemas.microsoft.com/office/drawing/2014/main" id="{00000000-0008-0000-0E00-000083000000}"/>
            </a:ext>
          </a:extLst>
        </xdr:cNvPr>
        <xdr:cNvSpPr>
          <a:spLocks noChangeArrowheads="1"/>
        </xdr:cNvSpPr>
      </xdr:nvSpPr>
      <xdr:spPr bwMode="auto">
        <a:xfrm>
          <a:off x="1907241" y="8104091"/>
          <a:ext cx="1082497" cy="356722"/>
        </a:xfrm>
        <a:prstGeom prst="can">
          <a:avLst>
            <a:gd name="adj" fmla="val 25000"/>
          </a:avLst>
        </a:prstGeom>
        <a:solidFill>
          <a:srgbClr val="FFC000"/>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取引条件マスタ</a:t>
          </a:r>
          <a:endParaRPr lang="ja-JP" altLang="ja-JP" sz="900">
            <a:effectLst/>
          </a:endParaRPr>
        </a:p>
      </xdr:txBody>
    </xdr:sp>
    <xdr:clientData/>
  </xdr:twoCellAnchor>
  <xdr:twoCellAnchor>
    <xdr:from>
      <xdr:col>20</xdr:col>
      <xdr:colOff>44824</xdr:colOff>
      <xdr:row>68</xdr:row>
      <xdr:rowOff>0</xdr:rowOff>
    </xdr:from>
    <xdr:to>
      <xdr:col>27</xdr:col>
      <xdr:colOff>44824</xdr:colOff>
      <xdr:row>69</xdr:row>
      <xdr:rowOff>145676</xdr:rowOff>
    </xdr:to>
    <xdr:sp macro="" textlink="">
      <xdr:nvSpPr>
        <xdr:cNvPr id="132" name="角丸四角形 131">
          <a:extLst>
            <a:ext uri="{FF2B5EF4-FFF2-40B4-BE49-F238E27FC236}">
              <a16:creationId xmlns:a16="http://schemas.microsoft.com/office/drawing/2014/main" id="{00000000-0008-0000-0E00-000084000000}"/>
            </a:ext>
          </a:extLst>
        </xdr:cNvPr>
        <xdr:cNvSpPr/>
      </xdr:nvSpPr>
      <xdr:spPr>
        <a:xfrm>
          <a:off x="4078942" y="13559118"/>
          <a:ext cx="1411941" cy="34738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登録処理開始</a:t>
          </a:r>
        </a:p>
      </xdr:txBody>
    </xdr:sp>
    <xdr:clientData/>
  </xdr:twoCellAnchor>
  <xdr:twoCellAnchor>
    <xdr:from>
      <xdr:col>18</xdr:col>
      <xdr:colOff>168089</xdr:colOff>
      <xdr:row>79</xdr:row>
      <xdr:rowOff>145677</xdr:rowOff>
    </xdr:from>
    <xdr:to>
      <xdr:col>28</xdr:col>
      <xdr:colOff>126585</xdr:colOff>
      <xdr:row>82</xdr:row>
      <xdr:rowOff>121189</xdr:rowOff>
    </xdr:to>
    <xdr:sp macro="" textlink="">
      <xdr:nvSpPr>
        <xdr:cNvPr id="133" name="AutoShape 6">
          <a:extLst>
            <a:ext uri="{FF2B5EF4-FFF2-40B4-BE49-F238E27FC236}">
              <a16:creationId xmlns:a16="http://schemas.microsoft.com/office/drawing/2014/main" id="{00000000-0008-0000-0E00-000085000000}"/>
            </a:ext>
          </a:extLst>
        </xdr:cNvPr>
        <xdr:cNvSpPr>
          <a:spLocks noChangeArrowheads="1"/>
        </xdr:cNvSpPr>
      </xdr:nvSpPr>
      <xdr:spPr bwMode="auto">
        <a:xfrm>
          <a:off x="3798795" y="15923559"/>
          <a:ext cx="1975555" cy="580630"/>
        </a:xfrm>
        <a:prstGeom prst="flowChartPredefinedProcess">
          <a:avLst/>
        </a:prstGeom>
        <a:solidFill>
          <a:srgbClr val="FFC000"/>
        </a:solid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発注登録サービス呼出</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en-US" altLang="ja-JP" sz="900">
              <a:latin typeface="Meiryo UI" panose="020B0604030504040204" pitchFamily="50" charset="-128"/>
              <a:ea typeface="Meiryo UI" panose="020B0604030504040204" pitchFamily="50" charset="-128"/>
              <a:cs typeface="+mn-cs"/>
            </a:rPr>
            <a:t>selectPoSchd</a:t>
          </a: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p>
      </xdr:txBody>
    </xdr:sp>
    <xdr:clientData/>
  </xdr:twoCellAnchor>
  <xdr:twoCellAnchor>
    <xdr:from>
      <xdr:col>18</xdr:col>
      <xdr:colOff>163606</xdr:colOff>
      <xdr:row>84</xdr:row>
      <xdr:rowOff>40339</xdr:rowOff>
    </xdr:from>
    <xdr:to>
      <xdr:col>28</xdr:col>
      <xdr:colOff>122102</xdr:colOff>
      <xdr:row>87</xdr:row>
      <xdr:rowOff>15853</xdr:rowOff>
    </xdr:to>
    <xdr:sp macro="" textlink="">
      <xdr:nvSpPr>
        <xdr:cNvPr id="134" name="AutoShape 6">
          <a:extLst>
            <a:ext uri="{FF2B5EF4-FFF2-40B4-BE49-F238E27FC236}">
              <a16:creationId xmlns:a16="http://schemas.microsoft.com/office/drawing/2014/main" id="{00000000-0008-0000-0E00-000086000000}"/>
            </a:ext>
          </a:extLst>
        </xdr:cNvPr>
        <xdr:cNvSpPr>
          <a:spLocks noChangeArrowheads="1"/>
        </xdr:cNvSpPr>
      </xdr:nvSpPr>
      <xdr:spPr bwMode="auto">
        <a:xfrm>
          <a:off x="3794312" y="16826751"/>
          <a:ext cx="1975555" cy="580631"/>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登録後処理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40342</xdr:colOff>
      <xdr:row>88</xdr:row>
      <xdr:rowOff>174810</xdr:rowOff>
    </xdr:from>
    <xdr:to>
      <xdr:col>27</xdr:col>
      <xdr:colOff>40342</xdr:colOff>
      <xdr:row>90</xdr:row>
      <xdr:rowOff>118779</xdr:rowOff>
    </xdr:to>
    <xdr:sp macro="" textlink="">
      <xdr:nvSpPr>
        <xdr:cNvPr id="135" name="角丸四角形 134">
          <a:extLst>
            <a:ext uri="{FF2B5EF4-FFF2-40B4-BE49-F238E27FC236}">
              <a16:creationId xmlns:a16="http://schemas.microsoft.com/office/drawing/2014/main" id="{00000000-0008-0000-0E00-000087000000}"/>
            </a:ext>
          </a:extLst>
        </xdr:cNvPr>
        <xdr:cNvSpPr/>
      </xdr:nvSpPr>
      <xdr:spPr>
        <a:xfrm>
          <a:off x="4074460" y="17768045"/>
          <a:ext cx="1411941" cy="34738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登録処理終了</a:t>
          </a:r>
        </a:p>
      </xdr:txBody>
    </xdr:sp>
    <xdr:clientData/>
  </xdr:twoCellAnchor>
  <xdr:twoCellAnchor>
    <xdr:from>
      <xdr:col>23</xdr:col>
      <xdr:colOff>147338</xdr:colOff>
      <xdr:row>78</xdr:row>
      <xdr:rowOff>47064</xdr:rowOff>
    </xdr:from>
    <xdr:to>
      <xdr:col>23</xdr:col>
      <xdr:colOff>147338</xdr:colOff>
      <xdr:row>79</xdr:row>
      <xdr:rowOff>145677</xdr:rowOff>
    </xdr:to>
    <xdr:cxnSp macro="">
      <xdr:nvCxnSpPr>
        <xdr:cNvPr id="136" name="直線矢印コネクタ 135">
          <a:extLst>
            <a:ext uri="{FF2B5EF4-FFF2-40B4-BE49-F238E27FC236}">
              <a16:creationId xmlns:a16="http://schemas.microsoft.com/office/drawing/2014/main" id="{00000000-0008-0000-0E00-000088000000}"/>
            </a:ext>
          </a:extLst>
        </xdr:cNvPr>
        <xdr:cNvCxnSpPr>
          <a:stCxn id="149" idx="2"/>
          <a:endCxn id="133" idx="0"/>
        </xdr:cNvCxnSpPr>
      </xdr:nvCxnSpPr>
      <xdr:spPr>
        <a:xfrm>
          <a:off x="4786573" y="15623240"/>
          <a:ext cx="0" cy="30031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142855</xdr:colOff>
      <xdr:row>82</xdr:row>
      <xdr:rowOff>121189</xdr:rowOff>
    </xdr:from>
    <xdr:to>
      <xdr:col>23</xdr:col>
      <xdr:colOff>147338</xdr:colOff>
      <xdr:row>84</xdr:row>
      <xdr:rowOff>40339</xdr:rowOff>
    </xdr:to>
    <xdr:cxnSp macro="">
      <xdr:nvCxnSpPr>
        <xdr:cNvPr id="137" name="直線矢印コネクタ 136">
          <a:extLst>
            <a:ext uri="{FF2B5EF4-FFF2-40B4-BE49-F238E27FC236}">
              <a16:creationId xmlns:a16="http://schemas.microsoft.com/office/drawing/2014/main" id="{00000000-0008-0000-0E00-000089000000}"/>
            </a:ext>
          </a:extLst>
        </xdr:cNvPr>
        <xdr:cNvCxnSpPr>
          <a:stCxn id="133" idx="2"/>
          <a:endCxn id="134" idx="0"/>
        </xdr:cNvCxnSpPr>
      </xdr:nvCxnSpPr>
      <xdr:spPr>
        <a:xfrm flipH="1">
          <a:off x="4782090" y="16504189"/>
          <a:ext cx="4483" cy="322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141196</xdr:colOff>
      <xdr:row>87</xdr:row>
      <xdr:rowOff>15853</xdr:rowOff>
    </xdr:from>
    <xdr:to>
      <xdr:col>23</xdr:col>
      <xdr:colOff>142855</xdr:colOff>
      <xdr:row>88</xdr:row>
      <xdr:rowOff>174810</xdr:rowOff>
    </xdr:to>
    <xdr:cxnSp macro="">
      <xdr:nvCxnSpPr>
        <xdr:cNvPr id="138" name="直線矢印コネクタ 137">
          <a:extLst>
            <a:ext uri="{FF2B5EF4-FFF2-40B4-BE49-F238E27FC236}">
              <a16:creationId xmlns:a16="http://schemas.microsoft.com/office/drawing/2014/main" id="{00000000-0008-0000-0E00-00008A000000}"/>
            </a:ext>
          </a:extLst>
        </xdr:cNvPr>
        <xdr:cNvCxnSpPr>
          <a:stCxn id="134" idx="2"/>
          <a:endCxn id="135" idx="0"/>
        </xdr:cNvCxnSpPr>
      </xdr:nvCxnSpPr>
      <xdr:spPr>
        <a:xfrm flipH="1">
          <a:off x="4780431" y="17407382"/>
          <a:ext cx="1659" cy="3606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172571</xdr:colOff>
      <xdr:row>71</xdr:row>
      <xdr:rowOff>64828</xdr:rowOff>
    </xdr:from>
    <xdr:to>
      <xdr:col>28</xdr:col>
      <xdr:colOff>131067</xdr:colOff>
      <xdr:row>74</xdr:row>
      <xdr:rowOff>6723</xdr:rowOff>
    </xdr:to>
    <xdr:sp macro="" textlink="">
      <xdr:nvSpPr>
        <xdr:cNvPr id="148" name="AutoShape 6">
          <a:extLst>
            <a:ext uri="{FF2B5EF4-FFF2-40B4-BE49-F238E27FC236}">
              <a16:creationId xmlns:a16="http://schemas.microsoft.com/office/drawing/2014/main" id="{00000000-0008-0000-0E00-000094000000}"/>
            </a:ext>
          </a:extLst>
        </xdr:cNvPr>
        <xdr:cNvSpPr>
          <a:spLocks noChangeArrowheads="1"/>
        </xdr:cNvSpPr>
      </xdr:nvSpPr>
      <xdr:spPr bwMode="auto">
        <a:xfrm>
          <a:off x="3803277" y="14229063"/>
          <a:ext cx="1975555" cy="5470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登録前処理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168089</xdr:colOff>
      <xdr:row>75</xdr:row>
      <xdr:rowOff>105168</xdr:rowOff>
    </xdr:from>
    <xdr:to>
      <xdr:col>28</xdr:col>
      <xdr:colOff>126585</xdr:colOff>
      <xdr:row>78</xdr:row>
      <xdr:rowOff>47064</xdr:rowOff>
    </xdr:to>
    <xdr:sp macro="" textlink="">
      <xdr:nvSpPr>
        <xdr:cNvPr id="149" name="AutoShape 6">
          <a:extLst>
            <a:ext uri="{FF2B5EF4-FFF2-40B4-BE49-F238E27FC236}">
              <a16:creationId xmlns:a16="http://schemas.microsoft.com/office/drawing/2014/main" id="{00000000-0008-0000-0E00-000095000000}"/>
            </a:ext>
          </a:extLst>
        </xdr:cNvPr>
        <xdr:cNvSpPr>
          <a:spLocks noChangeArrowheads="1"/>
        </xdr:cNvSpPr>
      </xdr:nvSpPr>
      <xdr:spPr bwMode="auto">
        <a:xfrm>
          <a:off x="3798795" y="15076227"/>
          <a:ext cx="1975555" cy="5470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チェック処理</a:t>
          </a:r>
        </a:p>
      </xdr:txBody>
    </xdr:sp>
    <xdr:clientData/>
  </xdr:twoCellAnchor>
  <xdr:twoCellAnchor>
    <xdr:from>
      <xdr:col>23</xdr:col>
      <xdr:colOff>145678</xdr:colOff>
      <xdr:row>69</xdr:row>
      <xdr:rowOff>145676</xdr:rowOff>
    </xdr:from>
    <xdr:to>
      <xdr:col>23</xdr:col>
      <xdr:colOff>151820</xdr:colOff>
      <xdr:row>71</xdr:row>
      <xdr:rowOff>64828</xdr:rowOff>
    </xdr:to>
    <xdr:cxnSp macro="">
      <xdr:nvCxnSpPr>
        <xdr:cNvPr id="150" name="直線矢印コネクタ 149">
          <a:extLst>
            <a:ext uri="{FF2B5EF4-FFF2-40B4-BE49-F238E27FC236}">
              <a16:creationId xmlns:a16="http://schemas.microsoft.com/office/drawing/2014/main" id="{00000000-0008-0000-0E00-000096000000}"/>
            </a:ext>
          </a:extLst>
        </xdr:cNvPr>
        <xdr:cNvCxnSpPr>
          <a:stCxn id="132" idx="2"/>
          <a:endCxn id="148" idx="0"/>
        </xdr:cNvCxnSpPr>
      </xdr:nvCxnSpPr>
      <xdr:spPr>
        <a:xfrm>
          <a:off x="4784913" y="13906500"/>
          <a:ext cx="6142" cy="3225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147338</xdr:colOff>
      <xdr:row>74</xdr:row>
      <xdr:rowOff>6723</xdr:rowOff>
    </xdr:from>
    <xdr:to>
      <xdr:col>23</xdr:col>
      <xdr:colOff>151820</xdr:colOff>
      <xdr:row>75</xdr:row>
      <xdr:rowOff>105168</xdr:rowOff>
    </xdr:to>
    <xdr:cxnSp macro="">
      <xdr:nvCxnSpPr>
        <xdr:cNvPr id="151" name="直線矢印コネクタ 150">
          <a:extLst>
            <a:ext uri="{FF2B5EF4-FFF2-40B4-BE49-F238E27FC236}">
              <a16:creationId xmlns:a16="http://schemas.microsoft.com/office/drawing/2014/main" id="{00000000-0008-0000-0E00-000097000000}"/>
            </a:ext>
          </a:extLst>
        </xdr:cNvPr>
        <xdr:cNvCxnSpPr>
          <a:stCxn id="148" idx="2"/>
          <a:endCxn id="149" idx="0"/>
        </xdr:cNvCxnSpPr>
      </xdr:nvCxnSpPr>
      <xdr:spPr>
        <a:xfrm flipH="1">
          <a:off x="4786573" y="14776076"/>
          <a:ext cx="4482" cy="3001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97</xdr:row>
      <xdr:rowOff>0</xdr:rowOff>
    </xdr:from>
    <xdr:to>
      <xdr:col>27</xdr:col>
      <xdr:colOff>44824</xdr:colOff>
      <xdr:row>98</xdr:row>
      <xdr:rowOff>145676</xdr:rowOff>
    </xdr:to>
    <xdr:sp macro="" textlink="">
      <xdr:nvSpPr>
        <xdr:cNvPr id="174" name="角丸四角形 173">
          <a:extLst>
            <a:ext uri="{FF2B5EF4-FFF2-40B4-BE49-F238E27FC236}">
              <a16:creationId xmlns:a16="http://schemas.microsoft.com/office/drawing/2014/main" id="{00000000-0008-0000-0E00-0000AE000000}"/>
            </a:ext>
          </a:extLst>
        </xdr:cNvPr>
        <xdr:cNvSpPr/>
      </xdr:nvSpPr>
      <xdr:spPr>
        <a:xfrm>
          <a:off x="4078942" y="13559118"/>
          <a:ext cx="1411941" cy="34738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訂正処理開始</a:t>
          </a:r>
        </a:p>
      </xdr:txBody>
    </xdr:sp>
    <xdr:clientData/>
  </xdr:twoCellAnchor>
  <xdr:twoCellAnchor>
    <xdr:from>
      <xdr:col>18</xdr:col>
      <xdr:colOff>168089</xdr:colOff>
      <xdr:row>108</xdr:row>
      <xdr:rowOff>145677</xdr:rowOff>
    </xdr:from>
    <xdr:to>
      <xdr:col>28</xdr:col>
      <xdr:colOff>126585</xdr:colOff>
      <xdr:row>111</xdr:row>
      <xdr:rowOff>121189</xdr:rowOff>
    </xdr:to>
    <xdr:sp macro="" textlink="">
      <xdr:nvSpPr>
        <xdr:cNvPr id="175" name="AutoShape 6">
          <a:extLst>
            <a:ext uri="{FF2B5EF4-FFF2-40B4-BE49-F238E27FC236}">
              <a16:creationId xmlns:a16="http://schemas.microsoft.com/office/drawing/2014/main" id="{00000000-0008-0000-0E00-0000AF000000}"/>
            </a:ext>
          </a:extLst>
        </xdr:cNvPr>
        <xdr:cNvSpPr>
          <a:spLocks noChangeArrowheads="1"/>
        </xdr:cNvSpPr>
      </xdr:nvSpPr>
      <xdr:spPr bwMode="auto">
        <a:xfrm>
          <a:off x="3798795" y="15923559"/>
          <a:ext cx="1975555" cy="580630"/>
        </a:xfrm>
        <a:prstGeom prst="flowChartPredefinedProcess">
          <a:avLst/>
        </a:prstGeom>
        <a:solidFill>
          <a:srgbClr val="FFC000"/>
        </a:solid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発注登録サービス呼出</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en-US" altLang="ja-JP" sz="900">
              <a:latin typeface="Meiryo UI" panose="020B0604030504040204" pitchFamily="50" charset="-128"/>
              <a:ea typeface="Meiryo UI" panose="020B0604030504040204" pitchFamily="50" charset="-128"/>
              <a:cs typeface="+mn-cs"/>
            </a:rPr>
            <a:t>selectPoSchd</a:t>
          </a: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p>
      </xdr:txBody>
    </xdr:sp>
    <xdr:clientData/>
  </xdr:twoCellAnchor>
  <xdr:twoCellAnchor>
    <xdr:from>
      <xdr:col>18</xdr:col>
      <xdr:colOff>163606</xdr:colOff>
      <xdr:row>113</xdr:row>
      <xdr:rowOff>40339</xdr:rowOff>
    </xdr:from>
    <xdr:to>
      <xdr:col>28</xdr:col>
      <xdr:colOff>122102</xdr:colOff>
      <xdr:row>116</xdr:row>
      <xdr:rowOff>15853</xdr:rowOff>
    </xdr:to>
    <xdr:sp macro="" textlink="">
      <xdr:nvSpPr>
        <xdr:cNvPr id="176" name="AutoShape 6">
          <a:extLst>
            <a:ext uri="{FF2B5EF4-FFF2-40B4-BE49-F238E27FC236}">
              <a16:creationId xmlns:a16="http://schemas.microsoft.com/office/drawing/2014/main" id="{00000000-0008-0000-0E00-0000B0000000}"/>
            </a:ext>
          </a:extLst>
        </xdr:cNvPr>
        <xdr:cNvSpPr>
          <a:spLocks noChangeArrowheads="1"/>
        </xdr:cNvSpPr>
      </xdr:nvSpPr>
      <xdr:spPr bwMode="auto">
        <a:xfrm>
          <a:off x="3794312" y="16826751"/>
          <a:ext cx="1975555" cy="580631"/>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登録後処理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40342</xdr:colOff>
      <xdr:row>117</xdr:row>
      <xdr:rowOff>174810</xdr:rowOff>
    </xdr:from>
    <xdr:to>
      <xdr:col>27</xdr:col>
      <xdr:colOff>40342</xdr:colOff>
      <xdr:row>119</xdr:row>
      <xdr:rowOff>118779</xdr:rowOff>
    </xdr:to>
    <xdr:sp macro="" textlink="">
      <xdr:nvSpPr>
        <xdr:cNvPr id="177" name="角丸四角形 176">
          <a:extLst>
            <a:ext uri="{FF2B5EF4-FFF2-40B4-BE49-F238E27FC236}">
              <a16:creationId xmlns:a16="http://schemas.microsoft.com/office/drawing/2014/main" id="{00000000-0008-0000-0E00-0000B1000000}"/>
            </a:ext>
          </a:extLst>
        </xdr:cNvPr>
        <xdr:cNvSpPr/>
      </xdr:nvSpPr>
      <xdr:spPr>
        <a:xfrm>
          <a:off x="4074460" y="17768045"/>
          <a:ext cx="1411941" cy="34738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訂正処理終了</a:t>
          </a:r>
        </a:p>
      </xdr:txBody>
    </xdr:sp>
    <xdr:clientData/>
  </xdr:twoCellAnchor>
  <xdr:twoCellAnchor>
    <xdr:from>
      <xdr:col>23</xdr:col>
      <xdr:colOff>147338</xdr:colOff>
      <xdr:row>107</xdr:row>
      <xdr:rowOff>47064</xdr:rowOff>
    </xdr:from>
    <xdr:to>
      <xdr:col>23</xdr:col>
      <xdr:colOff>147338</xdr:colOff>
      <xdr:row>108</xdr:row>
      <xdr:rowOff>145677</xdr:rowOff>
    </xdr:to>
    <xdr:cxnSp macro="">
      <xdr:nvCxnSpPr>
        <xdr:cNvPr id="178" name="直線矢印コネクタ 177">
          <a:extLst>
            <a:ext uri="{FF2B5EF4-FFF2-40B4-BE49-F238E27FC236}">
              <a16:creationId xmlns:a16="http://schemas.microsoft.com/office/drawing/2014/main" id="{00000000-0008-0000-0E00-0000B2000000}"/>
            </a:ext>
          </a:extLst>
        </xdr:cNvPr>
        <xdr:cNvCxnSpPr>
          <a:stCxn id="182" idx="2"/>
          <a:endCxn id="175" idx="0"/>
        </xdr:cNvCxnSpPr>
      </xdr:nvCxnSpPr>
      <xdr:spPr>
        <a:xfrm>
          <a:off x="4786573" y="15623240"/>
          <a:ext cx="0" cy="30031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142855</xdr:colOff>
      <xdr:row>111</xdr:row>
      <xdr:rowOff>121189</xdr:rowOff>
    </xdr:from>
    <xdr:to>
      <xdr:col>23</xdr:col>
      <xdr:colOff>147338</xdr:colOff>
      <xdr:row>113</xdr:row>
      <xdr:rowOff>40339</xdr:rowOff>
    </xdr:to>
    <xdr:cxnSp macro="">
      <xdr:nvCxnSpPr>
        <xdr:cNvPr id="179" name="直線矢印コネクタ 178">
          <a:extLst>
            <a:ext uri="{FF2B5EF4-FFF2-40B4-BE49-F238E27FC236}">
              <a16:creationId xmlns:a16="http://schemas.microsoft.com/office/drawing/2014/main" id="{00000000-0008-0000-0E00-0000B3000000}"/>
            </a:ext>
          </a:extLst>
        </xdr:cNvPr>
        <xdr:cNvCxnSpPr>
          <a:stCxn id="175" idx="2"/>
          <a:endCxn id="176" idx="0"/>
        </xdr:cNvCxnSpPr>
      </xdr:nvCxnSpPr>
      <xdr:spPr>
        <a:xfrm flipH="1">
          <a:off x="4782090" y="16504189"/>
          <a:ext cx="4483" cy="322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141196</xdr:colOff>
      <xdr:row>116</xdr:row>
      <xdr:rowOff>15853</xdr:rowOff>
    </xdr:from>
    <xdr:to>
      <xdr:col>23</xdr:col>
      <xdr:colOff>142855</xdr:colOff>
      <xdr:row>117</xdr:row>
      <xdr:rowOff>174810</xdr:rowOff>
    </xdr:to>
    <xdr:cxnSp macro="">
      <xdr:nvCxnSpPr>
        <xdr:cNvPr id="180" name="直線矢印コネクタ 179">
          <a:extLst>
            <a:ext uri="{FF2B5EF4-FFF2-40B4-BE49-F238E27FC236}">
              <a16:creationId xmlns:a16="http://schemas.microsoft.com/office/drawing/2014/main" id="{00000000-0008-0000-0E00-0000B4000000}"/>
            </a:ext>
          </a:extLst>
        </xdr:cNvPr>
        <xdr:cNvCxnSpPr>
          <a:stCxn id="176" idx="2"/>
          <a:endCxn id="177" idx="0"/>
        </xdr:cNvCxnSpPr>
      </xdr:nvCxnSpPr>
      <xdr:spPr>
        <a:xfrm flipH="1">
          <a:off x="4780431" y="17407382"/>
          <a:ext cx="1659" cy="3606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172571</xdr:colOff>
      <xdr:row>100</xdr:row>
      <xdr:rowOff>64828</xdr:rowOff>
    </xdr:from>
    <xdr:to>
      <xdr:col>28</xdr:col>
      <xdr:colOff>131067</xdr:colOff>
      <xdr:row>103</xdr:row>
      <xdr:rowOff>6723</xdr:rowOff>
    </xdr:to>
    <xdr:sp macro="" textlink="">
      <xdr:nvSpPr>
        <xdr:cNvPr id="181" name="AutoShape 6">
          <a:extLst>
            <a:ext uri="{FF2B5EF4-FFF2-40B4-BE49-F238E27FC236}">
              <a16:creationId xmlns:a16="http://schemas.microsoft.com/office/drawing/2014/main" id="{00000000-0008-0000-0E00-0000B5000000}"/>
            </a:ext>
          </a:extLst>
        </xdr:cNvPr>
        <xdr:cNvSpPr>
          <a:spLocks noChangeArrowheads="1"/>
        </xdr:cNvSpPr>
      </xdr:nvSpPr>
      <xdr:spPr bwMode="auto">
        <a:xfrm>
          <a:off x="3803277" y="14229063"/>
          <a:ext cx="1975555" cy="5470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登録前処理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168089</xdr:colOff>
      <xdr:row>104</xdr:row>
      <xdr:rowOff>105168</xdr:rowOff>
    </xdr:from>
    <xdr:to>
      <xdr:col>28</xdr:col>
      <xdr:colOff>126585</xdr:colOff>
      <xdr:row>107</xdr:row>
      <xdr:rowOff>47064</xdr:rowOff>
    </xdr:to>
    <xdr:sp macro="" textlink="">
      <xdr:nvSpPr>
        <xdr:cNvPr id="182" name="AutoShape 6">
          <a:extLst>
            <a:ext uri="{FF2B5EF4-FFF2-40B4-BE49-F238E27FC236}">
              <a16:creationId xmlns:a16="http://schemas.microsoft.com/office/drawing/2014/main" id="{00000000-0008-0000-0E00-0000B6000000}"/>
            </a:ext>
          </a:extLst>
        </xdr:cNvPr>
        <xdr:cNvSpPr>
          <a:spLocks noChangeArrowheads="1"/>
        </xdr:cNvSpPr>
      </xdr:nvSpPr>
      <xdr:spPr bwMode="auto">
        <a:xfrm>
          <a:off x="3798795" y="15076227"/>
          <a:ext cx="1975555" cy="5470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チェック処理</a:t>
          </a:r>
        </a:p>
      </xdr:txBody>
    </xdr:sp>
    <xdr:clientData/>
  </xdr:twoCellAnchor>
  <xdr:twoCellAnchor>
    <xdr:from>
      <xdr:col>23</xdr:col>
      <xdr:colOff>145678</xdr:colOff>
      <xdr:row>98</xdr:row>
      <xdr:rowOff>145676</xdr:rowOff>
    </xdr:from>
    <xdr:to>
      <xdr:col>23</xdr:col>
      <xdr:colOff>151820</xdr:colOff>
      <xdr:row>100</xdr:row>
      <xdr:rowOff>64828</xdr:rowOff>
    </xdr:to>
    <xdr:cxnSp macro="">
      <xdr:nvCxnSpPr>
        <xdr:cNvPr id="183" name="直線矢印コネクタ 182">
          <a:extLst>
            <a:ext uri="{FF2B5EF4-FFF2-40B4-BE49-F238E27FC236}">
              <a16:creationId xmlns:a16="http://schemas.microsoft.com/office/drawing/2014/main" id="{00000000-0008-0000-0E00-0000B7000000}"/>
            </a:ext>
          </a:extLst>
        </xdr:cNvPr>
        <xdr:cNvCxnSpPr>
          <a:stCxn id="174" idx="2"/>
          <a:endCxn id="181" idx="0"/>
        </xdr:cNvCxnSpPr>
      </xdr:nvCxnSpPr>
      <xdr:spPr>
        <a:xfrm>
          <a:off x="4784913" y="13906500"/>
          <a:ext cx="6142" cy="3225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147338</xdr:colOff>
      <xdr:row>103</xdr:row>
      <xdr:rowOff>6723</xdr:rowOff>
    </xdr:from>
    <xdr:to>
      <xdr:col>23</xdr:col>
      <xdr:colOff>151820</xdr:colOff>
      <xdr:row>104</xdr:row>
      <xdr:rowOff>105168</xdr:rowOff>
    </xdr:to>
    <xdr:cxnSp macro="">
      <xdr:nvCxnSpPr>
        <xdr:cNvPr id="184" name="直線矢印コネクタ 183">
          <a:extLst>
            <a:ext uri="{FF2B5EF4-FFF2-40B4-BE49-F238E27FC236}">
              <a16:creationId xmlns:a16="http://schemas.microsoft.com/office/drawing/2014/main" id="{00000000-0008-0000-0E00-0000B8000000}"/>
            </a:ext>
          </a:extLst>
        </xdr:cNvPr>
        <xdr:cNvCxnSpPr>
          <a:stCxn id="181" idx="2"/>
          <a:endCxn id="182" idx="0"/>
        </xdr:cNvCxnSpPr>
      </xdr:nvCxnSpPr>
      <xdr:spPr>
        <a:xfrm flipH="1">
          <a:off x="4786573" y="14776076"/>
          <a:ext cx="4482" cy="3001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126</xdr:row>
      <xdr:rowOff>0</xdr:rowOff>
    </xdr:from>
    <xdr:to>
      <xdr:col>27</xdr:col>
      <xdr:colOff>44824</xdr:colOff>
      <xdr:row>127</xdr:row>
      <xdr:rowOff>145676</xdr:rowOff>
    </xdr:to>
    <xdr:sp macro="" textlink="">
      <xdr:nvSpPr>
        <xdr:cNvPr id="185" name="角丸四角形 184">
          <a:extLst>
            <a:ext uri="{FF2B5EF4-FFF2-40B4-BE49-F238E27FC236}">
              <a16:creationId xmlns:a16="http://schemas.microsoft.com/office/drawing/2014/main" id="{00000000-0008-0000-0E00-0000B9000000}"/>
            </a:ext>
          </a:extLst>
        </xdr:cNvPr>
        <xdr:cNvSpPr/>
      </xdr:nvSpPr>
      <xdr:spPr>
        <a:xfrm>
          <a:off x="4078942" y="19408588"/>
          <a:ext cx="1411941" cy="34738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チェック処理開始</a:t>
          </a:r>
        </a:p>
      </xdr:txBody>
    </xdr:sp>
    <xdr:clientData/>
  </xdr:twoCellAnchor>
  <xdr:twoCellAnchor>
    <xdr:from>
      <xdr:col>18</xdr:col>
      <xdr:colOff>168089</xdr:colOff>
      <xdr:row>133</xdr:row>
      <xdr:rowOff>123265</xdr:rowOff>
    </xdr:from>
    <xdr:to>
      <xdr:col>28</xdr:col>
      <xdr:colOff>126585</xdr:colOff>
      <xdr:row>137</xdr:row>
      <xdr:rowOff>134471</xdr:rowOff>
    </xdr:to>
    <xdr:sp macro="" textlink="">
      <xdr:nvSpPr>
        <xdr:cNvPr id="186" name="AutoShape 6">
          <a:extLst>
            <a:ext uri="{FF2B5EF4-FFF2-40B4-BE49-F238E27FC236}">
              <a16:creationId xmlns:a16="http://schemas.microsoft.com/office/drawing/2014/main" id="{00000000-0008-0000-0E00-0000BA000000}"/>
            </a:ext>
          </a:extLst>
        </xdr:cNvPr>
        <xdr:cNvSpPr>
          <a:spLocks noChangeArrowheads="1"/>
        </xdr:cNvSpPr>
      </xdr:nvSpPr>
      <xdr:spPr bwMode="auto">
        <a:xfrm>
          <a:off x="3798795" y="21100677"/>
          <a:ext cx="1975555" cy="638735"/>
        </a:xfrm>
        <a:prstGeom prst="flowChartPredefinedProcess">
          <a:avLst/>
        </a:prstGeom>
        <a:solidFill>
          <a:srgbClr val="FFC000"/>
        </a:solid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発注登録サービスの</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チェック処理呼出</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en-US" altLang="ja-JP" sz="900">
              <a:latin typeface="Meiryo UI" panose="020B0604030504040204" pitchFamily="50" charset="-128"/>
              <a:ea typeface="Meiryo UI" panose="020B0604030504040204" pitchFamily="50" charset="-128"/>
              <a:cs typeface="+mn-cs"/>
            </a:rPr>
            <a:t>callPoRegChk01())</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51548</xdr:colOff>
      <xdr:row>139</xdr:row>
      <xdr:rowOff>129987</xdr:rowOff>
    </xdr:from>
    <xdr:to>
      <xdr:col>27</xdr:col>
      <xdr:colOff>51548</xdr:colOff>
      <xdr:row>141</xdr:row>
      <xdr:rowOff>73955</xdr:rowOff>
    </xdr:to>
    <xdr:sp macro="" textlink="">
      <xdr:nvSpPr>
        <xdr:cNvPr id="188" name="角丸四角形 187">
          <a:extLst>
            <a:ext uri="{FF2B5EF4-FFF2-40B4-BE49-F238E27FC236}">
              <a16:creationId xmlns:a16="http://schemas.microsoft.com/office/drawing/2014/main" id="{00000000-0008-0000-0E00-0000BC000000}"/>
            </a:ext>
          </a:extLst>
        </xdr:cNvPr>
        <xdr:cNvSpPr/>
      </xdr:nvSpPr>
      <xdr:spPr>
        <a:xfrm>
          <a:off x="4085666" y="22048693"/>
          <a:ext cx="1411941" cy="25773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チェック処理終了</a:t>
          </a:r>
        </a:p>
      </xdr:txBody>
    </xdr:sp>
    <xdr:clientData/>
  </xdr:twoCellAnchor>
  <xdr:twoCellAnchor>
    <xdr:from>
      <xdr:col>23</xdr:col>
      <xdr:colOff>147338</xdr:colOff>
      <xdr:row>137</xdr:row>
      <xdr:rowOff>134471</xdr:rowOff>
    </xdr:from>
    <xdr:to>
      <xdr:col>23</xdr:col>
      <xdr:colOff>152402</xdr:colOff>
      <xdr:row>139</xdr:row>
      <xdr:rowOff>129987</xdr:rowOff>
    </xdr:to>
    <xdr:cxnSp macro="">
      <xdr:nvCxnSpPr>
        <xdr:cNvPr id="190" name="直線矢印コネクタ 189">
          <a:extLst>
            <a:ext uri="{FF2B5EF4-FFF2-40B4-BE49-F238E27FC236}">
              <a16:creationId xmlns:a16="http://schemas.microsoft.com/office/drawing/2014/main" id="{00000000-0008-0000-0E00-0000BE000000}"/>
            </a:ext>
          </a:extLst>
        </xdr:cNvPr>
        <xdr:cNvCxnSpPr>
          <a:stCxn id="186" idx="2"/>
          <a:endCxn id="188" idx="0"/>
        </xdr:cNvCxnSpPr>
      </xdr:nvCxnSpPr>
      <xdr:spPr>
        <a:xfrm>
          <a:off x="4786573" y="21739412"/>
          <a:ext cx="5064" cy="30928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172571</xdr:colOff>
      <xdr:row>129</xdr:row>
      <xdr:rowOff>64828</xdr:rowOff>
    </xdr:from>
    <xdr:to>
      <xdr:col>28</xdr:col>
      <xdr:colOff>131067</xdr:colOff>
      <xdr:row>132</xdr:row>
      <xdr:rowOff>6723</xdr:rowOff>
    </xdr:to>
    <xdr:sp macro="" textlink="">
      <xdr:nvSpPr>
        <xdr:cNvPr id="192" name="AutoShape 6">
          <a:extLst>
            <a:ext uri="{FF2B5EF4-FFF2-40B4-BE49-F238E27FC236}">
              <a16:creationId xmlns:a16="http://schemas.microsoft.com/office/drawing/2014/main" id="{00000000-0008-0000-0E00-0000C0000000}"/>
            </a:ext>
          </a:extLst>
        </xdr:cNvPr>
        <xdr:cNvSpPr>
          <a:spLocks noChangeArrowheads="1"/>
        </xdr:cNvSpPr>
      </xdr:nvSpPr>
      <xdr:spPr bwMode="auto">
        <a:xfrm>
          <a:off x="3803277" y="20078534"/>
          <a:ext cx="1975555" cy="5470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本処理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23</xdr:col>
      <xdr:colOff>145678</xdr:colOff>
      <xdr:row>127</xdr:row>
      <xdr:rowOff>145676</xdr:rowOff>
    </xdr:from>
    <xdr:to>
      <xdr:col>23</xdr:col>
      <xdr:colOff>151820</xdr:colOff>
      <xdr:row>129</xdr:row>
      <xdr:rowOff>64828</xdr:rowOff>
    </xdr:to>
    <xdr:cxnSp macro="">
      <xdr:nvCxnSpPr>
        <xdr:cNvPr id="194" name="直線矢印コネクタ 193">
          <a:extLst>
            <a:ext uri="{FF2B5EF4-FFF2-40B4-BE49-F238E27FC236}">
              <a16:creationId xmlns:a16="http://schemas.microsoft.com/office/drawing/2014/main" id="{00000000-0008-0000-0E00-0000C2000000}"/>
            </a:ext>
          </a:extLst>
        </xdr:cNvPr>
        <xdr:cNvCxnSpPr>
          <a:stCxn id="185" idx="2"/>
          <a:endCxn id="192" idx="0"/>
        </xdr:cNvCxnSpPr>
      </xdr:nvCxnSpPr>
      <xdr:spPr>
        <a:xfrm>
          <a:off x="4784913" y="19755970"/>
          <a:ext cx="6142" cy="3225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147338</xdr:colOff>
      <xdr:row>132</xdr:row>
      <xdr:rowOff>6723</xdr:rowOff>
    </xdr:from>
    <xdr:to>
      <xdr:col>23</xdr:col>
      <xdr:colOff>151820</xdr:colOff>
      <xdr:row>133</xdr:row>
      <xdr:rowOff>123265</xdr:rowOff>
    </xdr:to>
    <xdr:cxnSp macro="">
      <xdr:nvCxnSpPr>
        <xdr:cNvPr id="195" name="直線矢印コネクタ 194">
          <a:extLst>
            <a:ext uri="{FF2B5EF4-FFF2-40B4-BE49-F238E27FC236}">
              <a16:creationId xmlns:a16="http://schemas.microsoft.com/office/drawing/2014/main" id="{00000000-0008-0000-0E00-0000C3000000}"/>
            </a:ext>
          </a:extLst>
        </xdr:cNvPr>
        <xdr:cNvCxnSpPr>
          <a:stCxn id="192" idx="2"/>
          <a:endCxn id="186" idx="0"/>
        </xdr:cNvCxnSpPr>
      </xdr:nvCxnSpPr>
      <xdr:spPr>
        <a:xfrm flipH="1">
          <a:off x="4786573" y="20827252"/>
          <a:ext cx="4482" cy="2734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44823</xdr:colOff>
      <xdr:row>6</xdr:row>
      <xdr:rowOff>1</xdr:rowOff>
    </xdr:from>
    <xdr:to>
      <xdr:col>48</xdr:col>
      <xdr:colOff>161365</xdr:colOff>
      <xdr:row>24</xdr:row>
      <xdr:rowOff>108471</xdr:rowOff>
    </xdr:to>
    <xdr:grpSp>
      <xdr:nvGrpSpPr>
        <xdr:cNvPr id="74" name="グループ化 73">
          <a:extLst>
            <a:ext uri="{FF2B5EF4-FFF2-40B4-BE49-F238E27FC236}">
              <a16:creationId xmlns:a16="http://schemas.microsoft.com/office/drawing/2014/main" id="{00000000-0008-0000-0E00-00004A000000}"/>
            </a:ext>
          </a:extLst>
        </xdr:cNvPr>
        <xdr:cNvGrpSpPr/>
      </xdr:nvGrpSpPr>
      <xdr:grpSpPr>
        <a:xfrm>
          <a:off x="7709647" y="1053354"/>
          <a:ext cx="2133600" cy="2932352"/>
          <a:chOff x="7153275" y="1047750"/>
          <a:chExt cx="2133600" cy="2932352"/>
        </a:xfrm>
      </xdr:grpSpPr>
      <xdr:grpSp>
        <xdr:nvGrpSpPr>
          <xdr:cNvPr id="77" name="Group 15">
            <a:extLst>
              <a:ext uri="{FF2B5EF4-FFF2-40B4-BE49-F238E27FC236}">
                <a16:creationId xmlns:a16="http://schemas.microsoft.com/office/drawing/2014/main" id="{00000000-0008-0000-0E00-00004D000000}"/>
              </a:ext>
            </a:extLst>
          </xdr:cNvPr>
          <xdr:cNvGrpSpPr>
            <a:grpSpLocks/>
          </xdr:cNvGrpSpPr>
        </xdr:nvGrpSpPr>
        <xdr:grpSpPr bwMode="auto">
          <a:xfrm>
            <a:off x="7153275" y="1047750"/>
            <a:ext cx="2133600" cy="2932352"/>
            <a:chOff x="8" y="532"/>
            <a:chExt cx="224" cy="312"/>
          </a:xfrm>
          <a:noFill/>
        </xdr:grpSpPr>
        <xdr:sp macro="" textlink="">
          <xdr:nvSpPr>
            <xdr:cNvPr id="82" name="AutoShape 2">
              <a:extLst>
                <a:ext uri="{FF2B5EF4-FFF2-40B4-BE49-F238E27FC236}">
                  <a16:creationId xmlns:a16="http://schemas.microsoft.com/office/drawing/2014/main" id="{00000000-0008-0000-0E00-000052000000}"/>
                </a:ext>
              </a:extLst>
            </xdr:cNvPr>
            <xdr:cNvSpPr>
              <a:spLocks noChangeArrowheads="1"/>
            </xdr:cNvSpPr>
          </xdr:nvSpPr>
          <xdr:spPr bwMode="auto">
            <a:xfrm>
              <a:off x="8" y="532"/>
              <a:ext cx="224" cy="312"/>
            </a:xfrm>
            <a:prstGeom prst="roundRect">
              <a:avLst>
                <a:gd name="adj" fmla="val 3847"/>
              </a:avLst>
            </a:prstGeom>
            <a:grpFill/>
            <a:ln w="12700">
              <a:solidFill>
                <a:sysClr val="windowText" lastClr="000000"/>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凡例</a:t>
              </a:r>
            </a:p>
          </xdr:txBody>
        </xdr:sp>
        <xdr:pic>
          <xdr:nvPicPr>
            <xdr:cNvPr id="84" name="Picture 3" descr="コンピュータ">
              <a:extLst>
                <a:ext uri="{FF2B5EF4-FFF2-40B4-BE49-F238E27FC236}">
                  <a16:creationId xmlns:a16="http://schemas.microsoft.com/office/drawing/2014/main" id="{00000000-0008-0000-0E00-000054000000}"/>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 y="556"/>
              <a:ext cx="45" cy="40"/>
            </a:xfrm>
            <a:prstGeom prst="rect">
              <a:avLst/>
            </a:prstGeom>
            <a:grpFill/>
            <a:ln w="9525">
              <a:noFill/>
              <a:miter lim="800000"/>
              <a:headEnd/>
              <a:tailEnd/>
            </a:ln>
            <a:extLst/>
          </xdr:spPr>
        </xdr:pic>
        <xdr:sp macro="" textlink="">
          <xdr:nvSpPr>
            <xdr:cNvPr id="85" name="AutoShape 6">
              <a:extLst>
                <a:ext uri="{FF2B5EF4-FFF2-40B4-BE49-F238E27FC236}">
                  <a16:creationId xmlns:a16="http://schemas.microsoft.com/office/drawing/2014/main" id="{00000000-0008-0000-0E00-000055000000}"/>
                </a:ext>
              </a:extLst>
            </xdr:cNvPr>
            <xdr:cNvSpPr>
              <a:spLocks noChangeArrowheads="1"/>
            </xdr:cNvSpPr>
          </xdr:nvSpPr>
          <xdr:spPr bwMode="auto">
            <a:xfrm>
              <a:off x="123" y="683"/>
              <a:ext cx="97" cy="34"/>
            </a:xfrm>
            <a:prstGeom prst="flowChartPredefinedProcess">
              <a:avLst/>
            </a:prstGeom>
            <a:grpFill/>
            <a:ln w="12700">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処理名</a:t>
              </a:r>
            </a:p>
          </xdr:txBody>
        </xdr:sp>
        <xdr:sp macro="" textlink="">
          <xdr:nvSpPr>
            <xdr:cNvPr id="87" name="Text Box 7">
              <a:extLst>
                <a:ext uri="{FF2B5EF4-FFF2-40B4-BE49-F238E27FC236}">
                  <a16:creationId xmlns:a16="http://schemas.microsoft.com/office/drawing/2014/main" id="{00000000-0008-0000-0E00-000057000000}"/>
                </a:ext>
              </a:extLst>
            </xdr:cNvPr>
            <xdr:cNvSpPr txBox="1">
              <a:spLocks noChangeArrowheads="1"/>
            </xdr:cNvSpPr>
          </xdr:nvSpPr>
          <xdr:spPr bwMode="auto">
            <a:xfrm>
              <a:off x="50" y="596"/>
              <a:ext cx="43" cy="19"/>
            </a:xfrm>
            <a:prstGeom prst="rect">
              <a:avLst/>
            </a:prstGeom>
            <a:grpFill/>
            <a:ln w="12700">
              <a:noFill/>
              <a:miter lim="800000"/>
              <a:headEnd/>
              <a:tailEnd/>
            </a:ln>
            <a:effectLst/>
          </xdr:spPr>
          <xdr:txBody>
            <a:bodyPr wrap="none" lIns="18288" tIns="18288" rIns="0" bIns="0" anchor="t" upright="1">
              <a:noAutofit/>
            </a:bodyPr>
            <a:lstStyle/>
            <a:p>
              <a:pPr algn="l"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画面名</a:t>
              </a:r>
            </a:p>
          </xdr:txBody>
        </xdr:sp>
        <xdr:sp macro="" textlink="">
          <xdr:nvSpPr>
            <xdr:cNvPr id="88" name="Text Box 8">
              <a:extLst>
                <a:ext uri="{FF2B5EF4-FFF2-40B4-BE49-F238E27FC236}">
                  <a16:creationId xmlns:a16="http://schemas.microsoft.com/office/drawing/2014/main" id="{00000000-0008-0000-0E00-000058000000}"/>
                </a:ext>
              </a:extLst>
            </xdr:cNvPr>
            <xdr:cNvSpPr txBox="1">
              <a:spLocks noChangeArrowheads="1"/>
            </xdr:cNvSpPr>
          </xdr:nvSpPr>
          <xdr:spPr bwMode="auto">
            <a:xfrm>
              <a:off x="27" y="681"/>
              <a:ext cx="80" cy="36"/>
            </a:xfrm>
            <a:prstGeom prst="rect">
              <a:avLst/>
            </a:prstGeom>
            <a:grpFill/>
            <a:ln w="9525">
              <a:solidFill>
                <a:sysClr val="windowText" lastClr="000000"/>
              </a:solidFill>
              <a:miter lim="800000"/>
              <a:headEnd/>
              <a:tailEnd/>
            </a:ln>
          </xdr:spPr>
          <xdr:txBody>
            <a:bodyPr vertOverflow="clip" wrap="square" lIns="0" tIns="46800" rIns="0" bIns="4680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補足説明</a:t>
              </a:r>
            </a:p>
          </xdr:txBody>
        </xdr:sp>
        <xdr:sp macro="" textlink="">
          <xdr:nvSpPr>
            <xdr:cNvPr id="90" name="AutoShape 49">
              <a:extLst>
                <a:ext uri="{FF2B5EF4-FFF2-40B4-BE49-F238E27FC236}">
                  <a16:creationId xmlns:a16="http://schemas.microsoft.com/office/drawing/2014/main" id="{00000000-0008-0000-0E00-00005A000000}"/>
                </a:ext>
              </a:extLst>
            </xdr:cNvPr>
            <xdr:cNvSpPr>
              <a:spLocks noChangeArrowheads="1"/>
            </xdr:cNvSpPr>
          </xdr:nvSpPr>
          <xdr:spPr bwMode="auto">
            <a:xfrm>
              <a:off x="136" y="556"/>
              <a:ext cx="71" cy="43"/>
            </a:xfrm>
            <a:prstGeom prst="flowChartDocument">
              <a:avLst/>
            </a:prstGeom>
            <a:grpFill/>
            <a:ln w="9525">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帳票名</a:t>
              </a:r>
            </a:p>
          </xdr:txBody>
        </xdr:sp>
        <xdr:sp macro="" textlink="">
          <xdr:nvSpPr>
            <xdr:cNvPr id="91" name="AutoShape 78">
              <a:extLst>
                <a:ext uri="{FF2B5EF4-FFF2-40B4-BE49-F238E27FC236}">
                  <a16:creationId xmlns:a16="http://schemas.microsoft.com/office/drawing/2014/main" id="{00000000-0008-0000-0E00-00005B000000}"/>
                </a:ext>
              </a:extLst>
            </xdr:cNvPr>
            <xdr:cNvSpPr>
              <a:spLocks noChangeArrowheads="1"/>
            </xdr:cNvSpPr>
          </xdr:nvSpPr>
          <xdr:spPr bwMode="auto">
            <a:xfrm>
              <a:off x="133" y="622"/>
              <a:ext cx="76" cy="38"/>
            </a:xfrm>
            <a:prstGeom prst="can">
              <a:avLst>
                <a:gd name="adj" fmla="val 25000"/>
              </a:avLst>
            </a:prstGeom>
            <a:grpFill/>
            <a:ln w="12700">
              <a:solidFill>
                <a:sysClr val="windowText" lastClr="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テーブル名</a:t>
              </a:r>
            </a:p>
          </xdr:txBody>
        </xdr:sp>
        <xdr:sp macro="" textlink="">
          <xdr:nvSpPr>
            <xdr:cNvPr id="92" name="フローチャート: データ 50">
              <a:extLst>
                <a:ext uri="{FF2B5EF4-FFF2-40B4-BE49-F238E27FC236}">
                  <a16:creationId xmlns:a16="http://schemas.microsoft.com/office/drawing/2014/main" id="{00000000-0008-0000-0E00-00005C000000}"/>
                </a:ext>
              </a:extLst>
            </xdr:cNvPr>
            <xdr:cNvSpPr>
              <a:spLocks noChangeArrowheads="1"/>
            </xdr:cNvSpPr>
          </xdr:nvSpPr>
          <xdr:spPr bwMode="auto">
            <a:xfrm>
              <a:off x="18" y="624"/>
              <a:ext cx="102" cy="35"/>
            </a:xfrm>
            <a:prstGeom prst="flowChartInputOutput">
              <a:avLst/>
            </a:prstGeom>
            <a:grpFill/>
            <a:ln w="9525" algn="ctr">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ファイル名</a:t>
              </a:r>
            </a:p>
          </xdr:txBody>
        </xdr:sp>
        <xdr:sp macro="" textlink="">
          <xdr:nvSpPr>
            <xdr:cNvPr id="97" name="Text Box 24">
              <a:extLst>
                <a:ext uri="{FF2B5EF4-FFF2-40B4-BE49-F238E27FC236}">
                  <a16:creationId xmlns:a16="http://schemas.microsoft.com/office/drawing/2014/main" id="{00000000-0008-0000-0E00-000061000000}"/>
                </a:ext>
              </a:extLst>
            </xdr:cNvPr>
            <xdr:cNvSpPr txBox="1">
              <a:spLocks noChangeArrowheads="1"/>
            </xdr:cNvSpPr>
          </xdr:nvSpPr>
          <xdr:spPr bwMode="auto">
            <a:xfrm>
              <a:off x="43" y="805"/>
              <a:ext cx="143" cy="19"/>
            </a:xfrm>
            <a:prstGeom prst="rect">
              <a:avLst/>
            </a:prstGeom>
            <a:grpFill/>
            <a:ln w="9525">
              <a:noFill/>
              <a:miter lim="800000"/>
              <a:headEnd/>
              <a:tailEnd/>
            </a:ln>
          </xdr:spPr>
          <xdr:txBody>
            <a:bodyPr wrap="none" lIns="18288" tIns="18288" rIns="0" bIns="0" anchor="t" upright="1">
              <a:spAutoFit/>
            </a:bodyPr>
            <a:lstStyle/>
            <a:p>
              <a:pPr algn="l"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rPr>
                <a:t>橙背景は本設計書の対象</a:t>
              </a:r>
            </a:p>
          </xdr:txBody>
        </xdr:sp>
      </xdr:grpSp>
      <xdr:sp macro="" textlink="">
        <xdr:nvSpPr>
          <xdr:cNvPr id="78" name="片側の 2 つの角を切り取った四角形 77">
            <a:extLst>
              <a:ext uri="{FF2B5EF4-FFF2-40B4-BE49-F238E27FC236}">
                <a16:creationId xmlns:a16="http://schemas.microsoft.com/office/drawing/2014/main" id="{00000000-0008-0000-0E00-00004E000000}"/>
              </a:ext>
            </a:extLst>
          </xdr:cNvPr>
          <xdr:cNvSpPr/>
        </xdr:nvSpPr>
        <xdr:spPr>
          <a:xfrm>
            <a:off x="7372350" y="3067050"/>
            <a:ext cx="742950" cy="18982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ループ</a:t>
            </a:r>
          </a:p>
        </xdr:txBody>
      </xdr:sp>
      <xdr:sp macro="" textlink="">
        <xdr:nvSpPr>
          <xdr:cNvPr id="79" name="片側の 2 つの角を切り取った四角形 78">
            <a:extLst>
              <a:ext uri="{FF2B5EF4-FFF2-40B4-BE49-F238E27FC236}">
                <a16:creationId xmlns:a16="http://schemas.microsoft.com/office/drawing/2014/main" id="{00000000-0008-0000-0E00-00004F000000}"/>
              </a:ext>
            </a:extLst>
          </xdr:cNvPr>
          <xdr:cNvSpPr/>
        </xdr:nvSpPr>
        <xdr:spPr>
          <a:xfrm flipV="1">
            <a:off x="7372350" y="3286125"/>
            <a:ext cx="742950" cy="17145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vert="horz"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1" name="フローチャート: 判断 80">
            <a:extLst>
              <a:ext uri="{FF2B5EF4-FFF2-40B4-BE49-F238E27FC236}">
                <a16:creationId xmlns:a16="http://schemas.microsoft.com/office/drawing/2014/main" id="{00000000-0008-0000-0E00-000051000000}"/>
              </a:ext>
            </a:extLst>
          </xdr:cNvPr>
          <xdr:cNvSpPr/>
        </xdr:nvSpPr>
        <xdr:spPr>
          <a:xfrm>
            <a:off x="8258174" y="2952749"/>
            <a:ext cx="942975" cy="561975"/>
          </a:xfrm>
          <a:prstGeom prst="flowChartDecision">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分岐</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85725</xdr:colOff>
      <xdr:row>5</xdr:row>
      <xdr:rowOff>104775</xdr:rowOff>
    </xdr:from>
    <xdr:to>
      <xdr:col>49</xdr:col>
      <xdr:colOff>1058</xdr:colOff>
      <xdr:row>9</xdr:row>
      <xdr:rowOff>78316</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466725" y="971550"/>
          <a:ext cx="8868833" cy="592666"/>
        </a:xfrm>
        <a:prstGeom prst="rect">
          <a:avLst/>
        </a:prstGeom>
        <a:solidFill>
          <a:schemeClr val="bg1">
            <a:lumMod val="75000"/>
            <a:alpha val="50000"/>
          </a:schemeClr>
        </a:solidFill>
        <a:ln w="127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当記述は</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sample</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のため、処理の整合性を保証するものではありません。</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7</xdr:col>
          <xdr:colOff>0</xdr:colOff>
          <xdr:row>3</xdr:row>
          <xdr:rowOff>19050</xdr:rowOff>
        </xdr:to>
        <xdr:pic>
          <xdr:nvPicPr>
            <xdr:cNvPr id="2" name="図 1">
              <a:extLst>
                <a:ext uri="{FF2B5EF4-FFF2-40B4-BE49-F238E27FC236}">
                  <a16:creationId xmlns:a16="http://schemas.microsoft.com/office/drawing/2014/main" id="{00000000-0008-0000-1000-000002000000}"/>
                </a:ext>
              </a:extLst>
            </xdr:cNvPr>
            <xdr:cNvPicPr>
              <a:picLocks noChangeAspect="1" noChangeArrowheads="1"/>
              <a:extLst>
                <a:ext uri="{84589F7E-364E-4C9E-8A38-B11213B215E9}">
                  <a14:cameraTool cellRange="表紙!$BA$63:$BJ$65" spid="_x0000_s64586"/>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xdr:col>
          <xdr:colOff>28575</xdr:colOff>
          <xdr:row>3</xdr:row>
          <xdr:rowOff>19050</xdr:rowOff>
        </xdr:to>
        <xdr:pic>
          <xdr:nvPicPr>
            <xdr:cNvPr id="2" name="図 1">
              <a:extLst>
                <a:ext uri="{FF2B5EF4-FFF2-40B4-BE49-F238E27FC236}">
                  <a16:creationId xmlns:a16="http://schemas.microsoft.com/office/drawing/2014/main" id="{00000000-0008-0000-1100-000002000000}"/>
                </a:ext>
              </a:extLst>
            </xdr:cNvPr>
            <xdr:cNvPicPr>
              <a:picLocks noChangeAspect="1" noChangeArrowheads="1"/>
              <a:extLst>
                <a:ext uri="{84589F7E-364E-4C9E-8A38-B11213B215E9}">
                  <a14:cameraTool cellRange="表紙!$BA$67:$BJ$69" spid="_x0000_s65712"/>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900">
            <a:latin typeface="Meiryo UI" panose="020B0604030504040204" pitchFamily="50" charset="-128"/>
            <a:ea typeface="Meiryo UI" panose="020B0604030504040204" pitchFamily="50" charset="-128"/>
            <a:cs typeface="Meiryo UI" panose="020B0604030504040204" pitchFamily="50" charset="-128"/>
          </a:defRPr>
        </a:defPPr>
      </a:lstStyle>
      <a:style>
        <a:lnRef idx="1">
          <a:schemeClr val="accent5"/>
        </a:lnRef>
        <a:fillRef idx="2">
          <a:schemeClr val="accent5"/>
        </a:fillRef>
        <a:effectRef idx="1">
          <a:schemeClr val="accent5"/>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pageSetUpPr fitToPage="1"/>
  </sheetPr>
  <dimension ref="A3:BJ85"/>
  <sheetViews>
    <sheetView showGridLines="0" tabSelected="1" zoomScaleNormal="100" zoomScaleSheetLayoutView="90" workbookViewId="0">
      <selection activeCell="Q8" sqref="Q8"/>
    </sheetView>
  </sheetViews>
  <sheetFormatPr defaultColWidth="9.33203125" defaultRowHeight="12"/>
  <cols>
    <col min="1" max="50" width="3.33203125" style="1" customWidth="1"/>
    <col min="51" max="51" width="9.33203125" style="1"/>
    <col min="52" max="52" width="9.33203125" style="95"/>
    <col min="53" max="53" width="23.33203125" style="79" customWidth="1"/>
    <col min="54" max="54" width="13.33203125" style="79" customWidth="1"/>
    <col min="55" max="55" width="23.33203125" style="79" customWidth="1"/>
    <col min="56" max="56" width="13.33203125" style="79" customWidth="1"/>
    <col min="57" max="57" width="23.33203125" style="79" customWidth="1"/>
    <col min="58" max="58" width="13.33203125" style="79" customWidth="1"/>
    <col min="59" max="59" width="16.6640625" style="79" customWidth="1"/>
    <col min="60" max="62" width="13.33203125" style="79" customWidth="1"/>
    <col min="63" max="16384" width="9.33203125" style="1"/>
  </cols>
  <sheetData>
    <row r="3" spans="32:49" ht="11.25" customHeight="1">
      <c r="AF3" s="784" t="s">
        <v>0</v>
      </c>
      <c r="AG3" s="791"/>
      <c r="AH3" s="791"/>
      <c r="AI3" s="791"/>
      <c r="AJ3" s="791"/>
      <c r="AK3" s="792"/>
      <c r="AL3" s="798" t="s">
        <v>22</v>
      </c>
      <c r="AM3" s="798"/>
      <c r="AN3" s="798"/>
      <c r="AO3" s="798"/>
      <c r="AP3" s="798"/>
      <c r="AQ3" s="798"/>
      <c r="AR3" s="787" t="s">
        <v>1</v>
      </c>
      <c r="AS3" s="788"/>
      <c r="AT3" s="788"/>
      <c r="AU3" s="788"/>
      <c r="AV3" s="788"/>
      <c r="AW3" s="789"/>
    </row>
    <row r="4" spans="32:49" ht="11.25" customHeight="1">
      <c r="AF4" s="793"/>
      <c r="AG4" s="791"/>
      <c r="AH4" s="791"/>
      <c r="AI4" s="791"/>
      <c r="AJ4" s="791"/>
      <c r="AK4" s="792"/>
      <c r="AL4" s="798"/>
      <c r="AM4" s="798"/>
      <c r="AN4" s="798"/>
      <c r="AO4" s="798"/>
      <c r="AP4" s="798"/>
      <c r="AQ4" s="798"/>
      <c r="AR4" s="787"/>
      <c r="AS4" s="788"/>
      <c r="AT4" s="788"/>
      <c r="AU4" s="788"/>
      <c r="AV4" s="788"/>
      <c r="AW4" s="789"/>
    </row>
    <row r="5" spans="32:49" ht="11.25" customHeight="1">
      <c r="AF5" s="790" t="str">
        <f>IF(文書番号="","",文書番号)</f>
        <v>XX-XX-9999</v>
      </c>
      <c r="AG5" s="791"/>
      <c r="AH5" s="791"/>
      <c r="AI5" s="791"/>
      <c r="AJ5" s="791"/>
      <c r="AK5" s="792"/>
      <c r="AL5" s="794" t="str">
        <f>IF(Version="","",Version)</f>
        <v>7.0.1.1</v>
      </c>
      <c r="AM5" s="794"/>
      <c r="AN5" s="794"/>
      <c r="AO5" s="794"/>
      <c r="AP5" s="794"/>
      <c r="AQ5" s="794"/>
      <c r="AR5" s="795" t="str">
        <f>IF(Rev="","",Rev)</f>
        <v>r02.00</v>
      </c>
      <c r="AS5" s="796"/>
      <c r="AT5" s="796"/>
      <c r="AU5" s="796"/>
      <c r="AV5" s="796"/>
      <c r="AW5" s="797"/>
    </row>
    <row r="6" spans="32:49" ht="11.25" customHeight="1">
      <c r="AF6" s="793"/>
      <c r="AG6" s="791"/>
      <c r="AH6" s="791"/>
      <c r="AI6" s="791"/>
      <c r="AJ6" s="791"/>
      <c r="AK6" s="792"/>
      <c r="AL6" s="794"/>
      <c r="AM6" s="794"/>
      <c r="AN6" s="794"/>
      <c r="AO6" s="794"/>
      <c r="AP6" s="794"/>
      <c r="AQ6" s="794"/>
      <c r="AR6" s="795"/>
      <c r="AS6" s="796"/>
      <c r="AT6" s="796"/>
      <c r="AU6" s="796"/>
      <c r="AV6" s="796"/>
      <c r="AW6" s="797"/>
    </row>
    <row r="27" spans="16:33" ht="22.5" customHeight="1">
      <c r="P27" s="774" t="s">
        <v>2</v>
      </c>
      <c r="Q27" s="775"/>
      <c r="R27" s="775"/>
      <c r="S27" s="775"/>
      <c r="T27" s="775"/>
      <c r="U27" s="776"/>
      <c r="V27" s="799" t="str">
        <f>IF(顧客名="","",顧客名)</f>
        <v>株式会社XXXX殿</v>
      </c>
      <c r="W27" s="800"/>
      <c r="X27" s="800"/>
      <c r="Y27" s="800"/>
      <c r="Z27" s="800"/>
      <c r="AA27" s="800"/>
      <c r="AB27" s="800"/>
      <c r="AC27" s="800"/>
      <c r="AD27" s="800"/>
      <c r="AE27" s="800"/>
      <c r="AF27" s="800"/>
      <c r="AG27" s="801"/>
    </row>
    <row r="28" spans="16:33" ht="22.5" customHeight="1">
      <c r="P28" s="774" t="s">
        <v>3</v>
      </c>
      <c r="Q28" s="775"/>
      <c r="R28" s="775"/>
      <c r="S28" s="775"/>
      <c r="T28" s="775"/>
      <c r="U28" s="776"/>
      <c r="V28" s="799" t="str">
        <f>IF(プロジェクト名="","",プロジェクト名)</f>
        <v>新基幹システム構築プロジェクト</v>
      </c>
      <c r="W28" s="800"/>
      <c r="X28" s="800"/>
      <c r="Y28" s="800"/>
      <c r="Z28" s="800"/>
      <c r="AA28" s="800"/>
      <c r="AB28" s="800"/>
      <c r="AC28" s="800"/>
      <c r="AD28" s="800"/>
      <c r="AE28" s="800"/>
      <c r="AF28" s="800"/>
      <c r="AG28" s="801"/>
    </row>
    <row r="29" spans="16:33" ht="22.5" customHeight="1">
      <c r="P29" s="774" t="s">
        <v>4</v>
      </c>
      <c r="Q29" s="775"/>
      <c r="R29" s="775"/>
      <c r="S29" s="775"/>
      <c r="T29" s="775"/>
      <c r="U29" s="776"/>
      <c r="V29" s="799" t="str">
        <f>IF(分類ID="","",分類ID)</f>
        <v>MSBD</v>
      </c>
      <c r="W29" s="800"/>
      <c r="X29" s="800"/>
      <c r="Y29" s="800"/>
      <c r="Z29" s="800"/>
      <c r="AA29" s="801"/>
      <c r="AB29" s="802" t="str">
        <f>IF(機能ID="","",機能ID)</f>
        <v>MSBDP0080</v>
      </c>
      <c r="AC29" s="803"/>
      <c r="AD29" s="803"/>
      <c r="AE29" s="803"/>
      <c r="AF29" s="803"/>
      <c r="AG29" s="804"/>
    </row>
    <row r="30" spans="16:33" ht="22.5" customHeight="1">
      <c r="P30" s="805" t="s">
        <v>5</v>
      </c>
      <c r="Q30" s="806"/>
      <c r="R30" s="806"/>
      <c r="S30" s="806"/>
      <c r="T30" s="806"/>
      <c r="U30" s="807"/>
      <c r="V30" s="799" t="str">
        <f>IF(分類名="","",分類名)</f>
        <v>購買管理</v>
      </c>
      <c r="W30" s="800"/>
      <c r="X30" s="800"/>
      <c r="Y30" s="800"/>
      <c r="Z30" s="800"/>
      <c r="AA30" s="800"/>
      <c r="AB30" s="800"/>
      <c r="AC30" s="800"/>
      <c r="AD30" s="800"/>
      <c r="AE30" s="800"/>
      <c r="AF30" s="800"/>
      <c r="AG30" s="801"/>
    </row>
    <row r="31" spans="16:33" ht="22.5" customHeight="1">
      <c r="P31" s="784" t="s">
        <v>6</v>
      </c>
      <c r="Q31" s="785"/>
      <c r="R31" s="785"/>
      <c r="S31" s="785"/>
      <c r="T31" s="785"/>
      <c r="U31" s="786"/>
      <c r="V31" s="780" t="str">
        <f>IF(機能名="","",機能名)</f>
        <v>発注登録</v>
      </c>
      <c r="W31" s="781"/>
      <c r="X31" s="781"/>
      <c r="Y31" s="781"/>
      <c r="Z31" s="781"/>
      <c r="AA31" s="781"/>
      <c r="AB31" s="781"/>
      <c r="AC31" s="781"/>
      <c r="AD31" s="781"/>
      <c r="AE31" s="781"/>
      <c r="AF31" s="781"/>
      <c r="AG31" s="782"/>
    </row>
    <row r="37" spans="1:62" ht="11.25" customHeight="1"/>
    <row r="38" spans="1:62" ht="11.25" customHeight="1"/>
    <row r="39" spans="1:62" ht="11.25" customHeight="1"/>
    <row r="40" spans="1:62" ht="11.25" customHeight="1"/>
    <row r="46" spans="1:62" ht="29.25" thickBot="1">
      <c r="A46" s="2" t="s">
        <v>23</v>
      </c>
    </row>
    <row r="47" spans="1:62" ht="11.25" customHeight="1">
      <c r="A47" s="774" t="s">
        <v>2</v>
      </c>
      <c r="B47" s="775"/>
      <c r="C47" s="775"/>
      <c r="D47" s="775"/>
      <c r="E47" s="775"/>
      <c r="F47" s="776"/>
      <c r="G47" s="808" t="s">
        <v>958</v>
      </c>
      <c r="H47" s="781"/>
      <c r="I47" s="781"/>
      <c r="J47" s="781"/>
      <c r="K47" s="781"/>
      <c r="L47" s="781"/>
      <c r="M47" s="781"/>
      <c r="N47" s="781"/>
      <c r="O47" s="781"/>
      <c r="P47" s="781"/>
      <c r="Q47" s="781"/>
      <c r="R47" s="782"/>
      <c r="AZ47" s="813"/>
      <c r="BA47" s="810" t="s">
        <v>1007</v>
      </c>
      <c r="BB47" s="415" t="s">
        <v>1008</v>
      </c>
      <c r="BC47" s="416" t="str">
        <f>IF(顧客名="","",顧客名)</f>
        <v>株式会社XXXX殿</v>
      </c>
      <c r="BD47" s="417" t="s">
        <v>1017</v>
      </c>
      <c r="BE47" s="416" t="str">
        <f>IF(システム="","",システム)</f>
        <v>mcframe7</v>
      </c>
      <c r="BF47" s="417" t="s">
        <v>1009</v>
      </c>
      <c r="BG47" s="416" t="str">
        <f>IF(作成者="","",作成者)</f>
        <v>XX</v>
      </c>
      <c r="BH47" s="417" t="s">
        <v>1010</v>
      </c>
      <c r="BI47" s="418">
        <f>IF(作成日="","",作成日)</f>
        <v>42881</v>
      </c>
      <c r="BJ47" s="419" t="s">
        <v>1011</v>
      </c>
    </row>
    <row r="48" spans="1:62" ht="11.25" customHeight="1">
      <c r="A48" s="774" t="s">
        <v>3</v>
      </c>
      <c r="B48" s="775"/>
      <c r="C48" s="775"/>
      <c r="D48" s="775"/>
      <c r="E48" s="775"/>
      <c r="F48" s="776"/>
      <c r="G48" s="780" t="s">
        <v>68</v>
      </c>
      <c r="H48" s="781"/>
      <c r="I48" s="781"/>
      <c r="J48" s="781"/>
      <c r="K48" s="781"/>
      <c r="L48" s="781"/>
      <c r="M48" s="781"/>
      <c r="N48" s="781"/>
      <c r="O48" s="781"/>
      <c r="P48" s="781"/>
      <c r="Q48" s="781"/>
      <c r="R48" s="782"/>
      <c r="AZ48" s="813"/>
      <c r="BA48" s="811"/>
      <c r="BB48" s="420" t="s">
        <v>1021</v>
      </c>
      <c r="BC48" s="421" t="str">
        <f>IF(プロジェクト名="","",プロジェクト名)</f>
        <v>新基幹システム構築プロジェクト</v>
      </c>
      <c r="BD48" s="422" t="s">
        <v>1012</v>
      </c>
      <c r="BE48" s="421" t="str">
        <f>IF(サブシステム="","",サブシステム)</f>
        <v>SCM</v>
      </c>
      <c r="BF48" s="422" t="s">
        <v>1013</v>
      </c>
      <c r="BG48" s="421" t="str">
        <f>IF(修正者="","",修正者)</f>
        <v>XX</v>
      </c>
      <c r="BH48" s="422" t="s">
        <v>1014</v>
      </c>
      <c r="BI48" s="423">
        <f>IF(修正日="","",修正日)</f>
        <v>43007</v>
      </c>
      <c r="BJ48" s="14" t="str">
        <f>IF(文書番号="","",文書番号)</f>
        <v>XX-XX-9999</v>
      </c>
    </row>
    <row r="49" spans="1:62" ht="11.25" customHeight="1" thickBot="1">
      <c r="A49" s="774" t="s">
        <v>16</v>
      </c>
      <c r="B49" s="775"/>
      <c r="C49" s="775"/>
      <c r="D49" s="775"/>
      <c r="E49" s="775"/>
      <c r="F49" s="776"/>
      <c r="G49" s="780" t="s">
        <v>72</v>
      </c>
      <c r="H49" s="781"/>
      <c r="I49" s="781"/>
      <c r="J49" s="781"/>
      <c r="K49" s="781"/>
      <c r="L49" s="781"/>
      <c r="M49" s="781"/>
      <c r="N49" s="781"/>
      <c r="O49" s="781"/>
      <c r="P49" s="781"/>
      <c r="Q49" s="781"/>
      <c r="R49" s="782"/>
      <c r="AZ49" s="813"/>
      <c r="BA49" s="812"/>
      <c r="BB49" s="424" t="s">
        <v>1015</v>
      </c>
      <c r="BC49" s="425" t="str">
        <f>IF(機能ID="","",機能ID)</f>
        <v>MSBDP0080</v>
      </c>
      <c r="BD49" s="426" t="s">
        <v>1016</v>
      </c>
      <c r="BE49" s="52" t="str">
        <f>IF(機能名="","",機能名)</f>
        <v>発注登録</v>
      </c>
      <c r="BF49" s="52"/>
      <c r="BG49" s="52"/>
      <c r="BH49" s="426" t="s">
        <v>1018</v>
      </c>
      <c r="BI49" s="427" t="str">
        <f>IF(Rev="","",Rev)</f>
        <v>r02.00</v>
      </c>
      <c r="BJ49" s="53"/>
    </row>
    <row r="50" spans="1:62" ht="11.25" customHeight="1" thickBot="1">
      <c r="A50" s="774" t="s">
        <v>22</v>
      </c>
      <c r="B50" s="775"/>
      <c r="C50" s="775"/>
      <c r="D50" s="775"/>
      <c r="E50" s="775"/>
      <c r="F50" s="776"/>
      <c r="G50" s="809" t="s">
        <v>985</v>
      </c>
      <c r="H50" s="781"/>
      <c r="I50" s="781"/>
      <c r="J50" s="781"/>
      <c r="K50" s="781"/>
      <c r="L50" s="781"/>
      <c r="M50" s="781"/>
      <c r="N50" s="781"/>
      <c r="O50" s="781"/>
      <c r="P50" s="781"/>
      <c r="Q50" s="781"/>
      <c r="R50" s="782"/>
      <c r="AZ50" s="429"/>
      <c r="BA50" s="428"/>
    </row>
    <row r="51" spans="1:62" ht="11.25" customHeight="1">
      <c r="A51" s="774" t="s">
        <v>17</v>
      </c>
      <c r="B51" s="775"/>
      <c r="C51" s="775"/>
      <c r="D51" s="775"/>
      <c r="E51" s="775"/>
      <c r="F51" s="776"/>
      <c r="G51" s="780" t="s">
        <v>73</v>
      </c>
      <c r="H51" s="781"/>
      <c r="I51" s="781"/>
      <c r="J51" s="781"/>
      <c r="K51" s="781"/>
      <c r="L51" s="781"/>
      <c r="M51" s="781"/>
      <c r="N51" s="781"/>
      <c r="O51" s="781"/>
      <c r="P51" s="781"/>
      <c r="Q51" s="781"/>
      <c r="R51" s="782"/>
      <c r="AZ51" s="813"/>
      <c r="BA51" s="810" t="s">
        <v>42</v>
      </c>
      <c r="BB51" s="415" t="s">
        <v>1008</v>
      </c>
      <c r="BC51" s="416" t="str">
        <f>IF(顧客名="","",顧客名)</f>
        <v>株式会社XXXX殿</v>
      </c>
      <c r="BD51" s="417" t="s">
        <v>1017</v>
      </c>
      <c r="BE51" s="416" t="str">
        <f>IF(システム="","",システム)</f>
        <v>mcframe7</v>
      </c>
      <c r="BF51" s="417" t="s">
        <v>1009</v>
      </c>
      <c r="BG51" s="416" t="str">
        <f>IF(作成者="","",作成者)</f>
        <v>XX</v>
      </c>
      <c r="BH51" s="417" t="s">
        <v>1010</v>
      </c>
      <c r="BI51" s="418">
        <f>IF(作成日="","",作成日)</f>
        <v>42881</v>
      </c>
      <c r="BJ51" s="419" t="s">
        <v>1011</v>
      </c>
    </row>
    <row r="52" spans="1:62" ht="11.25" customHeight="1">
      <c r="A52" s="774" t="s">
        <v>21</v>
      </c>
      <c r="B52" s="775"/>
      <c r="C52" s="775"/>
      <c r="D52" s="775"/>
      <c r="E52" s="775"/>
      <c r="F52" s="776"/>
      <c r="G52" s="780" t="s">
        <v>75</v>
      </c>
      <c r="H52" s="781"/>
      <c r="I52" s="781"/>
      <c r="J52" s="781"/>
      <c r="K52" s="781"/>
      <c r="L52" s="781"/>
      <c r="M52" s="781"/>
      <c r="N52" s="781"/>
      <c r="O52" s="781"/>
      <c r="P52" s="781"/>
      <c r="Q52" s="781"/>
      <c r="R52" s="782"/>
      <c r="AZ52" s="813"/>
      <c r="BA52" s="811"/>
      <c r="BB52" s="420" t="s">
        <v>1022</v>
      </c>
      <c r="BC52" s="421" t="str">
        <f>IF(プロジェクト名="","",プロジェクト名)</f>
        <v>新基幹システム構築プロジェクト</v>
      </c>
      <c r="BD52" s="422" t="s">
        <v>1012</v>
      </c>
      <c r="BE52" s="421" t="str">
        <f>IF(サブシステム="","",サブシステム)</f>
        <v>SCM</v>
      </c>
      <c r="BF52" s="422" t="s">
        <v>1013</v>
      </c>
      <c r="BG52" s="421" t="str">
        <f>IF(修正者="","",修正者)</f>
        <v>XX</v>
      </c>
      <c r="BH52" s="422" t="s">
        <v>1014</v>
      </c>
      <c r="BI52" s="423">
        <f>IF(修正日="","",修正日)</f>
        <v>43007</v>
      </c>
      <c r="BJ52" s="14" t="str">
        <f>IF(文書番号="","",文書番号)</f>
        <v>XX-XX-9999</v>
      </c>
    </row>
    <row r="53" spans="1:62" ht="11.25" customHeight="1" thickBot="1">
      <c r="A53" s="774" t="s">
        <v>14</v>
      </c>
      <c r="B53" s="775"/>
      <c r="C53" s="775"/>
      <c r="D53" s="775"/>
      <c r="E53" s="775"/>
      <c r="F53" s="776"/>
      <c r="G53" s="780" t="s">
        <v>74</v>
      </c>
      <c r="H53" s="781"/>
      <c r="I53" s="781"/>
      <c r="J53" s="781"/>
      <c r="K53" s="781"/>
      <c r="L53" s="781"/>
      <c r="M53" s="781"/>
      <c r="N53" s="781"/>
      <c r="O53" s="781"/>
      <c r="P53" s="781"/>
      <c r="Q53" s="781"/>
      <c r="R53" s="782"/>
      <c r="AZ53" s="813"/>
      <c r="BA53" s="812"/>
      <c r="BB53" s="424" t="s">
        <v>1015</v>
      </c>
      <c r="BC53" s="425" t="str">
        <f>IF(機能ID="","",機能ID)</f>
        <v>MSBDP0080</v>
      </c>
      <c r="BD53" s="426" t="s">
        <v>1016</v>
      </c>
      <c r="BE53" s="52" t="str">
        <f>IF(機能名="","",機能名)</f>
        <v>発注登録</v>
      </c>
      <c r="BF53" s="52"/>
      <c r="BG53" s="52"/>
      <c r="BH53" s="426" t="s">
        <v>1018</v>
      </c>
      <c r="BI53" s="427" t="str">
        <f>IF(Rev="","",Rev)</f>
        <v>r02.00</v>
      </c>
      <c r="BJ53" s="53"/>
    </row>
    <row r="54" spans="1:62" ht="11.25" customHeight="1" thickBot="1">
      <c r="A54" s="784" t="s">
        <v>5</v>
      </c>
      <c r="B54" s="785"/>
      <c r="C54" s="785"/>
      <c r="D54" s="785"/>
      <c r="E54" s="785"/>
      <c r="F54" s="786"/>
      <c r="G54" s="780" t="s">
        <v>77</v>
      </c>
      <c r="H54" s="781"/>
      <c r="I54" s="781"/>
      <c r="J54" s="781"/>
      <c r="K54" s="781"/>
      <c r="L54" s="781"/>
      <c r="M54" s="781"/>
      <c r="N54" s="781"/>
      <c r="O54" s="781"/>
      <c r="P54" s="781"/>
      <c r="Q54" s="781"/>
      <c r="R54" s="782"/>
      <c r="AZ54" s="429"/>
      <c r="BA54" s="428"/>
    </row>
    <row r="55" spans="1:62" ht="11.25" customHeight="1">
      <c r="A55" s="784" t="s">
        <v>6</v>
      </c>
      <c r="B55" s="785"/>
      <c r="C55" s="785"/>
      <c r="D55" s="785"/>
      <c r="E55" s="785"/>
      <c r="F55" s="786"/>
      <c r="G55" s="780" t="s">
        <v>76</v>
      </c>
      <c r="H55" s="781"/>
      <c r="I55" s="781"/>
      <c r="J55" s="781"/>
      <c r="K55" s="781"/>
      <c r="L55" s="781"/>
      <c r="M55" s="781"/>
      <c r="N55" s="781"/>
      <c r="O55" s="781"/>
      <c r="P55" s="781"/>
      <c r="Q55" s="781"/>
      <c r="R55" s="782"/>
      <c r="AZ55" s="813"/>
      <c r="BA55" s="810" t="s">
        <v>1019</v>
      </c>
      <c r="BB55" s="415" t="s">
        <v>1008</v>
      </c>
      <c r="BC55" s="416" t="str">
        <f>IF(顧客名="","",顧客名)</f>
        <v>株式会社XXXX殿</v>
      </c>
      <c r="BD55" s="417" t="s">
        <v>1017</v>
      </c>
      <c r="BE55" s="416" t="str">
        <f>IF(システム="","",システム)</f>
        <v>mcframe7</v>
      </c>
      <c r="BF55" s="417" t="s">
        <v>1009</v>
      </c>
      <c r="BG55" s="416" t="str">
        <f>IF(作成者="","",作成者)</f>
        <v>XX</v>
      </c>
      <c r="BH55" s="417" t="s">
        <v>1010</v>
      </c>
      <c r="BI55" s="418">
        <f>IF(作成日="","",作成日)</f>
        <v>42881</v>
      </c>
      <c r="BJ55" s="419" t="s">
        <v>1011</v>
      </c>
    </row>
    <row r="56" spans="1:62" ht="11.25" customHeight="1">
      <c r="A56" s="774" t="s">
        <v>18</v>
      </c>
      <c r="B56" s="775"/>
      <c r="C56" s="775"/>
      <c r="D56" s="775"/>
      <c r="E56" s="775"/>
      <c r="F56" s="776"/>
      <c r="G56" s="780" t="s">
        <v>959</v>
      </c>
      <c r="H56" s="781"/>
      <c r="I56" s="781"/>
      <c r="J56" s="781"/>
      <c r="K56" s="781"/>
      <c r="L56" s="781"/>
      <c r="M56" s="781"/>
      <c r="N56" s="781"/>
      <c r="O56" s="781"/>
      <c r="P56" s="781"/>
      <c r="Q56" s="781"/>
      <c r="R56" s="782"/>
      <c r="S56" s="1" t="s">
        <v>66</v>
      </c>
      <c r="AZ56" s="813"/>
      <c r="BA56" s="811"/>
      <c r="BB56" s="420" t="s">
        <v>1022</v>
      </c>
      <c r="BC56" s="421" t="str">
        <f>IF(プロジェクト名="","",プロジェクト名)</f>
        <v>新基幹システム構築プロジェクト</v>
      </c>
      <c r="BD56" s="422" t="s">
        <v>1012</v>
      </c>
      <c r="BE56" s="421" t="str">
        <f>IF(サブシステム="","",サブシステム)</f>
        <v>SCM</v>
      </c>
      <c r="BF56" s="422" t="s">
        <v>1013</v>
      </c>
      <c r="BG56" s="421" t="str">
        <f>IF(修正者="","",修正者)</f>
        <v>XX</v>
      </c>
      <c r="BH56" s="422" t="s">
        <v>1014</v>
      </c>
      <c r="BI56" s="423">
        <f>IF(修正日="","",修正日)</f>
        <v>43007</v>
      </c>
      <c r="BJ56" s="14" t="str">
        <f>IF(文書番号="","",文書番号)</f>
        <v>XX-XX-9999</v>
      </c>
    </row>
    <row r="57" spans="1:62" ht="11.25" customHeight="1" thickBot="1">
      <c r="A57" s="774" t="s">
        <v>11</v>
      </c>
      <c r="B57" s="775"/>
      <c r="C57" s="775"/>
      <c r="D57" s="775"/>
      <c r="E57" s="775"/>
      <c r="F57" s="776"/>
      <c r="G57" s="777" t="s">
        <v>959</v>
      </c>
      <c r="H57" s="778"/>
      <c r="I57" s="778"/>
      <c r="J57" s="778"/>
      <c r="K57" s="778"/>
      <c r="L57" s="778"/>
      <c r="M57" s="778"/>
      <c r="N57" s="778"/>
      <c r="O57" s="778"/>
      <c r="P57" s="778"/>
      <c r="Q57" s="778"/>
      <c r="R57" s="779"/>
      <c r="S57" s="1" t="s">
        <v>66</v>
      </c>
      <c r="AZ57" s="813"/>
      <c r="BA57" s="812"/>
      <c r="BB57" s="424" t="s">
        <v>1015</v>
      </c>
      <c r="BC57" s="425" t="str">
        <f>IF(機能ID="","",機能ID)</f>
        <v>MSBDP0080</v>
      </c>
      <c r="BD57" s="426" t="s">
        <v>1016</v>
      </c>
      <c r="BE57" s="52" t="str">
        <f>IF(機能名="","",機能名)</f>
        <v>発注登録</v>
      </c>
      <c r="BF57" s="52"/>
      <c r="BG57" s="52"/>
      <c r="BH57" s="426" t="s">
        <v>1018</v>
      </c>
      <c r="BI57" s="427" t="str">
        <f>IF(Rev="","",Rev)</f>
        <v>r02.00</v>
      </c>
      <c r="BJ57" s="53"/>
    </row>
    <row r="58" spans="1:62" ht="11.25" customHeight="1" thickBot="1">
      <c r="A58" s="774" t="s">
        <v>19</v>
      </c>
      <c r="B58" s="775"/>
      <c r="C58" s="775"/>
      <c r="D58" s="775"/>
      <c r="E58" s="775"/>
      <c r="F58" s="776"/>
      <c r="G58" s="783">
        <f>来歴!E6</f>
        <v>42881</v>
      </c>
      <c r="H58" s="781"/>
      <c r="I58" s="781"/>
      <c r="J58" s="781"/>
      <c r="K58" s="781"/>
      <c r="L58" s="781"/>
      <c r="M58" s="781"/>
      <c r="N58" s="781"/>
      <c r="O58" s="781"/>
      <c r="P58" s="781"/>
      <c r="Q58" s="781"/>
      <c r="R58" s="782"/>
      <c r="S58" s="1" t="s">
        <v>66</v>
      </c>
      <c r="AZ58" s="429"/>
      <c r="BA58" s="428"/>
    </row>
    <row r="59" spans="1:62" ht="11.25" customHeight="1">
      <c r="A59" s="774" t="s">
        <v>12</v>
      </c>
      <c r="B59" s="775"/>
      <c r="C59" s="775"/>
      <c r="D59" s="775"/>
      <c r="E59" s="775"/>
      <c r="F59" s="776"/>
      <c r="G59" s="783">
        <f>IF(VLOOKUP(MAXA(来歴!A6:A46),来歴!A6:F46,5)="","",VLOOKUP(MAXA(来歴!A6:A46),来歴!A6:F46,5))</f>
        <v>43007</v>
      </c>
      <c r="H59" s="781"/>
      <c r="I59" s="781"/>
      <c r="J59" s="781"/>
      <c r="K59" s="781"/>
      <c r="L59" s="781"/>
      <c r="M59" s="781"/>
      <c r="N59" s="781"/>
      <c r="O59" s="781"/>
      <c r="P59" s="781"/>
      <c r="Q59" s="781"/>
      <c r="R59" s="782"/>
      <c r="S59" s="1" t="s">
        <v>66</v>
      </c>
      <c r="AZ59" s="813"/>
      <c r="BA59" s="810" t="s">
        <v>1020</v>
      </c>
      <c r="BB59" s="415" t="s">
        <v>1008</v>
      </c>
      <c r="BC59" s="416" t="str">
        <f>IF(顧客名="","",顧客名)</f>
        <v>株式会社XXXX殿</v>
      </c>
      <c r="BD59" s="417" t="s">
        <v>1017</v>
      </c>
      <c r="BE59" s="416" t="str">
        <f>IF(システム="","",システム)</f>
        <v>mcframe7</v>
      </c>
      <c r="BF59" s="417" t="s">
        <v>1009</v>
      </c>
      <c r="BG59" s="416" t="str">
        <f>IF(作成者="","",作成者)</f>
        <v>XX</v>
      </c>
      <c r="BH59" s="417" t="s">
        <v>1010</v>
      </c>
      <c r="BI59" s="418">
        <f>IF(作成日="","",作成日)</f>
        <v>42881</v>
      </c>
      <c r="BJ59" s="419" t="s">
        <v>1011</v>
      </c>
    </row>
    <row r="60" spans="1:62" ht="11.25" customHeight="1">
      <c r="A60" s="774" t="s">
        <v>20</v>
      </c>
      <c r="B60" s="775"/>
      <c r="C60" s="775"/>
      <c r="D60" s="775"/>
      <c r="E60" s="775"/>
      <c r="F60" s="776"/>
      <c r="G60" s="777" t="str">
        <f>IF(VLOOKUP(MAXA(来歴!A6:A46),来歴!A6:F46,2)="","",VLOOKUP(MAXA(来歴!A6:A46),来歴!A6:F46,2))</f>
        <v>r02.00</v>
      </c>
      <c r="H60" s="778"/>
      <c r="I60" s="778"/>
      <c r="J60" s="778"/>
      <c r="K60" s="778"/>
      <c r="L60" s="778"/>
      <c r="M60" s="778"/>
      <c r="N60" s="778"/>
      <c r="O60" s="778"/>
      <c r="P60" s="778"/>
      <c r="Q60" s="778"/>
      <c r="R60" s="779"/>
      <c r="S60" s="1" t="s">
        <v>66</v>
      </c>
      <c r="AZ60" s="813"/>
      <c r="BA60" s="811"/>
      <c r="BB60" s="420" t="s">
        <v>1022</v>
      </c>
      <c r="BC60" s="421" t="str">
        <f>IF(プロジェクト名="","",プロジェクト名)</f>
        <v>新基幹システム構築プロジェクト</v>
      </c>
      <c r="BD60" s="422" t="s">
        <v>1012</v>
      </c>
      <c r="BE60" s="421" t="str">
        <f>IF(サブシステム="","",サブシステム)</f>
        <v>SCM</v>
      </c>
      <c r="BF60" s="422" t="s">
        <v>1013</v>
      </c>
      <c r="BG60" s="421" t="str">
        <f>IF(修正者="","",修正者)</f>
        <v>XX</v>
      </c>
      <c r="BH60" s="422" t="s">
        <v>1014</v>
      </c>
      <c r="BI60" s="423">
        <f>IF(修正日="","",修正日)</f>
        <v>43007</v>
      </c>
      <c r="BJ60" s="14" t="str">
        <f>IF(文書番号="","",文書番号)</f>
        <v>XX-XX-9999</v>
      </c>
    </row>
    <row r="61" spans="1:62" ht="11.25" customHeight="1" thickBot="1">
      <c r="A61" s="774" t="s">
        <v>0</v>
      </c>
      <c r="B61" s="775"/>
      <c r="C61" s="775"/>
      <c r="D61" s="775"/>
      <c r="E61" s="775"/>
      <c r="F61" s="776"/>
      <c r="G61" s="780" t="s">
        <v>960</v>
      </c>
      <c r="H61" s="781"/>
      <c r="I61" s="781"/>
      <c r="J61" s="781"/>
      <c r="K61" s="781"/>
      <c r="L61" s="781"/>
      <c r="M61" s="781"/>
      <c r="N61" s="781"/>
      <c r="O61" s="781"/>
      <c r="P61" s="781"/>
      <c r="Q61" s="781"/>
      <c r="R61" s="782"/>
      <c r="AZ61" s="813"/>
      <c r="BA61" s="812"/>
      <c r="BB61" s="424" t="s">
        <v>1015</v>
      </c>
      <c r="BC61" s="425" t="str">
        <f>IF(機能ID="","",機能ID)</f>
        <v>MSBDP0080</v>
      </c>
      <c r="BD61" s="426" t="s">
        <v>1016</v>
      </c>
      <c r="BE61" s="52" t="str">
        <f>IF(機能名="","",機能名)</f>
        <v>発注登録</v>
      </c>
      <c r="BF61" s="52"/>
      <c r="BG61" s="52"/>
      <c r="BH61" s="426" t="s">
        <v>1018</v>
      </c>
      <c r="BI61" s="427" t="str">
        <f>IF(Rev="","",Rev)</f>
        <v>r02.00</v>
      </c>
      <c r="BJ61" s="53"/>
    </row>
    <row r="62" spans="1:62" ht="12.75" thickBot="1">
      <c r="BA62" s="428"/>
    </row>
    <row r="63" spans="1:62">
      <c r="BA63" s="810" t="s">
        <v>1162</v>
      </c>
      <c r="BB63" s="415" t="s">
        <v>2</v>
      </c>
      <c r="BC63" s="416" t="str">
        <f>IF(顧客名="","",顧客名)</f>
        <v>株式会社XXXX殿</v>
      </c>
      <c r="BD63" s="417" t="s">
        <v>7</v>
      </c>
      <c r="BE63" s="416" t="str">
        <f>IF(システム="","",システム)</f>
        <v>mcframe7</v>
      </c>
      <c r="BF63" s="417" t="s">
        <v>18</v>
      </c>
      <c r="BG63" s="416" t="str">
        <f>IF(作成者="","",作成者)</f>
        <v>XX</v>
      </c>
      <c r="BH63" s="417" t="s">
        <v>19</v>
      </c>
      <c r="BI63" s="418">
        <f>IF(作成日="","",作成日)</f>
        <v>42881</v>
      </c>
      <c r="BJ63" s="419" t="s">
        <v>0</v>
      </c>
    </row>
    <row r="64" spans="1:62">
      <c r="BA64" s="811"/>
      <c r="BB64" s="420" t="s">
        <v>1022</v>
      </c>
      <c r="BC64" s="421" t="str">
        <f>IF(プロジェクト名="","",プロジェクト名)</f>
        <v>新基幹システム構築プロジェクト</v>
      </c>
      <c r="BD64" s="422" t="s">
        <v>17</v>
      </c>
      <c r="BE64" s="421" t="str">
        <f>IF(サブシステム="","",サブシステム)</f>
        <v>SCM</v>
      </c>
      <c r="BF64" s="422" t="s">
        <v>11</v>
      </c>
      <c r="BG64" s="421" t="str">
        <f>IF(修正者="","",修正者)</f>
        <v>XX</v>
      </c>
      <c r="BH64" s="422" t="s">
        <v>12</v>
      </c>
      <c r="BI64" s="423">
        <f>IF(修正日="","",修正日)</f>
        <v>43007</v>
      </c>
      <c r="BJ64" s="14" t="str">
        <f>IF(文書番号="","",文書番号)</f>
        <v>XX-XX-9999</v>
      </c>
    </row>
    <row r="65" spans="53:62" ht="12.75" thickBot="1">
      <c r="BA65" s="812"/>
      <c r="BB65" s="424" t="s">
        <v>14</v>
      </c>
      <c r="BC65" s="425" t="str">
        <f>IF(機能ID="","",機能ID)</f>
        <v>MSBDP0080</v>
      </c>
      <c r="BD65" s="426" t="s">
        <v>6</v>
      </c>
      <c r="BE65" s="52" t="str">
        <f>IF(機能名="","",機能名)</f>
        <v>発注登録</v>
      </c>
      <c r="BF65" s="52"/>
      <c r="BG65" s="52"/>
      <c r="BH65" s="426" t="s">
        <v>1018</v>
      </c>
      <c r="BI65" s="427" t="str">
        <f>IF(Rev="","",Rev)</f>
        <v>r02.00</v>
      </c>
      <c r="BJ65" s="53"/>
    </row>
    <row r="66" spans="53:62" ht="12.75" thickBot="1">
      <c r="BA66" s="428"/>
    </row>
    <row r="67" spans="53:62">
      <c r="BA67" s="810" t="s">
        <v>1163</v>
      </c>
      <c r="BB67" s="415" t="s">
        <v>2</v>
      </c>
      <c r="BC67" s="416" t="str">
        <f>IF(顧客名="","",顧客名)</f>
        <v>株式会社XXXX殿</v>
      </c>
      <c r="BD67" s="417" t="s">
        <v>7</v>
      </c>
      <c r="BE67" s="416" t="str">
        <f>IF(システム="","",システム)</f>
        <v>mcframe7</v>
      </c>
      <c r="BF67" s="417" t="s">
        <v>18</v>
      </c>
      <c r="BG67" s="416" t="str">
        <f>IF(作成者="","",作成者)</f>
        <v>XX</v>
      </c>
      <c r="BH67" s="417" t="s">
        <v>19</v>
      </c>
      <c r="BI67" s="418">
        <f>IF(作成日="","",作成日)</f>
        <v>42881</v>
      </c>
      <c r="BJ67" s="419" t="s">
        <v>0</v>
      </c>
    </row>
    <row r="68" spans="53:62">
      <c r="BA68" s="811"/>
      <c r="BB68" s="420" t="s">
        <v>1022</v>
      </c>
      <c r="BC68" s="421" t="str">
        <f>IF(プロジェクト名="","",プロジェクト名)</f>
        <v>新基幹システム構築プロジェクト</v>
      </c>
      <c r="BD68" s="422" t="s">
        <v>17</v>
      </c>
      <c r="BE68" s="421" t="str">
        <f>IF(サブシステム="","",サブシステム)</f>
        <v>SCM</v>
      </c>
      <c r="BF68" s="422" t="s">
        <v>11</v>
      </c>
      <c r="BG68" s="421" t="str">
        <f>IF(修正者="","",修正者)</f>
        <v>XX</v>
      </c>
      <c r="BH68" s="422" t="s">
        <v>12</v>
      </c>
      <c r="BI68" s="423">
        <f>IF(修正日="","",修正日)</f>
        <v>43007</v>
      </c>
      <c r="BJ68" s="14" t="str">
        <f>IF(文書番号="","",文書番号)</f>
        <v>XX-XX-9999</v>
      </c>
    </row>
    <row r="69" spans="53:62" ht="12.75" thickBot="1">
      <c r="BA69" s="812"/>
      <c r="BB69" s="424" t="s">
        <v>14</v>
      </c>
      <c r="BC69" s="425" t="str">
        <f>IF(機能ID="","",機能ID)</f>
        <v>MSBDP0080</v>
      </c>
      <c r="BD69" s="426" t="s">
        <v>6</v>
      </c>
      <c r="BE69" s="52" t="str">
        <f>IF(機能名="","",機能名)</f>
        <v>発注登録</v>
      </c>
      <c r="BF69" s="52"/>
      <c r="BG69" s="52"/>
      <c r="BH69" s="426" t="s">
        <v>1018</v>
      </c>
      <c r="BI69" s="427" t="str">
        <f>IF(Rev="","",Rev)</f>
        <v>r02.00</v>
      </c>
      <c r="BJ69" s="53"/>
    </row>
    <row r="70" spans="53:62" ht="12.75" thickBot="1"/>
    <row r="71" spans="53:62">
      <c r="BA71" s="810" t="s">
        <v>1241</v>
      </c>
      <c r="BB71" s="415" t="s">
        <v>2</v>
      </c>
      <c r="BC71" s="416" t="str">
        <f>IF(顧客名="","",顧客名)</f>
        <v>株式会社XXXX殿</v>
      </c>
      <c r="BD71" s="417" t="s">
        <v>599</v>
      </c>
      <c r="BE71" s="416" t="str">
        <f>IF(システム="","",システム)</f>
        <v>mcframe7</v>
      </c>
      <c r="BF71" s="417" t="s">
        <v>18</v>
      </c>
      <c r="BG71" s="416" t="str">
        <f>IF(作成者="","",作成者)</f>
        <v>XX</v>
      </c>
      <c r="BH71" s="417" t="s">
        <v>19</v>
      </c>
      <c r="BI71" s="418">
        <f>IF(作成日="","",作成日)</f>
        <v>42881</v>
      </c>
      <c r="BJ71" s="419" t="s">
        <v>0</v>
      </c>
    </row>
    <row r="72" spans="53:62">
      <c r="BA72" s="811"/>
      <c r="BB72" s="420" t="s">
        <v>600</v>
      </c>
      <c r="BC72" s="421" t="str">
        <f>IF(プロジェクト名="","",プロジェクト名)</f>
        <v>新基幹システム構築プロジェクト</v>
      </c>
      <c r="BD72" s="422" t="s">
        <v>1012</v>
      </c>
      <c r="BE72" s="421" t="str">
        <f>IF(サブシステム="","",サブシステム)</f>
        <v>SCM</v>
      </c>
      <c r="BF72" s="422" t="s">
        <v>11</v>
      </c>
      <c r="BG72" s="421" t="str">
        <f>IF(修正者="","",修正者)</f>
        <v>XX</v>
      </c>
      <c r="BH72" s="422" t="s">
        <v>12</v>
      </c>
      <c r="BI72" s="423">
        <f>IF(修正日="","",修正日)</f>
        <v>43007</v>
      </c>
      <c r="BJ72" s="14" t="str">
        <f>IF(文書番号="","",文書番号)</f>
        <v>XX-XX-9999</v>
      </c>
    </row>
    <row r="73" spans="53:62" ht="12.75" thickBot="1">
      <c r="BA73" s="812"/>
      <c r="BB73" s="424" t="s">
        <v>14</v>
      </c>
      <c r="BC73" s="425" t="str">
        <f>IF(機能ID="","",機能ID)</f>
        <v>MSBDP0080</v>
      </c>
      <c r="BD73" s="426" t="s">
        <v>6</v>
      </c>
      <c r="BE73" s="52" t="str">
        <f>IF(機能名="","",機能名)</f>
        <v>発注登録</v>
      </c>
      <c r="BF73" s="52"/>
      <c r="BG73" s="52"/>
      <c r="BH73" s="426" t="s">
        <v>1018</v>
      </c>
      <c r="BI73" s="427" t="str">
        <f>IF(Rev="","",Rev)</f>
        <v>r02.00</v>
      </c>
      <c r="BJ73" s="53"/>
    </row>
    <row r="74" spans="53:62" ht="12.75" thickBot="1">
      <c r="BA74" s="428"/>
    </row>
    <row r="75" spans="53:62">
      <c r="BA75" s="810" t="s">
        <v>1242</v>
      </c>
      <c r="BB75" s="415" t="s">
        <v>2</v>
      </c>
      <c r="BC75" s="416" t="str">
        <f>IF(顧客名="","",顧客名)</f>
        <v>株式会社XXXX殿</v>
      </c>
      <c r="BD75" s="417" t="s">
        <v>7</v>
      </c>
      <c r="BE75" s="416" t="str">
        <f>IF(システム="","",システム)</f>
        <v>mcframe7</v>
      </c>
      <c r="BF75" s="417" t="s">
        <v>18</v>
      </c>
      <c r="BG75" s="416" t="str">
        <f>IF(作成者="","",作成者)</f>
        <v>XX</v>
      </c>
      <c r="BH75" s="417" t="s">
        <v>19</v>
      </c>
      <c r="BI75" s="418">
        <f>IF(作成日="","",作成日)</f>
        <v>42881</v>
      </c>
      <c r="BJ75" s="419" t="s">
        <v>0</v>
      </c>
    </row>
    <row r="76" spans="53:62">
      <c r="BA76" s="811"/>
      <c r="BB76" s="420" t="s">
        <v>600</v>
      </c>
      <c r="BC76" s="421" t="str">
        <f>IF(プロジェクト名="","",プロジェクト名)</f>
        <v>新基幹システム構築プロジェクト</v>
      </c>
      <c r="BD76" s="422" t="s">
        <v>17</v>
      </c>
      <c r="BE76" s="421" t="str">
        <f>IF(サブシステム="","",サブシステム)</f>
        <v>SCM</v>
      </c>
      <c r="BF76" s="422" t="s">
        <v>11</v>
      </c>
      <c r="BG76" s="421" t="str">
        <f>IF(修正者="","",修正者)</f>
        <v>XX</v>
      </c>
      <c r="BH76" s="422" t="s">
        <v>12</v>
      </c>
      <c r="BI76" s="423">
        <f>IF(修正日="","",修正日)</f>
        <v>43007</v>
      </c>
      <c r="BJ76" s="14" t="str">
        <f>IF(文書番号="","",文書番号)</f>
        <v>XX-XX-9999</v>
      </c>
    </row>
    <row r="77" spans="53:62" ht="12.75" thickBot="1">
      <c r="BA77" s="812"/>
      <c r="BB77" s="424" t="s">
        <v>14</v>
      </c>
      <c r="BC77" s="425" t="str">
        <f>IF(機能ID="","",機能ID)</f>
        <v>MSBDP0080</v>
      </c>
      <c r="BD77" s="426" t="s">
        <v>6</v>
      </c>
      <c r="BE77" s="52" t="str">
        <f>IF(機能名="","",機能名)</f>
        <v>発注登録</v>
      </c>
      <c r="BF77" s="52"/>
      <c r="BG77" s="52"/>
      <c r="BH77" s="426" t="s">
        <v>1018</v>
      </c>
      <c r="BI77" s="427" t="str">
        <f>IF(Rev="","",Rev)</f>
        <v>r02.00</v>
      </c>
      <c r="BJ77" s="53"/>
    </row>
    <row r="78" spans="53:62" ht="12.75" thickBot="1">
      <c r="BA78" s="428"/>
    </row>
    <row r="79" spans="53:62">
      <c r="BA79" s="810" t="s">
        <v>1243</v>
      </c>
      <c r="BB79" s="415" t="s">
        <v>2</v>
      </c>
      <c r="BC79" s="416" t="str">
        <f>IF(顧客名="","",顧客名)</f>
        <v>株式会社XXXX殿</v>
      </c>
      <c r="BD79" s="417" t="s">
        <v>7</v>
      </c>
      <c r="BE79" s="416" t="str">
        <f>IF(システム="","",システム)</f>
        <v>mcframe7</v>
      </c>
      <c r="BF79" s="417" t="s">
        <v>18</v>
      </c>
      <c r="BG79" s="416" t="str">
        <f>IF(作成者="","",作成者)</f>
        <v>XX</v>
      </c>
      <c r="BH79" s="417" t="s">
        <v>19</v>
      </c>
      <c r="BI79" s="418">
        <f>IF(作成日="","",作成日)</f>
        <v>42881</v>
      </c>
      <c r="BJ79" s="419" t="s">
        <v>0</v>
      </c>
    </row>
    <row r="80" spans="53:62">
      <c r="BA80" s="811"/>
      <c r="BB80" s="420" t="s">
        <v>600</v>
      </c>
      <c r="BC80" s="421" t="str">
        <f>IF(プロジェクト名="","",プロジェクト名)</f>
        <v>新基幹システム構築プロジェクト</v>
      </c>
      <c r="BD80" s="422" t="s">
        <v>17</v>
      </c>
      <c r="BE80" s="421" t="str">
        <f>IF(サブシステム="","",サブシステム)</f>
        <v>SCM</v>
      </c>
      <c r="BF80" s="422" t="s">
        <v>11</v>
      </c>
      <c r="BG80" s="421" t="str">
        <f>IF(修正者="","",修正者)</f>
        <v>XX</v>
      </c>
      <c r="BH80" s="422" t="s">
        <v>12</v>
      </c>
      <c r="BI80" s="423">
        <f>IF(修正日="","",修正日)</f>
        <v>43007</v>
      </c>
      <c r="BJ80" s="14" t="str">
        <f>IF(文書番号="","",文書番号)</f>
        <v>XX-XX-9999</v>
      </c>
    </row>
    <row r="81" spans="53:62" ht="12.75" thickBot="1">
      <c r="BA81" s="812"/>
      <c r="BB81" s="424" t="s">
        <v>14</v>
      </c>
      <c r="BC81" s="425" t="str">
        <f>IF(機能ID="","",機能ID)</f>
        <v>MSBDP0080</v>
      </c>
      <c r="BD81" s="426" t="s">
        <v>6</v>
      </c>
      <c r="BE81" s="52" t="str">
        <f>IF(機能名="","",機能名)</f>
        <v>発注登録</v>
      </c>
      <c r="BF81" s="52"/>
      <c r="BG81" s="52"/>
      <c r="BH81" s="426" t="s">
        <v>1018</v>
      </c>
      <c r="BI81" s="427" t="str">
        <f>IF(Rev="","",Rev)</f>
        <v>r02.00</v>
      </c>
      <c r="BJ81" s="53"/>
    </row>
    <row r="82" spans="53:62" ht="12.75" thickBot="1"/>
    <row r="83" spans="53:62">
      <c r="BA83" s="810" t="s">
        <v>1332</v>
      </c>
      <c r="BB83" s="415" t="s">
        <v>2</v>
      </c>
      <c r="BC83" s="416" t="str">
        <f>IF(顧客名="","",顧客名)</f>
        <v>株式会社XXXX殿</v>
      </c>
      <c r="BD83" s="417" t="s">
        <v>599</v>
      </c>
      <c r="BE83" s="416" t="str">
        <f>IF(システム="","",システム)</f>
        <v>mcframe7</v>
      </c>
      <c r="BF83" s="417" t="s">
        <v>18</v>
      </c>
      <c r="BG83" s="416" t="str">
        <f>IF(作成者="","",作成者)</f>
        <v>XX</v>
      </c>
      <c r="BH83" s="417" t="s">
        <v>19</v>
      </c>
      <c r="BI83" s="418">
        <f>IF(作成日="","",作成日)</f>
        <v>42881</v>
      </c>
      <c r="BJ83" s="419" t="s">
        <v>0</v>
      </c>
    </row>
    <row r="84" spans="53:62">
      <c r="BA84" s="811"/>
      <c r="BB84" s="420" t="s">
        <v>600</v>
      </c>
      <c r="BC84" s="421" t="str">
        <f>IF(プロジェクト名="","",プロジェクト名)</f>
        <v>新基幹システム構築プロジェクト</v>
      </c>
      <c r="BD84" s="422" t="s">
        <v>1012</v>
      </c>
      <c r="BE84" s="421" t="str">
        <f>IF(サブシステム="","",サブシステム)</f>
        <v>SCM</v>
      </c>
      <c r="BF84" s="422" t="s">
        <v>11</v>
      </c>
      <c r="BG84" s="421" t="str">
        <f>IF(修正者="","",修正者)</f>
        <v>XX</v>
      </c>
      <c r="BH84" s="422" t="s">
        <v>12</v>
      </c>
      <c r="BI84" s="423">
        <f>IF(修正日="","",修正日)</f>
        <v>43007</v>
      </c>
      <c r="BJ84" s="14" t="str">
        <f>IF(文書番号="","",文書番号)</f>
        <v>XX-XX-9999</v>
      </c>
    </row>
    <row r="85" spans="53:62" ht="12.75" thickBot="1">
      <c r="BA85" s="812"/>
      <c r="BB85" s="424" t="s">
        <v>14</v>
      </c>
      <c r="BC85" s="425" t="str">
        <f>IF(機能ID="","",機能ID)</f>
        <v>MSBDP0080</v>
      </c>
      <c r="BD85" s="426" t="s">
        <v>6</v>
      </c>
      <c r="BE85" s="52" t="str">
        <f>IF(機能名="","",機能名)</f>
        <v>発注登録</v>
      </c>
      <c r="BF85" s="52"/>
      <c r="BG85" s="52"/>
      <c r="BH85" s="426" t="s">
        <v>1018</v>
      </c>
      <c r="BI85" s="427" t="str">
        <f>IF(Rev="","",Rev)</f>
        <v>r02.00</v>
      </c>
      <c r="BJ85" s="53"/>
    </row>
  </sheetData>
  <mergeCells count="61">
    <mergeCell ref="BA83:BA85"/>
    <mergeCell ref="BA67:BA69"/>
    <mergeCell ref="AZ47:AZ49"/>
    <mergeCell ref="AZ51:AZ53"/>
    <mergeCell ref="AZ55:AZ57"/>
    <mergeCell ref="AZ59:AZ61"/>
    <mergeCell ref="BA47:BA49"/>
    <mergeCell ref="BA51:BA53"/>
    <mergeCell ref="BA55:BA57"/>
    <mergeCell ref="BA59:BA61"/>
    <mergeCell ref="BA71:BA73"/>
    <mergeCell ref="BA75:BA77"/>
    <mergeCell ref="BA79:BA81"/>
    <mergeCell ref="BA63:BA65"/>
    <mergeCell ref="A48:F48"/>
    <mergeCell ref="G48:R48"/>
    <mergeCell ref="A53:F53"/>
    <mergeCell ref="G53:R53"/>
    <mergeCell ref="A49:F49"/>
    <mergeCell ref="G49:R49"/>
    <mergeCell ref="A51:F51"/>
    <mergeCell ref="G51:R51"/>
    <mergeCell ref="A50:F50"/>
    <mergeCell ref="G50:R50"/>
    <mergeCell ref="A52:F52"/>
    <mergeCell ref="P31:U31"/>
    <mergeCell ref="V31:AG31"/>
    <mergeCell ref="P30:U30"/>
    <mergeCell ref="V30:AG30"/>
    <mergeCell ref="A47:F47"/>
    <mergeCell ref="G47:R47"/>
    <mergeCell ref="P27:U27"/>
    <mergeCell ref="V27:AG27"/>
    <mergeCell ref="P29:U29"/>
    <mergeCell ref="V29:AA29"/>
    <mergeCell ref="AB29:AG29"/>
    <mergeCell ref="P28:U28"/>
    <mergeCell ref="V28:AG28"/>
    <mergeCell ref="AR3:AW4"/>
    <mergeCell ref="AF5:AK6"/>
    <mergeCell ref="AL5:AQ6"/>
    <mergeCell ref="AR5:AW6"/>
    <mergeCell ref="AF3:AK4"/>
    <mergeCell ref="AL3:AQ4"/>
    <mergeCell ref="A56:F56"/>
    <mergeCell ref="G56:R56"/>
    <mergeCell ref="A54:F54"/>
    <mergeCell ref="G54:R54"/>
    <mergeCell ref="G52:R52"/>
    <mergeCell ref="A55:F55"/>
    <mergeCell ref="G55:R55"/>
    <mergeCell ref="A57:F57"/>
    <mergeCell ref="G57:R57"/>
    <mergeCell ref="A60:F60"/>
    <mergeCell ref="G60:R60"/>
    <mergeCell ref="A61:F61"/>
    <mergeCell ref="G61:R61"/>
    <mergeCell ref="A58:F58"/>
    <mergeCell ref="G58:R58"/>
    <mergeCell ref="A59:F59"/>
    <mergeCell ref="G59:R59"/>
  </mergeCells>
  <phoneticPr fontId="3"/>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F46"/>
  <sheetViews>
    <sheetView showGridLines="0" zoomScaleNormal="100" zoomScaleSheetLayoutView="90" workbookViewId="0">
      <selection activeCell="Z8" sqref="Z8"/>
    </sheetView>
  </sheetViews>
  <sheetFormatPr defaultColWidth="9.33203125" defaultRowHeight="12"/>
  <cols>
    <col min="1" max="1" width="3.33203125" style="79" customWidth="1"/>
    <col min="2" max="2" width="10" style="79" customWidth="1"/>
    <col min="3" max="3" width="103.33203125" style="79" customWidth="1"/>
    <col min="4" max="5" width="13.33203125" style="79" customWidth="1"/>
    <col min="6" max="6" width="23.33203125" style="79" customWidth="1"/>
    <col min="7" max="7" width="1.83203125" style="79" customWidth="1"/>
    <col min="8" max="16384" width="9.33203125" style="79"/>
  </cols>
  <sheetData>
    <row r="1" spans="1:6" ht="12" customHeight="1"/>
    <row r="2" spans="1:6" ht="12" customHeight="1"/>
    <row r="3" spans="1:6" ht="12.75" customHeight="1"/>
    <row r="4" spans="1:6" ht="12.75" thickBot="1"/>
    <row r="5" spans="1:6" ht="12.75" thickBot="1">
      <c r="A5" s="430" t="s">
        <v>652</v>
      </c>
      <c r="B5" s="431" t="s">
        <v>1035</v>
      </c>
      <c r="C5" s="385" t="s">
        <v>24</v>
      </c>
      <c r="D5" s="392" t="s">
        <v>25</v>
      </c>
      <c r="E5" s="385" t="s">
        <v>26</v>
      </c>
      <c r="F5" s="392" t="s">
        <v>27</v>
      </c>
    </row>
    <row r="6" spans="1:6" ht="12.75" thickTop="1">
      <c r="A6" s="432">
        <v>1</v>
      </c>
      <c r="B6" s="433" t="s">
        <v>1024</v>
      </c>
      <c r="C6" s="386" t="s">
        <v>61</v>
      </c>
      <c r="D6" s="391" t="s">
        <v>1033</v>
      </c>
      <c r="E6" s="623">
        <v>42881</v>
      </c>
      <c r="F6" s="627"/>
    </row>
    <row r="7" spans="1:6">
      <c r="A7" s="4">
        <v>2</v>
      </c>
      <c r="B7" s="384" t="s">
        <v>1025</v>
      </c>
      <c r="C7" s="383" t="s">
        <v>587</v>
      </c>
      <c r="D7" s="390" t="s">
        <v>1033</v>
      </c>
      <c r="E7" s="624">
        <v>42894</v>
      </c>
      <c r="F7" s="628"/>
    </row>
    <row r="8" spans="1:6">
      <c r="A8" s="4">
        <v>3</v>
      </c>
      <c r="B8" s="384" t="s">
        <v>1026</v>
      </c>
      <c r="C8" s="387" t="s">
        <v>589</v>
      </c>
      <c r="D8" s="390" t="s">
        <v>1033</v>
      </c>
      <c r="E8" s="624">
        <v>42901</v>
      </c>
      <c r="F8" s="628"/>
    </row>
    <row r="9" spans="1:6">
      <c r="A9" s="4">
        <v>4</v>
      </c>
      <c r="B9" s="384" t="s">
        <v>1027</v>
      </c>
      <c r="C9" s="387" t="s">
        <v>590</v>
      </c>
      <c r="D9" s="390" t="s">
        <v>1033</v>
      </c>
      <c r="E9" s="624">
        <v>42909</v>
      </c>
      <c r="F9" s="628"/>
    </row>
    <row r="10" spans="1:6" ht="12.75" customHeight="1">
      <c r="A10" s="4">
        <v>5</v>
      </c>
      <c r="B10" s="384" t="s">
        <v>1028</v>
      </c>
      <c r="C10" s="383" t="s">
        <v>593</v>
      </c>
      <c r="D10" s="390" t="s">
        <v>1033</v>
      </c>
      <c r="E10" s="624">
        <v>42978</v>
      </c>
      <c r="F10" s="628"/>
    </row>
    <row r="11" spans="1:6">
      <c r="A11" s="4">
        <v>6</v>
      </c>
      <c r="B11" s="384" t="s">
        <v>1029</v>
      </c>
      <c r="C11" s="383" t="s">
        <v>596</v>
      </c>
      <c r="D11" s="388" t="s">
        <v>1034</v>
      </c>
      <c r="E11" s="624">
        <v>42992</v>
      </c>
      <c r="F11" s="628"/>
    </row>
    <row r="12" spans="1:6">
      <c r="A12" s="4">
        <v>7</v>
      </c>
      <c r="B12" s="384" t="s">
        <v>1030</v>
      </c>
      <c r="C12" s="383" t="s">
        <v>597</v>
      </c>
      <c r="D12" s="388" t="s">
        <v>1034</v>
      </c>
      <c r="E12" s="624">
        <v>42993</v>
      </c>
      <c r="F12" s="628"/>
    </row>
    <row r="13" spans="1:6">
      <c r="A13" s="4">
        <v>8</v>
      </c>
      <c r="B13" s="384" t="s">
        <v>1031</v>
      </c>
      <c r="C13" s="383" t="s">
        <v>795</v>
      </c>
      <c r="D13" s="388" t="s">
        <v>1034</v>
      </c>
      <c r="E13" s="624">
        <v>43000</v>
      </c>
      <c r="F13" s="628"/>
    </row>
    <row r="14" spans="1:6" ht="12.75" customHeight="1">
      <c r="A14" s="4">
        <v>9</v>
      </c>
      <c r="B14" s="384" t="s">
        <v>1032</v>
      </c>
      <c r="C14" s="383" t="s">
        <v>961</v>
      </c>
      <c r="D14" s="388" t="s">
        <v>1034</v>
      </c>
      <c r="E14" s="624">
        <v>43007</v>
      </c>
      <c r="F14" s="628"/>
    </row>
    <row r="15" spans="1:6">
      <c r="A15" s="4"/>
      <c r="B15" s="384"/>
      <c r="C15" s="383"/>
      <c r="D15" s="388"/>
      <c r="E15" s="624"/>
      <c r="F15" s="628"/>
    </row>
    <row r="16" spans="1:6">
      <c r="A16" s="4"/>
      <c r="B16" s="384"/>
      <c r="C16" s="383"/>
      <c r="D16" s="388"/>
      <c r="E16" s="624"/>
      <c r="F16" s="628"/>
    </row>
    <row r="17" spans="1:6">
      <c r="A17" s="4"/>
      <c r="B17" s="384"/>
      <c r="C17" s="383"/>
      <c r="D17" s="388"/>
      <c r="E17" s="625"/>
      <c r="F17" s="628"/>
    </row>
    <row r="18" spans="1:6">
      <c r="A18" s="4"/>
      <c r="B18" s="384"/>
      <c r="C18" s="383"/>
      <c r="D18" s="388"/>
      <c r="E18" s="625"/>
      <c r="F18" s="628"/>
    </row>
    <row r="19" spans="1:6">
      <c r="A19" s="4"/>
      <c r="B19" s="384"/>
      <c r="C19" s="383"/>
      <c r="D19" s="388"/>
      <c r="E19" s="625"/>
      <c r="F19" s="628"/>
    </row>
    <row r="20" spans="1:6">
      <c r="A20" s="4"/>
      <c r="B20" s="384"/>
      <c r="C20" s="383"/>
      <c r="D20" s="388"/>
      <c r="E20" s="625"/>
      <c r="F20" s="628"/>
    </row>
    <row r="21" spans="1:6">
      <c r="A21" s="4"/>
      <c r="B21" s="384"/>
      <c r="C21" s="383"/>
      <c r="D21" s="388"/>
      <c r="E21" s="625"/>
      <c r="F21" s="628"/>
    </row>
    <row r="22" spans="1:6">
      <c r="A22" s="4"/>
      <c r="B22" s="384"/>
      <c r="C22" s="383"/>
      <c r="D22" s="388"/>
      <c r="E22" s="625"/>
      <c r="F22" s="628"/>
    </row>
    <row r="23" spans="1:6">
      <c r="A23" s="4"/>
      <c r="B23" s="384"/>
      <c r="C23" s="383"/>
      <c r="D23" s="388"/>
      <c r="E23" s="625"/>
      <c r="F23" s="628"/>
    </row>
    <row r="24" spans="1:6">
      <c r="A24" s="4"/>
      <c r="B24" s="384"/>
      <c r="C24" s="383"/>
      <c r="D24" s="388"/>
      <c r="E24" s="625"/>
      <c r="F24" s="628"/>
    </row>
    <row r="25" spans="1:6">
      <c r="A25" s="4"/>
      <c r="B25" s="384"/>
      <c r="C25" s="383"/>
      <c r="D25" s="388"/>
      <c r="E25" s="625"/>
      <c r="F25" s="628"/>
    </row>
    <row r="26" spans="1:6">
      <c r="A26" s="4"/>
      <c r="B26" s="384"/>
      <c r="C26" s="383"/>
      <c r="D26" s="388"/>
      <c r="E26" s="625"/>
      <c r="F26" s="628"/>
    </row>
    <row r="27" spans="1:6">
      <c r="A27" s="4"/>
      <c r="B27" s="384"/>
      <c r="C27" s="383"/>
      <c r="D27" s="388"/>
      <c r="E27" s="625"/>
      <c r="F27" s="628"/>
    </row>
    <row r="28" spans="1:6">
      <c r="A28" s="4"/>
      <c r="B28" s="384"/>
      <c r="C28" s="383"/>
      <c r="D28" s="388"/>
      <c r="E28" s="625"/>
      <c r="F28" s="628"/>
    </row>
    <row r="29" spans="1:6">
      <c r="A29" s="4"/>
      <c r="B29" s="384"/>
      <c r="C29" s="383"/>
      <c r="D29" s="388"/>
      <c r="E29" s="625"/>
      <c r="F29" s="628"/>
    </row>
    <row r="30" spans="1:6">
      <c r="A30" s="4"/>
      <c r="B30" s="384"/>
      <c r="C30" s="383"/>
      <c r="D30" s="388"/>
      <c r="E30" s="625"/>
      <c r="F30" s="628"/>
    </row>
    <row r="31" spans="1:6">
      <c r="A31" s="4"/>
      <c r="B31" s="384"/>
      <c r="C31" s="383"/>
      <c r="D31" s="388"/>
      <c r="E31" s="625"/>
      <c r="F31" s="628"/>
    </row>
    <row r="32" spans="1:6">
      <c r="A32" s="4"/>
      <c r="B32" s="384"/>
      <c r="C32" s="383"/>
      <c r="D32" s="388"/>
      <c r="E32" s="625"/>
      <c r="F32" s="628"/>
    </row>
    <row r="33" spans="1:6">
      <c r="A33" s="4"/>
      <c r="B33" s="384"/>
      <c r="C33" s="383"/>
      <c r="D33" s="388"/>
      <c r="E33" s="625"/>
      <c r="F33" s="628"/>
    </row>
    <row r="34" spans="1:6">
      <c r="A34" s="4"/>
      <c r="B34" s="384"/>
      <c r="C34" s="383"/>
      <c r="D34" s="388"/>
      <c r="E34" s="625"/>
      <c r="F34" s="628"/>
    </row>
    <row r="35" spans="1:6">
      <c r="A35" s="4"/>
      <c r="B35" s="384"/>
      <c r="C35" s="383"/>
      <c r="D35" s="388"/>
      <c r="E35" s="625"/>
      <c r="F35" s="628"/>
    </row>
    <row r="36" spans="1:6">
      <c r="A36" s="4"/>
      <c r="B36" s="384"/>
      <c r="C36" s="383"/>
      <c r="D36" s="388"/>
      <c r="E36" s="625"/>
      <c r="F36" s="628"/>
    </row>
    <row r="37" spans="1:6">
      <c r="A37" s="4"/>
      <c r="B37" s="384"/>
      <c r="C37" s="383"/>
      <c r="D37" s="388"/>
      <c r="E37" s="625"/>
      <c r="F37" s="628"/>
    </row>
    <row r="38" spans="1:6">
      <c r="A38" s="4"/>
      <c r="B38" s="384"/>
      <c r="C38" s="383"/>
      <c r="D38" s="388"/>
      <c r="E38" s="625"/>
      <c r="F38" s="628"/>
    </row>
    <row r="39" spans="1:6">
      <c r="A39" s="4"/>
      <c r="B39" s="384"/>
      <c r="C39" s="383"/>
      <c r="D39" s="388"/>
      <c r="E39" s="625"/>
      <c r="F39" s="628"/>
    </row>
    <row r="40" spans="1:6">
      <c r="A40" s="4"/>
      <c r="B40" s="384"/>
      <c r="C40" s="383"/>
      <c r="D40" s="388"/>
      <c r="E40" s="625"/>
      <c r="F40" s="628"/>
    </row>
    <row r="41" spans="1:6">
      <c r="A41" s="4"/>
      <c r="B41" s="384"/>
      <c r="C41" s="383"/>
      <c r="D41" s="388"/>
      <c r="E41" s="625"/>
      <c r="F41" s="628"/>
    </row>
    <row r="42" spans="1:6">
      <c r="A42" s="4"/>
      <c r="B42" s="384"/>
      <c r="C42" s="383"/>
      <c r="D42" s="388"/>
      <c r="E42" s="625"/>
      <c r="F42" s="628"/>
    </row>
    <row r="43" spans="1:6">
      <c r="A43" s="4"/>
      <c r="B43" s="384"/>
      <c r="C43" s="383"/>
      <c r="D43" s="388"/>
      <c r="E43" s="625"/>
      <c r="F43" s="628"/>
    </row>
    <row r="44" spans="1:6">
      <c r="A44" s="4"/>
      <c r="B44" s="384"/>
      <c r="C44" s="383"/>
      <c r="D44" s="388"/>
      <c r="E44" s="625"/>
      <c r="F44" s="628"/>
    </row>
    <row r="45" spans="1:6">
      <c r="A45" s="4"/>
      <c r="B45" s="384"/>
      <c r="C45" s="383"/>
      <c r="D45" s="388"/>
      <c r="E45" s="625"/>
      <c r="F45" s="628"/>
    </row>
    <row r="46" spans="1:6" ht="12.75" thickBot="1">
      <c r="A46" s="5"/>
      <c r="B46" s="393"/>
      <c r="C46" s="382"/>
      <c r="D46" s="389"/>
      <c r="E46" s="626"/>
      <c r="F46" s="629"/>
    </row>
  </sheetData>
  <phoneticPr fontId="3"/>
  <dataValidations count="1">
    <dataValidation imeMode="off" allowBlank="1" showInputMessage="1" showErrorMessage="1" sqref="A6:B46 E6:E4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I47"/>
  <sheetViews>
    <sheetView showGridLines="0" zoomScaleNormal="100" zoomScaleSheetLayoutView="90" workbookViewId="0">
      <selection activeCell="E19" sqref="E18:E19"/>
    </sheetView>
  </sheetViews>
  <sheetFormatPr defaultColWidth="9.33203125" defaultRowHeight="12"/>
  <cols>
    <col min="1" max="1" width="10" style="79" customWidth="1"/>
    <col min="2" max="2" width="13.33203125" style="79" customWidth="1"/>
    <col min="3" max="3" width="53.33203125" style="79" customWidth="1"/>
    <col min="4" max="8" width="13.33203125" style="79" customWidth="1"/>
    <col min="9" max="9" width="23.33203125" style="79" customWidth="1"/>
    <col min="10" max="16384" width="9.33203125" style="79"/>
  </cols>
  <sheetData>
    <row r="1" spans="1:9" ht="12" customHeight="1"/>
    <row r="2" spans="1:9" ht="12" customHeight="1"/>
    <row r="3" spans="1:9" ht="12.75" customHeight="1"/>
    <row r="4" spans="1:9" ht="12.75" thickBot="1"/>
    <row r="5" spans="1:9">
      <c r="A5" s="400" t="s">
        <v>1023</v>
      </c>
      <c r="B5" s="434" t="s">
        <v>19</v>
      </c>
      <c r="C5" s="737" t="s">
        <v>24</v>
      </c>
      <c r="D5" s="814" t="s">
        <v>67</v>
      </c>
      <c r="E5" s="815"/>
      <c r="F5" s="815"/>
      <c r="G5" s="816" t="s">
        <v>980</v>
      </c>
      <c r="H5" s="817"/>
      <c r="I5" s="818" t="s">
        <v>27</v>
      </c>
    </row>
    <row r="6" spans="1:9" ht="12.75" thickBot="1">
      <c r="A6" s="401"/>
      <c r="B6" s="435"/>
      <c r="C6" s="403"/>
      <c r="D6" s="396" t="s">
        <v>18</v>
      </c>
      <c r="E6" s="396" t="s">
        <v>43</v>
      </c>
      <c r="F6" s="396" t="s">
        <v>44</v>
      </c>
      <c r="G6" s="396" t="s">
        <v>43</v>
      </c>
      <c r="H6" s="630" t="s">
        <v>45</v>
      </c>
      <c r="I6" s="819"/>
    </row>
    <row r="7" spans="1:9" ht="12.75" customHeight="1" thickTop="1">
      <c r="A7" s="454" t="s">
        <v>1044</v>
      </c>
      <c r="B7" s="455">
        <v>42978</v>
      </c>
      <c r="C7" s="386" t="s">
        <v>1045</v>
      </c>
      <c r="D7" s="456" t="s">
        <v>1046</v>
      </c>
      <c r="E7" s="456" t="s">
        <v>1047</v>
      </c>
      <c r="F7" s="456" t="s">
        <v>1048</v>
      </c>
      <c r="G7" s="456" t="s">
        <v>1049</v>
      </c>
      <c r="H7" s="631" t="s">
        <v>1047</v>
      </c>
      <c r="I7" s="747"/>
    </row>
    <row r="8" spans="1:9" ht="12.75" customHeight="1">
      <c r="A8" s="398"/>
      <c r="B8" s="436"/>
      <c r="C8" s="404"/>
      <c r="D8" s="397"/>
      <c r="E8" s="397"/>
      <c r="F8" s="397"/>
      <c r="G8" s="397"/>
      <c r="H8" s="632"/>
      <c r="I8" s="748"/>
    </row>
    <row r="9" spans="1:9">
      <c r="A9" s="399"/>
      <c r="B9" s="437"/>
      <c r="C9" s="383"/>
      <c r="D9" s="394"/>
      <c r="E9" s="394"/>
      <c r="F9" s="394"/>
      <c r="G9" s="394"/>
      <c r="H9" s="405"/>
      <c r="I9" s="749"/>
    </row>
    <row r="10" spans="1:9">
      <c r="A10" s="399"/>
      <c r="B10" s="437"/>
      <c r="C10" s="383"/>
      <c r="D10" s="394"/>
      <c r="E10" s="394"/>
      <c r="F10" s="394"/>
      <c r="G10" s="394"/>
      <c r="H10" s="405"/>
      <c r="I10" s="749"/>
    </row>
    <row r="11" spans="1:9">
      <c r="A11" s="399"/>
      <c r="B11" s="437"/>
      <c r="C11" s="383"/>
      <c r="D11" s="394"/>
      <c r="E11" s="394"/>
      <c r="F11" s="394"/>
      <c r="G11" s="394"/>
      <c r="H11" s="405"/>
      <c r="I11" s="749"/>
    </row>
    <row r="12" spans="1:9">
      <c r="A12" s="399"/>
      <c r="B12" s="437"/>
      <c r="C12" s="383"/>
      <c r="D12" s="394"/>
      <c r="E12" s="394"/>
      <c r="F12" s="394"/>
      <c r="G12" s="394"/>
      <c r="H12" s="405"/>
      <c r="I12" s="749"/>
    </row>
    <row r="13" spans="1:9">
      <c r="A13" s="399"/>
      <c r="B13" s="437"/>
      <c r="C13" s="383"/>
      <c r="D13" s="394"/>
      <c r="E13" s="394"/>
      <c r="F13" s="394"/>
      <c r="G13" s="394"/>
      <c r="H13" s="405"/>
      <c r="I13" s="749"/>
    </row>
    <row r="14" spans="1:9">
      <c r="A14" s="399"/>
      <c r="B14" s="437"/>
      <c r="C14" s="383"/>
      <c r="D14" s="394"/>
      <c r="E14" s="394"/>
      <c r="F14" s="394"/>
      <c r="G14" s="394"/>
      <c r="H14" s="405"/>
      <c r="I14" s="749"/>
    </row>
    <row r="15" spans="1:9">
      <c r="A15" s="399"/>
      <c r="B15" s="437"/>
      <c r="C15" s="383"/>
      <c r="D15" s="394"/>
      <c r="E15" s="394"/>
      <c r="F15" s="394"/>
      <c r="G15" s="394"/>
      <c r="H15" s="405"/>
      <c r="I15" s="749"/>
    </row>
    <row r="16" spans="1:9">
      <c r="A16" s="399"/>
      <c r="B16" s="437"/>
      <c r="C16" s="383"/>
      <c r="D16" s="394"/>
      <c r="E16" s="394"/>
      <c r="F16" s="394"/>
      <c r="G16" s="394"/>
      <c r="H16" s="405"/>
      <c r="I16" s="749"/>
    </row>
    <row r="17" spans="1:9">
      <c r="A17" s="399"/>
      <c r="B17" s="437"/>
      <c r="C17" s="383"/>
      <c r="D17" s="394"/>
      <c r="E17" s="394"/>
      <c r="F17" s="394"/>
      <c r="G17" s="394"/>
      <c r="H17" s="405"/>
      <c r="I17" s="749"/>
    </row>
    <row r="18" spans="1:9">
      <c r="A18" s="399"/>
      <c r="B18" s="437"/>
      <c r="C18" s="383"/>
      <c r="D18" s="394"/>
      <c r="E18" s="394"/>
      <c r="F18" s="394"/>
      <c r="G18" s="394"/>
      <c r="H18" s="405"/>
      <c r="I18" s="749"/>
    </row>
    <row r="19" spans="1:9">
      <c r="A19" s="399"/>
      <c r="B19" s="437"/>
      <c r="C19" s="383"/>
      <c r="D19" s="394"/>
      <c r="E19" s="394"/>
      <c r="F19" s="394"/>
      <c r="G19" s="394"/>
      <c r="H19" s="405"/>
      <c r="I19" s="749"/>
    </row>
    <row r="20" spans="1:9">
      <c r="A20" s="399"/>
      <c r="B20" s="437"/>
      <c r="C20" s="383"/>
      <c r="D20" s="394"/>
      <c r="E20" s="394"/>
      <c r="F20" s="394"/>
      <c r="G20" s="394"/>
      <c r="H20" s="405"/>
      <c r="I20" s="749"/>
    </row>
    <row r="21" spans="1:9">
      <c r="A21" s="399"/>
      <c r="B21" s="437"/>
      <c r="C21" s="383"/>
      <c r="D21" s="394"/>
      <c r="E21" s="394"/>
      <c r="F21" s="394"/>
      <c r="G21" s="394"/>
      <c r="H21" s="405"/>
      <c r="I21" s="749"/>
    </row>
    <row r="22" spans="1:9">
      <c r="A22" s="399"/>
      <c r="B22" s="437"/>
      <c r="C22" s="383"/>
      <c r="D22" s="394"/>
      <c r="E22" s="394"/>
      <c r="F22" s="394"/>
      <c r="G22" s="394"/>
      <c r="H22" s="405"/>
      <c r="I22" s="749"/>
    </row>
    <row r="23" spans="1:9">
      <c r="A23" s="399"/>
      <c r="B23" s="437"/>
      <c r="C23" s="383"/>
      <c r="D23" s="394"/>
      <c r="E23" s="394"/>
      <c r="F23" s="394"/>
      <c r="G23" s="394"/>
      <c r="H23" s="405"/>
      <c r="I23" s="749"/>
    </row>
    <row r="24" spans="1:9">
      <c r="A24" s="399"/>
      <c r="B24" s="437"/>
      <c r="C24" s="383"/>
      <c r="D24" s="394"/>
      <c r="E24" s="394"/>
      <c r="F24" s="394"/>
      <c r="G24" s="394"/>
      <c r="H24" s="405"/>
      <c r="I24" s="749"/>
    </row>
    <row r="25" spans="1:9">
      <c r="A25" s="399"/>
      <c r="B25" s="437"/>
      <c r="C25" s="383"/>
      <c r="D25" s="394"/>
      <c r="E25" s="394"/>
      <c r="F25" s="394"/>
      <c r="G25" s="394"/>
      <c r="H25" s="405"/>
      <c r="I25" s="749"/>
    </row>
    <row r="26" spans="1:9">
      <c r="A26" s="399"/>
      <c r="B26" s="437"/>
      <c r="C26" s="383"/>
      <c r="D26" s="394"/>
      <c r="E26" s="394"/>
      <c r="F26" s="394"/>
      <c r="G26" s="394"/>
      <c r="H26" s="405"/>
      <c r="I26" s="749"/>
    </row>
    <row r="27" spans="1:9">
      <c r="A27" s="399"/>
      <c r="B27" s="437"/>
      <c r="C27" s="383"/>
      <c r="D27" s="394"/>
      <c r="E27" s="394"/>
      <c r="F27" s="394"/>
      <c r="G27" s="394"/>
      <c r="H27" s="405"/>
      <c r="I27" s="749"/>
    </row>
    <row r="28" spans="1:9">
      <c r="A28" s="399"/>
      <c r="B28" s="437"/>
      <c r="C28" s="383"/>
      <c r="D28" s="405"/>
      <c r="E28" s="405"/>
      <c r="F28" s="405"/>
      <c r="G28" s="405"/>
      <c r="H28" s="405"/>
      <c r="I28" s="749"/>
    </row>
    <row r="29" spans="1:9">
      <c r="A29" s="399"/>
      <c r="B29" s="437"/>
      <c r="C29" s="383"/>
      <c r="D29" s="394"/>
      <c r="E29" s="394"/>
      <c r="F29" s="394"/>
      <c r="G29" s="394"/>
      <c r="H29" s="405"/>
      <c r="I29" s="749"/>
    </row>
    <row r="30" spans="1:9">
      <c r="A30" s="399"/>
      <c r="B30" s="437"/>
      <c r="C30" s="383"/>
      <c r="D30" s="394"/>
      <c r="E30" s="394"/>
      <c r="F30" s="394"/>
      <c r="G30" s="394"/>
      <c r="H30" s="405"/>
      <c r="I30" s="749"/>
    </row>
    <row r="31" spans="1:9">
      <c r="A31" s="399"/>
      <c r="B31" s="437"/>
      <c r="C31" s="383"/>
      <c r="D31" s="394"/>
      <c r="E31" s="394"/>
      <c r="F31" s="394"/>
      <c r="G31" s="394"/>
      <c r="H31" s="405"/>
      <c r="I31" s="749"/>
    </row>
    <row r="32" spans="1:9">
      <c r="A32" s="399"/>
      <c r="B32" s="437"/>
      <c r="C32" s="383"/>
      <c r="D32" s="394"/>
      <c r="E32" s="394"/>
      <c r="F32" s="394"/>
      <c r="G32" s="394"/>
      <c r="H32" s="405"/>
      <c r="I32" s="749"/>
    </row>
    <row r="33" spans="1:9">
      <c r="A33" s="399"/>
      <c r="B33" s="437"/>
      <c r="C33" s="383"/>
      <c r="D33" s="394"/>
      <c r="E33" s="394"/>
      <c r="F33" s="394"/>
      <c r="G33" s="394"/>
      <c r="H33" s="405"/>
      <c r="I33" s="749"/>
    </row>
    <row r="34" spans="1:9">
      <c r="A34" s="399"/>
      <c r="B34" s="437"/>
      <c r="C34" s="383"/>
      <c r="D34" s="394"/>
      <c r="E34" s="394"/>
      <c r="F34" s="394"/>
      <c r="G34" s="394"/>
      <c r="H34" s="405"/>
      <c r="I34" s="749"/>
    </row>
    <row r="35" spans="1:9">
      <c r="A35" s="399"/>
      <c r="B35" s="437"/>
      <c r="C35" s="383"/>
      <c r="D35" s="394"/>
      <c r="E35" s="394"/>
      <c r="F35" s="394"/>
      <c r="G35" s="394"/>
      <c r="H35" s="405"/>
      <c r="I35" s="749"/>
    </row>
    <row r="36" spans="1:9">
      <c r="A36" s="399"/>
      <c r="B36" s="437"/>
      <c r="C36" s="383"/>
      <c r="D36" s="394"/>
      <c r="E36" s="394"/>
      <c r="F36" s="394"/>
      <c r="G36" s="394"/>
      <c r="H36" s="405"/>
      <c r="I36" s="749"/>
    </row>
    <row r="37" spans="1:9">
      <c r="A37" s="399"/>
      <c r="B37" s="437"/>
      <c r="C37" s="383"/>
      <c r="D37" s="394"/>
      <c r="E37" s="394"/>
      <c r="F37" s="394"/>
      <c r="G37" s="394"/>
      <c r="H37" s="405"/>
      <c r="I37" s="749"/>
    </row>
    <row r="38" spans="1:9">
      <c r="A38" s="399"/>
      <c r="B38" s="437"/>
      <c r="C38" s="383"/>
      <c r="D38" s="394"/>
      <c r="E38" s="394"/>
      <c r="F38" s="394"/>
      <c r="G38" s="394"/>
      <c r="H38" s="405"/>
      <c r="I38" s="749"/>
    </row>
    <row r="39" spans="1:9">
      <c r="A39" s="399"/>
      <c r="B39" s="437"/>
      <c r="C39" s="383"/>
      <c r="D39" s="394"/>
      <c r="E39" s="394"/>
      <c r="F39" s="394"/>
      <c r="G39" s="394"/>
      <c r="H39" s="405"/>
      <c r="I39" s="749"/>
    </row>
    <row r="40" spans="1:9">
      <c r="A40" s="399"/>
      <c r="B40" s="437"/>
      <c r="C40" s="383"/>
      <c r="D40" s="394"/>
      <c r="E40" s="394"/>
      <c r="F40" s="394"/>
      <c r="G40" s="394"/>
      <c r="H40" s="405"/>
      <c r="I40" s="749"/>
    </row>
    <row r="41" spans="1:9">
      <c r="A41" s="399"/>
      <c r="B41" s="437"/>
      <c r="C41" s="383"/>
      <c r="D41" s="394"/>
      <c r="E41" s="394"/>
      <c r="F41" s="394"/>
      <c r="G41" s="394"/>
      <c r="H41" s="405"/>
      <c r="I41" s="749"/>
    </row>
    <row r="42" spans="1:9">
      <c r="A42" s="399"/>
      <c r="B42" s="437"/>
      <c r="C42" s="383"/>
      <c r="D42" s="394"/>
      <c r="E42" s="394"/>
      <c r="F42" s="394"/>
      <c r="G42" s="394"/>
      <c r="H42" s="405"/>
      <c r="I42" s="749"/>
    </row>
    <row r="43" spans="1:9">
      <c r="A43" s="399"/>
      <c r="B43" s="437"/>
      <c r="C43" s="383"/>
      <c r="D43" s="394"/>
      <c r="E43" s="394"/>
      <c r="F43" s="394"/>
      <c r="G43" s="394"/>
      <c r="H43" s="405"/>
      <c r="I43" s="749"/>
    </row>
    <row r="44" spans="1:9">
      <c r="A44" s="399"/>
      <c r="B44" s="437"/>
      <c r="C44" s="383"/>
      <c r="D44" s="394"/>
      <c r="E44" s="394"/>
      <c r="F44" s="394"/>
      <c r="G44" s="394"/>
      <c r="H44" s="405"/>
      <c r="I44" s="749"/>
    </row>
    <row r="45" spans="1:9">
      <c r="A45" s="399"/>
      <c r="B45" s="437"/>
      <c r="C45" s="383"/>
      <c r="D45" s="394"/>
      <c r="E45" s="394"/>
      <c r="F45" s="394"/>
      <c r="G45" s="394"/>
      <c r="H45" s="405"/>
      <c r="I45" s="749"/>
    </row>
    <row r="46" spans="1:9">
      <c r="A46" s="399"/>
      <c r="B46" s="437"/>
      <c r="C46" s="383"/>
      <c r="D46" s="394"/>
      <c r="E46" s="394"/>
      <c r="F46" s="394"/>
      <c r="G46" s="394"/>
      <c r="H46" s="405"/>
      <c r="I46" s="749"/>
    </row>
    <row r="47" spans="1:9" ht="12.75" thickBot="1">
      <c r="A47" s="402"/>
      <c r="B47" s="438"/>
      <c r="C47" s="382"/>
      <c r="D47" s="395"/>
      <c r="E47" s="395"/>
      <c r="F47" s="395"/>
      <c r="G47" s="395"/>
      <c r="H47" s="633"/>
      <c r="I47" s="750"/>
    </row>
  </sheetData>
  <mergeCells count="3">
    <mergeCell ref="D5:F5"/>
    <mergeCell ref="G5:H5"/>
    <mergeCell ref="I5:I6"/>
  </mergeCells>
  <phoneticPr fontId="3"/>
  <dataValidations count="1">
    <dataValidation imeMode="off" allowBlank="1" showInputMessage="1" showErrorMessage="1" sqref="A7:B47"/>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AX26"/>
  <sheetViews>
    <sheetView showGridLines="0" zoomScaleNormal="100" zoomScaleSheetLayoutView="90" workbookViewId="0">
      <selection activeCell="G21" sqref="G21:W21"/>
    </sheetView>
  </sheetViews>
  <sheetFormatPr defaultColWidth="9.33203125" defaultRowHeight="12"/>
  <cols>
    <col min="1" max="50" width="3.33203125" style="79" customWidth="1"/>
    <col min="51" max="51" width="1.5" style="79" customWidth="1"/>
    <col min="52" max="16384" width="9.33203125" style="79"/>
  </cols>
  <sheetData>
    <row r="1" spans="1:50" ht="12" customHeight="1"/>
    <row r="2" spans="1:50" ht="12" customHeight="1"/>
    <row r="3" spans="1:50" ht="12.75" customHeight="1"/>
    <row r="5" spans="1:50" ht="12.75" thickBot="1">
      <c r="A5" s="751" t="s">
        <v>1315</v>
      </c>
      <c r="B5" s="752"/>
      <c r="C5" s="752"/>
      <c r="D5" s="752"/>
      <c r="E5" s="752"/>
      <c r="F5" s="752"/>
      <c r="G5" s="752"/>
      <c r="H5" s="752"/>
      <c r="I5" s="752"/>
      <c r="J5" s="752"/>
      <c r="K5" s="752"/>
      <c r="L5" s="752"/>
      <c r="M5" s="752"/>
      <c r="N5" s="752"/>
      <c r="O5" s="752"/>
      <c r="P5" s="752"/>
      <c r="Q5" s="752"/>
      <c r="R5" s="752"/>
      <c r="S5" s="752"/>
      <c r="T5" s="752"/>
      <c r="U5" s="752"/>
      <c r="V5" s="752"/>
      <c r="W5" s="752"/>
      <c r="X5" s="753"/>
      <c r="Y5" s="753"/>
      <c r="Z5" s="753"/>
      <c r="AA5" s="753"/>
      <c r="AB5" s="754"/>
      <c r="AC5" s="754"/>
      <c r="AD5" s="754"/>
      <c r="AE5" s="754"/>
      <c r="AF5" s="754"/>
      <c r="AG5" s="754"/>
      <c r="AH5" s="754"/>
      <c r="AI5" s="754"/>
      <c r="AJ5" s="752"/>
      <c r="AK5" s="752"/>
      <c r="AL5" s="752"/>
      <c r="AM5" s="752"/>
      <c r="AN5" s="755"/>
      <c r="AO5" s="755"/>
      <c r="AP5" s="755"/>
      <c r="AQ5" s="755"/>
      <c r="AR5" s="752"/>
      <c r="AS5" s="752"/>
      <c r="AT5" s="752"/>
      <c r="AU5" s="752"/>
      <c r="AV5" s="752"/>
      <c r="AW5" s="752"/>
      <c r="AX5" s="752"/>
    </row>
    <row r="6" spans="1:50" ht="12.75" thickBot="1">
      <c r="A6" s="845" t="s">
        <v>1328</v>
      </c>
      <c r="B6" s="846"/>
      <c r="C6" s="847" t="s">
        <v>1317</v>
      </c>
      <c r="D6" s="847"/>
      <c r="E6" s="847"/>
      <c r="F6" s="847"/>
      <c r="G6" s="847"/>
      <c r="H6" s="847"/>
      <c r="I6" s="847" t="s">
        <v>1318</v>
      </c>
      <c r="J6" s="847"/>
      <c r="K6" s="847"/>
      <c r="L6" s="847"/>
      <c r="M6" s="847"/>
      <c r="N6" s="847"/>
      <c r="O6" s="847"/>
      <c r="P6" s="847"/>
      <c r="Q6" s="847"/>
      <c r="R6" s="847"/>
      <c r="S6" s="847"/>
      <c r="T6" s="847"/>
      <c r="U6" s="847"/>
      <c r="V6" s="847"/>
      <c r="W6" s="820" t="s">
        <v>1319</v>
      </c>
      <c r="X6" s="821"/>
      <c r="Y6" s="821"/>
      <c r="Z6" s="821"/>
      <c r="AA6" s="821"/>
      <c r="AB6" s="821"/>
      <c r="AC6" s="821"/>
      <c r="AD6" s="821"/>
      <c r="AE6" s="821"/>
      <c r="AF6" s="821"/>
      <c r="AG6" s="821"/>
      <c r="AH6" s="821"/>
      <c r="AI6" s="821"/>
      <c r="AJ6" s="821"/>
      <c r="AK6" s="821"/>
      <c r="AL6" s="822"/>
      <c r="AM6" s="823" t="s">
        <v>27</v>
      </c>
      <c r="AN6" s="824"/>
      <c r="AO6" s="824"/>
      <c r="AP6" s="824"/>
      <c r="AQ6" s="824"/>
      <c r="AR6" s="824"/>
      <c r="AS6" s="824"/>
      <c r="AT6" s="824"/>
      <c r="AU6" s="824"/>
      <c r="AV6" s="824"/>
      <c r="AW6" s="824"/>
      <c r="AX6" s="825"/>
    </row>
    <row r="7" spans="1:50" ht="12.75" customHeight="1" thickTop="1">
      <c r="A7" s="826">
        <v>1</v>
      </c>
      <c r="B7" s="827"/>
      <c r="C7" s="830">
        <v>42988</v>
      </c>
      <c r="D7" s="827"/>
      <c r="E7" s="827"/>
      <c r="F7" s="827"/>
      <c r="G7" s="827"/>
      <c r="H7" s="827"/>
      <c r="I7" s="831" t="s">
        <v>1320</v>
      </c>
      <c r="J7" s="831"/>
      <c r="K7" s="831"/>
      <c r="L7" s="831"/>
      <c r="M7" s="831"/>
      <c r="N7" s="831"/>
      <c r="O7" s="831"/>
      <c r="P7" s="831"/>
      <c r="Q7" s="831"/>
      <c r="R7" s="831"/>
      <c r="S7" s="831"/>
      <c r="T7" s="831"/>
      <c r="U7" s="831"/>
      <c r="V7" s="831"/>
      <c r="W7" s="833" t="s">
        <v>1329</v>
      </c>
      <c r="X7" s="834"/>
      <c r="Y7" s="834"/>
      <c r="Z7" s="834"/>
      <c r="AA7" s="834"/>
      <c r="AB7" s="834"/>
      <c r="AC7" s="834"/>
      <c r="AD7" s="834"/>
      <c r="AE7" s="834"/>
      <c r="AF7" s="834"/>
      <c r="AG7" s="834"/>
      <c r="AH7" s="834"/>
      <c r="AI7" s="834"/>
      <c r="AJ7" s="834"/>
      <c r="AK7" s="834"/>
      <c r="AL7" s="835"/>
      <c r="AM7" s="836"/>
      <c r="AN7" s="837"/>
      <c r="AO7" s="837"/>
      <c r="AP7" s="837"/>
      <c r="AQ7" s="837"/>
      <c r="AR7" s="837"/>
      <c r="AS7" s="837"/>
      <c r="AT7" s="837"/>
      <c r="AU7" s="837"/>
      <c r="AV7" s="837"/>
      <c r="AW7" s="837"/>
      <c r="AX7" s="838"/>
    </row>
    <row r="8" spans="1:50">
      <c r="A8" s="828"/>
      <c r="B8" s="829"/>
      <c r="C8" s="829"/>
      <c r="D8" s="829"/>
      <c r="E8" s="829"/>
      <c r="F8" s="829"/>
      <c r="G8" s="829"/>
      <c r="H8" s="829"/>
      <c r="I8" s="832"/>
      <c r="J8" s="832"/>
      <c r="K8" s="832"/>
      <c r="L8" s="832"/>
      <c r="M8" s="832"/>
      <c r="N8" s="832"/>
      <c r="O8" s="832"/>
      <c r="P8" s="832"/>
      <c r="Q8" s="832"/>
      <c r="R8" s="832"/>
      <c r="S8" s="832"/>
      <c r="T8" s="832"/>
      <c r="U8" s="832"/>
      <c r="V8" s="832"/>
      <c r="W8" s="842" t="s">
        <v>1330</v>
      </c>
      <c r="X8" s="843"/>
      <c r="Y8" s="843"/>
      <c r="Z8" s="843"/>
      <c r="AA8" s="843"/>
      <c r="AB8" s="843"/>
      <c r="AC8" s="843"/>
      <c r="AD8" s="843"/>
      <c r="AE8" s="843"/>
      <c r="AF8" s="843"/>
      <c r="AG8" s="843"/>
      <c r="AH8" s="843"/>
      <c r="AI8" s="843"/>
      <c r="AJ8" s="843"/>
      <c r="AK8" s="843"/>
      <c r="AL8" s="844"/>
      <c r="AM8" s="839"/>
      <c r="AN8" s="840"/>
      <c r="AO8" s="840"/>
      <c r="AP8" s="840"/>
      <c r="AQ8" s="840"/>
      <c r="AR8" s="840"/>
      <c r="AS8" s="840"/>
      <c r="AT8" s="840"/>
      <c r="AU8" s="840"/>
      <c r="AV8" s="840"/>
      <c r="AW8" s="840"/>
      <c r="AX8" s="841"/>
    </row>
    <row r="9" spans="1:50">
      <c r="A9" s="828"/>
      <c r="B9" s="829"/>
      <c r="C9" s="829"/>
      <c r="D9" s="829"/>
      <c r="E9" s="829"/>
      <c r="F9" s="829"/>
      <c r="G9" s="829"/>
      <c r="H9" s="829"/>
      <c r="I9" s="832"/>
      <c r="J9" s="832"/>
      <c r="K9" s="832"/>
      <c r="L9" s="832"/>
      <c r="M9" s="832"/>
      <c r="N9" s="832"/>
      <c r="O9" s="832"/>
      <c r="P9" s="832"/>
      <c r="Q9" s="832"/>
      <c r="R9" s="832"/>
      <c r="S9" s="832"/>
      <c r="T9" s="832"/>
      <c r="U9" s="832"/>
      <c r="V9" s="832"/>
      <c r="W9" s="842" t="s">
        <v>1331</v>
      </c>
      <c r="X9" s="843"/>
      <c r="Y9" s="843"/>
      <c r="Z9" s="843"/>
      <c r="AA9" s="843"/>
      <c r="AB9" s="843"/>
      <c r="AC9" s="843"/>
      <c r="AD9" s="843"/>
      <c r="AE9" s="843"/>
      <c r="AF9" s="843"/>
      <c r="AG9" s="843"/>
      <c r="AH9" s="843"/>
      <c r="AI9" s="843"/>
      <c r="AJ9" s="843"/>
      <c r="AK9" s="843"/>
      <c r="AL9" s="844"/>
      <c r="AM9" s="839"/>
      <c r="AN9" s="840"/>
      <c r="AO9" s="840"/>
      <c r="AP9" s="840"/>
      <c r="AQ9" s="840"/>
      <c r="AR9" s="840"/>
      <c r="AS9" s="840"/>
      <c r="AT9" s="840"/>
      <c r="AU9" s="840"/>
      <c r="AV9" s="840"/>
      <c r="AW9" s="840"/>
      <c r="AX9" s="841"/>
    </row>
    <row r="10" spans="1:50">
      <c r="A10" s="828"/>
      <c r="B10" s="829"/>
      <c r="C10" s="850"/>
      <c r="D10" s="829"/>
      <c r="E10" s="829"/>
      <c r="F10" s="829"/>
      <c r="G10" s="829"/>
      <c r="H10" s="829"/>
      <c r="I10" s="832"/>
      <c r="J10" s="832"/>
      <c r="K10" s="832"/>
      <c r="L10" s="832"/>
      <c r="M10" s="832"/>
      <c r="N10" s="832"/>
      <c r="O10" s="832"/>
      <c r="P10" s="832"/>
      <c r="Q10" s="832"/>
      <c r="R10" s="832"/>
      <c r="S10" s="832"/>
      <c r="T10" s="832"/>
      <c r="U10" s="832"/>
      <c r="V10" s="832"/>
      <c r="W10" s="852"/>
      <c r="X10" s="853"/>
      <c r="Y10" s="853"/>
      <c r="Z10" s="853"/>
      <c r="AA10" s="853"/>
      <c r="AB10" s="853"/>
      <c r="AC10" s="853"/>
      <c r="AD10" s="853"/>
      <c r="AE10" s="853"/>
      <c r="AF10" s="853"/>
      <c r="AG10" s="853"/>
      <c r="AH10" s="853"/>
      <c r="AI10" s="853"/>
      <c r="AJ10" s="853"/>
      <c r="AK10" s="853"/>
      <c r="AL10" s="854"/>
      <c r="AM10" s="839"/>
      <c r="AN10" s="840"/>
      <c r="AO10" s="840"/>
      <c r="AP10" s="840"/>
      <c r="AQ10" s="840"/>
      <c r="AR10" s="840"/>
      <c r="AS10" s="840"/>
      <c r="AT10" s="840"/>
      <c r="AU10" s="840"/>
      <c r="AV10" s="840"/>
      <c r="AW10" s="840"/>
      <c r="AX10" s="841"/>
    </row>
    <row r="11" spans="1:50">
      <c r="A11" s="828"/>
      <c r="B11" s="829"/>
      <c r="C11" s="829"/>
      <c r="D11" s="829"/>
      <c r="E11" s="829"/>
      <c r="F11" s="829"/>
      <c r="G11" s="829"/>
      <c r="H11" s="829"/>
      <c r="I11" s="832"/>
      <c r="J11" s="832"/>
      <c r="K11" s="832"/>
      <c r="L11" s="832"/>
      <c r="M11" s="832"/>
      <c r="N11" s="832"/>
      <c r="O11" s="832"/>
      <c r="P11" s="832"/>
      <c r="Q11" s="832"/>
      <c r="R11" s="832"/>
      <c r="S11" s="832"/>
      <c r="T11" s="832"/>
      <c r="U11" s="832"/>
      <c r="V11" s="832"/>
      <c r="W11" s="842"/>
      <c r="X11" s="843"/>
      <c r="Y11" s="843"/>
      <c r="Z11" s="843"/>
      <c r="AA11" s="843"/>
      <c r="AB11" s="843"/>
      <c r="AC11" s="843"/>
      <c r="AD11" s="843"/>
      <c r="AE11" s="843"/>
      <c r="AF11" s="843"/>
      <c r="AG11" s="843"/>
      <c r="AH11" s="843"/>
      <c r="AI11" s="843"/>
      <c r="AJ11" s="843"/>
      <c r="AK11" s="843"/>
      <c r="AL11" s="844"/>
      <c r="AM11" s="839"/>
      <c r="AN11" s="840"/>
      <c r="AO11" s="840"/>
      <c r="AP11" s="840"/>
      <c r="AQ11" s="840"/>
      <c r="AR11" s="840"/>
      <c r="AS11" s="840"/>
      <c r="AT11" s="840"/>
      <c r="AU11" s="840"/>
      <c r="AV11" s="840"/>
      <c r="AW11" s="840"/>
      <c r="AX11" s="841"/>
    </row>
    <row r="12" spans="1:50" ht="12.75" thickBot="1">
      <c r="A12" s="848"/>
      <c r="B12" s="849"/>
      <c r="C12" s="849"/>
      <c r="D12" s="849"/>
      <c r="E12" s="849"/>
      <c r="F12" s="849"/>
      <c r="G12" s="849"/>
      <c r="H12" s="849"/>
      <c r="I12" s="851"/>
      <c r="J12" s="851"/>
      <c r="K12" s="851"/>
      <c r="L12" s="851"/>
      <c r="M12" s="851"/>
      <c r="N12" s="851"/>
      <c r="O12" s="851"/>
      <c r="P12" s="851"/>
      <c r="Q12" s="851"/>
      <c r="R12" s="851"/>
      <c r="S12" s="851"/>
      <c r="T12" s="851"/>
      <c r="U12" s="851"/>
      <c r="V12" s="851"/>
      <c r="W12" s="858"/>
      <c r="X12" s="859"/>
      <c r="Y12" s="859"/>
      <c r="Z12" s="859"/>
      <c r="AA12" s="859"/>
      <c r="AB12" s="859"/>
      <c r="AC12" s="859"/>
      <c r="AD12" s="859"/>
      <c r="AE12" s="859"/>
      <c r="AF12" s="859"/>
      <c r="AG12" s="859"/>
      <c r="AH12" s="859"/>
      <c r="AI12" s="859"/>
      <c r="AJ12" s="859"/>
      <c r="AK12" s="859"/>
      <c r="AL12" s="860"/>
      <c r="AM12" s="855"/>
      <c r="AN12" s="856"/>
      <c r="AO12" s="856"/>
      <c r="AP12" s="856"/>
      <c r="AQ12" s="856"/>
      <c r="AR12" s="856"/>
      <c r="AS12" s="856"/>
      <c r="AT12" s="856"/>
      <c r="AU12" s="856"/>
      <c r="AV12" s="856"/>
      <c r="AW12" s="856"/>
      <c r="AX12" s="857"/>
    </row>
    <row r="13" spans="1:50">
      <c r="A13" s="756"/>
      <c r="B13" s="756"/>
      <c r="C13" s="756"/>
      <c r="D13" s="757"/>
      <c r="E13" s="757"/>
      <c r="F13" s="757"/>
      <c r="G13" s="757"/>
      <c r="H13" s="757"/>
      <c r="I13" s="757"/>
      <c r="J13" s="757"/>
      <c r="K13" s="757"/>
      <c r="L13" s="757"/>
      <c r="M13" s="757"/>
      <c r="N13" s="757"/>
      <c r="O13" s="757"/>
      <c r="P13" s="757"/>
      <c r="Q13" s="757"/>
      <c r="R13" s="757"/>
      <c r="S13" s="757"/>
      <c r="T13" s="757"/>
      <c r="U13" s="757"/>
      <c r="V13" s="757"/>
      <c r="W13" s="757"/>
      <c r="X13" s="758"/>
      <c r="Y13" s="758"/>
      <c r="Z13" s="758"/>
      <c r="AA13" s="758"/>
      <c r="AB13" s="758"/>
      <c r="AC13" s="758"/>
      <c r="AD13" s="758"/>
      <c r="AE13" s="758"/>
      <c r="AF13" s="758"/>
      <c r="AG13" s="758"/>
      <c r="AH13" s="758"/>
      <c r="AI13" s="758"/>
      <c r="AJ13" s="758"/>
      <c r="AK13" s="758"/>
      <c r="AL13" s="758"/>
      <c r="AM13" s="758"/>
      <c r="AN13" s="758"/>
      <c r="AO13" s="758"/>
      <c r="AP13" s="758"/>
      <c r="AQ13" s="758"/>
      <c r="AR13" s="757"/>
      <c r="AS13" s="757"/>
      <c r="AT13" s="757"/>
      <c r="AU13" s="757"/>
      <c r="AV13" s="757"/>
      <c r="AW13" s="757"/>
      <c r="AX13" s="757"/>
    </row>
    <row r="14" spans="1:50" ht="12.75" thickBot="1">
      <c r="A14" s="751" t="s">
        <v>1321</v>
      </c>
      <c r="B14" s="756"/>
      <c r="C14" s="756"/>
      <c r="D14" s="757"/>
      <c r="E14" s="757"/>
      <c r="F14" s="757"/>
      <c r="G14" s="757"/>
      <c r="H14" s="757"/>
      <c r="I14" s="757"/>
      <c r="J14" s="757"/>
      <c r="K14" s="757"/>
      <c r="L14" s="757"/>
      <c r="M14" s="757"/>
      <c r="N14" s="757"/>
      <c r="O14" s="757"/>
      <c r="P14" s="757"/>
      <c r="Q14" s="757"/>
      <c r="R14" s="757"/>
      <c r="S14" s="757"/>
      <c r="T14" s="757"/>
      <c r="U14" s="757"/>
      <c r="V14" s="757"/>
      <c r="W14" s="757"/>
      <c r="X14" s="758"/>
      <c r="Y14" s="758"/>
      <c r="Z14" s="758"/>
      <c r="AA14" s="758"/>
      <c r="AB14" s="758"/>
      <c r="AC14" s="758"/>
      <c r="AD14" s="758"/>
      <c r="AE14" s="758"/>
      <c r="AF14" s="758"/>
      <c r="AG14" s="758"/>
      <c r="AH14" s="758"/>
      <c r="AI14" s="758"/>
      <c r="AJ14" s="758"/>
      <c r="AK14" s="758"/>
      <c r="AL14" s="758"/>
      <c r="AM14" s="758"/>
      <c r="AN14" s="758"/>
      <c r="AO14" s="758"/>
      <c r="AP14" s="758"/>
      <c r="AQ14" s="758"/>
      <c r="AR14" s="757"/>
      <c r="AS14" s="757"/>
      <c r="AT14" s="757"/>
      <c r="AU14" s="757"/>
      <c r="AV14" s="757"/>
      <c r="AW14" s="757"/>
      <c r="AX14" s="757"/>
    </row>
    <row r="15" spans="1:50">
      <c r="A15" s="861" t="s">
        <v>1316</v>
      </c>
      <c r="B15" s="862"/>
      <c r="C15" s="862" t="s">
        <v>1322</v>
      </c>
      <c r="D15" s="862"/>
      <c r="E15" s="862"/>
      <c r="F15" s="862"/>
      <c r="G15" s="862"/>
      <c r="H15" s="862"/>
      <c r="I15" s="862"/>
      <c r="J15" s="862"/>
      <c r="K15" s="862"/>
      <c r="L15" s="862"/>
      <c r="M15" s="862"/>
      <c r="N15" s="862"/>
      <c r="O15" s="862"/>
      <c r="P15" s="862"/>
      <c r="Q15" s="862"/>
      <c r="R15" s="862"/>
      <c r="S15" s="862"/>
      <c r="T15" s="862"/>
      <c r="U15" s="862"/>
      <c r="V15" s="862"/>
      <c r="W15" s="862"/>
      <c r="X15" s="862" t="s">
        <v>1323</v>
      </c>
      <c r="Y15" s="862"/>
      <c r="Z15" s="862"/>
      <c r="AA15" s="862"/>
      <c r="AB15" s="862"/>
      <c r="AC15" s="862"/>
      <c r="AD15" s="862"/>
      <c r="AE15" s="862"/>
      <c r="AF15" s="862"/>
      <c r="AG15" s="862"/>
      <c r="AH15" s="862"/>
      <c r="AI15" s="862"/>
      <c r="AJ15" s="862"/>
      <c r="AK15" s="862"/>
      <c r="AL15" s="862"/>
      <c r="AM15" s="862"/>
      <c r="AN15" s="862"/>
      <c r="AO15" s="862"/>
      <c r="AP15" s="862"/>
      <c r="AQ15" s="862"/>
      <c r="AR15" s="862"/>
      <c r="AS15" s="865" t="s">
        <v>1324</v>
      </c>
      <c r="AT15" s="865"/>
      <c r="AU15" s="865"/>
      <c r="AV15" s="865"/>
      <c r="AW15" s="865"/>
      <c r="AX15" s="866"/>
    </row>
    <row r="16" spans="1:50" ht="12.75" thickBot="1">
      <c r="A16" s="863"/>
      <c r="B16" s="864"/>
      <c r="C16" s="864" t="s">
        <v>1325</v>
      </c>
      <c r="D16" s="864"/>
      <c r="E16" s="864"/>
      <c r="F16" s="864"/>
      <c r="G16" s="864" t="s">
        <v>52</v>
      </c>
      <c r="H16" s="864"/>
      <c r="I16" s="864"/>
      <c r="J16" s="864"/>
      <c r="K16" s="864"/>
      <c r="L16" s="864"/>
      <c r="M16" s="864"/>
      <c r="N16" s="864"/>
      <c r="O16" s="864"/>
      <c r="P16" s="864"/>
      <c r="Q16" s="864"/>
      <c r="R16" s="864"/>
      <c r="S16" s="864"/>
      <c r="T16" s="864"/>
      <c r="U16" s="864"/>
      <c r="V16" s="864"/>
      <c r="W16" s="864"/>
      <c r="X16" s="864" t="s">
        <v>1325</v>
      </c>
      <c r="Y16" s="864"/>
      <c r="Z16" s="864"/>
      <c r="AA16" s="864"/>
      <c r="AB16" s="864" t="s">
        <v>52</v>
      </c>
      <c r="AC16" s="864"/>
      <c r="AD16" s="864"/>
      <c r="AE16" s="864"/>
      <c r="AF16" s="864"/>
      <c r="AG16" s="864"/>
      <c r="AH16" s="864"/>
      <c r="AI16" s="864"/>
      <c r="AJ16" s="864"/>
      <c r="AK16" s="864"/>
      <c r="AL16" s="864"/>
      <c r="AM16" s="864"/>
      <c r="AN16" s="864"/>
      <c r="AO16" s="864"/>
      <c r="AP16" s="864"/>
      <c r="AQ16" s="864"/>
      <c r="AR16" s="864"/>
      <c r="AS16" s="867"/>
      <c r="AT16" s="867"/>
      <c r="AU16" s="867"/>
      <c r="AV16" s="867"/>
      <c r="AW16" s="867"/>
      <c r="AX16" s="868"/>
    </row>
    <row r="17" spans="1:50" ht="24" customHeight="1" thickTop="1">
      <c r="A17" s="872">
        <v>1</v>
      </c>
      <c r="B17" s="873"/>
      <c r="C17" s="874" t="s">
        <v>1326</v>
      </c>
      <c r="D17" s="875"/>
      <c r="E17" s="875"/>
      <c r="F17" s="876"/>
      <c r="G17" s="877"/>
      <c r="H17" s="878"/>
      <c r="I17" s="878"/>
      <c r="J17" s="878"/>
      <c r="K17" s="878"/>
      <c r="L17" s="878"/>
      <c r="M17" s="878"/>
      <c r="N17" s="878"/>
      <c r="O17" s="878"/>
      <c r="P17" s="878"/>
      <c r="Q17" s="878"/>
      <c r="R17" s="878"/>
      <c r="S17" s="878"/>
      <c r="T17" s="878"/>
      <c r="U17" s="878"/>
      <c r="V17" s="878"/>
      <c r="W17" s="879"/>
      <c r="X17" s="880" t="s">
        <v>1327</v>
      </c>
      <c r="Y17" s="881"/>
      <c r="Z17" s="881"/>
      <c r="AA17" s="873"/>
      <c r="AB17" s="877"/>
      <c r="AC17" s="878"/>
      <c r="AD17" s="878"/>
      <c r="AE17" s="878"/>
      <c r="AF17" s="878"/>
      <c r="AG17" s="878"/>
      <c r="AH17" s="878"/>
      <c r="AI17" s="878"/>
      <c r="AJ17" s="878"/>
      <c r="AK17" s="878"/>
      <c r="AL17" s="878"/>
      <c r="AM17" s="878"/>
      <c r="AN17" s="878"/>
      <c r="AO17" s="878"/>
      <c r="AP17" s="878"/>
      <c r="AQ17" s="878"/>
      <c r="AR17" s="879"/>
      <c r="AS17" s="869">
        <v>42998</v>
      </c>
      <c r="AT17" s="870"/>
      <c r="AU17" s="870"/>
      <c r="AV17" s="870"/>
      <c r="AW17" s="870"/>
      <c r="AX17" s="871"/>
    </row>
    <row r="18" spans="1:50" ht="24" customHeight="1">
      <c r="A18" s="872"/>
      <c r="B18" s="873"/>
      <c r="C18" s="874"/>
      <c r="D18" s="875"/>
      <c r="E18" s="875"/>
      <c r="F18" s="876"/>
      <c r="G18" s="877"/>
      <c r="H18" s="878"/>
      <c r="I18" s="878"/>
      <c r="J18" s="878"/>
      <c r="K18" s="878"/>
      <c r="L18" s="878"/>
      <c r="M18" s="878"/>
      <c r="N18" s="878"/>
      <c r="O18" s="878"/>
      <c r="P18" s="878"/>
      <c r="Q18" s="878"/>
      <c r="R18" s="878"/>
      <c r="S18" s="878"/>
      <c r="T18" s="878"/>
      <c r="U18" s="878"/>
      <c r="V18" s="878"/>
      <c r="W18" s="879"/>
      <c r="X18" s="880"/>
      <c r="Y18" s="881"/>
      <c r="Z18" s="881"/>
      <c r="AA18" s="873"/>
      <c r="AB18" s="877"/>
      <c r="AC18" s="878"/>
      <c r="AD18" s="878"/>
      <c r="AE18" s="878"/>
      <c r="AF18" s="878"/>
      <c r="AG18" s="878"/>
      <c r="AH18" s="878"/>
      <c r="AI18" s="878"/>
      <c r="AJ18" s="878"/>
      <c r="AK18" s="878"/>
      <c r="AL18" s="878"/>
      <c r="AM18" s="878"/>
      <c r="AN18" s="878"/>
      <c r="AO18" s="878"/>
      <c r="AP18" s="878"/>
      <c r="AQ18" s="878"/>
      <c r="AR18" s="879"/>
      <c r="AS18" s="869"/>
      <c r="AT18" s="870"/>
      <c r="AU18" s="870"/>
      <c r="AV18" s="870"/>
      <c r="AW18" s="870"/>
      <c r="AX18" s="871"/>
    </row>
    <row r="19" spans="1:50" ht="24" customHeight="1">
      <c r="A19" s="872"/>
      <c r="B19" s="873"/>
      <c r="C19" s="874"/>
      <c r="D19" s="875"/>
      <c r="E19" s="875"/>
      <c r="F19" s="876"/>
      <c r="G19" s="877"/>
      <c r="H19" s="878"/>
      <c r="I19" s="878"/>
      <c r="J19" s="878"/>
      <c r="K19" s="878"/>
      <c r="L19" s="878"/>
      <c r="M19" s="878"/>
      <c r="N19" s="878"/>
      <c r="O19" s="878"/>
      <c r="P19" s="878"/>
      <c r="Q19" s="878"/>
      <c r="R19" s="878"/>
      <c r="S19" s="878"/>
      <c r="T19" s="878"/>
      <c r="U19" s="878"/>
      <c r="V19" s="878"/>
      <c r="W19" s="879"/>
      <c r="X19" s="880"/>
      <c r="Y19" s="881"/>
      <c r="Z19" s="881"/>
      <c r="AA19" s="873"/>
      <c r="AB19" s="877"/>
      <c r="AC19" s="878"/>
      <c r="AD19" s="878"/>
      <c r="AE19" s="878"/>
      <c r="AF19" s="878"/>
      <c r="AG19" s="878"/>
      <c r="AH19" s="878"/>
      <c r="AI19" s="878"/>
      <c r="AJ19" s="878"/>
      <c r="AK19" s="878"/>
      <c r="AL19" s="878"/>
      <c r="AM19" s="878"/>
      <c r="AN19" s="878"/>
      <c r="AO19" s="878"/>
      <c r="AP19" s="878"/>
      <c r="AQ19" s="878"/>
      <c r="AR19" s="879"/>
      <c r="AS19" s="869"/>
      <c r="AT19" s="870"/>
      <c r="AU19" s="870"/>
      <c r="AV19" s="870"/>
      <c r="AW19" s="870"/>
      <c r="AX19" s="871"/>
    </row>
    <row r="20" spans="1:50" ht="24" customHeight="1">
      <c r="A20" s="872"/>
      <c r="B20" s="873"/>
      <c r="C20" s="874"/>
      <c r="D20" s="875"/>
      <c r="E20" s="875"/>
      <c r="F20" s="876"/>
      <c r="G20" s="877"/>
      <c r="H20" s="878"/>
      <c r="I20" s="878"/>
      <c r="J20" s="878"/>
      <c r="K20" s="878"/>
      <c r="L20" s="878"/>
      <c r="M20" s="878"/>
      <c r="N20" s="878"/>
      <c r="O20" s="878"/>
      <c r="P20" s="878"/>
      <c r="Q20" s="878"/>
      <c r="R20" s="878"/>
      <c r="S20" s="878"/>
      <c r="T20" s="878"/>
      <c r="U20" s="878"/>
      <c r="V20" s="878"/>
      <c r="W20" s="879"/>
      <c r="X20" s="880"/>
      <c r="Y20" s="881"/>
      <c r="Z20" s="881"/>
      <c r="AA20" s="873"/>
      <c r="AB20" s="877"/>
      <c r="AC20" s="878"/>
      <c r="AD20" s="878"/>
      <c r="AE20" s="878"/>
      <c r="AF20" s="878"/>
      <c r="AG20" s="878"/>
      <c r="AH20" s="878"/>
      <c r="AI20" s="878"/>
      <c r="AJ20" s="878"/>
      <c r="AK20" s="878"/>
      <c r="AL20" s="878"/>
      <c r="AM20" s="878"/>
      <c r="AN20" s="878"/>
      <c r="AO20" s="878"/>
      <c r="AP20" s="878"/>
      <c r="AQ20" s="878"/>
      <c r="AR20" s="879"/>
      <c r="AS20" s="869"/>
      <c r="AT20" s="870"/>
      <c r="AU20" s="870"/>
      <c r="AV20" s="870"/>
      <c r="AW20" s="870"/>
      <c r="AX20" s="871"/>
    </row>
    <row r="21" spans="1:50" ht="24" customHeight="1">
      <c r="A21" s="872"/>
      <c r="B21" s="873"/>
      <c r="C21" s="874"/>
      <c r="D21" s="875"/>
      <c r="E21" s="875"/>
      <c r="F21" s="876"/>
      <c r="G21" s="877"/>
      <c r="H21" s="878"/>
      <c r="I21" s="878"/>
      <c r="J21" s="878"/>
      <c r="K21" s="878"/>
      <c r="L21" s="878"/>
      <c r="M21" s="878"/>
      <c r="N21" s="878"/>
      <c r="O21" s="878"/>
      <c r="P21" s="878"/>
      <c r="Q21" s="878"/>
      <c r="R21" s="878"/>
      <c r="S21" s="878"/>
      <c r="T21" s="878"/>
      <c r="U21" s="878"/>
      <c r="V21" s="878"/>
      <c r="W21" s="879"/>
      <c r="X21" s="880"/>
      <c r="Y21" s="881"/>
      <c r="Z21" s="881"/>
      <c r="AA21" s="873"/>
      <c r="AB21" s="877"/>
      <c r="AC21" s="878"/>
      <c r="AD21" s="878"/>
      <c r="AE21" s="878"/>
      <c r="AF21" s="878"/>
      <c r="AG21" s="878"/>
      <c r="AH21" s="878"/>
      <c r="AI21" s="878"/>
      <c r="AJ21" s="878"/>
      <c r="AK21" s="878"/>
      <c r="AL21" s="878"/>
      <c r="AM21" s="878"/>
      <c r="AN21" s="878"/>
      <c r="AO21" s="878"/>
      <c r="AP21" s="878"/>
      <c r="AQ21" s="878"/>
      <c r="AR21" s="879"/>
      <c r="AS21" s="869"/>
      <c r="AT21" s="870"/>
      <c r="AU21" s="870"/>
      <c r="AV21" s="870"/>
      <c r="AW21" s="870"/>
      <c r="AX21" s="871"/>
    </row>
    <row r="22" spans="1:50" ht="24" customHeight="1">
      <c r="A22" s="872"/>
      <c r="B22" s="873"/>
      <c r="C22" s="874"/>
      <c r="D22" s="875"/>
      <c r="E22" s="875"/>
      <c r="F22" s="876"/>
      <c r="G22" s="877"/>
      <c r="H22" s="878"/>
      <c r="I22" s="878"/>
      <c r="J22" s="878"/>
      <c r="K22" s="878"/>
      <c r="L22" s="878"/>
      <c r="M22" s="878"/>
      <c r="N22" s="878"/>
      <c r="O22" s="878"/>
      <c r="P22" s="878"/>
      <c r="Q22" s="878"/>
      <c r="R22" s="878"/>
      <c r="S22" s="878"/>
      <c r="T22" s="878"/>
      <c r="U22" s="878"/>
      <c r="V22" s="878"/>
      <c r="W22" s="879"/>
      <c r="X22" s="880"/>
      <c r="Y22" s="881"/>
      <c r="Z22" s="881"/>
      <c r="AA22" s="873"/>
      <c r="AB22" s="877"/>
      <c r="AC22" s="878"/>
      <c r="AD22" s="878"/>
      <c r="AE22" s="878"/>
      <c r="AF22" s="878"/>
      <c r="AG22" s="878"/>
      <c r="AH22" s="878"/>
      <c r="AI22" s="878"/>
      <c r="AJ22" s="878"/>
      <c r="AK22" s="878"/>
      <c r="AL22" s="878"/>
      <c r="AM22" s="878"/>
      <c r="AN22" s="878"/>
      <c r="AO22" s="878"/>
      <c r="AP22" s="878"/>
      <c r="AQ22" s="878"/>
      <c r="AR22" s="879"/>
      <c r="AS22" s="869"/>
      <c r="AT22" s="870"/>
      <c r="AU22" s="870"/>
      <c r="AV22" s="870"/>
      <c r="AW22" s="870"/>
      <c r="AX22" s="871"/>
    </row>
    <row r="23" spans="1:50" ht="24" customHeight="1">
      <c r="A23" s="872"/>
      <c r="B23" s="873"/>
      <c r="C23" s="874"/>
      <c r="D23" s="875"/>
      <c r="E23" s="875"/>
      <c r="F23" s="876"/>
      <c r="G23" s="877"/>
      <c r="H23" s="878"/>
      <c r="I23" s="878"/>
      <c r="J23" s="878"/>
      <c r="K23" s="878"/>
      <c r="L23" s="878"/>
      <c r="M23" s="878"/>
      <c r="N23" s="878"/>
      <c r="O23" s="878"/>
      <c r="P23" s="878"/>
      <c r="Q23" s="878"/>
      <c r="R23" s="878"/>
      <c r="S23" s="878"/>
      <c r="T23" s="878"/>
      <c r="U23" s="878"/>
      <c r="V23" s="878"/>
      <c r="W23" s="879"/>
      <c r="X23" s="880"/>
      <c r="Y23" s="881"/>
      <c r="Z23" s="881"/>
      <c r="AA23" s="873"/>
      <c r="AB23" s="877"/>
      <c r="AC23" s="878"/>
      <c r="AD23" s="878"/>
      <c r="AE23" s="878"/>
      <c r="AF23" s="878"/>
      <c r="AG23" s="878"/>
      <c r="AH23" s="878"/>
      <c r="AI23" s="878"/>
      <c r="AJ23" s="878"/>
      <c r="AK23" s="878"/>
      <c r="AL23" s="878"/>
      <c r="AM23" s="878"/>
      <c r="AN23" s="878"/>
      <c r="AO23" s="878"/>
      <c r="AP23" s="878"/>
      <c r="AQ23" s="878"/>
      <c r="AR23" s="879"/>
      <c r="AS23" s="869"/>
      <c r="AT23" s="870"/>
      <c r="AU23" s="870"/>
      <c r="AV23" s="870"/>
      <c r="AW23" s="870"/>
      <c r="AX23" s="871"/>
    </row>
    <row r="24" spans="1:50" ht="24" customHeight="1">
      <c r="A24" s="872"/>
      <c r="B24" s="873"/>
      <c r="C24" s="874"/>
      <c r="D24" s="875"/>
      <c r="E24" s="875"/>
      <c r="F24" s="876"/>
      <c r="G24" s="877"/>
      <c r="H24" s="878"/>
      <c r="I24" s="878"/>
      <c r="J24" s="878"/>
      <c r="K24" s="878"/>
      <c r="L24" s="878"/>
      <c r="M24" s="878"/>
      <c r="N24" s="878"/>
      <c r="O24" s="878"/>
      <c r="P24" s="878"/>
      <c r="Q24" s="878"/>
      <c r="R24" s="878"/>
      <c r="S24" s="878"/>
      <c r="T24" s="878"/>
      <c r="U24" s="878"/>
      <c r="V24" s="878"/>
      <c r="W24" s="879"/>
      <c r="X24" s="880"/>
      <c r="Y24" s="881"/>
      <c r="Z24" s="881"/>
      <c r="AA24" s="873"/>
      <c r="AB24" s="877"/>
      <c r="AC24" s="878"/>
      <c r="AD24" s="878"/>
      <c r="AE24" s="878"/>
      <c r="AF24" s="878"/>
      <c r="AG24" s="878"/>
      <c r="AH24" s="878"/>
      <c r="AI24" s="878"/>
      <c r="AJ24" s="878"/>
      <c r="AK24" s="878"/>
      <c r="AL24" s="878"/>
      <c r="AM24" s="878"/>
      <c r="AN24" s="878"/>
      <c r="AO24" s="878"/>
      <c r="AP24" s="878"/>
      <c r="AQ24" s="878"/>
      <c r="AR24" s="879"/>
      <c r="AS24" s="869"/>
      <c r="AT24" s="870"/>
      <c r="AU24" s="870"/>
      <c r="AV24" s="870"/>
      <c r="AW24" s="870"/>
      <c r="AX24" s="871"/>
    </row>
    <row r="25" spans="1:50" ht="24" customHeight="1">
      <c r="A25" s="872"/>
      <c r="B25" s="873"/>
      <c r="C25" s="874"/>
      <c r="D25" s="875"/>
      <c r="E25" s="875"/>
      <c r="F25" s="876"/>
      <c r="G25" s="877"/>
      <c r="H25" s="878"/>
      <c r="I25" s="878"/>
      <c r="J25" s="878"/>
      <c r="K25" s="878"/>
      <c r="L25" s="878"/>
      <c r="M25" s="878"/>
      <c r="N25" s="878"/>
      <c r="O25" s="878"/>
      <c r="P25" s="878"/>
      <c r="Q25" s="878"/>
      <c r="R25" s="878"/>
      <c r="S25" s="878"/>
      <c r="T25" s="878"/>
      <c r="U25" s="878"/>
      <c r="V25" s="878"/>
      <c r="W25" s="879"/>
      <c r="X25" s="880"/>
      <c r="Y25" s="881"/>
      <c r="Z25" s="881"/>
      <c r="AA25" s="873"/>
      <c r="AB25" s="877"/>
      <c r="AC25" s="878"/>
      <c r="AD25" s="878"/>
      <c r="AE25" s="878"/>
      <c r="AF25" s="878"/>
      <c r="AG25" s="878"/>
      <c r="AH25" s="878"/>
      <c r="AI25" s="878"/>
      <c r="AJ25" s="878"/>
      <c r="AK25" s="878"/>
      <c r="AL25" s="878"/>
      <c r="AM25" s="878"/>
      <c r="AN25" s="878"/>
      <c r="AO25" s="878"/>
      <c r="AP25" s="878"/>
      <c r="AQ25" s="878"/>
      <c r="AR25" s="879"/>
      <c r="AS25" s="869"/>
      <c r="AT25" s="870"/>
      <c r="AU25" s="870"/>
      <c r="AV25" s="870"/>
      <c r="AW25" s="870"/>
      <c r="AX25" s="871"/>
    </row>
    <row r="26" spans="1:50" ht="24" customHeight="1" thickBot="1">
      <c r="A26" s="885"/>
      <c r="B26" s="886"/>
      <c r="C26" s="887"/>
      <c r="D26" s="888"/>
      <c r="E26" s="888"/>
      <c r="F26" s="889"/>
      <c r="G26" s="890"/>
      <c r="H26" s="891"/>
      <c r="I26" s="891"/>
      <c r="J26" s="891"/>
      <c r="K26" s="891"/>
      <c r="L26" s="891"/>
      <c r="M26" s="891"/>
      <c r="N26" s="891"/>
      <c r="O26" s="891"/>
      <c r="P26" s="891"/>
      <c r="Q26" s="891"/>
      <c r="R26" s="891"/>
      <c r="S26" s="891"/>
      <c r="T26" s="891"/>
      <c r="U26" s="891"/>
      <c r="V26" s="891"/>
      <c r="W26" s="892"/>
      <c r="X26" s="893"/>
      <c r="Y26" s="894"/>
      <c r="Z26" s="894"/>
      <c r="AA26" s="886"/>
      <c r="AB26" s="890"/>
      <c r="AC26" s="891"/>
      <c r="AD26" s="891"/>
      <c r="AE26" s="891"/>
      <c r="AF26" s="891"/>
      <c r="AG26" s="891"/>
      <c r="AH26" s="891"/>
      <c r="AI26" s="891"/>
      <c r="AJ26" s="891"/>
      <c r="AK26" s="891"/>
      <c r="AL26" s="891"/>
      <c r="AM26" s="891"/>
      <c r="AN26" s="891"/>
      <c r="AO26" s="891"/>
      <c r="AP26" s="891"/>
      <c r="AQ26" s="891"/>
      <c r="AR26" s="892"/>
      <c r="AS26" s="882"/>
      <c r="AT26" s="883"/>
      <c r="AU26" s="883"/>
      <c r="AV26" s="883"/>
      <c r="AW26" s="883"/>
      <c r="AX26" s="884"/>
    </row>
  </sheetData>
  <mergeCells count="87">
    <mergeCell ref="AS26:AX26"/>
    <mergeCell ref="A25:B25"/>
    <mergeCell ref="C25:F25"/>
    <mergeCell ref="G25:W25"/>
    <mergeCell ref="X25:AA25"/>
    <mergeCell ref="AB25:AR25"/>
    <mergeCell ref="AS25:AX25"/>
    <mergeCell ref="A26:B26"/>
    <mergeCell ref="C26:F26"/>
    <mergeCell ref="G26:W26"/>
    <mergeCell ref="X26:AA26"/>
    <mergeCell ref="AB26:AR26"/>
    <mergeCell ref="AS24:AX24"/>
    <mergeCell ref="A23:B23"/>
    <mergeCell ref="C23:F23"/>
    <mergeCell ref="G23:W23"/>
    <mergeCell ref="X23:AA23"/>
    <mergeCell ref="AB23:AR23"/>
    <mergeCell ref="AS23:AX23"/>
    <mergeCell ref="A24:B24"/>
    <mergeCell ref="C24:F24"/>
    <mergeCell ref="G24:W24"/>
    <mergeCell ref="X24:AA24"/>
    <mergeCell ref="AB24:AR24"/>
    <mergeCell ref="AS22:AX22"/>
    <mergeCell ref="A21:B21"/>
    <mergeCell ref="C21:F21"/>
    <mergeCell ref="G21:W21"/>
    <mergeCell ref="X21:AA21"/>
    <mergeCell ref="AB21:AR21"/>
    <mergeCell ref="AS21:AX21"/>
    <mergeCell ref="A22:B22"/>
    <mergeCell ref="C22:F22"/>
    <mergeCell ref="G22:W22"/>
    <mergeCell ref="X22:AA22"/>
    <mergeCell ref="AB22:AR22"/>
    <mergeCell ref="AS20:AX20"/>
    <mergeCell ref="A19:B19"/>
    <mergeCell ref="C19:F19"/>
    <mergeCell ref="G19:W19"/>
    <mergeCell ref="X19:AA19"/>
    <mergeCell ref="AB19:AR19"/>
    <mergeCell ref="AS19:AX19"/>
    <mergeCell ref="A20:B20"/>
    <mergeCell ref="C20:F20"/>
    <mergeCell ref="G20:W20"/>
    <mergeCell ref="X20:AA20"/>
    <mergeCell ref="AB20:AR20"/>
    <mergeCell ref="AS18:AX18"/>
    <mergeCell ref="A17:B17"/>
    <mergeCell ref="C17:F17"/>
    <mergeCell ref="G17:W17"/>
    <mergeCell ref="X17:AA17"/>
    <mergeCell ref="AB17:AR17"/>
    <mergeCell ref="AS17:AX17"/>
    <mergeCell ref="A18:B18"/>
    <mergeCell ref="C18:F18"/>
    <mergeCell ref="G18:W18"/>
    <mergeCell ref="X18:AA18"/>
    <mergeCell ref="AB18:AR18"/>
    <mergeCell ref="A15:B16"/>
    <mergeCell ref="C15:W15"/>
    <mergeCell ref="X15:AR15"/>
    <mergeCell ref="AS15:AX16"/>
    <mergeCell ref="C16:F16"/>
    <mergeCell ref="G16:W16"/>
    <mergeCell ref="X16:AA16"/>
    <mergeCell ref="AB16:AR16"/>
    <mergeCell ref="A10:B12"/>
    <mergeCell ref="C10:H12"/>
    <mergeCell ref="I10:V12"/>
    <mergeCell ref="W10:AL10"/>
    <mergeCell ref="AM10:AX12"/>
    <mergeCell ref="W11:AL11"/>
    <mergeCell ref="W12:AL12"/>
    <mergeCell ref="W6:AL6"/>
    <mergeCell ref="AM6:AX6"/>
    <mergeCell ref="A7:B9"/>
    <mergeCell ref="C7:H9"/>
    <mergeCell ref="I7:V9"/>
    <mergeCell ref="W7:AL7"/>
    <mergeCell ref="AM7:AX9"/>
    <mergeCell ref="W8:AL8"/>
    <mergeCell ref="W9:AL9"/>
    <mergeCell ref="A6:B6"/>
    <mergeCell ref="C6:H6"/>
    <mergeCell ref="I6:V6"/>
  </mergeCells>
  <phoneticPr fontId="3"/>
  <dataValidations count="1">
    <dataValidation imeMode="off" allowBlank="1" showInputMessage="1" showErrorMessage="1" sqref="A27:B47 D13:D14 A7 A10 A13 A17:A2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AZ93"/>
  <sheetViews>
    <sheetView showGridLines="0" topLeftCell="A22" zoomScaleNormal="100" zoomScaleSheetLayoutView="100" workbookViewId="0">
      <selection activeCell="J72" sqref="J72"/>
    </sheetView>
  </sheetViews>
  <sheetFormatPr defaultColWidth="9.33203125" defaultRowHeight="12"/>
  <cols>
    <col min="1" max="50" width="3.33203125" style="79" customWidth="1"/>
    <col min="51" max="51" width="1.83203125" style="79" customWidth="1"/>
    <col min="52" max="52" width="9.33203125" style="283"/>
    <col min="53" max="16384" width="9.33203125" style="79"/>
  </cols>
  <sheetData>
    <row r="1" spans="1:50">
      <c r="A1" s="940" t="s">
        <v>34</v>
      </c>
      <c r="B1" s="941"/>
      <c r="C1" s="941"/>
      <c r="D1" s="941"/>
      <c r="E1" s="941"/>
      <c r="F1" s="941"/>
      <c r="G1" s="942"/>
      <c r="H1" s="949" t="s">
        <v>2</v>
      </c>
      <c r="I1" s="938"/>
      <c r="J1" s="938"/>
      <c r="K1" s="939"/>
      <c r="L1" s="950" t="str">
        <f>IF(顧客名="","",顧客名)</f>
        <v>株式会社XXXX殿</v>
      </c>
      <c r="M1" s="951"/>
      <c r="N1" s="951"/>
      <c r="O1" s="951"/>
      <c r="P1" s="951"/>
      <c r="Q1" s="951"/>
      <c r="R1" s="952"/>
      <c r="S1" s="937" t="s">
        <v>7</v>
      </c>
      <c r="T1" s="938"/>
      <c r="U1" s="938"/>
      <c r="V1" s="939"/>
      <c r="W1" s="950" t="str">
        <f>IF(システム="","",システム)</f>
        <v>mcframe7</v>
      </c>
      <c r="X1" s="951"/>
      <c r="Y1" s="951"/>
      <c r="Z1" s="951"/>
      <c r="AA1" s="951"/>
      <c r="AB1" s="951"/>
      <c r="AC1" s="952"/>
      <c r="AD1" s="903" t="s">
        <v>8</v>
      </c>
      <c r="AE1" s="904"/>
      <c r="AF1" s="904"/>
      <c r="AG1" s="953"/>
      <c r="AH1" s="954" t="str">
        <f>IF(作成者="","",作成者)</f>
        <v>XX</v>
      </c>
      <c r="AI1" s="955"/>
      <c r="AJ1" s="955"/>
      <c r="AK1" s="955"/>
      <c r="AL1" s="956"/>
      <c r="AM1" s="903" t="s">
        <v>9</v>
      </c>
      <c r="AN1" s="904"/>
      <c r="AO1" s="904"/>
      <c r="AP1" s="953"/>
      <c r="AQ1" s="900">
        <f>IF(作成日="","",作成日)</f>
        <v>42881</v>
      </c>
      <c r="AR1" s="901"/>
      <c r="AS1" s="901"/>
      <c r="AT1" s="902"/>
      <c r="AU1" s="903" t="s">
        <v>0</v>
      </c>
      <c r="AV1" s="904"/>
      <c r="AW1" s="904"/>
      <c r="AX1" s="905"/>
    </row>
    <row r="2" spans="1:50">
      <c r="A2" s="943"/>
      <c r="B2" s="944"/>
      <c r="C2" s="944"/>
      <c r="D2" s="944"/>
      <c r="E2" s="944"/>
      <c r="F2" s="944"/>
      <c r="G2" s="945"/>
      <c r="H2" s="906" t="s">
        <v>10</v>
      </c>
      <c r="I2" s="907"/>
      <c r="J2" s="907"/>
      <c r="K2" s="908"/>
      <c r="L2" s="909" t="str">
        <f>IF(プロジェクト名="","",プロジェクト名)</f>
        <v>新基幹システム構築プロジェクト</v>
      </c>
      <c r="M2" s="910"/>
      <c r="N2" s="910"/>
      <c r="O2" s="910"/>
      <c r="P2" s="910"/>
      <c r="Q2" s="910"/>
      <c r="R2" s="911"/>
      <c r="S2" s="912" t="s">
        <v>41</v>
      </c>
      <c r="T2" s="907"/>
      <c r="U2" s="907"/>
      <c r="V2" s="908"/>
      <c r="W2" s="909" t="str">
        <f>IF(サブシステム="","",サブシステム)</f>
        <v>SCM</v>
      </c>
      <c r="X2" s="910"/>
      <c r="Y2" s="910"/>
      <c r="Z2" s="910"/>
      <c r="AA2" s="910"/>
      <c r="AB2" s="910"/>
      <c r="AC2" s="911"/>
      <c r="AD2" s="913" t="s">
        <v>11</v>
      </c>
      <c r="AE2" s="914"/>
      <c r="AF2" s="914"/>
      <c r="AG2" s="915"/>
      <c r="AH2" s="916" t="str">
        <f>IF(修正者="","",修正者)</f>
        <v>XX</v>
      </c>
      <c r="AI2" s="917"/>
      <c r="AJ2" s="917"/>
      <c r="AK2" s="917"/>
      <c r="AL2" s="918"/>
      <c r="AM2" s="919" t="s">
        <v>12</v>
      </c>
      <c r="AN2" s="920"/>
      <c r="AO2" s="920"/>
      <c r="AP2" s="921"/>
      <c r="AQ2" s="922">
        <f>IF(修正日="","",修正日)</f>
        <v>43007</v>
      </c>
      <c r="AR2" s="923"/>
      <c r="AS2" s="923"/>
      <c r="AT2" s="923"/>
      <c r="AU2" s="924" t="str">
        <f>IF(文書番号="","",文書番号)</f>
        <v>XX-XX-9999</v>
      </c>
      <c r="AV2" s="925"/>
      <c r="AW2" s="925"/>
      <c r="AX2" s="926"/>
    </row>
    <row r="3" spans="1:50" ht="12.75" thickBot="1">
      <c r="A3" s="946"/>
      <c r="B3" s="947"/>
      <c r="C3" s="947"/>
      <c r="D3" s="947"/>
      <c r="E3" s="947"/>
      <c r="F3" s="947"/>
      <c r="G3" s="948"/>
      <c r="H3" s="930" t="s">
        <v>14</v>
      </c>
      <c r="I3" s="930"/>
      <c r="J3" s="930"/>
      <c r="K3" s="931"/>
      <c r="L3" s="932" t="str">
        <f>IF(機能ID="","",機能ID)</f>
        <v>MSBDP0080</v>
      </c>
      <c r="M3" s="933"/>
      <c r="N3" s="933"/>
      <c r="O3" s="933"/>
      <c r="P3" s="933"/>
      <c r="Q3" s="933"/>
      <c r="R3" s="933"/>
      <c r="S3" s="957" t="s">
        <v>15</v>
      </c>
      <c r="T3" s="930"/>
      <c r="U3" s="930"/>
      <c r="V3" s="931"/>
      <c r="W3" s="932" t="str">
        <f>IF(機能名="","",機能名)</f>
        <v>発注登録</v>
      </c>
      <c r="X3" s="958"/>
      <c r="Y3" s="958"/>
      <c r="Z3" s="958"/>
      <c r="AA3" s="958"/>
      <c r="AB3" s="958"/>
      <c r="AC3" s="958"/>
      <c r="AD3" s="958"/>
      <c r="AE3" s="958"/>
      <c r="AF3" s="958"/>
      <c r="AG3" s="958"/>
      <c r="AH3" s="958"/>
      <c r="AI3" s="958"/>
      <c r="AJ3" s="958"/>
      <c r="AK3" s="958"/>
      <c r="AL3" s="959"/>
      <c r="AM3" s="934" t="s">
        <v>13</v>
      </c>
      <c r="AN3" s="935"/>
      <c r="AO3" s="935"/>
      <c r="AP3" s="936"/>
      <c r="AQ3" s="897" t="str">
        <f>IF(Rev="","",Rev)</f>
        <v>r02.00</v>
      </c>
      <c r="AR3" s="898"/>
      <c r="AS3" s="898"/>
      <c r="AT3" s="899"/>
      <c r="AU3" s="927"/>
      <c r="AV3" s="928"/>
      <c r="AW3" s="928"/>
      <c r="AX3" s="929"/>
    </row>
    <row r="4" spans="1:50" ht="12.75" thickBot="1"/>
    <row r="5" spans="1:50" ht="12.75" thickBo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8"/>
    </row>
    <row r="6" spans="1:50" ht="12.75" thickTop="1">
      <c r="A6" s="9" t="s">
        <v>35</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1"/>
    </row>
    <row r="7" spans="1:50">
      <c r="A7" s="12"/>
      <c r="B7" s="95" t="s">
        <v>962</v>
      </c>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14"/>
    </row>
    <row r="8" spans="1:50">
      <c r="A8" s="12"/>
      <c r="B8" s="15" t="s">
        <v>536</v>
      </c>
      <c r="C8" s="95" t="s">
        <v>537</v>
      </c>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14"/>
    </row>
    <row r="9" spans="1:50">
      <c r="A9" s="12"/>
      <c r="B9" s="1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14"/>
    </row>
    <row r="10" spans="1:50">
      <c r="A10" s="12"/>
      <c r="B10" s="15" t="s">
        <v>963</v>
      </c>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14"/>
    </row>
    <row r="11" spans="1:50">
      <c r="A11" s="12"/>
      <c r="B11" s="15" t="s">
        <v>536</v>
      </c>
      <c r="C11" s="95" t="s">
        <v>538</v>
      </c>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14"/>
    </row>
    <row r="12" spans="1:50">
      <c r="A12" s="12"/>
      <c r="B12" s="15" t="s">
        <v>536</v>
      </c>
      <c r="C12" s="95" t="s">
        <v>539</v>
      </c>
      <c r="D12" s="95"/>
      <c r="E12" s="95"/>
      <c r="F12" s="95"/>
      <c r="G12" s="95"/>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14"/>
    </row>
    <row r="13" spans="1:50">
      <c r="A13" s="12"/>
      <c r="B13" s="15" t="s">
        <v>536</v>
      </c>
      <c r="C13" s="95" t="s">
        <v>540</v>
      </c>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14"/>
    </row>
    <row r="14" spans="1:50">
      <c r="A14" s="12"/>
      <c r="B14" s="15"/>
      <c r="C14" s="95"/>
      <c r="D14" s="95" t="s">
        <v>541</v>
      </c>
      <c r="E14" s="95"/>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14"/>
    </row>
    <row r="15" spans="1:50">
      <c r="A15" s="12"/>
      <c r="B15" s="15" t="s">
        <v>536</v>
      </c>
      <c r="C15" s="16" t="s">
        <v>542</v>
      </c>
      <c r="D15" s="16"/>
      <c r="E15" s="16"/>
      <c r="F15" s="16"/>
      <c r="G15" s="16"/>
      <c r="H15" s="16"/>
      <c r="I15" s="16"/>
      <c r="J15" s="16"/>
      <c r="K15" s="16"/>
      <c r="L15" s="16"/>
      <c r="M15" s="16"/>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14"/>
    </row>
    <row r="16" spans="1:50">
      <c r="A16" s="12"/>
      <c r="B16" s="15"/>
      <c r="C16" s="16"/>
      <c r="D16" s="16"/>
      <c r="E16" s="16"/>
      <c r="F16" s="16"/>
      <c r="G16" s="16"/>
      <c r="H16" s="16"/>
      <c r="I16" s="16"/>
      <c r="J16" s="16"/>
      <c r="K16" s="16"/>
      <c r="L16" s="16"/>
      <c r="M16" s="16"/>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14"/>
    </row>
    <row r="17" spans="1:50">
      <c r="A17" s="12"/>
      <c r="B17" s="15" t="s">
        <v>1336</v>
      </c>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14"/>
    </row>
    <row r="18" spans="1:50">
      <c r="A18" s="12"/>
      <c r="B18" s="15"/>
      <c r="C18" s="16" t="s">
        <v>1337</v>
      </c>
      <c r="D18" s="16" t="s">
        <v>1338</v>
      </c>
      <c r="E18" s="16"/>
      <c r="F18" s="16"/>
      <c r="G18" s="16"/>
      <c r="H18" s="16"/>
      <c r="I18" s="16"/>
      <c r="J18" s="16"/>
      <c r="K18" s="16"/>
      <c r="L18" s="16"/>
      <c r="M18" s="16"/>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14"/>
    </row>
    <row r="19" spans="1:50">
      <c r="A19" s="12"/>
      <c r="B19" s="1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14"/>
    </row>
    <row r="20" spans="1:50">
      <c r="A20" s="12"/>
      <c r="B20" s="15" t="s">
        <v>964</v>
      </c>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14"/>
    </row>
    <row r="21" spans="1:50">
      <c r="A21" s="12"/>
      <c r="B21" s="15" t="s">
        <v>62</v>
      </c>
      <c r="C21" s="95" t="s">
        <v>983</v>
      </c>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14"/>
    </row>
    <row r="22" spans="1:50">
      <c r="A22" s="12"/>
      <c r="B22" s="15" t="s">
        <v>965</v>
      </c>
      <c r="C22" s="95" t="s">
        <v>982</v>
      </c>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14"/>
    </row>
    <row r="23" spans="1:50">
      <c r="A23" s="12"/>
      <c r="B23" s="15" t="s">
        <v>965</v>
      </c>
      <c r="C23" s="95" t="s">
        <v>967</v>
      </c>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14"/>
    </row>
    <row r="24" spans="1:50">
      <c r="A24" s="12"/>
      <c r="B24" s="15" t="s">
        <v>965</v>
      </c>
      <c r="C24" s="95" t="s">
        <v>968</v>
      </c>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14"/>
    </row>
    <row r="25" spans="1:50">
      <c r="A25" s="12"/>
      <c r="B25" s="15" t="s">
        <v>965</v>
      </c>
      <c r="C25" s="95" t="s">
        <v>966</v>
      </c>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14"/>
    </row>
    <row r="26" spans="1:50">
      <c r="A26" s="12"/>
      <c r="B26" s="15" t="s">
        <v>965</v>
      </c>
      <c r="C26" s="95" t="s">
        <v>969</v>
      </c>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14"/>
    </row>
    <row r="27" spans="1:50">
      <c r="A27" s="12"/>
      <c r="B27" s="15"/>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14"/>
    </row>
    <row r="28" spans="1:50">
      <c r="A28" s="12"/>
      <c r="B28" s="15" t="s">
        <v>543</v>
      </c>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14"/>
    </row>
    <row r="29" spans="1:50">
      <c r="A29" s="12"/>
      <c r="B29" s="15" t="s">
        <v>536</v>
      </c>
      <c r="C29" s="16" t="s">
        <v>544</v>
      </c>
      <c r="D29" s="95"/>
      <c r="E29" s="95"/>
      <c r="F29" s="16"/>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14"/>
    </row>
    <row r="30" spans="1:50">
      <c r="A30" s="12"/>
      <c r="B30" s="15"/>
      <c r="C30" s="15"/>
      <c r="D30" s="16" t="s">
        <v>545</v>
      </c>
      <c r="E30" s="95"/>
      <c r="F30" s="16"/>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14"/>
    </row>
    <row r="31" spans="1:50">
      <c r="A31" s="12"/>
      <c r="B31" s="15" t="s">
        <v>536</v>
      </c>
      <c r="C31" s="16" t="s">
        <v>971</v>
      </c>
      <c r="D31" s="95"/>
      <c r="E31" s="95"/>
      <c r="F31" s="16"/>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14"/>
    </row>
    <row r="32" spans="1:50">
      <c r="A32" s="12"/>
      <c r="B32" s="15"/>
      <c r="C32" s="16"/>
      <c r="D32" s="95" t="s">
        <v>546</v>
      </c>
      <c r="E32" s="95"/>
      <c r="F32" s="16"/>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14"/>
    </row>
    <row r="33" spans="1:52">
      <c r="A33" s="12"/>
      <c r="B33" s="95" t="s">
        <v>536</v>
      </c>
      <c r="C33" s="95" t="s">
        <v>547</v>
      </c>
      <c r="D33" s="95"/>
      <c r="E33" s="95"/>
      <c r="F33" s="95"/>
      <c r="G33" s="95"/>
      <c r="H33" s="95"/>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14"/>
    </row>
    <row r="34" spans="1:52">
      <c r="A34" s="12"/>
      <c r="B34" s="95" t="s">
        <v>536</v>
      </c>
      <c r="C34" s="95" t="s">
        <v>548</v>
      </c>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14"/>
    </row>
    <row r="35" spans="1:52">
      <c r="A35" s="12"/>
      <c r="B35" s="95" t="s">
        <v>536</v>
      </c>
      <c r="C35" s="95" t="s">
        <v>549</v>
      </c>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14"/>
    </row>
    <row r="36" spans="1:52">
      <c r="A36" s="12"/>
      <c r="B36" s="95" t="s">
        <v>536</v>
      </c>
      <c r="C36" s="95" t="s">
        <v>550</v>
      </c>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AM36" s="95"/>
      <c r="AN36" s="95"/>
      <c r="AO36" s="95"/>
      <c r="AP36" s="95"/>
      <c r="AQ36" s="95"/>
      <c r="AR36" s="95"/>
      <c r="AS36" s="95"/>
      <c r="AT36" s="95"/>
      <c r="AU36" s="95"/>
      <c r="AV36" s="95"/>
      <c r="AW36" s="95"/>
      <c r="AX36" s="14"/>
    </row>
    <row r="37" spans="1:52">
      <c r="A37" s="12"/>
      <c r="B37" s="95" t="s">
        <v>536</v>
      </c>
      <c r="C37" s="95" t="s">
        <v>551</v>
      </c>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14"/>
    </row>
    <row r="38" spans="1:52">
      <c r="A38" s="12"/>
      <c r="B38" s="95" t="s">
        <v>536</v>
      </c>
      <c r="C38" s="95" t="s">
        <v>552</v>
      </c>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14"/>
    </row>
    <row r="39" spans="1:52">
      <c r="A39" s="12"/>
      <c r="B39" s="95" t="s">
        <v>536</v>
      </c>
      <c r="C39" s="95" t="s">
        <v>553</v>
      </c>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14"/>
    </row>
    <row r="40" spans="1:52">
      <c r="A40" s="12"/>
      <c r="B40" s="95" t="s">
        <v>536</v>
      </c>
      <c r="C40" s="95" t="s">
        <v>554</v>
      </c>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14"/>
    </row>
    <row r="41" spans="1:52">
      <c r="A41" s="12"/>
      <c r="B41" s="95"/>
      <c r="C41" s="95" t="s">
        <v>555</v>
      </c>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14"/>
    </row>
    <row r="42" spans="1:52">
      <c r="A42" s="12"/>
      <c r="B42" s="95"/>
      <c r="C42" s="95" t="s">
        <v>556</v>
      </c>
      <c r="D42" s="95"/>
      <c r="E42" s="95"/>
      <c r="F42" s="95"/>
      <c r="G42" s="95"/>
      <c r="H42" s="95"/>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5"/>
      <c r="AI42" s="16"/>
      <c r="AJ42" s="16"/>
      <c r="AK42" s="16"/>
      <c r="AL42" s="16"/>
      <c r="AM42" s="95"/>
      <c r="AN42" s="95"/>
      <c r="AO42" s="95"/>
      <c r="AP42" s="95"/>
      <c r="AQ42" s="95"/>
      <c r="AR42" s="95"/>
      <c r="AS42" s="95"/>
      <c r="AT42" s="95"/>
      <c r="AU42" s="95"/>
      <c r="AV42" s="95"/>
      <c r="AW42" s="95"/>
      <c r="AX42" s="14"/>
    </row>
    <row r="43" spans="1:52">
      <c r="A43" s="12"/>
      <c r="B43" s="95" t="s">
        <v>536</v>
      </c>
      <c r="C43" s="95" t="s">
        <v>580</v>
      </c>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14"/>
    </row>
    <row r="44" spans="1:52">
      <c r="A44" s="12"/>
      <c r="B44" s="95" t="s">
        <v>536</v>
      </c>
      <c r="C44" s="95" t="s">
        <v>557</v>
      </c>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14"/>
    </row>
    <row r="45" spans="1:52">
      <c r="A45" s="12"/>
      <c r="B45" s="95" t="s">
        <v>536</v>
      </c>
      <c r="C45" s="95" t="s">
        <v>558</v>
      </c>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95"/>
      <c r="AP45" s="95"/>
      <c r="AQ45" s="95"/>
      <c r="AR45" s="95"/>
      <c r="AS45" s="95"/>
      <c r="AT45" s="95"/>
      <c r="AU45" s="95"/>
      <c r="AV45" s="95"/>
      <c r="AW45" s="95"/>
      <c r="AX45" s="14"/>
    </row>
    <row r="46" spans="1:52" s="3" customFormat="1">
      <c r="A46" s="150"/>
      <c r="B46" s="95" t="s">
        <v>536</v>
      </c>
      <c r="C46" s="95" t="s">
        <v>559</v>
      </c>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16"/>
      <c r="AJ46" s="16"/>
      <c r="AK46" s="16"/>
      <c r="AL46" s="16"/>
      <c r="AM46" s="16"/>
      <c r="AN46" s="16"/>
      <c r="AO46" s="16"/>
      <c r="AP46" s="16"/>
      <c r="AQ46" s="16"/>
      <c r="AR46" s="16"/>
      <c r="AS46" s="16"/>
      <c r="AT46" s="16"/>
      <c r="AU46" s="16"/>
      <c r="AV46" s="16"/>
      <c r="AW46" s="16"/>
      <c r="AX46" s="151"/>
      <c r="AZ46" s="361"/>
    </row>
    <row r="47" spans="1:52" s="3" customFormat="1">
      <c r="A47" s="150"/>
      <c r="B47" s="95" t="s">
        <v>536</v>
      </c>
      <c r="C47" s="95" t="s">
        <v>560</v>
      </c>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95"/>
      <c r="AF47" s="95"/>
      <c r="AG47" s="95"/>
      <c r="AH47" s="95"/>
      <c r="AI47" s="16"/>
      <c r="AJ47" s="16"/>
      <c r="AK47" s="16"/>
      <c r="AL47" s="16"/>
      <c r="AM47" s="16"/>
      <c r="AN47" s="16"/>
      <c r="AO47" s="16"/>
      <c r="AP47" s="16"/>
      <c r="AQ47" s="16"/>
      <c r="AR47" s="16"/>
      <c r="AS47" s="16"/>
      <c r="AT47" s="16"/>
      <c r="AU47" s="16"/>
      <c r="AV47" s="16"/>
      <c r="AW47" s="16"/>
      <c r="AX47" s="151"/>
      <c r="AZ47" s="361"/>
    </row>
    <row r="48" spans="1:52" s="3" customFormat="1">
      <c r="A48" s="150"/>
      <c r="B48" s="95" t="s">
        <v>536</v>
      </c>
      <c r="C48" s="95" t="s">
        <v>568</v>
      </c>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5"/>
      <c r="AI48" s="16"/>
      <c r="AJ48" s="16"/>
      <c r="AK48" s="16"/>
      <c r="AL48" s="16"/>
      <c r="AM48" s="16"/>
      <c r="AN48" s="16"/>
      <c r="AO48" s="16"/>
      <c r="AP48" s="16"/>
      <c r="AQ48" s="16"/>
      <c r="AR48" s="16"/>
      <c r="AS48" s="16"/>
      <c r="AT48" s="16"/>
      <c r="AU48" s="16"/>
      <c r="AV48" s="16"/>
      <c r="AW48" s="16"/>
      <c r="AX48" s="151"/>
      <c r="AZ48" s="361"/>
    </row>
    <row r="49" spans="1:50">
      <c r="A49" s="12"/>
      <c r="B49" s="15"/>
      <c r="C49" s="95" t="s">
        <v>569</v>
      </c>
      <c r="D49" s="95" t="s">
        <v>570</v>
      </c>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95"/>
      <c r="AP49" s="95"/>
      <c r="AQ49" s="95"/>
      <c r="AR49" s="95"/>
      <c r="AS49" s="95"/>
      <c r="AT49" s="95"/>
      <c r="AU49" s="95"/>
      <c r="AV49" s="95"/>
      <c r="AW49" s="95"/>
      <c r="AX49" s="14"/>
    </row>
    <row r="50" spans="1:50">
      <c r="A50" s="12"/>
      <c r="B50" s="15"/>
      <c r="C50" s="95" t="s">
        <v>569</v>
      </c>
      <c r="D50" s="95" t="s">
        <v>571</v>
      </c>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5"/>
      <c r="AI50" s="95"/>
      <c r="AJ50" s="95"/>
      <c r="AK50" s="95"/>
      <c r="AL50" s="95"/>
      <c r="AM50" s="95"/>
      <c r="AN50" s="95"/>
      <c r="AO50" s="95"/>
      <c r="AP50" s="95"/>
      <c r="AQ50" s="95"/>
      <c r="AR50" s="95"/>
      <c r="AS50" s="95"/>
      <c r="AT50" s="95"/>
      <c r="AU50" s="95"/>
      <c r="AV50" s="95"/>
      <c r="AW50" s="95"/>
      <c r="AX50" s="14"/>
    </row>
    <row r="51" spans="1:50">
      <c r="A51" s="12"/>
      <c r="B51" s="15"/>
      <c r="C51" s="95" t="s">
        <v>569</v>
      </c>
      <c r="D51" s="95" t="s">
        <v>572</v>
      </c>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14"/>
    </row>
    <row r="52" spans="1:50">
      <c r="A52" s="12"/>
      <c r="B52" s="15"/>
      <c r="C52" s="95"/>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14"/>
    </row>
    <row r="53" spans="1:50">
      <c r="A53" s="17" t="s">
        <v>970</v>
      </c>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9"/>
    </row>
    <row r="54" spans="1:50">
      <c r="A54" s="12"/>
      <c r="B54" s="16"/>
      <c r="C54" s="16" t="s">
        <v>536</v>
      </c>
      <c r="D54" s="16" t="s">
        <v>561</v>
      </c>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95"/>
      <c r="AF54" s="95"/>
      <c r="AG54" s="95"/>
      <c r="AH54" s="95"/>
      <c r="AI54" s="95"/>
      <c r="AJ54" s="95"/>
      <c r="AK54" s="95"/>
      <c r="AL54" s="95"/>
      <c r="AM54" s="95"/>
      <c r="AN54" s="95"/>
      <c r="AO54" s="95"/>
      <c r="AP54" s="95"/>
      <c r="AQ54" s="95"/>
      <c r="AR54" s="95"/>
      <c r="AS54" s="95"/>
      <c r="AT54" s="95"/>
      <c r="AU54" s="95"/>
      <c r="AV54" s="95"/>
      <c r="AW54" s="95"/>
      <c r="AX54" s="14"/>
    </row>
    <row r="55" spans="1:50">
      <c r="A55" s="12"/>
      <c r="B55" s="16"/>
      <c r="C55" s="16" t="s">
        <v>536</v>
      </c>
      <c r="D55" s="16" t="s">
        <v>562</v>
      </c>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95"/>
      <c r="AF55" s="95"/>
      <c r="AG55" s="95"/>
      <c r="AH55" s="95"/>
      <c r="AI55" s="95"/>
      <c r="AJ55" s="95"/>
      <c r="AK55" s="95"/>
      <c r="AL55" s="95"/>
      <c r="AM55" s="95"/>
      <c r="AN55" s="95"/>
      <c r="AO55" s="95"/>
      <c r="AP55" s="95"/>
      <c r="AQ55" s="95"/>
      <c r="AR55" s="95"/>
      <c r="AS55" s="95"/>
      <c r="AT55" s="95"/>
      <c r="AU55" s="95"/>
      <c r="AV55" s="95"/>
      <c r="AW55" s="95"/>
      <c r="AX55" s="14"/>
    </row>
    <row r="56" spans="1:50">
      <c r="A56" s="12"/>
      <c r="B56" s="16"/>
      <c r="C56" s="16" t="s">
        <v>536</v>
      </c>
      <c r="D56" s="16" t="s">
        <v>588</v>
      </c>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95"/>
      <c r="AF56" s="95"/>
      <c r="AG56" s="95"/>
      <c r="AH56" s="95"/>
      <c r="AI56" s="95"/>
      <c r="AJ56" s="95"/>
      <c r="AK56" s="95"/>
      <c r="AL56" s="95"/>
      <c r="AM56" s="95"/>
      <c r="AN56" s="95"/>
      <c r="AO56" s="95"/>
      <c r="AP56" s="95"/>
      <c r="AQ56" s="95"/>
      <c r="AR56" s="95"/>
      <c r="AS56" s="95"/>
      <c r="AT56" s="95"/>
      <c r="AU56" s="95"/>
      <c r="AV56" s="95"/>
      <c r="AW56" s="95"/>
      <c r="AX56" s="14"/>
    </row>
    <row r="57" spans="1:50">
      <c r="A57" s="12"/>
      <c r="B57" s="16"/>
      <c r="C57" s="16" t="s">
        <v>536</v>
      </c>
      <c r="D57" s="16" t="s">
        <v>592</v>
      </c>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95"/>
      <c r="AF57" s="95"/>
      <c r="AG57" s="95"/>
      <c r="AH57" s="95"/>
      <c r="AI57" s="95"/>
      <c r="AJ57" s="95"/>
      <c r="AK57" s="95"/>
      <c r="AL57" s="95"/>
      <c r="AM57" s="95"/>
      <c r="AN57" s="95"/>
      <c r="AO57" s="95"/>
      <c r="AP57" s="95"/>
      <c r="AQ57" s="95"/>
      <c r="AR57" s="95"/>
      <c r="AS57" s="95"/>
      <c r="AT57" s="95"/>
      <c r="AU57" s="95"/>
      <c r="AV57" s="95"/>
      <c r="AW57" s="95"/>
      <c r="AX57" s="14"/>
    </row>
    <row r="58" spans="1:50">
      <c r="A58" s="12"/>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95"/>
      <c r="AF58" s="95"/>
      <c r="AG58" s="95"/>
      <c r="AH58" s="95"/>
      <c r="AI58" s="95"/>
      <c r="AJ58" s="95"/>
      <c r="AK58" s="95"/>
      <c r="AL58" s="95"/>
      <c r="AM58" s="95"/>
      <c r="AN58" s="95"/>
      <c r="AO58" s="95"/>
      <c r="AP58" s="95"/>
      <c r="AQ58" s="95"/>
      <c r="AR58" s="95"/>
      <c r="AS58" s="95"/>
      <c r="AT58" s="95"/>
      <c r="AU58" s="95"/>
      <c r="AV58" s="95"/>
      <c r="AW58" s="95"/>
      <c r="AX58" s="14"/>
    </row>
    <row r="59" spans="1:50">
      <c r="A59" s="17" t="s">
        <v>57</v>
      </c>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9"/>
    </row>
    <row r="60" spans="1:50">
      <c r="A60" s="20" t="s">
        <v>53</v>
      </c>
      <c r="B60" s="21"/>
      <c r="C60" s="22" t="s">
        <v>69</v>
      </c>
      <c r="D60" s="23"/>
      <c r="E60" s="23"/>
      <c r="F60" s="23"/>
      <c r="G60" s="23"/>
      <c r="H60" s="21"/>
      <c r="I60" s="22" t="s">
        <v>52</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4"/>
    </row>
    <row r="61" spans="1:50">
      <c r="A61" s="25"/>
      <c r="B61" s="26"/>
      <c r="C61" s="27" t="s">
        <v>71</v>
      </c>
      <c r="D61" s="28"/>
      <c r="E61" s="28"/>
      <c r="F61" s="29" t="s">
        <v>70</v>
      </c>
      <c r="G61" s="30"/>
      <c r="H61" s="29"/>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2"/>
    </row>
    <row r="62" spans="1:50">
      <c r="A62" s="895">
        <v>1</v>
      </c>
      <c r="B62" s="896"/>
      <c r="C62" s="153" t="s">
        <v>46</v>
      </c>
      <c r="D62" s="97"/>
      <c r="E62" s="47"/>
      <c r="F62" s="34">
        <v>6</v>
      </c>
      <c r="G62" s="35">
        <v>1</v>
      </c>
      <c r="H62" s="36">
        <v>5</v>
      </c>
      <c r="I62" s="95" t="s">
        <v>427</v>
      </c>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5"/>
      <c r="AI62" s="95"/>
      <c r="AJ62" s="95"/>
      <c r="AK62" s="95"/>
      <c r="AL62" s="95"/>
      <c r="AM62" s="95"/>
      <c r="AN62" s="95"/>
      <c r="AO62" s="95"/>
      <c r="AP62" s="95"/>
      <c r="AQ62" s="95"/>
      <c r="AR62" s="95"/>
      <c r="AS62" s="95"/>
      <c r="AT62" s="95"/>
      <c r="AU62" s="95"/>
      <c r="AV62" s="95"/>
      <c r="AW62" s="95"/>
      <c r="AX62" s="14"/>
    </row>
    <row r="63" spans="1:50">
      <c r="A63" s="46"/>
      <c r="B63" s="98"/>
      <c r="C63" s="96"/>
      <c r="D63" s="97"/>
      <c r="E63" s="47"/>
      <c r="F63" s="48"/>
      <c r="G63" s="49"/>
      <c r="H63" s="50"/>
      <c r="I63" s="95"/>
      <c r="J63" s="95"/>
      <c r="K63" s="95"/>
      <c r="L63" s="95"/>
      <c r="M63" s="95"/>
      <c r="N63" s="95"/>
      <c r="O63" s="95"/>
      <c r="P63" s="95"/>
      <c r="Q63" s="95"/>
      <c r="R63" s="95"/>
      <c r="S63" s="95"/>
      <c r="T63" s="95"/>
      <c r="U63" s="95"/>
      <c r="V63" s="95"/>
      <c r="W63" s="95"/>
      <c r="X63" s="95"/>
      <c r="Y63" s="95"/>
      <c r="Z63" s="95"/>
      <c r="AA63" s="95"/>
      <c r="AB63" s="95"/>
      <c r="AC63" s="95"/>
      <c r="AD63" s="95"/>
      <c r="AE63" s="95"/>
      <c r="AF63" s="95"/>
      <c r="AG63" s="95"/>
      <c r="AH63" s="95"/>
      <c r="AI63" s="95"/>
      <c r="AJ63" s="95"/>
      <c r="AK63" s="95"/>
      <c r="AL63" s="95"/>
      <c r="AM63" s="95"/>
      <c r="AN63" s="95"/>
      <c r="AO63" s="95"/>
      <c r="AP63" s="95"/>
      <c r="AQ63" s="95"/>
      <c r="AR63" s="95"/>
      <c r="AS63" s="95"/>
      <c r="AT63" s="95"/>
      <c r="AU63" s="95"/>
      <c r="AV63" s="95"/>
      <c r="AW63" s="95"/>
      <c r="AX63" s="14"/>
    </row>
    <row r="64" spans="1:50">
      <c r="A64" s="895">
        <v>2</v>
      </c>
      <c r="B64" s="896"/>
      <c r="C64" s="153" t="s">
        <v>46</v>
      </c>
      <c r="D64" s="94"/>
      <c r="E64" s="33"/>
      <c r="F64" s="34">
        <v>6</v>
      </c>
      <c r="G64" s="35">
        <v>1</v>
      </c>
      <c r="H64" s="36">
        <v>6</v>
      </c>
      <c r="I64" s="37" t="s">
        <v>406</v>
      </c>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9"/>
    </row>
    <row r="65" spans="1:50">
      <c r="A65" s="80"/>
      <c r="B65" s="156"/>
      <c r="C65" s="154"/>
      <c r="D65" s="155"/>
      <c r="E65" s="40"/>
      <c r="F65" s="41"/>
      <c r="G65" s="42"/>
      <c r="H65" s="43"/>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5"/>
    </row>
    <row r="66" spans="1:50">
      <c r="A66" s="895">
        <v>3</v>
      </c>
      <c r="B66" s="896"/>
      <c r="C66" s="153" t="s">
        <v>46</v>
      </c>
      <c r="D66" s="94"/>
      <c r="E66" s="33"/>
      <c r="F66" s="34">
        <v>6</v>
      </c>
      <c r="G66" s="35">
        <v>1</v>
      </c>
      <c r="H66" s="36">
        <v>7</v>
      </c>
      <c r="I66" s="37" t="s">
        <v>407</v>
      </c>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9"/>
    </row>
    <row r="67" spans="1:50">
      <c r="A67" s="80"/>
      <c r="B67" s="156"/>
      <c r="C67" s="154"/>
      <c r="D67" s="155"/>
      <c r="E67" s="40"/>
      <c r="F67" s="41"/>
      <c r="G67" s="42"/>
      <c r="H67" s="43"/>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5"/>
    </row>
    <row r="68" spans="1:50">
      <c r="A68" s="895">
        <v>4</v>
      </c>
      <c r="B68" s="896"/>
      <c r="C68" s="153" t="s">
        <v>46</v>
      </c>
      <c r="D68" s="94"/>
      <c r="E68" s="33"/>
      <c r="F68" s="34">
        <v>6</v>
      </c>
      <c r="G68" s="35">
        <v>3</v>
      </c>
      <c r="H68" s="36">
        <v>1</v>
      </c>
      <c r="I68" s="37" t="s">
        <v>411</v>
      </c>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9"/>
    </row>
    <row r="69" spans="1:50">
      <c r="A69" s="46"/>
      <c r="B69" s="98"/>
      <c r="C69" s="96"/>
      <c r="D69" s="97"/>
      <c r="E69" s="47"/>
      <c r="F69" s="48"/>
      <c r="G69" s="49"/>
      <c r="H69" s="50"/>
      <c r="I69" s="95" t="s">
        <v>408</v>
      </c>
      <c r="J69" s="95"/>
      <c r="K69" s="95"/>
      <c r="L69" s="95"/>
      <c r="M69" s="95"/>
      <c r="N69" s="95"/>
      <c r="O69" s="95"/>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95"/>
      <c r="AO69" s="95"/>
      <c r="AP69" s="95"/>
      <c r="AQ69" s="95"/>
      <c r="AR69" s="95"/>
      <c r="AS69" s="95"/>
      <c r="AT69" s="95"/>
      <c r="AU69" s="95"/>
      <c r="AV69" s="95"/>
      <c r="AW69" s="95"/>
      <c r="AX69" s="14"/>
    </row>
    <row r="70" spans="1:50">
      <c r="A70" s="46"/>
      <c r="B70" s="98"/>
      <c r="C70" s="96"/>
      <c r="D70" s="97"/>
      <c r="E70" s="47"/>
      <c r="F70" s="48"/>
      <c r="G70" s="49"/>
      <c r="H70" s="50"/>
      <c r="I70" s="95" t="s">
        <v>409</v>
      </c>
      <c r="J70" s="95"/>
      <c r="K70" s="95"/>
      <c r="L70" s="95"/>
      <c r="M70" s="95"/>
      <c r="N70" s="95"/>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c r="AP70" s="95"/>
      <c r="AQ70" s="95"/>
      <c r="AR70" s="95"/>
      <c r="AS70" s="95"/>
      <c r="AT70" s="95"/>
      <c r="AU70" s="95"/>
      <c r="AV70" s="95"/>
      <c r="AW70" s="95"/>
      <c r="AX70" s="14"/>
    </row>
    <row r="71" spans="1:50">
      <c r="A71" s="46"/>
      <c r="B71" s="98"/>
      <c r="C71" s="96"/>
      <c r="D71" s="97"/>
      <c r="E71" s="47"/>
      <c r="F71" s="48"/>
      <c r="G71" s="49"/>
      <c r="H71" s="50"/>
      <c r="I71" s="95" t="s">
        <v>410</v>
      </c>
      <c r="J71" s="95"/>
      <c r="K71" s="95"/>
      <c r="L71" s="95"/>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c r="AQ71" s="95"/>
      <c r="AR71" s="95"/>
      <c r="AS71" s="95"/>
      <c r="AT71" s="95"/>
      <c r="AU71" s="95"/>
      <c r="AV71" s="95"/>
      <c r="AW71" s="95"/>
      <c r="AX71" s="14"/>
    </row>
    <row r="72" spans="1:50">
      <c r="A72" s="46"/>
      <c r="B72" s="98"/>
      <c r="C72" s="96"/>
      <c r="D72" s="97"/>
      <c r="E72" s="47"/>
      <c r="F72" s="48"/>
      <c r="G72" s="49"/>
      <c r="H72" s="50"/>
      <c r="I72" s="95" t="s">
        <v>981</v>
      </c>
      <c r="J72" s="95"/>
      <c r="K72" s="95"/>
      <c r="L72" s="95"/>
      <c r="M72" s="95"/>
      <c r="N72" s="95"/>
      <c r="O72" s="95"/>
      <c r="P72" s="95"/>
      <c r="Q72" s="95"/>
      <c r="R72" s="95"/>
      <c r="S72" s="95"/>
      <c r="T72" s="95"/>
      <c r="U72" s="95"/>
      <c r="V72" s="95"/>
      <c r="W72" s="95"/>
      <c r="X72" s="95"/>
      <c r="Y72" s="95"/>
      <c r="Z72" s="95"/>
      <c r="AA72" s="95"/>
      <c r="AB72" s="95"/>
      <c r="AC72" s="95"/>
      <c r="AD72" s="95"/>
      <c r="AE72" s="95"/>
      <c r="AF72" s="95"/>
      <c r="AG72" s="95"/>
      <c r="AH72" s="95"/>
      <c r="AI72" s="95"/>
      <c r="AJ72" s="95"/>
      <c r="AK72" s="95"/>
      <c r="AL72" s="95"/>
      <c r="AM72" s="95"/>
      <c r="AN72" s="95"/>
      <c r="AO72" s="95"/>
      <c r="AP72" s="95"/>
      <c r="AQ72" s="95"/>
      <c r="AR72" s="95"/>
      <c r="AS72" s="95"/>
      <c r="AT72" s="95"/>
      <c r="AU72" s="95"/>
      <c r="AV72" s="95"/>
      <c r="AW72" s="95"/>
      <c r="AX72" s="14"/>
    </row>
    <row r="73" spans="1:50">
      <c r="A73" s="46"/>
      <c r="B73" s="98"/>
      <c r="C73" s="96"/>
      <c r="D73" s="97"/>
      <c r="E73" s="47"/>
      <c r="F73" s="48"/>
      <c r="G73" s="49"/>
      <c r="H73" s="50"/>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c r="AQ73" s="95"/>
      <c r="AR73" s="95"/>
      <c r="AS73" s="95"/>
      <c r="AT73" s="95"/>
      <c r="AU73" s="95"/>
      <c r="AV73" s="95"/>
      <c r="AW73" s="95"/>
      <c r="AX73" s="14"/>
    </row>
    <row r="74" spans="1:50">
      <c r="A74" s="895">
        <v>5</v>
      </c>
      <c r="B74" s="896"/>
      <c r="C74" s="153" t="s">
        <v>46</v>
      </c>
      <c r="D74" s="94"/>
      <c r="E74" s="33"/>
      <c r="F74" s="34">
        <v>7</v>
      </c>
      <c r="G74" s="35">
        <v>1</v>
      </c>
      <c r="H74" s="36">
        <v>1</v>
      </c>
      <c r="I74" s="37" t="s">
        <v>412</v>
      </c>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9"/>
    </row>
    <row r="75" spans="1:50">
      <c r="A75" s="80"/>
      <c r="B75" s="156"/>
      <c r="C75" s="154"/>
      <c r="D75" s="155"/>
      <c r="E75" s="40"/>
      <c r="F75" s="41"/>
      <c r="G75" s="42"/>
      <c r="H75" s="43"/>
      <c r="I75" s="44" t="s">
        <v>413</v>
      </c>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5"/>
    </row>
    <row r="76" spans="1:50">
      <c r="A76" s="895">
        <v>6</v>
      </c>
      <c r="B76" s="896"/>
      <c r="C76" s="153" t="s">
        <v>46</v>
      </c>
      <c r="D76" s="94"/>
      <c r="E76" s="33"/>
      <c r="F76" s="34">
        <v>7</v>
      </c>
      <c r="G76" s="35">
        <v>2</v>
      </c>
      <c r="H76" s="36">
        <v>1</v>
      </c>
      <c r="I76" s="37" t="s">
        <v>425</v>
      </c>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9"/>
    </row>
    <row r="77" spans="1:50">
      <c r="A77" s="80"/>
      <c r="B77" s="156"/>
      <c r="C77" s="154"/>
      <c r="D77" s="155"/>
      <c r="E77" s="40"/>
      <c r="F77" s="41"/>
      <c r="G77" s="42"/>
      <c r="H77" s="43"/>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5"/>
    </row>
    <row r="78" spans="1:50">
      <c r="A78" s="895">
        <v>7</v>
      </c>
      <c r="B78" s="896"/>
      <c r="C78" s="153" t="s">
        <v>46</v>
      </c>
      <c r="D78" s="94"/>
      <c r="E78" s="33"/>
      <c r="F78" s="34">
        <v>10</v>
      </c>
      <c r="G78" s="35">
        <v>6</v>
      </c>
      <c r="H78" s="36">
        <v>5</v>
      </c>
      <c r="I78" s="37" t="s">
        <v>414</v>
      </c>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9"/>
    </row>
    <row r="79" spans="1:50">
      <c r="A79" s="80"/>
      <c r="B79" s="156"/>
      <c r="C79" s="154"/>
      <c r="D79" s="155"/>
      <c r="E79" s="40"/>
      <c r="F79" s="41"/>
      <c r="G79" s="42"/>
      <c r="H79" s="43"/>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5"/>
    </row>
    <row r="80" spans="1:50">
      <c r="A80" s="895">
        <v>8</v>
      </c>
      <c r="B80" s="896"/>
      <c r="C80" s="153" t="s">
        <v>78</v>
      </c>
      <c r="D80" s="94"/>
      <c r="E80" s="33"/>
      <c r="F80" s="34">
        <v>6</v>
      </c>
      <c r="G80" s="35">
        <v>4</v>
      </c>
      <c r="H80" s="36">
        <v>5</v>
      </c>
      <c r="I80" s="37" t="s">
        <v>426</v>
      </c>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9"/>
    </row>
    <row r="81" spans="1:50">
      <c r="A81" s="46"/>
      <c r="B81" s="98"/>
      <c r="C81" s="96"/>
      <c r="D81" s="97"/>
      <c r="E81" s="47"/>
      <c r="F81" s="48"/>
      <c r="G81" s="49"/>
      <c r="H81" s="50"/>
      <c r="I81" s="95" t="s">
        <v>415</v>
      </c>
      <c r="J81" s="95"/>
      <c r="K81" s="95"/>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5"/>
      <c r="AP81" s="95"/>
      <c r="AQ81" s="95"/>
      <c r="AR81" s="95"/>
      <c r="AS81" s="95"/>
      <c r="AT81" s="95"/>
      <c r="AU81" s="95"/>
      <c r="AV81" s="95"/>
      <c r="AW81" s="95"/>
      <c r="AX81" s="14"/>
    </row>
    <row r="82" spans="1:50">
      <c r="A82" s="46"/>
      <c r="B82" s="98"/>
      <c r="C82" s="96"/>
      <c r="D82" s="97"/>
      <c r="E82" s="47"/>
      <c r="F82" s="48"/>
      <c r="G82" s="49"/>
      <c r="H82" s="50"/>
      <c r="I82" s="95" t="s">
        <v>416</v>
      </c>
      <c r="J82" s="95"/>
      <c r="K82" s="95"/>
      <c r="L82" s="95"/>
      <c r="M82" s="95"/>
      <c r="N82" s="95"/>
      <c r="O82" s="95"/>
      <c r="P82" s="95"/>
      <c r="Q82" s="95"/>
      <c r="R82" s="95"/>
      <c r="S82" s="95"/>
      <c r="T82" s="95"/>
      <c r="U82" s="95"/>
      <c r="V82" s="95"/>
      <c r="W82" s="95"/>
      <c r="X82" s="95"/>
      <c r="Y82" s="95"/>
      <c r="Z82" s="95"/>
      <c r="AA82" s="95"/>
      <c r="AB82" s="95"/>
      <c r="AC82" s="95"/>
      <c r="AD82" s="95"/>
      <c r="AE82" s="95"/>
      <c r="AF82" s="95"/>
      <c r="AG82" s="95"/>
      <c r="AH82" s="95"/>
      <c r="AI82" s="95"/>
      <c r="AJ82" s="95"/>
      <c r="AK82" s="95"/>
      <c r="AL82" s="95"/>
      <c r="AM82" s="95"/>
      <c r="AN82" s="95"/>
      <c r="AO82" s="95"/>
      <c r="AP82" s="95"/>
      <c r="AQ82" s="95"/>
      <c r="AR82" s="95"/>
      <c r="AS82" s="95"/>
      <c r="AT82" s="95"/>
      <c r="AU82" s="95"/>
      <c r="AV82" s="95"/>
      <c r="AW82" s="95"/>
      <c r="AX82" s="14"/>
    </row>
    <row r="83" spans="1:50">
      <c r="A83" s="46"/>
      <c r="B83" s="98"/>
      <c r="C83" s="96"/>
      <c r="D83" s="97"/>
      <c r="E83" s="47"/>
      <c r="F83" s="48"/>
      <c r="G83" s="49"/>
      <c r="H83" s="50"/>
      <c r="I83" s="95" t="s">
        <v>417</v>
      </c>
      <c r="J83" s="95"/>
      <c r="K83" s="95"/>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5"/>
      <c r="AP83" s="95"/>
      <c r="AQ83" s="95"/>
      <c r="AR83" s="95"/>
      <c r="AS83" s="95"/>
      <c r="AT83" s="95"/>
      <c r="AU83" s="95"/>
      <c r="AV83" s="95"/>
      <c r="AW83" s="95"/>
      <c r="AX83" s="14"/>
    </row>
    <row r="84" spans="1:50">
      <c r="A84" s="46"/>
      <c r="B84" s="98"/>
      <c r="C84" s="96"/>
      <c r="D84" s="97"/>
      <c r="E84" s="47"/>
      <c r="F84" s="48"/>
      <c r="G84" s="49"/>
      <c r="H84" s="50"/>
      <c r="I84" s="95" t="s">
        <v>421</v>
      </c>
      <c r="J84" s="95"/>
      <c r="K84" s="95"/>
      <c r="L84" s="95"/>
      <c r="M84" s="95"/>
      <c r="N84" s="95"/>
      <c r="O84" s="95"/>
      <c r="P84" s="95"/>
      <c r="Q84" s="95"/>
      <c r="R84" s="95"/>
      <c r="S84" s="95"/>
      <c r="T84" s="95"/>
      <c r="U84" s="95"/>
      <c r="V84" s="95"/>
      <c r="W84" s="95"/>
      <c r="X84" s="95"/>
      <c r="Y84" s="95"/>
      <c r="Z84" s="95"/>
      <c r="AA84" s="95"/>
      <c r="AB84" s="95"/>
      <c r="AC84" s="95"/>
      <c r="AD84" s="95"/>
      <c r="AE84" s="95"/>
      <c r="AF84" s="95"/>
      <c r="AG84" s="95"/>
      <c r="AH84" s="95"/>
      <c r="AI84" s="95"/>
      <c r="AJ84" s="95"/>
      <c r="AK84" s="95"/>
      <c r="AL84" s="95"/>
      <c r="AM84" s="95"/>
      <c r="AN84" s="95"/>
      <c r="AO84" s="95"/>
      <c r="AP84" s="95"/>
      <c r="AQ84" s="95"/>
      <c r="AR84" s="95"/>
      <c r="AS84" s="95"/>
      <c r="AT84" s="95"/>
      <c r="AU84" s="95"/>
      <c r="AV84" s="95"/>
      <c r="AW84" s="95"/>
      <c r="AX84" s="14"/>
    </row>
    <row r="85" spans="1:50">
      <c r="A85" s="46"/>
      <c r="B85" s="98"/>
      <c r="C85" s="96"/>
      <c r="D85" s="97"/>
      <c r="E85" s="47"/>
      <c r="F85" s="48"/>
      <c r="G85" s="49"/>
      <c r="H85" s="50"/>
      <c r="I85" s="95" t="s">
        <v>422</v>
      </c>
      <c r="J85" s="95"/>
      <c r="K85" s="95"/>
      <c r="L85" s="95"/>
      <c r="M85" s="95"/>
      <c r="N85" s="95"/>
      <c r="O85" s="95"/>
      <c r="P85" s="95"/>
      <c r="Q85" s="95"/>
      <c r="R85" s="95"/>
      <c r="S85" s="95"/>
      <c r="T85" s="95"/>
      <c r="U85" s="95"/>
      <c r="V85" s="95"/>
      <c r="W85" s="95"/>
      <c r="X85" s="95"/>
      <c r="Y85" s="95"/>
      <c r="Z85" s="95"/>
      <c r="AA85" s="95"/>
      <c r="AB85" s="95"/>
      <c r="AC85" s="95"/>
      <c r="AD85" s="95"/>
      <c r="AE85" s="95"/>
      <c r="AF85" s="95"/>
      <c r="AG85" s="95"/>
      <c r="AH85" s="95"/>
      <c r="AI85" s="95"/>
      <c r="AJ85" s="95"/>
      <c r="AK85" s="95"/>
      <c r="AL85" s="95"/>
      <c r="AM85" s="95"/>
      <c r="AN85" s="95"/>
      <c r="AO85" s="95"/>
      <c r="AP85" s="95"/>
      <c r="AQ85" s="95"/>
      <c r="AR85" s="95"/>
      <c r="AS85" s="95"/>
      <c r="AT85" s="95"/>
      <c r="AU85" s="95"/>
      <c r="AV85" s="95"/>
      <c r="AW85" s="95"/>
      <c r="AX85" s="14"/>
    </row>
    <row r="86" spans="1:50">
      <c r="A86" s="46"/>
      <c r="B86" s="98"/>
      <c r="C86" s="96"/>
      <c r="D86" s="97"/>
      <c r="E86" s="47"/>
      <c r="F86" s="48"/>
      <c r="G86" s="49"/>
      <c r="H86" s="50"/>
      <c r="I86" s="95" t="s">
        <v>423</v>
      </c>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14"/>
    </row>
    <row r="87" spans="1:50">
      <c r="A87" s="46"/>
      <c r="B87" s="98"/>
      <c r="C87" s="96"/>
      <c r="D87" s="97"/>
      <c r="E87" s="47"/>
      <c r="F87" s="48"/>
      <c r="G87" s="49"/>
      <c r="H87" s="50"/>
      <c r="I87" s="95" t="s">
        <v>418</v>
      </c>
      <c r="J87" s="95"/>
      <c r="K87" s="95"/>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5"/>
      <c r="AP87" s="95"/>
      <c r="AQ87" s="95"/>
      <c r="AR87" s="95"/>
      <c r="AS87" s="95"/>
      <c r="AT87" s="95"/>
      <c r="AU87" s="95"/>
      <c r="AV87" s="95"/>
      <c r="AW87" s="95"/>
      <c r="AX87" s="14"/>
    </row>
    <row r="88" spans="1:50">
      <c r="A88" s="46"/>
      <c r="B88" s="98"/>
      <c r="C88" s="96"/>
      <c r="D88" s="97"/>
      <c r="E88" s="47"/>
      <c r="F88" s="48"/>
      <c r="G88" s="49"/>
      <c r="H88" s="50"/>
      <c r="I88" s="95" t="s">
        <v>424</v>
      </c>
      <c r="J88" s="95"/>
      <c r="K88" s="95"/>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5"/>
      <c r="AP88" s="95"/>
      <c r="AQ88" s="95"/>
      <c r="AR88" s="95"/>
      <c r="AS88" s="95"/>
      <c r="AT88" s="95"/>
      <c r="AU88" s="95"/>
      <c r="AV88" s="95"/>
      <c r="AW88" s="95"/>
      <c r="AX88" s="14"/>
    </row>
    <row r="89" spans="1:50">
      <c r="A89" s="46"/>
      <c r="B89" s="98"/>
      <c r="C89" s="96"/>
      <c r="D89" s="97"/>
      <c r="E89" s="47"/>
      <c r="F89" s="48"/>
      <c r="G89" s="49"/>
      <c r="H89" s="50"/>
      <c r="I89" s="95" t="s">
        <v>419</v>
      </c>
      <c r="J89" s="95"/>
      <c r="K89" s="95"/>
      <c r="L89" s="95"/>
      <c r="M89" s="95"/>
      <c r="N89" s="95"/>
      <c r="O89" s="95"/>
      <c r="P89" s="95"/>
      <c r="Q89" s="95"/>
      <c r="R89" s="95"/>
      <c r="S89" s="95"/>
      <c r="T89" s="95"/>
      <c r="U89" s="95"/>
      <c r="V89" s="95"/>
      <c r="W89" s="95"/>
      <c r="X89" s="95"/>
      <c r="Y89" s="95"/>
      <c r="Z89" s="95"/>
      <c r="AA89" s="95"/>
      <c r="AB89" s="95"/>
      <c r="AC89" s="95"/>
      <c r="AD89" s="95"/>
      <c r="AE89" s="95"/>
      <c r="AF89" s="95"/>
      <c r="AG89" s="95"/>
      <c r="AH89" s="95"/>
      <c r="AI89" s="95"/>
      <c r="AJ89" s="95"/>
      <c r="AK89" s="95"/>
      <c r="AL89" s="95"/>
      <c r="AM89" s="95"/>
      <c r="AN89" s="95"/>
      <c r="AO89" s="95"/>
      <c r="AP89" s="95"/>
      <c r="AQ89" s="95"/>
      <c r="AR89" s="95"/>
      <c r="AS89" s="95"/>
      <c r="AT89" s="95"/>
      <c r="AU89" s="95"/>
      <c r="AV89" s="95"/>
      <c r="AW89" s="95"/>
      <c r="AX89" s="14"/>
    </row>
    <row r="90" spans="1:50">
      <c r="A90" s="80"/>
      <c r="B90" s="156"/>
      <c r="C90" s="154"/>
      <c r="D90" s="155"/>
      <c r="E90" s="40"/>
      <c r="F90" s="41"/>
      <c r="G90" s="42"/>
      <c r="H90" s="43"/>
      <c r="I90" s="44" t="s">
        <v>420</v>
      </c>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5"/>
    </row>
    <row r="91" spans="1:50">
      <c r="A91" s="17" t="s">
        <v>58</v>
      </c>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9"/>
    </row>
    <row r="92" spans="1:50">
      <c r="A92" s="12"/>
      <c r="B92" s="102" t="s">
        <v>62</v>
      </c>
      <c r="C92" s="95" t="s">
        <v>341</v>
      </c>
      <c r="D92" s="95"/>
      <c r="E92" s="95"/>
      <c r="F92" s="95"/>
      <c r="G92" s="95"/>
      <c r="H92" s="95"/>
      <c r="I92" s="95"/>
      <c r="J92" s="95"/>
      <c r="K92" s="95"/>
      <c r="L92" s="95"/>
      <c r="M92" s="95"/>
      <c r="N92" s="95"/>
      <c r="O92" s="95"/>
      <c r="P92" s="95"/>
      <c r="Q92" s="95"/>
      <c r="R92" s="95"/>
      <c r="S92" s="95"/>
      <c r="T92" s="95"/>
      <c r="U92" s="95"/>
      <c r="V92" s="95"/>
      <c r="W92" s="95"/>
      <c r="X92" s="95"/>
      <c r="Y92" s="95"/>
      <c r="Z92" s="95"/>
      <c r="AA92" s="95"/>
      <c r="AB92" s="95"/>
      <c r="AC92" s="95"/>
      <c r="AD92" s="95"/>
      <c r="AE92" s="95"/>
      <c r="AF92" s="95"/>
      <c r="AG92" s="95"/>
      <c r="AH92" s="95"/>
      <c r="AI92" s="95"/>
      <c r="AJ92" s="95"/>
      <c r="AK92" s="95"/>
      <c r="AL92" s="95"/>
      <c r="AM92" s="95"/>
      <c r="AN92" s="95"/>
      <c r="AO92" s="95"/>
      <c r="AP92" s="95"/>
      <c r="AQ92" s="95"/>
      <c r="AR92" s="95"/>
      <c r="AS92" s="95"/>
      <c r="AT92" s="95"/>
      <c r="AU92" s="95"/>
      <c r="AV92" s="95"/>
      <c r="AW92" s="95"/>
      <c r="AX92" s="14"/>
    </row>
    <row r="93" spans="1:50" ht="12.75" thickBot="1">
      <c r="A93" s="51"/>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3"/>
    </row>
  </sheetData>
  <mergeCells count="33">
    <mergeCell ref="W1:AC1"/>
    <mergeCell ref="AD1:AG1"/>
    <mergeCell ref="AH1:AL1"/>
    <mergeCell ref="AM1:AP1"/>
    <mergeCell ref="S3:V3"/>
    <mergeCell ref="W3:AL3"/>
    <mergeCell ref="A1:G3"/>
    <mergeCell ref="H1:K1"/>
    <mergeCell ref="L1:R1"/>
    <mergeCell ref="A62:B62"/>
    <mergeCell ref="A74:B74"/>
    <mergeCell ref="AQ3:AT3"/>
    <mergeCell ref="AQ1:AT1"/>
    <mergeCell ref="AU1:AX1"/>
    <mergeCell ref="H2:K2"/>
    <mergeCell ref="L2:R2"/>
    <mergeCell ref="S2:V2"/>
    <mergeCell ref="W2:AC2"/>
    <mergeCell ref="AD2:AG2"/>
    <mergeCell ref="AH2:AL2"/>
    <mergeCell ref="AM2:AP2"/>
    <mergeCell ref="AQ2:AT2"/>
    <mergeCell ref="AU2:AX3"/>
    <mergeCell ref="H3:K3"/>
    <mergeCell ref="L3:R3"/>
    <mergeCell ref="AM3:AP3"/>
    <mergeCell ref="S1:V1"/>
    <mergeCell ref="A76:B76"/>
    <mergeCell ref="A78:B78"/>
    <mergeCell ref="A80:B80"/>
    <mergeCell ref="A68:B68"/>
    <mergeCell ref="A64:B64"/>
    <mergeCell ref="A66:B66"/>
  </mergeCells>
  <phoneticPr fontId="3"/>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rowBreaks count="1" manualBreakCount="1">
    <brk id="52" max="4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pageSetUpPr fitToPage="1"/>
  </sheetPr>
  <dimension ref="A1:AX44"/>
  <sheetViews>
    <sheetView showGridLines="0" zoomScaleNormal="100" zoomScaleSheetLayoutView="115" workbookViewId="0">
      <selection activeCell="Z8" sqref="Z8"/>
    </sheetView>
  </sheetViews>
  <sheetFormatPr defaultColWidth="9.33203125" defaultRowHeight="12"/>
  <cols>
    <col min="1" max="50" width="3.33203125" style="1" customWidth="1"/>
    <col min="51" max="51" width="1.83203125" style="1" customWidth="1"/>
    <col min="52" max="16384" width="9.33203125" style="1"/>
  </cols>
  <sheetData>
    <row r="1" spans="1:50">
      <c r="A1" s="940" t="s">
        <v>59</v>
      </c>
      <c r="B1" s="941"/>
      <c r="C1" s="941"/>
      <c r="D1" s="941"/>
      <c r="E1" s="941"/>
      <c r="F1" s="941"/>
      <c r="G1" s="942"/>
      <c r="H1" s="949" t="s">
        <v>2</v>
      </c>
      <c r="I1" s="938"/>
      <c r="J1" s="938"/>
      <c r="K1" s="939"/>
      <c r="L1" s="950" t="str">
        <f>IF(顧客名="","",顧客名)</f>
        <v>株式会社XXXX殿</v>
      </c>
      <c r="M1" s="951"/>
      <c r="N1" s="951"/>
      <c r="O1" s="951"/>
      <c r="P1" s="951"/>
      <c r="Q1" s="951"/>
      <c r="R1" s="952"/>
      <c r="S1" s="937" t="s">
        <v>7</v>
      </c>
      <c r="T1" s="938"/>
      <c r="U1" s="938"/>
      <c r="V1" s="939"/>
      <c r="W1" s="950" t="str">
        <f>IF(システム="","",システム)</f>
        <v>mcframe7</v>
      </c>
      <c r="X1" s="951"/>
      <c r="Y1" s="951"/>
      <c r="Z1" s="951"/>
      <c r="AA1" s="951"/>
      <c r="AB1" s="951"/>
      <c r="AC1" s="952"/>
      <c r="AD1" s="903" t="s">
        <v>8</v>
      </c>
      <c r="AE1" s="904"/>
      <c r="AF1" s="904"/>
      <c r="AG1" s="953"/>
      <c r="AH1" s="954" t="str">
        <f>IF(作成者="","",作成者)</f>
        <v>XX</v>
      </c>
      <c r="AI1" s="955"/>
      <c r="AJ1" s="955"/>
      <c r="AK1" s="955"/>
      <c r="AL1" s="956"/>
      <c r="AM1" s="903" t="s">
        <v>9</v>
      </c>
      <c r="AN1" s="904"/>
      <c r="AO1" s="904"/>
      <c r="AP1" s="953"/>
      <c r="AQ1" s="900">
        <f>IF(作成日="","",作成日)</f>
        <v>42881</v>
      </c>
      <c r="AR1" s="901"/>
      <c r="AS1" s="901"/>
      <c r="AT1" s="902"/>
      <c r="AU1" s="903" t="s">
        <v>0</v>
      </c>
      <c r="AV1" s="904"/>
      <c r="AW1" s="904"/>
      <c r="AX1" s="905"/>
    </row>
    <row r="2" spans="1:50">
      <c r="A2" s="943"/>
      <c r="B2" s="944"/>
      <c r="C2" s="944"/>
      <c r="D2" s="944"/>
      <c r="E2" s="944"/>
      <c r="F2" s="944"/>
      <c r="G2" s="945"/>
      <c r="H2" s="906" t="s">
        <v>10</v>
      </c>
      <c r="I2" s="907"/>
      <c r="J2" s="907"/>
      <c r="K2" s="908"/>
      <c r="L2" s="909" t="str">
        <f>IF(プロジェクト名="","",プロジェクト名)</f>
        <v>新基幹システム構築プロジェクト</v>
      </c>
      <c r="M2" s="910"/>
      <c r="N2" s="910"/>
      <c r="O2" s="910"/>
      <c r="P2" s="910"/>
      <c r="Q2" s="910"/>
      <c r="R2" s="911"/>
      <c r="S2" s="912" t="s">
        <v>41</v>
      </c>
      <c r="T2" s="907"/>
      <c r="U2" s="907"/>
      <c r="V2" s="908"/>
      <c r="W2" s="909" t="str">
        <f>IF(サブシステム="","",サブシステム)</f>
        <v>SCM</v>
      </c>
      <c r="X2" s="910"/>
      <c r="Y2" s="910"/>
      <c r="Z2" s="910"/>
      <c r="AA2" s="910"/>
      <c r="AB2" s="910"/>
      <c r="AC2" s="911"/>
      <c r="AD2" s="913" t="s">
        <v>11</v>
      </c>
      <c r="AE2" s="914"/>
      <c r="AF2" s="914"/>
      <c r="AG2" s="915"/>
      <c r="AH2" s="916" t="str">
        <f>IF(修正者="","",修正者)</f>
        <v>XX</v>
      </c>
      <c r="AI2" s="917"/>
      <c r="AJ2" s="917"/>
      <c r="AK2" s="917"/>
      <c r="AL2" s="918"/>
      <c r="AM2" s="919" t="s">
        <v>12</v>
      </c>
      <c r="AN2" s="920"/>
      <c r="AO2" s="920"/>
      <c r="AP2" s="921"/>
      <c r="AQ2" s="922">
        <f>IF(修正日="","",修正日)</f>
        <v>43007</v>
      </c>
      <c r="AR2" s="923"/>
      <c r="AS2" s="923"/>
      <c r="AT2" s="923"/>
      <c r="AU2" s="924" t="str">
        <f>IF(文書番号="","",文書番号)</f>
        <v>XX-XX-9999</v>
      </c>
      <c r="AV2" s="925"/>
      <c r="AW2" s="925"/>
      <c r="AX2" s="926"/>
    </row>
    <row r="3" spans="1:50" ht="12.75" thickBot="1">
      <c r="A3" s="946"/>
      <c r="B3" s="947"/>
      <c r="C3" s="947"/>
      <c r="D3" s="947"/>
      <c r="E3" s="947"/>
      <c r="F3" s="947"/>
      <c r="G3" s="948"/>
      <c r="H3" s="930" t="s">
        <v>14</v>
      </c>
      <c r="I3" s="930"/>
      <c r="J3" s="930"/>
      <c r="K3" s="931"/>
      <c r="L3" s="932" t="str">
        <f>IF(機能ID="","",機能ID)</f>
        <v>MSBDP0080</v>
      </c>
      <c r="M3" s="933"/>
      <c r="N3" s="933"/>
      <c r="O3" s="933"/>
      <c r="P3" s="933"/>
      <c r="Q3" s="933"/>
      <c r="R3" s="933"/>
      <c r="S3" s="957" t="s">
        <v>15</v>
      </c>
      <c r="T3" s="930"/>
      <c r="U3" s="930"/>
      <c r="V3" s="931"/>
      <c r="W3" s="932" t="str">
        <f>IF(機能名="","",機能名)</f>
        <v>発注登録</v>
      </c>
      <c r="X3" s="958"/>
      <c r="Y3" s="958"/>
      <c r="Z3" s="958"/>
      <c r="AA3" s="958"/>
      <c r="AB3" s="958"/>
      <c r="AC3" s="958"/>
      <c r="AD3" s="958"/>
      <c r="AE3" s="958"/>
      <c r="AF3" s="958"/>
      <c r="AG3" s="958"/>
      <c r="AH3" s="958"/>
      <c r="AI3" s="958"/>
      <c r="AJ3" s="958"/>
      <c r="AK3" s="958"/>
      <c r="AL3" s="959"/>
      <c r="AM3" s="934" t="s">
        <v>13</v>
      </c>
      <c r="AN3" s="935"/>
      <c r="AO3" s="935"/>
      <c r="AP3" s="936"/>
      <c r="AQ3" s="897" t="str">
        <f>IF(Rev="","",Rev)</f>
        <v>r02.00</v>
      </c>
      <c r="AR3" s="898"/>
      <c r="AS3" s="898"/>
      <c r="AT3" s="899"/>
      <c r="AU3" s="927"/>
      <c r="AV3" s="928"/>
      <c r="AW3" s="928"/>
      <c r="AX3" s="929"/>
    </row>
    <row r="4" spans="1:50" ht="12.75" thickBot="1"/>
    <row r="5" spans="1:50" ht="12.75" thickBo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54"/>
      <c r="AX5" s="55"/>
    </row>
    <row r="6" spans="1:50" ht="12.75" thickTop="1">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56"/>
      <c r="AX6" s="57"/>
    </row>
    <row r="7" spans="1:50">
      <c r="A7" s="12"/>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58"/>
      <c r="AX7" s="59"/>
    </row>
    <row r="8" spans="1:50">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58"/>
      <c r="AX8" s="59"/>
    </row>
    <row r="9" spans="1:50">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58"/>
      <c r="AX9" s="59"/>
    </row>
    <row r="10" spans="1:50">
      <c r="A10" s="12"/>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58"/>
      <c r="AX10" s="59"/>
    </row>
    <row r="11" spans="1:50">
      <c r="A11" s="12"/>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58"/>
      <c r="AX11" s="59"/>
    </row>
    <row r="12" spans="1:50">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58"/>
      <c r="AX12" s="59"/>
    </row>
    <row r="13" spans="1:50">
      <c r="A13" s="12"/>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58"/>
      <c r="AX13" s="59"/>
    </row>
    <row r="14" spans="1:50">
      <c r="A14" s="12"/>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58"/>
      <c r="AX14" s="59"/>
    </row>
    <row r="15" spans="1:50">
      <c r="A15" s="12"/>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58"/>
      <c r="AX15" s="59"/>
    </row>
    <row r="16" spans="1:50">
      <c r="A16" s="12"/>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58"/>
      <c r="AX16" s="59"/>
    </row>
    <row r="17" spans="1:50">
      <c r="A17" s="12"/>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58"/>
      <c r="AX17" s="59"/>
    </row>
    <row r="18" spans="1:50">
      <c r="A18" s="12"/>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58"/>
      <c r="AX18" s="59"/>
    </row>
    <row r="19" spans="1:50">
      <c r="A19" s="12"/>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58"/>
      <c r="AX19" s="59"/>
    </row>
    <row r="20" spans="1:50">
      <c r="A20" s="12"/>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58"/>
      <c r="AX20" s="59"/>
    </row>
    <row r="21" spans="1:50">
      <c r="A21" s="12"/>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58"/>
      <c r="AX21" s="59"/>
    </row>
    <row r="22" spans="1:50">
      <c r="A22" s="12"/>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58"/>
      <c r="AX22" s="59"/>
    </row>
    <row r="23" spans="1:50">
      <c r="A23" s="12"/>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58"/>
      <c r="AX23" s="59"/>
    </row>
    <row r="24" spans="1:50">
      <c r="A24" s="12"/>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58"/>
      <c r="AX24" s="59"/>
    </row>
    <row r="25" spans="1:50">
      <c r="A25" s="12"/>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58"/>
      <c r="AX25" s="59"/>
    </row>
    <row r="26" spans="1:50">
      <c r="A26" s="12"/>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58"/>
      <c r="AX26" s="59"/>
    </row>
    <row r="27" spans="1:50">
      <c r="A27" s="12"/>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58"/>
      <c r="AX27" s="59"/>
    </row>
    <row r="28" spans="1:50">
      <c r="A28" s="12"/>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58"/>
      <c r="AX28" s="59"/>
    </row>
    <row r="29" spans="1:50">
      <c r="A29" s="12"/>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58"/>
      <c r="AX29" s="59"/>
    </row>
    <row r="30" spans="1:50">
      <c r="A30" s="12"/>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58"/>
      <c r="AX30" s="59"/>
    </row>
    <row r="31" spans="1:50">
      <c r="A31" s="12"/>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58"/>
      <c r="AX31" s="59"/>
    </row>
    <row r="32" spans="1:50">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58"/>
      <c r="AX32" s="59"/>
    </row>
    <row r="33" spans="1:50">
      <c r="A33" s="12"/>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58"/>
      <c r="AX33" s="59"/>
    </row>
    <row r="34" spans="1:50">
      <c r="A34" s="12"/>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58"/>
      <c r="AX34" s="59"/>
    </row>
    <row r="35" spans="1:50">
      <c r="A35" s="12"/>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58"/>
      <c r="AX35" s="59"/>
    </row>
    <row r="36" spans="1:50">
      <c r="A36" s="12"/>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58"/>
      <c r="AX36" s="59"/>
    </row>
    <row r="37" spans="1:50">
      <c r="A37" s="12"/>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58"/>
      <c r="AX37" s="59"/>
    </row>
    <row r="38" spans="1:50">
      <c r="A38" s="12"/>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58"/>
      <c r="AX38" s="59"/>
    </row>
    <row r="39" spans="1:50">
      <c r="A39" s="12"/>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58"/>
      <c r="AX39" s="59"/>
    </row>
    <row r="40" spans="1:50">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58"/>
      <c r="AX40" s="59"/>
    </row>
    <row r="41" spans="1:50">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58"/>
      <c r="AX41" s="59"/>
    </row>
    <row r="42" spans="1:50">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58"/>
      <c r="AX42" s="59"/>
    </row>
    <row r="43" spans="1:50">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58"/>
      <c r="AX43" s="59"/>
    </row>
    <row r="44" spans="1:50" ht="12.75" thickBot="1">
      <c r="A44" s="51"/>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60"/>
      <c r="AX44" s="61"/>
    </row>
  </sheetData>
  <mergeCells count="25">
    <mergeCell ref="AM1:AP1"/>
    <mergeCell ref="AQ1:AT1"/>
    <mergeCell ref="A1:G3"/>
    <mergeCell ref="H1:K1"/>
    <mergeCell ref="L1:R1"/>
    <mergeCell ref="S1:V1"/>
    <mergeCell ref="W1:AC1"/>
    <mergeCell ref="S3:V3"/>
    <mergeCell ref="W3:AL3"/>
    <mergeCell ref="AU1:AX1"/>
    <mergeCell ref="H2:K2"/>
    <mergeCell ref="L2:R2"/>
    <mergeCell ref="S2:V2"/>
    <mergeCell ref="W2:AC2"/>
    <mergeCell ref="AD2:AG2"/>
    <mergeCell ref="AH2:AL2"/>
    <mergeCell ref="AD1:AG1"/>
    <mergeCell ref="AM2:AP2"/>
    <mergeCell ref="AQ2:AT2"/>
    <mergeCell ref="AU2:AX3"/>
    <mergeCell ref="H3:K3"/>
    <mergeCell ref="L3:R3"/>
    <mergeCell ref="AM3:AP3"/>
    <mergeCell ref="AQ3:AT3"/>
    <mergeCell ref="AH1:AL1"/>
  </mergeCells>
  <phoneticPr fontId="3"/>
  <dataValidations count="1">
    <dataValidation imeMode="off" allowBlank="1" showInputMessage="1" showErrorMessage="1" sqref="AW6:AX44"/>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pageSetUpPr fitToPage="1"/>
  </sheetPr>
  <dimension ref="A1:AY39"/>
  <sheetViews>
    <sheetView showGridLines="0" zoomScaleNormal="100" zoomScaleSheetLayoutView="100" workbookViewId="0">
      <selection activeCell="AO24" sqref="AO24"/>
    </sheetView>
  </sheetViews>
  <sheetFormatPr defaultRowHeight="13.5" customHeight="1"/>
  <cols>
    <col min="1" max="50" width="3.33203125" style="165" customWidth="1"/>
    <col min="51" max="51" width="3.33203125" style="166" customWidth="1"/>
    <col min="52" max="256" width="9.33203125" style="165"/>
    <col min="257" max="307" width="3.6640625" style="165" customWidth="1"/>
    <col min="308" max="512" width="9.33203125" style="165"/>
    <col min="513" max="563" width="3.6640625" style="165" customWidth="1"/>
    <col min="564" max="768" width="9.33203125" style="165"/>
    <col min="769" max="819" width="3.6640625" style="165" customWidth="1"/>
    <col min="820" max="1024" width="9.33203125" style="165"/>
    <col min="1025" max="1075" width="3.6640625" style="165" customWidth="1"/>
    <col min="1076" max="1280" width="9.33203125" style="165"/>
    <col min="1281" max="1331" width="3.6640625" style="165" customWidth="1"/>
    <col min="1332" max="1536" width="9.33203125" style="165"/>
    <col min="1537" max="1587" width="3.6640625" style="165" customWidth="1"/>
    <col min="1588" max="1792" width="9.33203125" style="165"/>
    <col min="1793" max="1843" width="3.6640625" style="165" customWidth="1"/>
    <col min="1844" max="2048" width="9.33203125" style="165"/>
    <col min="2049" max="2099" width="3.6640625" style="165" customWidth="1"/>
    <col min="2100" max="2304" width="9.33203125" style="165"/>
    <col min="2305" max="2355" width="3.6640625" style="165" customWidth="1"/>
    <col min="2356" max="2560" width="9.33203125" style="165"/>
    <col min="2561" max="2611" width="3.6640625" style="165" customWidth="1"/>
    <col min="2612" max="2816" width="9.33203125" style="165"/>
    <col min="2817" max="2867" width="3.6640625" style="165" customWidth="1"/>
    <col min="2868" max="3072" width="9.33203125" style="165"/>
    <col min="3073" max="3123" width="3.6640625" style="165" customWidth="1"/>
    <col min="3124" max="3328" width="9.33203125" style="165"/>
    <col min="3329" max="3379" width="3.6640625" style="165" customWidth="1"/>
    <col min="3380" max="3584" width="9.33203125" style="165"/>
    <col min="3585" max="3635" width="3.6640625" style="165" customWidth="1"/>
    <col min="3636" max="3840" width="9.33203125" style="165"/>
    <col min="3841" max="3891" width="3.6640625" style="165" customWidth="1"/>
    <col min="3892" max="4096" width="9.33203125" style="165"/>
    <col min="4097" max="4147" width="3.6640625" style="165" customWidth="1"/>
    <col min="4148" max="4352" width="9.33203125" style="165"/>
    <col min="4353" max="4403" width="3.6640625" style="165" customWidth="1"/>
    <col min="4404" max="4608" width="9.33203125" style="165"/>
    <col min="4609" max="4659" width="3.6640625" style="165" customWidth="1"/>
    <col min="4660" max="4864" width="9.33203125" style="165"/>
    <col min="4865" max="4915" width="3.6640625" style="165" customWidth="1"/>
    <col min="4916" max="5120" width="9.33203125" style="165"/>
    <col min="5121" max="5171" width="3.6640625" style="165" customWidth="1"/>
    <col min="5172" max="5376" width="9.33203125" style="165"/>
    <col min="5377" max="5427" width="3.6640625" style="165" customWidth="1"/>
    <col min="5428" max="5632" width="9.33203125" style="165"/>
    <col min="5633" max="5683" width="3.6640625" style="165" customWidth="1"/>
    <col min="5684" max="5888" width="9.33203125" style="165"/>
    <col min="5889" max="5939" width="3.6640625" style="165" customWidth="1"/>
    <col min="5940" max="6144" width="9.33203125" style="165"/>
    <col min="6145" max="6195" width="3.6640625" style="165" customWidth="1"/>
    <col min="6196" max="6400" width="9.33203125" style="165"/>
    <col min="6401" max="6451" width="3.6640625" style="165" customWidth="1"/>
    <col min="6452" max="6656" width="9.33203125" style="165"/>
    <col min="6657" max="6707" width="3.6640625" style="165" customWidth="1"/>
    <col min="6708" max="6912" width="9.33203125" style="165"/>
    <col min="6913" max="6963" width="3.6640625" style="165" customWidth="1"/>
    <col min="6964" max="7168" width="9.33203125" style="165"/>
    <col min="7169" max="7219" width="3.6640625" style="165" customWidth="1"/>
    <col min="7220" max="7424" width="9.33203125" style="165"/>
    <col min="7425" max="7475" width="3.6640625" style="165" customWidth="1"/>
    <col min="7476" max="7680" width="9.33203125" style="165"/>
    <col min="7681" max="7731" width="3.6640625" style="165" customWidth="1"/>
    <col min="7732" max="7936" width="9.33203125" style="165"/>
    <col min="7937" max="7987" width="3.6640625" style="165" customWidth="1"/>
    <col min="7988" max="8192" width="9.33203125" style="165"/>
    <col min="8193" max="8243" width="3.6640625" style="165" customWidth="1"/>
    <col min="8244" max="8448" width="9.33203125" style="165"/>
    <col min="8449" max="8499" width="3.6640625" style="165" customWidth="1"/>
    <col min="8500" max="8704" width="9.33203125" style="165"/>
    <col min="8705" max="8755" width="3.6640625" style="165" customWidth="1"/>
    <col min="8756" max="8960" width="9.33203125" style="165"/>
    <col min="8961" max="9011" width="3.6640625" style="165" customWidth="1"/>
    <col min="9012" max="9216" width="9.33203125" style="165"/>
    <col min="9217" max="9267" width="3.6640625" style="165" customWidth="1"/>
    <col min="9268" max="9472" width="9.33203125" style="165"/>
    <col min="9473" max="9523" width="3.6640625" style="165" customWidth="1"/>
    <col min="9524" max="9728" width="9.33203125" style="165"/>
    <col min="9729" max="9779" width="3.6640625" style="165" customWidth="1"/>
    <col min="9780" max="9984" width="9.33203125" style="165"/>
    <col min="9985" max="10035" width="3.6640625" style="165" customWidth="1"/>
    <col min="10036" max="10240" width="9.33203125" style="165"/>
    <col min="10241" max="10291" width="3.6640625" style="165" customWidth="1"/>
    <col min="10292" max="10496" width="9.33203125" style="165"/>
    <col min="10497" max="10547" width="3.6640625" style="165" customWidth="1"/>
    <col min="10548" max="10752" width="9.33203125" style="165"/>
    <col min="10753" max="10803" width="3.6640625" style="165" customWidth="1"/>
    <col min="10804" max="11008" width="9.33203125" style="165"/>
    <col min="11009" max="11059" width="3.6640625" style="165" customWidth="1"/>
    <col min="11060" max="11264" width="9.33203125" style="165"/>
    <col min="11265" max="11315" width="3.6640625" style="165" customWidth="1"/>
    <col min="11316" max="11520" width="9.33203125" style="165"/>
    <col min="11521" max="11571" width="3.6640625" style="165" customWidth="1"/>
    <col min="11572" max="11776" width="9.33203125" style="165"/>
    <col min="11777" max="11827" width="3.6640625" style="165" customWidth="1"/>
    <col min="11828" max="12032" width="9.33203125" style="165"/>
    <col min="12033" max="12083" width="3.6640625" style="165" customWidth="1"/>
    <col min="12084" max="12288" width="9.33203125" style="165"/>
    <col min="12289" max="12339" width="3.6640625" style="165" customWidth="1"/>
    <col min="12340" max="12544" width="9.33203125" style="165"/>
    <col min="12545" max="12595" width="3.6640625" style="165" customWidth="1"/>
    <col min="12596" max="12800" width="9.33203125" style="165"/>
    <col min="12801" max="12851" width="3.6640625" style="165" customWidth="1"/>
    <col min="12852" max="13056" width="9.33203125" style="165"/>
    <col min="13057" max="13107" width="3.6640625" style="165" customWidth="1"/>
    <col min="13108" max="13312" width="9.33203125" style="165"/>
    <col min="13313" max="13363" width="3.6640625" style="165" customWidth="1"/>
    <col min="13364" max="13568" width="9.33203125" style="165"/>
    <col min="13569" max="13619" width="3.6640625" style="165" customWidth="1"/>
    <col min="13620" max="13824" width="9.33203125" style="165"/>
    <col min="13825" max="13875" width="3.6640625" style="165" customWidth="1"/>
    <col min="13876" max="14080" width="9.33203125" style="165"/>
    <col min="14081" max="14131" width="3.6640625" style="165" customWidth="1"/>
    <col min="14132" max="14336" width="9.33203125" style="165"/>
    <col min="14337" max="14387" width="3.6640625" style="165" customWidth="1"/>
    <col min="14388" max="14592" width="9.33203125" style="165"/>
    <col min="14593" max="14643" width="3.6640625" style="165" customWidth="1"/>
    <col min="14644" max="14848" width="9.33203125" style="165"/>
    <col min="14849" max="14899" width="3.6640625" style="165" customWidth="1"/>
    <col min="14900" max="15104" width="9.33203125" style="165"/>
    <col min="15105" max="15155" width="3.6640625" style="165" customWidth="1"/>
    <col min="15156" max="15360" width="9.33203125" style="165"/>
    <col min="15361" max="15411" width="3.6640625" style="165" customWidth="1"/>
    <col min="15412" max="15616" width="9.33203125" style="165"/>
    <col min="15617" max="15667" width="3.6640625" style="165" customWidth="1"/>
    <col min="15668" max="15872" width="9.33203125" style="165"/>
    <col min="15873" max="15923" width="3.6640625" style="165" customWidth="1"/>
    <col min="15924" max="16128" width="9.33203125" style="165"/>
    <col min="16129" max="16179" width="3.6640625" style="165" customWidth="1"/>
    <col min="16180" max="16384" width="9.33203125" style="165"/>
  </cols>
  <sheetData>
    <row r="1" spans="1:51" s="164" customFormat="1" ht="14.25">
      <c r="A1" s="940" t="s">
        <v>598</v>
      </c>
      <c r="B1" s="941"/>
      <c r="C1" s="941"/>
      <c r="D1" s="941"/>
      <c r="E1" s="941"/>
      <c r="F1" s="941"/>
      <c r="G1" s="942"/>
      <c r="H1" s="999" t="s">
        <v>2</v>
      </c>
      <c r="I1" s="938"/>
      <c r="J1" s="938"/>
      <c r="K1" s="939"/>
      <c r="L1" s="1000" t="str">
        <f>IF(顧客名="","",顧客名)</f>
        <v>株式会社XXXX殿</v>
      </c>
      <c r="M1" s="951"/>
      <c r="N1" s="951"/>
      <c r="O1" s="951"/>
      <c r="P1" s="951"/>
      <c r="Q1" s="951"/>
      <c r="R1" s="952"/>
      <c r="S1" s="1001" t="s">
        <v>599</v>
      </c>
      <c r="T1" s="938"/>
      <c r="U1" s="938"/>
      <c r="V1" s="939"/>
      <c r="W1" s="1000" t="str">
        <f>IF(システム="","",システム)</f>
        <v>mcframe7</v>
      </c>
      <c r="X1" s="951"/>
      <c r="Y1" s="951"/>
      <c r="Z1" s="951"/>
      <c r="AA1" s="951"/>
      <c r="AB1" s="951"/>
      <c r="AC1" s="952"/>
      <c r="AD1" s="960" t="s">
        <v>8</v>
      </c>
      <c r="AE1" s="961"/>
      <c r="AF1" s="961"/>
      <c r="AG1" s="972"/>
      <c r="AH1" s="993" t="str">
        <f>IF(作成者="","",作成者)</f>
        <v>XX</v>
      </c>
      <c r="AI1" s="994"/>
      <c r="AJ1" s="994"/>
      <c r="AK1" s="994"/>
      <c r="AL1" s="995"/>
      <c r="AM1" s="960" t="s">
        <v>9</v>
      </c>
      <c r="AN1" s="961"/>
      <c r="AO1" s="961"/>
      <c r="AP1" s="972"/>
      <c r="AQ1" s="996">
        <f>IF(作成日="","",作成日)</f>
        <v>42881</v>
      </c>
      <c r="AR1" s="997"/>
      <c r="AS1" s="997"/>
      <c r="AT1" s="998"/>
      <c r="AU1" s="960" t="s">
        <v>0</v>
      </c>
      <c r="AV1" s="961"/>
      <c r="AW1" s="961"/>
      <c r="AX1" s="962"/>
    </row>
    <row r="2" spans="1:51" s="164" customFormat="1" ht="14.25">
      <c r="A2" s="943"/>
      <c r="B2" s="944"/>
      <c r="C2" s="944"/>
      <c r="D2" s="944"/>
      <c r="E2" s="944"/>
      <c r="F2" s="944"/>
      <c r="G2" s="945"/>
      <c r="H2" s="963" t="s">
        <v>600</v>
      </c>
      <c r="I2" s="907"/>
      <c r="J2" s="907"/>
      <c r="K2" s="908"/>
      <c r="L2" s="964" t="str">
        <f>IF(プロジェクト名="","",プロジェクト名)</f>
        <v>新基幹システム構築プロジェクト</v>
      </c>
      <c r="M2" s="910"/>
      <c r="N2" s="910"/>
      <c r="O2" s="910"/>
      <c r="P2" s="910"/>
      <c r="Q2" s="910"/>
      <c r="R2" s="911"/>
      <c r="S2" s="965" t="s">
        <v>601</v>
      </c>
      <c r="T2" s="907"/>
      <c r="U2" s="907"/>
      <c r="V2" s="908"/>
      <c r="W2" s="964" t="str">
        <f>IF(サブシステム="","",サブシステム)</f>
        <v>SCM</v>
      </c>
      <c r="X2" s="910"/>
      <c r="Y2" s="910"/>
      <c r="Z2" s="910"/>
      <c r="AA2" s="910"/>
      <c r="AB2" s="910"/>
      <c r="AC2" s="911"/>
      <c r="AD2" s="966" t="s">
        <v>11</v>
      </c>
      <c r="AE2" s="967"/>
      <c r="AF2" s="967"/>
      <c r="AG2" s="968"/>
      <c r="AH2" s="969" t="str">
        <f>IF(修正者="","",修正者)</f>
        <v>XX</v>
      </c>
      <c r="AI2" s="970"/>
      <c r="AJ2" s="970"/>
      <c r="AK2" s="970"/>
      <c r="AL2" s="971"/>
      <c r="AM2" s="973" t="s">
        <v>12</v>
      </c>
      <c r="AN2" s="974"/>
      <c r="AO2" s="974"/>
      <c r="AP2" s="975"/>
      <c r="AQ2" s="976">
        <f>IF(修正日="","",修正日)</f>
        <v>43007</v>
      </c>
      <c r="AR2" s="977"/>
      <c r="AS2" s="977"/>
      <c r="AT2" s="977"/>
      <c r="AU2" s="978" t="str">
        <f>IF(文書番号="","",文書番号)</f>
        <v>XX-XX-9999</v>
      </c>
      <c r="AV2" s="979"/>
      <c r="AW2" s="979"/>
      <c r="AX2" s="980"/>
    </row>
    <row r="3" spans="1:51" s="164" customFormat="1" ht="15" thickBot="1">
      <c r="A3" s="946"/>
      <c r="B3" s="947"/>
      <c r="C3" s="947"/>
      <c r="D3" s="947"/>
      <c r="E3" s="947"/>
      <c r="F3" s="947"/>
      <c r="G3" s="948"/>
      <c r="H3" s="984" t="s">
        <v>14</v>
      </c>
      <c r="I3" s="984"/>
      <c r="J3" s="984"/>
      <c r="K3" s="985"/>
      <c r="L3" s="986" t="str">
        <f>IF(機能ID="","",機能ID)</f>
        <v>MSBDP0080</v>
      </c>
      <c r="M3" s="933"/>
      <c r="N3" s="933"/>
      <c r="O3" s="933"/>
      <c r="P3" s="933"/>
      <c r="Q3" s="933"/>
      <c r="R3" s="933"/>
      <c r="S3" s="1002" t="s">
        <v>15</v>
      </c>
      <c r="T3" s="984"/>
      <c r="U3" s="984"/>
      <c r="V3" s="985"/>
      <c r="W3" s="986" t="str">
        <f>IF(機能名="","",機能名)</f>
        <v>発注登録</v>
      </c>
      <c r="X3" s="1003"/>
      <c r="Y3" s="1003"/>
      <c r="Z3" s="1003"/>
      <c r="AA3" s="1003"/>
      <c r="AB3" s="1003"/>
      <c r="AC3" s="1003"/>
      <c r="AD3" s="1003"/>
      <c r="AE3" s="1003"/>
      <c r="AF3" s="1003"/>
      <c r="AG3" s="1003"/>
      <c r="AH3" s="1003"/>
      <c r="AI3" s="1003"/>
      <c r="AJ3" s="1003"/>
      <c r="AK3" s="1003"/>
      <c r="AL3" s="1004"/>
      <c r="AM3" s="987" t="s">
        <v>13</v>
      </c>
      <c r="AN3" s="988"/>
      <c r="AO3" s="988"/>
      <c r="AP3" s="989"/>
      <c r="AQ3" s="990" t="str">
        <f>IF(Rev="","",Rev)</f>
        <v>r02.00</v>
      </c>
      <c r="AR3" s="991"/>
      <c r="AS3" s="991"/>
      <c r="AT3" s="992"/>
      <c r="AU3" s="981"/>
      <c r="AV3" s="982"/>
      <c r="AW3" s="982"/>
      <c r="AX3" s="983"/>
    </row>
    <row r="4" spans="1:51" ht="6.75" customHeight="1" thickBot="1"/>
    <row r="5" spans="1:51" s="171" customFormat="1" ht="13.5" customHeight="1" thickBot="1">
      <c r="A5" s="167"/>
      <c r="B5" s="168"/>
      <c r="C5" s="168"/>
      <c r="D5" s="168"/>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9"/>
      <c r="AY5" s="170"/>
    </row>
    <row r="6" spans="1:51" s="171" customFormat="1" ht="13.5" customHeight="1" thickTop="1">
      <c r="A6" s="172"/>
      <c r="B6" s="173"/>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4"/>
      <c r="AH6" s="174"/>
      <c r="AI6" s="174"/>
      <c r="AJ6" s="174"/>
      <c r="AK6" s="174"/>
      <c r="AL6" s="173"/>
      <c r="AM6" s="173"/>
      <c r="AN6" s="173"/>
      <c r="AO6" s="173"/>
      <c r="AP6" s="173"/>
      <c r="AQ6" s="173"/>
      <c r="AR6" s="173"/>
      <c r="AS6" s="173"/>
      <c r="AT6" s="173"/>
      <c r="AU6" s="173"/>
      <c r="AV6" s="173"/>
      <c r="AW6" s="173"/>
      <c r="AX6" s="175"/>
      <c r="AY6" s="176"/>
    </row>
    <row r="7" spans="1:51" s="171" customFormat="1" ht="13.5" customHeight="1">
      <c r="A7" s="172"/>
      <c r="B7" s="173" t="s">
        <v>602</v>
      </c>
      <c r="C7" s="173" t="s">
        <v>1122</v>
      </c>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4"/>
      <c r="AH7" s="174"/>
      <c r="AI7" s="174"/>
      <c r="AJ7" s="174"/>
      <c r="AK7" s="174"/>
      <c r="AL7" s="173"/>
      <c r="AM7" s="173"/>
      <c r="AO7" s="173"/>
      <c r="AX7" s="175"/>
      <c r="AY7" s="176"/>
    </row>
    <row r="8" spans="1:51" s="171" customFormat="1" ht="13.5" customHeight="1">
      <c r="A8" s="172"/>
      <c r="B8" s="173"/>
      <c r="C8" s="173"/>
      <c r="D8" s="177" t="s">
        <v>603</v>
      </c>
      <c r="E8" s="178"/>
      <c r="F8" s="179"/>
      <c r="G8" s="180" t="s">
        <v>604</v>
      </c>
      <c r="H8" s="181"/>
      <c r="I8" s="181"/>
      <c r="J8" s="181"/>
      <c r="K8" s="181"/>
      <c r="L8" s="182"/>
      <c r="M8" s="183" t="s">
        <v>605</v>
      </c>
      <c r="N8" s="184"/>
      <c r="O8" s="184"/>
      <c r="P8" s="185"/>
      <c r="Q8" s="236" t="s">
        <v>635</v>
      </c>
      <c r="R8" s="237"/>
      <c r="S8" s="237"/>
      <c r="T8" s="238"/>
      <c r="U8" s="183"/>
      <c r="V8" s="185"/>
      <c r="W8" s="183"/>
      <c r="X8" s="185"/>
      <c r="Y8" s="183"/>
      <c r="Z8" s="184"/>
      <c r="AA8" s="184"/>
      <c r="AB8" s="184"/>
      <c r="AC8" s="185"/>
      <c r="AD8" s="183"/>
      <c r="AE8" s="184"/>
      <c r="AF8" s="184"/>
      <c r="AG8" s="184"/>
      <c r="AH8" s="185"/>
      <c r="AI8" s="239"/>
      <c r="AJ8" s="237"/>
      <c r="AK8" s="238"/>
      <c r="AO8" s="173"/>
      <c r="AP8" s="186" t="s">
        <v>606</v>
      </c>
      <c r="AQ8" s="187"/>
      <c r="AR8" s="173" t="s">
        <v>607</v>
      </c>
      <c r="AS8" s="173" t="s">
        <v>608</v>
      </c>
      <c r="AT8" s="173"/>
      <c r="AU8" s="173"/>
      <c r="AV8" s="173"/>
      <c r="AW8" s="173"/>
      <c r="AX8" s="175"/>
      <c r="AY8" s="176"/>
    </row>
    <row r="9" spans="1:51" s="171" customFormat="1" ht="13.5" customHeight="1">
      <c r="A9" s="172"/>
      <c r="B9" s="173"/>
      <c r="C9" s="173"/>
      <c r="D9" s="188"/>
      <c r="E9" s="189"/>
      <c r="F9" s="190"/>
      <c r="G9" s="191" t="s">
        <v>609</v>
      </c>
      <c r="H9" s="192"/>
      <c r="I9" s="192"/>
      <c r="J9" s="192"/>
      <c r="K9" s="192"/>
      <c r="L9" s="193"/>
      <c r="M9" s="194"/>
      <c r="N9" s="195"/>
      <c r="O9" s="195"/>
      <c r="P9" s="196"/>
      <c r="Q9" s="240"/>
      <c r="R9" s="241"/>
      <c r="S9" s="241"/>
      <c r="T9" s="242"/>
      <c r="U9" s="194" t="s">
        <v>605</v>
      </c>
      <c r="V9" s="196"/>
      <c r="W9" s="194" t="s">
        <v>605</v>
      </c>
      <c r="X9" s="196"/>
      <c r="Y9" s="194" t="s">
        <v>605</v>
      </c>
      <c r="Z9" s="195"/>
      <c r="AA9" s="195"/>
      <c r="AB9" s="195"/>
      <c r="AC9" s="196"/>
      <c r="AD9" s="194" t="s">
        <v>605</v>
      </c>
      <c r="AE9" s="195"/>
      <c r="AF9" s="195"/>
      <c r="AG9" s="195"/>
      <c r="AH9" s="196"/>
      <c r="AI9" s="243" t="s">
        <v>635</v>
      </c>
      <c r="AJ9" s="241"/>
      <c r="AK9" s="242"/>
      <c r="AO9" s="173"/>
      <c r="AP9" s="197" t="s">
        <v>610</v>
      </c>
      <c r="AQ9" s="198"/>
      <c r="AR9" s="173" t="s">
        <v>607</v>
      </c>
      <c r="AS9" s="173" t="s">
        <v>611</v>
      </c>
      <c r="AT9" s="173"/>
      <c r="AU9" s="173"/>
      <c r="AV9" s="173"/>
      <c r="AW9" s="173"/>
      <c r="AX9" s="175"/>
      <c r="AY9" s="176"/>
    </row>
    <row r="10" spans="1:51" s="171" customFormat="1" ht="13.5" customHeight="1">
      <c r="A10" s="172"/>
      <c r="B10" s="173"/>
      <c r="C10" s="173"/>
      <c r="D10" s="188"/>
      <c r="E10" s="189"/>
      <c r="F10" s="190"/>
      <c r="G10" s="199" t="s">
        <v>612</v>
      </c>
      <c r="H10" s="200"/>
      <c r="I10" s="200"/>
      <c r="J10" s="200"/>
      <c r="K10" s="200"/>
      <c r="L10" s="201"/>
      <c r="M10" s="202"/>
      <c r="N10" s="203"/>
      <c r="O10" s="203"/>
      <c r="P10" s="204"/>
      <c r="Q10" s="240"/>
      <c r="R10" s="241"/>
      <c r="S10" s="241"/>
      <c r="T10" s="242"/>
      <c r="U10" s="202"/>
      <c r="V10" s="204"/>
      <c r="W10" s="202"/>
      <c r="X10" s="204"/>
      <c r="Y10" s="202"/>
      <c r="Z10" s="203"/>
      <c r="AA10" s="203"/>
      <c r="AB10" s="203"/>
      <c r="AC10" s="204"/>
      <c r="AD10" s="202"/>
      <c r="AE10" s="203"/>
      <c r="AF10" s="203"/>
      <c r="AG10" s="203"/>
      <c r="AH10" s="204"/>
      <c r="AI10" s="243"/>
      <c r="AJ10" s="241"/>
      <c r="AK10" s="242"/>
      <c r="AO10" s="173"/>
      <c r="AP10" s="205" t="s">
        <v>613</v>
      </c>
      <c r="AQ10" s="206"/>
      <c r="AR10" s="173" t="s">
        <v>607</v>
      </c>
      <c r="AS10" s="173" t="s">
        <v>614</v>
      </c>
      <c r="AT10" s="173"/>
      <c r="AU10" s="173"/>
      <c r="AV10" s="173"/>
      <c r="AW10" s="173"/>
      <c r="AX10" s="175"/>
      <c r="AY10" s="176"/>
    </row>
    <row r="11" spans="1:51" s="171" customFormat="1" ht="13.5" customHeight="1">
      <c r="A11" s="172"/>
      <c r="B11" s="173"/>
      <c r="C11" s="173"/>
      <c r="D11" s="188"/>
      <c r="E11" s="189"/>
      <c r="F11" s="190"/>
      <c r="G11" s="207" t="s">
        <v>615</v>
      </c>
      <c r="H11" s="208"/>
      <c r="I11" s="208"/>
      <c r="J11" s="208"/>
      <c r="K11" s="208"/>
      <c r="L11" s="209"/>
      <c r="M11" s="210"/>
      <c r="N11" s="211"/>
      <c r="O11" s="211"/>
      <c r="P11" s="212"/>
      <c r="Q11" s="244"/>
      <c r="R11" s="245"/>
      <c r="S11" s="245"/>
      <c r="T11" s="246"/>
      <c r="U11" s="210"/>
      <c r="V11" s="212"/>
      <c r="W11" s="210"/>
      <c r="X11" s="212"/>
      <c r="Y11" s="210"/>
      <c r="Z11" s="211"/>
      <c r="AA11" s="211"/>
      <c r="AB11" s="211"/>
      <c r="AC11" s="212"/>
      <c r="AD11" s="210"/>
      <c r="AE11" s="211"/>
      <c r="AF11" s="211"/>
      <c r="AG11" s="211"/>
      <c r="AH11" s="212"/>
      <c r="AI11" s="247"/>
      <c r="AJ11" s="245"/>
      <c r="AK11" s="246"/>
      <c r="AO11" s="173"/>
      <c r="AP11" s="213" t="s">
        <v>616</v>
      </c>
      <c r="AQ11" s="214"/>
      <c r="AR11" s="173" t="s">
        <v>607</v>
      </c>
      <c r="AS11" s="173" t="s">
        <v>617</v>
      </c>
      <c r="AT11" s="173"/>
      <c r="AU11" s="173"/>
      <c r="AV11" s="173"/>
      <c r="AW11" s="173"/>
      <c r="AX11" s="175"/>
      <c r="AY11" s="176"/>
    </row>
    <row r="12" spans="1:51" s="171" customFormat="1" ht="13.5" customHeight="1">
      <c r="A12" s="172"/>
      <c r="B12" s="173"/>
      <c r="C12" s="173"/>
      <c r="D12" s="177" t="s">
        <v>618</v>
      </c>
      <c r="E12" s="178"/>
      <c r="F12" s="179"/>
      <c r="G12" s="180" t="s">
        <v>619</v>
      </c>
      <c r="H12" s="181"/>
      <c r="I12" s="181"/>
      <c r="J12" s="181"/>
      <c r="K12" s="181"/>
      <c r="L12" s="182"/>
      <c r="M12" s="183" t="s">
        <v>620</v>
      </c>
      <c r="N12" s="184"/>
      <c r="O12" s="184"/>
      <c r="P12" s="185"/>
      <c r="Q12" s="183" t="s">
        <v>576</v>
      </c>
      <c r="R12" s="237"/>
      <c r="S12" s="237"/>
      <c r="T12" s="238"/>
      <c r="U12" s="183" t="s">
        <v>605</v>
      </c>
      <c r="V12" s="185"/>
      <c r="W12" s="183"/>
      <c r="X12" s="185"/>
      <c r="Y12" s="183"/>
      <c r="Z12" s="184"/>
      <c r="AA12" s="184"/>
      <c r="AB12" s="184"/>
      <c r="AC12" s="185"/>
      <c r="AD12" s="183"/>
      <c r="AE12" s="184"/>
      <c r="AF12" s="184"/>
      <c r="AG12" s="184"/>
      <c r="AH12" s="185"/>
      <c r="AI12" s="239"/>
      <c r="AJ12" s="237"/>
      <c r="AK12" s="238"/>
      <c r="AO12" s="173"/>
      <c r="AP12" s="215" t="s">
        <v>621</v>
      </c>
      <c r="AQ12" s="216"/>
      <c r="AR12" s="173" t="s">
        <v>607</v>
      </c>
      <c r="AS12" s="173" t="s">
        <v>621</v>
      </c>
      <c r="AT12" s="173"/>
      <c r="AU12" s="173"/>
      <c r="AV12" s="173"/>
      <c r="AW12" s="173"/>
      <c r="AX12" s="175"/>
      <c r="AY12" s="176"/>
    </row>
    <row r="13" spans="1:51" s="171" customFormat="1" ht="13.5" customHeight="1">
      <c r="A13" s="172"/>
      <c r="B13" s="173"/>
      <c r="C13" s="173"/>
      <c r="D13" s="188"/>
      <c r="E13" s="189"/>
      <c r="F13" s="190"/>
      <c r="G13" s="188" t="s">
        <v>622</v>
      </c>
      <c r="H13" s="189"/>
      <c r="I13" s="189"/>
      <c r="J13" s="189"/>
      <c r="K13" s="189"/>
      <c r="L13" s="190"/>
      <c r="M13" s="217" t="s">
        <v>620</v>
      </c>
      <c r="N13" s="218"/>
      <c r="O13" s="218"/>
      <c r="P13" s="219"/>
      <c r="Q13" s="217" t="s">
        <v>576</v>
      </c>
      <c r="R13" s="241"/>
      <c r="S13" s="241"/>
      <c r="T13" s="242"/>
      <c r="U13" s="217" t="s">
        <v>576</v>
      </c>
      <c r="V13" s="219"/>
      <c r="W13" s="217" t="s">
        <v>605</v>
      </c>
      <c r="X13" s="219"/>
      <c r="Y13" s="217" t="s">
        <v>605</v>
      </c>
      <c r="Z13" s="218"/>
      <c r="AA13" s="218"/>
      <c r="AB13" s="218"/>
      <c r="AC13" s="219"/>
      <c r="AD13" s="217" t="s">
        <v>605</v>
      </c>
      <c r="AE13" s="218"/>
      <c r="AF13" s="218"/>
      <c r="AG13" s="218"/>
      <c r="AH13" s="219"/>
      <c r="AI13" s="243"/>
      <c r="AJ13" s="241"/>
      <c r="AK13" s="242"/>
      <c r="AO13" s="173"/>
      <c r="AP13" s="173"/>
      <c r="AQ13" s="173"/>
      <c r="AR13" s="173"/>
      <c r="AS13" s="173"/>
      <c r="AT13" s="173"/>
      <c r="AU13" s="173"/>
      <c r="AV13" s="173"/>
      <c r="AW13" s="173"/>
      <c r="AX13" s="175"/>
      <c r="AY13" s="176"/>
    </row>
    <row r="14" spans="1:51" s="171" customFormat="1" ht="13.5" customHeight="1">
      <c r="A14" s="172"/>
      <c r="B14" s="173"/>
      <c r="C14" s="173"/>
      <c r="D14" s="188"/>
      <c r="E14" s="189"/>
      <c r="F14" s="189"/>
      <c r="G14" s="207" t="s">
        <v>623</v>
      </c>
      <c r="H14" s="208"/>
      <c r="I14" s="208"/>
      <c r="J14" s="208"/>
      <c r="K14" s="208"/>
      <c r="L14" s="209"/>
      <c r="M14" s="210"/>
      <c r="N14" s="211"/>
      <c r="O14" s="211"/>
      <c r="P14" s="212"/>
      <c r="Q14" s="255" t="s">
        <v>635</v>
      </c>
      <c r="R14" s="245"/>
      <c r="S14" s="245"/>
      <c r="T14" s="246"/>
      <c r="U14" s="210"/>
      <c r="V14" s="212"/>
      <c r="W14" s="210"/>
      <c r="X14" s="212"/>
      <c r="Y14" s="210"/>
      <c r="Z14" s="211"/>
      <c r="AA14" s="211"/>
      <c r="AB14" s="211"/>
      <c r="AC14" s="212"/>
      <c r="AD14" s="210"/>
      <c r="AE14" s="211"/>
      <c r="AF14" s="211"/>
      <c r="AG14" s="211"/>
      <c r="AH14" s="212"/>
      <c r="AI14" s="247" t="s">
        <v>635</v>
      </c>
      <c r="AJ14" s="245"/>
      <c r="AK14" s="246"/>
      <c r="AO14" s="220" t="s">
        <v>624</v>
      </c>
      <c r="AP14" s="173" t="s">
        <v>625</v>
      </c>
      <c r="AQ14" s="173"/>
      <c r="AR14" s="173"/>
      <c r="AS14" s="173"/>
      <c r="AT14" s="173"/>
      <c r="AU14" s="173"/>
      <c r="AV14" s="173"/>
      <c r="AW14" s="173"/>
      <c r="AX14" s="175"/>
      <c r="AY14" s="176"/>
    </row>
    <row r="15" spans="1:51" s="171" customFormat="1" ht="13.5" customHeight="1">
      <c r="A15" s="172"/>
      <c r="B15" s="173"/>
      <c r="C15" s="173"/>
      <c r="D15" s="177" t="s">
        <v>626</v>
      </c>
      <c r="E15" s="178"/>
      <c r="F15" s="178"/>
      <c r="G15" s="177" t="s">
        <v>624</v>
      </c>
      <c r="H15" s="178"/>
      <c r="I15" s="178"/>
      <c r="J15" s="178"/>
      <c r="K15" s="178"/>
      <c r="L15" s="179"/>
      <c r="M15" s="221" t="s">
        <v>620</v>
      </c>
      <c r="N15" s="222"/>
      <c r="O15" s="222"/>
      <c r="P15" s="223"/>
      <c r="Q15" s="258" t="s">
        <v>576</v>
      </c>
      <c r="R15" s="259"/>
      <c r="S15" s="259"/>
      <c r="T15" s="260"/>
      <c r="U15" s="221" t="s">
        <v>576</v>
      </c>
      <c r="V15" s="223"/>
      <c r="W15" s="221" t="s">
        <v>576</v>
      </c>
      <c r="X15" s="223"/>
      <c r="Y15" s="221" t="s">
        <v>605</v>
      </c>
      <c r="Z15" s="222"/>
      <c r="AA15" s="222"/>
      <c r="AB15" s="222"/>
      <c r="AC15" s="223"/>
      <c r="AD15" s="221"/>
      <c r="AE15" s="222"/>
      <c r="AF15" s="222"/>
      <c r="AG15" s="222"/>
      <c r="AH15" s="223"/>
      <c r="AI15" s="261" t="s">
        <v>576</v>
      </c>
      <c r="AJ15" s="259"/>
      <c r="AK15" s="260"/>
      <c r="AQ15" s="173"/>
      <c r="AR15" s="173"/>
      <c r="AS15" s="173"/>
      <c r="AT15" s="173"/>
      <c r="AU15" s="173"/>
      <c r="AV15" s="173"/>
      <c r="AW15" s="173"/>
      <c r="AX15" s="175"/>
      <c r="AY15" s="176"/>
    </row>
    <row r="16" spans="1:51" s="171" customFormat="1" ht="13.5" customHeight="1">
      <c r="A16" s="172"/>
      <c r="B16" s="173"/>
      <c r="C16" s="173"/>
      <c r="D16" s="224"/>
      <c r="E16" s="225"/>
      <c r="F16" s="225"/>
      <c r="G16" s="207" t="s">
        <v>627</v>
      </c>
      <c r="H16" s="208"/>
      <c r="I16" s="208"/>
      <c r="J16" s="208"/>
      <c r="K16" s="208"/>
      <c r="L16" s="209"/>
      <c r="M16" s="210" t="s">
        <v>620</v>
      </c>
      <c r="N16" s="211"/>
      <c r="O16" s="211"/>
      <c r="P16" s="212"/>
      <c r="Q16" s="255" t="s">
        <v>576</v>
      </c>
      <c r="R16" s="245"/>
      <c r="S16" s="245"/>
      <c r="T16" s="246"/>
      <c r="U16" s="210" t="s">
        <v>576</v>
      </c>
      <c r="V16" s="212"/>
      <c r="W16" s="210" t="s">
        <v>576</v>
      </c>
      <c r="X16" s="212"/>
      <c r="Y16" s="210"/>
      <c r="Z16" s="211"/>
      <c r="AA16" s="211"/>
      <c r="AB16" s="211"/>
      <c r="AC16" s="212"/>
      <c r="AD16" s="210" t="s">
        <v>605</v>
      </c>
      <c r="AE16" s="211"/>
      <c r="AF16" s="211"/>
      <c r="AG16" s="211"/>
      <c r="AH16" s="212"/>
      <c r="AI16" s="247" t="s">
        <v>576</v>
      </c>
      <c r="AJ16" s="245"/>
      <c r="AK16" s="246"/>
      <c r="AO16" s="220"/>
      <c r="AP16" s="173"/>
      <c r="AQ16" s="173"/>
      <c r="AR16" s="173"/>
      <c r="AS16" s="173"/>
      <c r="AT16" s="173"/>
      <c r="AU16" s="173"/>
      <c r="AV16" s="173"/>
      <c r="AW16" s="173"/>
      <c r="AX16" s="175"/>
      <c r="AY16" s="176"/>
    </row>
    <row r="17" spans="1:51" s="171" customFormat="1" ht="13.5" customHeight="1">
      <c r="A17" s="172"/>
      <c r="B17" s="173"/>
      <c r="C17" s="173"/>
      <c r="D17" s="197" t="s">
        <v>628</v>
      </c>
      <c r="E17" s="226"/>
      <c r="F17" s="226"/>
      <c r="G17" s="226"/>
      <c r="H17" s="226"/>
      <c r="I17" s="226"/>
      <c r="J17" s="226"/>
      <c r="K17" s="226"/>
      <c r="L17" s="227"/>
      <c r="M17" s="228" t="s">
        <v>629</v>
      </c>
      <c r="N17" s="229"/>
      <c r="O17" s="230"/>
      <c r="P17" s="230"/>
      <c r="Q17" s="228" t="s">
        <v>641</v>
      </c>
      <c r="R17" s="234"/>
      <c r="S17" s="234"/>
      <c r="T17" s="267"/>
      <c r="U17" s="231" t="s">
        <v>630</v>
      </c>
      <c r="V17" s="232"/>
      <c r="W17" s="231" t="s">
        <v>634</v>
      </c>
      <c r="X17" s="232"/>
      <c r="Y17" s="231" t="s">
        <v>632</v>
      </c>
      <c r="Z17" s="231"/>
      <c r="AA17" s="231"/>
      <c r="AB17" s="231"/>
      <c r="AC17" s="233"/>
      <c r="AD17" s="228" t="s">
        <v>633</v>
      </c>
      <c r="AE17" s="234"/>
      <c r="AF17" s="234"/>
      <c r="AG17" s="230"/>
      <c r="AH17" s="235"/>
      <c r="AI17" s="268" t="s">
        <v>642</v>
      </c>
      <c r="AJ17" s="234"/>
      <c r="AK17" s="267"/>
      <c r="AO17" s="173"/>
      <c r="AP17" s="173"/>
      <c r="AQ17" s="173"/>
      <c r="AR17" s="173"/>
      <c r="AS17" s="173"/>
      <c r="AT17" s="173"/>
      <c r="AU17" s="173"/>
      <c r="AV17" s="173"/>
      <c r="AW17" s="173"/>
      <c r="AX17" s="175"/>
      <c r="AY17" s="176"/>
    </row>
    <row r="18" spans="1:51" s="171" customFormat="1" ht="13.5" customHeight="1">
      <c r="A18" s="172"/>
      <c r="B18" s="173"/>
      <c r="C18" s="173"/>
      <c r="D18" s="197" t="s">
        <v>1123</v>
      </c>
      <c r="E18" s="226"/>
      <c r="F18" s="226"/>
      <c r="G18" s="226"/>
      <c r="H18" s="226"/>
      <c r="I18" s="226"/>
      <c r="J18" s="226"/>
      <c r="K18" s="226"/>
      <c r="L18" s="227"/>
      <c r="M18" s="228" t="s">
        <v>1124</v>
      </c>
      <c r="N18" s="262"/>
      <c r="O18" s="230"/>
      <c r="P18" s="230"/>
      <c r="Q18" s="228" t="s">
        <v>1124</v>
      </c>
      <c r="R18" s="234"/>
      <c r="S18" s="234"/>
      <c r="T18" s="267"/>
      <c r="U18" s="228" t="s">
        <v>1124</v>
      </c>
      <c r="V18" s="232"/>
      <c r="W18" s="228" t="s">
        <v>1124</v>
      </c>
      <c r="X18" s="232"/>
      <c r="Y18" s="228" t="s">
        <v>1124</v>
      </c>
      <c r="Z18" s="231"/>
      <c r="AA18" s="262"/>
      <c r="AB18" s="262"/>
      <c r="AC18" s="232"/>
      <c r="AD18" s="228" t="s">
        <v>1124</v>
      </c>
      <c r="AE18" s="234"/>
      <c r="AF18" s="234"/>
      <c r="AG18" s="230"/>
      <c r="AH18" s="235"/>
      <c r="AI18" s="228" t="s">
        <v>1124</v>
      </c>
      <c r="AJ18" s="234"/>
      <c r="AK18" s="267"/>
      <c r="AO18" s="173"/>
      <c r="AP18" s="173"/>
      <c r="AQ18" s="173"/>
      <c r="AR18" s="173"/>
      <c r="AS18" s="173"/>
      <c r="AT18" s="173"/>
      <c r="AU18" s="173"/>
      <c r="AV18" s="173"/>
      <c r="AW18" s="173"/>
      <c r="AX18" s="175"/>
      <c r="AY18" s="176"/>
    </row>
    <row r="19" spans="1:51" s="171" customFormat="1" ht="13.5" customHeight="1">
      <c r="A19" s="172"/>
      <c r="B19" s="173"/>
      <c r="C19" s="173"/>
      <c r="D19" s="218"/>
      <c r="E19" s="218"/>
      <c r="F19" s="218"/>
      <c r="G19" s="218"/>
      <c r="H19" s="218"/>
      <c r="I19" s="218"/>
      <c r="J19" s="218"/>
      <c r="K19" s="218"/>
      <c r="L19" s="363"/>
      <c r="M19" s="218"/>
      <c r="N19" s="218"/>
      <c r="O19" s="362"/>
      <c r="P19" s="362"/>
      <c r="Q19" s="218"/>
      <c r="R19" s="218"/>
      <c r="S19" s="218"/>
      <c r="T19" s="218"/>
      <c r="U19" s="218"/>
      <c r="V19" s="218"/>
      <c r="W19" s="218"/>
      <c r="X19" s="218"/>
      <c r="Y19" s="218"/>
      <c r="Z19" s="218"/>
      <c r="AA19" s="218"/>
      <c r="AB19" s="218"/>
      <c r="AC19" s="218"/>
      <c r="AD19" s="218"/>
      <c r="AE19" s="173"/>
      <c r="AF19" s="173"/>
      <c r="AG19" s="362"/>
      <c r="AH19" s="362"/>
      <c r="AI19" s="218"/>
      <c r="AJ19" s="218"/>
      <c r="AO19" s="173"/>
      <c r="AP19" s="173"/>
      <c r="AQ19" s="173"/>
      <c r="AR19" s="173"/>
      <c r="AS19" s="173"/>
      <c r="AT19" s="173"/>
      <c r="AU19" s="173"/>
      <c r="AV19" s="173"/>
      <c r="AW19" s="173"/>
      <c r="AX19" s="175"/>
      <c r="AY19" s="176"/>
    </row>
    <row r="20" spans="1:51" s="171" customFormat="1" ht="13.5" customHeight="1">
      <c r="A20" s="172"/>
      <c r="B20" s="173"/>
      <c r="C20" s="173"/>
      <c r="D20" s="177" t="s">
        <v>603</v>
      </c>
      <c r="E20" s="178"/>
      <c r="F20" s="179"/>
      <c r="G20" s="180" t="s">
        <v>604</v>
      </c>
      <c r="H20" s="181"/>
      <c r="I20" s="181"/>
      <c r="J20" s="181"/>
      <c r="K20" s="181"/>
      <c r="L20" s="182"/>
      <c r="M20" s="183"/>
      <c r="N20" s="185"/>
      <c r="O20" s="183"/>
      <c r="P20" s="185"/>
      <c r="Q20" s="183"/>
      <c r="R20" s="184"/>
      <c r="S20" s="184"/>
      <c r="T20" s="184"/>
      <c r="U20" s="184"/>
      <c r="V20" s="184"/>
      <c r="W20" s="184"/>
      <c r="X20" s="185"/>
      <c r="Y20" s="239"/>
      <c r="Z20" s="237"/>
      <c r="AA20" s="238"/>
      <c r="AB20" s="183"/>
      <c r="AC20" s="185"/>
      <c r="AD20" s="183"/>
      <c r="AE20" s="185"/>
      <c r="AF20" s="174"/>
      <c r="AG20" s="174"/>
      <c r="AH20" s="174"/>
      <c r="AI20" s="174"/>
      <c r="AJ20" s="174"/>
      <c r="AO20" s="173"/>
      <c r="AP20" s="173"/>
      <c r="AQ20" s="173"/>
      <c r="AR20" s="173"/>
      <c r="AS20" s="173"/>
      <c r="AT20" s="173"/>
      <c r="AU20" s="173"/>
      <c r="AV20" s="173"/>
      <c r="AW20" s="173"/>
      <c r="AX20" s="175"/>
      <c r="AY20" s="176"/>
    </row>
    <row r="21" spans="1:51" s="171" customFormat="1" ht="13.5" customHeight="1">
      <c r="A21" s="172"/>
      <c r="B21" s="173"/>
      <c r="C21" s="173"/>
      <c r="D21" s="188"/>
      <c r="E21" s="189"/>
      <c r="F21" s="190"/>
      <c r="G21" s="191" t="s">
        <v>609</v>
      </c>
      <c r="H21" s="192"/>
      <c r="I21" s="192"/>
      <c r="J21" s="192"/>
      <c r="K21" s="192"/>
      <c r="L21" s="193"/>
      <c r="M21" s="194"/>
      <c r="N21" s="196"/>
      <c r="O21" s="194"/>
      <c r="P21" s="196"/>
      <c r="Q21" s="194"/>
      <c r="R21" s="195"/>
      <c r="S21" s="195"/>
      <c r="T21" s="195"/>
      <c r="U21" s="195"/>
      <c r="V21" s="195"/>
      <c r="W21" s="195"/>
      <c r="X21" s="196"/>
      <c r="Y21" s="243"/>
      <c r="Z21" s="241"/>
      <c r="AA21" s="242"/>
      <c r="AB21" s="194"/>
      <c r="AC21" s="196"/>
      <c r="AD21" s="194"/>
      <c r="AE21" s="196"/>
      <c r="AF21" s="174"/>
      <c r="AG21" s="174"/>
      <c r="AH21" s="174"/>
      <c r="AI21" s="174"/>
      <c r="AJ21" s="174"/>
      <c r="AO21" s="173"/>
      <c r="AP21" s="173"/>
      <c r="AQ21" s="173"/>
      <c r="AR21" s="173"/>
      <c r="AS21" s="173"/>
      <c r="AT21" s="173"/>
      <c r="AU21" s="173"/>
      <c r="AV21" s="173"/>
      <c r="AW21" s="173"/>
      <c r="AX21" s="175"/>
      <c r="AY21" s="176"/>
    </row>
    <row r="22" spans="1:51" s="171" customFormat="1" ht="13.5" customHeight="1">
      <c r="A22" s="172"/>
      <c r="B22" s="173"/>
      <c r="C22" s="173"/>
      <c r="D22" s="188"/>
      <c r="E22" s="189"/>
      <c r="F22" s="190"/>
      <c r="G22" s="199" t="s">
        <v>612</v>
      </c>
      <c r="H22" s="200"/>
      <c r="I22" s="200"/>
      <c r="J22" s="200"/>
      <c r="K22" s="200"/>
      <c r="L22" s="201"/>
      <c r="M22" s="202" t="s">
        <v>605</v>
      </c>
      <c r="N22" s="204"/>
      <c r="O22" s="194" t="s">
        <v>635</v>
      </c>
      <c r="P22" s="196"/>
      <c r="Q22" s="202" t="s">
        <v>635</v>
      </c>
      <c r="R22" s="203"/>
      <c r="S22" s="203"/>
      <c r="T22" s="203"/>
      <c r="U22" s="203"/>
      <c r="V22" s="203"/>
      <c r="W22" s="203"/>
      <c r="X22" s="204"/>
      <c r="Y22" s="243" t="s">
        <v>635</v>
      </c>
      <c r="Z22" s="241"/>
      <c r="AA22" s="242"/>
      <c r="AB22" s="202"/>
      <c r="AC22" s="204"/>
      <c r="AD22" s="202"/>
      <c r="AE22" s="204"/>
      <c r="AF22" s="174"/>
      <c r="AG22" s="174"/>
      <c r="AH22" s="174"/>
      <c r="AI22" s="174"/>
      <c r="AJ22" s="174"/>
      <c r="AO22" s="173"/>
      <c r="AP22" s="173"/>
      <c r="AQ22" s="173"/>
      <c r="AR22" s="173"/>
      <c r="AS22" s="173"/>
      <c r="AT22" s="173"/>
      <c r="AU22" s="173"/>
      <c r="AV22" s="173"/>
      <c r="AW22" s="173"/>
      <c r="AX22" s="175"/>
      <c r="AY22" s="176"/>
    </row>
    <row r="23" spans="1:51" s="171" customFormat="1" ht="13.5" customHeight="1">
      <c r="A23" s="172"/>
      <c r="B23" s="173"/>
      <c r="C23" s="173"/>
      <c r="D23" s="188"/>
      <c r="E23" s="189"/>
      <c r="F23" s="190"/>
      <c r="G23" s="207" t="s">
        <v>615</v>
      </c>
      <c r="H23" s="208"/>
      <c r="I23" s="208"/>
      <c r="J23" s="208"/>
      <c r="K23" s="208"/>
      <c r="L23" s="209"/>
      <c r="M23" s="210"/>
      <c r="N23" s="212"/>
      <c r="O23" s="202"/>
      <c r="P23" s="204"/>
      <c r="Q23" s="210"/>
      <c r="R23" s="211"/>
      <c r="S23" s="211"/>
      <c r="T23" s="211"/>
      <c r="U23" s="211"/>
      <c r="V23" s="211"/>
      <c r="W23" s="211"/>
      <c r="X23" s="212"/>
      <c r="Y23" s="247"/>
      <c r="Z23" s="245"/>
      <c r="AA23" s="246"/>
      <c r="AB23" s="210" t="s">
        <v>605</v>
      </c>
      <c r="AC23" s="212"/>
      <c r="AD23" s="210" t="s">
        <v>605</v>
      </c>
      <c r="AE23" s="212"/>
      <c r="AF23" s="174"/>
      <c r="AG23" s="174"/>
      <c r="AH23" s="174"/>
      <c r="AI23" s="174"/>
      <c r="AJ23" s="174"/>
      <c r="AO23" s="173"/>
      <c r="AP23" s="173"/>
      <c r="AQ23" s="173"/>
      <c r="AR23" s="173"/>
      <c r="AS23" s="173"/>
      <c r="AT23" s="173"/>
      <c r="AU23" s="173"/>
      <c r="AV23" s="173"/>
      <c r="AW23" s="173"/>
      <c r="AX23" s="175"/>
      <c r="AY23" s="176"/>
    </row>
    <row r="24" spans="1:51" s="171" customFormat="1" ht="13.5" customHeight="1">
      <c r="A24" s="172"/>
      <c r="B24" s="173"/>
      <c r="C24" s="173"/>
      <c r="D24" s="177" t="s">
        <v>618</v>
      </c>
      <c r="E24" s="178"/>
      <c r="F24" s="179"/>
      <c r="G24" s="180" t="s">
        <v>619</v>
      </c>
      <c r="H24" s="181"/>
      <c r="I24" s="181"/>
      <c r="J24" s="181"/>
      <c r="K24" s="181"/>
      <c r="L24" s="182"/>
      <c r="M24" s="183" t="s">
        <v>605</v>
      </c>
      <c r="N24" s="185"/>
      <c r="O24" s="251"/>
      <c r="P24" s="252"/>
      <c r="Q24" s="248"/>
      <c r="R24" s="249"/>
      <c r="S24" s="249"/>
      <c r="T24" s="249"/>
      <c r="U24" s="249"/>
      <c r="V24" s="249"/>
      <c r="W24" s="249"/>
      <c r="X24" s="250"/>
      <c r="Y24" s="239"/>
      <c r="Z24" s="237"/>
      <c r="AA24" s="238"/>
      <c r="AB24" s="183" t="s">
        <v>605</v>
      </c>
      <c r="AC24" s="185"/>
      <c r="AD24" s="183" t="s">
        <v>576</v>
      </c>
      <c r="AE24" s="185"/>
      <c r="AF24" s="174"/>
      <c r="AG24" s="174"/>
      <c r="AH24" s="174"/>
      <c r="AI24" s="174"/>
      <c r="AJ24" s="174"/>
      <c r="AO24" s="173"/>
      <c r="AP24" s="173"/>
      <c r="AQ24" s="173"/>
      <c r="AR24" s="173"/>
      <c r="AS24" s="173"/>
      <c r="AT24" s="173"/>
      <c r="AU24" s="173"/>
      <c r="AV24" s="173"/>
      <c r="AW24" s="173"/>
      <c r="AX24" s="175"/>
      <c r="AY24" s="176"/>
    </row>
    <row r="25" spans="1:51" s="171" customFormat="1" ht="13.5" customHeight="1">
      <c r="A25" s="172"/>
      <c r="B25" s="173"/>
      <c r="C25" s="173"/>
      <c r="D25" s="188"/>
      <c r="E25" s="189"/>
      <c r="F25" s="190"/>
      <c r="G25" s="188" t="s">
        <v>622</v>
      </c>
      <c r="H25" s="189"/>
      <c r="I25" s="189"/>
      <c r="J25" s="189"/>
      <c r="K25" s="189"/>
      <c r="L25" s="190"/>
      <c r="M25" s="217" t="s">
        <v>576</v>
      </c>
      <c r="N25" s="219"/>
      <c r="O25" s="253" t="s">
        <v>635</v>
      </c>
      <c r="P25" s="254"/>
      <c r="Q25" s="202" t="s">
        <v>635</v>
      </c>
      <c r="R25" s="203"/>
      <c r="S25" s="203"/>
      <c r="T25" s="203"/>
      <c r="U25" s="203"/>
      <c r="V25" s="203"/>
      <c r="W25" s="203"/>
      <c r="X25" s="204"/>
      <c r="Y25" s="243"/>
      <c r="Z25" s="241"/>
      <c r="AA25" s="242"/>
      <c r="AB25" s="217" t="s">
        <v>576</v>
      </c>
      <c r="AC25" s="219"/>
      <c r="AD25" s="217" t="s">
        <v>605</v>
      </c>
      <c r="AE25" s="219"/>
      <c r="AF25" s="174"/>
      <c r="AG25" s="174"/>
      <c r="AH25" s="174"/>
      <c r="AI25" s="174"/>
      <c r="AJ25" s="174"/>
      <c r="AO25" s="173"/>
      <c r="AP25" s="173"/>
      <c r="AQ25" s="173"/>
      <c r="AR25" s="173"/>
      <c r="AS25" s="173"/>
      <c r="AT25" s="173"/>
      <c r="AU25" s="173"/>
      <c r="AV25" s="173"/>
      <c r="AW25" s="173"/>
      <c r="AX25" s="175"/>
      <c r="AY25" s="176"/>
    </row>
    <row r="26" spans="1:51" s="171" customFormat="1" ht="13.5" customHeight="1">
      <c r="A26" s="172"/>
      <c r="B26" s="173"/>
      <c r="C26" s="173"/>
      <c r="D26" s="188"/>
      <c r="E26" s="189"/>
      <c r="F26" s="190"/>
      <c r="G26" s="207" t="s">
        <v>623</v>
      </c>
      <c r="H26" s="208"/>
      <c r="I26" s="208"/>
      <c r="J26" s="208"/>
      <c r="K26" s="208"/>
      <c r="L26" s="209"/>
      <c r="M26" s="210"/>
      <c r="N26" s="212"/>
      <c r="O26" s="255"/>
      <c r="P26" s="256"/>
      <c r="Q26" s="210"/>
      <c r="R26" s="211"/>
      <c r="S26" s="211"/>
      <c r="T26" s="211"/>
      <c r="U26" s="211"/>
      <c r="V26" s="211"/>
      <c r="W26" s="211"/>
      <c r="X26" s="212"/>
      <c r="Y26" s="247" t="s">
        <v>635</v>
      </c>
      <c r="Z26" s="245"/>
      <c r="AA26" s="246"/>
      <c r="AB26" s="210"/>
      <c r="AC26" s="212"/>
      <c r="AD26" s="210"/>
      <c r="AE26" s="212"/>
      <c r="AF26" s="174"/>
      <c r="AG26" s="174"/>
      <c r="AH26" s="174"/>
      <c r="AI26" s="174"/>
      <c r="AJ26" s="174"/>
      <c r="AO26" s="173"/>
      <c r="AP26" s="173"/>
      <c r="AQ26" s="173"/>
      <c r="AR26" s="173"/>
      <c r="AS26" s="173"/>
      <c r="AT26" s="173"/>
      <c r="AU26" s="173"/>
      <c r="AV26" s="173"/>
      <c r="AW26" s="173"/>
      <c r="AX26" s="175"/>
      <c r="AY26" s="176"/>
    </row>
    <row r="27" spans="1:51" s="171" customFormat="1" ht="13.5" customHeight="1">
      <c r="A27" s="172"/>
      <c r="B27" s="173"/>
      <c r="C27" s="173"/>
      <c r="D27" s="177" t="s">
        <v>626</v>
      </c>
      <c r="E27" s="178"/>
      <c r="F27" s="179"/>
      <c r="G27" s="188" t="s">
        <v>636</v>
      </c>
      <c r="H27" s="189"/>
      <c r="I27" s="189"/>
      <c r="J27" s="189"/>
      <c r="K27" s="189"/>
      <c r="L27" s="190"/>
      <c r="M27" s="221" t="s">
        <v>576</v>
      </c>
      <c r="N27" s="223"/>
      <c r="O27" s="217" t="s">
        <v>576</v>
      </c>
      <c r="P27" s="219"/>
      <c r="Q27" s="217" t="s">
        <v>635</v>
      </c>
      <c r="R27" s="173"/>
      <c r="S27" s="173"/>
      <c r="T27" s="173"/>
      <c r="U27" s="173"/>
      <c r="V27" s="173"/>
      <c r="W27" s="173"/>
      <c r="X27" s="257"/>
      <c r="Y27" s="261" t="s">
        <v>576</v>
      </c>
      <c r="Z27" s="259"/>
      <c r="AA27" s="260"/>
      <c r="AB27" s="221" t="s">
        <v>576</v>
      </c>
      <c r="AC27" s="223"/>
      <c r="AD27" s="221" t="s">
        <v>576</v>
      </c>
      <c r="AE27" s="223"/>
      <c r="AF27" s="174"/>
      <c r="AG27" s="174"/>
      <c r="AH27" s="174"/>
      <c r="AI27" s="174"/>
      <c r="AJ27" s="174"/>
      <c r="AO27" s="173"/>
      <c r="AP27" s="173"/>
      <c r="AQ27" s="173"/>
      <c r="AR27" s="173"/>
      <c r="AS27" s="173"/>
      <c r="AT27" s="173"/>
      <c r="AU27" s="173"/>
      <c r="AV27" s="173"/>
      <c r="AW27" s="173"/>
      <c r="AX27" s="175"/>
      <c r="AY27" s="176"/>
    </row>
    <row r="28" spans="1:51" s="171" customFormat="1" ht="13.5" customHeight="1">
      <c r="A28" s="172"/>
      <c r="B28" s="173"/>
      <c r="C28" s="173"/>
      <c r="D28" s="224"/>
      <c r="E28" s="225"/>
      <c r="F28" s="225"/>
      <c r="G28" s="207" t="s">
        <v>627</v>
      </c>
      <c r="H28" s="208"/>
      <c r="I28" s="208"/>
      <c r="J28" s="208"/>
      <c r="K28" s="208"/>
      <c r="L28" s="209"/>
      <c r="M28" s="210" t="s">
        <v>576</v>
      </c>
      <c r="N28" s="212"/>
      <c r="O28" s="210" t="s">
        <v>576</v>
      </c>
      <c r="P28" s="212"/>
      <c r="Q28" s="210"/>
      <c r="R28" s="211"/>
      <c r="S28" s="211"/>
      <c r="T28" s="211"/>
      <c r="U28" s="211"/>
      <c r="V28" s="211"/>
      <c r="W28" s="211"/>
      <c r="X28" s="212"/>
      <c r="Y28" s="247" t="s">
        <v>576</v>
      </c>
      <c r="Z28" s="245"/>
      <c r="AA28" s="246"/>
      <c r="AB28" s="210" t="s">
        <v>576</v>
      </c>
      <c r="AC28" s="212"/>
      <c r="AD28" s="210" t="s">
        <v>576</v>
      </c>
      <c r="AE28" s="212"/>
      <c r="AF28" s="174"/>
      <c r="AG28" s="174"/>
      <c r="AH28" s="174"/>
      <c r="AI28" s="174"/>
      <c r="AJ28" s="174"/>
      <c r="AO28" s="173"/>
      <c r="AP28" s="173"/>
      <c r="AQ28" s="173"/>
      <c r="AR28" s="173"/>
      <c r="AS28" s="173"/>
      <c r="AT28" s="173"/>
      <c r="AU28" s="173"/>
      <c r="AV28" s="173"/>
      <c r="AW28" s="173"/>
      <c r="AX28" s="175"/>
      <c r="AY28" s="176"/>
    </row>
    <row r="29" spans="1:51" s="171" customFormat="1" ht="13.5" customHeight="1">
      <c r="A29" s="172"/>
      <c r="B29" s="173"/>
      <c r="C29" s="173"/>
      <c r="D29" s="197" t="s">
        <v>638</v>
      </c>
      <c r="E29" s="226"/>
      <c r="F29" s="226"/>
      <c r="G29" s="226"/>
      <c r="H29" s="226"/>
      <c r="I29" s="226"/>
      <c r="J29" s="226"/>
      <c r="K29" s="226"/>
      <c r="L29" s="227"/>
      <c r="M29" s="231" t="s">
        <v>630</v>
      </c>
      <c r="N29" s="232"/>
      <c r="O29" s="266" t="s">
        <v>640</v>
      </c>
      <c r="P29" s="263"/>
      <c r="Q29" s="231" t="s">
        <v>639</v>
      </c>
      <c r="R29" s="262"/>
      <c r="S29" s="262"/>
      <c r="T29" s="262"/>
      <c r="U29" s="263"/>
      <c r="V29" s="264"/>
      <c r="W29" s="264"/>
      <c r="X29" s="265"/>
      <c r="Y29" s="268" t="s">
        <v>643</v>
      </c>
      <c r="Z29" s="234"/>
      <c r="AA29" s="267"/>
      <c r="AB29" s="231" t="s">
        <v>630</v>
      </c>
      <c r="AC29" s="232"/>
      <c r="AD29" s="231" t="s">
        <v>631</v>
      </c>
      <c r="AE29" s="232"/>
      <c r="AF29" s="174"/>
      <c r="AG29" s="174"/>
      <c r="AH29" s="174"/>
      <c r="AI29" s="174"/>
      <c r="AJ29" s="174"/>
      <c r="AO29" s="173"/>
      <c r="AP29" s="173"/>
      <c r="AQ29" s="173"/>
      <c r="AR29" s="173"/>
      <c r="AS29" s="173"/>
      <c r="AT29" s="173"/>
      <c r="AU29" s="173"/>
      <c r="AV29" s="173"/>
      <c r="AW29" s="173"/>
      <c r="AX29" s="175"/>
      <c r="AY29" s="176"/>
    </row>
    <row r="30" spans="1:51" s="171" customFormat="1" ht="13.5" customHeight="1">
      <c r="A30" s="172"/>
      <c r="B30" s="173"/>
      <c r="C30" s="173"/>
      <c r="D30" s="197" t="s">
        <v>1125</v>
      </c>
      <c r="E30" s="226"/>
      <c r="F30" s="226"/>
      <c r="G30" s="226"/>
      <c r="H30" s="226"/>
      <c r="I30" s="226"/>
      <c r="J30" s="226"/>
      <c r="K30" s="226"/>
      <c r="L30" s="227"/>
      <c r="M30" s="228" t="s">
        <v>1124</v>
      </c>
      <c r="N30" s="232"/>
      <c r="O30" s="228" t="s">
        <v>1124</v>
      </c>
      <c r="P30" s="263"/>
      <c r="Q30" s="228" t="s">
        <v>1124</v>
      </c>
      <c r="R30" s="262"/>
      <c r="S30" s="262"/>
      <c r="T30" s="262"/>
      <c r="U30" s="266"/>
      <c r="V30" s="264"/>
      <c r="W30" s="264"/>
      <c r="X30" s="265"/>
      <c r="Y30" s="228" t="s">
        <v>1124</v>
      </c>
      <c r="Z30" s="234"/>
      <c r="AA30" s="267"/>
      <c r="AB30" s="228" t="s">
        <v>1124</v>
      </c>
      <c r="AC30" s="232"/>
      <c r="AD30" s="228" t="s">
        <v>1124</v>
      </c>
      <c r="AE30" s="232"/>
      <c r="AF30" s="174"/>
      <c r="AG30" s="174"/>
      <c r="AH30" s="174"/>
      <c r="AI30" s="174"/>
      <c r="AJ30" s="174"/>
      <c r="AO30" s="173"/>
      <c r="AP30" s="173"/>
      <c r="AQ30" s="173"/>
      <c r="AR30" s="173"/>
      <c r="AS30" s="173"/>
      <c r="AT30" s="173"/>
      <c r="AU30" s="173"/>
      <c r="AV30" s="173"/>
      <c r="AW30" s="173"/>
      <c r="AX30" s="175"/>
      <c r="AY30" s="176"/>
    </row>
    <row r="31" spans="1:51" s="171" customFormat="1" ht="13.5" customHeight="1">
      <c r="A31" s="172"/>
      <c r="B31" s="173"/>
      <c r="C31" s="173"/>
      <c r="X31" s="173"/>
      <c r="Y31" s="173"/>
      <c r="Z31" s="173"/>
      <c r="AA31" s="173"/>
      <c r="AB31" s="173"/>
      <c r="AC31" s="173"/>
      <c r="AD31" s="173"/>
      <c r="AE31" s="173"/>
      <c r="AF31" s="173"/>
      <c r="AG31" s="174"/>
      <c r="AH31" s="174"/>
      <c r="AI31" s="174"/>
      <c r="AJ31" s="174"/>
      <c r="AO31" s="173"/>
      <c r="AP31" s="173"/>
      <c r="AQ31" s="173"/>
      <c r="AR31" s="173"/>
      <c r="AS31" s="173"/>
      <c r="AT31" s="173"/>
      <c r="AU31" s="173"/>
      <c r="AV31" s="173"/>
      <c r="AW31" s="173"/>
      <c r="AX31" s="175"/>
      <c r="AY31" s="176"/>
    </row>
    <row r="32" spans="1:51" s="171" customFormat="1" ht="13.5" customHeight="1">
      <c r="A32" s="172"/>
      <c r="B32" s="173"/>
      <c r="C32" s="173"/>
      <c r="D32" s="269" t="s">
        <v>636</v>
      </c>
      <c r="F32" s="269" t="s">
        <v>644</v>
      </c>
      <c r="X32" s="173"/>
      <c r="Y32" s="173"/>
      <c r="Z32" s="173"/>
      <c r="AA32" s="173"/>
      <c r="AB32" s="173"/>
      <c r="AC32" s="173"/>
      <c r="AD32" s="173"/>
      <c r="AE32" s="173"/>
      <c r="AF32" s="173"/>
      <c r="AG32" s="174"/>
      <c r="AH32" s="174"/>
      <c r="AI32" s="174"/>
      <c r="AJ32" s="174"/>
      <c r="AK32" s="174"/>
      <c r="AL32" s="173"/>
      <c r="AM32" s="173"/>
      <c r="AN32" s="173"/>
      <c r="AO32" s="173"/>
      <c r="AP32" s="173"/>
      <c r="AQ32" s="173"/>
      <c r="AR32" s="173"/>
      <c r="AS32" s="173"/>
      <c r="AT32" s="173"/>
      <c r="AU32" s="173"/>
      <c r="AV32" s="173"/>
      <c r="AW32" s="173"/>
      <c r="AX32" s="175"/>
      <c r="AY32" s="176"/>
    </row>
    <row r="33" spans="1:51" s="171" customFormat="1" ht="13.5" customHeight="1">
      <c r="A33" s="172"/>
      <c r="B33" s="173"/>
      <c r="C33" s="173"/>
      <c r="D33" s="269" t="s">
        <v>637</v>
      </c>
      <c r="F33" s="269" t="s">
        <v>645</v>
      </c>
      <c r="X33" s="173"/>
      <c r="Y33" s="173"/>
      <c r="Z33" s="173"/>
      <c r="AA33" s="173"/>
      <c r="AB33" s="173"/>
      <c r="AC33" s="173"/>
      <c r="AD33" s="173"/>
      <c r="AE33" s="173"/>
      <c r="AF33" s="173"/>
      <c r="AG33" s="174"/>
      <c r="AH33" s="174"/>
      <c r="AI33" s="174"/>
      <c r="AJ33" s="174"/>
      <c r="AK33" s="174"/>
      <c r="AL33" s="173"/>
      <c r="AM33" s="173"/>
      <c r="AN33" s="173"/>
      <c r="AO33" s="173"/>
      <c r="AP33" s="173"/>
      <c r="AQ33" s="173"/>
      <c r="AR33" s="173"/>
      <c r="AS33" s="173"/>
      <c r="AT33" s="173"/>
      <c r="AU33" s="173"/>
      <c r="AV33" s="173"/>
      <c r="AW33" s="173"/>
      <c r="AX33" s="175"/>
      <c r="AY33" s="176"/>
    </row>
    <row r="34" spans="1:51" s="171" customFormat="1" ht="13.5" customHeight="1">
      <c r="A34" s="172"/>
      <c r="B34" s="173"/>
      <c r="C34" s="173"/>
      <c r="F34" s="269" t="s">
        <v>646</v>
      </c>
      <c r="X34" s="173"/>
      <c r="Y34" s="173"/>
      <c r="Z34" s="173"/>
      <c r="AA34" s="173"/>
      <c r="AB34" s="173"/>
      <c r="AC34" s="173"/>
      <c r="AD34" s="173"/>
      <c r="AE34" s="173"/>
      <c r="AF34" s="173"/>
      <c r="AG34" s="174"/>
      <c r="AH34" s="174"/>
      <c r="AI34" s="174"/>
      <c r="AJ34" s="174"/>
      <c r="AK34" s="174"/>
      <c r="AL34" s="173"/>
      <c r="AM34" s="173"/>
      <c r="AN34" s="173"/>
      <c r="AO34" s="173"/>
      <c r="AP34" s="173"/>
      <c r="AQ34" s="173"/>
      <c r="AR34" s="173"/>
      <c r="AS34" s="173"/>
      <c r="AT34" s="173"/>
      <c r="AU34" s="173"/>
      <c r="AV34" s="173"/>
      <c r="AW34" s="173"/>
      <c r="AX34" s="175"/>
      <c r="AY34" s="176"/>
    </row>
    <row r="35" spans="1:51" s="171" customFormat="1" ht="13.5" customHeight="1">
      <c r="A35" s="172"/>
      <c r="B35" s="173"/>
      <c r="C35" s="173"/>
      <c r="F35" s="269" t="s">
        <v>647</v>
      </c>
      <c r="X35" s="173"/>
      <c r="Y35" s="173"/>
      <c r="Z35" s="173"/>
      <c r="AA35" s="173"/>
      <c r="AB35" s="173"/>
      <c r="AC35" s="173"/>
      <c r="AD35" s="173"/>
      <c r="AE35" s="173"/>
      <c r="AF35" s="173"/>
      <c r="AG35" s="174"/>
      <c r="AH35" s="174"/>
      <c r="AI35" s="174"/>
      <c r="AJ35" s="174"/>
      <c r="AK35" s="174"/>
      <c r="AL35" s="173"/>
      <c r="AM35" s="173"/>
      <c r="AN35" s="173"/>
      <c r="AO35" s="173"/>
      <c r="AP35" s="173"/>
      <c r="AQ35" s="173"/>
      <c r="AR35" s="173"/>
      <c r="AS35" s="173"/>
      <c r="AT35" s="173"/>
      <c r="AU35" s="173"/>
      <c r="AV35" s="173"/>
      <c r="AW35" s="173"/>
      <c r="AX35" s="175"/>
      <c r="AY35" s="176"/>
    </row>
    <row r="36" spans="1:51" s="171" customFormat="1" ht="13.5" customHeight="1">
      <c r="A36" s="172"/>
      <c r="B36" s="173"/>
      <c r="C36" s="173"/>
      <c r="F36" s="269" t="s">
        <v>648</v>
      </c>
      <c r="X36" s="173"/>
      <c r="Y36" s="173"/>
      <c r="Z36" s="173"/>
      <c r="AA36" s="173"/>
      <c r="AB36" s="173"/>
      <c r="AC36" s="173"/>
      <c r="AD36" s="173"/>
      <c r="AE36" s="173"/>
      <c r="AF36" s="173"/>
      <c r="AG36" s="174"/>
      <c r="AH36" s="174"/>
      <c r="AI36" s="174"/>
      <c r="AJ36" s="174"/>
      <c r="AK36" s="174"/>
      <c r="AL36" s="173"/>
      <c r="AM36" s="173"/>
      <c r="AN36" s="173"/>
      <c r="AO36" s="173"/>
      <c r="AP36" s="173"/>
      <c r="AQ36" s="173"/>
      <c r="AR36" s="173"/>
      <c r="AS36" s="173"/>
      <c r="AT36" s="173"/>
      <c r="AU36" s="173"/>
      <c r="AV36" s="173"/>
      <c r="AW36" s="173"/>
      <c r="AX36" s="175"/>
      <c r="AY36" s="176"/>
    </row>
    <row r="37" spans="1:51" s="171" customFormat="1" ht="13.5" customHeight="1">
      <c r="A37" s="172"/>
      <c r="B37" s="173"/>
      <c r="C37" s="173"/>
      <c r="X37" s="173"/>
      <c r="Y37" s="173"/>
      <c r="Z37" s="173"/>
      <c r="AA37" s="173"/>
      <c r="AB37" s="173"/>
      <c r="AC37" s="173"/>
      <c r="AD37" s="173"/>
      <c r="AE37" s="173"/>
      <c r="AF37" s="173"/>
      <c r="AG37" s="174"/>
      <c r="AH37" s="174"/>
      <c r="AI37" s="174"/>
      <c r="AJ37" s="174"/>
      <c r="AK37" s="174"/>
      <c r="AL37" s="173"/>
      <c r="AM37" s="173"/>
      <c r="AN37" s="173"/>
      <c r="AO37" s="173"/>
      <c r="AP37" s="173"/>
      <c r="AQ37" s="173"/>
      <c r="AR37" s="173"/>
      <c r="AS37" s="173"/>
      <c r="AT37" s="173"/>
      <c r="AU37" s="173"/>
      <c r="AV37" s="173"/>
      <c r="AW37" s="173"/>
      <c r="AX37" s="175"/>
      <c r="AY37" s="176"/>
    </row>
    <row r="38" spans="1:51" s="171" customFormat="1" ht="13.5" customHeight="1">
      <c r="A38" s="172"/>
      <c r="B38" s="173"/>
      <c r="C38" s="173"/>
      <c r="X38" s="173"/>
      <c r="Y38" s="173"/>
      <c r="Z38" s="173"/>
      <c r="AA38" s="173"/>
      <c r="AB38" s="173"/>
      <c r="AC38" s="173"/>
      <c r="AD38" s="173"/>
      <c r="AE38" s="173"/>
      <c r="AF38" s="173"/>
      <c r="AG38" s="174"/>
      <c r="AH38" s="174"/>
      <c r="AI38" s="174"/>
      <c r="AJ38" s="174"/>
      <c r="AK38" s="174"/>
      <c r="AL38" s="173"/>
      <c r="AM38" s="173"/>
      <c r="AN38" s="173"/>
      <c r="AO38" s="173"/>
      <c r="AP38" s="173"/>
      <c r="AQ38" s="173"/>
      <c r="AR38" s="173"/>
      <c r="AS38" s="173"/>
      <c r="AT38" s="173"/>
      <c r="AU38" s="173"/>
      <c r="AV38" s="173"/>
      <c r="AW38" s="173"/>
      <c r="AX38" s="175"/>
      <c r="AY38" s="176"/>
    </row>
    <row r="39" spans="1:51" ht="13.5" customHeight="1" thickBot="1">
      <c r="A39" s="270"/>
      <c r="B39" s="270"/>
      <c r="C39" s="270"/>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c r="AB39" s="270"/>
      <c r="AC39" s="270"/>
      <c r="AD39" s="270"/>
      <c r="AE39" s="270"/>
      <c r="AF39" s="270"/>
      <c r="AG39" s="270"/>
      <c r="AH39" s="270"/>
      <c r="AI39" s="270"/>
      <c r="AJ39" s="270"/>
      <c r="AK39" s="270"/>
      <c r="AL39" s="270"/>
      <c r="AM39" s="270"/>
      <c r="AN39" s="270"/>
      <c r="AO39" s="270"/>
      <c r="AP39" s="270"/>
      <c r="AQ39" s="270"/>
      <c r="AR39" s="270"/>
      <c r="AS39" s="270"/>
      <c r="AT39" s="270"/>
      <c r="AU39" s="270"/>
      <c r="AV39" s="270"/>
      <c r="AW39" s="270"/>
      <c r="AX39" s="271"/>
    </row>
  </sheetData>
  <mergeCells count="25">
    <mergeCell ref="AM1:AP1"/>
    <mergeCell ref="AQ1:AT1"/>
    <mergeCell ref="A1:G3"/>
    <mergeCell ref="H1:K1"/>
    <mergeCell ref="L1:R1"/>
    <mergeCell ref="S1:V1"/>
    <mergeCell ref="W1:AC1"/>
    <mergeCell ref="S3:V3"/>
    <mergeCell ref="W3:AL3"/>
    <mergeCell ref="AU1:AX1"/>
    <mergeCell ref="H2:K2"/>
    <mergeCell ref="L2:R2"/>
    <mergeCell ref="S2:V2"/>
    <mergeCell ref="W2:AC2"/>
    <mergeCell ref="AD2:AG2"/>
    <mergeCell ref="AH2:AL2"/>
    <mergeCell ref="AD1:AG1"/>
    <mergeCell ref="AM2:AP2"/>
    <mergeCell ref="AQ2:AT2"/>
    <mergeCell ref="AU2:AX3"/>
    <mergeCell ref="H3:K3"/>
    <mergeCell ref="L3:R3"/>
    <mergeCell ref="AM3:AP3"/>
    <mergeCell ref="AQ3:AT3"/>
    <mergeCell ref="AH1:AL1"/>
  </mergeCells>
  <phoneticPr fontId="3"/>
  <pageMargins left="0.39370078740157483" right="0.39370078740157483" top="0.39370078740157483" bottom="0.39370078740157483" header="0.19685039370078741" footer="0.19685039370078741"/>
  <pageSetup paperSize="9" fitToHeight="0" orientation="landscape" r:id="rId1"/>
  <headerFooter alignWithMargins="0">
    <oddFooter>&amp;L&amp;A&amp;C&amp;U&amp;P/&amp;N&amp;R©Toyo Business Engineering Corp.(B-EN-G) / Confidential</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3:V304"/>
  <sheetViews>
    <sheetView showGridLines="0" zoomScale="115" zoomScaleNormal="115" zoomScaleSheetLayoutView="110" workbookViewId="0">
      <pane xSplit="3" ySplit="6" topLeftCell="D7" activePane="bottomRight" state="frozen"/>
      <selection activeCell="Z8" sqref="Z8"/>
      <selection pane="topRight" activeCell="Z8" sqref="Z8"/>
      <selection pane="bottomLeft" activeCell="Z8" sqref="Z8"/>
      <selection pane="bottomRight" activeCell="F33" sqref="F33"/>
    </sheetView>
  </sheetViews>
  <sheetFormatPr defaultColWidth="9.33203125" defaultRowHeight="12"/>
  <cols>
    <col min="1" max="1" width="6.6640625" style="79" customWidth="1"/>
    <col min="2" max="2" width="6.6640625" style="100" customWidth="1"/>
    <col min="3" max="3" width="23.33203125" style="79" customWidth="1"/>
    <col min="4" max="4" width="4.1640625" style="79" bestFit="1" customWidth="1"/>
    <col min="5" max="5" width="16" style="79" bestFit="1" customWidth="1"/>
    <col min="6" max="6" width="109.6640625" style="79" customWidth="1"/>
    <col min="7" max="8" width="15.83203125" style="79" customWidth="1"/>
    <col min="9" max="9" width="32.1640625" style="79" customWidth="1"/>
    <col min="10" max="10" width="20.6640625" style="79" bestFit="1" customWidth="1"/>
    <col min="11" max="13" width="15.83203125" style="79" customWidth="1"/>
    <col min="14" max="14" width="20.1640625" style="79" bestFit="1" customWidth="1"/>
    <col min="15" max="15" width="4.1640625" style="79" bestFit="1" customWidth="1"/>
    <col min="16" max="17" width="4.1640625" style="62" bestFit="1" customWidth="1"/>
    <col min="18" max="18" width="26.6640625" style="62" bestFit="1" customWidth="1"/>
    <col min="19" max="19" width="29.83203125" style="79" bestFit="1" customWidth="1"/>
    <col min="20" max="20" width="55.83203125" style="79" bestFit="1" customWidth="1"/>
    <col min="21" max="21" width="22.1640625" style="79" bestFit="1" customWidth="1"/>
    <col min="22" max="22" width="59.33203125" style="79" bestFit="1" customWidth="1"/>
    <col min="23" max="16384" width="9.33203125" style="79"/>
  </cols>
  <sheetData>
    <row r="3" spans="1:22">
      <c r="N3" s="95"/>
      <c r="U3" s="95"/>
    </row>
    <row r="4" spans="1:22" ht="12.75" thickBot="1"/>
    <row r="5" spans="1:22" s="503" customFormat="1">
      <c r="A5" s="634" t="s">
        <v>1054</v>
      </c>
      <c r="B5" s="635" t="s">
        <v>1224</v>
      </c>
      <c r="C5" s="635" t="s">
        <v>28</v>
      </c>
      <c r="D5" s="636" t="s">
        <v>33</v>
      </c>
      <c r="E5" s="635" t="s">
        <v>32</v>
      </c>
      <c r="F5" s="635" t="s">
        <v>30</v>
      </c>
      <c r="G5" s="637" t="s">
        <v>1225</v>
      </c>
      <c r="H5" s="638"/>
      <c r="I5" s="638"/>
      <c r="J5" s="638"/>
      <c r="K5" s="638"/>
      <c r="L5" s="638"/>
      <c r="M5" s="638"/>
      <c r="N5" s="638"/>
      <c r="O5" s="639" t="s">
        <v>1119</v>
      </c>
      <c r="P5" s="639" t="s">
        <v>1120</v>
      </c>
      <c r="Q5" s="639" t="s">
        <v>1314</v>
      </c>
      <c r="R5" s="640" t="s">
        <v>1050</v>
      </c>
      <c r="S5" s="635" t="s">
        <v>1270</v>
      </c>
      <c r="T5" s="640" t="s">
        <v>1051</v>
      </c>
      <c r="U5" s="635" t="s">
        <v>31</v>
      </c>
      <c r="V5" s="641" t="s">
        <v>1226</v>
      </c>
    </row>
    <row r="6" spans="1:22" s="503" customFormat="1" ht="12.75" thickBot="1">
      <c r="A6" s="642" t="s">
        <v>1313</v>
      </c>
      <c r="B6" s="643"/>
      <c r="C6" s="643"/>
      <c r="D6" s="644"/>
      <c r="E6" s="643"/>
      <c r="F6" s="643"/>
      <c r="G6" s="645" t="s">
        <v>1193</v>
      </c>
      <c r="H6" s="645" t="s">
        <v>1194</v>
      </c>
      <c r="I6" s="646" t="s">
        <v>1195</v>
      </c>
      <c r="J6" s="647" t="s">
        <v>1196</v>
      </c>
      <c r="K6" s="647" t="s">
        <v>1197</v>
      </c>
      <c r="L6" s="647" t="s">
        <v>1198</v>
      </c>
      <c r="M6" s="646" t="s">
        <v>1199</v>
      </c>
      <c r="N6" s="646" t="s">
        <v>1200</v>
      </c>
      <c r="O6" s="648"/>
      <c r="P6" s="649"/>
      <c r="Q6" s="649"/>
      <c r="R6" s="643"/>
      <c r="S6" s="643"/>
      <c r="T6" s="643"/>
      <c r="U6" s="643"/>
      <c r="V6" s="650"/>
    </row>
    <row r="7" spans="1:22" s="100" customFormat="1" ht="12.75" thickTop="1">
      <c r="A7" s="63" t="s">
        <v>1036</v>
      </c>
      <c r="B7" s="459"/>
      <c r="C7" s="64"/>
      <c r="D7" s="65"/>
      <c r="E7" s="64"/>
      <c r="F7" s="64"/>
      <c r="G7" s="64"/>
      <c r="H7" s="64"/>
      <c r="I7" s="64"/>
      <c r="J7" s="64"/>
      <c r="K7" s="64"/>
      <c r="L7" s="64"/>
      <c r="M7" s="64"/>
      <c r="N7" s="64"/>
      <c r="O7" s="64"/>
      <c r="P7" s="64"/>
      <c r="Q7" s="64"/>
      <c r="R7" s="64"/>
      <c r="S7" s="64"/>
      <c r="T7" s="64"/>
      <c r="U7" s="64"/>
      <c r="V7" s="66"/>
    </row>
    <row r="8" spans="1:22" s="474" customFormat="1" ht="24">
      <c r="A8" s="651" t="s">
        <v>347</v>
      </c>
      <c r="B8" s="724">
        <v>1</v>
      </c>
      <c r="C8" s="724" t="s">
        <v>83</v>
      </c>
      <c r="D8" s="725"/>
      <c r="E8" s="724"/>
      <c r="F8" s="726"/>
      <c r="G8" s="726"/>
      <c r="H8" s="726"/>
      <c r="I8" s="726"/>
      <c r="J8" s="726"/>
      <c r="K8" s="726"/>
      <c r="L8" s="726"/>
      <c r="M8" s="726"/>
      <c r="N8" s="726"/>
      <c r="O8" s="727"/>
      <c r="P8" s="725"/>
      <c r="Q8" s="725"/>
      <c r="R8" s="726"/>
      <c r="S8" s="726"/>
      <c r="T8" s="726"/>
      <c r="U8" s="724"/>
      <c r="V8" s="653" t="s">
        <v>1227</v>
      </c>
    </row>
    <row r="9" spans="1:22" s="474" customFormat="1">
      <c r="A9" s="651" t="s">
        <v>347</v>
      </c>
      <c r="B9" s="724">
        <v>2</v>
      </c>
      <c r="C9" s="724" t="s">
        <v>84</v>
      </c>
      <c r="D9" s="725"/>
      <c r="E9" s="724"/>
      <c r="F9" s="726"/>
      <c r="G9" s="726"/>
      <c r="H9" s="726"/>
      <c r="I9" s="721"/>
      <c r="J9" s="726"/>
      <c r="K9" s="726"/>
      <c r="L9" s="726"/>
      <c r="M9" s="726"/>
      <c r="N9" s="726"/>
      <c r="O9" s="727"/>
      <c r="P9" s="725"/>
      <c r="Q9" s="725"/>
      <c r="R9" s="726"/>
      <c r="S9" s="726"/>
      <c r="T9" s="726"/>
      <c r="U9" s="724"/>
      <c r="V9" s="728"/>
    </row>
    <row r="10" spans="1:22" s="100" customFormat="1">
      <c r="A10" s="411"/>
      <c r="B10" s="407">
        <v>3</v>
      </c>
      <c r="C10" s="152" t="s">
        <v>85</v>
      </c>
      <c r="D10" s="622"/>
      <c r="E10" s="407"/>
      <c r="F10" s="407"/>
      <c r="G10" s="407"/>
      <c r="H10" s="407"/>
      <c r="I10" s="407"/>
      <c r="J10" s="407"/>
      <c r="K10" s="407"/>
      <c r="L10" s="407"/>
      <c r="M10" s="407"/>
      <c r="N10" s="407"/>
      <c r="O10" s="620"/>
      <c r="P10" s="622"/>
      <c r="Q10" s="722"/>
      <c r="R10" s="407"/>
      <c r="S10" s="407"/>
      <c r="T10" s="407"/>
      <c r="U10" s="407"/>
      <c r="V10" s="408"/>
    </row>
    <row r="11" spans="1:22" s="100" customFormat="1">
      <c r="A11" s="411"/>
      <c r="B11" s="407">
        <v>4</v>
      </c>
      <c r="C11" s="152" t="s">
        <v>86</v>
      </c>
      <c r="D11" s="622"/>
      <c r="E11" s="407"/>
      <c r="F11" s="407"/>
      <c r="G11" s="407"/>
      <c r="H11" s="407"/>
      <c r="I11" s="407"/>
      <c r="J11" s="407"/>
      <c r="K11" s="407"/>
      <c r="L11" s="407"/>
      <c r="M11" s="407"/>
      <c r="N11" s="407"/>
      <c r="O11" s="620"/>
      <c r="P11" s="622"/>
      <c r="Q11" s="722"/>
      <c r="R11" s="407"/>
      <c r="S11" s="407"/>
      <c r="T11" s="407"/>
      <c r="U11" s="407"/>
      <c r="V11" s="408"/>
    </row>
    <row r="12" spans="1:22" s="100" customFormat="1">
      <c r="A12" s="442"/>
      <c r="B12" s="445"/>
      <c r="C12" s="153"/>
      <c r="D12" s="443"/>
      <c r="E12" s="445"/>
      <c r="F12" s="445"/>
      <c r="G12" s="445"/>
      <c r="H12" s="445"/>
      <c r="I12" s="445"/>
      <c r="J12" s="445"/>
      <c r="K12" s="445"/>
      <c r="L12" s="445"/>
      <c r="M12" s="445"/>
      <c r="N12" s="445"/>
      <c r="O12" s="135"/>
      <c r="P12" s="444"/>
      <c r="Q12" s="444"/>
      <c r="R12" s="445"/>
      <c r="S12" s="445"/>
      <c r="T12" s="445"/>
      <c r="U12" s="445"/>
      <c r="V12" s="446"/>
    </row>
    <row r="13" spans="1:22" s="100" customFormat="1">
      <c r="A13" s="654" t="s">
        <v>51</v>
      </c>
      <c r="B13" s="453"/>
      <c r="C13" s="452"/>
      <c r="D13" s="441"/>
      <c r="E13" s="453"/>
      <c r="F13" s="453"/>
      <c r="G13" s="453"/>
      <c r="H13" s="453"/>
      <c r="I13" s="453"/>
      <c r="J13" s="453"/>
      <c r="K13" s="453"/>
      <c r="L13" s="453"/>
      <c r="M13" s="453"/>
      <c r="N13" s="453"/>
      <c r="O13" s="441"/>
      <c r="P13" s="441"/>
      <c r="Q13" s="441"/>
      <c r="R13" s="453"/>
      <c r="S13" s="453"/>
      <c r="T13" s="453"/>
      <c r="U13" s="453"/>
      <c r="V13" s="655"/>
    </row>
    <row r="14" spans="1:22" s="100" customFormat="1">
      <c r="A14" s="447"/>
      <c r="B14" s="450">
        <v>1</v>
      </c>
      <c r="C14" s="154" t="s">
        <v>87</v>
      </c>
      <c r="D14" s="448"/>
      <c r="E14" s="450"/>
      <c r="F14" s="450"/>
      <c r="G14" s="450"/>
      <c r="H14" s="450"/>
      <c r="I14" s="450"/>
      <c r="J14" s="450"/>
      <c r="K14" s="450"/>
      <c r="L14" s="450"/>
      <c r="M14" s="450"/>
      <c r="N14" s="450"/>
      <c r="O14" s="136"/>
      <c r="P14" s="449"/>
      <c r="Q14" s="449"/>
      <c r="R14" s="450"/>
      <c r="S14" s="450"/>
      <c r="T14" s="450"/>
      <c r="U14" s="450"/>
      <c r="V14" s="451"/>
    </row>
    <row r="15" spans="1:22" s="100" customFormat="1">
      <c r="A15" s="411"/>
      <c r="B15" s="407">
        <v>2</v>
      </c>
      <c r="C15" s="152" t="s">
        <v>88</v>
      </c>
      <c r="D15" s="622"/>
      <c r="E15" s="407"/>
      <c r="F15" s="407"/>
      <c r="G15" s="407"/>
      <c r="H15" s="407"/>
      <c r="I15" s="407"/>
      <c r="J15" s="407"/>
      <c r="K15" s="407"/>
      <c r="L15" s="407"/>
      <c r="M15" s="407"/>
      <c r="N15" s="407"/>
      <c r="O15" s="620"/>
      <c r="P15" s="622"/>
      <c r="Q15" s="722"/>
      <c r="R15" s="407"/>
      <c r="S15" s="407"/>
      <c r="T15" s="407"/>
      <c r="U15" s="407"/>
      <c r="V15" s="408"/>
    </row>
    <row r="16" spans="1:22" s="100" customFormat="1">
      <c r="A16" s="411"/>
      <c r="B16" s="407">
        <v>3</v>
      </c>
      <c r="C16" s="152" t="s">
        <v>89</v>
      </c>
      <c r="D16" s="622"/>
      <c r="E16" s="407"/>
      <c r="F16" s="407"/>
      <c r="G16" s="407"/>
      <c r="H16" s="407"/>
      <c r="I16" s="407"/>
      <c r="J16" s="407"/>
      <c r="K16" s="407"/>
      <c r="L16" s="407"/>
      <c r="M16" s="407"/>
      <c r="N16" s="407"/>
      <c r="O16" s="620"/>
      <c r="P16" s="622"/>
      <c r="Q16" s="722"/>
      <c r="R16" s="407"/>
      <c r="S16" s="407"/>
      <c r="T16" s="407"/>
      <c r="U16" s="407"/>
      <c r="V16" s="408"/>
    </row>
    <row r="17" spans="1:22" s="100" customFormat="1">
      <c r="A17" s="411"/>
      <c r="B17" s="407">
        <v>4</v>
      </c>
      <c r="C17" s="152" t="s">
        <v>90</v>
      </c>
      <c r="D17" s="622"/>
      <c r="E17" s="407"/>
      <c r="F17" s="407"/>
      <c r="G17" s="407"/>
      <c r="H17" s="407"/>
      <c r="I17" s="407"/>
      <c r="J17" s="407"/>
      <c r="K17" s="407"/>
      <c r="L17" s="407"/>
      <c r="M17" s="407"/>
      <c r="N17" s="407"/>
      <c r="O17" s="620"/>
      <c r="P17" s="622"/>
      <c r="Q17" s="722"/>
      <c r="R17" s="407"/>
      <c r="S17" s="407"/>
      <c r="T17" s="407"/>
      <c r="U17" s="407"/>
      <c r="V17" s="408"/>
    </row>
    <row r="18" spans="1:22" s="100" customFormat="1">
      <c r="A18" s="411"/>
      <c r="B18" s="407"/>
      <c r="C18" s="152"/>
      <c r="D18" s="409"/>
      <c r="E18" s="407"/>
      <c r="F18" s="407"/>
      <c r="G18" s="407"/>
      <c r="H18" s="407"/>
      <c r="I18" s="407"/>
      <c r="J18" s="407"/>
      <c r="K18" s="407"/>
      <c r="L18" s="407"/>
      <c r="M18" s="407"/>
      <c r="N18" s="407"/>
      <c r="O18" s="620"/>
      <c r="P18" s="622"/>
      <c r="Q18" s="722"/>
      <c r="R18" s="407"/>
      <c r="S18" s="407"/>
      <c r="T18" s="407"/>
      <c r="U18" s="407"/>
      <c r="V18" s="408"/>
    </row>
    <row r="19" spans="1:22" s="100" customFormat="1">
      <c r="A19" s="654" t="s">
        <v>1121</v>
      </c>
      <c r="B19" s="453"/>
      <c r="C19" s="452"/>
      <c r="D19" s="441"/>
      <c r="E19" s="453"/>
      <c r="F19" s="453"/>
      <c r="G19" s="453"/>
      <c r="H19" s="453"/>
      <c r="I19" s="453"/>
      <c r="J19" s="453"/>
      <c r="K19" s="453"/>
      <c r="L19" s="453"/>
      <c r="M19" s="453"/>
      <c r="N19" s="453"/>
      <c r="O19" s="441"/>
      <c r="P19" s="441"/>
      <c r="Q19" s="441"/>
      <c r="R19" s="453"/>
      <c r="S19" s="453"/>
      <c r="T19" s="453"/>
      <c r="U19" s="453"/>
      <c r="V19" s="655"/>
    </row>
    <row r="20" spans="1:22" s="100" customFormat="1">
      <c r="A20" s="411"/>
      <c r="B20" s="407">
        <v>1</v>
      </c>
      <c r="C20" s="152" t="s">
        <v>91</v>
      </c>
      <c r="D20" s="622"/>
      <c r="E20" s="407"/>
      <c r="F20" s="407"/>
      <c r="G20" s="407"/>
      <c r="H20" s="407"/>
      <c r="I20" s="407"/>
      <c r="J20" s="407"/>
      <c r="K20" s="407"/>
      <c r="L20" s="407"/>
      <c r="M20" s="407"/>
      <c r="N20" s="407"/>
      <c r="O20" s="620"/>
      <c r="P20" s="622"/>
      <c r="Q20" s="722"/>
      <c r="R20" s="407"/>
      <c r="S20" s="407"/>
      <c r="T20" s="407"/>
      <c r="U20" s="407"/>
      <c r="V20" s="408"/>
    </row>
    <row r="21" spans="1:22" s="100" customFormat="1">
      <c r="A21" s="411"/>
      <c r="B21" s="407">
        <v>2</v>
      </c>
      <c r="C21" s="152" t="s">
        <v>92</v>
      </c>
      <c r="D21" s="409"/>
      <c r="E21" s="407"/>
      <c r="F21" s="407"/>
      <c r="G21" s="407"/>
      <c r="H21" s="407"/>
      <c r="I21" s="407"/>
      <c r="J21" s="407"/>
      <c r="K21" s="407"/>
      <c r="L21" s="407"/>
      <c r="M21" s="407"/>
      <c r="N21" s="407"/>
      <c r="O21" s="620"/>
      <c r="P21" s="622"/>
      <c r="Q21" s="722"/>
      <c r="R21" s="407"/>
      <c r="S21" s="407"/>
      <c r="T21" s="407"/>
      <c r="U21" s="407"/>
      <c r="V21" s="408"/>
    </row>
    <row r="22" spans="1:22" s="100" customFormat="1">
      <c r="A22" s="411"/>
      <c r="B22" s="407">
        <v>3</v>
      </c>
      <c r="C22" s="152" t="s">
        <v>87</v>
      </c>
      <c r="D22" s="409"/>
      <c r="E22" s="407"/>
      <c r="F22" s="407"/>
      <c r="G22" s="407"/>
      <c r="H22" s="407"/>
      <c r="I22" s="407"/>
      <c r="J22" s="407"/>
      <c r="K22" s="407"/>
      <c r="L22" s="407"/>
      <c r="M22" s="407"/>
      <c r="N22" s="407"/>
      <c r="O22" s="620"/>
      <c r="P22" s="622"/>
      <c r="Q22" s="722"/>
      <c r="R22" s="407"/>
      <c r="S22" s="407"/>
      <c r="T22" s="407"/>
      <c r="U22" s="407"/>
      <c r="V22" s="408"/>
    </row>
    <row r="23" spans="1:22" s="100" customFormat="1">
      <c r="A23" s="411"/>
      <c r="B23" s="407">
        <v>4</v>
      </c>
      <c r="C23" s="152" t="s">
        <v>93</v>
      </c>
      <c r="D23" s="409"/>
      <c r="E23" s="407"/>
      <c r="F23" s="407"/>
      <c r="G23" s="407"/>
      <c r="H23" s="407"/>
      <c r="I23" s="407"/>
      <c r="J23" s="407"/>
      <c r="K23" s="407"/>
      <c r="L23" s="407"/>
      <c r="M23" s="407"/>
      <c r="N23" s="407"/>
      <c r="O23" s="620"/>
      <c r="P23" s="622"/>
      <c r="Q23" s="722"/>
      <c r="R23" s="407"/>
      <c r="S23" s="407"/>
      <c r="T23" s="407"/>
      <c r="U23" s="407"/>
      <c r="V23" s="408"/>
    </row>
    <row r="24" spans="1:22" s="100" customFormat="1">
      <c r="A24" s="411"/>
      <c r="B24" s="407">
        <v>5</v>
      </c>
      <c r="C24" s="152" t="s">
        <v>94</v>
      </c>
      <c r="D24" s="409"/>
      <c r="E24" s="407"/>
      <c r="F24" s="407"/>
      <c r="G24" s="407"/>
      <c r="H24" s="407"/>
      <c r="I24" s="407"/>
      <c r="J24" s="407"/>
      <c r="K24" s="407"/>
      <c r="L24" s="407"/>
      <c r="M24" s="407"/>
      <c r="N24" s="407"/>
      <c r="O24" s="620"/>
      <c r="P24" s="622"/>
      <c r="Q24" s="722"/>
      <c r="R24" s="407"/>
      <c r="S24" s="407"/>
      <c r="T24" s="407"/>
      <c r="U24" s="407"/>
      <c r="V24" s="408"/>
    </row>
    <row r="25" spans="1:22" s="100" customFormat="1">
      <c r="A25" s="411"/>
      <c r="B25" s="407">
        <v>6</v>
      </c>
      <c r="C25" s="152" t="s">
        <v>95</v>
      </c>
      <c r="D25" s="409"/>
      <c r="E25" s="407"/>
      <c r="F25" s="407"/>
      <c r="G25" s="407"/>
      <c r="H25" s="407"/>
      <c r="I25" s="407"/>
      <c r="J25" s="407"/>
      <c r="K25" s="407"/>
      <c r="L25" s="407"/>
      <c r="M25" s="407"/>
      <c r="N25" s="407"/>
      <c r="O25" s="620"/>
      <c r="P25" s="622"/>
      <c r="Q25" s="722"/>
      <c r="R25" s="407"/>
      <c r="S25" s="407"/>
      <c r="T25" s="407"/>
      <c r="U25" s="407"/>
      <c r="V25" s="408"/>
    </row>
    <row r="26" spans="1:22" s="100" customFormat="1">
      <c r="A26" s="411"/>
      <c r="B26" s="407">
        <v>7</v>
      </c>
      <c r="C26" s="152" t="s">
        <v>96</v>
      </c>
      <c r="D26" s="622"/>
      <c r="E26" s="407"/>
      <c r="F26" s="407"/>
      <c r="G26" s="407"/>
      <c r="H26" s="407"/>
      <c r="I26" s="407"/>
      <c r="J26" s="407"/>
      <c r="K26" s="407"/>
      <c r="L26" s="407"/>
      <c r="M26" s="407"/>
      <c r="N26" s="407"/>
      <c r="O26" s="620"/>
      <c r="P26" s="622"/>
      <c r="Q26" s="722"/>
      <c r="R26" s="407"/>
      <c r="S26" s="407"/>
      <c r="T26" s="407"/>
      <c r="U26" s="407"/>
      <c r="V26" s="408"/>
    </row>
    <row r="27" spans="1:22" s="100" customFormat="1">
      <c r="A27" s="411"/>
      <c r="B27" s="407">
        <v>8</v>
      </c>
      <c r="C27" s="152" t="s">
        <v>97</v>
      </c>
      <c r="D27" s="409"/>
      <c r="E27" s="407"/>
      <c r="F27" s="407"/>
      <c r="G27" s="407"/>
      <c r="H27" s="407"/>
      <c r="I27" s="407"/>
      <c r="J27" s="407"/>
      <c r="K27" s="407"/>
      <c r="L27" s="407"/>
      <c r="M27" s="407"/>
      <c r="N27" s="407"/>
      <c r="O27" s="620"/>
      <c r="P27" s="622"/>
      <c r="Q27" s="722"/>
      <c r="R27" s="407"/>
      <c r="S27" s="407"/>
      <c r="T27" s="407"/>
      <c r="U27" s="407"/>
      <c r="V27" s="408"/>
    </row>
    <row r="28" spans="1:22" s="100" customFormat="1">
      <c r="A28" s="440"/>
      <c r="B28" s="407">
        <v>9</v>
      </c>
      <c r="C28" s="439" t="s">
        <v>98</v>
      </c>
      <c r="D28" s="409"/>
      <c r="E28" s="407"/>
      <c r="F28" s="407"/>
      <c r="G28" s="407"/>
      <c r="H28" s="407"/>
      <c r="I28" s="407"/>
      <c r="J28" s="407"/>
      <c r="K28" s="407"/>
      <c r="L28" s="407"/>
      <c r="M28" s="407"/>
      <c r="N28" s="407"/>
      <c r="O28" s="621"/>
      <c r="P28" s="409"/>
      <c r="Q28" s="409"/>
      <c r="R28" s="407"/>
      <c r="S28" s="407"/>
      <c r="T28" s="407"/>
      <c r="U28" s="407"/>
      <c r="V28" s="408"/>
    </row>
    <row r="29" spans="1:22" s="100" customFormat="1">
      <c r="A29" s="440"/>
      <c r="B29" s="407">
        <v>10</v>
      </c>
      <c r="C29" s="439" t="s">
        <v>49</v>
      </c>
      <c r="D29" s="409"/>
      <c r="E29" s="407"/>
      <c r="F29" s="407"/>
      <c r="G29" s="407"/>
      <c r="H29" s="407"/>
      <c r="I29" s="407"/>
      <c r="J29" s="407"/>
      <c r="K29" s="407"/>
      <c r="L29" s="407"/>
      <c r="M29" s="407"/>
      <c r="N29" s="407"/>
      <c r="O29" s="621"/>
      <c r="P29" s="409"/>
      <c r="Q29" s="409"/>
      <c r="R29" s="407"/>
      <c r="S29" s="407"/>
      <c r="T29" s="407"/>
      <c r="U29" s="407"/>
      <c r="V29" s="408"/>
    </row>
    <row r="30" spans="1:22" s="100" customFormat="1">
      <c r="A30" s="440"/>
      <c r="B30" s="407">
        <v>11</v>
      </c>
      <c r="C30" s="439" t="s">
        <v>50</v>
      </c>
      <c r="D30" s="409"/>
      <c r="E30" s="407"/>
      <c r="F30" s="407"/>
      <c r="G30" s="407"/>
      <c r="H30" s="407"/>
      <c r="I30" s="407"/>
      <c r="J30" s="407"/>
      <c r="K30" s="407"/>
      <c r="L30" s="407"/>
      <c r="M30" s="407"/>
      <c r="N30" s="407"/>
      <c r="O30" s="621"/>
      <c r="P30" s="409"/>
      <c r="Q30" s="409"/>
      <c r="R30" s="407"/>
      <c r="S30" s="407"/>
      <c r="T30" s="407"/>
      <c r="U30" s="407"/>
      <c r="V30" s="408"/>
    </row>
    <row r="31" spans="1:22" s="100" customFormat="1">
      <c r="A31" s="440"/>
      <c r="B31" s="407">
        <v>12</v>
      </c>
      <c r="C31" s="439" t="s">
        <v>99</v>
      </c>
      <c r="D31" s="409"/>
      <c r="E31" s="407"/>
      <c r="F31" s="407"/>
      <c r="G31" s="407"/>
      <c r="H31" s="407"/>
      <c r="I31" s="407"/>
      <c r="J31" s="407"/>
      <c r="K31" s="407"/>
      <c r="L31" s="407"/>
      <c r="M31" s="407"/>
      <c r="N31" s="407"/>
      <c r="O31" s="621"/>
      <c r="P31" s="409"/>
      <c r="Q31" s="409"/>
      <c r="R31" s="407"/>
      <c r="S31" s="407"/>
      <c r="T31" s="407"/>
      <c r="U31" s="407"/>
      <c r="V31" s="408"/>
    </row>
    <row r="32" spans="1:22" s="100" customFormat="1">
      <c r="A32" s="440"/>
      <c r="B32" s="407">
        <v>13</v>
      </c>
      <c r="C32" s="407" t="s">
        <v>100</v>
      </c>
      <c r="D32" s="409"/>
      <c r="E32" s="407"/>
      <c r="F32" s="407"/>
      <c r="G32" s="407"/>
      <c r="H32" s="407"/>
      <c r="I32" s="407"/>
      <c r="J32" s="407"/>
      <c r="K32" s="407"/>
      <c r="L32" s="407"/>
      <c r="M32" s="407"/>
      <c r="N32" s="407"/>
      <c r="O32" s="621"/>
      <c r="P32" s="409"/>
      <c r="Q32" s="409"/>
      <c r="R32" s="407"/>
      <c r="S32" s="407"/>
      <c r="T32" s="407"/>
      <c r="U32" s="407"/>
      <c r="V32" s="408"/>
    </row>
    <row r="33" spans="1:22" s="474" customFormat="1" ht="84">
      <c r="A33" s="651" t="s">
        <v>347</v>
      </c>
      <c r="B33" s="724">
        <v>14</v>
      </c>
      <c r="C33" s="724" t="s">
        <v>101</v>
      </c>
      <c r="D33" s="725"/>
      <c r="E33" s="724"/>
      <c r="F33" s="726"/>
      <c r="G33" s="726"/>
      <c r="H33" s="726"/>
      <c r="I33" s="726"/>
      <c r="J33" s="726"/>
      <c r="K33" s="726"/>
      <c r="L33" s="726"/>
      <c r="M33" s="726"/>
      <c r="N33" s="726"/>
      <c r="O33" s="727"/>
      <c r="P33" s="725"/>
      <c r="Q33" s="725"/>
      <c r="R33" s="726"/>
      <c r="S33" s="726"/>
      <c r="T33" s="726"/>
      <c r="U33" s="724"/>
      <c r="V33" s="653" t="s">
        <v>1201</v>
      </c>
    </row>
    <row r="34" spans="1:22" s="474" customFormat="1" ht="168">
      <c r="A34" s="651" t="s">
        <v>347</v>
      </c>
      <c r="B34" s="724">
        <v>15</v>
      </c>
      <c r="C34" s="724" t="s">
        <v>102</v>
      </c>
      <c r="D34" s="725"/>
      <c r="E34" s="724"/>
      <c r="F34" s="726"/>
      <c r="G34" s="726"/>
      <c r="H34" s="726"/>
      <c r="I34" s="726"/>
      <c r="J34" s="726"/>
      <c r="K34" s="726"/>
      <c r="L34" s="726"/>
      <c r="M34" s="726"/>
      <c r="N34" s="726"/>
      <c r="O34" s="727"/>
      <c r="P34" s="725"/>
      <c r="Q34" s="725"/>
      <c r="R34" s="726"/>
      <c r="S34" s="726"/>
      <c r="T34" s="726"/>
      <c r="U34" s="724"/>
      <c r="V34" s="653" t="s">
        <v>1202</v>
      </c>
    </row>
    <row r="35" spans="1:22" s="100" customFormat="1">
      <c r="A35" s="656"/>
      <c r="B35" s="439">
        <v>16</v>
      </c>
      <c r="C35" s="439" t="s">
        <v>103</v>
      </c>
      <c r="D35" s="409"/>
      <c r="E35" s="439"/>
      <c r="F35" s="407"/>
      <c r="G35" s="407"/>
      <c r="H35" s="407"/>
      <c r="I35" s="407"/>
      <c r="J35" s="407"/>
      <c r="K35" s="407"/>
      <c r="L35" s="407"/>
      <c r="M35" s="407"/>
      <c r="N35" s="407"/>
      <c r="O35" s="621"/>
      <c r="P35" s="409"/>
      <c r="Q35" s="409"/>
      <c r="R35" s="407"/>
      <c r="S35" s="407"/>
      <c r="T35" s="407"/>
      <c r="U35" s="407"/>
      <c r="V35" s="408" t="s">
        <v>1228</v>
      </c>
    </row>
    <row r="36" spans="1:22" s="100" customFormat="1">
      <c r="A36" s="656"/>
      <c r="B36" s="439">
        <v>17</v>
      </c>
      <c r="C36" s="439" t="s">
        <v>104</v>
      </c>
      <c r="D36" s="409"/>
      <c r="E36" s="439"/>
      <c r="F36" s="407"/>
      <c r="G36" s="407"/>
      <c r="H36" s="407"/>
      <c r="I36" s="407"/>
      <c r="J36" s="407"/>
      <c r="K36" s="407"/>
      <c r="L36" s="407"/>
      <c r="M36" s="407"/>
      <c r="N36" s="407"/>
      <c r="O36" s="621"/>
      <c r="P36" s="409"/>
      <c r="Q36" s="409"/>
      <c r="R36" s="407"/>
      <c r="S36" s="407"/>
      <c r="T36" s="407"/>
      <c r="U36" s="407"/>
      <c r="V36" s="408"/>
    </row>
    <row r="37" spans="1:22" s="100" customFormat="1">
      <c r="A37" s="656"/>
      <c r="B37" s="439">
        <v>18</v>
      </c>
      <c r="C37" s="439" t="s">
        <v>105</v>
      </c>
      <c r="D37" s="409"/>
      <c r="E37" s="439"/>
      <c r="F37" s="407"/>
      <c r="G37" s="407"/>
      <c r="H37" s="407"/>
      <c r="I37" s="407"/>
      <c r="J37" s="407"/>
      <c r="K37" s="407"/>
      <c r="L37" s="407"/>
      <c r="M37" s="407"/>
      <c r="N37" s="407"/>
      <c r="O37" s="621"/>
      <c r="P37" s="409"/>
      <c r="Q37" s="409"/>
      <c r="R37" s="407"/>
      <c r="S37" s="407"/>
      <c r="T37" s="407"/>
      <c r="U37" s="407"/>
      <c r="V37" s="408"/>
    </row>
    <row r="38" spans="1:22" s="100" customFormat="1">
      <c r="A38" s="656"/>
      <c r="B38" s="439">
        <v>19</v>
      </c>
      <c r="C38" s="439" t="s">
        <v>106</v>
      </c>
      <c r="D38" s="409"/>
      <c r="E38" s="439"/>
      <c r="F38" s="407"/>
      <c r="G38" s="407"/>
      <c r="H38" s="407"/>
      <c r="I38" s="407"/>
      <c r="J38" s="407"/>
      <c r="K38" s="407"/>
      <c r="L38" s="407"/>
      <c r="M38" s="407"/>
      <c r="N38" s="407"/>
      <c r="O38" s="621"/>
      <c r="P38" s="409"/>
      <c r="Q38" s="409"/>
      <c r="R38" s="407"/>
      <c r="S38" s="407"/>
      <c r="T38" s="407"/>
      <c r="U38" s="407"/>
      <c r="V38" s="408"/>
    </row>
    <row r="39" spans="1:22" s="100" customFormat="1">
      <c r="A39" s="656"/>
      <c r="B39" s="439">
        <v>20</v>
      </c>
      <c r="C39" s="439" t="s">
        <v>107</v>
      </c>
      <c r="D39" s="409"/>
      <c r="E39" s="439"/>
      <c r="F39" s="407"/>
      <c r="G39" s="407"/>
      <c r="H39" s="407"/>
      <c r="I39" s="407"/>
      <c r="J39" s="407"/>
      <c r="K39" s="407"/>
      <c r="L39" s="407"/>
      <c r="M39" s="407"/>
      <c r="N39" s="407"/>
      <c r="O39" s="621"/>
      <c r="P39" s="409"/>
      <c r="Q39" s="409"/>
      <c r="R39" s="407"/>
      <c r="S39" s="407"/>
      <c r="T39" s="407"/>
      <c r="U39" s="439"/>
      <c r="V39" s="408"/>
    </row>
    <row r="40" spans="1:22" s="100" customFormat="1">
      <c r="A40" s="656"/>
      <c r="B40" s="439">
        <v>21</v>
      </c>
      <c r="C40" s="439" t="s">
        <v>108</v>
      </c>
      <c r="D40" s="409"/>
      <c r="E40" s="439"/>
      <c r="F40" s="407"/>
      <c r="G40" s="407"/>
      <c r="H40" s="407"/>
      <c r="I40" s="407"/>
      <c r="J40" s="407"/>
      <c r="K40" s="407"/>
      <c r="L40" s="407"/>
      <c r="M40" s="407"/>
      <c r="N40" s="407"/>
      <c r="O40" s="621"/>
      <c r="P40" s="409"/>
      <c r="Q40" s="409"/>
      <c r="R40" s="407"/>
      <c r="S40" s="407"/>
      <c r="T40" s="407"/>
      <c r="U40" s="439"/>
      <c r="V40" s="408"/>
    </row>
    <row r="41" spans="1:22" s="100" customFormat="1">
      <c r="A41" s="656"/>
      <c r="B41" s="439">
        <v>22</v>
      </c>
      <c r="C41" s="439" t="s">
        <v>109</v>
      </c>
      <c r="D41" s="409"/>
      <c r="E41" s="439"/>
      <c r="F41" s="407"/>
      <c r="G41" s="407"/>
      <c r="H41" s="407"/>
      <c r="I41" s="407"/>
      <c r="J41" s="407"/>
      <c r="K41" s="407"/>
      <c r="L41" s="407"/>
      <c r="M41" s="407"/>
      <c r="N41" s="407"/>
      <c r="O41" s="621"/>
      <c r="P41" s="409"/>
      <c r="Q41" s="409"/>
      <c r="R41" s="407"/>
      <c r="S41" s="407"/>
      <c r="T41" s="407"/>
      <c r="U41" s="439"/>
      <c r="V41" s="408"/>
    </row>
    <row r="42" spans="1:22" s="100" customFormat="1">
      <c r="A42" s="656"/>
      <c r="B42" s="439">
        <v>23</v>
      </c>
      <c r="C42" s="439" t="s">
        <v>110</v>
      </c>
      <c r="D42" s="409"/>
      <c r="E42" s="439"/>
      <c r="F42" s="407"/>
      <c r="G42" s="407"/>
      <c r="H42" s="407"/>
      <c r="I42" s="407"/>
      <c r="J42" s="407"/>
      <c r="K42" s="407"/>
      <c r="L42" s="407"/>
      <c r="M42" s="407"/>
      <c r="N42" s="407"/>
      <c r="O42" s="621"/>
      <c r="P42" s="409"/>
      <c r="Q42" s="409"/>
      <c r="R42" s="407"/>
      <c r="S42" s="407"/>
      <c r="T42" s="407"/>
      <c r="U42" s="439"/>
      <c r="V42" s="408"/>
    </row>
    <row r="43" spans="1:22" s="100" customFormat="1">
      <c r="A43" s="656"/>
      <c r="B43" s="439">
        <v>24</v>
      </c>
      <c r="C43" s="439" t="s">
        <v>111</v>
      </c>
      <c r="D43" s="409"/>
      <c r="E43" s="439"/>
      <c r="F43" s="407"/>
      <c r="G43" s="407"/>
      <c r="H43" s="407"/>
      <c r="I43" s="407"/>
      <c r="J43" s="407"/>
      <c r="K43" s="407"/>
      <c r="L43" s="407"/>
      <c r="M43" s="407"/>
      <c r="N43" s="407"/>
      <c r="O43" s="621"/>
      <c r="P43" s="409"/>
      <c r="Q43" s="409"/>
      <c r="R43" s="407"/>
      <c r="S43" s="407"/>
      <c r="T43" s="407"/>
      <c r="U43" s="439"/>
      <c r="V43" s="408"/>
    </row>
    <row r="44" spans="1:22" s="100" customFormat="1">
      <c r="A44" s="656"/>
      <c r="B44" s="439">
        <v>25</v>
      </c>
      <c r="C44" s="439" t="s">
        <v>112</v>
      </c>
      <c r="D44" s="409"/>
      <c r="E44" s="439"/>
      <c r="F44" s="407"/>
      <c r="G44" s="407"/>
      <c r="H44" s="407"/>
      <c r="I44" s="407"/>
      <c r="J44" s="407"/>
      <c r="K44" s="407"/>
      <c r="L44" s="407"/>
      <c r="M44" s="407"/>
      <c r="N44" s="407"/>
      <c r="O44" s="621"/>
      <c r="P44" s="409"/>
      <c r="Q44" s="409"/>
      <c r="R44" s="407"/>
      <c r="S44" s="407"/>
      <c r="T44" s="407"/>
      <c r="U44" s="439"/>
      <c r="V44" s="408"/>
    </row>
    <row r="45" spans="1:22" s="100" customFormat="1">
      <c r="A45" s="656"/>
      <c r="B45" s="439">
        <v>26</v>
      </c>
      <c r="C45" s="439" t="s">
        <v>113</v>
      </c>
      <c r="D45" s="409"/>
      <c r="E45" s="439"/>
      <c r="F45" s="407"/>
      <c r="G45" s="407"/>
      <c r="H45" s="407"/>
      <c r="I45" s="407"/>
      <c r="J45" s="407"/>
      <c r="K45" s="407"/>
      <c r="L45" s="407"/>
      <c r="M45" s="407"/>
      <c r="N45" s="407"/>
      <c r="O45" s="621"/>
      <c r="P45" s="409"/>
      <c r="Q45" s="409"/>
      <c r="R45" s="407"/>
      <c r="S45" s="407"/>
      <c r="T45" s="407"/>
      <c r="U45" s="439"/>
      <c r="V45" s="408"/>
    </row>
    <row r="46" spans="1:22" s="100" customFormat="1">
      <c r="A46" s="656"/>
      <c r="B46" s="439">
        <v>27</v>
      </c>
      <c r="C46" s="439" t="s">
        <v>114</v>
      </c>
      <c r="D46" s="409"/>
      <c r="E46" s="439"/>
      <c r="F46" s="407"/>
      <c r="G46" s="407"/>
      <c r="H46" s="407"/>
      <c r="I46" s="407"/>
      <c r="J46" s="407"/>
      <c r="K46" s="407"/>
      <c r="L46" s="407"/>
      <c r="M46" s="407"/>
      <c r="N46" s="407"/>
      <c r="O46" s="621"/>
      <c r="P46" s="409"/>
      <c r="Q46" s="409"/>
      <c r="R46" s="407"/>
      <c r="S46" s="407"/>
      <c r="T46" s="407"/>
      <c r="U46" s="439"/>
      <c r="V46" s="408"/>
    </row>
    <row r="47" spans="1:22" s="100" customFormat="1">
      <c r="A47" s="656"/>
      <c r="B47" s="439">
        <v>28</v>
      </c>
      <c r="C47" s="439" t="s">
        <v>115</v>
      </c>
      <c r="D47" s="409"/>
      <c r="E47" s="439"/>
      <c r="F47" s="407"/>
      <c r="G47" s="407"/>
      <c r="H47" s="407"/>
      <c r="I47" s="407"/>
      <c r="J47" s="407"/>
      <c r="K47" s="407"/>
      <c r="L47" s="407"/>
      <c r="M47" s="407"/>
      <c r="N47" s="407"/>
      <c r="O47" s="621"/>
      <c r="P47" s="409"/>
      <c r="Q47" s="409"/>
      <c r="R47" s="407"/>
      <c r="S47" s="407"/>
      <c r="T47" s="407"/>
      <c r="U47" s="439"/>
      <c r="V47" s="408"/>
    </row>
    <row r="48" spans="1:22" s="100" customFormat="1">
      <c r="A48" s="656"/>
      <c r="B48" s="439">
        <v>29</v>
      </c>
      <c r="C48" s="439" t="s">
        <v>116</v>
      </c>
      <c r="D48" s="409"/>
      <c r="E48" s="439"/>
      <c r="F48" s="407"/>
      <c r="G48" s="407"/>
      <c r="H48" s="407"/>
      <c r="I48" s="407"/>
      <c r="J48" s="407"/>
      <c r="K48" s="407"/>
      <c r="L48" s="407"/>
      <c r="M48" s="407"/>
      <c r="N48" s="407"/>
      <c r="O48" s="621"/>
      <c r="P48" s="409"/>
      <c r="Q48" s="409"/>
      <c r="R48" s="407"/>
      <c r="S48" s="407"/>
      <c r="T48" s="407"/>
      <c r="U48" s="439"/>
      <c r="V48" s="408"/>
    </row>
    <row r="49" spans="1:22" s="100" customFormat="1">
      <c r="A49" s="656"/>
      <c r="B49" s="439">
        <v>30</v>
      </c>
      <c r="C49" s="439" t="s">
        <v>117</v>
      </c>
      <c r="D49" s="409"/>
      <c r="E49" s="439"/>
      <c r="F49" s="407"/>
      <c r="G49" s="407"/>
      <c r="H49" s="407"/>
      <c r="I49" s="407"/>
      <c r="J49" s="407"/>
      <c r="K49" s="407"/>
      <c r="L49" s="407"/>
      <c r="M49" s="407"/>
      <c r="N49" s="407"/>
      <c r="O49" s="621"/>
      <c r="P49" s="409"/>
      <c r="Q49" s="409"/>
      <c r="R49" s="407"/>
      <c r="S49" s="407"/>
      <c r="T49" s="407"/>
      <c r="U49" s="439"/>
      <c r="V49" s="408"/>
    </row>
    <row r="50" spans="1:22" s="100" customFormat="1">
      <c r="A50" s="656"/>
      <c r="B50" s="439">
        <v>31</v>
      </c>
      <c r="C50" s="439" t="s">
        <v>118</v>
      </c>
      <c r="D50" s="409"/>
      <c r="E50" s="439"/>
      <c r="F50" s="407"/>
      <c r="G50" s="407"/>
      <c r="H50" s="407"/>
      <c r="I50" s="407"/>
      <c r="J50" s="407"/>
      <c r="K50" s="407"/>
      <c r="L50" s="407"/>
      <c r="M50" s="407"/>
      <c r="N50" s="407"/>
      <c r="O50" s="621"/>
      <c r="P50" s="409"/>
      <c r="Q50" s="409"/>
      <c r="R50" s="407"/>
      <c r="S50" s="407"/>
      <c r="T50" s="407"/>
      <c r="U50" s="439"/>
      <c r="V50" s="408"/>
    </row>
    <row r="51" spans="1:22" s="100" customFormat="1">
      <c r="A51" s="656"/>
      <c r="B51" s="439">
        <v>32</v>
      </c>
      <c r="C51" s="439" t="s">
        <v>119</v>
      </c>
      <c r="D51" s="409"/>
      <c r="E51" s="439"/>
      <c r="F51" s="407"/>
      <c r="G51" s="407"/>
      <c r="H51" s="407"/>
      <c r="I51" s="407"/>
      <c r="J51" s="407"/>
      <c r="K51" s="407"/>
      <c r="L51" s="407"/>
      <c r="M51" s="407"/>
      <c r="N51" s="407"/>
      <c r="O51" s="621"/>
      <c r="P51" s="409"/>
      <c r="Q51" s="409"/>
      <c r="R51" s="407"/>
      <c r="S51" s="407"/>
      <c r="T51" s="407"/>
      <c r="U51" s="439"/>
      <c r="V51" s="408"/>
    </row>
    <row r="52" spans="1:22" s="100" customFormat="1">
      <c r="A52" s="656"/>
      <c r="B52" s="439">
        <v>33</v>
      </c>
      <c r="C52" s="439" t="s">
        <v>120</v>
      </c>
      <c r="D52" s="409"/>
      <c r="E52" s="439"/>
      <c r="F52" s="407"/>
      <c r="G52" s="407"/>
      <c r="H52" s="407"/>
      <c r="I52" s="407"/>
      <c r="J52" s="407"/>
      <c r="K52" s="407"/>
      <c r="L52" s="407"/>
      <c r="M52" s="407"/>
      <c r="N52" s="407"/>
      <c r="O52" s="621"/>
      <c r="P52" s="409"/>
      <c r="Q52" s="409"/>
      <c r="R52" s="407"/>
      <c r="S52" s="407"/>
      <c r="T52" s="407"/>
      <c r="U52" s="439"/>
      <c r="V52" s="408"/>
    </row>
    <row r="53" spans="1:22" s="100" customFormat="1">
      <c r="A53" s="656"/>
      <c r="B53" s="439">
        <v>34</v>
      </c>
      <c r="C53" s="439" t="s">
        <v>121</v>
      </c>
      <c r="D53" s="409"/>
      <c r="E53" s="439"/>
      <c r="F53" s="407"/>
      <c r="G53" s="407"/>
      <c r="H53" s="407"/>
      <c r="I53" s="407"/>
      <c r="J53" s="407"/>
      <c r="K53" s="407"/>
      <c r="L53" s="407"/>
      <c r="M53" s="407"/>
      <c r="N53" s="407"/>
      <c r="O53" s="621"/>
      <c r="P53" s="409"/>
      <c r="Q53" s="409"/>
      <c r="R53" s="407"/>
      <c r="S53" s="407"/>
      <c r="T53" s="407"/>
      <c r="U53" s="439"/>
      <c r="V53" s="408"/>
    </row>
    <row r="54" spans="1:22" s="100" customFormat="1">
      <c r="A54" s="656"/>
      <c r="B54" s="439">
        <v>35</v>
      </c>
      <c r="C54" s="439" t="s">
        <v>122</v>
      </c>
      <c r="D54" s="409"/>
      <c r="E54" s="439"/>
      <c r="F54" s="407"/>
      <c r="G54" s="407"/>
      <c r="H54" s="407"/>
      <c r="I54" s="407"/>
      <c r="J54" s="407"/>
      <c r="K54" s="407"/>
      <c r="L54" s="407"/>
      <c r="M54" s="407"/>
      <c r="N54" s="407"/>
      <c r="O54" s="621"/>
      <c r="P54" s="409"/>
      <c r="Q54" s="409"/>
      <c r="R54" s="407"/>
      <c r="S54" s="407"/>
      <c r="T54" s="407"/>
      <c r="U54" s="439"/>
      <c r="V54" s="408"/>
    </row>
    <row r="55" spans="1:22" s="100" customFormat="1">
      <c r="A55" s="656"/>
      <c r="B55" s="439">
        <v>36</v>
      </c>
      <c r="C55" s="439" t="s">
        <v>123</v>
      </c>
      <c r="D55" s="409"/>
      <c r="E55" s="439"/>
      <c r="F55" s="407"/>
      <c r="G55" s="407"/>
      <c r="H55" s="407"/>
      <c r="I55" s="407"/>
      <c r="J55" s="407"/>
      <c r="K55" s="407"/>
      <c r="L55" s="407"/>
      <c r="M55" s="407"/>
      <c r="N55" s="407"/>
      <c r="O55" s="621"/>
      <c r="P55" s="409"/>
      <c r="Q55" s="409"/>
      <c r="R55" s="407"/>
      <c r="S55" s="407"/>
      <c r="T55" s="407"/>
      <c r="U55" s="439"/>
      <c r="V55" s="408"/>
    </row>
    <row r="56" spans="1:22" s="100" customFormat="1">
      <c r="A56" s="656"/>
      <c r="B56" s="439">
        <v>37</v>
      </c>
      <c r="C56" s="439" t="s">
        <v>124</v>
      </c>
      <c r="D56" s="409"/>
      <c r="E56" s="439"/>
      <c r="F56" s="407"/>
      <c r="G56" s="407"/>
      <c r="H56" s="407"/>
      <c r="I56" s="407"/>
      <c r="J56" s="407"/>
      <c r="K56" s="407"/>
      <c r="L56" s="407"/>
      <c r="M56" s="407"/>
      <c r="N56" s="407"/>
      <c r="O56" s="621"/>
      <c r="P56" s="409"/>
      <c r="Q56" s="409"/>
      <c r="R56" s="407"/>
      <c r="S56" s="407"/>
      <c r="T56" s="407"/>
      <c r="U56" s="439"/>
      <c r="V56" s="408"/>
    </row>
    <row r="57" spans="1:22" s="100" customFormat="1">
      <c r="A57" s="656"/>
      <c r="B57" s="439">
        <v>38</v>
      </c>
      <c r="C57" s="439" t="s">
        <v>125</v>
      </c>
      <c r="D57" s="409"/>
      <c r="E57" s="439"/>
      <c r="F57" s="407"/>
      <c r="G57" s="407"/>
      <c r="H57" s="407"/>
      <c r="I57" s="407"/>
      <c r="J57" s="407"/>
      <c r="K57" s="407"/>
      <c r="L57" s="407"/>
      <c r="M57" s="407"/>
      <c r="N57" s="407"/>
      <c r="O57" s="621"/>
      <c r="P57" s="409"/>
      <c r="Q57" s="409"/>
      <c r="R57" s="407"/>
      <c r="S57" s="407"/>
      <c r="T57" s="407"/>
      <c r="U57" s="439"/>
      <c r="V57" s="408"/>
    </row>
    <row r="58" spans="1:22" s="100" customFormat="1">
      <c r="A58" s="656"/>
      <c r="B58" s="439">
        <v>39</v>
      </c>
      <c r="C58" s="439" t="s">
        <v>126</v>
      </c>
      <c r="D58" s="409"/>
      <c r="E58" s="439"/>
      <c r="F58" s="407"/>
      <c r="G58" s="407"/>
      <c r="H58" s="407"/>
      <c r="I58" s="407"/>
      <c r="J58" s="407"/>
      <c r="K58" s="407"/>
      <c r="L58" s="407"/>
      <c r="M58" s="407"/>
      <c r="N58" s="407"/>
      <c r="O58" s="621"/>
      <c r="P58" s="409"/>
      <c r="Q58" s="409"/>
      <c r="R58" s="407"/>
      <c r="S58" s="407"/>
      <c r="T58" s="407"/>
      <c r="U58" s="439"/>
      <c r="V58" s="408"/>
    </row>
    <row r="59" spans="1:22" s="100" customFormat="1">
      <c r="A59" s="656"/>
      <c r="B59" s="439">
        <v>40</v>
      </c>
      <c r="C59" s="439" t="s">
        <v>127</v>
      </c>
      <c r="D59" s="409"/>
      <c r="E59" s="439"/>
      <c r="F59" s="407"/>
      <c r="G59" s="407"/>
      <c r="H59" s="407"/>
      <c r="I59" s="407"/>
      <c r="J59" s="407"/>
      <c r="K59" s="407"/>
      <c r="L59" s="407"/>
      <c r="M59" s="407"/>
      <c r="N59" s="407"/>
      <c r="O59" s="621"/>
      <c r="P59" s="409"/>
      <c r="Q59" s="409"/>
      <c r="R59" s="407"/>
      <c r="S59" s="407"/>
      <c r="T59" s="407"/>
      <c r="U59" s="439"/>
      <c r="V59" s="408"/>
    </row>
    <row r="60" spans="1:22" s="100" customFormat="1">
      <c r="A60" s="656"/>
      <c r="B60" s="439">
        <v>41</v>
      </c>
      <c r="C60" s="439" t="s">
        <v>128</v>
      </c>
      <c r="D60" s="409"/>
      <c r="E60" s="439"/>
      <c r="F60" s="407"/>
      <c r="G60" s="407"/>
      <c r="H60" s="407"/>
      <c r="I60" s="407"/>
      <c r="J60" s="407"/>
      <c r="K60" s="407"/>
      <c r="L60" s="407"/>
      <c r="M60" s="407"/>
      <c r="N60" s="407"/>
      <c r="O60" s="621"/>
      <c r="P60" s="409"/>
      <c r="Q60" s="409"/>
      <c r="R60" s="407"/>
      <c r="S60" s="407"/>
      <c r="T60" s="407"/>
      <c r="U60" s="439"/>
      <c r="V60" s="408"/>
    </row>
    <row r="61" spans="1:22" s="100" customFormat="1">
      <c r="A61" s="656"/>
      <c r="B61" s="439">
        <v>42</v>
      </c>
      <c r="C61" s="439" t="s">
        <v>129</v>
      </c>
      <c r="D61" s="409"/>
      <c r="E61" s="439"/>
      <c r="F61" s="407"/>
      <c r="G61" s="407"/>
      <c r="H61" s="407"/>
      <c r="I61" s="407"/>
      <c r="J61" s="407"/>
      <c r="K61" s="407"/>
      <c r="L61" s="407"/>
      <c r="M61" s="407"/>
      <c r="N61" s="407"/>
      <c r="O61" s="621"/>
      <c r="P61" s="409"/>
      <c r="Q61" s="409"/>
      <c r="R61" s="407"/>
      <c r="S61" s="407"/>
      <c r="T61" s="407"/>
      <c r="U61" s="439"/>
      <c r="V61" s="408"/>
    </row>
    <row r="62" spans="1:22" s="100" customFormat="1">
      <c r="A62" s="656"/>
      <c r="B62" s="439">
        <v>43</v>
      </c>
      <c r="C62" s="439" t="s">
        <v>130</v>
      </c>
      <c r="D62" s="409"/>
      <c r="E62" s="439"/>
      <c r="F62" s="407"/>
      <c r="G62" s="407"/>
      <c r="H62" s="407"/>
      <c r="I62" s="407"/>
      <c r="J62" s="407"/>
      <c r="K62" s="407"/>
      <c r="L62" s="407"/>
      <c r="M62" s="407"/>
      <c r="N62" s="407"/>
      <c r="O62" s="621"/>
      <c r="P62" s="409"/>
      <c r="Q62" s="409"/>
      <c r="R62" s="407"/>
      <c r="S62" s="407"/>
      <c r="T62" s="407"/>
      <c r="U62" s="439"/>
      <c r="V62" s="408"/>
    </row>
    <row r="63" spans="1:22" s="474" customFormat="1">
      <c r="A63" s="723"/>
      <c r="B63" s="724">
        <v>44</v>
      </c>
      <c r="C63" s="724" t="s">
        <v>131</v>
      </c>
      <c r="D63" s="725"/>
      <c r="E63" s="724"/>
      <c r="F63" s="726"/>
      <c r="G63" s="726"/>
      <c r="H63" s="726"/>
      <c r="I63" s="726"/>
      <c r="J63" s="726"/>
      <c r="K63" s="726"/>
      <c r="L63" s="726"/>
      <c r="M63" s="726"/>
      <c r="N63" s="726"/>
      <c r="O63" s="727"/>
      <c r="P63" s="725"/>
      <c r="Q63" s="725"/>
      <c r="R63" s="726"/>
      <c r="S63" s="726"/>
      <c r="T63" s="726"/>
      <c r="U63" s="724"/>
      <c r="V63" s="728"/>
    </row>
    <row r="64" spans="1:22" s="474" customFormat="1">
      <c r="A64" s="723"/>
      <c r="B64" s="724">
        <v>45</v>
      </c>
      <c r="C64" s="724" t="s">
        <v>132</v>
      </c>
      <c r="D64" s="725"/>
      <c r="E64" s="724"/>
      <c r="F64" s="726"/>
      <c r="G64" s="726"/>
      <c r="H64" s="726"/>
      <c r="I64" s="726"/>
      <c r="J64" s="726"/>
      <c r="K64" s="726"/>
      <c r="L64" s="726"/>
      <c r="M64" s="726"/>
      <c r="N64" s="726"/>
      <c r="O64" s="727"/>
      <c r="P64" s="725"/>
      <c r="Q64" s="725"/>
      <c r="R64" s="726"/>
      <c r="S64" s="726"/>
      <c r="T64" s="726"/>
      <c r="U64" s="724"/>
      <c r="V64" s="728"/>
    </row>
    <row r="65" spans="1:22" s="474" customFormat="1">
      <c r="A65" s="723"/>
      <c r="B65" s="724">
        <v>46</v>
      </c>
      <c r="C65" s="724" t="s">
        <v>133</v>
      </c>
      <c r="D65" s="725"/>
      <c r="E65" s="724"/>
      <c r="F65" s="726"/>
      <c r="G65" s="726"/>
      <c r="H65" s="726"/>
      <c r="I65" s="726"/>
      <c r="J65" s="726"/>
      <c r="K65" s="726"/>
      <c r="L65" s="726"/>
      <c r="M65" s="726"/>
      <c r="N65" s="726"/>
      <c r="O65" s="727"/>
      <c r="P65" s="725"/>
      <c r="Q65" s="725"/>
      <c r="R65" s="726"/>
      <c r="S65" s="726"/>
      <c r="T65" s="726"/>
      <c r="U65" s="724"/>
      <c r="V65" s="728"/>
    </row>
    <row r="66" spans="1:22" s="474" customFormat="1">
      <c r="A66" s="723"/>
      <c r="B66" s="724">
        <v>47</v>
      </c>
      <c r="C66" s="724" t="s">
        <v>134</v>
      </c>
      <c r="D66" s="725"/>
      <c r="E66" s="724"/>
      <c r="F66" s="726"/>
      <c r="G66" s="726"/>
      <c r="H66" s="726"/>
      <c r="I66" s="726"/>
      <c r="J66" s="726"/>
      <c r="K66" s="726"/>
      <c r="L66" s="726"/>
      <c r="M66" s="726"/>
      <c r="N66" s="726"/>
      <c r="O66" s="727"/>
      <c r="P66" s="725"/>
      <c r="Q66" s="725"/>
      <c r="R66" s="726"/>
      <c r="S66" s="726"/>
      <c r="T66" s="726"/>
      <c r="U66" s="724"/>
      <c r="V66" s="728"/>
    </row>
    <row r="67" spans="1:22" s="474" customFormat="1">
      <c r="A67" s="723"/>
      <c r="B67" s="724">
        <v>48</v>
      </c>
      <c r="C67" s="724" t="s">
        <v>135</v>
      </c>
      <c r="D67" s="725"/>
      <c r="E67" s="724"/>
      <c r="F67" s="726"/>
      <c r="G67" s="726"/>
      <c r="H67" s="726"/>
      <c r="I67" s="726"/>
      <c r="J67" s="726"/>
      <c r="K67" s="726"/>
      <c r="L67" s="726"/>
      <c r="M67" s="726"/>
      <c r="N67" s="726"/>
      <c r="O67" s="727"/>
      <c r="P67" s="725"/>
      <c r="Q67" s="725"/>
      <c r="R67" s="726"/>
      <c r="S67" s="726"/>
      <c r="T67" s="726"/>
      <c r="U67" s="724"/>
      <c r="V67" s="728"/>
    </row>
    <row r="68" spans="1:22" s="474" customFormat="1">
      <c r="A68" s="723"/>
      <c r="B68" s="724">
        <v>49</v>
      </c>
      <c r="C68" s="724" t="s">
        <v>136</v>
      </c>
      <c r="D68" s="725"/>
      <c r="E68" s="724"/>
      <c r="F68" s="726"/>
      <c r="G68" s="726"/>
      <c r="H68" s="726"/>
      <c r="I68" s="726"/>
      <c r="J68" s="726"/>
      <c r="K68" s="726"/>
      <c r="L68" s="726"/>
      <c r="M68" s="726"/>
      <c r="N68" s="726"/>
      <c r="O68" s="727"/>
      <c r="P68" s="725"/>
      <c r="Q68" s="725"/>
      <c r="R68" s="726"/>
      <c r="S68" s="726"/>
      <c r="T68" s="726"/>
      <c r="U68" s="724"/>
      <c r="V68" s="728"/>
    </row>
    <row r="69" spans="1:22" s="474" customFormat="1">
      <c r="A69" s="723"/>
      <c r="B69" s="724">
        <v>50</v>
      </c>
      <c r="C69" s="724" t="s">
        <v>137</v>
      </c>
      <c r="D69" s="725"/>
      <c r="E69" s="724"/>
      <c r="F69" s="726"/>
      <c r="G69" s="726"/>
      <c r="H69" s="726"/>
      <c r="I69" s="726"/>
      <c r="J69" s="726"/>
      <c r="K69" s="726"/>
      <c r="L69" s="726"/>
      <c r="M69" s="726"/>
      <c r="N69" s="726"/>
      <c r="O69" s="727"/>
      <c r="P69" s="725"/>
      <c r="Q69" s="725"/>
      <c r="R69" s="726"/>
      <c r="S69" s="726"/>
      <c r="T69" s="726"/>
      <c r="U69" s="724"/>
      <c r="V69" s="728"/>
    </row>
    <row r="70" spans="1:22" s="474" customFormat="1">
      <c r="A70" s="723"/>
      <c r="B70" s="724">
        <v>51</v>
      </c>
      <c r="C70" s="724" t="s">
        <v>138</v>
      </c>
      <c r="D70" s="725"/>
      <c r="E70" s="724"/>
      <c r="F70" s="726"/>
      <c r="G70" s="726"/>
      <c r="H70" s="726"/>
      <c r="I70" s="726"/>
      <c r="J70" s="726"/>
      <c r="K70" s="726"/>
      <c r="L70" s="726"/>
      <c r="M70" s="726"/>
      <c r="N70" s="726"/>
      <c r="O70" s="727"/>
      <c r="P70" s="725"/>
      <c r="Q70" s="725"/>
      <c r="R70" s="726"/>
      <c r="S70" s="726"/>
      <c r="T70" s="726"/>
      <c r="U70" s="724"/>
      <c r="V70" s="728"/>
    </row>
    <row r="71" spans="1:22" s="474" customFormat="1">
      <c r="A71" s="723"/>
      <c r="B71" s="724">
        <v>52</v>
      </c>
      <c r="C71" s="724" t="s">
        <v>139</v>
      </c>
      <c r="D71" s="725"/>
      <c r="E71" s="724"/>
      <c r="F71" s="726"/>
      <c r="G71" s="726"/>
      <c r="H71" s="726"/>
      <c r="I71" s="726"/>
      <c r="J71" s="726"/>
      <c r="K71" s="726"/>
      <c r="L71" s="726"/>
      <c r="M71" s="726"/>
      <c r="N71" s="726"/>
      <c r="O71" s="727"/>
      <c r="P71" s="725"/>
      <c r="Q71" s="725"/>
      <c r="R71" s="726"/>
      <c r="S71" s="726"/>
      <c r="T71" s="726"/>
      <c r="U71" s="724"/>
      <c r="V71" s="728"/>
    </row>
    <row r="72" spans="1:22" s="474" customFormat="1">
      <c r="A72" s="723"/>
      <c r="B72" s="724">
        <v>53</v>
      </c>
      <c r="C72" s="724" t="s">
        <v>140</v>
      </c>
      <c r="D72" s="725"/>
      <c r="E72" s="724"/>
      <c r="F72" s="726"/>
      <c r="G72" s="726"/>
      <c r="H72" s="726"/>
      <c r="I72" s="726"/>
      <c r="J72" s="726"/>
      <c r="K72" s="726"/>
      <c r="L72" s="726"/>
      <c r="M72" s="726"/>
      <c r="N72" s="726"/>
      <c r="O72" s="727"/>
      <c r="P72" s="725"/>
      <c r="Q72" s="725"/>
      <c r="R72" s="726"/>
      <c r="S72" s="726"/>
      <c r="T72" s="726"/>
      <c r="U72" s="724"/>
      <c r="V72" s="728"/>
    </row>
    <row r="73" spans="1:22" s="474" customFormat="1">
      <c r="A73" s="723"/>
      <c r="B73" s="724">
        <v>54</v>
      </c>
      <c r="C73" s="724" t="s">
        <v>141</v>
      </c>
      <c r="D73" s="725"/>
      <c r="E73" s="724"/>
      <c r="F73" s="726"/>
      <c r="G73" s="726"/>
      <c r="H73" s="726"/>
      <c r="I73" s="726"/>
      <c r="J73" s="726"/>
      <c r="K73" s="726"/>
      <c r="L73" s="726"/>
      <c r="M73" s="726"/>
      <c r="N73" s="726"/>
      <c r="O73" s="727"/>
      <c r="P73" s="725"/>
      <c r="Q73" s="725"/>
      <c r="R73" s="726"/>
      <c r="S73" s="726"/>
      <c r="T73" s="726"/>
      <c r="U73" s="724"/>
      <c r="V73" s="728"/>
    </row>
    <row r="74" spans="1:22" s="474" customFormat="1">
      <c r="A74" s="723"/>
      <c r="B74" s="724">
        <v>55</v>
      </c>
      <c r="C74" s="724" t="s">
        <v>142</v>
      </c>
      <c r="D74" s="725"/>
      <c r="E74" s="724"/>
      <c r="F74" s="726"/>
      <c r="G74" s="726"/>
      <c r="H74" s="726"/>
      <c r="I74" s="726"/>
      <c r="J74" s="726"/>
      <c r="K74" s="726"/>
      <c r="L74" s="726"/>
      <c r="M74" s="726"/>
      <c r="N74" s="726"/>
      <c r="O74" s="727"/>
      <c r="P74" s="725"/>
      <c r="Q74" s="725"/>
      <c r="R74" s="726"/>
      <c r="S74" s="726"/>
      <c r="T74" s="726"/>
      <c r="U74" s="724"/>
      <c r="V74" s="728"/>
    </row>
    <row r="75" spans="1:22" s="474" customFormat="1">
      <c r="A75" s="723"/>
      <c r="B75" s="724">
        <v>56</v>
      </c>
      <c r="C75" s="724" t="s">
        <v>143</v>
      </c>
      <c r="D75" s="725"/>
      <c r="E75" s="724"/>
      <c r="F75" s="726"/>
      <c r="G75" s="726"/>
      <c r="H75" s="726"/>
      <c r="I75" s="726"/>
      <c r="J75" s="726"/>
      <c r="K75" s="726"/>
      <c r="L75" s="726"/>
      <c r="M75" s="726"/>
      <c r="N75" s="726"/>
      <c r="O75" s="727"/>
      <c r="P75" s="725"/>
      <c r="Q75" s="725"/>
      <c r="R75" s="726"/>
      <c r="S75" s="726"/>
      <c r="T75" s="726"/>
      <c r="U75" s="724"/>
      <c r="V75" s="728"/>
    </row>
    <row r="76" spans="1:22" s="474" customFormat="1">
      <c r="A76" s="723"/>
      <c r="B76" s="724">
        <v>57</v>
      </c>
      <c r="C76" s="724" t="s">
        <v>144</v>
      </c>
      <c r="D76" s="725"/>
      <c r="E76" s="724"/>
      <c r="F76" s="726"/>
      <c r="G76" s="726"/>
      <c r="H76" s="726"/>
      <c r="I76" s="726"/>
      <c r="J76" s="726"/>
      <c r="K76" s="726"/>
      <c r="L76" s="726"/>
      <c r="M76" s="726"/>
      <c r="N76" s="726"/>
      <c r="O76" s="727"/>
      <c r="P76" s="725"/>
      <c r="Q76" s="725"/>
      <c r="R76" s="726"/>
      <c r="S76" s="726"/>
      <c r="T76" s="726"/>
      <c r="U76" s="724"/>
      <c r="V76" s="728"/>
    </row>
    <row r="77" spans="1:22" s="474" customFormat="1">
      <c r="A77" s="651" t="s">
        <v>1053</v>
      </c>
      <c r="B77" s="460">
        <v>58</v>
      </c>
      <c r="C77" s="460" t="s">
        <v>145</v>
      </c>
      <c r="D77" s="457" t="s">
        <v>1229</v>
      </c>
      <c r="E77" s="460"/>
      <c r="F77" s="458"/>
      <c r="G77" s="458" t="s">
        <v>1217</v>
      </c>
      <c r="H77" s="458" t="s">
        <v>1230</v>
      </c>
      <c r="I77" s="458" t="s">
        <v>1222</v>
      </c>
      <c r="J77" s="458" t="s">
        <v>1207</v>
      </c>
      <c r="K77" s="458" t="s">
        <v>1205</v>
      </c>
      <c r="L77" s="458" t="s">
        <v>1231</v>
      </c>
      <c r="M77" s="458" t="s">
        <v>1207</v>
      </c>
      <c r="N77" s="458" t="s">
        <v>1217</v>
      </c>
      <c r="O77" s="652"/>
      <c r="P77" s="457"/>
      <c r="Q77" s="457"/>
      <c r="R77" s="458"/>
      <c r="S77" s="458"/>
      <c r="T77" s="458"/>
      <c r="U77" s="460"/>
      <c r="V77" s="653"/>
    </row>
    <row r="78" spans="1:22" s="474" customFormat="1">
      <c r="A78" s="651" t="s">
        <v>1053</v>
      </c>
      <c r="B78" s="460">
        <v>59</v>
      </c>
      <c r="C78" s="460" t="s">
        <v>146</v>
      </c>
      <c r="D78" s="457" t="s">
        <v>1203</v>
      </c>
      <c r="E78" s="460"/>
      <c r="F78" s="458"/>
      <c r="G78" s="458" t="s">
        <v>1232</v>
      </c>
      <c r="H78" s="458" t="s">
        <v>1207</v>
      </c>
      <c r="I78" s="458" t="s">
        <v>1233</v>
      </c>
      <c r="J78" s="458" t="s">
        <v>1217</v>
      </c>
      <c r="K78" s="458" t="s">
        <v>1207</v>
      </c>
      <c r="L78" s="458" t="s">
        <v>1207</v>
      </c>
      <c r="M78" s="458" t="s">
        <v>1234</v>
      </c>
      <c r="N78" s="458" t="s">
        <v>1207</v>
      </c>
      <c r="O78" s="652"/>
      <c r="P78" s="457"/>
      <c r="Q78" s="457"/>
      <c r="R78" s="458"/>
      <c r="S78" s="458"/>
      <c r="T78" s="458"/>
      <c r="U78" s="460"/>
      <c r="V78" s="653"/>
    </row>
    <row r="79" spans="1:22" s="474" customFormat="1">
      <c r="A79" s="651" t="s">
        <v>1053</v>
      </c>
      <c r="B79" s="460">
        <v>60</v>
      </c>
      <c r="C79" s="460" t="s">
        <v>147</v>
      </c>
      <c r="D79" s="457" t="s">
        <v>1203</v>
      </c>
      <c r="E79" s="460"/>
      <c r="F79" s="458"/>
      <c r="G79" s="458" t="s">
        <v>1217</v>
      </c>
      <c r="H79" s="458" t="s">
        <v>1207</v>
      </c>
      <c r="I79" s="458" t="s">
        <v>1207</v>
      </c>
      <c r="J79" s="458" t="s">
        <v>1217</v>
      </c>
      <c r="K79" s="458" t="s">
        <v>1217</v>
      </c>
      <c r="L79" s="458" t="s">
        <v>1204</v>
      </c>
      <c r="M79" s="458" t="s">
        <v>1207</v>
      </c>
      <c r="N79" s="458" t="s">
        <v>1207</v>
      </c>
      <c r="O79" s="652"/>
      <c r="P79" s="457"/>
      <c r="Q79" s="457"/>
      <c r="R79" s="458"/>
      <c r="S79" s="458"/>
      <c r="T79" s="458"/>
      <c r="U79" s="460"/>
      <c r="V79" s="653"/>
    </row>
    <row r="80" spans="1:22" s="474" customFormat="1">
      <c r="A80" s="651" t="s">
        <v>1053</v>
      </c>
      <c r="B80" s="460">
        <v>61</v>
      </c>
      <c r="C80" s="460" t="s">
        <v>148</v>
      </c>
      <c r="D80" s="457" t="s">
        <v>1208</v>
      </c>
      <c r="E80" s="460"/>
      <c r="F80" s="458"/>
      <c r="G80" s="458" t="s">
        <v>1207</v>
      </c>
      <c r="H80" s="458" t="s">
        <v>1207</v>
      </c>
      <c r="I80" s="458" t="s">
        <v>1206</v>
      </c>
      <c r="J80" s="458" t="s">
        <v>1207</v>
      </c>
      <c r="K80" s="458" t="s">
        <v>1222</v>
      </c>
      <c r="L80" s="458" t="s">
        <v>1235</v>
      </c>
      <c r="M80" s="458" t="s">
        <v>1207</v>
      </c>
      <c r="N80" s="458" t="s">
        <v>1207</v>
      </c>
      <c r="O80" s="652"/>
      <c r="P80" s="457"/>
      <c r="Q80" s="457"/>
      <c r="R80" s="458"/>
      <c r="S80" s="458"/>
      <c r="T80" s="458"/>
      <c r="U80" s="460"/>
      <c r="V80" s="653"/>
    </row>
    <row r="81" spans="1:22" s="474" customFormat="1">
      <c r="A81" s="651" t="s">
        <v>1053</v>
      </c>
      <c r="B81" s="460">
        <v>62</v>
      </c>
      <c r="C81" s="460" t="s">
        <v>149</v>
      </c>
      <c r="D81" s="457" t="s">
        <v>1203</v>
      </c>
      <c r="E81" s="460"/>
      <c r="F81" s="458"/>
      <c r="G81" s="458" t="s">
        <v>1217</v>
      </c>
      <c r="H81" s="458" t="s">
        <v>1207</v>
      </c>
      <c r="I81" s="458" t="s">
        <v>1217</v>
      </c>
      <c r="J81" s="458" t="s">
        <v>1207</v>
      </c>
      <c r="K81" s="458" t="s">
        <v>1207</v>
      </c>
      <c r="L81" s="458" t="s">
        <v>1236</v>
      </c>
      <c r="M81" s="458" t="s">
        <v>1233</v>
      </c>
      <c r="N81" s="458" t="s">
        <v>1207</v>
      </c>
      <c r="O81" s="652"/>
      <c r="P81" s="457"/>
      <c r="Q81" s="457"/>
      <c r="R81" s="458"/>
      <c r="S81" s="458"/>
      <c r="T81" s="458"/>
      <c r="U81" s="460"/>
      <c r="V81" s="653"/>
    </row>
    <row r="82" spans="1:22" s="474" customFormat="1">
      <c r="A82" s="651" t="s">
        <v>1053</v>
      </c>
      <c r="B82" s="460">
        <v>63</v>
      </c>
      <c r="C82" s="460" t="s">
        <v>150</v>
      </c>
      <c r="D82" s="457" t="s">
        <v>1203</v>
      </c>
      <c r="E82" s="460"/>
      <c r="F82" s="458"/>
      <c r="G82" s="458" t="s">
        <v>1207</v>
      </c>
      <c r="H82" s="458" t="s">
        <v>1207</v>
      </c>
      <c r="I82" s="458" t="s">
        <v>1207</v>
      </c>
      <c r="J82" s="458" t="s">
        <v>1207</v>
      </c>
      <c r="K82" s="458" t="s">
        <v>1236</v>
      </c>
      <c r="L82" s="458" t="s">
        <v>1207</v>
      </c>
      <c r="M82" s="458" t="s">
        <v>1207</v>
      </c>
      <c r="N82" s="458" t="s">
        <v>1207</v>
      </c>
      <c r="O82" s="652"/>
      <c r="P82" s="457"/>
      <c r="Q82" s="457"/>
      <c r="R82" s="458"/>
      <c r="S82" s="458"/>
      <c r="T82" s="458"/>
      <c r="U82" s="460"/>
      <c r="V82" s="653"/>
    </row>
    <row r="83" spans="1:22" s="474" customFormat="1">
      <c r="A83" s="651" t="s">
        <v>1053</v>
      </c>
      <c r="B83" s="460">
        <v>64</v>
      </c>
      <c r="C83" s="460" t="s">
        <v>151</v>
      </c>
      <c r="D83" s="457" t="s">
        <v>1203</v>
      </c>
      <c r="E83" s="460"/>
      <c r="F83" s="458"/>
      <c r="G83" s="458" t="s">
        <v>1217</v>
      </c>
      <c r="H83" s="458" t="s">
        <v>1217</v>
      </c>
      <c r="I83" s="458" t="s">
        <v>1205</v>
      </c>
      <c r="J83" s="458" t="s">
        <v>1207</v>
      </c>
      <c r="K83" s="458" t="s">
        <v>1205</v>
      </c>
      <c r="L83" s="458" t="s">
        <v>1207</v>
      </c>
      <c r="M83" s="458" t="s">
        <v>1207</v>
      </c>
      <c r="N83" s="458" t="s">
        <v>1207</v>
      </c>
      <c r="O83" s="652"/>
      <c r="P83" s="457"/>
      <c r="Q83" s="457"/>
      <c r="R83" s="458"/>
      <c r="S83" s="458"/>
      <c r="T83" s="458"/>
      <c r="U83" s="460"/>
      <c r="V83" s="653"/>
    </row>
    <row r="84" spans="1:22" s="474" customFormat="1">
      <c r="A84" s="651" t="s">
        <v>1053</v>
      </c>
      <c r="B84" s="460">
        <v>65</v>
      </c>
      <c r="C84" s="460" t="s">
        <v>152</v>
      </c>
      <c r="D84" s="457" t="s">
        <v>1203</v>
      </c>
      <c r="E84" s="460"/>
      <c r="F84" s="458"/>
      <c r="G84" s="458" t="s">
        <v>1236</v>
      </c>
      <c r="H84" s="458" t="s">
        <v>1207</v>
      </c>
      <c r="I84" s="458" t="s">
        <v>1207</v>
      </c>
      <c r="J84" s="458" t="s">
        <v>1207</v>
      </c>
      <c r="K84" s="458" t="s">
        <v>1207</v>
      </c>
      <c r="L84" s="458" t="s">
        <v>1207</v>
      </c>
      <c r="M84" s="458" t="s">
        <v>1204</v>
      </c>
      <c r="N84" s="458" t="s">
        <v>1207</v>
      </c>
      <c r="O84" s="652"/>
      <c r="P84" s="457"/>
      <c r="Q84" s="457"/>
      <c r="R84" s="458"/>
      <c r="S84" s="458"/>
      <c r="T84" s="458"/>
      <c r="U84" s="460"/>
      <c r="V84" s="653"/>
    </row>
    <row r="85" spans="1:22" s="474" customFormat="1">
      <c r="A85" s="651" t="s">
        <v>1053</v>
      </c>
      <c r="B85" s="460">
        <v>66</v>
      </c>
      <c r="C85" s="460" t="s">
        <v>1040</v>
      </c>
      <c r="D85" s="457" t="s">
        <v>1203</v>
      </c>
      <c r="E85" s="460"/>
      <c r="F85" s="458"/>
      <c r="G85" s="458" t="s">
        <v>1207</v>
      </c>
      <c r="H85" s="458" t="s">
        <v>1207</v>
      </c>
      <c r="I85" s="458" t="s">
        <v>1207</v>
      </c>
      <c r="J85" s="458" t="s">
        <v>1207</v>
      </c>
      <c r="K85" s="458" t="s">
        <v>1207</v>
      </c>
      <c r="L85" s="458" t="s">
        <v>1207</v>
      </c>
      <c r="M85" s="458" t="s">
        <v>1207</v>
      </c>
      <c r="N85" s="458" t="s">
        <v>1207</v>
      </c>
      <c r="O85" s="652"/>
      <c r="P85" s="457"/>
      <c r="Q85" s="457"/>
      <c r="R85" s="458"/>
      <c r="S85" s="458"/>
      <c r="T85" s="458"/>
      <c r="U85" s="460"/>
      <c r="V85" s="653"/>
    </row>
    <row r="86" spans="1:22" s="474" customFormat="1">
      <c r="A86" s="651" t="s">
        <v>1053</v>
      </c>
      <c r="B86" s="460">
        <v>67</v>
      </c>
      <c r="C86" s="460" t="s">
        <v>429</v>
      </c>
      <c r="D86" s="457" t="s">
        <v>1203</v>
      </c>
      <c r="E86" s="460"/>
      <c r="F86" s="458" t="s">
        <v>433</v>
      </c>
      <c r="G86" s="458" t="s">
        <v>1207</v>
      </c>
      <c r="H86" s="458" t="s">
        <v>1235</v>
      </c>
      <c r="I86" s="458" t="s">
        <v>1205</v>
      </c>
      <c r="J86" s="458" t="s">
        <v>1207</v>
      </c>
      <c r="K86" s="458" t="s">
        <v>1205</v>
      </c>
      <c r="L86" s="458" t="s">
        <v>1207</v>
      </c>
      <c r="M86" s="458" t="s">
        <v>1207</v>
      </c>
      <c r="N86" s="458" t="s">
        <v>1207</v>
      </c>
      <c r="O86" s="652"/>
      <c r="P86" s="457"/>
      <c r="Q86" s="457"/>
      <c r="R86" s="458"/>
      <c r="S86" s="458"/>
      <c r="T86" s="458"/>
      <c r="U86" s="460"/>
      <c r="V86" s="653"/>
    </row>
    <row r="87" spans="1:22" s="474" customFormat="1">
      <c r="A87" s="723"/>
      <c r="B87" s="724">
        <v>68</v>
      </c>
      <c r="C87" s="724" t="s">
        <v>153</v>
      </c>
      <c r="D87" s="725"/>
      <c r="E87" s="724"/>
      <c r="F87" s="726"/>
      <c r="G87" s="726"/>
      <c r="H87" s="726"/>
      <c r="I87" s="726"/>
      <c r="J87" s="726"/>
      <c r="K87" s="726"/>
      <c r="L87" s="726"/>
      <c r="M87" s="726"/>
      <c r="N87" s="726"/>
      <c r="O87" s="727"/>
      <c r="P87" s="725"/>
      <c r="Q87" s="725"/>
      <c r="R87" s="726"/>
      <c r="S87" s="726"/>
      <c r="T87" s="726"/>
      <c r="U87" s="724"/>
      <c r="V87" s="728"/>
    </row>
    <row r="88" spans="1:22" s="474" customFormat="1">
      <c r="A88" s="723"/>
      <c r="B88" s="724">
        <v>69</v>
      </c>
      <c r="C88" s="724" t="s">
        <v>154</v>
      </c>
      <c r="D88" s="725"/>
      <c r="E88" s="724"/>
      <c r="F88" s="726"/>
      <c r="G88" s="726"/>
      <c r="H88" s="726"/>
      <c r="I88" s="726"/>
      <c r="J88" s="726"/>
      <c r="K88" s="726"/>
      <c r="L88" s="726"/>
      <c r="M88" s="726"/>
      <c r="N88" s="726"/>
      <c r="O88" s="727"/>
      <c r="P88" s="725"/>
      <c r="Q88" s="725"/>
      <c r="R88" s="726"/>
      <c r="S88" s="726"/>
      <c r="T88" s="726"/>
      <c r="U88" s="724"/>
      <c r="V88" s="728"/>
    </row>
    <row r="89" spans="1:22" s="474" customFormat="1">
      <c r="A89" s="651" t="s">
        <v>1053</v>
      </c>
      <c r="B89" s="460">
        <v>70</v>
      </c>
      <c r="C89" s="460" t="s">
        <v>1126</v>
      </c>
      <c r="D89" s="457" t="s">
        <v>1203</v>
      </c>
      <c r="E89" s="460"/>
      <c r="F89" s="458"/>
      <c r="G89" s="458" t="s">
        <v>1207</v>
      </c>
      <c r="H89" s="458" t="s">
        <v>1207</v>
      </c>
      <c r="I89" s="458" t="s">
        <v>1205</v>
      </c>
      <c r="J89" s="458" t="s">
        <v>1207</v>
      </c>
      <c r="K89" s="458" t="s">
        <v>1205</v>
      </c>
      <c r="L89" s="458" t="s">
        <v>1207</v>
      </c>
      <c r="M89" s="458" t="s">
        <v>1207</v>
      </c>
      <c r="N89" s="458" t="s">
        <v>1207</v>
      </c>
      <c r="O89" s="652"/>
      <c r="P89" s="457" t="s">
        <v>1209</v>
      </c>
      <c r="Q89" s="457" t="s">
        <v>1209</v>
      </c>
      <c r="R89" s="458" t="s">
        <v>1267</v>
      </c>
      <c r="S89" s="458"/>
      <c r="T89" s="458"/>
      <c r="U89" s="460"/>
      <c r="V89" s="653"/>
    </row>
    <row r="90" spans="1:22" s="474" customFormat="1">
      <c r="A90" s="651" t="s">
        <v>1053</v>
      </c>
      <c r="B90" s="460">
        <v>71</v>
      </c>
      <c r="C90" s="460" t="s">
        <v>1127</v>
      </c>
      <c r="D90" s="457" t="s">
        <v>1203</v>
      </c>
      <c r="E90" s="460"/>
      <c r="F90" s="458"/>
      <c r="G90" s="458" t="s">
        <v>1207</v>
      </c>
      <c r="H90" s="458" t="s">
        <v>1207</v>
      </c>
      <c r="I90" s="458" t="s">
        <v>1207</v>
      </c>
      <c r="J90" s="458" t="s">
        <v>1207</v>
      </c>
      <c r="K90" s="458" t="s">
        <v>1217</v>
      </c>
      <c r="L90" s="458" t="s">
        <v>1207</v>
      </c>
      <c r="M90" s="458" t="s">
        <v>1207</v>
      </c>
      <c r="N90" s="458" t="s">
        <v>1207</v>
      </c>
      <c r="O90" s="652"/>
      <c r="P90" s="457"/>
      <c r="Q90" s="457"/>
      <c r="R90" s="458" t="s">
        <v>1267</v>
      </c>
      <c r="S90" s="458"/>
      <c r="T90" s="458"/>
      <c r="U90" s="460"/>
      <c r="V90" s="653"/>
    </row>
    <row r="91" spans="1:22" s="474" customFormat="1" ht="48">
      <c r="A91" s="651" t="s">
        <v>1053</v>
      </c>
      <c r="B91" s="460">
        <v>72</v>
      </c>
      <c r="C91" s="460" t="s">
        <v>1128</v>
      </c>
      <c r="D91" s="457" t="s">
        <v>1210</v>
      </c>
      <c r="E91" s="460" t="s">
        <v>1211</v>
      </c>
      <c r="F91" s="458"/>
      <c r="G91" s="458" t="s">
        <v>1207</v>
      </c>
      <c r="H91" s="458" t="s">
        <v>1207</v>
      </c>
      <c r="I91" s="458" t="s">
        <v>1205</v>
      </c>
      <c r="J91" s="458" t="s">
        <v>1207</v>
      </c>
      <c r="K91" s="458" t="s">
        <v>1222</v>
      </c>
      <c r="L91" s="458" t="s">
        <v>1207</v>
      </c>
      <c r="M91" s="458" t="s">
        <v>1207</v>
      </c>
      <c r="N91" s="458" t="s">
        <v>1207</v>
      </c>
      <c r="O91" s="652"/>
      <c r="P91" s="457"/>
      <c r="Q91" s="457"/>
      <c r="R91" s="458"/>
      <c r="S91" s="458"/>
      <c r="T91" s="458"/>
      <c r="U91" s="458" t="s">
        <v>1269</v>
      </c>
      <c r="V91" s="653"/>
    </row>
    <row r="92" spans="1:22" s="474" customFormat="1">
      <c r="A92" s="723"/>
      <c r="B92" s="724"/>
      <c r="C92" s="724"/>
      <c r="D92" s="725"/>
      <c r="E92" s="724"/>
      <c r="F92" s="726"/>
      <c r="G92" s="726"/>
      <c r="H92" s="726"/>
      <c r="I92" s="726"/>
      <c r="J92" s="726"/>
      <c r="K92" s="726"/>
      <c r="L92" s="726"/>
      <c r="M92" s="726"/>
      <c r="N92" s="726"/>
      <c r="O92" s="727"/>
      <c r="P92" s="725"/>
      <c r="Q92" s="725"/>
      <c r="R92" s="726"/>
      <c r="S92" s="726"/>
      <c r="T92" s="726"/>
      <c r="U92" s="724"/>
      <c r="V92" s="728"/>
    </row>
    <row r="93" spans="1:22" s="474" customFormat="1">
      <c r="A93" s="729" t="s">
        <v>1037</v>
      </c>
      <c r="B93" s="730"/>
      <c r="C93" s="731"/>
      <c r="D93" s="732"/>
      <c r="E93" s="730"/>
      <c r="F93" s="730"/>
      <c r="G93" s="730"/>
      <c r="H93" s="730"/>
      <c r="I93" s="730"/>
      <c r="J93" s="730"/>
      <c r="K93" s="730"/>
      <c r="L93" s="730"/>
      <c r="M93" s="730"/>
      <c r="N93" s="730"/>
      <c r="O93" s="732"/>
      <c r="P93" s="732"/>
      <c r="Q93" s="732"/>
      <c r="R93" s="730"/>
      <c r="S93" s="730"/>
      <c r="T93" s="730"/>
      <c r="U93" s="733"/>
      <c r="V93" s="734"/>
    </row>
    <row r="94" spans="1:22" s="474" customFormat="1">
      <c r="A94" s="723"/>
      <c r="B94" s="724">
        <v>1</v>
      </c>
      <c r="C94" s="724" t="s">
        <v>155</v>
      </c>
      <c r="D94" s="725"/>
      <c r="E94" s="724"/>
      <c r="F94" s="726"/>
      <c r="G94" s="726"/>
      <c r="H94" s="726"/>
      <c r="I94" s="726"/>
      <c r="J94" s="726"/>
      <c r="K94" s="726"/>
      <c r="L94" s="726"/>
      <c r="M94" s="726"/>
      <c r="N94" s="726"/>
      <c r="O94" s="727"/>
      <c r="P94" s="725"/>
      <c r="Q94" s="725"/>
      <c r="R94" s="726"/>
      <c r="S94" s="726"/>
      <c r="T94" s="726"/>
      <c r="U94" s="724"/>
      <c r="V94" s="728"/>
    </row>
    <row r="95" spans="1:22" s="474" customFormat="1">
      <c r="A95" s="723"/>
      <c r="B95" s="724">
        <v>2</v>
      </c>
      <c r="C95" s="724" t="s">
        <v>156</v>
      </c>
      <c r="D95" s="725"/>
      <c r="E95" s="724"/>
      <c r="F95" s="726"/>
      <c r="G95" s="726"/>
      <c r="H95" s="726"/>
      <c r="I95" s="726"/>
      <c r="J95" s="726"/>
      <c r="K95" s="726"/>
      <c r="L95" s="726"/>
      <c r="M95" s="726"/>
      <c r="N95" s="726"/>
      <c r="O95" s="727"/>
      <c r="P95" s="725"/>
      <c r="Q95" s="725"/>
      <c r="R95" s="726"/>
      <c r="S95" s="726"/>
      <c r="T95" s="726"/>
      <c r="U95" s="724"/>
      <c r="V95" s="728"/>
    </row>
    <row r="96" spans="1:22" s="474" customFormat="1">
      <c r="A96" s="723"/>
      <c r="B96" s="724">
        <v>3</v>
      </c>
      <c r="C96" s="724" t="s">
        <v>157</v>
      </c>
      <c r="D96" s="725"/>
      <c r="E96" s="724"/>
      <c r="F96" s="726"/>
      <c r="G96" s="726"/>
      <c r="H96" s="726"/>
      <c r="I96" s="726"/>
      <c r="J96" s="726"/>
      <c r="K96" s="726"/>
      <c r="L96" s="726"/>
      <c r="M96" s="726"/>
      <c r="N96" s="726"/>
      <c r="O96" s="727"/>
      <c r="P96" s="725"/>
      <c r="Q96" s="725"/>
      <c r="R96" s="726"/>
      <c r="S96" s="726"/>
      <c r="T96" s="726"/>
      <c r="U96" s="724"/>
      <c r="V96" s="728"/>
    </row>
    <row r="97" spans="1:22" s="474" customFormat="1">
      <c r="A97" s="723"/>
      <c r="B97" s="724">
        <v>4</v>
      </c>
      <c r="C97" s="724" t="s">
        <v>158</v>
      </c>
      <c r="D97" s="725"/>
      <c r="E97" s="724"/>
      <c r="F97" s="726"/>
      <c r="G97" s="726"/>
      <c r="H97" s="726"/>
      <c r="I97" s="726"/>
      <c r="J97" s="726"/>
      <c r="K97" s="726"/>
      <c r="L97" s="726"/>
      <c r="M97" s="726"/>
      <c r="N97" s="726"/>
      <c r="O97" s="727"/>
      <c r="P97" s="725"/>
      <c r="Q97" s="725"/>
      <c r="R97" s="726"/>
      <c r="S97" s="726"/>
      <c r="T97" s="726"/>
      <c r="U97" s="724"/>
      <c r="V97" s="728"/>
    </row>
    <row r="98" spans="1:22" s="474" customFormat="1">
      <c r="A98" s="723"/>
      <c r="B98" s="724">
        <v>5</v>
      </c>
      <c r="C98" s="724" t="s">
        <v>159</v>
      </c>
      <c r="D98" s="725"/>
      <c r="E98" s="724"/>
      <c r="F98" s="726"/>
      <c r="G98" s="726"/>
      <c r="H98" s="726"/>
      <c r="I98" s="726"/>
      <c r="J98" s="726"/>
      <c r="K98" s="726"/>
      <c r="L98" s="726"/>
      <c r="M98" s="726"/>
      <c r="N98" s="726"/>
      <c r="O98" s="727"/>
      <c r="P98" s="725"/>
      <c r="Q98" s="725"/>
      <c r="R98" s="726"/>
      <c r="S98" s="726"/>
      <c r="T98" s="726"/>
      <c r="U98" s="724"/>
      <c r="V98" s="728"/>
    </row>
    <row r="99" spans="1:22" s="474" customFormat="1">
      <c r="A99" s="723"/>
      <c r="B99" s="724">
        <v>6</v>
      </c>
      <c r="C99" s="724" t="s">
        <v>160</v>
      </c>
      <c r="D99" s="725"/>
      <c r="E99" s="724"/>
      <c r="F99" s="726"/>
      <c r="G99" s="726"/>
      <c r="H99" s="726"/>
      <c r="I99" s="726"/>
      <c r="J99" s="726"/>
      <c r="K99" s="726"/>
      <c r="L99" s="726"/>
      <c r="M99" s="726"/>
      <c r="N99" s="726"/>
      <c r="O99" s="727"/>
      <c r="P99" s="725"/>
      <c r="Q99" s="725"/>
      <c r="R99" s="726"/>
      <c r="S99" s="726"/>
      <c r="T99" s="726"/>
      <c r="U99" s="724"/>
      <c r="V99" s="728"/>
    </row>
    <row r="100" spans="1:22" s="474" customFormat="1">
      <c r="A100" s="723"/>
      <c r="B100" s="724">
        <v>7</v>
      </c>
      <c r="C100" s="724" t="s">
        <v>161</v>
      </c>
      <c r="D100" s="725"/>
      <c r="E100" s="724"/>
      <c r="F100" s="726"/>
      <c r="G100" s="726"/>
      <c r="H100" s="726"/>
      <c r="I100" s="726"/>
      <c r="J100" s="726"/>
      <c r="K100" s="726"/>
      <c r="L100" s="726"/>
      <c r="M100" s="726"/>
      <c r="N100" s="726"/>
      <c r="O100" s="727"/>
      <c r="P100" s="725"/>
      <c r="Q100" s="725"/>
      <c r="R100" s="726"/>
      <c r="S100" s="726"/>
      <c r="T100" s="726"/>
      <c r="U100" s="724"/>
      <c r="V100" s="728"/>
    </row>
    <row r="101" spans="1:22" s="474" customFormat="1">
      <c r="A101" s="723"/>
      <c r="B101" s="724">
        <v>8</v>
      </c>
      <c r="C101" s="724" t="s">
        <v>162</v>
      </c>
      <c r="D101" s="725"/>
      <c r="E101" s="724"/>
      <c r="F101" s="726"/>
      <c r="G101" s="726"/>
      <c r="H101" s="726"/>
      <c r="I101" s="726"/>
      <c r="J101" s="726"/>
      <c r="K101" s="726"/>
      <c r="L101" s="726"/>
      <c r="M101" s="726"/>
      <c r="N101" s="726"/>
      <c r="O101" s="727"/>
      <c r="P101" s="725"/>
      <c r="Q101" s="725"/>
      <c r="R101" s="726"/>
      <c r="S101" s="726"/>
      <c r="T101" s="726"/>
      <c r="U101" s="724"/>
      <c r="V101" s="728"/>
    </row>
    <row r="102" spans="1:22" s="474" customFormat="1">
      <c r="A102" s="723"/>
      <c r="B102" s="724">
        <v>9</v>
      </c>
      <c r="C102" s="724" t="s">
        <v>163</v>
      </c>
      <c r="D102" s="725"/>
      <c r="E102" s="724"/>
      <c r="F102" s="726"/>
      <c r="G102" s="726"/>
      <c r="H102" s="726"/>
      <c r="I102" s="726"/>
      <c r="J102" s="726"/>
      <c r="K102" s="726"/>
      <c r="L102" s="726"/>
      <c r="M102" s="726"/>
      <c r="N102" s="726"/>
      <c r="O102" s="727"/>
      <c r="P102" s="725"/>
      <c r="Q102" s="725"/>
      <c r="R102" s="726"/>
      <c r="S102" s="726"/>
      <c r="T102" s="726"/>
      <c r="U102" s="724"/>
      <c r="V102" s="728"/>
    </row>
    <row r="103" spans="1:22" s="474" customFormat="1">
      <c r="A103" s="723"/>
      <c r="B103" s="724">
        <v>10</v>
      </c>
      <c r="C103" s="724" t="s">
        <v>164</v>
      </c>
      <c r="D103" s="725"/>
      <c r="E103" s="724"/>
      <c r="F103" s="726"/>
      <c r="G103" s="726"/>
      <c r="H103" s="726"/>
      <c r="I103" s="726"/>
      <c r="J103" s="726"/>
      <c r="K103" s="726"/>
      <c r="L103" s="726"/>
      <c r="M103" s="726"/>
      <c r="N103" s="726"/>
      <c r="O103" s="727"/>
      <c r="P103" s="725"/>
      <c r="Q103" s="725"/>
      <c r="R103" s="726"/>
      <c r="S103" s="726"/>
      <c r="T103" s="726"/>
      <c r="U103" s="724"/>
      <c r="V103" s="728"/>
    </row>
    <row r="104" spans="1:22" s="474" customFormat="1">
      <c r="A104" s="723"/>
      <c r="B104" s="724">
        <v>11</v>
      </c>
      <c r="C104" s="724" t="s">
        <v>165</v>
      </c>
      <c r="D104" s="725"/>
      <c r="E104" s="724"/>
      <c r="F104" s="726"/>
      <c r="G104" s="726"/>
      <c r="H104" s="726"/>
      <c r="I104" s="726"/>
      <c r="J104" s="726"/>
      <c r="K104" s="726"/>
      <c r="L104" s="726"/>
      <c r="M104" s="726"/>
      <c r="N104" s="726"/>
      <c r="O104" s="727"/>
      <c r="P104" s="725"/>
      <c r="Q104" s="725"/>
      <c r="R104" s="726"/>
      <c r="S104" s="726"/>
      <c r="T104" s="726"/>
      <c r="U104" s="724"/>
      <c r="V104" s="728"/>
    </row>
    <row r="105" spans="1:22" s="474" customFormat="1">
      <c r="A105" s="723"/>
      <c r="B105" s="724"/>
      <c r="C105" s="724"/>
      <c r="D105" s="725"/>
      <c r="E105" s="724"/>
      <c r="F105" s="726"/>
      <c r="G105" s="726"/>
      <c r="H105" s="726"/>
      <c r="I105" s="726"/>
      <c r="J105" s="726"/>
      <c r="K105" s="726"/>
      <c r="L105" s="726"/>
      <c r="M105" s="726"/>
      <c r="N105" s="726"/>
      <c r="O105" s="727"/>
      <c r="P105" s="725"/>
      <c r="Q105" s="725"/>
      <c r="R105" s="726"/>
      <c r="S105" s="726"/>
      <c r="T105" s="726"/>
      <c r="U105" s="724"/>
      <c r="V105" s="728"/>
    </row>
    <row r="106" spans="1:22" s="474" customFormat="1">
      <c r="A106" s="729" t="s">
        <v>1038</v>
      </c>
      <c r="B106" s="730"/>
      <c r="C106" s="731"/>
      <c r="D106" s="732"/>
      <c r="E106" s="730"/>
      <c r="F106" s="730"/>
      <c r="G106" s="730"/>
      <c r="H106" s="730"/>
      <c r="I106" s="730"/>
      <c r="J106" s="730"/>
      <c r="K106" s="730"/>
      <c r="L106" s="730"/>
      <c r="M106" s="730"/>
      <c r="N106" s="730"/>
      <c r="O106" s="732"/>
      <c r="P106" s="732"/>
      <c r="Q106" s="732"/>
      <c r="R106" s="730"/>
      <c r="S106" s="730"/>
      <c r="T106" s="730"/>
      <c r="U106" s="733"/>
      <c r="V106" s="734"/>
    </row>
    <row r="107" spans="1:22" s="474" customFormat="1">
      <c r="A107" s="723"/>
      <c r="B107" s="724">
        <v>1</v>
      </c>
      <c r="C107" s="724" t="s">
        <v>79</v>
      </c>
      <c r="D107" s="725"/>
      <c r="E107" s="724"/>
      <c r="F107" s="726"/>
      <c r="G107" s="726"/>
      <c r="H107" s="726"/>
      <c r="I107" s="726"/>
      <c r="J107" s="726"/>
      <c r="K107" s="726"/>
      <c r="L107" s="726"/>
      <c r="M107" s="726"/>
      <c r="N107" s="726"/>
      <c r="O107" s="727"/>
      <c r="P107" s="725"/>
      <c r="Q107" s="725"/>
      <c r="R107" s="726"/>
      <c r="S107" s="726"/>
      <c r="T107" s="726"/>
      <c r="U107" s="724"/>
      <c r="V107" s="728"/>
    </row>
    <row r="108" spans="1:22" s="474" customFormat="1">
      <c r="A108" s="723"/>
      <c r="B108" s="724">
        <v>2</v>
      </c>
      <c r="C108" s="724" t="s">
        <v>80</v>
      </c>
      <c r="D108" s="725"/>
      <c r="E108" s="724"/>
      <c r="F108" s="726"/>
      <c r="G108" s="726"/>
      <c r="H108" s="726"/>
      <c r="I108" s="726"/>
      <c r="J108" s="726"/>
      <c r="K108" s="726"/>
      <c r="L108" s="726"/>
      <c r="M108" s="726"/>
      <c r="N108" s="726"/>
      <c r="O108" s="727"/>
      <c r="P108" s="725"/>
      <c r="Q108" s="725"/>
      <c r="R108" s="726"/>
      <c r="S108" s="726"/>
      <c r="T108" s="726"/>
      <c r="U108" s="724"/>
      <c r="V108" s="728"/>
    </row>
    <row r="109" spans="1:22" s="474" customFormat="1">
      <c r="A109" s="723"/>
      <c r="B109" s="735">
        <v>3</v>
      </c>
      <c r="C109" s="724" t="s">
        <v>81</v>
      </c>
      <c r="D109" s="725"/>
      <c r="E109" s="724"/>
      <c r="F109" s="726"/>
      <c r="G109" s="726"/>
      <c r="H109" s="726"/>
      <c r="I109" s="726"/>
      <c r="J109" s="726"/>
      <c r="K109" s="726"/>
      <c r="L109" s="726"/>
      <c r="M109" s="726"/>
      <c r="N109" s="726"/>
      <c r="O109" s="727"/>
      <c r="P109" s="725"/>
      <c r="Q109" s="725"/>
      <c r="R109" s="726"/>
      <c r="S109" s="726"/>
      <c r="T109" s="726"/>
      <c r="U109" s="724"/>
      <c r="V109" s="728"/>
    </row>
    <row r="110" spans="1:22" s="474" customFormat="1">
      <c r="A110" s="723"/>
      <c r="B110" s="724">
        <v>4</v>
      </c>
      <c r="C110" s="724" t="s">
        <v>82</v>
      </c>
      <c r="D110" s="725"/>
      <c r="E110" s="724"/>
      <c r="F110" s="726"/>
      <c r="G110" s="726"/>
      <c r="H110" s="726"/>
      <c r="I110" s="726"/>
      <c r="J110" s="726"/>
      <c r="K110" s="726"/>
      <c r="L110" s="726"/>
      <c r="M110" s="726"/>
      <c r="N110" s="726"/>
      <c r="O110" s="727"/>
      <c r="P110" s="725"/>
      <c r="Q110" s="725"/>
      <c r="R110" s="726"/>
      <c r="S110" s="726"/>
      <c r="T110" s="726"/>
      <c r="U110" s="724"/>
      <c r="V110" s="728"/>
    </row>
    <row r="111" spans="1:22" s="474" customFormat="1">
      <c r="A111" s="723"/>
      <c r="B111" s="724"/>
      <c r="C111" s="724"/>
      <c r="D111" s="725"/>
      <c r="E111" s="724"/>
      <c r="F111" s="726"/>
      <c r="G111" s="726"/>
      <c r="H111" s="726"/>
      <c r="I111" s="726"/>
      <c r="J111" s="726"/>
      <c r="K111" s="726"/>
      <c r="L111" s="726"/>
      <c r="M111" s="726"/>
      <c r="N111" s="726"/>
      <c r="O111" s="727"/>
      <c r="P111" s="725"/>
      <c r="Q111" s="725"/>
      <c r="R111" s="726"/>
      <c r="S111" s="726"/>
      <c r="T111" s="726"/>
      <c r="U111" s="724"/>
      <c r="V111" s="728"/>
    </row>
    <row r="112" spans="1:22" s="474" customFormat="1">
      <c r="A112" s="729" t="s">
        <v>340</v>
      </c>
      <c r="B112" s="730"/>
      <c r="C112" s="731"/>
      <c r="D112" s="732"/>
      <c r="E112" s="730"/>
      <c r="F112" s="730"/>
      <c r="G112" s="730"/>
      <c r="H112" s="730"/>
      <c r="I112" s="730"/>
      <c r="J112" s="730"/>
      <c r="K112" s="730"/>
      <c r="L112" s="730"/>
      <c r="M112" s="730"/>
      <c r="N112" s="730"/>
      <c r="O112" s="732"/>
      <c r="P112" s="732"/>
      <c r="Q112" s="732"/>
      <c r="R112" s="730"/>
      <c r="S112" s="730"/>
      <c r="T112" s="730"/>
      <c r="U112" s="733"/>
      <c r="V112" s="734"/>
    </row>
    <row r="113" spans="1:22" s="474" customFormat="1">
      <c r="A113" s="723"/>
      <c r="B113" s="724">
        <v>1</v>
      </c>
      <c r="C113" s="724" t="s">
        <v>181</v>
      </c>
      <c r="D113" s="725"/>
      <c r="E113" s="724"/>
      <c r="F113" s="726"/>
      <c r="G113" s="726"/>
      <c r="H113" s="726"/>
      <c r="I113" s="726"/>
      <c r="J113" s="726"/>
      <c r="K113" s="726"/>
      <c r="L113" s="726"/>
      <c r="M113" s="726"/>
      <c r="N113" s="726"/>
      <c r="O113" s="727"/>
      <c r="P113" s="725"/>
      <c r="Q113" s="725"/>
      <c r="R113" s="726"/>
      <c r="S113" s="726"/>
      <c r="T113" s="726"/>
      <c r="U113" s="724"/>
      <c r="V113" s="728"/>
    </row>
    <row r="114" spans="1:22" s="474" customFormat="1">
      <c r="A114" s="723"/>
      <c r="B114" s="724">
        <v>2</v>
      </c>
      <c r="C114" s="724" t="s">
        <v>182</v>
      </c>
      <c r="D114" s="725"/>
      <c r="E114" s="724"/>
      <c r="F114" s="726"/>
      <c r="G114" s="726"/>
      <c r="H114" s="726"/>
      <c r="I114" s="726"/>
      <c r="J114" s="726"/>
      <c r="K114" s="726"/>
      <c r="L114" s="726"/>
      <c r="M114" s="726"/>
      <c r="N114" s="726"/>
      <c r="O114" s="727"/>
      <c r="P114" s="725"/>
      <c r="Q114" s="725"/>
      <c r="R114" s="726"/>
      <c r="S114" s="726"/>
      <c r="T114" s="726"/>
      <c r="U114" s="724"/>
      <c r="V114" s="728"/>
    </row>
    <row r="115" spans="1:22" s="474" customFormat="1">
      <c r="A115" s="723"/>
      <c r="B115" s="724">
        <v>3</v>
      </c>
      <c r="C115" s="724" t="s">
        <v>183</v>
      </c>
      <c r="D115" s="725"/>
      <c r="E115" s="724"/>
      <c r="F115" s="726"/>
      <c r="G115" s="726"/>
      <c r="H115" s="726"/>
      <c r="I115" s="726"/>
      <c r="J115" s="726"/>
      <c r="K115" s="726"/>
      <c r="L115" s="726"/>
      <c r="M115" s="726"/>
      <c r="N115" s="726"/>
      <c r="O115" s="727"/>
      <c r="P115" s="725"/>
      <c r="Q115" s="725"/>
      <c r="R115" s="726"/>
      <c r="S115" s="726"/>
      <c r="T115" s="726"/>
      <c r="U115" s="724"/>
      <c r="V115" s="728"/>
    </row>
    <row r="116" spans="1:22" s="474" customFormat="1">
      <c r="A116" s="723"/>
      <c r="B116" s="724">
        <v>4</v>
      </c>
      <c r="C116" s="724" t="s">
        <v>184</v>
      </c>
      <c r="D116" s="725"/>
      <c r="E116" s="724"/>
      <c r="F116" s="726"/>
      <c r="G116" s="726"/>
      <c r="H116" s="726"/>
      <c r="I116" s="726"/>
      <c r="J116" s="726"/>
      <c r="K116" s="726"/>
      <c r="L116" s="726"/>
      <c r="M116" s="726"/>
      <c r="N116" s="726"/>
      <c r="O116" s="727"/>
      <c r="P116" s="725"/>
      <c r="Q116" s="725"/>
      <c r="R116" s="726"/>
      <c r="S116" s="726"/>
      <c r="T116" s="726"/>
      <c r="U116" s="724"/>
      <c r="V116" s="728"/>
    </row>
    <row r="117" spans="1:22" s="474" customFormat="1">
      <c r="A117" s="723"/>
      <c r="B117" s="724">
        <v>5</v>
      </c>
      <c r="C117" s="724" t="s">
        <v>185</v>
      </c>
      <c r="D117" s="725"/>
      <c r="E117" s="724"/>
      <c r="F117" s="726"/>
      <c r="G117" s="726"/>
      <c r="H117" s="726"/>
      <c r="I117" s="726"/>
      <c r="J117" s="726"/>
      <c r="K117" s="726"/>
      <c r="L117" s="726"/>
      <c r="M117" s="726"/>
      <c r="N117" s="726"/>
      <c r="O117" s="727"/>
      <c r="P117" s="725"/>
      <c r="Q117" s="725"/>
      <c r="R117" s="726"/>
      <c r="S117" s="726"/>
      <c r="T117" s="726"/>
      <c r="U117" s="724"/>
      <c r="V117" s="728"/>
    </row>
    <row r="118" spans="1:22" s="474" customFormat="1">
      <c r="A118" s="723"/>
      <c r="B118" s="724">
        <v>6</v>
      </c>
      <c r="C118" s="724" t="s">
        <v>186</v>
      </c>
      <c r="D118" s="725"/>
      <c r="E118" s="724"/>
      <c r="F118" s="726"/>
      <c r="G118" s="726"/>
      <c r="H118" s="726"/>
      <c r="I118" s="726"/>
      <c r="J118" s="726"/>
      <c r="K118" s="726"/>
      <c r="L118" s="726"/>
      <c r="M118" s="726"/>
      <c r="N118" s="726"/>
      <c r="O118" s="727"/>
      <c r="P118" s="725"/>
      <c r="Q118" s="725"/>
      <c r="R118" s="726"/>
      <c r="S118" s="726"/>
      <c r="T118" s="726"/>
      <c r="U118" s="724"/>
      <c r="V118" s="728"/>
    </row>
    <row r="119" spans="1:22" s="474" customFormat="1">
      <c r="A119" s="723"/>
      <c r="B119" s="724">
        <v>7</v>
      </c>
      <c r="C119" s="724" t="s">
        <v>187</v>
      </c>
      <c r="D119" s="725"/>
      <c r="E119" s="724"/>
      <c r="F119" s="726"/>
      <c r="G119" s="726"/>
      <c r="H119" s="726"/>
      <c r="I119" s="726"/>
      <c r="J119" s="726"/>
      <c r="K119" s="726"/>
      <c r="L119" s="726"/>
      <c r="M119" s="726"/>
      <c r="N119" s="726"/>
      <c r="O119" s="727"/>
      <c r="P119" s="725"/>
      <c r="Q119" s="725"/>
      <c r="R119" s="726"/>
      <c r="S119" s="726"/>
      <c r="T119" s="726"/>
      <c r="U119" s="724"/>
      <c r="V119" s="728"/>
    </row>
    <row r="120" spans="1:22" s="474" customFormat="1">
      <c r="A120" s="723"/>
      <c r="B120" s="724">
        <v>8</v>
      </c>
      <c r="C120" s="724" t="s">
        <v>188</v>
      </c>
      <c r="D120" s="725"/>
      <c r="E120" s="724"/>
      <c r="F120" s="726"/>
      <c r="G120" s="726"/>
      <c r="H120" s="726"/>
      <c r="I120" s="726"/>
      <c r="J120" s="726"/>
      <c r="K120" s="726"/>
      <c r="L120" s="726"/>
      <c r="M120" s="726"/>
      <c r="N120" s="726"/>
      <c r="O120" s="727"/>
      <c r="P120" s="725"/>
      <c r="Q120" s="725"/>
      <c r="R120" s="726"/>
      <c r="S120" s="726"/>
      <c r="T120" s="726"/>
      <c r="U120" s="724"/>
      <c r="V120" s="728"/>
    </row>
    <row r="121" spans="1:22" s="474" customFormat="1">
      <c r="A121" s="723"/>
      <c r="B121" s="724">
        <v>9</v>
      </c>
      <c r="C121" s="724" t="s">
        <v>189</v>
      </c>
      <c r="D121" s="725"/>
      <c r="E121" s="724"/>
      <c r="F121" s="726"/>
      <c r="G121" s="726"/>
      <c r="H121" s="726"/>
      <c r="I121" s="726"/>
      <c r="J121" s="726"/>
      <c r="K121" s="726"/>
      <c r="L121" s="726"/>
      <c r="M121" s="726"/>
      <c r="N121" s="726"/>
      <c r="O121" s="727"/>
      <c r="P121" s="725"/>
      <c r="Q121" s="725"/>
      <c r="R121" s="726"/>
      <c r="S121" s="726"/>
      <c r="T121" s="726"/>
      <c r="U121" s="724"/>
      <c r="V121" s="728"/>
    </row>
    <row r="122" spans="1:22" s="474" customFormat="1" ht="72">
      <c r="A122" s="651" t="s">
        <v>1052</v>
      </c>
      <c r="B122" s="460">
        <v>10</v>
      </c>
      <c r="C122" s="460" t="s">
        <v>649</v>
      </c>
      <c r="D122" s="457" t="s">
        <v>1203</v>
      </c>
      <c r="E122" s="460"/>
      <c r="F122" s="458" t="s">
        <v>567</v>
      </c>
      <c r="G122" s="458" t="s">
        <v>1217</v>
      </c>
      <c r="H122" s="458" t="s">
        <v>1207</v>
      </c>
      <c r="I122" s="458" t="s">
        <v>1212</v>
      </c>
      <c r="J122" s="458" t="s">
        <v>1236</v>
      </c>
      <c r="K122" s="458" t="s">
        <v>1212</v>
      </c>
      <c r="L122" s="458" t="s">
        <v>1207</v>
      </c>
      <c r="M122" s="458" t="s">
        <v>1207</v>
      </c>
      <c r="N122" s="458" t="s">
        <v>1207</v>
      </c>
      <c r="O122" s="652"/>
      <c r="P122" s="457" t="s">
        <v>1209</v>
      </c>
      <c r="Q122" s="457" t="s">
        <v>1209</v>
      </c>
      <c r="R122" s="458"/>
      <c r="S122" s="458" t="s">
        <v>1310</v>
      </c>
      <c r="T122" s="458"/>
      <c r="U122" s="460"/>
      <c r="V122" s="653"/>
    </row>
    <row r="123" spans="1:22" s="474" customFormat="1">
      <c r="A123" s="651" t="s">
        <v>1052</v>
      </c>
      <c r="B123" s="460">
        <v>11</v>
      </c>
      <c r="C123" s="460" t="s">
        <v>535</v>
      </c>
      <c r="D123" s="457" t="s">
        <v>1203</v>
      </c>
      <c r="E123" s="460"/>
      <c r="F123" s="458"/>
      <c r="G123" s="458" t="s">
        <v>1207</v>
      </c>
      <c r="H123" s="458" t="s">
        <v>1207</v>
      </c>
      <c r="I123" s="458" t="s">
        <v>1207</v>
      </c>
      <c r="J123" s="458" t="s">
        <v>1207</v>
      </c>
      <c r="K123" s="458" t="s">
        <v>1207</v>
      </c>
      <c r="L123" s="458" t="s">
        <v>1207</v>
      </c>
      <c r="M123" s="458" t="s">
        <v>1207</v>
      </c>
      <c r="N123" s="458" t="s">
        <v>1207</v>
      </c>
      <c r="O123" s="652"/>
      <c r="P123" s="457"/>
      <c r="Q123" s="457"/>
      <c r="R123" s="458"/>
      <c r="S123" s="458"/>
      <c r="T123" s="458"/>
      <c r="U123" s="460"/>
      <c r="V123" s="653"/>
    </row>
    <row r="124" spans="1:22" s="474" customFormat="1" ht="36">
      <c r="A124" s="651" t="s">
        <v>347</v>
      </c>
      <c r="B124" s="724">
        <v>12</v>
      </c>
      <c r="C124" s="724" t="s">
        <v>1213</v>
      </c>
      <c r="D124" s="725"/>
      <c r="E124" s="724"/>
      <c r="F124" s="726"/>
      <c r="G124" s="726"/>
      <c r="H124" s="726"/>
      <c r="I124" s="726"/>
      <c r="J124" s="726"/>
      <c r="K124" s="726"/>
      <c r="L124" s="726"/>
      <c r="M124" s="726"/>
      <c r="N124" s="726"/>
      <c r="O124" s="727"/>
      <c r="P124" s="725"/>
      <c r="Q124" s="725"/>
      <c r="R124" s="726"/>
      <c r="S124" s="726"/>
      <c r="T124" s="726"/>
      <c r="U124" s="724"/>
      <c r="V124" s="653" t="s">
        <v>1214</v>
      </c>
    </row>
    <row r="125" spans="1:22" s="474" customFormat="1">
      <c r="A125" s="723"/>
      <c r="B125" s="724">
        <v>13</v>
      </c>
      <c r="C125" s="724" t="s">
        <v>190</v>
      </c>
      <c r="D125" s="725"/>
      <c r="E125" s="724"/>
      <c r="F125" s="726"/>
      <c r="G125" s="726"/>
      <c r="H125" s="726"/>
      <c r="I125" s="726"/>
      <c r="J125" s="726"/>
      <c r="K125" s="726"/>
      <c r="L125" s="726"/>
      <c r="M125" s="726"/>
      <c r="N125" s="726"/>
      <c r="O125" s="727"/>
      <c r="P125" s="725"/>
      <c r="Q125" s="725"/>
      <c r="R125" s="726"/>
      <c r="S125" s="726"/>
      <c r="T125" s="726"/>
      <c r="U125" s="724"/>
      <c r="V125" s="728"/>
    </row>
    <row r="126" spans="1:22" s="474" customFormat="1">
      <c r="A126" s="723"/>
      <c r="B126" s="724">
        <v>14</v>
      </c>
      <c r="C126" s="724" t="s">
        <v>191</v>
      </c>
      <c r="D126" s="725"/>
      <c r="E126" s="724"/>
      <c r="F126" s="726"/>
      <c r="G126" s="726"/>
      <c r="H126" s="726"/>
      <c r="I126" s="726"/>
      <c r="J126" s="726"/>
      <c r="K126" s="726"/>
      <c r="L126" s="726"/>
      <c r="M126" s="726"/>
      <c r="N126" s="726"/>
      <c r="O126" s="727"/>
      <c r="P126" s="725"/>
      <c r="Q126" s="725"/>
      <c r="R126" s="726"/>
      <c r="S126" s="726"/>
      <c r="T126" s="726"/>
      <c r="U126" s="724"/>
      <c r="V126" s="728"/>
    </row>
    <row r="127" spans="1:22" s="474" customFormat="1">
      <c r="A127" s="723"/>
      <c r="B127" s="724">
        <v>15</v>
      </c>
      <c r="C127" s="724" t="s">
        <v>192</v>
      </c>
      <c r="D127" s="725"/>
      <c r="E127" s="724"/>
      <c r="F127" s="726"/>
      <c r="G127" s="726"/>
      <c r="H127" s="726"/>
      <c r="I127" s="726"/>
      <c r="J127" s="726"/>
      <c r="K127" s="726"/>
      <c r="L127" s="726"/>
      <c r="M127" s="726"/>
      <c r="N127" s="726"/>
      <c r="O127" s="727"/>
      <c r="P127" s="725"/>
      <c r="Q127" s="725"/>
      <c r="R127" s="726"/>
      <c r="S127" s="726"/>
      <c r="T127" s="726"/>
      <c r="U127" s="724"/>
      <c r="V127" s="728"/>
    </row>
    <row r="128" spans="1:22" s="474" customFormat="1">
      <c r="A128" s="723"/>
      <c r="B128" s="724">
        <v>16</v>
      </c>
      <c r="C128" s="724" t="s">
        <v>193</v>
      </c>
      <c r="D128" s="725"/>
      <c r="E128" s="724"/>
      <c r="F128" s="726"/>
      <c r="G128" s="726"/>
      <c r="H128" s="726"/>
      <c r="I128" s="726"/>
      <c r="J128" s="726"/>
      <c r="K128" s="726"/>
      <c r="L128" s="726"/>
      <c r="M128" s="726"/>
      <c r="N128" s="726"/>
      <c r="O128" s="727"/>
      <c r="P128" s="725"/>
      <c r="Q128" s="725"/>
      <c r="R128" s="726"/>
      <c r="S128" s="726"/>
      <c r="T128" s="726"/>
      <c r="U128" s="724"/>
      <c r="V128" s="728"/>
    </row>
    <row r="129" spans="1:22" s="474" customFormat="1">
      <c r="A129" s="723"/>
      <c r="B129" s="724">
        <v>17</v>
      </c>
      <c r="C129" s="724" t="s">
        <v>194</v>
      </c>
      <c r="D129" s="725"/>
      <c r="E129" s="724"/>
      <c r="F129" s="726"/>
      <c r="G129" s="726"/>
      <c r="H129" s="726"/>
      <c r="I129" s="726"/>
      <c r="J129" s="726"/>
      <c r="K129" s="726"/>
      <c r="L129" s="726"/>
      <c r="M129" s="726"/>
      <c r="N129" s="726"/>
      <c r="O129" s="727"/>
      <c r="P129" s="725"/>
      <c r="Q129" s="725"/>
      <c r="R129" s="726"/>
      <c r="S129" s="726"/>
      <c r="T129" s="726"/>
      <c r="U129" s="724"/>
      <c r="V129" s="728"/>
    </row>
    <row r="130" spans="1:22" s="474" customFormat="1">
      <c r="A130" s="723"/>
      <c r="B130" s="724">
        <v>18</v>
      </c>
      <c r="C130" s="724" t="s">
        <v>195</v>
      </c>
      <c r="D130" s="725"/>
      <c r="E130" s="724"/>
      <c r="F130" s="726"/>
      <c r="G130" s="726"/>
      <c r="H130" s="726"/>
      <c r="I130" s="726"/>
      <c r="J130" s="726"/>
      <c r="K130" s="726"/>
      <c r="L130" s="726"/>
      <c r="M130" s="726"/>
      <c r="N130" s="726"/>
      <c r="O130" s="727"/>
      <c r="P130" s="725"/>
      <c r="Q130" s="725"/>
      <c r="R130" s="726"/>
      <c r="S130" s="726"/>
      <c r="T130" s="726"/>
      <c r="U130" s="724"/>
      <c r="V130" s="728"/>
    </row>
    <row r="131" spans="1:22" s="474" customFormat="1">
      <c r="A131" s="723"/>
      <c r="B131" s="724">
        <v>19</v>
      </c>
      <c r="C131" s="724" t="s">
        <v>196</v>
      </c>
      <c r="D131" s="725"/>
      <c r="E131" s="724"/>
      <c r="F131" s="726"/>
      <c r="G131" s="726"/>
      <c r="H131" s="726"/>
      <c r="I131" s="726"/>
      <c r="J131" s="726"/>
      <c r="K131" s="726"/>
      <c r="L131" s="726"/>
      <c r="M131" s="726"/>
      <c r="N131" s="726"/>
      <c r="O131" s="727"/>
      <c r="P131" s="725"/>
      <c r="Q131" s="725"/>
      <c r="R131" s="726"/>
      <c r="S131" s="726"/>
      <c r="T131" s="726"/>
      <c r="U131" s="724"/>
      <c r="V131" s="728"/>
    </row>
    <row r="132" spans="1:22" s="474" customFormat="1">
      <c r="A132" s="723"/>
      <c r="B132" s="724">
        <v>20</v>
      </c>
      <c r="C132" s="724" t="s">
        <v>197</v>
      </c>
      <c r="D132" s="725"/>
      <c r="E132" s="724"/>
      <c r="F132" s="726"/>
      <c r="G132" s="726"/>
      <c r="H132" s="726"/>
      <c r="I132" s="726"/>
      <c r="J132" s="726"/>
      <c r="K132" s="726"/>
      <c r="L132" s="726"/>
      <c r="M132" s="726"/>
      <c r="N132" s="726"/>
      <c r="O132" s="727"/>
      <c r="P132" s="725"/>
      <c r="Q132" s="725"/>
      <c r="R132" s="726"/>
      <c r="S132" s="726"/>
      <c r="T132" s="726"/>
      <c r="U132" s="724"/>
      <c r="V132" s="728"/>
    </row>
    <row r="133" spans="1:22" s="474" customFormat="1" ht="90" customHeight="1">
      <c r="A133" s="651" t="s">
        <v>347</v>
      </c>
      <c r="B133" s="724">
        <v>21</v>
      </c>
      <c r="C133" s="724" t="s">
        <v>198</v>
      </c>
      <c r="D133" s="725"/>
      <c r="E133" s="724"/>
      <c r="F133" s="726"/>
      <c r="G133" s="726"/>
      <c r="H133" s="726"/>
      <c r="I133" s="726"/>
      <c r="J133" s="726"/>
      <c r="K133" s="726"/>
      <c r="L133" s="726"/>
      <c r="M133" s="726"/>
      <c r="N133" s="726"/>
      <c r="O133" s="727"/>
      <c r="P133" s="725"/>
      <c r="Q133" s="725"/>
      <c r="R133" s="726"/>
      <c r="S133" s="726"/>
      <c r="T133" s="726"/>
      <c r="U133" s="724"/>
      <c r="V133" s="653" t="s">
        <v>1215</v>
      </c>
    </row>
    <row r="134" spans="1:22" s="474" customFormat="1">
      <c r="A134" s="723"/>
      <c r="B134" s="724">
        <v>22</v>
      </c>
      <c r="C134" s="724" t="s">
        <v>199</v>
      </c>
      <c r="D134" s="725"/>
      <c r="E134" s="724"/>
      <c r="F134" s="726"/>
      <c r="G134" s="726"/>
      <c r="H134" s="726"/>
      <c r="I134" s="726"/>
      <c r="J134" s="726"/>
      <c r="K134" s="726"/>
      <c r="L134" s="726"/>
      <c r="M134" s="726"/>
      <c r="N134" s="726"/>
      <c r="O134" s="727"/>
      <c r="P134" s="725"/>
      <c r="Q134" s="725"/>
      <c r="R134" s="726"/>
      <c r="S134" s="726"/>
      <c r="T134" s="726"/>
      <c r="U134" s="724"/>
      <c r="V134" s="728"/>
    </row>
    <row r="135" spans="1:22" s="474" customFormat="1">
      <c r="A135" s="723"/>
      <c r="B135" s="724">
        <v>23</v>
      </c>
      <c r="C135" s="724" t="s">
        <v>200</v>
      </c>
      <c r="D135" s="725"/>
      <c r="E135" s="724"/>
      <c r="F135" s="726"/>
      <c r="G135" s="726"/>
      <c r="H135" s="726"/>
      <c r="I135" s="726"/>
      <c r="J135" s="726"/>
      <c r="K135" s="726"/>
      <c r="L135" s="726"/>
      <c r="M135" s="726"/>
      <c r="N135" s="726"/>
      <c r="O135" s="727"/>
      <c r="P135" s="725"/>
      <c r="Q135" s="725"/>
      <c r="R135" s="726"/>
      <c r="S135" s="726"/>
      <c r="T135" s="726"/>
      <c r="U135" s="724"/>
      <c r="V135" s="728"/>
    </row>
    <row r="136" spans="1:22" s="474" customFormat="1">
      <c r="A136" s="723"/>
      <c r="B136" s="724">
        <v>24</v>
      </c>
      <c r="C136" s="724" t="s">
        <v>201</v>
      </c>
      <c r="D136" s="725"/>
      <c r="E136" s="724"/>
      <c r="F136" s="726"/>
      <c r="G136" s="726"/>
      <c r="H136" s="726"/>
      <c r="I136" s="726"/>
      <c r="J136" s="726"/>
      <c r="K136" s="726"/>
      <c r="L136" s="726"/>
      <c r="M136" s="726"/>
      <c r="N136" s="726"/>
      <c r="O136" s="727"/>
      <c r="P136" s="725"/>
      <c r="Q136" s="725"/>
      <c r="R136" s="726"/>
      <c r="S136" s="726"/>
      <c r="T136" s="726"/>
      <c r="U136" s="724"/>
      <c r="V136" s="728"/>
    </row>
    <row r="137" spans="1:22" s="474" customFormat="1">
      <c r="A137" s="723"/>
      <c r="B137" s="724">
        <v>25</v>
      </c>
      <c r="C137" s="724" t="s">
        <v>202</v>
      </c>
      <c r="D137" s="725"/>
      <c r="E137" s="724"/>
      <c r="F137" s="726"/>
      <c r="G137" s="726"/>
      <c r="H137" s="726"/>
      <c r="I137" s="726"/>
      <c r="J137" s="726"/>
      <c r="K137" s="726"/>
      <c r="L137" s="726"/>
      <c r="M137" s="726"/>
      <c r="N137" s="726"/>
      <c r="O137" s="727"/>
      <c r="P137" s="725"/>
      <c r="Q137" s="725"/>
      <c r="R137" s="726"/>
      <c r="S137" s="726"/>
      <c r="T137" s="726"/>
      <c r="U137" s="724"/>
      <c r="V137" s="728"/>
    </row>
    <row r="138" spans="1:22" s="474" customFormat="1">
      <c r="A138" s="651" t="s">
        <v>1052</v>
      </c>
      <c r="B138" s="460">
        <v>26</v>
      </c>
      <c r="C138" s="460" t="s">
        <v>431</v>
      </c>
      <c r="D138" s="457" t="s">
        <v>1203</v>
      </c>
      <c r="E138" s="460"/>
      <c r="F138" s="458" t="s">
        <v>432</v>
      </c>
      <c r="G138" s="458" t="s">
        <v>1217</v>
      </c>
      <c r="H138" s="458" t="s">
        <v>1207</v>
      </c>
      <c r="I138" s="458" t="s">
        <v>1217</v>
      </c>
      <c r="J138" s="458" t="s">
        <v>1217</v>
      </c>
      <c r="K138" s="458" t="s">
        <v>1207</v>
      </c>
      <c r="L138" s="458" t="s">
        <v>1217</v>
      </c>
      <c r="M138" s="458" t="s">
        <v>1207</v>
      </c>
      <c r="N138" s="458" t="s">
        <v>1217</v>
      </c>
      <c r="O138" s="652"/>
      <c r="P138" s="457"/>
      <c r="Q138" s="457"/>
      <c r="R138" s="458"/>
      <c r="S138" s="458"/>
      <c r="T138" s="458"/>
      <c r="U138" s="460"/>
      <c r="V138" s="653"/>
    </row>
    <row r="139" spans="1:22" s="474" customFormat="1" ht="84">
      <c r="A139" s="651" t="s">
        <v>1052</v>
      </c>
      <c r="B139" s="460">
        <v>27</v>
      </c>
      <c r="C139" s="460" t="s">
        <v>532</v>
      </c>
      <c r="D139" s="457" t="s">
        <v>1218</v>
      </c>
      <c r="E139" s="460"/>
      <c r="F139" s="458" t="s">
        <v>1055</v>
      </c>
      <c r="G139" s="458" t="s">
        <v>1217</v>
      </c>
      <c r="H139" s="458" t="s">
        <v>1207</v>
      </c>
      <c r="I139" s="458" t="s">
        <v>1272</v>
      </c>
      <c r="J139" s="458" t="s">
        <v>1268</v>
      </c>
      <c r="K139" s="458" t="s">
        <v>1217</v>
      </c>
      <c r="L139" s="458" t="s">
        <v>1217</v>
      </c>
      <c r="M139" s="458" t="s">
        <v>1207</v>
      </c>
      <c r="N139" s="458" t="s">
        <v>1217</v>
      </c>
      <c r="O139" s="652"/>
      <c r="P139" s="457"/>
      <c r="Q139" s="457"/>
      <c r="R139" s="458"/>
      <c r="S139" s="458"/>
      <c r="T139" s="458"/>
      <c r="U139" s="458" t="s">
        <v>1271</v>
      </c>
      <c r="V139" s="653" t="s">
        <v>1219</v>
      </c>
    </row>
    <row r="140" spans="1:22" s="474" customFormat="1" ht="24">
      <c r="A140" s="651" t="s">
        <v>1052</v>
      </c>
      <c r="B140" s="460">
        <v>28</v>
      </c>
      <c r="C140" s="460" t="s">
        <v>531</v>
      </c>
      <c r="D140" s="457" t="s">
        <v>1220</v>
      </c>
      <c r="E140" s="460"/>
      <c r="F140" s="458" t="s">
        <v>1056</v>
      </c>
      <c r="G140" s="458" t="s">
        <v>1207</v>
      </c>
      <c r="H140" s="458" t="s">
        <v>1217</v>
      </c>
      <c r="I140" s="458" t="s">
        <v>1236</v>
      </c>
      <c r="J140" s="458" t="s">
        <v>1217</v>
      </c>
      <c r="K140" s="458" t="s">
        <v>1217</v>
      </c>
      <c r="L140" s="458" t="s">
        <v>1217</v>
      </c>
      <c r="M140" s="458" t="s">
        <v>1207</v>
      </c>
      <c r="N140" s="458" t="s">
        <v>1217</v>
      </c>
      <c r="O140" s="652"/>
      <c r="P140" s="457"/>
      <c r="Q140" s="457"/>
      <c r="R140" s="458"/>
      <c r="S140" s="458"/>
      <c r="T140" s="458"/>
      <c r="U140" s="458" t="s">
        <v>1271</v>
      </c>
      <c r="V140" s="653"/>
    </row>
    <row r="141" spans="1:22" s="474" customFormat="1">
      <c r="A141" s="723"/>
      <c r="B141" s="724">
        <v>29</v>
      </c>
      <c r="C141" s="724" t="s">
        <v>203</v>
      </c>
      <c r="D141" s="725"/>
      <c r="E141" s="724"/>
      <c r="F141" s="726"/>
      <c r="G141" s="726"/>
      <c r="H141" s="726"/>
      <c r="I141" s="726"/>
      <c r="J141" s="726"/>
      <c r="K141" s="726"/>
      <c r="L141" s="726"/>
      <c r="M141" s="726"/>
      <c r="N141" s="726"/>
      <c r="O141" s="727"/>
      <c r="P141" s="725"/>
      <c r="Q141" s="725"/>
      <c r="R141" s="726"/>
      <c r="S141" s="726"/>
      <c r="T141" s="726"/>
      <c r="U141" s="724"/>
      <c r="V141" s="728"/>
    </row>
    <row r="142" spans="1:22" s="474" customFormat="1">
      <c r="A142" s="723"/>
      <c r="B142" s="724">
        <v>30</v>
      </c>
      <c r="C142" s="724" t="s">
        <v>204</v>
      </c>
      <c r="D142" s="725"/>
      <c r="E142" s="724"/>
      <c r="F142" s="726"/>
      <c r="G142" s="726"/>
      <c r="H142" s="726"/>
      <c r="I142" s="726"/>
      <c r="J142" s="726"/>
      <c r="K142" s="726"/>
      <c r="L142" s="726"/>
      <c r="M142" s="726"/>
      <c r="N142" s="726"/>
      <c r="O142" s="727"/>
      <c r="P142" s="725"/>
      <c r="Q142" s="725"/>
      <c r="R142" s="726"/>
      <c r="S142" s="726"/>
      <c r="T142" s="726"/>
      <c r="U142" s="724"/>
      <c r="V142" s="728"/>
    </row>
    <row r="143" spans="1:22" s="474" customFormat="1">
      <c r="A143" s="723"/>
      <c r="B143" s="724">
        <v>31</v>
      </c>
      <c r="C143" s="724" t="s">
        <v>205</v>
      </c>
      <c r="D143" s="725"/>
      <c r="E143" s="724"/>
      <c r="F143" s="726"/>
      <c r="G143" s="726"/>
      <c r="H143" s="726"/>
      <c r="I143" s="726"/>
      <c r="J143" s="726"/>
      <c r="K143" s="726"/>
      <c r="L143" s="726"/>
      <c r="M143" s="726"/>
      <c r="N143" s="726"/>
      <c r="O143" s="727"/>
      <c r="P143" s="725"/>
      <c r="Q143" s="725"/>
      <c r="R143" s="726"/>
      <c r="S143" s="726"/>
      <c r="T143" s="726"/>
      <c r="U143" s="724"/>
      <c r="V143" s="728"/>
    </row>
    <row r="144" spans="1:22" s="474" customFormat="1">
      <c r="A144" s="723"/>
      <c r="B144" s="724">
        <v>32</v>
      </c>
      <c r="C144" s="724" t="s">
        <v>206</v>
      </c>
      <c r="D144" s="725"/>
      <c r="E144" s="724"/>
      <c r="F144" s="726"/>
      <c r="G144" s="726"/>
      <c r="H144" s="726"/>
      <c r="I144" s="726"/>
      <c r="J144" s="726"/>
      <c r="K144" s="726"/>
      <c r="L144" s="726"/>
      <c r="M144" s="726"/>
      <c r="N144" s="726"/>
      <c r="O144" s="727"/>
      <c r="P144" s="725"/>
      <c r="Q144" s="725"/>
      <c r="R144" s="726"/>
      <c r="S144" s="726"/>
      <c r="T144" s="726"/>
      <c r="U144" s="724"/>
      <c r="V144" s="728"/>
    </row>
    <row r="145" spans="1:22" s="474" customFormat="1">
      <c r="A145" s="723"/>
      <c r="B145" s="724">
        <v>33</v>
      </c>
      <c r="C145" s="724" t="s">
        <v>79</v>
      </c>
      <c r="D145" s="725"/>
      <c r="E145" s="724"/>
      <c r="F145" s="726"/>
      <c r="G145" s="726"/>
      <c r="H145" s="726"/>
      <c r="I145" s="726"/>
      <c r="J145" s="726"/>
      <c r="K145" s="726"/>
      <c r="L145" s="726"/>
      <c r="M145" s="726"/>
      <c r="N145" s="726"/>
      <c r="O145" s="727"/>
      <c r="P145" s="725"/>
      <c r="Q145" s="725"/>
      <c r="R145" s="726"/>
      <c r="S145" s="726"/>
      <c r="T145" s="726"/>
      <c r="U145" s="724"/>
      <c r="V145" s="728"/>
    </row>
    <row r="146" spans="1:22" s="474" customFormat="1">
      <c r="A146" s="723"/>
      <c r="B146" s="724">
        <v>34</v>
      </c>
      <c r="C146" s="724" t="s">
        <v>80</v>
      </c>
      <c r="D146" s="725"/>
      <c r="E146" s="724"/>
      <c r="F146" s="726"/>
      <c r="G146" s="726"/>
      <c r="H146" s="726"/>
      <c r="I146" s="726"/>
      <c r="J146" s="726"/>
      <c r="K146" s="726"/>
      <c r="L146" s="726"/>
      <c r="M146" s="726"/>
      <c r="N146" s="726"/>
      <c r="O146" s="727"/>
      <c r="P146" s="725"/>
      <c r="Q146" s="725"/>
      <c r="R146" s="726"/>
      <c r="S146" s="726"/>
      <c r="T146" s="726"/>
      <c r="U146" s="724"/>
      <c r="V146" s="728"/>
    </row>
    <row r="147" spans="1:22" s="474" customFormat="1">
      <c r="A147" s="723"/>
      <c r="B147" s="724">
        <v>35</v>
      </c>
      <c r="C147" s="724" t="s">
        <v>207</v>
      </c>
      <c r="D147" s="725"/>
      <c r="E147" s="724"/>
      <c r="F147" s="726"/>
      <c r="G147" s="726"/>
      <c r="H147" s="726"/>
      <c r="I147" s="726"/>
      <c r="J147" s="726"/>
      <c r="K147" s="726"/>
      <c r="L147" s="726"/>
      <c r="M147" s="726"/>
      <c r="N147" s="726"/>
      <c r="O147" s="727"/>
      <c r="P147" s="725"/>
      <c r="Q147" s="725"/>
      <c r="R147" s="726"/>
      <c r="S147" s="726"/>
      <c r="T147" s="726"/>
      <c r="U147" s="724"/>
      <c r="V147" s="728"/>
    </row>
    <row r="148" spans="1:22" s="474" customFormat="1">
      <c r="A148" s="723"/>
      <c r="B148" s="724">
        <v>36</v>
      </c>
      <c r="C148" s="724" t="s">
        <v>208</v>
      </c>
      <c r="D148" s="725"/>
      <c r="E148" s="724"/>
      <c r="F148" s="726"/>
      <c r="G148" s="726"/>
      <c r="H148" s="726"/>
      <c r="I148" s="726"/>
      <c r="J148" s="726"/>
      <c r="K148" s="726"/>
      <c r="L148" s="726"/>
      <c r="M148" s="726"/>
      <c r="N148" s="726"/>
      <c r="O148" s="727"/>
      <c r="P148" s="725"/>
      <c r="Q148" s="725"/>
      <c r="R148" s="726"/>
      <c r="S148" s="726"/>
      <c r="T148" s="726"/>
      <c r="U148" s="724"/>
      <c r="V148" s="728"/>
    </row>
    <row r="149" spans="1:22" s="474" customFormat="1">
      <c r="A149" s="723"/>
      <c r="B149" s="724">
        <v>37</v>
      </c>
      <c r="C149" s="724" t="s">
        <v>209</v>
      </c>
      <c r="D149" s="725"/>
      <c r="E149" s="724"/>
      <c r="F149" s="726"/>
      <c r="G149" s="726"/>
      <c r="H149" s="726"/>
      <c r="I149" s="726"/>
      <c r="J149" s="726"/>
      <c r="K149" s="726"/>
      <c r="L149" s="726"/>
      <c r="M149" s="726"/>
      <c r="N149" s="726"/>
      <c r="O149" s="727"/>
      <c r="P149" s="725"/>
      <c r="Q149" s="725"/>
      <c r="R149" s="726"/>
      <c r="S149" s="726"/>
      <c r="T149" s="726"/>
      <c r="U149" s="724"/>
      <c r="V149" s="728"/>
    </row>
    <row r="150" spans="1:22" s="474" customFormat="1" ht="60">
      <c r="A150" s="651" t="s">
        <v>1052</v>
      </c>
      <c r="B150" s="460">
        <v>38</v>
      </c>
      <c r="C150" s="460" t="s">
        <v>1139</v>
      </c>
      <c r="D150" s="457" t="s">
        <v>1220</v>
      </c>
      <c r="E150" s="460"/>
      <c r="F150" s="458" t="s">
        <v>1138</v>
      </c>
      <c r="G150" s="458" t="s">
        <v>1217</v>
      </c>
      <c r="H150" s="458" t="s">
        <v>1207</v>
      </c>
      <c r="I150" s="458" t="s">
        <v>1212</v>
      </c>
      <c r="J150" s="458" t="s">
        <v>1207</v>
      </c>
      <c r="K150" s="458" t="s">
        <v>1212</v>
      </c>
      <c r="L150" s="458" t="s">
        <v>1207</v>
      </c>
      <c r="M150" s="458" t="s">
        <v>1217</v>
      </c>
      <c r="N150" s="458" t="s">
        <v>1207</v>
      </c>
      <c r="O150" s="652"/>
      <c r="P150" s="457"/>
      <c r="Q150" s="457"/>
      <c r="R150" s="458"/>
      <c r="S150" s="458"/>
      <c r="T150" s="458"/>
      <c r="U150" s="458" t="s">
        <v>1271</v>
      </c>
      <c r="V150" s="653" t="s">
        <v>1221</v>
      </c>
    </row>
    <row r="151" spans="1:22" s="474" customFormat="1">
      <c r="A151" s="723"/>
      <c r="B151" s="724">
        <v>38</v>
      </c>
      <c r="C151" s="724" t="s">
        <v>1041</v>
      </c>
      <c r="D151" s="725"/>
      <c r="E151" s="724"/>
      <c r="F151" s="726"/>
      <c r="G151" s="726"/>
      <c r="H151" s="726"/>
      <c r="I151" s="726"/>
      <c r="J151" s="726"/>
      <c r="K151" s="726"/>
      <c r="L151" s="726"/>
      <c r="M151" s="726"/>
      <c r="N151" s="726"/>
      <c r="O151" s="727"/>
      <c r="P151" s="725"/>
      <c r="Q151" s="725"/>
      <c r="R151" s="726"/>
      <c r="S151" s="726"/>
      <c r="T151" s="726"/>
      <c r="U151" s="724"/>
      <c r="V151" s="728"/>
    </row>
    <row r="152" spans="1:22" s="474" customFormat="1">
      <c r="A152" s="723"/>
      <c r="B152" s="724">
        <v>39</v>
      </c>
      <c r="C152" s="724" t="s">
        <v>210</v>
      </c>
      <c r="D152" s="725"/>
      <c r="E152" s="724"/>
      <c r="F152" s="726"/>
      <c r="G152" s="726"/>
      <c r="H152" s="726"/>
      <c r="I152" s="726"/>
      <c r="J152" s="726"/>
      <c r="K152" s="726"/>
      <c r="L152" s="726"/>
      <c r="M152" s="726"/>
      <c r="N152" s="726"/>
      <c r="O152" s="727"/>
      <c r="P152" s="725"/>
      <c r="Q152" s="725"/>
      <c r="R152" s="726"/>
      <c r="S152" s="726"/>
      <c r="T152" s="726"/>
      <c r="U152" s="724"/>
      <c r="V152" s="728"/>
    </row>
    <row r="153" spans="1:22" s="474" customFormat="1">
      <c r="A153" s="723"/>
      <c r="B153" s="724">
        <v>40</v>
      </c>
      <c r="C153" s="724" t="s">
        <v>211</v>
      </c>
      <c r="D153" s="725"/>
      <c r="E153" s="724"/>
      <c r="F153" s="726"/>
      <c r="G153" s="726"/>
      <c r="H153" s="726"/>
      <c r="I153" s="726"/>
      <c r="J153" s="726"/>
      <c r="K153" s="726"/>
      <c r="L153" s="726"/>
      <c r="M153" s="726"/>
      <c r="N153" s="726"/>
      <c r="O153" s="727"/>
      <c r="P153" s="725"/>
      <c r="Q153" s="725"/>
      <c r="R153" s="726"/>
      <c r="S153" s="726"/>
      <c r="T153" s="726"/>
      <c r="U153" s="724"/>
      <c r="V153" s="728"/>
    </row>
    <row r="154" spans="1:22" s="474" customFormat="1">
      <c r="A154" s="723"/>
      <c r="B154" s="724">
        <v>41</v>
      </c>
      <c r="C154" s="724" t="s">
        <v>212</v>
      </c>
      <c r="D154" s="725"/>
      <c r="E154" s="724"/>
      <c r="F154" s="726"/>
      <c r="G154" s="726"/>
      <c r="H154" s="726"/>
      <c r="I154" s="726"/>
      <c r="J154" s="726"/>
      <c r="K154" s="726"/>
      <c r="L154" s="726"/>
      <c r="M154" s="726"/>
      <c r="N154" s="726"/>
      <c r="O154" s="727"/>
      <c r="P154" s="725"/>
      <c r="Q154" s="725"/>
      <c r="R154" s="726"/>
      <c r="S154" s="726"/>
      <c r="T154" s="726"/>
      <c r="U154" s="724"/>
      <c r="V154" s="728"/>
    </row>
    <row r="155" spans="1:22" s="474" customFormat="1">
      <c r="A155" s="723"/>
      <c r="B155" s="724">
        <v>42</v>
      </c>
      <c r="C155" s="724" t="s">
        <v>213</v>
      </c>
      <c r="D155" s="725"/>
      <c r="E155" s="724"/>
      <c r="F155" s="726"/>
      <c r="G155" s="726"/>
      <c r="H155" s="726"/>
      <c r="I155" s="726"/>
      <c r="J155" s="726"/>
      <c r="K155" s="726"/>
      <c r="L155" s="726"/>
      <c r="M155" s="726"/>
      <c r="N155" s="726"/>
      <c r="O155" s="727"/>
      <c r="P155" s="725"/>
      <c r="Q155" s="725"/>
      <c r="R155" s="726"/>
      <c r="S155" s="726"/>
      <c r="T155" s="726"/>
      <c r="U155" s="724"/>
      <c r="V155" s="728"/>
    </row>
    <row r="156" spans="1:22" s="474" customFormat="1">
      <c r="A156" s="723"/>
      <c r="B156" s="724">
        <v>43</v>
      </c>
      <c r="C156" s="724" t="s">
        <v>214</v>
      </c>
      <c r="D156" s="725"/>
      <c r="E156" s="724"/>
      <c r="F156" s="726"/>
      <c r="G156" s="726"/>
      <c r="H156" s="726"/>
      <c r="I156" s="726"/>
      <c r="J156" s="726"/>
      <c r="K156" s="726"/>
      <c r="L156" s="726"/>
      <c r="M156" s="726"/>
      <c r="N156" s="726"/>
      <c r="O156" s="727"/>
      <c r="P156" s="725"/>
      <c r="Q156" s="725"/>
      <c r="R156" s="726"/>
      <c r="S156" s="726"/>
      <c r="T156" s="726"/>
      <c r="U156" s="724"/>
      <c r="V156" s="728"/>
    </row>
    <row r="157" spans="1:22" s="474" customFormat="1">
      <c r="A157" s="723"/>
      <c r="B157" s="724">
        <v>44</v>
      </c>
      <c r="C157" s="724" t="s">
        <v>215</v>
      </c>
      <c r="D157" s="725"/>
      <c r="E157" s="724"/>
      <c r="F157" s="726"/>
      <c r="G157" s="726"/>
      <c r="H157" s="726"/>
      <c r="I157" s="726"/>
      <c r="J157" s="726"/>
      <c r="K157" s="726"/>
      <c r="L157" s="726"/>
      <c r="M157" s="726"/>
      <c r="N157" s="726"/>
      <c r="O157" s="727"/>
      <c r="P157" s="725"/>
      <c r="Q157" s="725"/>
      <c r="R157" s="726"/>
      <c r="S157" s="726"/>
      <c r="T157" s="726"/>
      <c r="U157" s="724"/>
      <c r="V157" s="728"/>
    </row>
    <row r="158" spans="1:22" s="474" customFormat="1">
      <c r="A158" s="723"/>
      <c r="B158" s="724">
        <v>45</v>
      </c>
      <c r="C158" s="724" t="s">
        <v>216</v>
      </c>
      <c r="D158" s="725"/>
      <c r="E158" s="724"/>
      <c r="F158" s="726"/>
      <c r="G158" s="726"/>
      <c r="H158" s="726"/>
      <c r="I158" s="726"/>
      <c r="J158" s="726"/>
      <c r="K158" s="726"/>
      <c r="L158" s="726"/>
      <c r="M158" s="726"/>
      <c r="N158" s="726"/>
      <c r="O158" s="727"/>
      <c r="P158" s="725"/>
      <c r="Q158" s="725"/>
      <c r="R158" s="726"/>
      <c r="S158" s="726"/>
      <c r="T158" s="726"/>
      <c r="U158" s="724"/>
      <c r="V158" s="728"/>
    </row>
    <row r="159" spans="1:22" s="474" customFormat="1">
      <c r="A159" s="723"/>
      <c r="B159" s="724">
        <v>46</v>
      </c>
      <c r="C159" s="724" t="s">
        <v>217</v>
      </c>
      <c r="D159" s="725"/>
      <c r="E159" s="724"/>
      <c r="F159" s="726"/>
      <c r="G159" s="726"/>
      <c r="H159" s="726"/>
      <c r="I159" s="726"/>
      <c r="J159" s="726"/>
      <c r="K159" s="726"/>
      <c r="L159" s="726"/>
      <c r="M159" s="726"/>
      <c r="N159" s="726"/>
      <c r="O159" s="727"/>
      <c r="P159" s="725"/>
      <c r="Q159" s="725"/>
      <c r="R159" s="726"/>
      <c r="S159" s="726"/>
      <c r="T159" s="726"/>
      <c r="U159" s="724"/>
      <c r="V159" s="728"/>
    </row>
    <row r="160" spans="1:22" s="474" customFormat="1">
      <c r="A160" s="723"/>
      <c r="B160" s="724">
        <v>47</v>
      </c>
      <c r="C160" s="724" t="s">
        <v>218</v>
      </c>
      <c r="D160" s="725"/>
      <c r="E160" s="724"/>
      <c r="F160" s="726"/>
      <c r="G160" s="726"/>
      <c r="H160" s="726"/>
      <c r="I160" s="726"/>
      <c r="J160" s="726"/>
      <c r="K160" s="726"/>
      <c r="L160" s="726"/>
      <c r="M160" s="726"/>
      <c r="N160" s="726"/>
      <c r="O160" s="727"/>
      <c r="P160" s="725"/>
      <c r="Q160" s="725"/>
      <c r="R160" s="726"/>
      <c r="S160" s="726"/>
      <c r="T160" s="726"/>
      <c r="U160" s="724"/>
      <c r="V160" s="728"/>
    </row>
    <row r="161" spans="1:22" s="474" customFormat="1">
      <c r="A161" s="723"/>
      <c r="B161" s="724">
        <v>48</v>
      </c>
      <c r="C161" s="724" t="s">
        <v>219</v>
      </c>
      <c r="D161" s="725"/>
      <c r="E161" s="724"/>
      <c r="F161" s="726"/>
      <c r="G161" s="726"/>
      <c r="H161" s="726"/>
      <c r="I161" s="726"/>
      <c r="J161" s="726"/>
      <c r="K161" s="726"/>
      <c r="L161" s="726"/>
      <c r="M161" s="726"/>
      <c r="N161" s="726"/>
      <c r="O161" s="727"/>
      <c r="P161" s="725"/>
      <c r="Q161" s="725"/>
      <c r="R161" s="726"/>
      <c r="S161" s="726"/>
      <c r="T161" s="726"/>
      <c r="U161" s="724"/>
      <c r="V161" s="728"/>
    </row>
    <row r="162" spans="1:22" s="474" customFormat="1">
      <c r="A162" s="723"/>
      <c r="B162" s="724">
        <v>49</v>
      </c>
      <c r="C162" s="724" t="s">
        <v>220</v>
      </c>
      <c r="D162" s="725"/>
      <c r="E162" s="724"/>
      <c r="F162" s="726"/>
      <c r="G162" s="726"/>
      <c r="H162" s="726"/>
      <c r="I162" s="726"/>
      <c r="J162" s="726"/>
      <c r="K162" s="726"/>
      <c r="L162" s="726"/>
      <c r="M162" s="726"/>
      <c r="N162" s="726"/>
      <c r="O162" s="727"/>
      <c r="P162" s="725"/>
      <c r="Q162" s="725"/>
      <c r="R162" s="726"/>
      <c r="S162" s="726"/>
      <c r="T162" s="726"/>
      <c r="U162" s="724"/>
      <c r="V162" s="728"/>
    </row>
    <row r="163" spans="1:22" s="474" customFormat="1">
      <c r="A163" s="723"/>
      <c r="B163" s="724">
        <v>50</v>
      </c>
      <c r="C163" s="724" t="s">
        <v>221</v>
      </c>
      <c r="D163" s="725"/>
      <c r="E163" s="724"/>
      <c r="F163" s="726"/>
      <c r="G163" s="726"/>
      <c r="H163" s="726"/>
      <c r="I163" s="726"/>
      <c r="J163" s="726"/>
      <c r="K163" s="726"/>
      <c r="L163" s="726"/>
      <c r="M163" s="726"/>
      <c r="N163" s="726"/>
      <c r="O163" s="727"/>
      <c r="P163" s="725"/>
      <c r="Q163" s="725"/>
      <c r="R163" s="726"/>
      <c r="S163" s="726"/>
      <c r="T163" s="726"/>
      <c r="U163" s="724"/>
      <c r="V163" s="728"/>
    </row>
    <row r="164" spans="1:22" s="474" customFormat="1">
      <c r="A164" s="723"/>
      <c r="B164" s="724">
        <v>51</v>
      </c>
      <c r="C164" s="724" t="s">
        <v>222</v>
      </c>
      <c r="D164" s="725"/>
      <c r="E164" s="724"/>
      <c r="F164" s="726"/>
      <c r="G164" s="726"/>
      <c r="H164" s="726"/>
      <c r="I164" s="726"/>
      <c r="J164" s="726"/>
      <c r="K164" s="726"/>
      <c r="L164" s="726"/>
      <c r="M164" s="726"/>
      <c r="N164" s="726"/>
      <c r="O164" s="727"/>
      <c r="P164" s="725"/>
      <c r="Q164" s="725"/>
      <c r="R164" s="726"/>
      <c r="S164" s="726"/>
      <c r="T164" s="726"/>
      <c r="U164" s="724"/>
      <c r="V164" s="728"/>
    </row>
    <row r="165" spans="1:22" s="474" customFormat="1">
      <c r="A165" s="723"/>
      <c r="B165" s="724">
        <v>52</v>
      </c>
      <c r="C165" s="724" t="s">
        <v>223</v>
      </c>
      <c r="D165" s="725"/>
      <c r="E165" s="724"/>
      <c r="F165" s="726"/>
      <c r="G165" s="726"/>
      <c r="H165" s="726"/>
      <c r="I165" s="726"/>
      <c r="J165" s="726"/>
      <c r="K165" s="726"/>
      <c r="L165" s="726"/>
      <c r="M165" s="726"/>
      <c r="N165" s="726"/>
      <c r="O165" s="727"/>
      <c r="P165" s="725"/>
      <c r="Q165" s="725"/>
      <c r="R165" s="726"/>
      <c r="S165" s="726"/>
      <c r="T165" s="726"/>
      <c r="U165" s="724"/>
      <c r="V165" s="728"/>
    </row>
    <row r="166" spans="1:22" s="474" customFormat="1">
      <c r="A166" s="723"/>
      <c r="B166" s="724">
        <v>53</v>
      </c>
      <c r="C166" s="724" t="s">
        <v>224</v>
      </c>
      <c r="D166" s="725"/>
      <c r="E166" s="724"/>
      <c r="F166" s="726"/>
      <c r="G166" s="726"/>
      <c r="H166" s="726"/>
      <c r="I166" s="726"/>
      <c r="J166" s="726"/>
      <c r="K166" s="726"/>
      <c r="L166" s="726"/>
      <c r="M166" s="726"/>
      <c r="N166" s="726"/>
      <c r="O166" s="727"/>
      <c r="P166" s="725"/>
      <c r="Q166" s="725"/>
      <c r="R166" s="726"/>
      <c r="S166" s="726"/>
      <c r="T166" s="726"/>
      <c r="U166" s="724"/>
      <c r="V166" s="728"/>
    </row>
    <row r="167" spans="1:22" s="474" customFormat="1">
      <c r="A167" s="723"/>
      <c r="B167" s="724">
        <v>54</v>
      </c>
      <c r="C167" s="724" t="s">
        <v>225</v>
      </c>
      <c r="D167" s="725"/>
      <c r="E167" s="724"/>
      <c r="F167" s="726"/>
      <c r="G167" s="726"/>
      <c r="H167" s="726"/>
      <c r="I167" s="726"/>
      <c r="J167" s="726"/>
      <c r="K167" s="726"/>
      <c r="L167" s="726"/>
      <c r="M167" s="726"/>
      <c r="N167" s="726"/>
      <c r="O167" s="727"/>
      <c r="P167" s="725"/>
      <c r="Q167" s="725"/>
      <c r="R167" s="726"/>
      <c r="S167" s="726"/>
      <c r="T167" s="726"/>
      <c r="U167" s="724"/>
      <c r="V167" s="728"/>
    </row>
    <row r="168" spans="1:22" s="474" customFormat="1">
      <c r="A168" s="723"/>
      <c r="B168" s="724">
        <v>55</v>
      </c>
      <c r="C168" s="724" t="s">
        <v>226</v>
      </c>
      <c r="D168" s="725"/>
      <c r="E168" s="724"/>
      <c r="F168" s="726"/>
      <c r="G168" s="726"/>
      <c r="H168" s="726"/>
      <c r="I168" s="726"/>
      <c r="J168" s="726"/>
      <c r="K168" s="726"/>
      <c r="L168" s="726"/>
      <c r="M168" s="726"/>
      <c r="N168" s="726"/>
      <c r="O168" s="727"/>
      <c r="P168" s="725"/>
      <c r="Q168" s="725"/>
      <c r="R168" s="726"/>
      <c r="S168" s="726"/>
      <c r="T168" s="726"/>
      <c r="U168" s="724"/>
      <c r="V168" s="728"/>
    </row>
    <row r="169" spans="1:22" s="474" customFormat="1">
      <c r="A169" s="723"/>
      <c r="B169" s="724">
        <v>56</v>
      </c>
      <c r="C169" s="724" t="s">
        <v>227</v>
      </c>
      <c r="D169" s="725"/>
      <c r="E169" s="724"/>
      <c r="F169" s="726"/>
      <c r="G169" s="726"/>
      <c r="H169" s="726"/>
      <c r="I169" s="726"/>
      <c r="J169" s="726"/>
      <c r="K169" s="726"/>
      <c r="L169" s="726"/>
      <c r="M169" s="726"/>
      <c r="N169" s="726"/>
      <c r="O169" s="727"/>
      <c r="P169" s="725"/>
      <c r="Q169" s="725"/>
      <c r="R169" s="726"/>
      <c r="S169" s="726"/>
      <c r="T169" s="726"/>
      <c r="U169" s="724"/>
      <c r="V169" s="728"/>
    </row>
    <row r="170" spans="1:22" s="474" customFormat="1">
      <c r="A170" s="723"/>
      <c r="B170" s="724">
        <v>57</v>
      </c>
      <c r="C170" s="724" t="s">
        <v>228</v>
      </c>
      <c r="D170" s="725"/>
      <c r="E170" s="724"/>
      <c r="F170" s="726"/>
      <c r="G170" s="726"/>
      <c r="H170" s="726"/>
      <c r="I170" s="726"/>
      <c r="J170" s="726"/>
      <c r="K170" s="726"/>
      <c r="L170" s="726"/>
      <c r="M170" s="726"/>
      <c r="N170" s="726"/>
      <c r="O170" s="727"/>
      <c r="P170" s="725"/>
      <c r="Q170" s="725"/>
      <c r="R170" s="726"/>
      <c r="S170" s="726"/>
      <c r="T170" s="726"/>
      <c r="U170" s="724"/>
      <c r="V170" s="728"/>
    </row>
    <row r="171" spans="1:22" s="474" customFormat="1">
      <c r="A171" s="723"/>
      <c r="B171" s="724">
        <v>58</v>
      </c>
      <c r="C171" s="724" t="s">
        <v>229</v>
      </c>
      <c r="D171" s="725"/>
      <c r="E171" s="724"/>
      <c r="F171" s="726"/>
      <c r="G171" s="726"/>
      <c r="H171" s="726"/>
      <c r="I171" s="726"/>
      <c r="J171" s="726"/>
      <c r="K171" s="726"/>
      <c r="L171" s="726"/>
      <c r="M171" s="726"/>
      <c r="N171" s="726"/>
      <c r="O171" s="727"/>
      <c r="P171" s="725"/>
      <c r="Q171" s="725"/>
      <c r="R171" s="726"/>
      <c r="S171" s="726"/>
      <c r="T171" s="726"/>
      <c r="U171" s="724"/>
      <c r="V171" s="728"/>
    </row>
    <row r="172" spans="1:22" s="474" customFormat="1">
      <c r="A172" s="723"/>
      <c r="B172" s="724">
        <v>59</v>
      </c>
      <c r="C172" s="724" t="s">
        <v>230</v>
      </c>
      <c r="D172" s="725"/>
      <c r="E172" s="724"/>
      <c r="F172" s="726"/>
      <c r="G172" s="726"/>
      <c r="H172" s="726"/>
      <c r="I172" s="726"/>
      <c r="J172" s="726"/>
      <c r="K172" s="726"/>
      <c r="L172" s="726"/>
      <c r="M172" s="726"/>
      <c r="N172" s="726"/>
      <c r="O172" s="727"/>
      <c r="P172" s="725"/>
      <c r="Q172" s="725"/>
      <c r="R172" s="726"/>
      <c r="S172" s="726"/>
      <c r="T172" s="726"/>
      <c r="U172" s="724"/>
      <c r="V172" s="728"/>
    </row>
    <row r="173" spans="1:22" s="474" customFormat="1">
      <c r="A173" s="723"/>
      <c r="B173" s="724">
        <v>60</v>
      </c>
      <c r="C173" s="724" t="s">
        <v>231</v>
      </c>
      <c r="D173" s="725"/>
      <c r="E173" s="724"/>
      <c r="F173" s="726"/>
      <c r="G173" s="726"/>
      <c r="H173" s="726"/>
      <c r="I173" s="726"/>
      <c r="J173" s="726"/>
      <c r="K173" s="726"/>
      <c r="L173" s="726"/>
      <c r="M173" s="726"/>
      <c r="N173" s="726"/>
      <c r="O173" s="727"/>
      <c r="P173" s="725"/>
      <c r="Q173" s="725"/>
      <c r="R173" s="726"/>
      <c r="S173" s="726"/>
      <c r="T173" s="726"/>
      <c r="U173" s="724"/>
      <c r="V173" s="728"/>
    </row>
    <row r="174" spans="1:22" s="474" customFormat="1">
      <c r="A174" s="723"/>
      <c r="B174" s="724">
        <v>61</v>
      </c>
      <c r="C174" s="724" t="s">
        <v>232</v>
      </c>
      <c r="D174" s="725"/>
      <c r="E174" s="724"/>
      <c r="F174" s="726"/>
      <c r="G174" s="726"/>
      <c r="H174" s="726"/>
      <c r="I174" s="726"/>
      <c r="J174" s="726"/>
      <c r="K174" s="726"/>
      <c r="L174" s="726"/>
      <c r="M174" s="726"/>
      <c r="N174" s="726"/>
      <c r="O174" s="727"/>
      <c r="P174" s="725"/>
      <c r="Q174" s="725"/>
      <c r="R174" s="726"/>
      <c r="S174" s="726"/>
      <c r="T174" s="726"/>
      <c r="U174" s="724"/>
      <c r="V174" s="728"/>
    </row>
    <row r="175" spans="1:22" s="474" customFormat="1">
      <c r="A175" s="723"/>
      <c r="B175" s="724">
        <v>62</v>
      </c>
      <c r="C175" s="724" t="s">
        <v>233</v>
      </c>
      <c r="D175" s="725"/>
      <c r="E175" s="724"/>
      <c r="F175" s="726"/>
      <c r="G175" s="726"/>
      <c r="H175" s="726"/>
      <c r="I175" s="726"/>
      <c r="J175" s="726"/>
      <c r="K175" s="726"/>
      <c r="L175" s="726"/>
      <c r="M175" s="726"/>
      <c r="N175" s="726"/>
      <c r="O175" s="727"/>
      <c r="P175" s="725"/>
      <c r="Q175" s="725"/>
      <c r="R175" s="726"/>
      <c r="S175" s="726"/>
      <c r="T175" s="726"/>
      <c r="U175" s="724"/>
      <c r="V175" s="728"/>
    </row>
    <row r="176" spans="1:22" s="474" customFormat="1">
      <c r="A176" s="723"/>
      <c r="B176" s="724">
        <v>63</v>
      </c>
      <c r="C176" s="724" t="s">
        <v>234</v>
      </c>
      <c r="D176" s="725"/>
      <c r="E176" s="724"/>
      <c r="F176" s="726"/>
      <c r="G176" s="726"/>
      <c r="H176" s="726"/>
      <c r="I176" s="726"/>
      <c r="J176" s="726"/>
      <c r="K176" s="726"/>
      <c r="L176" s="726"/>
      <c r="M176" s="726"/>
      <c r="N176" s="726"/>
      <c r="O176" s="727"/>
      <c r="P176" s="725"/>
      <c r="Q176" s="725"/>
      <c r="R176" s="726"/>
      <c r="S176" s="726"/>
      <c r="T176" s="726"/>
      <c r="U176" s="724"/>
      <c r="V176" s="728"/>
    </row>
    <row r="177" spans="1:22" s="474" customFormat="1">
      <c r="A177" s="723"/>
      <c r="B177" s="724">
        <v>64</v>
      </c>
      <c r="C177" s="724" t="s">
        <v>48</v>
      </c>
      <c r="D177" s="725"/>
      <c r="E177" s="724"/>
      <c r="F177" s="726"/>
      <c r="G177" s="726"/>
      <c r="H177" s="726"/>
      <c r="I177" s="726"/>
      <c r="J177" s="726"/>
      <c r="K177" s="726"/>
      <c r="L177" s="726"/>
      <c r="M177" s="726"/>
      <c r="N177" s="726"/>
      <c r="O177" s="727"/>
      <c r="P177" s="725"/>
      <c r="Q177" s="725"/>
      <c r="R177" s="726"/>
      <c r="S177" s="726"/>
      <c r="T177" s="726"/>
      <c r="U177" s="724"/>
      <c r="V177" s="728"/>
    </row>
    <row r="178" spans="1:22" s="474" customFormat="1">
      <c r="A178" s="723"/>
      <c r="B178" s="724">
        <v>65</v>
      </c>
      <c r="C178" s="724" t="s">
        <v>235</v>
      </c>
      <c r="D178" s="725"/>
      <c r="E178" s="724"/>
      <c r="F178" s="726"/>
      <c r="G178" s="726"/>
      <c r="H178" s="726"/>
      <c r="I178" s="726"/>
      <c r="J178" s="726"/>
      <c r="K178" s="726"/>
      <c r="L178" s="726"/>
      <c r="M178" s="726"/>
      <c r="N178" s="726"/>
      <c r="O178" s="727"/>
      <c r="P178" s="725"/>
      <c r="Q178" s="725"/>
      <c r="R178" s="726"/>
      <c r="S178" s="726"/>
      <c r="T178" s="726"/>
      <c r="U178" s="724"/>
      <c r="V178" s="728"/>
    </row>
    <row r="179" spans="1:22" s="474" customFormat="1">
      <c r="A179" s="723"/>
      <c r="B179" s="724">
        <v>66</v>
      </c>
      <c r="C179" s="724" t="s">
        <v>236</v>
      </c>
      <c r="D179" s="725"/>
      <c r="E179" s="724"/>
      <c r="F179" s="726"/>
      <c r="G179" s="726"/>
      <c r="H179" s="726"/>
      <c r="I179" s="726"/>
      <c r="J179" s="726"/>
      <c r="K179" s="726"/>
      <c r="L179" s="726"/>
      <c r="M179" s="726"/>
      <c r="N179" s="726"/>
      <c r="O179" s="727"/>
      <c r="P179" s="725"/>
      <c r="Q179" s="725"/>
      <c r="R179" s="726"/>
      <c r="S179" s="726"/>
      <c r="T179" s="726"/>
      <c r="U179" s="724"/>
      <c r="V179" s="728"/>
    </row>
    <row r="180" spans="1:22" s="474" customFormat="1">
      <c r="A180" s="723"/>
      <c r="B180" s="724">
        <v>67</v>
      </c>
      <c r="C180" s="724" t="s">
        <v>47</v>
      </c>
      <c r="D180" s="725"/>
      <c r="E180" s="724"/>
      <c r="F180" s="726"/>
      <c r="G180" s="726"/>
      <c r="H180" s="726"/>
      <c r="I180" s="726"/>
      <c r="J180" s="726"/>
      <c r="K180" s="726"/>
      <c r="L180" s="726"/>
      <c r="M180" s="726"/>
      <c r="N180" s="726"/>
      <c r="O180" s="727"/>
      <c r="P180" s="725"/>
      <c r="Q180" s="725"/>
      <c r="R180" s="726"/>
      <c r="S180" s="726"/>
      <c r="T180" s="726"/>
      <c r="U180" s="724"/>
      <c r="V180" s="728"/>
    </row>
    <row r="181" spans="1:22" s="474" customFormat="1">
      <c r="A181" s="723"/>
      <c r="B181" s="724">
        <v>68</v>
      </c>
      <c r="C181" s="724" t="s">
        <v>237</v>
      </c>
      <c r="D181" s="725"/>
      <c r="E181" s="724"/>
      <c r="F181" s="726"/>
      <c r="G181" s="726"/>
      <c r="H181" s="726"/>
      <c r="I181" s="726"/>
      <c r="J181" s="726"/>
      <c r="K181" s="726"/>
      <c r="L181" s="726"/>
      <c r="M181" s="726"/>
      <c r="N181" s="726"/>
      <c r="O181" s="727"/>
      <c r="P181" s="725"/>
      <c r="Q181" s="725"/>
      <c r="R181" s="726"/>
      <c r="S181" s="726"/>
      <c r="T181" s="726"/>
      <c r="U181" s="724"/>
      <c r="V181" s="728"/>
    </row>
    <row r="182" spans="1:22" s="474" customFormat="1">
      <c r="A182" s="723"/>
      <c r="B182" s="724">
        <v>69</v>
      </c>
      <c r="C182" s="724" t="s">
        <v>238</v>
      </c>
      <c r="D182" s="725"/>
      <c r="E182" s="724"/>
      <c r="F182" s="726"/>
      <c r="G182" s="726"/>
      <c r="H182" s="726"/>
      <c r="I182" s="726"/>
      <c r="J182" s="726"/>
      <c r="K182" s="726"/>
      <c r="L182" s="726"/>
      <c r="M182" s="726"/>
      <c r="N182" s="726"/>
      <c r="O182" s="727"/>
      <c r="P182" s="725"/>
      <c r="Q182" s="725"/>
      <c r="R182" s="726"/>
      <c r="S182" s="726"/>
      <c r="T182" s="726"/>
      <c r="U182" s="724"/>
      <c r="V182" s="728"/>
    </row>
    <row r="183" spans="1:22" s="474" customFormat="1">
      <c r="A183" s="723"/>
      <c r="B183" s="724">
        <v>70</v>
      </c>
      <c r="C183" s="724" t="s">
        <v>239</v>
      </c>
      <c r="D183" s="725"/>
      <c r="E183" s="724"/>
      <c r="F183" s="726"/>
      <c r="G183" s="726"/>
      <c r="H183" s="726"/>
      <c r="I183" s="726"/>
      <c r="J183" s="726"/>
      <c r="K183" s="726"/>
      <c r="L183" s="726"/>
      <c r="M183" s="726"/>
      <c r="N183" s="726"/>
      <c r="O183" s="727"/>
      <c r="P183" s="725"/>
      <c r="Q183" s="725"/>
      <c r="R183" s="726"/>
      <c r="S183" s="726"/>
      <c r="T183" s="726"/>
      <c r="U183" s="724"/>
      <c r="V183" s="728"/>
    </row>
    <row r="184" spans="1:22" s="474" customFormat="1">
      <c r="A184" s="723"/>
      <c r="B184" s="724">
        <v>71</v>
      </c>
      <c r="C184" s="724" t="s">
        <v>240</v>
      </c>
      <c r="D184" s="725"/>
      <c r="E184" s="724"/>
      <c r="F184" s="726"/>
      <c r="G184" s="726"/>
      <c r="H184" s="726"/>
      <c r="I184" s="726"/>
      <c r="J184" s="726"/>
      <c r="K184" s="726"/>
      <c r="L184" s="726"/>
      <c r="M184" s="726"/>
      <c r="N184" s="726"/>
      <c r="O184" s="727"/>
      <c r="P184" s="725"/>
      <c r="Q184" s="725"/>
      <c r="R184" s="726"/>
      <c r="S184" s="726"/>
      <c r="T184" s="726"/>
      <c r="U184" s="724"/>
      <c r="V184" s="728"/>
    </row>
    <row r="185" spans="1:22" s="474" customFormat="1">
      <c r="A185" s="723"/>
      <c r="B185" s="724">
        <v>72</v>
      </c>
      <c r="C185" s="724" t="s">
        <v>241</v>
      </c>
      <c r="D185" s="725"/>
      <c r="E185" s="724"/>
      <c r="F185" s="726"/>
      <c r="G185" s="726"/>
      <c r="H185" s="726"/>
      <c r="I185" s="726"/>
      <c r="J185" s="726"/>
      <c r="K185" s="726"/>
      <c r="L185" s="726"/>
      <c r="M185" s="726"/>
      <c r="N185" s="726"/>
      <c r="O185" s="727"/>
      <c r="P185" s="725"/>
      <c r="Q185" s="725"/>
      <c r="R185" s="726"/>
      <c r="S185" s="726"/>
      <c r="T185" s="726"/>
      <c r="U185" s="724"/>
      <c r="V185" s="728"/>
    </row>
    <row r="186" spans="1:22" s="474" customFormat="1">
      <c r="A186" s="723"/>
      <c r="B186" s="724">
        <v>73</v>
      </c>
      <c r="C186" s="724" t="s">
        <v>242</v>
      </c>
      <c r="D186" s="725"/>
      <c r="E186" s="724"/>
      <c r="F186" s="726"/>
      <c r="G186" s="726"/>
      <c r="H186" s="726"/>
      <c r="I186" s="726"/>
      <c r="J186" s="726"/>
      <c r="K186" s="726"/>
      <c r="L186" s="726"/>
      <c r="M186" s="726"/>
      <c r="N186" s="726"/>
      <c r="O186" s="727"/>
      <c r="P186" s="725"/>
      <c r="Q186" s="725"/>
      <c r="R186" s="726"/>
      <c r="S186" s="726"/>
      <c r="T186" s="726"/>
      <c r="U186" s="724"/>
      <c r="V186" s="728"/>
    </row>
    <row r="187" spans="1:22" s="474" customFormat="1">
      <c r="A187" s="723"/>
      <c r="B187" s="724">
        <v>74</v>
      </c>
      <c r="C187" s="724" t="s">
        <v>243</v>
      </c>
      <c r="D187" s="725"/>
      <c r="E187" s="724"/>
      <c r="F187" s="726"/>
      <c r="G187" s="726"/>
      <c r="H187" s="726"/>
      <c r="I187" s="726"/>
      <c r="J187" s="726"/>
      <c r="K187" s="726"/>
      <c r="L187" s="726"/>
      <c r="M187" s="726"/>
      <c r="N187" s="726"/>
      <c r="O187" s="727"/>
      <c r="P187" s="725"/>
      <c r="Q187" s="725"/>
      <c r="R187" s="726"/>
      <c r="S187" s="726"/>
      <c r="T187" s="726"/>
      <c r="U187" s="724"/>
      <c r="V187" s="728"/>
    </row>
    <row r="188" spans="1:22" s="474" customFormat="1">
      <c r="A188" s="723"/>
      <c r="B188" s="724">
        <v>75</v>
      </c>
      <c r="C188" s="724" t="s">
        <v>244</v>
      </c>
      <c r="D188" s="725"/>
      <c r="E188" s="724"/>
      <c r="F188" s="726"/>
      <c r="G188" s="726"/>
      <c r="H188" s="726"/>
      <c r="I188" s="726"/>
      <c r="J188" s="726"/>
      <c r="K188" s="726"/>
      <c r="L188" s="726"/>
      <c r="M188" s="726"/>
      <c r="N188" s="726"/>
      <c r="O188" s="727"/>
      <c r="P188" s="725"/>
      <c r="Q188" s="725"/>
      <c r="R188" s="726"/>
      <c r="S188" s="726"/>
      <c r="T188" s="726"/>
      <c r="U188" s="724"/>
      <c r="V188" s="728"/>
    </row>
    <row r="189" spans="1:22" s="474" customFormat="1">
      <c r="A189" s="723"/>
      <c r="B189" s="724">
        <v>76</v>
      </c>
      <c r="C189" s="724" t="s">
        <v>245</v>
      </c>
      <c r="D189" s="725"/>
      <c r="E189" s="724"/>
      <c r="F189" s="726"/>
      <c r="G189" s="726"/>
      <c r="H189" s="726"/>
      <c r="I189" s="726"/>
      <c r="J189" s="726"/>
      <c r="K189" s="726"/>
      <c r="L189" s="726"/>
      <c r="M189" s="726"/>
      <c r="N189" s="726"/>
      <c r="O189" s="727"/>
      <c r="P189" s="725"/>
      <c r="Q189" s="725"/>
      <c r="R189" s="726"/>
      <c r="S189" s="726"/>
      <c r="T189" s="726"/>
      <c r="U189" s="724"/>
      <c r="V189" s="728"/>
    </row>
    <row r="190" spans="1:22" s="474" customFormat="1">
      <c r="A190" s="723"/>
      <c r="B190" s="724">
        <v>77</v>
      </c>
      <c r="C190" s="724" t="s">
        <v>246</v>
      </c>
      <c r="D190" s="725"/>
      <c r="E190" s="724"/>
      <c r="F190" s="726"/>
      <c r="G190" s="726"/>
      <c r="H190" s="726"/>
      <c r="I190" s="726"/>
      <c r="J190" s="726"/>
      <c r="K190" s="726"/>
      <c r="L190" s="726"/>
      <c r="M190" s="726"/>
      <c r="N190" s="726"/>
      <c r="O190" s="727"/>
      <c r="P190" s="725"/>
      <c r="Q190" s="725"/>
      <c r="R190" s="726"/>
      <c r="S190" s="726"/>
      <c r="T190" s="726"/>
      <c r="U190" s="724"/>
      <c r="V190" s="728"/>
    </row>
    <row r="191" spans="1:22" s="474" customFormat="1">
      <c r="A191" s="723"/>
      <c r="B191" s="724">
        <v>78</v>
      </c>
      <c r="C191" s="724" t="s">
        <v>247</v>
      </c>
      <c r="D191" s="725"/>
      <c r="E191" s="724"/>
      <c r="F191" s="726"/>
      <c r="G191" s="726"/>
      <c r="H191" s="726"/>
      <c r="I191" s="726"/>
      <c r="J191" s="726"/>
      <c r="K191" s="726"/>
      <c r="L191" s="726"/>
      <c r="M191" s="726"/>
      <c r="N191" s="726"/>
      <c r="O191" s="727"/>
      <c r="P191" s="725"/>
      <c r="Q191" s="725"/>
      <c r="R191" s="726"/>
      <c r="S191" s="726"/>
      <c r="T191" s="726"/>
      <c r="U191" s="724"/>
      <c r="V191" s="728"/>
    </row>
    <row r="192" spans="1:22" s="474" customFormat="1">
      <c r="A192" s="723"/>
      <c r="B192" s="724">
        <v>79</v>
      </c>
      <c r="C192" s="724" t="s">
        <v>248</v>
      </c>
      <c r="D192" s="725"/>
      <c r="E192" s="724"/>
      <c r="F192" s="726"/>
      <c r="G192" s="726"/>
      <c r="H192" s="726"/>
      <c r="I192" s="726"/>
      <c r="J192" s="726"/>
      <c r="K192" s="726"/>
      <c r="L192" s="726"/>
      <c r="M192" s="726"/>
      <c r="N192" s="726"/>
      <c r="O192" s="727"/>
      <c r="P192" s="725"/>
      <c r="Q192" s="725"/>
      <c r="R192" s="726"/>
      <c r="S192" s="726"/>
      <c r="T192" s="726"/>
      <c r="U192" s="724"/>
      <c r="V192" s="728"/>
    </row>
    <row r="193" spans="1:22" s="474" customFormat="1">
      <c r="A193" s="723"/>
      <c r="B193" s="724">
        <v>80</v>
      </c>
      <c r="C193" s="724" t="s">
        <v>249</v>
      </c>
      <c r="D193" s="725"/>
      <c r="E193" s="724"/>
      <c r="F193" s="726"/>
      <c r="G193" s="726"/>
      <c r="H193" s="726"/>
      <c r="I193" s="726"/>
      <c r="J193" s="726"/>
      <c r="K193" s="726"/>
      <c r="L193" s="726"/>
      <c r="M193" s="726"/>
      <c r="N193" s="726"/>
      <c r="O193" s="727"/>
      <c r="P193" s="725"/>
      <c r="Q193" s="725"/>
      <c r="R193" s="726"/>
      <c r="S193" s="726"/>
      <c r="T193" s="726"/>
      <c r="U193" s="724"/>
      <c r="V193" s="728"/>
    </row>
    <row r="194" spans="1:22" s="474" customFormat="1">
      <c r="A194" s="723"/>
      <c r="B194" s="724">
        <v>81</v>
      </c>
      <c r="C194" s="724" t="s">
        <v>250</v>
      </c>
      <c r="D194" s="725"/>
      <c r="E194" s="724"/>
      <c r="F194" s="726"/>
      <c r="G194" s="726"/>
      <c r="H194" s="726"/>
      <c r="I194" s="726"/>
      <c r="J194" s="726"/>
      <c r="K194" s="726"/>
      <c r="L194" s="726"/>
      <c r="M194" s="726"/>
      <c r="N194" s="726"/>
      <c r="O194" s="727"/>
      <c r="P194" s="725"/>
      <c r="Q194" s="725"/>
      <c r="R194" s="726"/>
      <c r="S194" s="726"/>
      <c r="T194" s="726"/>
      <c r="U194" s="724"/>
      <c r="V194" s="728"/>
    </row>
    <row r="195" spans="1:22" s="474" customFormat="1">
      <c r="A195" s="723"/>
      <c r="B195" s="724">
        <v>82</v>
      </c>
      <c r="C195" s="724" t="s">
        <v>251</v>
      </c>
      <c r="D195" s="725"/>
      <c r="E195" s="724"/>
      <c r="F195" s="726"/>
      <c r="G195" s="726"/>
      <c r="H195" s="726"/>
      <c r="I195" s="726"/>
      <c r="J195" s="726"/>
      <c r="K195" s="726"/>
      <c r="L195" s="726"/>
      <c r="M195" s="726"/>
      <c r="N195" s="726"/>
      <c r="O195" s="727"/>
      <c r="P195" s="725"/>
      <c r="Q195" s="725"/>
      <c r="R195" s="726"/>
      <c r="S195" s="726"/>
      <c r="T195" s="726"/>
      <c r="U195" s="724"/>
      <c r="V195" s="728"/>
    </row>
    <row r="196" spans="1:22" s="474" customFormat="1">
      <c r="A196" s="723"/>
      <c r="B196" s="724">
        <v>83</v>
      </c>
      <c r="C196" s="724" t="s">
        <v>252</v>
      </c>
      <c r="D196" s="725"/>
      <c r="E196" s="724"/>
      <c r="F196" s="726"/>
      <c r="G196" s="726"/>
      <c r="H196" s="726"/>
      <c r="I196" s="726"/>
      <c r="J196" s="726"/>
      <c r="K196" s="726"/>
      <c r="L196" s="726"/>
      <c r="M196" s="726"/>
      <c r="N196" s="726"/>
      <c r="O196" s="727"/>
      <c r="P196" s="725"/>
      <c r="Q196" s="725"/>
      <c r="R196" s="726"/>
      <c r="S196" s="726"/>
      <c r="T196" s="726"/>
      <c r="U196" s="724"/>
      <c r="V196" s="728"/>
    </row>
    <row r="197" spans="1:22" s="474" customFormat="1">
      <c r="A197" s="723"/>
      <c r="B197" s="724">
        <v>84</v>
      </c>
      <c r="C197" s="724" t="s">
        <v>253</v>
      </c>
      <c r="D197" s="725"/>
      <c r="E197" s="724"/>
      <c r="F197" s="726"/>
      <c r="G197" s="726"/>
      <c r="H197" s="726"/>
      <c r="I197" s="726"/>
      <c r="J197" s="726"/>
      <c r="K197" s="726"/>
      <c r="L197" s="726"/>
      <c r="M197" s="726"/>
      <c r="N197" s="726"/>
      <c r="O197" s="727"/>
      <c r="P197" s="725"/>
      <c r="Q197" s="725"/>
      <c r="R197" s="726"/>
      <c r="S197" s="726"/>
      <c r="T197" s="726"/>
      <c r="U197" s="724"/>
      <c r="V197" s="728"/>
    </row>
    <row r="198" spans="1:22" s="474" customFormat="1">
      <c r="A198" s="723"/>
      <c r="B198" s="724">
        <v>85</v>
      </c>
      <c r="C198" s="724" t="s">
        <v>254</v>
      </c>
      <c r="D198" s="725"/>
      <c r="E198" s="724"/>
      <c r="F198" s="726"/>
      <c r="G198" s="726"/>
      <c r="H198" s="726"/>
      <c r="I198" s="726"/>
      <c r="J198" s="726"/>
      <c r="K198" s="726"/>
      <c r="L198" s="726"/>
      <c r="M198" s="726"/>
      <c r="N198" s="726"/>
      <c r="O198" s="727"/>
      <c r="P198" s="725"/>
      <c r="Q198" s="725"/>
      <c r="R198" s="726"/>
      <c r="S198" s="726"/>
      <c r="T198" s="726"/>
      <c r="U198" s="724"/>
      <c r="V198" s="728"/>
    </row>
    <row r="199" spans="1:22" s="474" customFormat="1">
      <c r="A199" s="723"/>
      <c r="B199" s="724">
        <v>86</v>
      </c>
      <c r="C199" s="724" t="s">
        <v>255</v>
      </c>
      <c r="D199" s="725"/>
      <c r="E199" s="724"/>
      <c r="F199" s="726"/>
      <c r="G199" s="726"/>
      <c r="H199" s="726"/>
      <c r="I199" s="726"/>
      <c r="J199" s="726"/>
      <c r="K199" s="726"/>
      <c r="L199" s="726"/>
      <c r="M199" s="726"/>
      <c r="N199" s="726"/>
      <c r="O199" s="727"/>
      <c r="P199" s="725"/>
      <c r="Q199" s="725"/>
      <c r="R199" s="726"/>
      <c r="S199" s="726"/>
      <c r="T199" s="726"/>
      <c r="U199" s="724"/>
      <c r="V199" s="728"/>
    </row>
    <row r="200" spans="1:22" s="474" customFormat="1">
      <c r="A200" s="723"/>
      <c r="B200" s="724">
        <v>87</v>
      </c>
      <c r="C200" s="724" t="s">
        <v>256</v>
      </c>
      <c r="D200" s="725"/>
      <c r="E200" s="724"/>
      <c r="F200" s="726"/>
      <c r="G200" s="726"/>
      <c r="H200" s="726"/>
      <c r="I200" s="726"/>
      <c r="J200" s="726"/>
      <c r="K200" s="726"/>
      <c r="L200" s="726"/>
      <c r="M200" s="726"/>
      <c r="N200" s="726"/>
      <c r="O200" s="727"/>
      <c r="P200" s="725"/>
      <c r="Q200" s="725"/>
      <c r="R200" s="726"/>
      <c r="S200" s="726"/>
      <c r="T200" s="726"/>
      <c r="U200" s="724"/>
      <c r="V200" s="728"/>
    </row>
    <row r="201" spans="1:22" s="474" customFormat="1">
      <c r="A201" s="723"/>
      <c r="B201" s="724">
        <v>88</v>
      </c>
      <c r="C201" s="724" t="s">
        <v>257</v>
      </c>
      <c r="D201" s="725"/>
      <c r="E201" s="724"/>
      <c r="F201" s="726"/>
      <c r="G201" s="726"/>
      <c r="H201" s="726"/>
      <c r="I201" s="726"/>
      <c r="J201" s="726"/>
      <c r="K201" s="726"/>
      <c r="L201" s="726"/>
      <c r="M201" s="726"/>
      <c r="N201" s="726"/>
      <c r="O201" s="727"/>
      <c r="P201" s="725"/>
      <c r="Q201" s="725"/>
      <c r="R201" s="726"/>
      <c r="S201" s="726"/>
      <c r="T201" s="726"/>
      <c r="U201" s="724"/>
      <c r="V201" s="728"/>
    </row>
    <row r="202" spans="1:22" s="474" customFormat="1">
      <c r="A202" s="723"/>
      <c r="B202" s="724">
        <v>89</v>
      </c>
      <c r="C202" s="724" t="s">
        <v>258</v>
      </c>
      <c r="D202" s="725"/>
      <c r="E202" s="724"/>
      <c r="F202" s="726"/>
      <c r="G202" s="726"/>
      <c r="H202" s="726"/>
      <c r="I202" s="726"/>
      <c r="J202" s="726"/>
      <c r="K202" s="726"/>
      <c r="L202" s="726"/>
      <c r="M202" s="726"/>
      <c r="N202" s="726"/>
      <c r="O202" s="727"/>
      <c r="P202" s="725"/>
      <c r="Q202" s="725"/>
      <c r="R202" s="726"/>
      <c r="S202" s="726"/>
      <c r="T202" s="726"/>
      <c r="U202" s="724"/>
      <c r="V202" s="728"/>
    </row>
    <row r="203" spans="1:22" s="474" customFormat="1">
      <c r="A203" s="723"/>
      <c r="B203" s="724">
        <v>90</v>
      </c>
      <c r="C203" s="724" t="s">
        <v>259</v>
      </c>
      <c r="D203" s="725"/>
      <c r="E203" s="724"/>
      <c r="F203" s="726"/>
      <c r="G203" s="726"/>
      <c r="H203" s="726"/>
      <c r="I203" s="726"/>
      <c r="J203" s="726"/>
      <c r="K203" s="726"/>
      <c r="L203" s="726"/>
      <c r="M203" s="726"/>
      <c r="N203" s="726"/>
      <c r="O203" s="727"/>
      <c r="P203" s="725"/>
      <c r="Q203" s="725"/>
      <c r="R203" s="726"/>
      <c r="S203" s="726"/>
      <c r="T203" s="726"/>
      <c r="U203" s="724"/>
      <c r="V203" s="728"/>
    </row>
    <row r="204" spans="1:22" s="474" customFormat="1">
      <c r="A204" s="723"/>
      <c r="B204" s="724">
        <v>91</v>
      </c>
      <c r="C204" s="724" t="s">
        <v>260</v>
      </c>
      <c r="D204" s="725"/>
      <c r="E204" s="724"/>
      <c r="F204" s="726"/>
      <c r="G204" s="726"/>
      <c r="H204" s="726"/>
      <c r="I204" s="726"/>
      <c r="J204" s="726"/>
      <c r="K204" s="726"/>
      <c r="L204" s="726"/>
      <c r="M204" s="726"/>
      <c r="N204" s="726"/>
      <c r="O204" s="727"/>
      <c r="P204" s="725"/>
      <c r="Q204" s="725"/>
      <c r="R204" s="726"/>
      <c r="S204" s="726"/>
      <c r="T204" s="726"/>
      <c r="U204" s="724"/>
      <c r="V204" s="728"/>
    </row>
    <row r="205" spans="1:22" s="474" customFormat="1">
      <c r="A205" s="723"/>
      <c r="B205" s="724">
        <v>92</v>
      </c>
      <c r="C205" s="724" t="s">
        <v>261</v>
      </c>
      <c r="D205" s="725"/>
      <c r="E205" s="724"/>
      <c r="F205" s="726"/>
      <c r="G205" s="726"/>
      <c r="H205" s="726"/>
      <c r="I205" s="726"/>
      <c r="J205" s="726"/>
      <c r="K205" s="726"/>
      <c r="L205" s="726"/>
      <c r="M205" s="726"/>
      <c r="N205" s="726"/>
      <c r="O205" s="727"/>
      <c r="P205" s="725"/>
      <c r="Q205" s="725"/>
      <c r="R205" s="726"/>
      <c r="S205" s="726"/>
      <c r="T205" s="726"/>
      <c r="U205" s="724"/>
      <c r="V205" s="728"/>
    </row>
    <row r="206" spans="1:22" s="474" customFormat="1">
      <c r="A206" s="723"/>
      <c r="B206" s="724">
        <v>93</v>
      </c>
      <c r="C206" s="724" t="s">
        <v>262</v>
      </c>
      <c r="D206" s="725"/>
      <c r="E206" s="724"/>
      <c r="F206" s="726"/>
      <c r="G206" s="726"/>
      <c r="H206" s="726"/>
      <c r="I206" s="726"/>
      <c r="J206" s="726"/>
      <c r="K206" s="726"/>
      <c r="L206" s="726"/>
      <c r="M206" s="726"/>
      <c r="N206" s="726"/>
      <c r="O206" s="727"/>
      <c r="P206" s="725"/>
      <c r="Q206" s="725"/>
      <c r="R206" s="726"/>
      <c r="S206" s="726"/>
      <c r="T206" s="726"/>
      <c r="U206" s="724"/>
      <c r="V206" s="728"/>
    </row>
    <row r="207" spans="1:22" s="474" customFormat="1">
      <c r="A207" s="723"/>
      <c r="B207" s="724">
        <v>94</v>
      </c>
      <c r="C207" s="724" t="s">
        <v>263</v>
      </c>
      <c r="D207" s="725"/>
      <c r="E207" s="724"/>
      <c r="F207" s="726"/>
      <c r="G207" s="726"/>
      <c r="H207" s="726"/>
      <c r="I207" s="726"/>
      <c r="J207" s="726"/>
      <c r="K207" s="726"/>
      <c r="L207" s="726"/>
      <c r="M207" s="726"/>
      <c r="N207" s="726"/>
      <c r="O207" s="727"/>
      <c r="P207" s="725"/>
      <c r="Q207" s="725"/>
      <c r="R207" s="726"/>
      <c r="S207" s="726"/>
      <c r="T207" s="726"/>
      <c r="U207" s="724"/>
      <c r="V207" s="728"/>
    </row>
    <row r="208" spans="1:22" s="474" customFormat="1">
      <c r="A208" s="723"/>
      <c r="B208" s="724">
        <v>95</v>
      </c>
      <c r="C208" s="724" t="s">
        <v>264</v>
      </c>
      <c r="D208" s="725"/>
      <c r="E208" s="724"/>
      <c r="F208" s="726"/>
      <c r="G208" s="726"/>
      <c r="H208" s="726"/>
      <c r="I208" s="726"/>
      <c r="J208" s="726"/>
      <c r="K208" s="726"/>
      <c r="L208" s="726"/>
      <c r="M208" s="726"/>
      <c r="N208" s="726"/>
      <c r="O208" s="727"/>
      <c r="P208" s="725"/>
      <c r="Q208" s="725"/>
      <c r="R208" s="726"/>
      <c r="S208" s="726"/>
      <c r="T208" s="726"/>
      <c r="U208" s="724"/>
      <c r="V208" s="728"/>
    </row>
    <row r="209" spans="1:22" s="474" customFormat="1">
      <c r="A209" s="723"/>
      <c r="B209" s="724">
        <v>96</v>
      </c>
      <c r="C209" s="724" t="s">
        <v>265</v>
      </c>
      <c r="D209" s="725"/>
      <c r="E209" s="724"/>
      <c r="F209" s="726"/>
      <c r="G209" s="726"/>
      <c r="H209" s="726"/>
      <c r="I209" s="726"/>
      <c r="J209" s="726"/>
      <c r="K209" s="726"/>
      <c r="L209" s="726"/>
      <c r="M209" s="726"/>
      <c r="N209" s="726"/>
      <c r="O209" s="727"/>
      <c r="P209" s="725"/>
      <c r="Q209" s="725"/>
      <c r="R209" s="726"/>
      <c r="S209" s="726"/>
      <c r="T209" s="726"/>
      <c r="U209" s="724"/>
      <c r="V209" s="728"/>
    </row>
    <row r="210" spans="1:22" s="474" customFormat="1">
      <c r="A210" s="723"/>
      <c r="B210" s="724">
        <v>97</v>
      </c>
      <c r="C210" s="724" t="s">
        <v>266</v>
      </c>
      <c r="D210" s="725"/>
      <c r="E210" s="724"/>
      <c r="F210" s="726"/>
      <c r="G210" s="726"/>
      <c r="H210" s="726"/>
      <c r="I210" s="726"/>
      <c r="J210" s="726"/>
      <c r="K210" s="726"/>
      <c r="L210" s="726"/>
      <c r="M210" s="726"/>
      <c r="N210" s="726"/>
      <c r="O210" s="727"/>
      <c r="P210" s="725"/>
      <c r="Q210" s="725"/>
      <c r="R210" s="726"/>
      <c r="S210" s="726"/>
      <c r="T210" s="726"/>
      <c r="U210" s="724"/>
      <c r="V210" s="728"/>
    </row>
    <row r="211" spans="1:22" s="474" customFormat="1">
      <c r="A211" s="723"/>
      <c r="B211" s="724">
        <v>98</v>
      </c>
      <c r="C211" s="724" t="s">
        <v>267</v>
      </c>
      <c r="D211" s="725"/>
      <c r="E211" s="724"/>
      <c r="F211" s="726"/>
      <c r="G211" s="726"/>
      <c r="H211" s="726"/>
      <c r="I211" s="726"/>
      <c r="J211" s="726"/>
      <c r="K211" s="726"/>
      <c r="L211" s="726"/>
      <c r="M211" s="726"/>
      <c r="N211" s="726"/>
      <c r="O211" s="727"/>
      <c r="P211" s="725"/>
      <c r="Q211" s="725"/>
      <c r="R211" s="726"/>
      <c r="S211" s="726"/>
      <c r="T211" s="726"/>
      <c r="U211" s="724"/>
      <c r="V211" s="728"/>
    </row>
    <row r="212" spans="1:22" s="474" customFormat="1">
      <c r="A212" s="723"/>
      <c r="B212" s="724">
        <v>99</v>
      </c>
      <c r="C212" s="724" t="s">
        <v>268</v>
      </c>
      <c r="D212" s="725"/>
      <c r="E212" s="724"/>
      <c r="F212" s="726"/>
      <c r="G212" s="726"/>
      <c r="H212" s="726"/>
      <c r="I212" s="726"/>
      <c r="J212" s="726"/>
      <c r="K212" s="726"/>
      <c r="L212" s="726"/>
      <c r="M212" s="726"/>
      <c r="N212" s="726"/>
      <c r="O212" s="727"/>
      <c r="P212" s="725"/>
      <c r="Q212" s="725"/>
      <c r="R212" s="726"/>
      <c r="S212" s="726"/>
      <c r="T212" s="726"/>
      <c r="U212" s="724"/>
      <c r="V212" s="728"/>
    </row>
    <row r="213" spans="1:22" s="474" customFormat="1">
      <c r="A213" s="723"/>
      <c r="B213" s="724">
        <v>100</v>
      </c>
      <c r="C213" s="724" t="s">
        <v>269</v>
      </c>
      <c r="D213" s="725"/>
      <c r="E213" s="724"/>
      <c r="F213" s="726"/>
      <c r="G213" s="726"/>
      <c r="H213" s="726"/>
      <c r="I213" s="726"/>
      <c r="J213" s="726"/>
      <c r="K213" s="726"/>
      <c r="L213" s="726"/>
      <c r="M213" s="726"/>
      <c r="N213" s="726"/>
      <c r="O213" s="727"/>
      <c r="P213" s="725"/>
      <c r="Q213" s="725"/>
      <c r="R213" s="726"/>
      <c r="S213" s="726"/>
      <c r="T213" s="726"/>
      <c r="U213" s="724"/>
      <c r="V213" s="728"/>
    </row>
    <row r="214" spans="1:22" s="474" customFormat="1">
      <c r="A214" s="723"/>
      <c r="B214" s="724">
        <v>101</v>
      </c>
      <c r="C214" s="724" t="s">
        <v>270</v>
      </c>
      <c r="D214" s="725"/>
      <c r="E214" s="724"/>
      <c r="F214" s="726"/>
      <c r="G214" s="726"/>
      <c r="H214" s="726"/>
      <c r="I214" s="726"/>
      <c r="J214" s="726"/>
      <c r="K214" s="726"/>
      <c r="L214" s="726"/>
      <c r="M214" s="726"/>
      <c r="N214" s="726"/>
      <c r="O214" s="727"/>
      <c r="P214" s="725"/>
      <c r="Q214" s="725"/>
      <c r="R214" s="726"/>
      <c r="S214" s="726"/>
      <c r="T214" s="726"/>
      <c r="U214" s="724"/>
      <c r="V214" s="728"/>
    </row>
    <row r="215" spans="1:22" s="474" customFormat="1">
      <c r="A215" s="723"/>
      <c r="B215" s="724">
        <v>102</v>
      </c>
      <c r="C215" s="724" t="s">
        <v>271</v>
      </c>
      <c r="D215" s="725"/>
      <c r="E215" s="724"/>
      <c r="F215" s="726"/>
      <c r="G215" s="726"/>
      <c r="H215" s="726"/>
      <c r="I215" s="726"/>
      <c r="J215" s="726"/>
      <c r="K215" s="726"/>
      <c r="L215" s="726"/>
      <c r="M215" s="726"/>
      <c r="N215" s="726"/>
      <c r="O215" s="727"/>
      <c r="P215" s="725"/>
      <c r="Q215" s="725"/>
      <c r="R215" s="726"/>
      <c r="S215" s="726"/>
      <c r="T215" s="726"/>
      <c r="U215" s="724"/>
      <c r="V215" s="728"/>
    </row>
    <row r="216" spans="1:22" s="474" customFormat="1">
      <c r="A216" s="723"/>
      <c r="B216" s="724">
        <v>103</v>
      </c>
      <c r="C216" s="724" t="s">
        <v>272</v>
      </c>
      <c r="D216" s="725"/>
      <c r="E216" s="724"/>
      <c r="F216" s="726"/>
      <c r="G216" s="726"/>
      <c r="H216" s="726"/>
      <c r="I216" s="726"/>
      <c r="J216" s="726"/>
      <c r="K216" s="726"/>
      <c r="L216" s="726"/>
      <c r="M216" s="726"/>
      <c r="N216" s="726"/>
      <c r="O216" s="727"/>
      <c r="P216" s="725"/>
      <c r="Q216" s="725"/>
      <c r="R216" s="726"/>
      <c r="S216" s="726"/>
      <c r="T216" s="726"/>
      <c r="U216" s="724"/>
      <c r="V216" s="728"/>
    </row>
    <row r="217" spans="1:22" s="474" customFormat="1">
      <c r="A217" s="723"/>
      <c r="B217" s="724">
        <v>104</v>
      </c>
      <c r="C217" s="724" t="s">
        <v>273</v>
      </c>
      <c r="D217" s="725"/>
      <c r="E217" s="724"/>
      <c r="F217" s="726"/>
      <c r="G217" s="726"/>
      <c r="H217" s="726"/>
      <c r="I217" s="726"/>
      <c r="J217" s="726"/>
      <c r="K217" s="726"/>
      <c r="L217" s="726"/>
      <c r="M217" s="726"/>
      <c r="N217" s="726"/>
      <c r="O217" s="727"/>
      <c r="P217" s="725"/>
      <c r="Q217" s="725"/>
      <c r="R217" s="726"/>
      <c r="S217" s="726"/>
      <c r="T217" s="726"/>
      <c r="U217" s="724"/>
      <c r="V217" s="728"/>
    </row>
    <row r="218" spans="1:22" s="474" customFormat="1">
      <c r="A218" s="723"/>
      <c r="B218" s="724">
        <v>105</v>
      </c>
      <c r="C218" s="724" t="s">
        <v>274</v>
      </c>
      <c r="D218" s="725"/>
      <c r="E218" s="724"/>
      <c r="F218" s="726"/>
      <c r="G218" s="726"/>
      <c r="H218" s="726"/>
      <c r="I218" s="726"/>
      <c r="J218" s="726"/>
      <c r="K218" s="726"/>
      <c r="L218" s="726"/>
      <c r="M218" s="726"/>
      <c r="N218" s="726"/>
      <c r="O218" s="727"/>
      <c r="P218" s="725"/>
      <c r="Q218" s="725"/>
      <c r="R218" s="726"/>
      <c r="S218" s="726"/>
      <c r="T218" s="726"/>
      <c r="U218" s="724"/>
      <c r="V218" s="728"/>
    </row>
    <row r="219" spans="1:22" s="474" customFormat="1">
      <c r="A219" s="723"/>
      <c r="B219" s="724">
        <v>106</v>
      </c>
      <c r="C219" s="724" t="s">
        <v>275</v>
      </c>
      <c r="D219" s="725"/>
      <c r="E219" s="724"/>
      <c r="F219" s="726"/>
      <c r="G219" s="726"/>
      <c r="H219" s="726"/>
      <c r="I219" s="726"/>
      <c r="J219" s="726"/>
      <c r="K219" s="726"/>
      <c r="L219" s="726"/>
      <c r="M219" s="726"/>
      <c r="N219" s="726"/>
      <c r="O219" s="727"/>
      <c r="P219" s="725"/>
      <c r="Q219" s="725"/>
      <c r="R219" s="726"/>
      <c r="S219" s="726"/>
      <c r="T219" s="726"/>
      <c r="U219" s="724"/>
      <c r="V219" s="728"/>
    </row>
    <row r="220" spans="1:22" s="474" customFormat="1">
      <c r="A220" s="723"/>
      <c r="B220" s="724">
        <v>107</v>
      </c>
      <c r="C220" s="724" t="s">
        <v>276</v>
      </c>
      <c r="D220" s="725"/>
      <c r="E220" s="724"/>
      <c r="F220" s="726"/>
      <c r="G220" s="726"/>
      <c r="H220" s="726"/>
      <c r="I220" s="726"/>
      <c r="J220" s="726"/>
      <c r="K220" s="726"/>
      <c r="L220" s="726"/>
      <c r="M220" s="726"/>
      <c r="N220" s="726"/>
      <c r="O220" s="727"/>
      <c r="P220" s="725"/>
      <c r="Q220" s="725"/>
      <c r="R220" s="726"/>
      <c r="S220" s="726"/>
      <c r="T220" s="726"/>
      <c r="U220" s="724"/>
      <c r="V220" s="728"/>
    </row>
    <row r="221" spans="1:22" s="474" customFormat="1">
      <c r="A221" s="723"/>
      <c r="B221" s="724">
        <v>108</v>
      </c>
      <c r="C221" s="724" t="s">
        <v>277</v>
      </c>
      <c r="D221" s="725"/>
      <c r="E221" s="724"/>
      <c r="F221" s="726"/>
      <c r="G221" s="726"/>
      <c r="H221" s="726"/>
      <c r="I221" s="726"/>
      <c r="J221" s="726"/>
      <c r="K221" s="726"/>
      <c r="L221" s="726"/>
      <c r="M221" s="726"/>
      <c r="N221" s="726"/>
      <c r="O221" s="727"/>
      <c r="P221" s="725"/>
      <c r="Q221" s="725"/>
      <c r="R221" s="726"/>
      <c r="S221" s="726"/>
      <c r="T221" s="726"/>
      <c r="U221" s="724"/>
      <c r="V221" s="728"/>
    </row>
    <row r="222" spans="1:22" s="474" customFormat="1">
      <c r="A222" s="723"/>
      <c r="B222" s="724">
        <v>109</v>
      </c>
      <c r="C222" s="724" t="s">
        <v>278</v>
      </c>
      <c r="D222" s="725"/>
      <c r="E222" s="724"/>
      <c r="F222" s="726"/>
      <c r="G222" s="726"/>
      <c r="H222" s="726"/>
      <c r="I222" s="726"/>
      <c r="J222" s="726"/>
      <c r="K222" s="726"/>
      <c r="L222" s="726"/>
      <c r="M222" s="726"/>
      <c r="N222" s="726"/>
      <c r="O222" s="727"/>
      <c r="P222" s="725"/>
      <c r="Q222" s="725"/>
      <c r="R222" s="726"/>
      <c r="S222" s="726"/>
      <c r="T222" s="726"/>
      <c r="U222" s="724"/>
      <c r="V222" s="728"/>
    </row>
    <row r="223" spans="1:22" s="474" customFormat="1">
      <c r="A223" s="723"/>
      <c r="B223" s="724">
        <v>110</v>
      </c>
      <c r="C223" s="724" t="s">
        <v>279</v>
      </c>
      <c r="D223" s="725"/>
      <c r="E223" s="724"/>
      <c r="F223" s="726"/>
      <c r="G223" s="726"/>
      <c r="H223" s="726"/>
      <c r="I223" s="726"/>
      <c r="J223" s="726"/>
      <c r="K223" s="726"/>
      <c r="L223" s="726"/>
      <c r="M223" s="726"/>
      <c r="N223" s="726"/>
      <c r="O223" s="727"/>
      <c r="P223" s="725"/>
      <c r="Q223" s="725"/>
      <c r="R223" s="726"/>
      <c r="S223" s="726"/>
      <c r="T223" s="726"/>
      <c r="U223" s="724"/>
      <c r="V223" s="728"/>
    </row>
    <row r="224" spans="1:22" s="474" customFormat="1">
      <c r="A224" s="723"/>
      <c r="B224" s="724">
        <v>111</v>
      </c>
      <c r="C224" s="724" t="s">
        <v>280</v>
      </c>
      <c r="D224" s="725"/>
      <c r="E224" s="724"/>
      <c r="F224" s="726"/>
      <c r="G224" s="726"/>
      <c r="H224" s="726"/>
      <c r="I224" s="726"/>
      <c r="J224" s="726"/>
      <c r="K224" s="726"/>
      <c r="L224" s="726"/>
      <c r="M224" s="726"/>
      <c r="N224" s="726"/>
      <c r="O224" s="727"/>
      <c r="P224" s="725"/>
      <c r="Q224" s="725"/>
      <c r="R224" s="726"/>
      <c r="S224" s="726"/>
      <c r="T224" s="726"/>
      <c r="U224" s="724"/>
      <c r="V224" s="728"/>
    </row>
    <row r="225" spans="1:22" s="474" customFormat="1">
      <c r="A225" s="723"/>
      <c r="B225" s="724">
        <v>112</v>
      </c>
      <c r="C225" s="724" t="s">
        <v>281</v>
      </c>
      <c r="D225" s="725"/>
      <c r="E225" s="724"/>
      <c r="F225" s="726"/>
      <c r="G225" s="726"/>
      <c r="H225" s="726"/>
      <c r="I225" s="726"/>
      <c r="J225" s="726"/>
      <c r="K225" s="726"/>
      <c r="L225" s="726"/>
      <c r="M225" s="726"/>
      <c r="N225" s="726"/>
      <c r="O225" s="727"/>
      <c r="P225" s="725"/>
      <c r="Q225" s="725"/>
      <c r="R225" s="726"/>
      <c r="S225" s="726"/>
      <c r="T225" s="726"/>
      <c r="U225" s="724"/>
      <c r="V225" s="728"/>
    </row>
    <row r="226" spans="1:22" s="474" customFormat="1">
      <c r="A226" s="723"/>
      <c r="B226" s="724">
        <v>113</v>
      </c>
      <c r="C226" s="724" t="s">
        <v>282</v>
      </c>
      <c r="D226" s="725"/>
      <c r="E226" s="724"/>
      <c r="F226" s="726"/>
      <c r="G226" s="726"/>
      <c r="H226" s="726"/>
      <c r="I226" s="726"/>
      <c r="J226" s="726"/>
      <c r="K226" s="726"/>
      <c r="L226" s="726"/>
      <c r="M226" s="726"/>
      <c r="N226" s="726"/>
      <c r="O226" s="727"/>
      <c r="P226" s="725"/>
      <c r="Q226" s="725"/>
      <c r="R226" s="726"/>
      <c r="S226" s="726"/>
      <c r="T226" s="726"/>
      <c r="U226" s="724"/>
      <c r="V226" s="728"/>
    </row>
    <row r="227" spans="1:22" s="474" customFormat="1">
      <c r="A227" s="723"/>
      <c r="B227" s="724">
        <v>114</v>
      </c>
      <c r="C227" s="724" t="s">
        <v>283</v>
      </c>
      <c r="D227" s="725"/>
      <c r="E227" s="724"/>
      <c r="F227" s="726"/>
      <c r="G227" s="726"/>
      <c r="H227" s="726"/>
      <c r="I227" s="726"/>
      <c r="J227" s="726"/>
      <c r="K227" s="726"/>
      <c r="L227" s="726"/>
      <c r="M227" s="726"/>
      <c r="N227" s="726"/>
      <c r="O227" s="727"/>
      <c r="P227" s="725"/>
      <c r="Q227" s="725"/>
      <c r="R227" s="726"/>
      <c r="S227" s="726"/>
      <c r="T227" s="726"/>
      <c r="U227" s="724"/>
      <c r="V227" s="728"/>
    </row>
    <row r="228" spans="1:22" s="474" customFormat="1">
      <c r="A228" s="723"/>
      <c r="B228" s="724">
        <v>115</v>
      </c>
      <c r="C228" s="724" t="s">
        <v>284</v>
      </c>
      <c r="D228" s="725"/>
      <c r="E228" s="724"/>
      <c r="F228" s="726"/>
      <c r="G228" s="726"/>
      <c r="H228" s="726"/>
      <c r="I228" s="726"/>
      <c r="J228" s="726"/>
      <c r="K228" s="726"/>
      <c r="L228" s="726"/>
      <c r="M228" s="726"/>
      <c r="N228" s="726"/>
      <c r="O228" s="727"/>
      <c r="P228" s="725"/>
      <c r="Q228" s="725"/>
      <c r="R228" s="726"/>
      <c r="S228" s="726"/>
      <c r="T228" s="726"/>
      <c r="U228" s="724"/>
      <c r="V228" s="728"/>
    </row>
    <row r="229" spans="1:22" s="474" customFormat="1">
      <c r="A229" s="723"/>
      <c r="B229" s="724">
        <v>116</v>
      </c>
      <c r="C229" s="724" t="s">
        <v>285</v>
      </c>
      <c r="D229" s="725"/>
      <c r="E229" s="724"/>
      <c r="F229" s="726"/>
      <c r="G229" s="726"/>
      <c r="H229" s="726"/>
      <c r="I229" s="726"/>
      <c r="J229" s="726"/>
      <c r="K229" s="726"/>
      <c r="L229" s="726"/>
      <c r="M229" s="726"/>
      <c r="N229" s="726"/>
      <c r="O229" s="727"/>
      <c r="P229" s="725"/>
      <c r="Q229" s="725"/>
      <c r="R229" s="726"/>
      <c r="S229" s="726"/>
      <c r="T229" s="726"/>
      <c r="U229" s="724"/>
      <c r="V229" s="728"/>
    </row>
    <row r="230" spans="1:22" s="474" customFormat="1">
      <c r="A230" s="723"/>
      <c r="B230" s="724">
        <v>117</v>
      </c>
      <c r="C230" s="724" t="s">
        <v>286</v>
      </c>
      <c r="D230" s="725"/>
      <c r="E230" s="724"/>
      <c r="F230" s="726"/>
      <c r="G230" s="726"/>
      <c r="H230" s="726"/>
      <c r="I230" s="726"/>
      <c r="J230" s="726"/>
      <c r="K230" s="726"/>
      <c r="L230" s="726"/>
      <c r="M230" s="726"/>
      <c r="N230" s="726"/>
      <c r="O230" s="727"/>
      <c r="P230" s="725"/>
      <c r="Q230" s="725"/>
      <c r="R230" s="726"/>
      <c r="S230" s="726"/>
      <c r="T230" s="726"/>
      <c r="U230" s="724"/>
      <c r="V230" s="728"/>
    </row>
    <row r="231" spans="1:22" s="474" customFormat="1">
      <c r="A231" s="723"/>
      <c r="B231" s="724">
        <v>118</v>
      </c>
      <c r="C231" s="724" t="s">
        <v>287</v>
      </c>
      <c r="D231" s="725"/>
      <c r="E231" s="724"/>
      <c r="F231" s="726"/>
      <c r="G231" s="726"/>
      <c r="H231" s="726"/>
      <c r="I231" s="726"/>
      <c r="J231" s="726"/>
      <c r="K231" s="726"/>
      <c r="L231" s="726"/>
      <c r="M231" s="726"/>
      <c r="N231" s="726"/>
      <c r="O231" s="727"/>
      <c r="P231" s="725"/>
      <c r="Q231" s="725"/>
      <c r="R231" s="726"/>
      <c r="S231" s="726"/>
      <c r="T231" s="726"/>
      <c r="U231" s="724"/>
      <c r="V231" s="728"/>
    </row>
    <row r="232" spans="1:22" s="474" customFormat="1">
      <c r="A232" s="723"/>
      <c r="B232" s="724">
        <v>119</v>
      </c>
      <c r="C232" s="724" t="s">
        <v>288</v>
      </c>
      <c r="D232" s="725"/>
      <c r="E232" s="724"/>
      <c r="F232" s="726"/>
      <c r="G232" s="726"/>
      <c r="H232" s="726"/>
      <c r="I232" s="726"/>
      <c r="J232" s="726"/>
      <c r="K232" s="726"/>
      <c r="L232" s="726"/>
      <c r="M232" s="726"/>
      <c r="N232" s="726"/>
      <c r="O232" s="727"/>
      <c r="P232" s="725"/>
      <c r="Q232" s="725"/>
      <c r="R232" s="726"/>
      <c r="S232" s="726"/>
      <c r="T232" s="726"/>
      <c r="U232" s="724"/>
      <c r="V232" s="728"/>
    </row>
    <row r="233" spans="1:22" s="474" customFormat="1">
      <c r="A233" s="723"/>
      <c r="B233" s="724">
        <v>120</v>
      </c>
      <c r="C233" s="724" t="s">
        <v>289</v>
      </c>
      <c r="D233" s="725"/>
      <c r="E233" s="724"/>
      <c r="F233" s="726"/>
      <c r="G233" s="726"/>
      <c r="H233" s="726"/>
      <c r="I233" s="726"/>
      <c r="J233" s="726"/>
      <c r="K233" s="726"/>
      <c r="L233" s="726"/>
      <c r="M233" s="726"/>
      <c r="N233" s="726"/>
      <c r="O233" s="727"/>
      <c r="P233" s="725"/>
      <c r="Q233" s="725"/>
      <c r="R233" s="726"/>
      <c r="S233" s="726"/>
      <c r="T233" s="726"/>
      <c r="U233" s="724"/>
      <c r="V233" s="728"/>
    </row>
    <row r="234" spans="1:22" s="474" customFormat="1">
      <c r="A234" s="723"/>
      <c r="B234" s="724">
        <v>121</v>
      </c>
      <c r="C234" s="724" t="s">
        <v>290</v>
      </c>
      <c r="D234" s="725"/>
      <c r="E234" s="724"/>
      <c r="F234" s="726"/>
      <c r="G234" s="726"/>
      <c r="H234" s="726"/>
      <c r="I234" s="726"/>
      <c r="J234" s="726"/>
      <c r="K234" s="726"/>
      <c r="L234" s="726"/>
      <c r="M234" s="726"/>
      <c r="N234" s="726"/>
      <c r="O234" s="727"/>
      <c r="P234" s="725"/>
      <c r="Q234" s="725"/>
      <c r="R234" s="726"/>
      <c r="S234" s="726"/>
      <c r="T234" s="726"/>
      <c r="U234" s="724"/>
      <c r="V234" s="728"/>
    </row>
    <row r="235" spans="1:22" s="474" customFormat="1">
      <c r="A235" s="723"/>
      <c r="B235" s="724">
        <v>122</v>
      </c>
      <c r="C235" s="724" t="s">
        <v>291</v>
      </c>
      <c r="D235" s="725"/>
      <c r="E235" s="724"/>
      <c r="F235" s="726"/>
      <c r="G235" s="726"/>
      <c r="H235" s="726"/>
      <c r="I235" s="726"/>
      <c r="J235" s="726"/>
      <c r="K235" s="726"/>
      <c r="L235" s="726"/>
      <c r="M235" s="726"/>
      <c r="N235" s="726"/>
      <c r="O235" s="727"/>
      <c r="P235" s="725"/>
      <c r="Q235" s="725"/>
      <c r="R235" s="726"/>
      <c r="S235" s="726"/>
      <c r="T235" s="726"/>
      <c r="U235" s="724"/>
      <c r="V235" s="728"/>
    </row>
    <row r="236" spans="1:22" s="474" customFormat="1">
      <c r="A236" s="723"/>
      <c r="B236" s="724">
        <v>123</v>
      </c>
      <c r="C236" s="724" t="s">
        <v>292</v>
      </c>
      <c r="D236" s="725"/>
      <c r="E236" s="724"/>
      <c r="F236" s="726"/>
      <c r="G236" s="726"/>
      <c r="H236" s="726"/>
      <c r="I236" s="726"/>
      <c r="J236" s="726"/>
      <c r="K236" s="726"/>
      <c r="L236" s="726"/>
      <c r="M236" s="726"/>
      <c r="N236" s="726"/>
      <c r="O236" s="727"/>
      <c r="P236" s="725"/>
      <c r="Q236" s="725"/>
      <c r="R236" s="726"/>
      <c r="S236" s="726"/>
      <c r="T236" s="726"/>
      <c r="U236" s="724"/>
      <c r="V236" s="728"/>
    </row>
    <row r="237" spans="1:22" s="474" customFormat="1">
      <c r="A237" s="723"/>
      <c r="B237" s="724">
        <v>124</v>
      </c>
      <c r="C237" s="724" t="s">
        <v>293</v>
      </c>
      <c r="D237" s="725"/>
      <c r="E237" s="724"/>
      <c r="F237" s="726"/>
      <c r="G237" s="726"/>
      <c r="H237" s="726"/>
      <c r="I237" s="726"/>
      <c r="J237" s="726"/>
      <c r="K237" s="726"/>
      <c r="L237" s="726"/>
      <c r="M237" s="726"/>
      <c r="N237" s="726"/>
      <c r="O237" s="727"/>
      <c r="P237" s="725"/>
      <c r="Q237" s="725"/>
      <c r="R237" s="726"/>
      <c r="S237" s="726"/>
      <c r="T237" s="726"/>
      <c r="U237" s="724"/>
      <c r="V237" s="728"/>
    </row>
    <row r="238" spans="1:22" s="474" customFormat="1">
      <c r="A238" s="723"/>
      <c r="B238" s="724">
        <v>125</v>
      </c>
      <c r="C238" s="724" t="s">
        <v>294</v>
      </c>
      <c r="D238" s="725"/>
      <c r="E238" s="724"/>
      <c r="F238" s="726"/>
      <c r="G238" s="726"/>
      <c r="H238" s="726"/>
      <c r="I238" s="726"/>
      <c r="J238" s="726"/>
      <c r="K238" s="726"/>
      <c r="L238" s="726"/>
      <c r="M238" s="726"/>
      <c r="N238" s="726"/>
      <c r="O238" s="727"/>
      <c r="P238" s="725"/>
      <c r="Q238" s="725"/>
      <c r="R238" s="726"/>
      <c r="S238" s="726"/>
      <c r="T238" s="726"/>
      <c r="U238" s="724"/>
      <c r="V238" s="728"/>
    </row>
    <row r="239" spans="1:22" s="474" customFormat="1">
      <c r="A239" s="723"/>
      <c r="B239" s="724">
        <v>126</v>
      </c>
      <c r="C239" s="724" t="s">
        <v>295</v>
      </c>
      <c r="D239" s="725"/>
      <c r="E239" s="724"/>
      <c r="F239" s="726"/>
      <c r="G239" s="726"/>
      <c r="H239" s="726"/>
      <c r="I239" s="726"/>
      <c r="J239" s="726"/>
      <c r="K239" s="726"/>
      <c r="L239" s="726"/>
      <c r="M239" s="726"/>
      <c r="N239" s="726"/>
      <c r="O239" s="727"/>
      <c r="P239" s="725"/>
      <c r="Q239" s="725"/>
      <c r="R239" s="726"/>
      <c r="S239" s="726"/>
      <c r="T239" s="726"/>
      <c r="U239" s="724"/>
      <c r="V239" s="728"/>
    </row>
    <row r="240" spans="1:22" s="474" customFormat="1">
      <c r="A240" s="723"/>
      <c r="B240" s="724">
        <v>127</v>
      </c>
      <c r="C240" s="724" t="s">
        <v>296</v>
      </c>
      <c r="D240" s="725"/>
      <c r="E240" s="724"/>
      <c r="F240" s="726"/>
      <c r="G240" s="726"/>
      <c r="H240" s="726"/>
      <c r="I240" s="726"/>
      <c r="J240" s="726"/>
      <c r="K240" s="726"/>
      <c r="L240" s="726"/>
      <c r="M240" s="726"/>
      <c r="N240" s="726"/>
      <c r="O240" s="727"/>
      <c r="P240" s="725"/>
      <c r="Q240" s="725"/>
      <c r="R240" s="726"/>
      <c r="S240" s="726"/>
      <c r="T240" s="726"/>
      <c r="U240" s="724"/>
      <c r="V240" s="728"/>
    </row>
    <row r="241" spans="1:22" s="474" customFormat="1">
      <c r="A241" s="723"/>
      <c r="B241" s="724">
        <v>128</v>
      </c>
      <c r="C241" s="724" t="s">
        <v>297</v>
      </c>
      <c r="D241" s="725"/>
      <c r="E241" s="724"/>
      <c r="F241" s="726"/>
      <c r="G241" s="726"/>
      <c r="H241" s="726"/>
      <c r="I241" s="726"/>
      <c r="J241" s="726"/>
      <c r="K241" s="726"/>
      <c r="L241" s="726"/>
      <c r="M241" s="726"/>
      <c r="N241" s="726"/>
      <c r="O241" s="727"/>
      <c r="P241" s="725"/>
      <c r="Q241" s="725"/>
      <c r="R241" s="726"/>
      <c r="S241" s="726"/>
      <c r="T241" s="726"/>
      <c r="U241" s="724"/>
      <c r="V241" s="728"/>
    </row>
    <row r="242" spans="1:22" s="474" customFormat="1">
      <c r="A242" s="723"/>
      <c r="B242" s="724">
        <v>129</v>
      </c>
      <c r="C242" s="724" t="s">
        <v>298</v>
      </c>
      <c r="D242" s="725"/>
      <c r="E242" s="724"/>
      <c r="F242" s="726"/>
      <c r="G242" s="726"/>
      <c r="H242" s="726"/>
      <c r="I242" s="726"/>
      <c r="J242" s="726"/>
      <c r="K242" s="726"/>
      <c r="L242" s="726"/>
      <c r="M242" s="726"/>
      <c r="N242" s="726"/>
      <c r="O242" s="727"/>
      <c r="P242" s="725"/>
      <c r="Q242" s="725"/>
      <c r="R242" s="726"/>
      <c r="S242" s="726"/>
      <c r="T242" s="726"/>
      <c r="U242" s="724"/>
      <c r="V242" s="728"/>
    </row>
    <row r="243" spans="1:22" s="474" customFormat="1">
      <c r="A243" s="723"/>
      <c r="B243" s="724">
        <v>130</v>
      </c>
      <c r="C243" s="724" t="s">
        <v>299</v>
      </c>
      <c r="D243" s="725"/>
      <c r="E243" s="724"/>
      <c r="F243" s="726"/>
      <c r="G243" s="726"/>
      <c r="H243" s="726"/>
      <c r="I243" s="726"/>
      <c r="J243" s="726"/>
      <c r="K243" s="726"/>
      <c r="L243" s="726"/>
      <c r="M243" s="726"/>
      <c r="N243" s="726"/>
      <c r="O243" s="727"/>
      <c r="P243" s="725"/>
      <c r="Q243" s="725"/>
      <c r="R243" s="726"/>
      <c r="S243" s="726"/>
      <c r="T243" s="726"/>
      <c r="U243" s="724"/>
      <c r="V243" s="728"/>
    </row>
    <row r="244" spans="1:22" s="474" customFormat="1">
      <c r="A244" s="723"/>
      <c r="B244" s="724">
        <v>131</v>
      </c>
      <c r="C244" s="724" t="s">
        <v>300</v>
      </c>
      <c r="D244" s="725"/>
      <c r="E244" s="724"/>
      <c r="F244" s="726"/>
      <c r="G244" s="726"/>
      <c r="H244" s="726"/>
      <c r="I244" s="726"/>
      <c r="J244" s="726"/>
      <c r="K244" s="726"/>
      <c r="L244" s="726"/>
      <c r="M244" s="726"/>
      <c r="N244" s="726"/>
      <c r="O244" s="727"/>
      <c r="P244" s="725"/>
      <c r="Q244" s="725"/>
      <c r="R244" s="726"/>
      <c r="S244" s="726"/>
      <c r="T244" s="726"/>
      <c r="U244" s="724"/>
      <c r="V244" s="728"/>
    </row>
    <row r="245" spans="1:22" s="474" customFormat="1">
      <c r="A245" s="723"/>
      <c r="B245" s="724">
        <v>132</v>
      </c>
      <c r="C245" s="724" t="s">
        <v>301</v>
      </c>
      <c r="D245" s="725"/>
      <c r="E245" s="724"/>
      <c r="F245" s="726"/>
      <c r="G245" s="726"/>
      <c r="H245" s="726"/>
      <c r="I245" s="726"/>
      <c r="J245" s="726"/>
      <c r="K245" s="726"/>
      <c r="L245" s="726"/>
      <c r="M245" s="726"/>
      <c r="N245" s="726"/>
      <c r="O245" s="727"/>
      <c r="P245" s="725"/>
      <c r="Q245" s="725"/>
      <c r="R245" s="726"/>
      <c r="S245" s="726"/>
      <c r="T245" s="726"/>
      <c r="U245" s="724"/>
      <c r="V245" s="728"/>
    </row>
    <row r="246" spans="1:22" s="474" customFormat="1">
      <c r="A246" s="723"/>
      <c r="B246" s="724">
        <v>133</v>
      </c>
      <c r="C246" s="724" t="s">
        <v>302</v>
      </c>
      <c r="D246" s="725"/>
      <c r="E246" s="724"/>
      <c r="F246" s="726"/>
      <c r="G246" s="726"/>
      <c r="H246" s="726"/>
      <c r="I246" s="726"/>
      <c r="J246" s="726"/>
      <c r="K246" s="726"/>
      <c r="L246" s="726"/>
      <c r="M246" s="726"/>
      <c r="N246" s="726"/>
      <c r="O246" s="727"/>
      <c r="P246" s="725"/>
      <c r="Q246" s="725"/>
      <c r="R246" s="726"/>
      <c r="S246" s="726"/>
      <c r="T246" s="726"/>
      <c r="U246" s="724"/>
      <c r="V246" s="728"/>
    </row>
    <row r="247" spans="1:22" s="474" customFormat="1">
      <c r="A247" s="723"/>
      <c r="B247" s="724">
        <v>134</v>
      </c>
      <c r="C247" s="724" t="s">
        <v>303</v>
      </c>
      <c r="D247" s="725"/>
      <c r="E247" s="724"/>
      <c r="F247" s="726"/>
      <c r="G247" s="726"/>
      <c r="H247" s="726"/>
      <c r="I247" s="726"/>
      <c r="J247" s="726"/>
      <c r="K247" s="726"/>
      <c r="L247" s="726"/>
      <c r="M247" s="726"/>
      <c r="N247" s="726"/>
      <c r="O247" s="727"/>
      <c r="P247" s="725"/>
      <c r="Q247" s="725"/>
      <c r="R247" s="726"/>
      <c r="S247" s="726"/>
      <c r="T247" s="726"/>
      <c r="U247" s="724"/>
      <c r="V247" s="728"/>
    </row>
    <row r="248" spans="1:22" s="474" customFormat="1">
      <c r="A248" s="723"/>
      <c r="B248" s="724">
        <v>135</v>
      </c>
      <c r="C248" s="724" t="s">
        <v>304</v>
      </c>
      <c r="D248" s="725"/>
      <c r="E248" s="724"/>
      <c r="F248" s="726"/>
      <c r="G248" s="726"/>
      <c r="H248" s="726"/>
      <c r="I248" s="726"/>
      <c r="J248" s="726"/>
      <c r="K248" s="726"/>
      <c r="L248" s="726"/>
      <c r="M248" s="726"/>
      <c r="N248" s="726"/>
      <c r="O248" s="727"/>
      <c r="P248" s="725"/>
      <c r="Q248" s="725"/>
      <c r="R248" s="726"/>
      <c r="S248" s="726"/>
      <c r="T248" s="726"/>
      <c r="U248" s="724"/>
      <c r="V248" s="728"/>
    </row>
    <row r="249" spans="1:22" s="474" customFormat="1">
      <c r="A249" s="723"/>
      <c r="B249" s="724">
        <v>136</v>
      </c>
      <c r="C249" s="724" t="s">
        <v>305</v>
      </c>
      <c r="D249" s="725"/>
      <c r="E249" s="724"/>
      <c r="F249" s="726"/>
      <c r="G249" s="726"/>
      <c r="H249" s="726"/>
      <c r="I249" s="726"/>
      <c r="J249" s="726"/>
      <c r="K249" s="726"/>
      <c r="L249" s="726"/>
      <c r="M249" s="726"/>
      <c r="N249" s="726"/>
      <c r="O249" s="727"/>
      <c r="P249" s="725"/>
      <c r="Q249" s="725"/>
      <c r="R249" s="726"/>
      <c r="S249" s="726"/>
      <c r="T249" s="726"/>
      <c r="U249" s="724"/>
      <c r="V249" s="728"/>
    </row>
    <row r="250" spans="1:22" s="474" customFormat="1">
      <c r="A250" s="723"/>
      <c r="B250" s="724">
        <v>137</v>
      </c>
      <c r="C250" s="724" t="s">
        <v>306</v>
      </c>
      <c r="D250" s="725"/>
      <c r="E250" s="724"/>
      <c r="F250" s="726"/>
      <c r="G250" s="726"/>
      <c r="H250" s="726"/>
      <c r="I250" s="726"/>
      <c r="J250" s="726"/>
      <c r="K250" s="726"/>
      <c r="L250" s="726"/>
      <c r="M250" s="726"/>
      <c r="N250" s="726"/>
      <c r="O250" s="727"/>
      <c r="P250" s="725"/>
      <c r="Q250" s="725"/>
      <c r="R250" s="726"/>
      <c r="S250" s="726"/>
      <c r="T250" s="726"/>
      <c r="U250" s="724"/>
      <c r="V250" s="728"/>
    </row>
    <row r="251" spans="1:22" s="474" customFormat="1">
      <c r="A251" s="723"/>
      <c r="B251" s="724">
        <v>138</v>
      </c>
      <c r="C251" s="724" t="s">
        <v>307</v>
      </c>
      <c r="D251" s="725"/>
      <c r="E251" s="724"/>
      <c r="F251" s="726"/>
      <c r="G251" s="726"/>
      <c r="H251" s="726"/>
      <c r="I251" s="726"/>
      <c r="J251" s="726"/>
      <c r="K251" s="726"/>
      <c r="L251" s="726"/>
      <c r="M251" s="726"/>
      <c r="N251" s="726"/>
      <c r="O251" s="727"/>
      <c r="P251" s="725"/>
      <c r="Q251" s="725"/>
      <c r="R251" s="726"/>
      <c r="S251" s="726"/>
      <c r="T251" s="726"/>
      <c r="U251" s="724"/>
      <c r="V251" s="728"/>
    </row>
    <row r="252" spans="1:22" s="474" customFormat="1">
      <c r="A252" s="723"/>
      <c r="B252" s="724">
        <v>139</v>
      </c>
      <c r="C252" s="724" t="s">
        <v>308</v>
      </c>
      <c r="D252" s="725"/>
      <c r="E252" s="724"/>
      <c r="F252" s="726"/>
      <c r="G252" s="726"/>
      <c r="H252" s="726"/>
      <c r="I252" s="726"/>
      <c r="J252" s="726"/>
      <c r="K252" s="726"/>
      <c r="L252" s="726"/>
      <c r="M252" s="726"/>
      <c r="N252" s="726"/>
      <c r="O252" s="727"/>
      <c r="P252" s="725"/>
      <c r="Q252" s="725"/>
      <c r="R252" s="726"/>
      <c r="S252" s="726"/>
      <c r="T252" s="726"/>
      <c r="U252" s="724"/>
      <c r="V252" s="728"/>
    </row>
    <row r="253" spans="1:22" s="474" customFormat="1">
      <c r="A253" s="723"/>
      <c r="B253" s="724">
        <v>140</v>
      </c>
      <c r="C253" s="724" t="s">
        <v>309</v>
      </c>
      <c r="D253" s="725"/>
      <c r="E253" s="724"/>
      <c r="F253" s="726"/>
      <c r="G253" s="726"/>
      <c r="H253" s="726"/>
      <c r="I253" s="726"/>
      <c r="J253" s="726"/>
      <c r="K253" s="726"/>
      <c r="L253" s="726"/>
      <c r="M253" s="726"/>
      <c r="N253" s="726"/>
      <c r="O253" s="727"/>
      <c r="P253" s="725"/>
      <c r="Q253" s="725"/>
      <c r="R253" s="726"/>
      <c r="S253" s="726"/>
      <c r="T253" s="726"/>
      <c r="U253" s="724"/>
      <c r="V253" s="728"/>
    </row>
    <row r="254" spans="1:22" s="474" customFormat="1">
      <c r="A254" s="723"/>
      <c r="B254" s="724">
        <v>141</v>
      </c>
      <c r="C254" s="724" t="s">
        <v>310</v>
      </c>
      <c r="D254" s="725"/>
      <c r="E254" s="724"/>
      <c r="F254" s="726"/>
      <c r="G254" s="726"/>
      <c r="H254" s="726"/>
      <c r="I254" s="726"/>
      <c r="J254" s="726"/>
      <c r="K254" s="726"/>
      <c r="L254" s="726"/>
      <c r="M254" s="726"/>
      <c r="N254" s="726"/>
      <c r="O254" s="727"/>
      <c r="P254" s="725"/>
      <c r="Q254" s="725"/>
      <c r="R254" s="726"/>
      <c r="S254" s="726"/>
      <c r="T254" s="726"/>
      <c r="U254" s="724"/>
      <c r="V254" s="728"/>
    </row>
    <row r="255" spans="1:22" s="474" customFormat="1">
      <c r="A255" s="723"/>
      <c r="B255" s="724">
        <v>142</v>
      </c>
      <c r="C255" s="724" t="s">
        <v>311</v>
      </c>
      <c r="D255" s="725"/>
      <c r="E255" s="724"/>
      <c r="F255" s="726"/>
      <c r="G255" s="726"/>
      <c r="H255" s="726"/>
      <c r="I255" s="726"/>
      <c r="J255" s="726"/>
      <c r="K255" s="726"/>
      <c r="L255" s="726"/>
      <c r="M255" s="726"/>
      <c r="N255" s="726"/>
      <c r="O255" s="727"/>
      <c r="P255" s="725"/>
      <c r="Q255" s="725"/>
      <c r="R255" s="726"/>
      <c r="S255" s="726"/>
      <c r="T255" s="726"/>
      <c r="U255" s="724"/>
      <c r="V255" s="728"/>
    </row>
    <row r="256" spans="1:22" s="474" customFormat="1">
      <c r="A256" s="723"/>
      <c r="B256" s="724">
        <v>143</v>
      </c>
      <c r="C256" s="724" t="s">
        <v>312</v>
      </c>
      <c r="D256" s="725"/>
      <c r="E256" s="724"/>
      <c r="F256" s="726"/>
      <c r="G256" s="726"/>
      <c r="H256" s="726"/>
      <c r="I256" s="726"/>
      <c r="J256" s="726"/>
      <c r="K256" s="726"/>
      <c r="L256" s="726"/>
      <c r="M256" s="726"/>
      <c r="N256" s="726"/>
      <c r="O256" s="727"/>
      <c r="P256" s="725"/>
      <c r="Q256" s="725"/>
      <c r="R256" s="726"/>
      <c r="S256" s="726"/>
      <c r="T256" s="726"/>
      <c r="U256" s="724"/>
      <c r="V256" s="728"/>
    </row>
    <row r="257" spans="1:22" s="474" customFormat="1">
      <c r="A257" s="723"/>
      <c r="B257" s="724">
        <v>144</v>
      </c>
      <c r="C257" s="724" t="s">
        <v>313</v>
      </c>
      <c r="D257" s="725"/>
      <c r="E257" s="724"/>
      <c r="F257" s="726"/>
      <c r="G257" s="726"/>
      <c r="H257" s="726"/>
      <c r="I257" s="726"/>
      <c r="J257" s="726"/>
      <c r="K257" s="726"/>
      <c r="L257" s="726"/>
      <c r="M257" s="726"/>
      <c r="N257" s="726"/>
      <c r="O257" s="727"/>
      <c r="P257" s="725"/>
      <c r="Q257" s="725"/>
      <c r="R257" s="726"/>
      <c r="S257" s="726"/>
      <c r="T257" s="726"/>
      <c r="U257" s="724"/>
      <c r="V257" s="728"/>
    </row>
    <row r="258" spans="1:22" s="474" customFormat="1">
      <c r="A258" s="723"/>
      <c r="B258" s="724">
        <v>145</v>
      </c>
      <c r="C258" s="724" t="s">
        <v>314</v>
      </c>
      <c r="D258" s="725"/>
      <c r="E258" s="724"/>
      <c r="F258" s="726"/>
      <c r="G258" s="726"/>
      <c r="H258" s="726"/>
      <c r="I258" s="726"/>
      <c r="J258" s="726"/>
      <c r="K258" s="726"/>
      <c r="L258" s="726"/>
      <c r="M258" s="726"/>
      <c r="N258" s="726"/>
      <c r="O258" s="727"/>
      <c r="P258" s="725"/>
      <c r="Q258" s="725"/>
      <c r="R258" s="726"/>
      <c r="S258" s="726"/>
      <c r="T258" s="726"/>
      <c r="U258" s="724"/>
      <c r="V258" s="728"/>
    </row>
    <row r="259" spans="1:22" s="474" customFormat="1">
      <c r="A259" s="723"/>
      <c r="B259" s="724">
        <v>146</v>
      </c>
      <c r="C259" s="724" t="s">
        <v>315</v>
      </c>
      <c r="D259" s="725"/>
      <c r="E259" s="724"/>
      <c r="F259" s="726"/>
      <c r="G259" s="726"/>
      <c r="H259" s="726"/>
      <c r="I259" s="726"/>
      <c r="J259" s="726"/>
      <c r="K259" s="726"/>
      <c r="L259" s="726"/>
      <c r="M259" s="726"/>
      <c r="N259" s="726"/>
      <c r="O259" s="727"/>
      <c r="P259" s="725"/>
      <c r="Q259" s="725"/>
      <c r="R259" s="726"/>
      <c r="S259" s="726"/>
      <c r="T259" s="726"/>
      <c r="U259" s="724"/>
      <c r="V259" s="728"/>
    </row>
    <row r="260" spans="1:22" s="474" customFormat="1">
      <c r="A260" s="723"/>
      <c r="B260" s="724">
        <v>147</v>
      </c>
      <c r="C260" s="724" t="s">
        <v>316</v>
      </c>
      <c r="D260" s="725"/>
      <c r="E260" s="724"/>
      <c r="F260" s="726"/>
      <c r="G260" s="726"/>
      <c r="H260" s="726"/>
      <c r="I260" s="726"/>
      <c r="J260" s="726"/>
      <c r="K260" s="726"/>
      <c r="L260" s="726"/>
      <c r="M260" s="726"/>
      <c r="N260" s="726"/>
      <c r="O260" s="727"/>
      <c r="P260" s="725"/>
      <c r="Q260" s="725"/>
      <c r="R260" s="726"/>
      <c r="S260" s="726"/>
      <c r="T260" s="726"/>
      <c r="U260" s="724"/>
      <c r="V260" s="728"/>
    </row>
    <row r="261" spans="1:22" s="474" customFormat="1">
      <c r="A261" s="723"/>
      <c r="B261" s="724">
        <v>148</v>
      </c>
      <c r="C261" s="724" t="s">
        <v>317</v>
      </c>
      <c r="D261" s="725"/>
      <c r="E261" s="724"/>
      <c r="F261" s="726"/>
      <c r="G261" s="726"/>
      <c r="H261" s="726"/>
      <c r="I261" s="726"/>
      <c r="J261" s="726"/>
      <c r="K261" s="726"/>
      <c r="L261" s="726"/>
      <c r="M261" s="726"/>
      <c r="N261" s="726"/>
      <c r="O261" s="727"/>
      <c r="P261" s="725"/>
      <c r="Q261" s="725"/>
      <c r="R261" s="726"/>
      <c r="S261" s="726"/>
      <c r="T261" s="726"/>
      <c r="U261" s="724"/>
      <c r="V261" s="728"/>
    </row>
    <row r="262" spans="1:22" s="474" customFormat="1">
      <c r="A262" s="723"/>
      <c r="B262" s="724">
        <v>149</v>
      </c>
      <c r="C262" s="724" t="s">
        <v>318</v>
      </c>
      <c r="D262" s="725"/>
      <c r="E262" s="724"/>
      <c r="F262" s="726"/>
      <c r="G262" s="726"/>
      <c r="H262" s="726"/>
      <c r="I262" s="726"/>
      <c r="J262" s="726"/>
      <c r="K262" s="726"/>
      <c r="L262" s="726"/>
      <c r="M262" s="726"/>
      <c r="N262" s="726"/>
      <c r="O262" s="727"/>
      <c r="P262" s="725"/>
      <c r="Q262" s="725"/>
      <c r="R262" s="726"/>
      <c r="S262" s="726"/>
      <c r="T262" s="726"/>
      <c r="U262" s="724"/>
      <c r="V262" s="728"/>
    </row>
    <row r="263" spans="1:22" s="474" customFormat="1">
      <c r="A263" s="723"/>
      <c r="B263" s="724">
        <v>150</v>
      </c>
      <c r="C263" s="724" t="s">
        <v>319</v>
      </c>
      <c r="D263" s="725"/>
      <c r="E263" s="724"/>
      <c r="F263" s="726"/>
      <c r="G263" s="726"/>
      <c r="H263" s="726"/>
      <c r="I263" s="726"/>
      <c r="J263" s="726"/>
      <c r="K263" s="726"/>
      <c r="L263" s="726"/>
      <c r="M263" s="726"/>
      <c r="N263" s="726"/>
      <c r="O263" s="727"/>
      <c r="P263" s="725"/>
      <c r="Q263" s="725"/>
      <c r="R263" s="726"/>
      <c r="S263" s="726"/>
      <c r="T263" s="726"/>
      <c r="U263" s="724"/>
      <c r="V263" s="728"/>
    </row>
    <row r="264" spans="1:22" s="474" customFormat="1">
      <c r="A264" s="723"/>
      <c r="B264" s="724">
        <v>151</v>
      </c>
      <c r="C264" s="724" t="s">
        <v>320</v>
      </c>
      <c r="D264" s="725"/>
      <c r="E264" s="724"/>
      <c r="F264" s="726"/>
      <c r="G264" s="726"/>
      <c r="H264" s="726"/>
      <c r="I264" s="726"/>
      <c r="J264" s="726"/>
      <c r="K264" s="726"/>
      <c r="L264" s="726"/>
      <c r="M264" s="726"/>
      <c r="N264" s="726"/>
      <c r="O264" s="727"/>
      <c r="P264" s="725"/>
      <c r="Q264" s="725"/>
      <c r="R264" s="726"/>
      <c r="S264" s="726"/>
      <c r="T264" s="726"/>
      <c r="U264" s="724"/>
      <c r="V264" s="728"/>
    </row>
    <row r="265" spans="1:22" s="474" customFormat="1">
      <c r="A265" s="723"/>
      <c r="B265" s="724">
        <v>152</v>
      </c>
      <c r="C265" s="724" t="s">
        <v>321</v>
      </c>
      <c r="D265" s="725"/>
      <c r="E265" s="724"/>
      <c r="F265" s="726"/>
      <c r="G265" s="726"/>
      <c r="H265" s="726"/>
      <c r="I265" s="726"/>
      <c r="J265" s="726"/>
      <c r="K265" s="726"/>
      <c r="L265" s="726"/>
      <c r="M265" s="726"/>
      <c r="N265" s="726"/>
      <c r="O265" s="727"/>
      <c r="P265" s="725"/>
      <c r="Q265" s="725"/>
      <c r="R265" s="726"/>
      <c r="S265" s="726"/>
      <c r="T265" s="726"/>
      <c r="U265" s="724"/>
      <c r="V265" s="728"/>
    </row>
    <row r="266" spans="1:22" s="474" customFormat="1">
      <c r="A266" s="723"/>
      <c r="B266" s="724">
        <v>153</v>
      </c>
      <c r="C266" s="724" t="s">
        <v>322</v>
      </c>
      <c r="D266" s="725"/>
      <c r="E266" s="724"/>
      <c r="F266" s="726"/>
      <c r="G266" s="726"/>
      <c r="H266" s="726"/>
      <c r="I266" s="726"/>
      <c r="J266" s="726"/>
      <c r="K266" s="726"/>
      <c r="L266" s="726"/>
      <c r="M266" s="726"/>
      <c r="N266" s="726"/>
      <c r="O266" s="727"/>
      <c r="P266" s="725"/>
      <c r="Q266" s="725"/>
      <c r="R266" s="726"/>
      <c r="S266" s="726"/>
      <c r="T266" s="726"/>
      <c r="U266" s="724"/>
      <c r="V266" s="728"/>
    </row>
    <row r="267" spans="1:22" s="474" customFormat="1">
      <c r="A267" s="723"/>
      <c r="B267" s="724">
        <v>154</v>
      </c>
      <c r="C267" s="724" t="s">
        <v>323</v>
      </c>
      <c r="D267" s="725"/>
      <c r="E267" s="724"/>
      <c r="F267" s="726"/>
      <c r="G267" s="726"/>
      <c r="H267" s="726"/>
      <c r="I267" s="726"/>
      <c r="J267" s="726"/>
      <c r="K267" s="726"/>
      <c r="L267" s="726"/>
      <c r="M267" s="726"/>
      <c r="N267" s="726"/>
      <c r="O267" s="727"/>
      <c r="P267" s="725"/>
      <c r="Q267" s="725"/>
      <c r="R267" s="726"/>
      <c r="S267" s="726"/>
      <c r="T267" s="726"/>
      <c r="U267" s="724"/>
      <c r="V267" s="728"/>
    </row>
    <row r="268" spans="1:22" s="474" customFormat="1">
      <c r="A268" s="723"/>
      <c r="B268" s="724">
        <v>155</v>
      </c>
      <c r="C268" s="724" t="s">
        <v>324</v>
      </c>
      <c r="D268" s="725"/>
      <c r="E268" s="724"/>
      <c r="F268" s="726"/>
      <c r="G268" s="726"/>
      <c r="H268" s="726"/>
      <c r="I268" s="726"/>
      <c r="J268" s="726"/>
      <c r="K268" s="726"/>
      <c r="L268" s="726"/>
      <c r="M268" s="726"/>
      <c r="N268" s="726"/>
      <c r="O268" s="727"/>
      <c r="P268" s="725"/>
      <c r="Q268" s="725"/>
      <c r="R268" s="726"/>
      <c r="S268" s="726"/>
      <c r="T268" s="726"/>
      <c r="U268" s="724"/>
      <c r="V268" s="728"/>
    </row>
    <row r="269" spans="1:22" s="474" customFormat="1">
      <c r="A269" s="723"/>
      <c r="B269" s="724">
        <v>156</v>
      </c>
      <c r="C269" s="724" t="s">
        <v>325</v>
      </c>
      <c r="D269" s="725"/>
      <c r="E269" s="724"/>
      <c r="F269" s="726"/>
      <c r="G269" s="726"/>
      <c r="H269" s="726"/>
      <c r="I269" s="726"/>
      <c r="J269" s="726"/>
      <c r="K269" s="726"/>
      <c r="L269" s="726"/>
      <c r="M269" s="726"/>
      <c r="N269" s="726"/>
      <c r="O269" s="727"/>
      <c r="P269" s="725"/>
      <c r="Q269" s="725"/>
      <c r="R269" s="726"/>
      <c r="S269" s="726"/>
      <c r="T269" s="726"/>
      <c r="U269" s="724"/>
      <c r="V269" s="728"/>
    </row>
    <row r="270" spans="1:22" s="474" customFormat="1">
      <c r="A270" s="723"/>
      <c r="B270" s="724">
        <v>157</v>
      </c>
      <c r="C270" s="724" t="s">
        <v>326</v>
      </c>
      <c r="D270" s="725"/>
      <c r="E270" s="724"/>
      <c r="F270" s="726"/>
      <c r="G270" s="726"/>
      <c r="H270" s="726"/>
      <c r="I270" s="726"/>
      <c r="J270" s="726"/>
      <c r="K270" s="726"/>
      <c r="L270" s="726"/>
      <c r="M270" s="726"/>
      <c r="N270" s="726"/>
      <c r="O270" s="727"/>
      <c r="P270" s="725"/>
      <c r="Q270" s="725"/>
      <c r="R270" s="726"/>
      <c r="S270" s="726"/>
      <c r="T270" s="726"/>
      <c r="U270" s="724"/>
      <c r="V270" s="728"/>
    </row>
    <row r="271" spans="1:22" s="474" customFormat="1">
      <c r="A271" s="723"/>
      <c r="B271" s="724">
        <v>158</v>
      </c>
      <c r="C271" s="724" t="s">
        <v>327</v>
      </c>
      <c r="D271" s="725"/>
      <c r="E271" s="724"/>
      <c r="F271" s="726"/>
      <c r="G271" s="726"/>
      <c r="H271" s="726"/>
      <c r="I271" s="726"/>
      <c r="J271" s="726"/>
      <c r="K271" s="726"/>
      <c r="L271" s="726"/>
      <c r="M271" s="726"/>
      <c r="N271" s="726"/>
      <c r="O271" s="727"/>
      <c r="P271" s="725"/>
      <c r="Q271" s="725"/>
      <c r="R271" s="726"/>
      <c r="S271" s="726"/>
      <c r="T271" s="726"/>
      <c r="U271" s="724"/>
      <c r="V271" s="728"/>
    </row>
    <row r="272" spans="1:22" s="474" customFormat="1">
      <c r="A272" s="723"/>
      <c r="B272" s="724">
        <v>159</v>
      </c>
      <c r="C272" s="724" t="s">
        <v>328</v>
      </c>
      <c r="D272" s="725"/>
      <c r="E272" s="724"/>
      <c r="F272" s="726"/>
      <c r="G272" s="726"/>
      <c r="H272" s="726"/>
      <c r="I272" s="726"/>
      <c r="J272" s="726"/>
      <c r="K272" s="726"/>
      <c r="L272" s="726"/>
      <c r="M272" s="726"/>
      <c r="N272" s="726"/>
      <c r="O272" s="727"/>
      <c r="P272" s="725"/>
      <c r="Q272" s="725"/>
      <c r="R272" s="726"/>
      <c r="S272" s="726"/>
      <c r="T272" s="726"/>
      <c r="U272" s="724"/>
      <c r="V272" s="728"/>
    </row>
    <row r="273" spans="1:22" s="474" customFormat="1">
      <c r="A273" s="723"/>
      <c r="B273" s="724">
        <v>160</v>
      </c>
      <c r="C273" s="724" t="s">
        <v>329</v>
      </c>
      <c r="D273" s="725"/>
      <c r="E273" s="724"/>
      <c r="F273" s="726"/>
      <c r="G273" s="726"/>
      <c r="H273" s="726"/>
      <c r="I273" s="726"/>
      <c r="J273" s="726"/>
      <c r="K273" s="726"/>
      <c r="L273" s="726"/>
      <c r="M273" s="726"/>
      <c r="N273" s="726"/>
      <c r="O273" s="727"/>
      <c r="P273" s="725"/>
      <c r="Q273" s="725"/>
      <c r="R273" s="726"/>
      <c r="S273" s="726"/>
      <c r="T273" s="726"/>
      <c r="U273" s="724"/>
      <c r="V273" s="728"/>
    </row>
    <row r="274" spans="1:22" s="474" customFormat="1">
      <c r="A274" s="723"/>
      <c r="B274" s="724">
        <v>161</v>
      </c>
      <c r="C274" s="724" t="s">
        <v>330</v>
      </c>
      <c r="D274" s="725"/>
      <c r="E274" s="724"/>
      <c r="F274" s="726"/>
      <c r="G274" s="726"/>
      <c r="H274" s="726"/>
      <c r="I274" s="726"/>
      <c r="J274" s="726"/>
      <c r="K274" s="726"/>
      <c r="L274" s="726"/>
      <c r="M274" s="726"/>
      <c r="N274" s="726"/>
      <c r="O274" s="727"/>
      <c r="P274" s="725"/>
      <c r="Q274" s="725"/>
      <c r="R274" s="726"/>
      <c r="S274" s="726"/>
      <c r="T274" s="726"/>
      <c r="U274" s="724"/>
      <c r="V274" s="728"/>
    </row>
    <row r="275" spans="1:22" s="474" customFormat="1">
      <c r="A275" s="723"/>
      <c r="B275" s="724">
        <v>162</v>
      </c>
      <c r="C275" s="724" t="s">
        <v>331</v>
      </c>
      <c r="D275" s="725"/>
      <c r="E275" s="724"/>
      <c r="F275" s="726"/>
      <c r="G275" s="726"/>
      <c r="H275" s="726"/>
      <c r="I275" s="726"/>
      <c r="J275" s="726"/>
      <c r="K275" s="726"/>
      <c r="L275" s="726"/>
      <c r="M275" s="726"/>
      <c r="N275" s="726"/>
      <c r="O275" s="727"/>
      <c r="P275" s="725"/>
      <c r="Q275" s="725"/>
      <c r="R275" s="726"/>
      <c r="S275" s="726"/>
      <c r="T275" s="726"/>
      <c r="U275" s="724"/>
      <c r="V275" s="728"/>
    </row>
    <row r="276" spans="1:22" s="474" customFormat="1">
      <c r="A276" s="651" t="s">
        <v>1052</v>
      </c>
      <c r="B276" s="460">
        <v>163</v>
      </c>
      <c r="C276" s="460" t="s">
        <v>439</v>
      </c>
      <c r="D276" s="457" t="s">
        <v>1216</v>
      </c>
      <c r="E276" s="460"/>
      <c r="F276" s="458" t="s">
        <v>440</v>
      </c>
      <c r="G276" s="458" t="s">
        <v>1207</v>
      </c>
      <c r="H276" s="458" t="s">
        <v>1217</v>
      </c>
      <c r="I276" s="458" t="s">
        <v>1222</v>
      </c>
      <c r="J276" s="458" t="s">
        <v>1217</v>
      </c>
      <c r="K276" s="458" t="s">
        <v>1205</v>
      </c>
      <c r="L276" s="458" t="s">
        <v>1207</v>
      </c>
      <c r="M276" s="458" t="s">
        <v>1207</v>
      </c>
      <c r="N276" s="458" t="s">
        <v>1207</v>
      </c>
      <c r="O276" s="652"/>
      <c r="P276" s="457"/>
      <c r="Q276" s="457"/>
      <c r="R276" s="458"/>
      <c r="S276" s="458"/>
      <c r="T276" s="458"/>
      <c r="U276" s="460"/>
      <c r="V276" s="653"/>
    </row>
    <row r="277" spans="1:22" s="474" customFormat="1">
      <c r="A277" s="723"/>
      <c r="B277" s="724">
        <v>164</v>
      </c>
      <c r="C277" s="724" t="s">
        <v>332</v>
      </c>
      <c r="D277" s="725"/>
      <c r="E277" s="724"/>
      <c r="F277" s="726"/>
      <c r="G277" s="726"/>
      <c r="H277" s="726"/>
      <c r="I277" s="726"/>
      <c r="J277" s="726"/>
      <c r="K277" s="726"/>
      <c r="L277" s="726"/>
      <c r="M277" s="726"/>
      <c r="N277" s="726"/>
      <c r="O277" s="727"/>
      <c r="P277" s="725"/>
      <c r="Q277" s="725"/>
      <c r="R277" s="726"/>
      <c r="S277" s="726"/>
      <c r="T277" s="726"/>
      <c r="U277" s="724"/>
      <c r="V277" s="728"/>
    </row>
    <row r="278" spans="1:22" s="474" customFormat="1">
      <c r="A278" s="723"/>
      <c r="B278" s="724">
        <v>165</v>
      </c>
      <c r="C278" s="724" t="s">
        <v>333</v>
      </c>
      <c r="D278" s="725"/>
      <c r="E278" s="724"/>
      <c r="F278" s="726"/>
      <c r="G278" s="726"/>
      <c r="H278" s="726"/>
      <c r="I278" s="726"/>
      <c r="J278" s="726"/>
      <c r="K278" s="726"/>
      <c r="L278" s="726"/>
      <c r="M278" s="726"/>
      <c r="N278" s="726"/>
      <c r="O278" s="727"/>
      <c r="P278" s="725"/>
      <c r="Q278" s="725"/>
      <c r="R278" s="726"/>
      <c r="S278" s="726"/>
      <c r="T278" s="726"/>
      <c r="U278" s="724"/>
      <c r="V278" s="728"/>
    </row>
    <row r="279" spans="1:22" s="474" customFormat="1">
      <c r="A279" s="723"/>
      <c r="B279" s="724">
        <v>166</v>
      </c>
      <c r="C279" s="724" t="s">
        <v>334</v>
      </c>
      <c r="D279" s="725"/>
      <c r="E279" s="724"/>
      <c r="F279" s="726"/>
      <c r="G279" s="726"/>
      <c r="H279" s="726"/>
      <c r="I279" s="726"/>
      <c r="J279" s="726"/>
      <c r="K279" s="726"/>
      <c r="L279" s="726"/>
      <c r="M279" s="726"/>
      <c r="N279" s="726"/>
      <c r="O279" s="727"/>
      <c r="P279" s="725"/>
      <c r="Q279" s="725"/>
      <c r="R279" s="726"/>
      <c r="S279" s="726"/>
      <c r="T279" s="726"/>
      <c r="U279" s="724"/>
      <c r="V279" s="728"/>
    </row>
    <row r="280" spans="1:22" s="474" customFormat="1">
      <c r="A280" s="723"/>
      <c r="B280" s="724">
        <v>167</v>
      </c>
      <c r="C280" s="724" t="s">
        <v>335</v>
      </c>
      <c r="D280" s="725"/>
      <c r="E280" s="724"/>
      <c r="F280" s="726"/>
      <c r="G280" s="726"/>
      <c r="H280" s="726"/>
      <c r="I280" s="726"/>
      <c r="J280" s="726"/>
      <c r="K280" s="726"/>
      <c r="L280" s="726"/>
      <c r="M280" s="726"/>
      <c r="N280" s="726"/>
      <c r="O280" s="727"/>
      <c r="P280" s="725"/>
      <c r="Q280" s="725"/>
      <c r="R280" s="726"/>
      <c r="S280" s="726"/>
      <c r="T280" s="726"/>
      <c r="U280" s="724"/>
      <c r="V280" s="728"/>
    </row>
    <row r="281" spans="1:22" s="474" customFormat="1">
      <c r="A281" s="723"/>
      <c r="B281" s="724">
        <v>168</v>
      </c>
      <c r="C281" s="724" t="s">
        <v>336</v>
      </c>
      <c r="D281" s="725"/>
      <c r="E281" s="724"/>
      <c r="F281" s="726"/>
      <c r="G281" s="726"/>
      <c r="H281" s="726"/>
      <c r="I281" s="726"/>
      <c r="J281" s="726"/>
      <c r="K281" s="726"/>
      <c r="L281" s="726"/>
      <c r="M281" s="726"/>
      <c r="N281" s="726"/>
      <c r="O281" s="727"/>
      <c r="P281" s="725"/>
      <c r="Q281" s="725"/>
      <c r="R281" s="726"/>
      <c r="S281" s="726"/>
      <c r="T281" s="726"/>
      <c r="U281" s="724"/>
      <c r="V281" s="728"/>
    </row>
    <row r="282" spans="1:22" s="474" customFormat="1">
      <c r="A282" s="723"/>
      <c r="B282" s="724">
        <v>169</v>
      </c>
      <c r="C282" s="724" t="s">
        <v>337</v>
      </c>
      <c r="D282" s="725"/>
      <c r="E282" s="724"/>
      <c r="F282" s="726"/>
      <c r="G282" s="726"/>
      <c r="H282" s="726"/>
      <c r="I282" s="726"/>
      <c r="J282" s="726"/>
      <c r="K282" s="726"/>
      <c r="L282" s="726"/>
      <c r="M282" s="726"/>
      <c r="N282" s="726"/>
      <c r="O282" s="727"/>
      <c r="P282" s="725"/>
      <c r="Q282" s="725"/>
      <c r="R282" s="726"/>
      <c r="S282" s="726"/>
      <c r="T282" s="726"/>
      <c r="U282" s="724"/>
      <c r="V282" s="728"/>
    </row>
    <row r="283" spans="1:22" s="474" customFormat="1">
      <c r="A283" s="723"/>
      <c r="B283" s="724">
        <v>170</v>
      </c>
      <c r="C283" s="724" t="s">
        <v>338</v>
      </c>
      <c r="D283" s="725"/>
      <c r="E283" s="724"/>
      <c r="F283" s="726"/>
      <c r="G283" s="726"/>
      <c r="H283" s="726"/>
      <c r="I283" s="726"/>
      <c r="J283" s="726"/>
      <c r="K283" s="726"/>
      <c r="L283" s="726"/>
      <c r="M283" s="726"/>
      <c r="N283" s="726"/>
      <c r="O283" s="727"/>
      <c r="P283" s="725"/>
      <c r="Q283" s="725"/>
      <c r="R283" s="726"/>
      <c r="S283" s="726"/>
      <c r="T283" s="726"/>
      <c r="U283" s="724"/>
      <c r="V283" s="728"/>
    </row>
    <row r="284" spans="1:22" s="474" customFormat="1">
      <c r="A284" s="723"/>
      <c r="B284" s="724">
        <v>171</v>
      </c>
      <c r="C284" s="724" t="s">
        <v>339</v>
      </c>
      <c r="D284" s="725"/>
      <c r="E284" s="724"/>
      <c r="F284" s="726"/>
      <c r="G284" s="726"/>
      <c r="H284" s="726"/>
      <c r="I284" s="726"/>
      <c r="J284" s="726"/>
      <c r="K284" s="726"/>
      <c r="L284" s="726"/>
      <c r="M284" s="726"/>
      <c r="N284" s="726"/>
      <c r="O284" s="727"/>
      <c r="P284" s="725"/>
      <c r="Q284" s="725"/>
      <c r="R284" s="726"/>
      <c r="S284" s="726"/>
      <c r="T284" s="726"/>
      <c r="U284" s="724"/>
      <c r="V284" s="728"/>
    </row>
    <row r="285" spans="1:22" s="474" customFormat="1">
      <c r="A285" s="723"/>
      <c r="B285" s="724"/>
      <c r="C285" s="724"/>
      <c r="D285" s="725"/>
      <c r="E285" s="724"/>
      <c r="F285" s="726"/>
      <c r="G285" s="726"/>
      <c r="H285" s="726"/>
      <c r="I285" s="726"/>
      <c r="J285" s="726"/>
      <c r="K285" s="726"/>
      <c r="L285" s="726"/>
      <c r="M285" s="726"/>
      <c r="N285" s="726"/>
      <c r="O285" s="727"/>
      <c r="P285" s="725"/>
      <c r="Q285" s="725"/>
      <c r="R285" s="726"/>
      <c r="S285" s="726"/>
      <c r="T285" s="726"/>
      <c r="U285" s="724"/>
      <c r="V285" s="728"/>
    </row>
    <row r="286" spans="1:22" s="474" customFormat="1">
      <c r="A286" s="736" t="s">
        <v>1039</v>
      </c>
      <c r="B286" s="730"/>
      <c r="C286" s="731"/>
      <c r="D286" s="732"/>
      <c r="E286" s="730"/>
      <c r="F286" s="730"/>
      <c r="G286" s="730"/>
      <c r="H286" s="730"/>
      <c r="I286" s="730"/>
      <c r="J286" s="730"/>
      <c r="K286" s="730"/>
      <c r="L286" s="730"/>
      <c r="M286" s="730"/>
      <c r="N286" s="730"/>
      <c r="O286" s="732"/>
      <c r="P286" s="732"/>
      <c r="Q286" s="732"/>
      <c r="R286" s="730"/>
      <c r="S286" s="730"/>
      <c r="T286" s="730"/>
      <c r="U286" s="733"/>
      <c r="V286" s="734"/>
    </row>
    <row r="287" spans="1:22" s="474" customFormat="1">
      <c r="A287" s="723"/>
      <c r="B287" s="724">
        <v>1</v>
      </c>
      <c r="C287" s="724" t="s">
        <v>167</v>
      </c>
      <c r="D287" s="725"/>
      <c r="E287" s="724"/>
      <c r="F287" s="726"/>
      <c r="G287" s="726"/>
      <c r="H287" s="726"/>
      <c r="I287" s="726"/>
      <c r="J287" s="726"/>
      <c r="K287" s="726"/>
      <c r="L287" s="726"/>
      <c r="M287" s="726"/>
      <c r="N287" s="726"/>
      <c r="O287" s="727"/>
      <c r="P287" s="725"/>
      <c r="Q287" s="725"/>
      <c r="R287" s="726"/>
      <c r="S287" s="726"/>
      <c r="T287" s="726"/>
      <c r="U287" s="724"/>
      <c r="V287" s="728"/>
    </row>
    <row r="288" spans="1:22" s="474" customFormat="1">
      <c r="A288" s="723"/>
      <c r="B288" s="724">
        <v>2</v>
      </c>
      <c r="C288" s="724" t="s">
        <v>168</v>
      </c>
      <c r="D288" s="725"/>
      <c r="E288" s="724"/>
      <c r="F288" s="726"/>
      <c r="G288" s="726"/>
      <c r="H288" s="726"/>
      <c r="I288" s="726"/>
      <c r="J288" s="726"/>
      <c r="K288" s="726"/>
      <c r="L288" s="726"/>
      <c r="M288" s="726"/>
      <c r="N288" s="726"/>
      <c r="O288" s="727"/>
      <c r="P288" s="725"/>
      <c r="Q288" s="725"/>
      <c r="R288" s="726"/>
      <c r="S288" s="726"/>
      <c r="T288" s="726"/>
      <c r="U288" s="724"/>
      <c r="V288" s="728"/>
    </row>
    <row r="289" spans="1:22" s="474" customFormat="1">
      <c r="A289" s="723"/>
      <c r="B289" s="724">
        <v>3</v>
      </c>
      <c r="C289" s="724" t="s">
        <v>169</v>
      </c>
      <c r="D289" s="725"/>
      <c r="E289" s="724"/>
      <c r="F289" s="726"/>
      <c r="G289" s="726"/>
      <c r="H289" s="726"/>
      <c r="I289" s="726"/>
      <c r="J289" s="726"/>
      <c r="K289" s="726"/>
      <c r="L289" s="726"/>
      <c r="M289" s="726"/>
      <c r="N289" s="726"/>
      <c r="O289" s="727"/>
      <c r="P289" s="725"/>
      <c r="Q289" s="725"/>
      <c r="R289" s="726"/>
      <c r="S289" s="726"/>
      <c r="T289" s="726"/>
      <c r="U289" s="724"/>
      <c r="V289" s="728"/>
    </row>
    <row r="290" spans="1:22" s="474" customFormat="1">
      <c r="A290" s="723"/>
      <c r="B290" s="724">
        <v>4</v>
      </c>
      <c r="C290" s="724" t="s">
        <v>170</v>
      </c>
      <c r="D290" s="725"/>
      <c r="E290" s="724"/>
      <c r="F290" s="726"/>
      <c r="G290" s="726"/>
      <c r="H290" s="726"/>
      <c r="I290" s="726"/>
      <c r="J290" s="726"/>
      <c r="K290" s="726"/>
      <c r="L290" s="726"/>
      <c r="M290" s="726"/>
      <c r="N290" s="726"/>
      <c r="O290" s="727"/>
      <c r="P290" s="725"/>
      <c r="Q290" s="725"/>
      <c r="R290" s="726"/>
      <c r="S290" s="726"/>
      <c r="T290" s="726"/>
      <c r="U290" s="724"/>
      <c r="V290" s="728"/>
    </row>
    <row r="291" spans="1:22" s="474" customFormat="1" ht="24">
      <c r="A291" s="651" t="s">
        <v>1052</v>
      </c>
      <c r="B291" s="460">
        <v>5</v>
      </c>
      <c r="C291" s="460" t="s">
        <v>575</v>
      </c>
      <c r="D291" s="457" t="s">
        <v>1237</v>
      </c>
      <c r="E291" s="460"/>
      <c r="F291" s="458" t="s">
        <v>577</v>
      </c>
      <c r="G291" s="458" t="s">
        <v>1205</v>
      </c>
      <c r="H291" s="458" t="s">
        <v>1205</v>
      </c>
      <c r="I291" s="458" t="s">
        <v>1222</v>
      </c>
      <c r="J291" s="458" t="s">
        <v>1222</v>
      </c>
      <c r="K291" s="458" t="s">
        <v>1205</v>
      </c>
      <c r="L291" s="458" t="s">
        <v>1205</v>
      </c>
      <c r="M291" s="458" t="s">
        <v>1205</v>
      </c>
      <c r="N291" s="458" t="s">
        <v>1205</v>
      </c>
      <c r="O291" s="652"/>
      <c r="P291" s="457"/>
      <c r="Q291" s="457"/>
      <c r="R291" s="458"/>
      <c r="S291" s="458"/>
      <c r="T291" s="458"/>
      <c r="U291" s="460"/>
      <c r="V291" s="653"/>
    </row>
    <row r="292" spans="1:22" s="474" customFormat="1">
      <c r="A292" s="723"/>
      <c r="B292" s="724">
        <v>6</v>
      </c>
      <c r="C292" s="724" t="s">
        <v>171</v>
      </c>
      <c r="D292" s="725"/>
      <c r="E292" s="724"/>
      <c r="F292" s="726"/>
      <c r="G292" s="726"/>
      <c r="H292" s="726"/>
      <c r="I292" s="726"/>
      <c r="J292" s="726"/>
      <c r="K292" s="726"/>
      <c r="L292" s="726"/>
      <c r="M292" s="726"/>
      <c r="N292" s="726"/>
      <c r="O292" s="727"/>
      <c r="P292" s="725"/>
      <c r="Q292" s="725"/>
      <c r="R292" s="726"/>
      <c r="S292" s="726"/>
      <c r="T292" s="726"/>
      <c r="U292" s="724"/>
      <c r="V292" s="728"/>
    </row>
    <row r="293" spans="1:22" s="474" customFormat="1">
      <c r="A293" s="723"/>
      <c r="B293" s="724">
        <v>7</v>
      </c>
      <c r="C293" s="724" t="s">
        <v>172</v>
      </c>
      <c r="D293" s="725"/>
      <c r="E293" s="724"/>
      <c r="F293" s="726"/>
      <c r="G293" s="726"/>
      <c r="H293" s="726"/>
      <c r="I293" s="726"/>
      <c r="J293" s="726"/>
      <c r="K293" s="726"/>
      <c r="L293" s="726"/>
      <c r="M293" s="726"/>
      <c r="N293" s="726"/>
      <c r="O293" s="727"/>
      <c r="P293" s="725"/>
      <c r="Q293" s="725"/>
      <c r="R293" s="726"/>
      <c r="S293" s="726"/>
      <c r="T293" s="726"/>
      <c r="U293" s="724"/>
      <c r="V293" s="728"/>
    </row>
    <row r="294" spans="1:22" s="474" customFormat="1">
      <c r="A294" s="723"/>
      <c r="B294" s="724">
        <v>8</v>
      </c>
      <c r="C294" s="724" t="s">
        <v>173</v>
      </c>
      <c r="D294" s="725"/>
      <c r="E294" s="724"/>
      <c r="F294" s="726"/>
      <c r="G294" s="726"/>
      <c r="H294" s="726"/>
      <c r="I294" s="726"/>
      <c r="J294" s="726"/>
      <c r="K294" s="726"/>
      <c r="L294" s="726"/>
      <c r="M294" s="726"/>
      <c r="N294" s="726"/>
      <c r="O294" s="727"/>
      <c r="P294" s="725"/>
      <c r="Q294" s="725"/>
      <c r="R294" s="726"/>
      <c r="S294" s="726"/>
      <c r="T294" s="726"/>
      <c r="U294" s="724"/>
      <c r="V294" s="728"/>
    </row>
    <row r="295" spans="1:22" s="474" customFormat="1">
      <c r="A295" s="723"/>
      <c r="B295" s="724">
        <v>9</v>
      </c>
      <c r="C295" s="724" t="s">
        <v>174</v>
      </c>
      <c r="D295" s="725"/>
      <c r="E295" s="724"/>
      <c r="F295" s="726"/>
      <c r="G295" s="726"/>
      <c r="H295" s="726"/>
      <c r="I295" s="726"/>
      <c r="J295" s="726"/>
      <c r="K295" s="726"/>
      <c r="L295" s="726"/>
      <c r="M295" s="726"/>
      <c r="N295" s="726"/>
      <c r="O295" s="727"/>
      <c r="P295" s="725"/>
      <c r="Q295" s="725"/>
      <c r="R295" s="726"/>
      <c r="S295" s="726"/>
      <c r="T295" s="726"/>
      <c r="U295" s="724"/>
      <c r="V295" s="728"/>
    </row>
    <row r="296" spans="1:22" s="474" customFormat="1">
      <c r="A296" s="723"/>
      <c r="B296" s="724">
        <v>10</v>
      </c>
      <c r="C296" s="724" t="s">
        <v>175</v>
      </c>
      <c r="D296" s="725"/>
      <c r="E296" s="724"/>
      <c r="F296" s="726"/>
      <c r="G296" s="726"/>
      <c r="H296" s="726"/>
      <c r="I296" s="726"/>
      <c r="J296" s="726"/>
      <c r="K296" s="726"/>
      <c r="L296" s="726"/>
      <c r="M296" s="726"/>
      <c r="N296" s="726"/>
      <c r="O296" s="727"/>
      <c r="P296" s="725"/>
      <c r="Q296" s="725"/>
      <c r="R296" s="726"/>
      <c r="S296" s="726"/>
      <c r="T296" s="726"/>
      <c r="U296" s="724"/>
      <c r="V296" s="728"/>
    </row>
    <row r="297" spans="1:22" s="474" customFormat="1">
      <c r="A297" s="723"/>
      <c r="B297" s="724">
        <v>11</v>
      </c>
      <c r="C297" s="724" t="s">
        <v>176</v>
      </c>
      <c r="D297" s="725"/>
      <c r="E297" s="724"/>
      <c r="F297" s="726"/>
      <c r="G297" s="726"/>
      <c r="H297" s="726"/>
      <c r="I297" s="726"/>
      <c r="J297" s="726"/>
      <c r="K297" s="726"/>
      <c r="L297" s="726"/>
      <c r="M297" s="726"/>
      <c r="N297" s="726"/>
      <c r="O297" s="727"/>
      <c r="P297" s="725"/>
      <c r="Q297" s="725"/>
      <c r="R297" s="726"/>
      <c r="S297" s="726"/>
      <c r="T297" s="726"/>
      <c r="U297" s="724"/>
      <c r="V297" s="728"/>
    </row>
    <row r="298" spans="1:22" s="474" customFormat="1">
      <c r="A298" s="723"/>
      <c r="B298" s="724">
        <v>12</v>
      </c>
      <c r="C298" s="724" t="s">
        <v>177</v>
      </c>
      <c r="D298" s="725"/>
      <c r="E298" s="724"/>
      <c r="F298" s="726"/>
      <c r="G298" s="726"/>
      <c r="H298" s="726"/>
      <c r="I298" s="726"/>
      <c r="J298" s="726"/>
      <c r="K298" s="726"/>
      <c r="L298" s="726"/>
      <c r="M298" s="726"/>
      <c r="N298" s="726"/>
      <c r="O298" s="727"/>
      <c r="P298" s="725"/>
      <c r="Q298" s="725"/>
      <c r="R298" s="726"/>
      <c r="S298" s="726"/>
      <c r="T298" s="726"/>
      <c r="U298" s="724"/>
      <c r="V298" s="728"/>
    </row>
    <row r="299" spans="1:22" s="474" customFormat="1">
      <c r="A299" s="723"/>
      <c r="B299" s="724">
        <v>13</v>
      </c>
      <c r="C299" s="724" t="s">
        <v>178</v>
      </c>
      <c r="D299" s="725"/>
      <c r="E299" s="724"/>
      <c r="F299" s="726"/>
      <c r="G299" s="726"/>
      <c r="H299" s="726"/>
      <c r="I299" s="726"/>
      <c r="J299" s="726"/>
      <c r="K299" s="726"/>
      <c r="L299" s="726"/>
      <c r="M299" s="726"/>
      <c r="N299" s="726"/>
      <c r="O299" s="727"/>
      <c r="P299" s="725"/>
      <c r="Q299" s="725"/>
      <c r="R299" s="726"/>
      <c r="S299" s="726"/>
      <c r="T299" s="726"/>
      <c r="U299" s="724"/>
      <c r="V299" s="728"/>
    </row>
    <row r="300" spans="1:22" s="474" customFormat="1" ht="36">
      <c r="A300" s="651" t="s">
        <v>347</v>
      </c>
      <c r="B300" s="724">
        <v>14</v>
      </c>
      <c r="C300" s="724" t="s">
        <v>179</v>
      </c>
      <c r="D300" s="725"/>
      <c r="E300" s="724"/>
      <c r="F300" s="458" t="s">
        <v>529</v>
      </c>
      <c r="G300" s="726"/>
      <c r="H300" s="726"/>
      <c r="I300" s="726"/>
      <c r="J300" s="726"/>
      <c r="K300" s="726"/>
      <c r="L300" s="726"/>
      <c r="M300" s="726"/>
      <c r="N300" s="726"/>
      <c r="O300" s="727"/>
      <c r="P300" s="725"/>
      <c r="Q300" s="725"/>
      <c r="R300" s="726"/>
      <c r="S300" s="726"/>
      <c r="T300" s="726"/>
      <c r="U300" s="724"/>
      <c r="V300" s="728"/>
    </row>
    <row r="301" spans="1:22" s="474" customFormat="1">
      <c r="A301" s="723"/>
      <c r="B301" s="724">
        <v>15</v>
      </c>
      <c r="C301" s="724" t="s">
        <v>1042</v>
      </c>
      <c r="D301" s="725"/>
      <c r="E301" s="724"/>
      <c r="F301" s="726"/>
      <c r="G301" s="726"/>
      <c r="H301" s="726"/>
      <c r="I301" s="726"/>
      <c r="J301" s="726"/>
      <c r="K301" s="726"/>
      <c r="L301" s="726"/>
      <c r="M301" s="726"/>
      <c r="N301" s="726"/>
      <c r="O301" s="727"/>
      <c r="P301" s="725"/>
      <c r="Q301" s="725"/>
      <c r="R301" s="726"/>
      <c r="S301" s="726"/>
      <c r="T301" s="726"/>
      <c r="U301" s="724"/>
      <c r="V301" s="728"/>
    </row>
    <row r="302" spans="1:22" s="474" customFormat="1" ht="24">
      <c r="A302" s="651" t="s">
        <v>348</v>
      </c>
      <c r="B302" s="460">
        <v>16</v>
      </c>
      <c r="C302" s="460" t="s">
        <v>166</v>
      </c>
      <c r="D302" s="457"/>
      <c r="E302" s="460"/>
      <c r="F302" s="458" t="s">
        <v>530</v>
      </c>
      <c r="G302" s="458" t="s">
        <v>1223</v>
      </c>
      <c r="H302" s="458" t="s">
        <v>1223</v>
      </c>
      <c r="I302" s="458" t="s">
        <v>1223</v>
      </c>
      <c r="J302" s="458" t="s">
        <v>1210</v>
      </c>
      <c r="K302" s="458" t="s">
        <v>1210</v>
      </c>
      <c r="L302" s="458" t="s">
        <v>1210</v>
      </c>
      <c r="M302" s="458" t="s">
        <v>1210</v>
      </c>
      <c r="N302" s="458" t="s">
        <v>1223</v>
      </c>
      <c r="O302" s="652"/>
      <c r="P302" s="457"/>
      <c r="Q302" s="457"/>
      <c r="R302" s="458"/>
      <c r="S302" s="458"/>
      <c r="T302" s="458"/>
      <c r="U302" s="458" t="s">
        <v>1271</v>
      </c>
      <c r="V302" s="653"/>
    </row>
    <row r="303" spans="1:22" s="474" customFormat="1">
      <c r="A303" s="723"/>
      <c r="B303" s="724">
        <v>17</v>
      </c>
      <c r="C303" s="724" t="s">
        <v>180</v>
      </c>
      <c r="D303" s="725"/>
      <c r="E303" s="724"/>
      <c r="F303" s="726"/>
      <c r="G303" s="726"/>
      <c r="H303" s="726"/>
      <c r="I303" s="726"/>
      <c r="J303" s="726"/>
      <c r="K303" s="726"/>
      <c r="L303" s="726"/>
      <c r="M303" s="726"/>
      <c r="N303" s="726"/>
      <c r="O303" s="725"/>
      <c r="P303" s="725"/>
      <c r="Q303" s="725"/>
      <c r="R303" s="726"/>
      <c r="S303" s="726"/>
      <c r="T303" s="726"/>
      <c r="U303" s="724"/>
      <c r="V303" s="728"/>
    </row>
    <row r="304" spans="1:22" s="100" customFormat="1" ht="12.75" thickBot="1">
      <c r="A304" s="657"/>
      <c r="B304" s="461"/>
      <c r="C304" s="461"/>
      <c r="D304" s="406"/>
      <c r="E304" s="461"/>
      <c r="F304" s="410"/>
      <c r="G304" s="410"/>
      <c r="H304" s="410"/>
      <c r="I304" s="410"/>
      <c r="J304" s="410"/>
      <c r="K304" s="410"/>
      <c r="L304" s="410"/>
      <c r="M304" s="410"/>
      <c r="N304" s="410"/>
      <c r="O304" s="658"/>
      <c r="P304" s="406"/>
      <c r="Q304" s="406"/>
      <c r="R304" s="410"/>
      <c r="S304" s="410"/>
      <c r="T304" s="410"/>
      <c r="U304" s="461"/>
      <c r="V304" s="659"/>
    </row>
  </sheetData>
  <phoneticPr fontId="3"/>
  <dataValidations count="1">
    <dataValidation imeMode="off" allowBlank="1" showInputMessage="1" showErrorMessage="1" sqref="B93 B106 B112 B286 B8:B32"/>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CJ48"/>
  <sheetViews>
    <sheetView showGridLines="0" view="pageBreakPreview" zoomScaleNormal="85" zoomScaleSheetLayoutView="100" workbookViewId="0">
      <selection activeCell="T8" sqref="T8"/>
    </sheetView>
  </sheetViews>
  <sheetFormatPr defaultColWidth="3.5" defaultRowHeight="13.5"/>
  <cols>
    <col min="1" max="16384" width="3.5" style="468"/>
  </cols>
  <sheetData>
    <row r="1" spans="1:87" s="79" customFormat="1" ht="12">
      <c r="A1" s="940" t="s">
        <v>1333</v>
      </c>
      <c r="B1" s="941"/>
      <c r="C1" s="941"/>
      <c r="D1" s="941"/>
      <c r="E1" s="941"/>
      <c r="F1" s="941"/>
      <c r="G1" s="942"/>
      <c r="H1" s="949" t="s">
        <v>2</v>
      </c>
      <c r="I1" s="938"/>
      <c r="J1" s="938"/>
      <c r="K1" s="939"/>
      <c r="L1" s="950" t="s">
        <v>1064</v>
      </c>
      <c r="M1" s="951"/>
      <c r="N1" s="951"/>
      <c r="O1" s="951"/>
      <c r="P1" s="951"/>
      <c r="Q1" s="951"/>
      <c r="R1" s="952"/>
      <c r="S1" s="937" t="s">
        <v>7</v>
      </c>
      <c r="T1" s="938"/>
      <c r="U1" s="938"/>
      <c r="V1" s="939"/>
      <c r="W1" s="950" t="s">
        <v>1061</v>
      </c>
      <c r="X1" s="951"/>
      <c r="Y1" s="951"/>
      <c r="Z1" s="951"/>
      <c r="AA1" s="951"/>
      <c r="AB1" s="951"/>
      <c r="AC1" s="952"/>
      <c r="AD1" s="903" t="s">
        <v>8</v>
      </c>
      <c r="AE1" s="904"/>
      <c r="AF1" s="904"/>
      <c r="AG1" s="953"/>
      <c r="AH1" s="954" t="s">
        <v>1033</v>
      </c>
      <c r="AI1" s="955"/>
      <c r="AJ1" s="955"/>
      <c r="AK1" s="955"/>
      <c r="AL1" s="956"/>
      <c r="AM1" s="903" t="s">
        <v>9</v>
      </c>
      <c r="AN1" s="904"/>
      <c r="AO1" s="904"/>
      <c r="AP1" s="953"/>
      <c r="AQ1" s="900">
        <v>42881</v>
      </c>
      <c r="AR1" s="901"/>
      <c r="AS1" s="901"/>
      <c r="AT1" s="902"/>
      <c r="AU1" s="903" t="s">
        <v>0</v>
      </c>
      <c r="AV1" s="904"/>
      <c r="AW1" s="904"/>
      <c r="AX1" s="905"/>
    </row>
    <row r="2" spans="1:87" s="79" customFormat="1" ht="12">
      <c r="A2" s="943"/>
      <c r="B2" s="944"/>
      <c r="C2" s="944"/>
      <c r="D2" s="944"/>
      <c r="E2" s="944"/>
      <c r="F2" s="944"/>
      <c r="G2" s="945"/>
      <c r="H2" s="906" t="s">
        <v>10</v>
      </c>
      <c r="I2" s="907"/>
      <c r="J2" s="907"/>
      <c r="K2" s="908"/>
      <c r="L2" s="909" t="s">
        <v>1062</v>
      </c>
      <c r="M2" s="910"/>
      <c r="N2" s="910"/>
      <c r="O2" s="910"/>
      <c r="P2" s="910"/>
      <c r="Q2" s="910"/>
      <c r="R2" s="911"/>
      <c r="S2" s="912" t="s">
        <v>41</v>
      </c>
      <c r="T2" s="907"/>
      <c r="U2" s="907"/>
      <c r="V2" s="908"/>
      <c r="W2" s="909" t="s">
        <v>1065</v>
      </c>
      <c r="X2" s="910"/>
      <c r="Y2" s="910"/>
      <c r="Z2" s="910"/>
      <c r="AA2" s="910"/>
      <c r="AB2" s="910"/>
      <c r="AC2" s="911"/>
      <c r="AD2" s="913" t="s">
        <v>11</v>
      </c>
      <c r="AE2" s="914"/>
      <c r="AF2" s="914"/>
      <c r="AG2" s="915"/>
      <c r="AH2" s="916" t="s">
        <v>1033</v>
      </c>
      <c r="AI2" s="917"/>
      <c r="AJ2" s="917"/>
      <c r="AK2" s="917"/>
      <c r="AL2" s="918"/>
      <c r="AM2" s="919" t="s">
        <v>12</v>
      </c>
      <c r="AN2" s="920"/>
      <c r="AO2" s="920"/>
      <c r="AP2" s="921"/>
      <c r="AQ2" s="922">
        <v>43007</v>
      </c>
      <c r="AR2" s="923"/>
      <c r="AS2" s="923"/>
      <c r="AT2" s="923"/>
      <c r="AU2" s="924" t="s">
        <v>1066</v>
      </c>
      <c r="AV2" s="925"/>
      <c r="AW2" s="925"/>
      <c r="AX2" s="926"/>
    </row>
    <row r="3" spans="1:87" s="79" customFormat="1" ht="12.75" thickBot="1">
      <c r="A3" s="946"/>
      <c r="B3" s="947"/>
      <c r="C3" s="947"/>
      <c r="D3" s="947"/>
      <c r="E3" s="947"/>
      <c r="F3" s="947"/>
      <c r="G3" s="948"/>
      <c r="H3" s="930" t="s">
        <v>14</v>
      </c>
      <c r="I3" s="930"/>
      <c r="J3" s="930"/>
      <c r="K3" s="931"/>
      <c r="L3" s="932" t="s">
        <v>1060</v>
      </c>
      <c r="M3" s="933"/>
      <c r="N3" s="933"/>
      <c r="O3" s="933"/>
      <c r="P3" s="933"/>
      <c r="Q3" s="933"/>
      <c r="R3" s="933"/>
      <c r="S3" s="957" t="s">
        <v>15</v>
      </c>
      <c r="T3" s="930"/>
      <c r="U3" s="930"/>
      <c r="V3" s="931"/>
      <c r="W3" s="932" t="s">
        <v>1063</v>
      </c>
      <c r="X3" s="958"/>
      <c r="Y3" s="958"/>
      <c r="Z3" s="958"/>
      <c r="AA3" s="958"/>
      <c r="AB3" s="958"/>
      <c r="AC3" s="958"/>
      <c r="AD3" s="958"/>
      <c r="AE3" s="958"/>
      <c r="AF3" s="958"/>
      <c r="AG3" s="958"/>
      <c r="AH3" s="958"/>
      <c r="AI3" s="958"/>
      <c r="AJ3" s="958"/>
      <c r="AK3" s="958"/>
      <c r="AL3" s="959"/>
      <c r="AM3" s="934" t="s">
        <v>13</v>
      </c>
      <c r="AN3" s="935"/>
      <c r="AO3" s="935"/>
      <c r="AP3" s="936"/>
      <c r="AQ3" s="897" t="s">
        <v>1032</v>
      </c>
      <c r="AR3" s="898"/>
      <c r="AS3" s="898"/>
      <c r="AT3" s="899"/>
      <c r="AU3" s="927"/>
      <c r="AV3" s="928"/>
      <c r="AW3" s="928"/>
      <c r="AX3" s="929"/>
    </row>
    <row r="4" spans="1:87" ht="14.25" thickBot="1">
      <c r="A4" s="759"/>
      <c r="B4" s="760"/>
      <c r="C4" s="760"/>
      <c r="D4" s="760"/>
      <c r="E4" s="760"/>
      <c r="F4" s="760"/>
      <c r="G4" s="760"/>
      <c r="H4" s="760"/>
      <c r="I4" s="760"/>
      <c r="J4" s="760"/>
      <c r="K4" s="760"/>
      <c r="L4" s="760"/>
      <c r="M4" s="760"/>
      <c r="N4" s="760"/>
      <c r="O4" s="760"/>
      <c r="P4" s="760"/>
      <c r="Q4" s="760"/>
      <c r="R4" s="760"/>
      <c r="S4" s="760"/>
      <c r="T4" s="760"/>
      <c r="U4" s="760"/>
      <c r="V4" s="760"/>
      <c r="W4" s="760"/>
      <c r="X4" s="760"/>
      <c r="Y4" s="760"/>
      <c r="Z4" s="760"/>
      <c r="AA4" s="760"/>
      <c r="AB4" s="760"/>
      <c r="AC4" s="760"/>
      <c r="AD4" s="760"/>
      <c r="AE4" s="760"/>
      <c r="AF4" s="760"/>
      <c r="AG4" s="760"/>
      <c r="AH4" s="760"/>
      <c r="AI4" s="760"/>
      <c r="AJ4" s="760"/>
      <c r="AK4" s="760"/>
      <c r="AL4" s="760"/>
      <c r="AM4" s="760"/>
      <c r="AN4" s="760"/>
      <c r="AO4" s="760"/>
      <c r="AP4" s="760"/>
      <c r="AQ4" s="760"/>
      <c r="AR4" s="760"/>
      <c r="AS4" s="760"/>
      <c r="AT4" s="760"/>
      <c r="AU4" s="760"/>
      <c r="AV4" s="760"/>
      <c r="AW4" s="760"/>
      <c r="AX4" s="761"/>
    </row>
    <row r="5" spans="1:87" s="79" customFormat="1" ht="12.75" thickBot="1">
      <c r="A5" s="67" t="s">
        <v>1333</v>
      </c>
      <c r="B5" s="7"/>
      <c r="C5" s="7"/>
      <c r="D5" s="7"/>
      <c r="E5" s="7"/>
      <c r="F5" s="7"/>
      <c r="G5" s="7"/>
      <c r="H5" s="7"/>
      <c r="I5" s="7"/>
      <c r="J5" s="7"/>
      <c r="K5" s="7"/>
      <c r="L5" s="7"/>
      <c r="M5" s="7"/>
      <c r="N5" s="7"/>
      <c r="O5" s="7"/>
      <c r="P5" s="7"/>
      <c r="Q5" s="7"/>
      <c r="R5" s="7"/>
      <c r="S5" s="7"/>
      <c r="T5" s="7"/>
      <c r="U5" s="7"/>
      <c r="V5" s="7"/>
      <c r="W5" s="7"/>
      <c r="X5" s="7"/>
      <c r="Y5" s="68"/>
      <c r="Z5" s="7"/>
      <c r="AA5" s="7"/>
      <c r="AB5" s="7"/>
      <c r="AC5" s="7"/>
      <c r="AD5" s="7"/>
      <c r="AE5" s="7"/>
      <c r="AF5" s="7"/>
      <c r="AG5" s="7"/>
      <c r="AH5" s="7"/>
      <c r="AI5" s="7"/>
      <c r="AJ5" s="7"/>
      <c r="AK5" s="7"/>
      <c r="AL5" s="7"/>
      <c r="AM5" s="7"/>
      <c r="AN5" s="7"/>
      <c r="AO5" s="7"/>
      <c r="AP5" s="7"/>
      <c r="AQ5" s="7"/>
      <c r="AR5" s="7"/>
      <c r="AS5" s="7"/>
      <c r="AT5" s="7"/>
      <c r="AU5" s="7"/>
      <c r="AV5" s="7"/>
      <c r="AW5" s="1005"/>
      <c r="AX5" s="1006"/>
    </row>
    <row r="6" spans="1:87" ht="14.25" thickTop="1">
      <c r="A6" s="759"/>
      <c r="B6" s="760"/>
      <c r="C6" s="760"/>
      <c r="D6" s="760"/>
      <c r="E6" s="760"/>
      <c r="F6" s="760"/>
      <c r="G6" s="760"/>
      <c r="H6" s="760"/>
      <c r="I6" s="760"/>
      <c r="J6" s="760"/>
      <c r="K6" s="760"/>
      <c r="L6" s="760"/>
      <c r="M6" s="760"/>
      <c r="N6" s="760"/>
      <c r="O6" s="760"/>
      <c r="P6" s="760"/>
      <c r="Q6" s="760"/>
      <c r="R6" s="760"/>
      <c r="S6" s="760"/>
      <c r="T6" s="760"/>
      <c r="U6" s="760"/>
      <c r="V6" s="760"/>
      <c r="W6" s="760"/>
      <c r="X6" s="760"/>
      <c r="Y6" s="760"/>
      <c r="Z6" s="760"/>
      <c r="AA6" s="760"/>
      <c r="AB6" s="760"/>
      <c r="AC6" s="760"/>
      <c r="AD6" s="760"/>
      <c r="AE6" s="760"/>
      <c r="AF6" s="760"/>
      <c r="AG6" s="760"/>
      <c r="AH6" s="760"/>
      <c r="AI6" s="760"/>
      <c r="AJ6" s="760"/>
      <c r="AK6" s="760"/>
      <c r="AL6" s="760"/>
      <c r="AM6" s="760"/>
      <c r="AN6" s="760"/>
      <c r="AO6" s="760"/>
      <c r="AP6" s="760"/>
      <c r="AQ6" s="760"/>
      <c r="AR6" s="760"/>
      <c r="AS6" s="760"/>
      <c r="AT6" s="760"/>
      <c r="AU6" s="760"/>
      <c r="AV6" s="760"/>
      <c r="AW6" s="760"/>
      <c r="AX6" s="761"/>
    </row>
    <row r="7" spans="1:87">
      <c r="A7" s="759"/>
      <c r="B7" s="760"/>
      <c r="C7" s="760" t="s">
        <v>1334</v>
      </c>
      <c r="D7" s="760" t="s">
        <v>1335</v>
      </c>
      <c r="E7" s="760"/>
      <c r="F7" s="760"/>
      <c r="G7" s="760"/>
      <c r="H7" s="760"/>
      <c r="I7" s="760"/>
      <c r="J7" s="760"/>
      <c r="K7" s="760"/>
      <c r="L7" s="760"/>
      <c r="M7" s="760"/>
      <c r="N7" s="760"/>
      <c r="O7" s="760"/>
      <c r="P7" s="760"/>
      <c r="Q7" s="760"/>
      <c r="R7" s="760"/>
      <c r="S7" s="760"/>
      <c r="T7" s="760"/>
      <c r="U7" s="760"/>
      <c r="V7" s="760"/>
      <c r="W7" s="760"/>
      <c r="X7" s="760"/>
      <c r="Y7" s="760"/>
      <c r="Z7" s="760"/>
      <c r="AA7" s="760"/>
      <c r="AB7" s="760"/>
      <c r="AC7" s="760"/>
      <c r="AD7" s="760"/>
      <c r="AE7" s="760"/>
      <c r="AF7" s="760"/>
      <c r="AG7" s="760"/>
      <c r="AH7" s="760"/>
      <c r="AI7" s="760"/>
      <c r="AJ7" s="760"/>
      <c r="AK7" s="760"/>
      <c r="AL7" s="760"/>
      <c r="AM7" s="760"/>
      <c r="AN7" s="760"/>
      <c r="AO7" s="760"/>
      <c r="AP7" s="760"/>
      <c r="AQ7" s="760"/>
      <c r="AR7" s="760"/>
      <c r="AS7" s="760"/>
      <c r="AT7" s="760"/>
      <c r="AU7" s="760"/>
      <c r="AV7" s="760"/>
      <c r="AW7" s="760"/>
      <c r="AX7" s="761"/>
    </row>
    <row r="8" spans="1:87" s="100" customFormat="1" ht="15.75" customHeight="1">
      <c r="A8" s="46"/>
      <c r="B8" s="462"/>
      <c r="C8" s="466"/>
      <c r="D8" s="466"/>
      <c r="E8" s="97"/>
      <c r="F8" s="97"/>
      <c r="G8" s="97"/>
      <c r="H8" s="97"/>
      <c r="I8" s="97"/>
      <c r="J8" s="97"/>
      <c r="K8" s="97"/>
      <c r="L8" s="97"/>
      <c r="M8" s="97"/>
      <c r="N8" s="97"/>
      <c r="O8" s="97"/>
      <c r="P8" s="97"/>
      <c r="Q8" s="741"/>
      <c r="R8" s="97"/>
      <c r="S8" s="97"/>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62"/>
      <c r="AY8" s="474"/>
      <c r="AZ8" s="474"/>
      <c r="BA8" s="474"/>
      <c r="BB8" s="474"/>
      <c r="BC8" s="721"/>
      <c r="BD8" s="721"/>
      <c r="BE8" s="721"/>
      <c r="BF8" s="721"/>
      <c r="BG8" s="721"/>
      <c r="BH8" s="721"/>
      <c r="BI8" s="721"/>
      <c r="BJ8" s="721"/>
      <c r="BK8" s="721"/>
      <c r="BL8" s="721"/>
      <c r="BM8" s="721"/>
      <c r="BN8" s="721"/>
      <c r="BO8" s="721"/>
      <c r="BP8" s="721"/>
      <c r="BQ8" s="721"/>
      <c r="BR8" s="721"/>
      <c r="BS8" s="721"/>
      <c r="BT8" s="97"/>
      <c r="BU8" s="97"/>
      <c r="BV8" s="97"/>
      <c r="BW8" s="97"/>
      <c r="BX8" s="97"/>
      <c r="BY8" s="97"/>
      <c r="BZ8" s="97"/>
      <c r="CA8" s="97"/>
      <c r="CB8" s="97"/>
      <c r="CC8" s="97"/>
      <c r="CD8" s="97"/>
      <c r="CE8" s="97"/>
      <c r="CF8" s="97"/>
      <c r="CG8" s="468"/>
      <c r="CH8" s="468"/>
      <c r="CI8" s="468"/>
    </row>
    <row r="9" spans="1:87" s="100" customFormat="1" ht="15.75" customHeight="1">
      <c r="A9" s="46"/>
      <c r="B9" s="462"/>
      <c r="C9" s="466"/>
      <c r="D9" s="466"/>
      <c r="E9" s="97"/>
      <c r="F9" s="97"/>
      <c r="G9" s="97"/>
      <c r="H9" s="97"/>
      <c r="I9" s="97"/>
      <c r="J9" s="97"/>
      <c r="K9" s="97"/>
      <c r="L9" s="97"/>
      <c r="M9" s="97"/>
      <c r="N9" s="97"/>
      <c r="O9" s="97"/>
      <c r="P9" s="97"/>
      <c r="Q9" s="741"/>
      <c r="R9" s="97"/>
      <c r="S9" s="97"/>
      <c r="T9" s="721"/>
      <c r="U9" s="721"/>
      <c r="V9" s="721"/>
      <c r="W9" s="721"/>
      <c r="X9" s="721"/>
      <c r="Y9" s="721"/>
      <c r="Z9" s="721"/>
      <c r="AA9" s="721"/>
      <c r="AB9" s="721"/>
      <c r="AC9" s="721"/>
      <c r="AD9" s="721"/>
      <c r="AE9" s="721"/>
      <c r="AF9" s="721"/>
      <c r="AG9" s="721"/>
      <c r="AH9" s="721"/>
      <c r="AI9" s="721"/>
      <c r="AJ9" s="721"/>
      <c r="AK9" s="721"/>
      <c r="AL9" s="721"/>
      <c r="AM9" s="721"/>
      <c r="AN9" s="721"/>
      <c r="AO9" s="721"/>
      <c r="AP9" s="721"/>
      <c r="AQ9" s="721"/>
      <c r="AR9" s="721"/>
      <c r="AS9" s="721"/>
      <c r="AT9" s="721"/>
      <c r="AU9" s="721"/>
      <c r="AV9" s="721"/>
      <c r="AW9" s="721"/>
      <c r="AX9" s="762"/>
      <c r="AY9" s="474"/>
      <c r="AZ9" s="474"/>
      <c r="BA9" s="474"/>
      <c r="BB9" s="474"/>
      <c r="BC9" s="721"/>
      <c r="BD9" s="721"/>
      <c r="BE9" s="721"/>
      <c r="BF9" s="721"/>
      <c r="BG9" s="721"/>
      <c r="BH9" s="721"/>
      <c r="BI9" s="721"/>
      <c r="BJ9" s="721"/>
      <c r="BK9" s="721"/>
      <c r="BL9" s="721"/>
      <c r="BM9" s="721"/>
      <c r="BN9" s="721"/>
      <c r="BO9" s="721"/>
      <c r="BP9" s="721"/>
      <c r="BQ9" s="721"/>
      <c r="BR9" s="721"/>
      <c r="BS9" s="721"/>
      <c r="BT9" s="97"/>
      <c r="BU9" s="97"/>
      <c r="BV9" s="97"/>
      <c r="BW9" s="97"/>
      <c r="BX9" s="97"/>
      <c r="BY9" s="97"/>
      <c r="BZ9" s="97"/>
      <c r="CA9" s="97"/>
      <c r="CB9" s="97"/>
      <c r="CC9" s="97"/>
      <c r="CD9" s="97"/>
      <c r="CE9" s="97"/>
      <c r="CF9" s="97"/>
      <c r="CG9" s="468"/>
      <c r="CH9" s="468"/>
      <c r="CI9" s="468"/>
    </row>
    <row r="10" spans="1:87" s="100" customFormat="1" ht="15.75" customHeight="1">
      <c r="A10" s="46"/>
      <c r="B10" s="462"/>
      <c r="C10" s="466"/>
      <c r="D10" s="466"/>
      <c r="E10" s="97"/>
      <c r="F10" s="97"/>
      <c r="G10" s="97"/>
      <c r="H10" s="97"/>
      <c r="I10" s="97"/>
      <c r="J10" s="97"/>
      <c r="K10" s="97"/>
      <c r="L10" s="97"/>
      <c r="M10" s="97"/>
      <c r="N10" s="97"/>
      <c r="O10" s="97"/>
      <c r="P10" s="97"/>
      <c r="Q10" s="741"/>
      <c r="R10" s="97"/>
      <c r="S10" s="97"/>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62"/>
      <c r="AY10" s="474"/>
      <c r="AZ10" s="474"/>
      <c r="BA10" s="474"/>
      <c r="BB10" s="474"/>
      <c r="BC10" s="721"/>
      <c r="BD10" s="721"/>
      <c r="BE10" s="721"/>
      <c r="BF10" s="721"/>
      <c r="BG10" s="721"/>
      <c r="BH10" s="721"/>
      <c r="BI10" s="721"/>
      <c r="BJ10" s="721"/>
      <c r="BK10" s="721"/>
      <c r="BL10" s="721"/>
      <c r="BM10" s="721"/>
      <c r="BN10" s="721"/>
      <c r="BO10" s="721"/>
      <c r="BP10" s="721"/>
      <c r="BQ10" s="721"/>
      <c r="BR10" s="721"/>
      <c r="BS10" s="721"/>
      <c r="BT10" s="97"/>
      <c r="BU10" s="97"/>
      <c r="BV10" s="97"/>
      <c r="BW10" s="97"/>
      <c r="BX10" s="97"/>
      <c r="BY10" s="97"/>
      <c r="BZ10" s="97"/>
      <c r="CA10" s="97"/>
      <c r="CB10" s="97"/>
      <c r="CC10" s="97"/>
      <c r="CD10" s="97"/>
      <c r="CE10" s="97"/>
      <c r="CF10" s="97"/>
      <c r="CG10" s="468"/>
      <c r="CH10" s="468"/>
      <c r="CI10" s="468"/>
    </row>
    <row r="11" spans="1:87" s="100" customFormat="1" ht="15.75" customHeight="1">
      <c r="A11" s="46"/>
      <c r="B11" s="462"/>
      <c r="C11" s="466"/>
      <c r="D11" s="466"/>
      <c r="E11" s="97"/>
      <c r="F11" s="97"/>
      <c r="G11" s="97"/>
      <c r="H11" s="97"/>
      <c r="I11" s="97"/>
      <c r="J11" s="97"/>
      <c r="K11" s="97"/>
      <c r="L11" s="97"/>
      <c r="M11" s="97"/>
      <c r="N11" s="97"/>
      <c r="O11" s="97"/>
      <c r="P11" s="97"/>
      <c r="Q11" s="741"/>
      <c r="R11" s="97"/>
      <c r="S11" s="97"/>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62"/>
      <c r="AY11" s="474"/>
      <c r="AZ11" s="474"/>
      <c r="BA11" s="474"/>
      <c r="BB11" s="474"/>
      <c r="BC11" s="721"/>
      <c r="BD11" s="721"/>
      <c r="BE11" s="721"/>
      <c r="BF11" s="721"/>
      <c r="BG11" s="721"/>
      <c r="BH11" s="721"/>
      <c r="BI11" s="721"/>
      <c r="BJ11" s="721"/>
      <c r="BK11" s="721"/>
      <c r="BL11" s="721"/>
      <c r="BM11" s="721"/>
      <c r="BN11" s="721"/>
      <c r="BO11" s="721"/>
      <c r="BP11" s="721"/>
      <c r="BQ11" s="721"/>
      <c r="BR11" s="721"/>
      <c r="BS11" s="721"/>
      <c r="BT11" s="97"/>
      <c r="BU11" s="97"/>
      <c r="BV11" s="97"/>
      <c r="BW11" s="97"/>
      <c r="BX11" s="97"/>
      <c r="BY11" s="97"/>
      <c r="BZ11" s="97"/>
      <c r="CA11" s="97"/>
      <c r="CB11" s="97"/>
      <c r="CC11" s="97"/>
      <c r="CD11" s="97"/>
      <c r="CE11" s="97"/>
      <c r="CF11" s="97"/>
      <c r="CG11" s="468"/>
      <c r="CH11" s="468"/>
      <c r="CI11" s="468"/>
    </row>
    <row r="12" spans="1:87" s="100" customFormat="1" ht="15.75" customHeight="1">
      <c r="A12" s="46"/>
      <c r="B12" s="462"/>
      <c r="C12" s="466"/>
      <c r="D12" s="466"/>
      <c r="E12" s="97"/>
      <c r="F12" s="97"/>
      <c r="G12" s="97"/>
      <c r="H12" s="97"/>
      <c r="I12" s="97"/>
      <c r="J12" s="97"/>
      <c r="K12" s="97"/>
      <c r="L12" s="97"/>
      <c r="M12" s="97"/>
      <c r="N12" s="97"/>
      <c r="O12" s="97"/>
      <c r="P12" s="97"/>
      <c r="Q12" s="741"/>
      <c r="R12" s="97"/>
      <c r="S12" s="97"/>
      <c r="T12" s="721"/>
      <c r="U12" s="721"/>
      <c r="V12" s="721"/>
      <c r="W12" s="721"/>
      <c r="X12" s="721"/>
      <c r="Y12" s="721"/>
      <c r="Z12" s="721"/>
      <c r="AA12" s="721"/>
      <c r="AB12" s="721"/>
      <c r="AC12" s="721"/>
      <c r="AD12" s="721"/>
      <c r="AE12" s="721"/>
      <c r="AF12" s="721"/>
      <c r="AG12" s="721"/>
      <c r="AH12" s="721"/>
      <c r="AI12" s="721"/>
      <c r="AJ12" s="721"/>
      <c r="AK12" s="721"/>
      <c r="AL12" s="721"/>
      <c r="AM12" s="721"/>
      <c r="AN12" s="721"/>
      <c r="AO12" s="721"/>
      <c r="AP12" s="721"/>
      <c r="AQ12" s="721"/>
      <c r="AR12" s="721"/>
      <c r="AS12" s="721"/>
      <c r="AT12" s="721"/>
      <c r="AU12" s="721"/>
      <c r="AV12" s="721"/>
      <c r="AW12" s="721"/>
      <c r="AX12" s="762"/>
      <c r="AY12" s="474"/>
      <c r="AZ12" s="474"/>
      <c r="BA12" s="474"/>
      <c r="BB12" s="474"/>
      <c r="BC12" s="721"/>
      <c r="BD12" s="721"/>
      <c r="BE12" s="721"/>
      <c r="BF12" s="721"/>
      <c r="BG12" s="721"/>
      <c r="BH12" s="721"/>
      <c r="BI12" s="721"/>
      <c r="BJ12" s="721"/>
      <c r="BK12" s="721"/>
      <c r="BL12" s="721"/>
      <c r="BM12" s="721"/>
      <c r="BN12" s="721"/>
      <c r="BO12" s="721"/>
      <c r="BP12" s="721"/>
      <c r="BQ12" s="721"/>
      <c r="BR12" s="721"/>
      <c r="BS12" s="721"/>
      <c r="BT12" s="97"/>
      <c r="BU12" s="97"/>
      <c r="BV12" s="97"/>
      <c r="BW12" s="97"/>
      <c r="BX12" s="97"/>
      <c r="BY12" s="97"/>
      <c r="BZ12" s="97"/>
      <c r="CA12" s="97"/>
      <c r="CB12" s="97"/>
      <c r="CC12" s="97"/>
      <c r="CD12" s="97"/>
      <c r="CE12" s="97"/>
      <c r="CF12" s="97"/>
      <c r="CG12" s="468"/>
      <c r="CH12" s="468"/>
      <c r="CI12" s="468"/>
    </row>
    <row r="13" spans="1:87" s="100" customFormat="1" ht="15.75" customHeight="1">
      <c r="A13" s="46"/>
      <c r="B13" s="462"/>
      <c r="C13" s="466"/>
      <c r="D13" s="466"/>
      <c r="E13" s="97"/>
      <c r="F13" s="97"/>
      <c r="G13" s="97"/>
      <c r="H13" s="97"/>
      <c r="I13" s="97"/>
      <c r="J13" s="97"/>
      <c r="K13" s="97"/>
      <c r="L13" s="97"/>
      <c r="M13" s="97"/>
      <c r="N13" s="97"/>
      <c r="O13" s="97"/>
      <c r="P13" s="97"/>
      <c r="Q13" s="741"/>
      <c r="R13" s="97"/>
      <c r="S13" s="97"/>
      <c r="T13" s="721"/>
      <c r="U13" s="721"/>
      <c r="V13" s="721"/>
      <c r="W13" s="721"/>
      <c r="X13" s="721"/>
      <c r="Y13" s="721"/>
      <c r="Z13" s="721"/>
      <c r="AA13" s="721"/>
      <c r="AB13" s="721"/>
      <c r="AC13" s="721"/>
      <c r="AD13" s="721"/>
      <c r="AE13" s="721"/>
      <c r="AF13" s="721"/>
      <c r="AG13" s="721"/>
      <c r="AH13" s="721"/>
      <c r="AI13" s="721"/>
      <c r="AJ13" s="721"/>
      <c r="AK13" s="721"/>
      <c r="AL13" s="721"/>
      <c r="AM13" s="721"/>
      <c r="AN13" s="721"/>
      <c r="AO13" s="721"/>
      <c r="AP13" s="721"/>
      <c r="AQ13" s="721"/>
      <c r="AR13" s="721"/>
      <c r="AS13" s="721"/>
      <c r="AT13" s="721"/>
      <c r="AU13" s="721"/>
      <c r="AV13" s="721"/>
      <c r="AW13" s="721"/>
      <c r="AX13" s="762"/>
      <c r="AY13" s="474"/>
      <c r="AZ13" s="474"/>
      <c r="BA13" s="474"/>
      <c r="BB13" s="474"/>
      <c r="BC13" s="721"/>
      <c r="BD13" s="721"/>
      <c r="BE13" s="721"/>
      <c r="BF13" s="721"/>
      <c r="BG13" s="721"/>
      <c r="BH13" s="721"/>
      <c r="BI13" s="721"/>
      <c r="BJ13" s="721"/>
      <c r="BK13" s="721"/>
      <c r="BL13" s="721"/>
      <c r="BM13" s="721"/>
      <c r="BN13" s="721"/>
      <c r="BO13" s="721"/>
      <c r="BP13" s="721"/>
      <c r="BQ13" s="721"/>
      <c r="BR13" s="721"/>
      <c r="BS13" s="721"/>
      <c r="BT13" s="97"/>
      <c r="BU13" s="97"/>
      <c r="BV13" s="97"/>
      <c r="BW13" s="97"/>
      <c r="BX13" s="97"/>
      <c r="BY13" s="97"/>
      <c r="BZ13" s="97"/>
      <c r="CA13" s="97"/>
      <c r="CB13" s="97"/>
      <c r="CC13" s="97"/>
      <c r="CD13" s="97"/>
      <c r="CE13" s="97"/>
      <c r="CF13" s="97"/>
      <c r="CG13" s="468"/>
      <c r="CH13" s="468"/>
      <c r="CI13" s="468"/>
    </row>
    <row r="14" spans="1:87" s="100" customFormat="1" ht="15.75" customHeight="1">
      <c r="A14" s="46"/>
      <c r="B14" s="462"/>
      <c r="C14" s="466"/>
      <c r="D14" s="466"/>
      <c r="E14" s="97"/>
      <c r="F14" s="97"/>
      <c r="G14" s="97"/>
      <c r="H14" s="97"/>
      <c r="I14" s="97"/>
      <c r="J14" s="97"/>
      <c r="K14" s="97"/>
      <c r="L14" s="97"/>
      <c r="M14" s="97"/>
      <c r="N14" s="97"/>
      <c r="O14" s="97"/>
      <c r="P14" s="97"/>
      <c r="Q14" s="741"/>
      <c r="R14" s="97"/>
      <c r="S14" s="97"/>
      <c r="T14" s="721"/>
      <c r="U14" s="721"/>
      <c r="V14" s="721"/>
      <c r="W14" s="721"/>
      <c r="X14" s="721"/>
      <c r="Y14" s="721"/>
      <c r="Z14" s="721"/>
      <c r="AA14" s="721"/>
      <c r="AB14" s="721"/>
      <c r="AC14" s="721"/>
      <c r="AD14" s="721"/>
      <c r="AE14" s="721"/>
      <c r="AF14" s="721"/>
      <c r="AG14" s="721"/>
      <c r="AH14" s="721"/>
      <c r="AI14" s="721"/>
      <c r="AJ14" s="721"/>
      <c r="AK14" s="721"/>
      <c r="AL14" s="721"/>
      <c r="AM14" s="721"/>
      <c r="AN14" s="721"/>
      <c r="AO14" s="721"/>
      <c r="AP14" s="721"/>
      <c r="AQ14" s="721"/>
      <c r="AR14" s="721"/>
      <c r="AS14" s="721"/>
      <c r="AT14" s="721"/>
      <c r="AU14" s="721"/>
      <c r="AV14" s="721"/>
      <c r="AW14" s="721"/>
      <c r="AX14" s="762"/>
      <c r="AY14" s="474"/>
      <c r="AZ14" s="474"/>
      <c r="BA14" s="474"/>
      <c r="BB14" s="474"/>
      <c r="BC14" s="721"/>
      <c r="BD14" s="721"/>
      <c r="BE14" s="721"/>
      <c r="BF14" s="721"/>
      <c r="BG14" s="721"/>
      <c r="BH14" s="721"/>
      <c r="BI14" s="721"/>
      <c r="BJ14" s="721"/>
      <c r="BK14" s="721"/>
      <c r="BL14" s="721"/>
      <c r="BM14" s="721"/>
      <c r="BN14" s="721"/>
      <c r="BO14" s="721"/>
      <c r="BP14" s="721"/>
      <c r="BQ14" s="721"/>
      <c r="BR14" s="721"/>
      <c r="BS14" s="721"/>
      <c r="BT14" s="97"/>
      <c r="BU14" s="97"/>
      <c r="BV14" s="97"/>
      <c r="BW14" s="97"/>
      <c r="BX14" s="97"/>
      <c r="BY14" s="97"/>
      <c r="BZ14" s="97"/>
      <c r="CA14" s="97"/>
      <c r="CB14" s="97"/>
      <c r="CC14" s="97"/>
      <c r="CD14" s="97"/>
      <c r="CE14" s="97"/>
      <c r="CF14" s="97"/>
      <c r="CG14" s="468"/>
      <c r="CH14" s="468"/>
      <c r="CI14" s="468"/>
    </row>
    <row r="15" spans="1:87" s="100" customFormat="1" ht="15.75" customHeight="1">
      <c r="A15" s="46"/>
      <c r="B15" s="462"/>
      <c r="C15" s="466"/>
      <c r="D15" s="466"/>
      <c r="E15" s="97"/>
      <c r="F15" s="97"/>
      <c r="G15" s="97"/>
      <c r="H15" s="97"/>
      <c r="I15" s="97"/>
      <c r="J15" s="97"/>
      <c r="K15" s="97"/>
      <c r="L15" s="97"/>
      <c r="M15" s="97"/>
      <c r="N15" s="97"/>
      <c r="O15" s="97"/>
      <c r="P15" s="97"/>
      <c r="Q15" s="741"/>
      <c r="R15" s="97"/>
      <c r="S15" s="97"/>
      <c r="T15" s="721"/>
      <c r="U15" s="721"/>
      <c r="V15" s="721"/>
      <c r="W15" s="721"/>
      <c r="X15" s="721"/>
      <c r="Y15" s="721"/>
      <c r="Z15" s="721"/>
      <c r="AA15" s="721"/>
      <c r="AB15" s="721"/>
      <c r="AC15" s="721"/>
      <c r="AD15" s="721"/>
      <c r="AE15" s="721"/>
      <c r="AF15" s="721"/>
      <c r="AG15" s="721"/>
      <c r="AH15" s="721"/>
      <c r="AI15" s="721"/>
      <c r="AJ15" s="721"/>
      <c r="AK15" s="721"/>
      <c r="AL15" s="721"/>
      <c r="AM15" s="721"/>
      <c r="AN15" s="721"/>
      <c r="AO15" s="721"/>
      <c r="AP15" s="721"/>
      <c r="AQ15" s="721"/>
      <c r="AR15" s="721"/>
      <c r="AS15" s="721"/>
      <c r="AT15" s="721"/>
      <c r="AU15" s="721"/>
      <c r="AV15" s="721"/>
      <c r="AW15" s="721"/>
      <c r="AX15" s="762"/>
      <c r="AY15" s="474"/>
      <c r="AZ15" s="474"/>
      <c r="BA15" s="474"/>
      <c r="BB15" s="474"/>
      <c r="BC15" s="721"/>
      <c r="BD15" s="721"/>
      <c r="BE15" s="721"/>
      <c r="BF15" s="721"/>
      <c r="BG15" s="721"/>
      <c r="BH15" s="721"/>
      <c r="BI15" s="721"/>
      <c r="BJ15" s="721"/>
      <c r="BK15" s="721"/>
      <c r="BL15" s="721"/>
      <c r="BM15" s="721"/>
      <c r="BN15" s="721"/>
      <c r="BO15" s="721"/>
      <c r="BP15" s="721"/>
      <c r="BQ15" s="721"/>
      <c r="BR15" s="721"/>
      <c r="BS15" s="721"/>
      <c r="BT15" s="97"/>
      <c r="BU15" s="97"/>
      <c r="BV15" s="97"/>
      <c r="BW15" s="97"/>
      <c r="BX15" s="97"/>
      <c r="BY15" s="97"/>
      <c r="BZ15" s="97"/>
      <c r="CA15" s="97"/>
      <c r="CB15" s="97"/>
      <c r="CC15" s="97"/>
      <c r="CD15" s="97"/>
      <c r="CE15" s="97"/>
      <c r="CF15" s="97"/>
      <c r="CG15" s="468"/>
      <c r="CH15" s="468"/>
      <c r="CI15" s="468"/>
    </row>
    <row r="16" spans="1:87" s="100" customFormat="1" ht="15.75" customHeight="1">
      <c r="A16" s="46"/>
      <c r="B16" s="462"/>
      <c r="C16" s="466"/>
      <c r="D16" s="466"/>
      <c r="E16" s="97"/>
      <c r="F16" s="97"/>
      <c r="G16" s="97"/>
      <c r="H16" s="97"/>
      <c r="I16" s="97"/>
      <c r="J16" s="97"/>
      <c r="K16" s="97"/>
      <c r="L16" s="97"/>
      <c r="M16" s="97"/>
      <c r="N16" s="97"/>
      <c r="O16" s="97"/>
      <c r="P16" s="97"/>
      <c r="Q16" s="741"/>
      <c r="R16" s="97"/>
      <c r="S16" s="97"/>
      <c r="T16" s="721"/>
      <c r="U16" s="721"/>
      <c r="V16" s="721"/>
      <c r="W16" s="721"/>
      <c r="X16" s="721"/>
      <c r="Y16" s="721"/>
      <c r="Z16" s="721"/>
      <c r="AA16" s="721"/>
      <c r="AB16" s="721"/>
      <c r="AC16" s="721"/>
      <c r="AD16" s="721"/>
      <c r="AE16" s="721"/>
      <c r="AF16" s="721"/>
      <c r="AG16" s="721"/>
      <c r="AH16" s="721"/>
      <c r="AI16" s="721"/>
      <c r="AJ16" s="721"/>
      <c r="AK16" s="721"/>
      <c r="AL16" s="721"/>
      <c r="AM16" s="721"/>
      <c r="AN16" s="721"/>
      <c r="AO16" s="721"/>
      <c r="AP16" s="721"/>
      <c r="AQ16" s="721"/>
      <c r="AR16" s="721"/>
      <c r="AS16" s="721"/>
      <c r="AT16" s="721"/>
      <c r="AU16" s="721"/>
      <c r="AV16" s="721"/>
      <c r="AW16" s="721"/>
      <c r="AX16" s="762"/>
      <c r="AY16" s="474"/>
      <c r="AZ16" s="474"/>
      <c r="BA16" s="474"/>
      <c r="BB16" s="474"/>
      <c r="BC16" s="721"/>
      <c r="BD16" s="721"/>
      <c r="BE16" s="721"/>
      <c r="BF16" s="721"/>
      <c r="BG16" s="721"/>
      <c r="BH16" s="721"/>
      <c r="BI16" s="721"/>
      <c r="BJ16" s="721"/>
      <c r="BK16" s="721"/>
      <c r="BL16" s="721"/>
      <c r="BM16" s="721"/>
      <c r="BN16" s="721"/>
      <c r="BO16" s="721"/>
      <c r="BP16" s="721"/>
      <c r="BQ16" s="721"/>
      <c r="BR16" s="721"/>
      <c r="BS16" s="721"/>
      <c r="BT16" s="97"/>
      <c r="BU16" s="97"/>
      <c r="BV16" s="97"/>
      <c r="BW16" s="97"/>
      <c r="BX16" s="97"/>
      <c r="BY16" s="97"/>
      <c r="BZ16" s="97"/>
      <c r="CA16" s="97"/>
      <c r="CB16" s="97"/>
      <c r="CC16" s="97"/>
      <c r="CD16" s="97"/>
      <c r="CE16" s="97"/>
      <c r="CF16" s="97"/>
      <c r="CG16" s="468"/>
      <c r="CH16" s="468"/>
      <c r="CI16" s="468"/>
    </row>
    <row r="17" spans="1:87" s="100" customFormat="1" ht="15.75" customHeight="1">
      <c r="A17" s="46"/>
      <c r="B17" s="462"/>
      <c r="C17" s="466"/>
      <c r="D17" s="466"/>
      <c r="E17" s="97"/>
      <c r="F17" s="97"/>
      <c r="G17" s="97"/>
      <c r="H17" s="97"/>
      <c r="I17" s="97"/>
      <c r="J17" s="97"/>
      <c r="K17" s="97"/>
      <c r="L17" s="97"/>
      <c r="M17" s="97"/>
      <c r="N17" s="97"/>
      <c r="O17" s="97"/>
      <c r="P17" s="97"/>
      <c r="Q17" s="741"/>
      <c r="R17" s="97"/>
      <c r="S17" s="97"/>
      <c r="T17" s="721"/>
      <c r="U17" s="721"/>
      <c r="V17" s="721"/>
      <c r="W17" s="721"/>
      <c r="X17" s="721"/>
      <c r="Y17" s="721"/>
      <c r="Z17" s="721"/>
      <c r="AA17" s="721"/>
      <c r="AB17" s="721"/>
      <c r="AC17" s="721"/>
      <c r="AD17" s="721"/>
      <c r="AE17" s="721"/>
      <c r="AF17" s="721"/>
      <c r="AG17" s="721"/>
      <c r="AH17" s="721"/>
      <c r="AI17" s="721"/>
      <c r="AJ17" s="721"/>
      <c r="AK17" s="721"/>
      <c r="AL17" s="721"/>
      <c r="AM17" s="721"/>
      <c r="AN17" s="721"/>
      <c r="AO17" s="721"/>
      <c r="AP17" s="721"/>
      <c r="AQ17" s="721"/>
      <c r="AR17" s="721"/>
      <c r="AS17" s="721"/>
      <c r="AT17" s="721"/>
      <c r="AU17" s="721"/>
      <c r="AV17" s="721"/>
      <c r="AW17" s="721"/>
      <c r="AX17" s="762"/>
      <c r="AY17" s="474"/>
      <c r="AZ17" s="474"/>
      <c r="BA17" s="474"/>
      <c r="BB17" s="474"/>
      <c r="BC17" s="721"/>
      <c r="BD17" s="721"/>
      <c r="BE17" s="721"/>
      <c r="BF17" s="721"/>
      <c r="BG17" s="721"/>
      <c r="BH17" s="721"/>
      <c r="BI17" s="721"/>
      <c r="BJ17" s="721"/>
      <c r="BK17" s="721"/>
      <c r="BL17" s="721"/>
      <c r="BM17" s="721"/>
      <c r="BN17" s="721"/>
      <c r="BO17" s="721"/>
      <c r="BP17" s="721"/>
      <c r="BQ17" s="721"/>
      <c r="BR17" s="721"/>
      <c r="BS17" s="721"/>
      <c r="BT17" s="97"/>
      <c r="BU17" s="97"/>
      <c r="BV17" s="97"/>
      <c r="BW17" s="97"/>
      <c r="BX17" s="97"/>
      <c r="BY17" s="97"/>
      <c r="BZ17" s="97"/>
      <c r="CA17" s="97"/>
      <c r="CB17" s="97"/>
      <c r="CC17" s="97"/>
      <c r="CD17" s="97"/>
      <c r="CE17" s="97"/>
      <c r="CF17" s="97"/>
      <c r="CG17" s="468"/>
      <c r="CH17" s="468"/>
      <c r="CI17" s="468"/>
    </row>
    <row r="18" spans="1:87" s="100" customFormat="1" ht="15.75" customHeight="1">
      <c r="A18" s="46"/>
      <c r="B18" s="462"/>
      <c r="C18" s="466"/>
      <c r="D18" s="466"/>
      <c r="E18" s="97"/>
      <c r="F18" s="97"/>
      <c r="G18" s="97"/>
      <c r="H18" s="97"/>
      <c r="I18" s="97"/>
      <c r="J18" s="97"/>
      <c r="K18" s="97"/>
      <c r="L18" s="97"/>
      <c r="M18" s="97"/>
      <c r="N18" s="97"/>
      <c r="O18" s="97"/>
      <c r="P18" s="97"/>
      <c r="Q18" s="741"/>
      <c r="R18" s="97"/>
      <c r="S18" s="97"/>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721"/>
      <c r="AW18" s="721"/>
      <c r="AX18" s="762"/>
      <c r="AY18" s="474"/>
      <c r="AZ18" s="474"/>
      <c r="BA18" s="474"/>
      <c r="BB18" s="474"/>
      <c r="BC18" s="721"/>
      <c r="BD18" s="721"/>
      <c r="BE18" s="721"/>
      <c r="BF18" s="721"/>
      <c r="BG18" s="721"/>
      <c r="BH18" s="721"/>
      <c r="BI18" s="721"/>
      <c r="BJ18" s="721"/>
      <c r="BK18" s="721"/>
      <c r="BL18" s="721"/>
      <c r="BM18" s="721"/>
      <c r="BN18" s="721"/>
      <c r="BO18" s="721"/>
      <c r="BP18" s="721"/>
      <c r="BQ18" s="721"/>
      <c r="BR18" s="721"/>
      <c r="BS18" s="721"/>
      <c r="BT18" s="97"/>
      <c r="BU18" s="97"/>
      <c r="BV18" s="97"/>
      <c r="BW18" s="97"/>
      <c r="BX18" s="97"/>
      <c r="BY18" s="97"/>
      <c r="BZ18" s="97"/>
      <c r="CA18" s="97"/>
      <c r="CB18" s="97"/>
      <c r="CC18" s="97"/>
      <c r="CD18" s="97"/>
      <c r="CE18" s="97"/>
      <c r="CF18" s="97"/>
      <c r="CG18" s="468"/>
      <c r="CH18" s="468"/>
      <c r="CI18" s="468"/>
    </row>
    <row r="19" spans="1:87" s="100" customFormat="1" ht="15.75" customHeight="1">
      <c r="A19" s="46"/>
      <c r="B19" s="97"/>
      <c r="C19" s="472"/>
      <c r="D19" s="472"/>
      <c r="E19" s="473"/>
      <c r="F19" s="472"/>
      <c r="G19" s="472"/>
      <c r="H19" s="472"/>
      <c r="I19" s="472"/>
      <c r="J19" s="472"/>
      <c r="K19" s="472"/>
      <c r="L19" s="472"/>
      <c r="M19" s="472"/>
      <c r="N19" s="472"/>
      <c r="O19" s="472"/>
      <c r="P19" s="472"/>
      <c r="Q19" s="472"/>
      <c r="R19" s="721"/>
      <c r="S19" s="721"/>
      <c r="T19" s="721"/>
      <c r="U19" s="721"/>
      <c r="V19" s="721"/>
      <c r="W19" s="721"/>
      <c r="X19" s="721"/>
      <c r="Y19" s="721"/>
      <c r="Z19" s="721"/>
      <c r="AA19" s="721"/>
      <c r="AB19" s="721"/>
      <c r="AC19" s="721"/>
      <c r="AD19" s="721"/>
      <c r="AE19" s="721"/>
      <c r="AF19" s="721"/>
      <c r="AG19" s="721"/>
      <c r="AH19" s="721"/>
      <c r="AI19" s="721"/>
      <c r="AJ19" s="721"/>
      <c r="AK19" s="721"/>
      <c r="AL19" s="721"/>
      <c r="AM19" s="721"/>
      <c r="AN19" s="721"/>
      <c r="AO19" s="721"/>
      <c r="AP19" s="721"/>
      <c r="AQ19" s="721"/>
      <c r="AR19" s="721"/>
      <c r="AS19" s="721"/>
      <c r="AT19" s="721"/>
      <c r="AU19" s="721"/>
      <c r="AV19" s="721"/>
      <c r="AW19" s="721"/>
      <c r="AX19" s="762"/>
      <c r="AY19" s="474"/>
      <c r="AZ19" s="474"/>
      <c r="BA19" s="474"/>
      <c r="BB19" s="474"/>
      <c r="BC19" s="721"/>
      <c r="BD19" s="721"/>
      <c r="BE19" s="721"/>
      <c r="BF19" s="721"/>
      <c r="BG19" s="721"/>
      <c r="BH19" s="721"/>
      <c r="BI19" s="721"/>
      <c r="BJ19" s="721"/>
      <c r="BK19" s="721"/>
      <c r="BL19" s="721"/>
      <c r="BM19" s="721"/>
      <c r="BN19" s="721"/>
      <c r="BO19" s="721"/>
      <c r="BP19" s="721"/>
      <c r="BQ19" s="721"/>
      <c r="BR19" s="721"/>
      <c r="BS19" s="721"/>
      <c r="BT19" s="97"/>
      <c r="BU19" s="97"/>
      <c r="BV19" s="97"/>
      <c r="BW19" s="97"/>
      <c r="BX19" s="97"/>
      <c r="BY19" s="97"/>
      <c r="BZ19" s="97"/>
      <c r="CA19" s="97"/>
      <c r="CB19" s="97"/>
      <c r="CC19" s="97"/>
      <c r="CD19" s="97"/>
      <c r="CE19" s="97"/>
      <c r="CF19" s="97"/>
      <c r="CG19" s="468"/>
      <c r="CH19" s="468"/>
      <c r="CI19" s="468"/>
    </row>
    <row r="20" spans="1:87" s="100" customFormat="1" ht="15.75" customHeight="1">
      <c r="A20" s="46"/>
      <c r="B20" s="97"/>
      <c r="C20" s="472"/>
      <c r="D20" s="472"/>
      <c r="E20" s="473"/>
      <c r="F20" s="472"/>
      <c r="G20" s="472"/>
      <c r="H20" s="472"/>
      <c r="I20" s="472"/>
      <c r="J20" s="472"/>
      <c r="K20" s="472"/>
      <c r="L20" s="472"/>
      <c r="M20" s="472"/>
      <c r="N20" s="472"/>
      <c r="O20" s="472"/>
      <c r="P20" s="472"/>
      <c r="Q20" s="472"/>
      <c r="R20" s="721"/>
      <c r="S20" s="721"/>
      <c r="T20" s="721"/>
      <c r="U20" s="721"/>
      <c r="V20" s="721"/>
      <c r="W20" s="721"/>
      <c r="X20" s="721"/>
      <c r="Y20" s="721"/>
      <c r="Z20" s="721"/>
      <c r="AA20" s="721"/>
      <c r="AB20" s="721"/>
      <c r="AC20" s="721"/>
      <c r="AD20" s="721"/>
      <c r="AE20" s="721"/>
      <c r="AF20" s="721"/>
      <c r="AG20" s="721"/>
      <c r="AH20" s="721"/>
      <c r="AI20" s="721"/>
      <c r="AJ20" s="721"/>
      <c r="AK20" s="721"/>
      <c r="AL20" s="721"/>
      <c r="AM20" s="721"/>
      <c r="AN20" s="721"/>
      <c r="AO20" s="721"/>
      <c r="AP20" s="721"/>
      <c r="AQ20" s="721"/>
      <c r="AR20" s="721"/>
      <c r="AS20" s="721"/>
      <c r="AT20" s="721"/>
      <c r="AU20" s="721"/>
      <c r="AV20" s="721"/>
      <c r="AW20" s="721"/>
      <c r="AX20" s="762"/>
      <c r="AY20" s="474"/>
      <c r="AZ20" s="474"/>
      <c r="BA20" s="474"/>
      <c r="BB20" s="474"/>
      <c r="BC20" s="721"/>
      <c r="BD20" s="721"/>
      <c r="BE20" s="721"/>
      <c r="BF20" s="721"/>
      <c r="BG20" s="721"/>
      <c r="BH20" s="721"/>
      <c r="BI20" s="721"/>
      <c r="BJ20" s="721"/>
      <c r="BK20" s="721"/>
      <c r="BL20" s="721"/>
      <c r="BM20" s="721"/>
      <c r="BN20" s="721"/>
      <c r="BO20" s="721"/>
      <c r="BP20" s="721"/>
      <c r="BQ20" s="721"/>
      <c r="BR20" s="721"/>
      <c r="BS20" s="721"/>
      <c r="BT20" s="97"/>
      <c r="BU20" s="97"/>
      <c r="BV20" s="97"/>
      <c r="BW20" s="97"/>
      <c r="BX20" s="97"/>
      <c r="BY20" s="97"/>
      <c r="BZ20" s="97"/>
      <c r="CA20" s="97"/>
      <c r="CB20" s="97"/>
      <c r="CC20" s="97"/>
      <c r="CD20" s="97"/>
      <c r="CE20" s="97"/>
      <c r="CF20" s="97"/>
      <c r="CG20" s="468"/>
      <c r="CH20" s="468"/>
      <c r="CI20" s="468"/>
    </row>
    <row r="21" spans="1:87" s="100" customFormat="1" ht="15.75" customHeight="1">
      <c r="A21" s="46"/>
      <c r="B21" s="97"/>
      <c r="C21" s="472"/>
      <c r="D21" s="472"/>
      <c r="E21" s="473"/>
      <c r="F21" s="472"/>
      <c r="G21" s="472"/>
      <c r="H21" s="472"/>
      <c r="I21" s="472"/>
      <c r="J21" s="472"/>
      <c r="K21" s="472"/>
      <c r="L21" s="472"/>
      <c r="M21" s="472"/>
      <c r="N21" s="472"/>
      <c r="O21" s="472"/>
      <c r="P21" s="472"/>
      <c r="Q21" s="472"/>
      <c r="R21" s="721"/>
      <c r="S21" s="721"/>
      <c r="T21" s="721"/>
      <c r="U21" s="721"/>
      <c r="V21" s="721"/>
      <c r="W21" s="721"/>
      <c r="X21" s="721"/>
      <c r="Y21" s="721"/>
      <c r="Z21" s="721"/>
      <c r="AA21" s="721"/>
      <c r="AB21" s="721"/>
      <c r="AC21" s="721"/>
      <c r="AD21" s="721"/>
      <c r="AE21" s="721"/>
      <c r="AF21" s="721"/>
      <c r="AG21" s="721"/>
      <c r="AH21" s="721"/>
      <c r="AI21" s="721"/>
      <c r="AJ21" s="721"/>
      <c r="AK21" s="721"/>
      <c r="AL21" s="721"/>
      <c r="AM21" s="721"/>
      <c r="AN21" s="721"/>
      <c r="AO21" s="721"/>
      <c r="AP21" s="721"/>
      <c r="AQ21" s="721"/>
      <c r="AR21" s="721"/>
      <c r="AS21" s="721"/>
      <c r="AT21" s="721"/>
      <c r="AU21" s="721"/>
      <c r="AV21" s="721"/>
      <c r="AW21" s="721"/>
      <c r="AX21" s="762"/>
      <c r="AY21" s="474"/>
      <c r="AZ21" s="474"/>
      <c r="BA21" s="474"/>
      <c r="BB21" s="474"/>
      <c r="BC21" s="721"/>
      <c r="BD21" s="721"/>
      <c r="BE21" s="721"/>
      <c r="BF21" s="721"/>
      <c r="BG21" s="721"/>
      <c r="BH21" s="721"/>
      <c r="BI21" s="721"/>
      <c r="BJ21" s="721"/>
      <c r="BK21" s="721"/>
      <c r="BL21" s="721"/>
      <c r="BM21" s="721"/>
      <c r="BN21" s="721"/>
      <c r="BO21" s="721"/>
      <c r="BP21" s="721"/>
      <c r="BQ21" s="721"/>
      <c r="BR21" s="721"/>
      <c r="BS21" s="721"/>
      <c r="BT21" s="97"/>
      <c r="BU21" s="97"/>
      <c r="BV21" s="97"/>
      <c r="BW21" s="97"/>
      <c r="BX21" s="97"/>
      <c r="BY21" s="97"/>
      <c r="BZ21" s="97"/>
      <c r="CA21" s="97"/>
      <c r="CB21" s="97"/>
      <c r="CC21" s="97"/>
      <c r="CD21" s="97"/>
      <c r="CE21" s="97"/>
      <c r="CF21" s="97"/>
      <c r="CG21" s="468"/>
      <c r="CH21" s="468"/>
      <c r="CI21" s="468"/>
    </row>
    <row r="22" spans="1:87" s="100" customFormat="1" ht="15.75" customHeight="1">
      <c r="A22" s="46"/>
      <c r="B22" s="97"/>
      <c r="C22" s="472"/>
      <c r="D22" s="472"/>
      <c r="E22" s="472"/>
      <c r="F22" s="472"/>
      <c r="G22" s="472"/>
      <c r="H22" s="472"/>
      <c r="I22" s="472"/>
      <c r="J22" s="472"/>
      <c r="K22" s="472"/>
      <c r="L22" s="472"/>
      <c r="M22" s="472"/>
      <c r="N22" s="472"/>
      <c r="O22" s="472"/>
      <c r="P22" s="472"/>
      <c r="Q22" s="472"/>
      <c r="R22" s="721"/>
      <c r="S22" s="721"/>
      <c r="T22" s="721"/>
      <c r="U22" s="721"/>
      <c r="V22" s="721"/>
      <c r="W22" s="721"/>
      <c r="X22" s="721"/>
      <c r="Y22" s="721"/>
      <c r="Z22" s="721"/>
      <c r="AA22" s="721"/>
      <c r="AB22" s="721"/>
      <c r="AC22" s="721"/>
      <c r="AD22" s="721"/>
      <c r="AE22" s="721"/>
      <c r="AF22" s="721"/>
      <c r="AG22" s="721"/>
      <c r="AH22" s="721"/>
      <c r="AI22" s="721"/>
      <c r="AJ22" s="721"/>
      <c r="AK22" s="721"/>
      <c r="AL22" s="721"/>
      <c r="AM22" s="721"/>
      <c r="AN22" s="721"/>
      <c r="AO22" s="721"/>
      <c r="AP22" s="721"/>
      <c r="AQ22" s="721"/>
      <c r="AR22" s="721"/>
      <c r="AS22" s="721"/>
      <c r="AT22" s="721"/>
      <c r="AU22" s="721"/>
      <c r="AV22" s="721"/>
      <c r="AW22" s="721"/>
      <c r="AX22" s="762"/>
      <c r="AY22" s="474"/>
      <c r="AZ22" s="474"/>
      <c r="BA22" s="474"/>
      <c r="BB22" s="474"/>
      <c r="BC22" s="721"/>
      <c r="BD22" s="721"/>
      <c r="BE22" s="721"/>
      <c r="BF22" s="721"/>
      <c r="BG22" s="721"/>
      <c r="BH22" s="721"/>
      <c r="BI22" s="721"/>
      <c r="BJ22" s="721"/>
      <c r="BK22" s="721"/>
      <c r="BL22" s="721"/>
      <c r="BM22" s="721"/>
      <c r="BN22" s="721"/>
      <c r="BO22" s="721"/>
      <c r="BP22" s="721"/>
      <c r="BQ22" s="721"/>
      <c r="BR22" s="721"/>
      <c r="BS22" s="721"/>
      <c r="BT22" s="97"/>
      <c r="BU22" s="97"/>
      <c r="BV22" s="97"/>
      <c r="BW22" s="97"/>
      <c r="BX22" s="97"/>
      <c r="BY22" s="97"/>
      <c r="BZ22" s="97"/>
      <c r="CA22" s="97"/>
      <c r="CB22" s="97"/>
      <c r="CC22" s="97"/>
      <c r="CD22" s="97"/>
      <c r="CE22" s="97"/>
      <c r="CF22" s="97"/>
      <c r="CG22" s="468"/>
      <c r="CH22" s="468"/>
      <c r="CI22" s="468"/>
    </row>
    <row r="23" spans="1:87" s="100" customFormat="1" ht="15.75" customHeight="1">
      <c r="A23" s="46"/>
      <c r="B23" s="97"/>
      <c r="C23" s="472"/>
      <c r="D23" s="472"/>
      <c r="E23" s="472"/>
      <c r="F23" s="472"/>
      <c r="G23" s="472"/>
      <c r="H23" s="472"/>
      <c r="I23" s="472"/>
      <c r="J23" s="472"/>
      <c r="K23" s="472"/>
      <c r="L23" s="472"/>
      <c r="M23" s="472"/>
      <c r="N23" s="472"/>
      <c r="O23" s="472"/>
      <c r="P23" s="472"/>
      <c r="Q23" s="472"/>
      <c r="R23" s="721"/>
      <c r="S23" s="721"/>
      <c r="T23" s="721"/>
      <c r="U23" s="721"/>
      <c r="V23" s="721"/>
      <c r="W23" s="721"/>
      <c r="X23" s="721"/>
      <c r="Y23" s="721"/>
      <c r="Z23" s="721"/>
      <c r="AA23" s="721"/>
      <c r="AB23" s="721"/>
      <c r="AC23" s="721"/>
      <c r="AD23" s="721"/>
      <c r="AE23" s="721"/>
      <c r="AF23" s="721"/>
      <c r="AG23" s="721"/>
      <c r="AH23" s="721"/>
      <c r="AI23" s="721"/>
      <c r="AJ23" s="721"/>
      <c r="AK23" s="721"/>
      <c r="AL23" s="721"/>
      <c r="AM23" s="721"/>
      <c r="AN23" s="721"/>
      <c r="AO23" s="721"/>
      <c r="AP23" s="721"/>
      <c r="AQ23" s="721"/>
      <c r="AR23" s="721"/>
      <c r="AS23" s="721"/>
      <c r="AT23" s="721"/>
      <c r="AU23" s="721"/>
      <c r="AV23" s="721"/>
      <c r="AW23" s="721"/>
      <c r="AX23" s="762"/>
      <c r="AY23" s="474"/>
      <c r="AZ23" s="474"/>
      <c r="BA23" s="474"/>
      <c r="BB23" s="474"/>
      <c r="BC23" s="721"/>
      <c r="BD23" s="721"/>
      <c r="BE23" s="721"/>
      <c r="BF23" s="721"/>
      <c r="BG23" s="721"/>
      <c r="BH23" s="721"/>
      <c r="BI23" s="721"/>
      <c r="BJ23" s="721"/>
      <c r="BK23" s="721"/>
      <c r="BL23" s="721"/>
      <c r="BM23" s="721"/>
      <c r="BN23" s="721"/>
      <c r="BO23" s="721"/>
      <c r="BP23" s="721"/>
      <c r="BQ23" s="721"/>
      <c r="BR23" s="721"/>
      <c r="BS23" s="721"/>
      <c r="BT23" s="97"/>
      <c r="BU23" s="97"/>
      <c r="BV23" s="97"/>
      <c r="BW23" s="97"/>
      <c r="BX23" s="97"/>
      <c r="BY23" s="97"/>
      <c r="BZ23" s="97"/>
      <c r="CA23" s="97"/>
      <c r="CB23" s="97"/>
      <c r="CC23" s="97"/>
      <c r="CD23" s="97"/>
      <c r="CE23" s="97"/>
      <c r="CF23" s="97"/>
      <c r="CG23" s="468"/>
      <c r="CH23" s="468"/>
      <c r="CI23" s="468"/>
    </row>
    <row r="24" spans="1:87" s="100" customFormat="1" ht="15.75" customHeight="1">
      <c r="A24" s="46"/>
      <c r="B24" s="97"/>
      <c r="C24" s="472"/>
      <c r="D24" s="472"/>
      <c r="E24" s="472"/>
      <c r="F24" s="472"/>
      <c r="G24" s="472"/>
      <c r="H24" s="472"/>
      <c r="I24" s="472"/>
      <c r="J24" s="472"/>
      <c r="K24" s="472"/>
      <c r="L24" s="472"/>
      <c r="M24" s="472"/>
      <c r="N24" s="472"/>
      <c r="O24" s="472"/>
      <c r="P24" s="472"/>
      <c r="Q24" s="472"/>
      <c r="R24" s="721"/>
      <c r="S24" s="721"/>
      <c r="T24" s="721"/>
      <c r="U24" s="721"/>
      <c r="V24" s="721"/>
      <c r="W24" s="721"/>
      <c r="X24" s="721"/>
      <c r="Y24" s="721"/>
      <c r="Z24" s="721"/>
      <c r="AA24" s="721"/>
      <c r="AB24" s="721"/>
      <c r="AC24" s="721"/>
      <c r="AD24" s="721"/>
      <c r="AE24" s="721"/>
      <c r="AF24" s="721"/>
      <c r="AG24" s="721"/>
      <c r="AH24" s="721"/>
      <c r="AI24" s="721"/>
      <c r="AJ24" s="721"/>
      <c r="AK24" s="721"/>
      <c r="AL24" s="721"/>
      <c r="AM24" s="721"/>
      <c r="AN24" s="721"/>
      <c r="AO24" s="721"/>
      <c r="AP24" s="721"/>
      <c r="AQ24" s="721"/>
      <c r="AR24" s="721"/>
      <c r="AS24" s="721"/>
      <c r="AT24" s="721"/>
      <c r="AU24" s="721"/>
      <c r="AV24" s="721"/>
      <c r="AW24" s="721"/>
      <c r="AX24" s="762"/>
      <c r="AY24" s="474"/>
      <c r="AZ24" s="474"/>
      <c r="BA24" s="474"/>
      <c r="BB24" s="474"/>
      <c r="BC24" s="721"/>
      <c r="BD24" s="721"/>
      <c r="BE24" s="721"/>
      <c r="BF24" s="721"/>
      <c r="BG24" s="721"/>
      <c r="BH24" s="721"/>
      <c r="BI24" s="721"/>
      <c r="BJ24" s="721"/>
      <c r="BK24" s="721"/>
      <c r="BL24" s="721"/>
      <c r="BM24" s="721"/>
      <c r="BN24" s="721"/>
      <c r="BO24" s="721"/>
      <c r="BP24" s="721"/>
      <c r="BQ24" s="721"/>
      <c r="BR24" s="721"/>
      <c r="BS24" s="721"/>
      <c r="BT24" s="97"/>
      <c r="BU24" s="97"/>
      <c r="BV24" s="97"/>
      <c r="BW24" s="97"/>
      <c r="BX24" s="97"/>
      <c r="BY24" s="97"/>
      <c r="BZ24" s="97"/>
      <c r="CA24" s="97"/>
      <c r="CB24" s="97"/>
      <c r="CC24" s="97"/>
      <c r="CD24" s="97"/>
      <c r="CE24" s="97"/>
      <c r="CF24" s="97"/>
      <c r="CG24" s="468"/>
      <c r="CH24" s="468"/>
      <c r="CI24" s="468"/>
    </row>
    <row r="25" spans="1:87" s="100" customFormat="1" ht="15.75" customHeight="1">
      <c r="A25" s="46"/>
      <c r="B25" s="97"/>
      <c r="C25" s="472"/>
      <c r="D25" s="472"/>
      <c r="E25" s="472"/>
      <c r="F25" s="472"/>
      <c r="G25" s="472"/>
      <c r="H25" s="472"/>
      <c r="I25" s="472"/>
      <c r="J25" s="472"/>
      <c r="K25" s="472"/>
      <c r="L25" s="472"/>
      <c r="M25" s="472"/>
      <c r="N25" s="472"/>
      <c r="O25" s="472"/>
      <c r="P25" s="472"/>
      <c r="Q25" s="472"/>
      <c r="R25" s="721"/>
      <c r="S25" s="721"/>
      <c r="T25" s="721"/>
      <c r="U25" s="721"/>
      <c r="V25" s="721"/>
      <c r="W25" s="721"/>
      <c r="X25" s="721"/>
      <c r="Y25" s="721"/>
      <c r="Z25" s="721"/>
      <c r="AA25" s="721"/>
      <c r="AB25" s="721"/>
      <c r="AC25" s="721"/>
      <c r="AD25" s="721"/>
      <c r="AE25" s="721"/>
      <c r="AF25" s="721"/>
      <c r="AG25" s="721"/>
      <c r="AH25" s="721"/>
      <c r="AI25" s="721"/>
      <c r="AJ25" s="721"/>
      <c r="AK25" s="721"/>
      <c r="AL25" s="721"/>
      <c r="AM25" s="721"/>
      <c r="AN25" s="721"/>
      <c r="AO25" s="721"/>
      <c r="AP25" s="721"/>
      <c r="AQ25" s="721"/>
      <c r="AR25" s="721"/>
      <c r="AS25" s="721"/>
      <c r="AT25" s="721"/>
      <c r="AU25" s="721"/>
      <c r="AV25" s="721"/>
      <c r="AW25" s="721"/>
      <c r="AX25" s="762"/>
      <c r="AY25" s="474"/>
      <c r="AZ25" s="474"/>
      <c r="BA25" s="474"/>
      <c r="BB25" s="474"/>
      <c r="BC25" s="721"/>
      <c r="BD25" s="721"/>
      <c r="BE25" s="721"/>
      <c r="BF25" s="721"/>
      <c r="BG25" s="721"/>
      <c r="BH25" s="721"/>
      <c r="BI25" s="721"/>
      <c r="BJ25" s="721"/>
      <c r="BK25" s="721"/>
      <c r="BL25" s="721"/>
      <c r="BM25" s="721"/>
      <c r="BN25" s="721"/>
      <c r="BO25" s="721"/>
      <c r="BP25" s="721"/>
      <c r="BQ25" s="721"/>
      <c r="BR25" s="721"/>
      <c r="BS25" s="721"/>
      <c r="BT25" s="97"/>
      <c r="BU25" s="97"/>
      <c r="BV25" s="97"/>
      <c r="BW25" s="97"/>
      <c r="BX25" s="97"/>
      <c r="BY25" s="97"/>
      <c r="BZ25" s="97"/>
      <c r="CA25" s="97"/>
      <c r="CB25" s="97"/>
      <c r="CC25" s="97"/>
      <c r="CD25" s="97"/>
      <c r="CE25" s="97"/>
      <c r="CF25" s="97"/>
      <c r="CG25" s="468"/>
      <c r="CH25" s="468"/>
      <c r="CI25" s="468"/>
    </row>
    <row r="26" spans="1:87" s="100" customFormat="1" ht="15.75" customHeight="1">
      <c r="A26" s="46"/>
      <c r="B26" s="97"/>
      <c r="C26" s="472"/>
      <c r="D26" s="472"/>
      <c r="E26" s="472"/>
      <c r="F26" s="472"/>
      <c r="G26" s="472"/>
      <c r="H26" s="472"/>
      <c r="I26" s="472"/>
      <c r="J26" s="472"/>
      <c r="K26" s="472"/>
      <c r="L26" s="472"/>
      <c r="M26" s="472"/>
      <c r="N26" s="472"/>
      <c r="O26" s="472"/>
      <c r="P26" s="472"/>
      <c r="Q26" s="472"/>
      <c r="R26" s="721"/>
      <c r="S26" s="721"/>
      <c r="T26" s="721"/>
      <c r="U26" s="721"/>
      <c r="V26" s="721"/>
      <c r="W26" s="721"/>
      <c r="X26" s="721"/>
      <c r="Y26" s="721"/>
      <c r="Z26" s="721"/>
      <c r="AA26" s="721"/>
      <c r="AB26" s="721"/>
      <c r="AC26" s="721"/>
      <c r="AD26" s="721"/>
      <c r="AE26" s="721"/>
      <c r="AF26" s="721"/>
      <c r="AG26" s="721"/>
      <c r="AH26" s="721"/>
      <c r="AI26" s="721"/>
      <c r="AJ26" s="721"/>
      <c r="AK26" s="721"/>
      <c r="AL26" s="721"/>
      <c r="AM26" s="721"/>
      <c r="AN26" s="721"/>
      <c r="AO26" s="721"/>
      <c r="AP26" s="721"/>
      <c r="AQ26" s="721"/>
      <c r="AR26" s="721"/>
      <c r="AS26" s="721"/>
      <c r="AT26" s="721"/>
      <c r="AU26" s="721"/>
      <c r="AV26" s="721"/>
      <c r="AW26" s="721"/>
      <c r="AX26" s="762"/>
      <c r="AY26" s="474"/>
      <c r="AZ26" s="474"/>
      <c r="BA26" s="474"/>
      <c r="BB26" s="474"/>
      <c r="BC26" s="721"/>
      <c r="BD26" s="721"/>
      <c r="BE26" s="721"/>
      <c r="BF26" s="721"/>
      <c r="BG26" s="721"/>
      <c r="BH26" s="721"/>
      <c r="BI26" s="721"/>
      <c r="BJ26" s="721"/>
      <c r="BK26" s="721"/>
      <c r="BL26" s="721"/>
      <c r="BM26" s="721"/>
      <c r="BN26" s="721"/>
      <c r="BO26" s="721"/>
      <c r="BP26" s="721"/>
      <c r="BQ26" s="721"/>
      <c r="BR26" s="721"/>
      <c r="BS26" s="721"/>
      <c r="BT26" s="97"/>
      <c r="BU26" s="97"/>
      <c r="BV26" s="97"/>
      <c r="BW26" s="97"/>
      <c r="BX26" s="97"/>
      <c r="BY26" s="97"/>
      <c r="BZ26" s="97"/>
      <c r="CA26" s="97"/>
      <c r="CB26" s="97"/>
      <c r="CC26" s="97"/>
      <c r="CD26" s="97"/>
      <c r="CE26" s="97"/>
      <c r="CF26" s="97"/>
      <c r="CG26" s="468"/>
      <c r="CH26" s="468"/>
      <c r="CI26" s="468"/>
    </row>
    <row r="27" spans="1:87" s="100" customFormat="1" ht="15.75" customHeight="1">
      <c r="A27" s="46"/>
      <c r="B27" s="97"/>
      <c r="C27" s="475"/>
      <c r="D27" s="472"/>
      <c r="E27" s="472"/>
      <c r="F27" s="472"/>
      <c r="G27" s="472"/>
      <c r="H27" s="472"/>
      <c r="I27" s="472"/>
      <c r="J27" s="472"/>
      <c r="K27" s="472"/>
      <c r="L27" s="472"/>
      <c r="M27" s="472"/>
      <c r="N27" s="472"/>
      <c r="O27" s="472"/>
      <c r="P27" s="472"/>
      <c r="Q27" s="472"/>
      <c r="R27" s="721"/>
      <c r="S27" s="721"/>
      <c r="T27" s="721"/>
      <c r="U27" s="721"/>
      <c r="V27" s="721"/>
      <c r="W27" s="721"/>
      <c r="X27" s="721"/>
      <c r="Y27" s="721"/>
      <c r="Z27" s="721"/>
      <c r="AA27" s="721"/>
      <c r="AB27" s="721"/>
      <c r="AC27" s="721"/>
      <c r="AD27" s="721"/>
      <c r="AE27" s="721"/>
      <c r="AF27" s="721"/>
      <c r="AG27" s="721"/>
      <c r="AH27" s="721"/>
      <c r="AI27" s="721"/>
      <c r="AJ27" s="721"/>
      <c r="AK27" s="721"/>
      <c r="AL27" s="721"/>
      <c r="AM27" s="721"/>
      <c r="AN27" s="721"/>
      <c r="AO27" s="721"/>
      <c r="AP27" s="721"/>
      <c r="AQ27" s="721"/>
      <c r="AR27" s="721"/>
      <c r="AS27" s="721"/>
      <c r="AT27" s="721"/>
      <c r="AU27" s="721"/>
      <c r="AV27" s="721"/>
      <c r="AW27" s="721"/>
      <c r="AX27" s="762"/>
      <c r="AY27" s="474"/>
      <c r="AZ27" s="474"/>
      <c r="BA27" s="474"/>
      <c r="BB27" s="474"/>
      <c r="BC27" s="721"/>
      <c r="BD27" s="721"/>
      <c r="BE27" s="721"/>
      <c r="BF27" s="721"/>
      <c r="BG27" s="721"/>
      <c r="BH27" s="721"/>
      <c r="BI27" s="721"/>
      <c r="BJ27" s="721"/>
      <c r="BK27" s="721"/>
      <c r="BL27" s="721"/>
      <c r="BM27" s="721"/>
      <c r="BN27" s="721"/>
      <c r="BO27" s="721"/>
      <c r="BP27" s="721"/>
      <c r="BQ27" s="721"/>
      <c r="BR27" s="721"/>
      <c r="BS27" s="721"/>
      <c r="BT27" s="97"/>
      <c r="BU27" s="97"/>
      <c r="BV27" s="97"/>
      <c r="BW27" s="97"/>
      <c r="BX27" s="97"/>
      <c r="BY27" s="97"/>
      <c r="BZ27" s="97"/>
      <c r="CA27" s="97"/>
      <c r="CB27" s="97"/>
      <c r="CC27" s="97"/>
      <c r="CD27" s="97"/>
      <c r="CE27" s="97"/>
      <c r="CF27" s="97"/>
      <c r="CG27" s="468"/>
      <c r="CH27" s="468"/>
      <c r="CI27" s="468"/>
    </row>
    <row r="28" spans="1:87" s="100" customFormat="1" ht="15.75" customHeight="1">
      <c r="A28" s="46"/>
      <c r="B28" s="97"/>
      <c r="C28" s="472"/>
      <c r="D28" s="472"/>
      <c r="E28" s="472"/>
      <c r="F28" s="472"/>
      <c r="G28" s="472"/>
      <c r="H28" s="472"/>
      <c r="I28" s="472"/>
      <c r="J28" s="472"/>
      <c r="K28" s="472"/>
      <c r="L28" s="472"/>
      <c r="M28" s="472"/>
      <c r="N28" s="472"/>
      <c r="O28" s="472"/>
      <c r="P28" s="472"/>
      <c r="Q28" s="472"/>
      <c r="R28" s="721"/>
      <c r="S28" s="721"/>
      <c r="T28" s="721"/>
      <c r="U28" s="721"/>
      <c r="V28" s="721"/>
      <c r="W28" s="721"/>
      <c r="X28" s="721"/>
      <c r="Y28" s="721"/>
      <c r="Z28" s="721"/>
      <c r="AA28" s="721"/>
      <c r="AB28" s="721"/>
      <c r="AC28" s="721"/>
      <c r="AD28" s="721"/>
      <c r="AE28" s="721"/>
      <c r="AF28" s="721"/>
      <c r="AG28" s="721"/>
      <c r="AH28" s="721"/>
      <c r="AI28" s="721"/>
      <c r="AJ28" s="721"/>
      <c r="AK28" s="721"/>
      <c r="AL28" s="721"/>
      <c r="AM28" s="721"/>
      <c r="AN28" s="721"/>
      <c r="AO28" s="721"/>
      <c r="AP28" s="721"/>
      <c r="AQ28" s="721"/>
      <c r="AR28" s="721"/>
      <c r="AS28" s="721"/>
      <c r="AT28" s="721"/>
      <c r="AU28" s="721"/>
      <c r="AV28" s="721"/>
      <c r="AW28" s="721"/>
      <c r="AX28" s="762"/>
      <c r="AY28" s="474"/>
      <c r="AZ28" s="474"/>
      <c r="BA28" s="474"/>
      <c r="BB28" s="474"/>
      <c r="BC28" s="721"/>
      <c r="BD28" s="721"/>
      <c r="BE28" s="721"/>
      <c r="BF28" s="721"/>
      <c r="BG28" s="721"/>
      <c r="BH28" s="721"/>
      <c r="BI28" s="721"/>
      <c r="BJ28" s="721"/>
      <c r="BK28" s="721"/>
      <c r="BL28" s="721"/>
      <c r="BM28" s="721"/>
      <c r="BN28" s="721"/>
      <c r="BO28" s="721"/>
      <c r="BP28" s="721"/>
      <c r="BQ28" s="721"/>
      <c r="BR28" s="721"/>
      <c r="BS28" s="721"/>
      <c r="BT28" s="97"/>
      <c r="BU28" s="97"/>
      <c r="BV28" s="97"/>
      <c r="BW28" s="97"/>
      <c r="BX28" s="97"/>
      <c r="BY28" s="97"/>
      <c r="BZ28" s="97"/>
      <c r="CA28" s="97"/>
      <c r="CB28" s="97"/>
      <c r="CC28" s="97"/>
      <c r="CD28" s="97"/>
      <c r="CE28" s="97"/>
      <c r="CF28" s="97"/>
      <c r="CG28" s="468"/>
      <c r="CH28" s="468"/>
      <c r="CI28" s="468"/>
    </row>
    <row r="29" spans="1:87" s="100" customFormat="1" ht="15.75" customHeight="1">
      <c r="A29" s="46"/>
      <c r="B29" s="97"/>
      <c r="C29" s="472"/>
      <c r="D29" s="472"/>
      <c r="E29" s="472"/>
      <c r="F29" s="472"/>
      <c r="G29" s="472"/>
      <c r="H29" s="472"/>
      <c r="I29" s="472"/>
      <c r="J29" s="472"/>
      <c r="K29" s="472"/>
      <c r="L29" s="472"/>
      <c r="M29" s="472"/>
      <c r="N29" s="472"/>
      <c r="O29" s="472"/>
      <c r="P29" s="472"/>
      <c r="Q29" s="472"/>
      <c r="R29" s="721"/>
      <c r="S29" s="721"/>
      <c r="T29" s="721"/>
      <c r="U29" s="721"/>
      <c r="V29" s="721"/>
      <c r="W29" s="721"/>
      <c r="X29" s="721"/>
      <c r="Y29" s="721"/>
      <c r="Z29" s="721"/>
      <c r="AA29" s="721"/>
      <c r="AB29" s="721"/>
      <c r="AC29" s="721"/>
      <c r="AD29" s="721"/>
      <c r="AE29" s="721"/>
      <c r="AF29" s="721"/>
      <c r="AG29" s="721"/>
      <c r="AH29" s="721"/>
      <c r="AI29" s="721"/>
      <c r="AJ29" s="721"/>
      <c r="AK29" s="721"/>
      <c r="AL29" s="721"/>
      <c r="AM29" s="721"/>
      <c r="AN29" s="721"/>
      <c r="AO29" s="721"/>
      <c r="AP29" s="721"/>
      <c r="AQ29" s="721"/>
      <c r="AR29" s="721"/>
      <c r="AS29" s="721"/>
      <c r="AT29" s="721"/>
      <c r="AU29" s="721"/>
      <c r="AV29" s="721"/>
      <c r="AW29" s="721"/>
      <c r="AX29" s="762"/>
      <c r="AY29" s="474"/>
      <c r="AZ29" s="474"/>
      <c r="BA29" s="474"/>
      <c r="BB29" s="474"/>
      <c r="BC29" s="721"/>
      <c r="BD29" s="721"/>
      <c r="BE29" s="721"/>
      <c r="BF29" s="721"/>
      <c r="BG29" s="721"/>
      <c r="BH29" s="721"/>
      <c r="BI29" s="721"/>
      <c r="BJ29" s="721"/>
      <c r="BK29" s="721"/>
      <c r="BL29" s="721"/>
      <c r="BM29" s="721"/>
      <c r="BN29" s="721"/>
      <c r="BO29" s="721"/>
      <c r="BP29" s="721"/>
      <c r="BQ29" s="721"/>
      <c r="BR29" s="721"/>
      <c r="BS29" s="721"/>
      <c r="BT29" s="97"/>
      <c r="BU29" s="97"/>
      <c r="BV29" s="97"/>
      <c r="BW29" s="97"/>
      <c r="BX29" s="97"/>
      <c r="BY29" s="97"/>
      <c r="BZ29" s="97"/>
      <c r="CA29" s="97"/>
      <c r="CB29" s="97"/>
      <c r="CC29" s="97"/>
      <c r="CD29" s="97"/>
      <c r="CE29" s="97"/>
      <c r="CF29" s="97"/>
      <c r="CG29" s="468"/>
      <c r="CH29" s="468"/>
      <c r="CI29" s="468"/>
    </row>
    <row r="30" spans="1:87" s="100" customFormat="1" ht="15.75" customHeight="1">
      <c r="A30" s="46"/>
      <c r="B30" s="97"/>
      <c r="C30" s="472"/>
      <c r="D30" s="472"/>
      <c r="E30" s="472"/>
      <c r="F30" s="472"/>
      <c r="G30" s="472"/>
      <c r="H30" s="472"/>
      <c r="I30" s="472"/>
      <c r="J30" s="472"/>
      <c r="K30" s="472"/>
      <c r="L30" s="472"/>
      <c r="M30" s="472"/>
      <c r="N30" s="472"/>
      <c r="O30" s="472"/>
      <c r="P30" s="472"/>
      <c r="Q30" s="472"/>
      <c r="R30" s="721"/>
      <c r="S30" s="721"/>
      <c r="T30" s="721"/>
      <c r="U30" s="721"/>
      <c r="V30" s="721"/>
      <c r="W30" s="721"/>
      <c r="X30" s="721"/>
      <c r="Y30" s="721"/>
      <c r="Z30" s="721"/>
      <c r="AA30" s="721"/>
      <c r="AB30" s="721"/>
      <c r="AC30" s="721"/>
      <c r="AD30" s="721"/>
      <c r="AE30" s="721"/>
      <c r="AF30" s="721"/>
      <c r="AG30" s="721"/>
      <c r="AH30" s="721"/>
      <c r="AI30" s="721"/>
      <c r="AJ30" s="721"/>
      <c r="AK30" s="721"/>
      <c r="AL30" s="721"/>
      <c r="AM30" s="721"/>
      <c r="AN30" s="721"/>
      <c r="AO30" s="721"/>
      <c r="AP30" s="721"/>
      <c r="AQ30" s="721"/>
      <c r="AR30" s="721"/>
      <c r="AS30" s="721"/>
      <c r="AT30" s="721"/>
      <c r="AU30" s="721"/>
      <c r="AV30" s="721"/>
      <c r="AW30" s="721"/>
      <c r="AX30" s="762"/>
      <c r="AY30" s="474"/>
      <c r="AZ30" s="474"/>
      <c r="BA30" s="474"/>
      <c r="BB30" s="474"/>
      <c r="BC30" s="721"/>
      <c r="BD30" s="721"/>
      <c r="BE30" s="721"/>
      <c r="BF30" s="721"/>
      <c r="BG30" s="721"/>
      <c r="BH30" s="721"/>
      <c r="BI30" s="721"/>
      <c r="BJ30" s="721"/>
      <c r="BK30" s="721"/>
      <c r="BL30" s="721"/>
      <c r="BM30" s="721"/>
      <c r="BN30" s="721"/>
      <c r="BO30" s="721"/>
      <c r="BP30" s="721"/>
      <c r="BQ30" s="721"/>
      <c r="BR30" s="721"/>
      <c r="BS30" s="721"/>
      <c r="BT30" s="97"/>
      <c r="BU30" s="97"/>
      <c r="BV30" s="97"/>
      <c r="BW30" s="97"/>
      <c r="BX30" s="97"/>
      <c r="BY30" s="97"/>
      <c r="BZ30" s="97"/>
      <c r="CA30" s="97"/>
      <c r="CB30" s="97"/>
      <c r="CC30" s="97"/>
      <c r="CD30" s="97"/>
      <c r="CE30" s="97"/>
      <c r="CF30" s="97"/>
      <c r="CG30" s="468"/>
      <c r="CH30" s="468"/>
      <c r="CI30" s="468"/>
    </row>
    <row r="31" spans="1:87" s="100" customFormat="1" ht="15.75" customHeight="1">
      <c r="A31" s="46"/>
      <c r="B31" s="97"/>
      <c r="C31" s="472"/>
      <c r="D31" s="472"/>
      <c r="E31" s="472"/>
      <c r="F31" s="472"/>
      <c r="G31" s="472"/>
      <c r="H31" s="472"/>
      <c r="I31" s="472"/>
      <c r="J31" s="472"/>
      <c r="K31" s="472"/>
      <c r="L31" s="472"/>
      <c r="M31" s="472"/>
      <c r="N31" s="472"/>
      <c r="O31" s="472"/>
      <c r="P31" s="472"/>
      <c r="Q31" s="472"/>
      <c r="R31" s="721"/>
      <c r="S31" s="721"/>
      <c r="T31" s="721"/>
      <c r="U31" s="721"/>
      <c r="V31" s="721"/>
      <c r="W31" s="721"/>
      <c r="X31" s="721"/>
      <c r="Y31" s="721"/>
      <c r="Z31" s="721"/>
      <c r="AA31" s="721"/>
      <c r="AB31" s="721"/>
      <c r="AC31" s="721"/>
      <c r="AD31" s="721"/>
      <c r="AE31" s="721"/>
      <c r="AF31" s="721"/>
      <c r="AG31" s="721"/>
      <c r="AH31" s="721"/>
      <c r="AI31" s="721"/>
      <c r="AJ31" s="721"/>
      <c r="AK31" s="721"/>
      <c r="AL31" s="721"/>
      <c r="AM31" s="721"/>
      <c r="AN31" s="721"/>
      <c r="AO31" s="721"/>
      <c r="AP31" s="721"/>
      <c r="AQ31" s="721"/>
      <c r="AR31" s="721"/>
      <c r="AS31" s="721"/>
      <c r="AT31" s="721"/>
      <c r="AU31" s="721"/>
      <c r="AV31" s="721"/>
      <c r="AW31" s="721"/>
      <c r="AX31" s="762"/>
      <c r="AY31" s="474"/>
      <c r="AZ31" s="474"/>
      <c r="BA31" s="474"/>
      <c r="BB31" s="474"/>
      <c r="BC31" s="721"/>
      <c r="BD31" s="721"/>
      <c r="BE31" s="721"/>
      <c r="BF31" s="721"/>
      <c r="BG31" s="721"/>
      <c r="BH31" s="721"/>
      <c r="BI31" s="721"/>
      <c r="BJ31" s="721"/>
      <c r="BK31" s="721"/>
      <c r="BL31" s="721"/>
      <c r="BM31" s="721"/>
      <c r="BN31" s="721"/>
      <c r="BO31" s="721"/>
      <c r="BP31" s="721"/>
      <c r="BQ31" s="721"/>
      <c r="BR31" s="721"/>
      <c r="BS31" s="721"/>
      <c r="BT31" s="97"/>
      <c r="BU31" s="97"/>
      <c r="BV31" s="97"/>
      <c r="BW31" s="97"/>
      <c r="BX31" s="97"/>
      <c r="BY31" s="97"/>
      <c r="BZ31" s="97"/>
      <c r="CA31" s="97"/>
      <c r="CB31" s="97"/>
      <c r="CC31" s="97"/>
      <c r="CD31" s="97"/>
      <c r="CE31" s="97"/>
      <c r="CF31" s="97"/>
      <c r="CG31" s="468"/>
      <c r="CH31" s="468"/>
      <c r="CI31" s="468"/>
    </row>
    <row r="32" spans="1:87" s="100" customFormat="1" ht="15.75" customHeight="1">
      <c r="A32" s="46"/>
      <c r="B32" s="97"/>
      <c r="C32" s="721"/>
      <c r="D32" s="721"/>
      <c r="E32" s="721"/>
      <c r="F32" s="721"/>
      <c r="G32" s="721"/>
      <c r="H32" s="721"/>
      <c r="I32" s="721"/>
      <c r="J32" s="721"/>
      <c r="K32" s="721"/>
      <c r="L32" s="721"/>
      <c r="M32" s="721"/>
      <c r="N32" s="721"/>
      <c r="O32" s="721"/>
      <c r="P32" s="721"/>
      <c r="Q32" s="763"/>
      <c r="R32" s="721"/>
      <c r="S32" s="721"/>
      <c r="T32" s="721"/>
      <c r="U32" s="721"/>
      <c r="V32" s="721"/>
      <c r="W32" s="721"/>
      <c r="X32" s="721"/>
      <c r="Y32" s="721"/>
      <c r="Z32" s="721"/>
      <c r="AA32" s="721"/>
      <c r="AB32" s="721"/>
      <c r="AC32" s="721"/>
      <c r="AD32" s="721"/>
      <c r="AE32" s="721"/>
      <c r="AF32" s="721"/>
      <c r="AG32" s="721"/>
      <c r="AH32" s="721"/>
      <c r="AI32" s="721"/>
      <c r="AJ32" s="721"/>
      <c r="AK32" s="721"/>
      <c r="AL32" s="721"/>
      <c r="AM32" s="721"/>
      <c r="AN32" s="721"/>
      <c r="AO32" s="721"/>
      <c r="AP32" s="721"/>
      <c r="AQ32" s="721"/>
      <c r="AR32" s="721"/>
      <c r="AS32" s="721"/>
      <c r="AT32" s="721"/>
      <c r="AU32" s="721"/>
      <c r="AV32" s="721"/>
      <c r="AW32" s="721"/>
      <c r="AX32" s="762"/>
      <c r="AY32" s="474"/>
      <c r="AZ32" s="474"/>
      <c r="BA32" s="474"/>
      <c r="BB32" s="474"/>
      <c r="BC32" s="721"/>
      <c r="BD32" s="721"/>
      <c r="BE32" s="721"/>
      <c r="BF32" s="721"/>
      <c r="BG32" s="721"/>
      <c r="BH32" s="721"/>
      <c r="BI32" s="721"/>
      <c r="BJ32" s="721"/>
      <c r="BK32" s="721"/>
      <c r="BL32" s="721"/>
      <c r="BM32" s="721"/>
      <c r="BN32" s="721"/>
      <c r="BO32" s="721"/>
      <c r="BP32" s="721"/>
      <c r="BQ32" s="721"/>
      <c r="BR32" s="721"/>
      <c r="BS32" s="721"/>
      <c r="BT32" s="97"/>
      <c r="BU32" s="97"/>
      <c r="BV32" s="97"/>
      <c r="BW32" s="97"/>
      <c r="BX32" s="97"/>
      <c r="BY32" s="97"/>
      <c r="BZ32" s="97"/>
      <c r="CA32" s="97"/>
      <c r="CB32" s="97"/>
      <c r="CC32" s="97"/>
      <c r="CD32" s="97"/>
      <c r="CE32" s="97"/>
      <c r="CF32" s="97"/>
      <c r="CG32" s="468"/>
      <c r="CH32" s="468"/>
      <c r="CI32" s="468"/>
    </row>
    <row r="33" spans="1:88" s="100" customFormat="1" ht="15.75" customHeight="1">
      <c r="A33" s="46"/>
      <c r="B33" s="97"/>
      <c r="C33" s="721"/>
      <c r="D33" s="721"/>
      <c r="E33" s="721"/>
      <c r="F33" s="721"/>
      <c r="G33" s="721"/>
      <c r="H33" s="721"/>
      <c r="I33" s="721"/>
      <c r="J33" s="721"/>
      <c r="K33" s="721"/>
      <c r="L33" s="721"/>
      <c r="M33" s="721"/>
      <c r="N33" s="721"/>
      <c r="O33" s="721"/>
      <c r="P33" s="721"/>
      <c r="Q33" s="763"/>
      <c r="R33" s="721"/>
      <c r="S33" s="721"/>
      <c r="T33" s="721"/>
      <c r="U33" s="721"/>
      <c r="V33" s="721"/>
      <c r="W33" s="721"/>
      <c r="X33" s="721"/>
      <c r="Y33" s="721"/>
      <c r="Z33" s="721"/>
      <c r="AA33" s="721"/>
      <c r="AB33" s="721"/>
      <c r="AC33" s="721"/>
      <c r="AD33" s="721"/>
      <c r="AE33" s="721"/>
      <c r="AF33" s="721"/>
      <c r="AG33" s="721"/>
      <c r="AH33" s="721"/>
      <c r="AI33" s="721"/>
      <c r="AJ33" s="721"/>
      <c r="AK33" s="721"/>
      <c r="AL33" s="721"/>
      <c r="AM33" s="721"/>
      <c r="AN33" s="721"/>
      <c r="AO33" s="721"/>
      <c r="AP33" s="721"/>
      <c r="AQ33" s="721"/>
      <c r="AR33" s="721"/>
      <c r="AS33" s="721"/>
      <c r="AT33" s="721"/>
      <c r="AU33" s="721"/>
      <c r="AV33" s="721"/>
      <c r="AW33" s="721"/>
      <c r="AX33" s="762"/>
      <c r="AY33" s="474"/>
      <c r="AZ33" s="474"/>
      <c r="BA33" s="474"/>
      <c r="BB33" s="474"/>
      <c r="BC33" s="721"/>
      <c r="BD33" s="721"/>
      <c r="BE33" s="721"/>
      <c r="BF33" s="721"/>
      <c r="BG33" s="721"/>
      <c r="BH33" s="721"/>
      <c r="BI33" s="721"/>
      <c r="BJ33" s="721"/>
      <c r="BK33" s="721"/>
      <c r="BL33" s="721"/>
      <c r="BM33" s="721"/>
      <c r="BN33" s="721"/>
      <c r="BO33" s="721"/>
      <c r="BP33" s="721"/>
      <c r="BQ33" s="721"/>
      <c r="BR33" s="721"/>
      <c r="BS33" s="721"/>
      <c r="BT33" s="97"/>
      <c r="BU33" s="97"/>
      <c r="BV33" s="97"/>
      <c r="BW33" s="97"/>
      <c r="BX33" s="97"/>
      <c r="BY33" s="97"/>
      <c r="BZ33" s="97"/>
      <c r="CA33" s="97"/>
      <c r="CB33" s="97"/>
      <c r="CC33" s="97"/>
      <c r="CD33" s="97"/>
      <c r="CE33" s="97"/>
      <c r="CF33" s="97"/>
      <c r="CG33" s="468"/>
      <c r="CH33" s="468"/>
      <c r="CI33" s="468"/>
    </row>
    <row r="34" spans="1:88" s="100" customFormat="1" ht="15.75" customHeight="1" thickBot="1">
      <c r="A34" s="764"/>
      <c r="B34" s="765"/>
      <c r="C34" s="765"/>
      <c r="D34" s="765"/>
      <c r="E34" s="765"/>
      <c r="F34" s="765"/>
      <c r="G34" s="765"/>
      <c r="H34" s="765"/>
      <c r="I34" s="765"/>
      <c r="J34" s="765"/>
      <c r="K34" s="765"/>
      <c r="L34" s="765"/>
      <c r="M34" s="765"/>
      <c r="N34" s="765"/>
      <c r="O34" s="765"/>
      <c r="P34" s="765"/>
      <c r="Q34" s="766"/>
      <c r="R34" s="765"/>
      <c r="S34" s="765"/>
      <c r="T34" s="767"/>
      <c r="U34" s="767"/>
      <c r="V34" s="767"/>
      <c r="W34" s="767"/>
      <c r="X34" s="767"/>
      <c r="Y34" s="767"/>
      <c r="Z34" s="767"/>
      <c r="AA34" s="767"/>
      <c r="AB34" s="767"/>
      <c r="AC34" s="767"/>
      <c r="AD34" s="767"/>
      <c r="AE34" s="767"/>
      <c r="AF34" s="767"/>
      <c r="AG34" s="767"/>
      <c r="AH34" s="767"/>
      <c r="AI34" s="767"/>
      <c r="AJ34" s="767"/>
      <c r="AK34" s="767"/>
      <c r="AL34" s="767"/>
      <c r="AM34" s="767"/>
      <c r="AN34" s="767"/>
      <c r="AO34" s="767"/>
      <c r="AP34" s="767"/>
      <c r="AQ34" s="767"/>
      <c r="AR34" s="767"/>
      <c r="AS34" s="767"/>
      <c r="AT34" s="767"/>
      <c r="AU34" s="767"/>
      <c r="AV34" s="767"/>
      <c r="AW34" s="767"/>
      <c r="AX34" s="768"/>
      <c r="AY34" s="474"/>
      <c r="AZ34" s="474"/>
      <c r="BA34" s="474"/>
      <c r="BB34" s="474"/>
      <c r="BC34" s="721"/>
      <c r="BD34" s="721"/>
      <c r="BE34" s="721"/>
      <c r="BF34" s="721"/>
      <c r="BG34" s="721"/>
      <c r="BH34" s="721"/>
      <c r="BI34" s="721"/>
      <c r="BJ34" s="721"/>
      <c r="BK34" s="721"/>
      <c r="BL34" s="721"/>
      <c r="BM34" s="721"/>
      <c r="BN34" s="721"/>
      <c r="BO34" s="721"/>
      <c r="BP34" s="721"/>
      <c r="BQ34" s="721"/>
      <c r="BR34" s="721"/>
      <c r="BS34" s="721"/>
      <c r="BT34" s="97"/>
      <c r="BU34" s="97"/>
      <c r="BV34" s="97"/>
      <c r="BW34" s="97"/>
      <c r="BX34" s="97"/>
      <c r="BY34" s="97"/>
      <c r="BZ34" s="97"/>
      <c r="CA34" s="97"/>
      <c r="CB34" s="97"/>
      <c r="CC34" s="97"/>
      <c r="CD34" s="97"/>
      <c r="CE34" s="97"/>
      <c r="CF34" s="97"/>
      <c r="CG34" s="468"/>
      <c r="CH34" s="468"/>
      <c r="CI34" s="468"/>
    </row>
    <row r="35" spans="1:88" s="100" customFormat="1" ht="15.75" customHeight="1">
      <c r="A35" s="46"/>
      <c r="B35" s="97"/>
      <c r="Q35" s="469"/>
      <c r="T35" s="474"/>
      <c r="U35" s="474"/>
      <c r="V35" s="474"/>
      <c r="W35" s="474"/>
      <c r="X35" s="474"/>
      <c r="Y35" s="474"/>
      <c r="Z35" s="474"/>
      <c r="AA35" s="474"/>
      <c r="AB35" s="474"/>
      <c r="AC35" s="474"/>
      <c r="AD35" s="474"/>
      <c r="AE35" s="474"/>
      <c r="AF35" s="474"/>
      <c r="AG35" s="474"/>
      <c r="AH35" s="474"/>
      <c r="AI35" s="474"/>
      <c r="AJ35" s="474"/>
      <c r="AK35" s="474"/>
      <c r="AL35" s="474"/>
      <c r="AM35" s="474"/>
      <c r="AN35" s="474"/>
      <c r="AO35" s="474"/>
      <c r="AP35" s="474"/>
      <c r="AQ35" s="474"/>
      <c r="AR35" s="474"/>
      <c r="AS35" s="474"/>
      <c r="AT35" s="474"/>
      <c r="AU35" s="474"/>
      <c r="AV35" s="474"/>
      <c r="AW35" s="474"/>
      <c r="AX35" s="474"/>
      <c r="AY35" s="474"/>
      <c r="AZ35" s="474"/>
      <c r="BA35" s="474"/>
      <c r="BB35" s="474"/>
      <c r="BC35" s="721"/>
      <c r="BD35" s="721"/>
      <c r="BE35" s="721"/>
      <c r="BF35" s="721"/>
      <c r="BG35" s="721"/>
      <c r="BH35" s="721"/>
      <c r="BI35" s="721"/>
      <c r="BJ35" s="721"/>
      <c r="BK35" s="721"/>
      <c r="BL35" s="721"/>
      <c r="BM35" s="721"/>
      <c r="BN35" s="721"/>
      <c r="BO35" s="721"/>
      <c r="BP35" s="721"/>
      <c r="BQ35" s="721"/>
      <c r="BR35" s="721"/>
      <c r="BS35" s="721"/>
      <c r="BT35" s="97"/>
      <c r="BU35" s="97"/>
      <c r="BV35" s="97"/>
      <c r="BW35" s="97"/>
      <c r="BX35" s="97"/>
      <c r="BY35" s="97"/>
      <c r="BZ35" s="97"/>
      <c r="CA35" s="97"/>
      <c r="CB35" s="97"/>
      <c r="CC35" s="97"/>
      <c r="CD35" s="97"/>
      <c r="CE35" s="97"/>
      <c r="CF35" s="97"/>
      <c r="CG35" s="468"/>
      <c r="CH35" s="468"/>
      <c r="CI35" s="468"/>
    </row>
    <row r="36" spans="1:88" s="100" customFormat="1" ht="15.75" customHeight="1">
      <c r="A36" s="46"/>
      <c r="B36" s="97"/>
      <c r="Q36" s="469"/>
      <c r="T36" s="474"/>
      <c r="U36" s="474"/>
      <c r="V36" s="474"/>
      <c r="W36" s="474"/>
      <c r="X36" s="474"/>
      <c r="Y36" s="474"/>
      <c r="Z36" s="474"/>
      <c r="AA36" s="474"/>
      <c r="AB36" s="474"/>
      <c r="AC36" s="474"/>
      <c r="AD36" s="474"/>
      <c r="AE36" s="474"/>
      <c r="AF36" s="474"/>
      <c r="AG36" s="474"/>
      <c r="AH36" s="474"/>
      <c r="AI36" s="474"/>
      <c r="AJ36" s="474"/>
      <c r="AK36" s="474"/>
      <c r="AL36" s="474"/>
      <c r="AM36" s="474"/>
      <c r="AN36" s="474"/>
      <c r="AO36" s="474"/>
      <c r="AP36" s="474"/>
      <c r="AQ36" s="474"/>
      <c r="AR36" s="474"/>
      <c r="AS36" s="474"/>
      <c r="AT36" s="474"/>
      <c r="AU36" s="474"/>
      <c r="AV36" s="474"/>
      <c r="AW36" s="474"/>
      <c r="AX36" s="474"/>
      <c r="AY36" s="474"/>
      <c r="AZ36" s="474"/>
      <c r="BA36" s="474"/>
      <c r="BB36" s="474"/>
      <c r="BC36" s="721"/>
      <c r="BD36" s="721"/>
      <c r="BE36" s="721"/>
      <c r="BF36" s="721"/>
      <c r="BG36" s="721"/>
      <c r="BH36" s="721"/>
      <c r="BI36" s="721"/>
      <c r="BJ36" s="721"/>
      <c r="BK36" s="721"/>
      <c r="BL36" s="721"/>
      <c r="BM36" s="721"/>
      <c r="BN36" s="721"/>
      <c r="BO36" s="721"/>
      <c r="BP36" s="721"/>
      <c r="BQ36" s="721"/>
      <c r="BR36" s="721"/>
      <c r="BS36" s="721"/>
      <c r="BT36" s="97"/>
      <c r="BU36" s="97"/>
      <c r="BV36" s="97"/>
      <c r="BW36" s="97"/>
      <c r="BX36" s="97"/>
      <c r="BY36" s="97"/>
      <c r="BZ36" s="97"/>
      <c r="CA36" s="97"/>
      <c r="CB36" s="97"/>
      <c r="CC36" s="97"/>
      <c r="CD36" s="97"/>
      <c r="CE36" s="97"/>
      <c r="CF36" s="97"/>
      <c r="CG36" s="468"/>
      <c r="CH36" s="468"/>
      <c r="CI36" s="468"/>
    </row>
    <row r="37" spans="1:88" s="100" customFormat="1" ht="15.75" customHeight="1">
      <c r="A37" s="46"/>
      <c r="B37" s="97"/>
      <c r="Q37" s="469"/>
      <c r="T37" s="474"/>
      <c r="U37" s="474"/>
      <c r="V37" s="474"/>
      <c r="W37" s="474"/>
      <c r="X37" s="474"/>
      <c r="Y37" s="474"/>
      <c r="Z37" s="474"/>
      <c r="AA37" s="474"/>
      <c r="AB37" s="474"/>
      <c r="AC37" s="474"/>
      <c r="AD37" s="474"/>
      <c r="AE37" s="474"/>
      <c r="AF37" s="474"/>
      <c r="AG37" s="474"/>
      <c r="AH37" s="474"/>
      <c r="AI37" s="474"/>
      <c r="AJ37" s="474"/>
      <c r="AK37" s="474"/>
      <c r="AL37" s="474"/>
      <c r="AM37" s="474"/>
      <c r="AN37" s="474"/>
      <c r="AO37" s="474"/>
      <c r="AP37" s="474"/>
      <c r="AQ37" s="474"/>
      <c r="AR37" s="474"/>
      <c r="AS37" s="474"/>
      <c r="AT37" s="474"/>
      <c r="AU37" s="474"/>
      <c r="AV37" s="474"/>
      <c r="AW37" s="474"/>
      <c r="AX37" s="474"/>
      <c r="AY37" s="474"/>
      <c r="AZ37" s="474"/>
      <c r="BA37" s="474"/>
      <c r="BB37" s="474"/>
      <c r="BC37" s="721"/>
      <c r="BD37" s="721"/>
      <c r="BE37" s="721"/>
      <c r="BF37" s="721"/>
      <c r="BG37" s="721"/>
      <c r="BH37" s="721"/>
      <c r="BI37" s="721"/>
      <c r="BJ37" s="721"/>
      <c r="BK37" s="721"/>
      <c r="BL37" s="721"/>
      <c r="BM37" s="721"/>
      <c r="BN37" s="721"/>
      <c r="BO37" s="721"/>
      <c r="BP37" s="721"/>
      <c r="BQ37" s="721"/>
      <c r="BR37" s="721"/>
      <c r="BS37" s="721"/>
      <c r="BT37" s="97"/>
      <c r="BU37" s="97"/>
      <c r="BV37" s="97"/>
      <c r="BW37" s="97"/>
      <c r="BX37" s="97"/>
      <c r="BY37" s="97"/>
      <c r="BZ37" s="97"/>
      <c r="CA37" s="97"/>
      <c r="CB37" s="97"/>
      <c r="CC37" s="97"/>
      <c r="CD37" s="97"/>
      <c r="CE37" s="97"/>
      <c r="CF37" s="97"/>
      <c r="CG37" s="468"/>
      <c r="CH37" s="468"/>
      <c r="CI37" s="468"/>
    </row>
    <row r="38" spans="1:88" s="100" customFormat="1" ht="15.75" customHeight="1">
      <c r="A38" s="46"/>
      <c r="B38" s="97"/>
      <c r="Q38" s="469"/>
      <c r="T38" s="474"/>
      <c r="U38" s="474"/>
      <c r="V38" s="474"/>
      <c r="W38" s="474"/>
      <c r="X38" s="474"/>
      <c r="Y38" s="474"/>
      <c r="Z38" s="474"/>
      <c r="AA38" s="474"/>
      <c r="AB38" s="474"/>
      <c r="AC38" s="474"/>
      <c r="AD38" s="474"/>
      <c r="AE38" s="474"/>
      <c r="AF38" s="474"/>
      <c r="AG38" s="474"/>
      <c r="AH38" s="474"/>
      <c r="AI38" s="474"/>
      <c r="AJ38" s="474"/>
      <c r="AK38" s="474"/>
      <c r="AL38" s="474"/>
      <c r="AM38" s="474"/>
      <c r="AN38" s="474"/>
      <c r="AO38" s="474"/>
      <c r="AP38" s="474"/>
      <c r="AQ38" s="474"/>
      <c r="AR38" s="474"/>
      <c r="AS38" s="474"/>
      <c r="AT38" s="474"/>
      <c r="AU38" s="474"/>
      <c r="AV38" s="474"/>
      <c r="AW38" s="474"/>
      <c r="AX38" s="474"/>
      <c r="AY38" s="474"/>
      <c r="AZ38" s="474"/>
      <c r="BA38" s="474"/>
      <c r="BB38" s="474"/>
      <c r="BC38" s="721"/>
      <c r="BD38" s="721"/>
      <c r="BE38" s="721"/>
      <c r="BF38" s="721"/>
      <c r="BG38" s="721"/>
      <c r="BH38" s="721"/>
      <c r="BI38" s="721"/>
      <c r="BJ38" s="721"/>
      <c r="BK38" s="721"/>
      <c r="BL38" s="721"/>
      <c r="BM38" s="721"/>
      <c r="BN38" s="721"/>
      <c r="BO38" s="721"/>
      <c r="BP38" s="721"/>
      <c r="BQ38" s="721"/>
      <c r="BR38" s="721"/>
      <c r="BS38" s="721"/>
      <c r="BT38" s="97"/>
      <c r="BU38" s="97"/>
      <c r="BV38" s="97"/>
      <c r="BW38" s="97"/>
      <c r="BX38" s="97"/>
      <c r="BY38" s="97"/>
      <c r="BZ38" s="97"/>
      <c r="CA38" s="97"/>
      <c r="CB38" s="97"/>
      <c r="CC38" s="97"/>
      <c r="CD38" s="97"/>
      <c r="CE38" s="97"/>
      <c r="CF38" s="97"/>
      <c r="CG38" s="468"/>
      <c r="CH38" s="468"/>
      <c r="CI38" s="468"/>
    </row>
    <row r="39" spans="1:88" s="100" customFormat="1" ht="15.75" customHeight="1">
      <c r="A39" s="46"/>
      <c r="B39" s="97"/>
      <c r="Q39" s="469"/>
      <c r="T39" s="474"/>
      <c r="U39" s="474"/>
      <c r="V39" s="474"/>
      <c r="W39" s="474"/>
      <c r="X39" s="474"/>
      <c r="Y39" s="474"/>
      <c r="Z39" s="474"/>
      <c r="AA39" s="474"/>
      <c r="AB39" s="474"/>
      <c r="AC39" s="474"/>
      <c r="AD39" s="474"/>
      <c r="AE39" s="474"/>
      <c r="AF39" s="474"/>
      <c r="AG39" s="474"/>
      <c r="AH39" s="474"/>
      <c r="AI39" s="474"/>
      <c r="AJ39" s="474"/>
      <c r="AK39" s="474"/>
      <c r="AL39" s="474"/>
      <c r="AM39" s="474"/>
      <c r="AN39" s="474"/>
      <c r="AO39" s="474"/>
      <c r="AP39" s="474"/>
      <c r="AQ39" s="474"/>
      <c r="AR39" s="474"/>
      <c r="AS39" s="474"/>
      <c r="AT39" s="474"/>
      <c r="AU39" s="474"/>
      <c r="AV39" s="474"/>
      <c r="AW39" s="474"/>
      <c r="AX39" s="474"/>
      <c r="AY39" s="474"/>
      <c r="AZ39" s="474"/>
      <c r="BA39" s="474"/>
      <c r="BB39" s="474"/>
      <c r="BC39" s="721"/>
      <c r="BD39" s="721"/>
      <c r="BE39" s="721"/>
      <c r="BF39" s="721"/>
      <c r="BG39" s="721"/>
      <c r="BH39" s="721"/>
      <c r="BI39" s="721"/>
      <c r="BJ39" s="721"/>
      <c r="BK39" s="721"/>
      <c r="BL39" s="721"/>
      <c r="BM39" s="721"/>
      <c r="BN39" s="721"/>
      <c r="BO39" s="721"/>
      <c r="BP39" s="721"/>
      <c r="BQ39" s="721"/>
      <c r="BR39" s="721"/>
      <c r="BS39" s="721"/>
      <c r="BT39" s="97"/>
      <c r="BU39" s="97"/>
      <c r="BV39" s="97"/>
      <c r="BW39" s="97"/>
      <c r="BX39" s="97"/>
      <c r="BY39" s="97"/>
      <c r="BZ39" s="97"/>
      <c r="CA39" s="97"/>
      <c r="CB39" s="97"/>
      <c r="CC39" s="97"/>
      <c r="CD39" s="97"/>
      <c r="CE39" s="97"/>
      <c r="CF39" s="97"/>
      <c r="CG39" s="468"/>
      <c r="CH39" s="468"/>
      <c r="CI39" s="468"/>
    </row>
    <row r="40" spans="1:88" s="100" customFormat="1" ht="15.75" customHeight="1">
      <c r="A40" s="46"/>
      <c r="B40" s="97"/>
      <c r="Q40" s="469"/>
      <c r="T40" s="474"/>
      <c r="U40" s="474"/>
      <c r="V40" s="474"/>
      <c r="W40" s="474"/>
      <c r="X40" s="474"/>
      <c r="Y40" s="474"/>
      <c r="Z40" s="474"/>
      <c r="AA40" s="474"/>
      <c r="AB40" s="474"/>
      <c r="AC40" s="474"/>
      <c r="AD40" s="474"/>
      <c r="AE40" s="474"/>
      <c r="AF40" s="474"/>
      <c r="AG40" s="474"/>
      <c r="AH40" s="474"/>
      <c r="AI40" s="474"/>
      <c r="AJ40" s="474"/>
      <c r="AK40" s="474"/>
      <c r="AL40" s="474"/>
      <c r="AM40" s="474"/>
      <c r="AN40" s="474"/>
      <c r="AO40" s="474"/>
      <c r="AP40" s="474"/>
      <c r="AQ40" s="474"/>
      <c r="AR40" s="474"/>
      <c r="AS40" s="474"/>
      <c r="AT40" s="474"/>
      <c r="AU40" s="474"/>
      <c r="AV40" s="474"/>
      <c r="AW40" s="474"/>
      <c r="AX40" s="474"/>
      <c r="AY40" s="474"/>
      <c r="AZ40" s="474"/>
      <c r="BA40" s="474"/>
      <c r="BB40" s="474"/>
      <c r="BC40" s="721"/>
      <c r="BD40" s="721"/>
      <c r="BE40" s="721"/>
      <c r="BF40" s="721"/>
      <c r="BG40" s="721"/>
      <c r="BH40" s="721"/>
      <c r="BI40" s="721"/>
      <c r="BJ40" s="721"/>
      <c r="BK40" s="721"/>
      <c r="BL40" s="721"/>
      <c r="BM40" s="721"/>
      <c r="BN40" s="721"/>
      <c r="BO40" s="721"/>
      <c r="BP40" s="721"/>
      <c r="BQ40" s="721"/>
      <c r="BR40" s="721"/>
      <c r="BS40" s="721"/>
      <c r="BT40" s="97"/>
      <c r="BU40" s="97"/>
      <c r="BV40" s="97"/>
      <c r="BW40" s="97"/>
      <c r="BX40" s="97"/>
      <c r="BY40" s="97"/>
      <c r="BZ40" s="97"/>
      <c r="CA40" s="97"/>
      <c r="CB40" s="97"/>
      <c r="CC40" s="97"/>
      <c r="CD40" s="97"/>
      <c r="CE40" s="97"/>
      <c r="CF40" s="97"/>
      <c r="CG40" s="468"/>
      <c r="CH40" s="468"/>
      <c r="CI40" s="468"/>
    </row>
    <row r="41" spans="1:88" s="100" customFormat="1" ht="15.75" customHeight="1">
      <c r="A41" s="46"/>
      <c r="B41" s="97"/>
      <c r="Q41" s="469"/>
      <c r="T41" s="474"/>
      <c r="U41" s="474"/>
      <c r="V41" s="474"/>
      <c r="W41" s="474"/>
      <c r="X41" s="474"/>
      <c r="Y41" s="474"/>
      <c r="Z41" s="474"/>
      <c r="AA41" s="474"/>
      <c r="AB41" s="474"/>
      <c r="AC41" s="474"/>
      <c r="AD41" s="474"/>
      <c r="AE41" s="474"/>
      <c r="AF41" s="474"/>
      <c r="AG41" s="474"/>
      <c r="AH41" s="474"/>
      <c r="AI41" s="474"/>
      <c r="AJ41" s="474"/>
      <c r="AK41" s="474"/>
      <c r="AL41" s="474"/>
      <c r="AM41" s="474"/>
      <c r="AN41" s="474"/>
      <c r="AO41" s="474"/>
      <c r="AP41" s="474"/>
      <c r="AQ41" s="474"/>
      <c r="AR41" s="474"/>
      <c r="AS41" s="474"/>
      <c r="AT41" s="474"/>
      <c r="AU41" s="474"/>
      <c r="AV41" s="474"/>
      <c r="AW41" s="474"/>
      <c r="AX41" s="474"/>
      <c r="AY41" s="474"/>
      <c r="AZ41" s="474"/>
      <c r="BA41" s="474"/>
      <c r="BB41" s="474"/>
      <c r="BC41" s="721"/>
      <c r="BD41" s="721"/>
      <c r="BE41" s="721"/>
      <c r="BF41" s="721"/>
      <c r="BG41" s="721"/>
      <c r="BH41" s="721"/>
      <c r="BI41" s="721"/>
      <c r="BJ41" s="721"/>
      <c r="BK41" s="721"/>
      <c r="BL41" s="721"/>
      <c r="BM41" s="721"/>
      <c r="BN41" s="721"/>
      <c r="BO41" s="721"/>
      <c r="BP41" s="721"/>
      <c r="BQ41" s="721"/>
      <c r="BR41" s="721"/>
      <c r="BS41" s="721"/>
      <c r="BT41" s="97"/>
      <c r="BU41" s="97"/>
      <c r="BV41" s="97"/>
      <c r="BW41" s="97"/>
      <c r="BX41" s="97"/>
      <c r="BY41" s="97"/>
      <c r="BZ41" s="97"/>
      <c r="CA41" s="97"/>
      <c r="CB41" s="97"/>
      <c r="CC41" s="97"/>
      <c r="CD41" s="97"/>
      <c r="CE41" s="97"/>
      <c r="CF41" s="97"/>
      <c r="CG41" s="468"/>
      <c r="CH41" s="468"/>
      <c r="CI41" s="468"/>
    </row>
    <row r="42" spans="1:88" s="100" customFormat="1" ht="15.75" customHeight="1">
      <c r="A42" s="46"/>
      <c r="B42" s="97"/>
      <c r="Q42" s="469"/>
      <c r="T42" s="474"/>
      <c r="U42" s="474"/>
      <c r="V42" s="474"/>
      <c r="W42" s="474"/>
      <c r="X42" s="474"/>
      <c r="Y42" s="474"/>
      <c r="Z42" s="474"/>
      <c r="AA42" s="474"/>
      <c r="AB42" s="474"/>
      <c r="AC42" s="474"/>
      <c r="AD42" s="474"/>
      <c r="AE42" s="474"/>
      <c r="AF42" s="474"/>
      <c r="AG42" s="474"/>
      <c r="AH42" s="474"/>
      <c r="AI42" s="474"/>
      <c r="AJ42" s="474"/>
      <c r="AK42" s="474"/>
      <c r="AL42" s="474"/>
      <c r="AM42" s="474"/>
      <c r="AN42" s="474"/>
      <c r="AO42" s="474"/>
      <c r="AP42" s="474"/>
      <c r="AQ42" s="474"/>
      <c r="AR42" s="474"/>
      <c r="AS42" s="474"/>
      <c r="AT42" s="474"/>
      <c r="AU42" s="474"/>
      <c r="AV42" s="474"/>
      <c r="AW42" s="474"/>
      <c r="AX42" s="474"/>
      <c r="AY42" s="474"/>
      <c r="AZ42" s="474"/>
      <c r="BA42" s="474"/>
      <c r="BB42" s="474"/>
      <c r="BC42" s="721"/>
      <c r="BD42" s="721"/>
      <c r="BE42" s="721"/>
      <c r="BF42" s="721"/>
      <c r="BG42" s="721"/>
      <c r="BH42" s="721"/>
      <c r="BI42" s="721"/>
      <c r="BJ42" s="721"/>
      <c r="BK42" s="721"/>
      <c r="BL42" s="721"/>
      <c r="BM42" s="721"/>
      <c r="BN42" s="721"/>
      <c r="BO42" s="721"/>
      <c r="BP42" s="721"/>
      <c r="BQ42" s="721"/>
      <c r="BR42" s="721"/>
      <c r="BS42" s="721"/>
      <c r="BT42" s="97"/>
      <c r="BU42" s="97"/>
      <c r="BV42" s="97"/>
      <c r="BW42" s="97"/>
      <c r="BX42" s="97"/>
      <c r="BY42" s="97"/>
      <c r="BZ42" s="97"/>
      <c r="CA42" s="97"/>
      <c r="CB42" s="97"/>
      <c r="CC42" s="97"/>
      <c r="CD42" s="97"/>
      <c r="CE42" s="97"/>
      <c r="CF42" s="97"/>
      <c r="CG42" s="468"/>
      <c r="CH42" s="468"/>
      <c r="CI42" s="468"/>
    </row>
    <row r="43" spans="1:88" s="100" customFormat="1" ht="15.75" customHeight="1">
      <c r="A43" s="46"/>
      <c r="B43" s="97"/>
      <c r="Q43" s="469"/>
      <c r="T43" s="474"/>
      <c r="U43" s="474"/>
      <c r="V43" s="474"/>
      <c r="W43" s="474"/>
      <c r="X43" s="474"/>
      <c r="Y43" s="474"/>
      <c r="Z43" s="474"/>
      <c r="AA43" s="474"/>
      <c r="AB43" s="474"/>
      <c r="AC43" s="474"/>
      <c r="AD43" s="474"/>
      <c r="AE43" s="474"/>
      <c r="AF43" s="474"/>
      <c r="AG43" s="474"/>
      <c r="AH43" s="474"/>
      <c r="AI43" s="474"/>
      <c r="AJ43" s="474"/>
      <c r="AK43" s="474"/>
      <c r="AL43" s="474"/>
      <c r="AM43" s="474"/>
      <c r="AN43" s="474"/>
      <c r="AO43" s="474"/>
      <c r="AP43" s="474"/>
      <c r="AQ43" s="474"/>
      <c r="AR43" s="474"/>
      <c r="AS43" s="474"/>
      <c r="AT43" s="474"/>
      <c r="AU43" s="474"/>
      <c r="AV43" s="474"/>
      <c r="AW43" s="474"/>
      <c r="AX43" s="474"/>
      <c r="AY43" s="474"/>
      <c r="AZ43" s="474"/>
      <c r="BA43" s="474"/>
      <c r="BB43" s="474"/>
      <c r="BC43" s="721"/>
      <c r="BD43" s="721"/>
      <c r="BE43" s="721"/>
      <c r="BF43" s="721"/>
      <c r="BG43" s="721"/>
      <c r="BH43" s="721"/>
      <c r="BI43" s="721"/>
      <c r="BJ43" s="721"/>
      <c r="BK43" s="721"/>
      <c r="BL43" s="721"/>
      <c r="BM43" s="721"/>
      <c r="BN43" s="721"/>
      <c r="BO43" s="721"/>
      <c r="BP43" s="721"/>
      <c r="BQ43" s="721"/>
      <c r="BR43" s="721"/>
      <c r="BS43" s="721"/>
      <c r="BT43" s="97"/>
      <c r="BU43" s="97"/>
      <c r="BV43" s="97"/>
      <c r="BW43" s="97"/>
      <c r="BX43" s="97"/>
      <c r="BY43" s="97"/>
      <c r="BZ43" s="97"/>
      <c r="CA43" s="97"/>
      <c r="CB43" s="97"/>
      <c r="CC43" s="97"/>
      <c r="CD43" s="97"/>
      <c r="CE43" s="97"/>
      <c r="CF43" s="97"/>
      <c r="CG43" s="468"/>
      <c r="CH43" s="468"/>
      <c r="CI43" s="468"/>
    </row>
    <row r="44" spans="1:88" s="100" customFormat="1" ht="15.75" customHeight="1">
      <c r="A44" s="46"/>
      <c r="B44" s="97"/>
      <c r="Q44" s="469"/>
      <c r="T44" s="474"/>
      <c r="U44" s="474"/>
      <c r="V44" s="474"/>
      <c r="W44" s="474"/>
      <c r="X44" s="474"/>
      <c r="Y44" s="474"/>
      <c r="Z44" s="474"/>
      <c r="AA44" s="474"/>
      <c r="AB44" s="474"/>
      <c r="AC44" s="474"/>
      <c r="AD44" s="474"/>
      <c r="AE44" s="474"/>
      <c r="AF44" s="474"/>
      <c r="AG44" s="474"/>
      <c r="AH44" s="474"/>
      <c r="AI44" s="474"/>
      <c r="AJ44" s="474"/>
      <c r="AK44" s="474"/>
      <c r="AL44" s="474"/>
      <c r="AM44" s="474"/>
      <c r="AN44" s="474"/>
      <c r="AO44" s="474"/>
      <c r="AP44" s="474"/>
      <c r="AQ44" s="474"/>
      <c r="AR44" s="474"/>
      <c r="AS44" s="474"/>
      <c r="AT44" s="474"/>
      <c r="AU44" s="474"/>
      <c r="AV44" s="474"/>
      <c r="AW44" s="474"/>
      <c r="AX44" s="474"/>
      <c r="AY44" s="474"/>
      <c r="AZ44" s="474"/>
      <c r="BA44" s="474"/>
      <c r="BB44" s="474"/>
      <c r="BC44" s="721"/>
      <c r="BD44" s="721"/>
      <c r="BE44" s="721"/>
      <c r="BF44" s="721"/>
      <c r="BG44" s="721"/>
      <c r="BH44" s="721"/>
      <c r="BI44" s="721"/>
      <c r="BJ44" s="721"/>
      <c r="BK44" s="721"/>
      <c r="BL44" s="721"/>
      <c r="BM44" s="721"/>
      <c r="BN44" s="721"/>
      <c r="BO44" s="721"/>
      <c r="BP44" s="721"/>
      <c r="BQ44" s="721"/>
      <c r="BR44" s="721"/>
      <c r="BS44" s="721"/>
      <c r="BT44" s="97"/>
      <c r="BU44" s="97"/>
      <c r="BV44" s="97"/>
      <c r="BW44" s="97"/>
      <c r="BX44" s="97"/>
      <c r="BY44" s="97"/>
      <c r="BZ44" s="97"/>
      <c r="CA44" s="97"/>
      <c r="CB44" s="97"/>
      <c r="CC44" s="97"/>
      <c r="CD44" s="97"/>
      <c r="CE44" s="97"/>
      <c r="CF44" s="97"/>
      <c r="CG44" s="468"/>
      <c r="CH44" s="468"/>
      <c r="CI44" s="468"/>
    </row>
    <row r="45" spans="1:88" s="100" customFormat="1" ht="15.75" customHeight="1">
      <c r="A45" s="46"/>
      <c r="B45" s="97"/>
      <c r="Q45" s="469"/>
      <c r="T45" s="474"/>
      <c r="U45" s="474"/>
      <c r="V45" s="474"/>
      <c r="W45" s="474"/>
      <c r="X45" s="474"/>
      <c r="Y45" s="474"/>
      <c r="Z45" s="474"/>
      <c r="AA45" s="474"/>
      <c r="AB45" s="474"/>
      <c r="AC45" s="474"/>
      <c r="AD45" s="474"/>
      <c r="AE45" s="474"/>
      <c r="AF45" s="474"/>
      <c r="AG45" s="474"/>
      <c r="AH45" s="474"/>
      <c r="AI45" s="474"/>
      <c r="AJ45" s="474"/>
      <c r="AK45" s="474"/>
      <c r="AL45" s="474"/>
      <c r="AM45" s="474"/>
      <c r="AN45" s="474"/>
      <c r="AO45" s="474"/>
      <c r="AP45" s="474"/>
      <c r="AQ45" s="474"/>
      <c r="AR45" s="474"/>
      <c r="AS45" s="474"/>
      <c r="AT45" s="474"/>
      <c r="AU45" s="474"/>
      <c r="AV45" s="474"/>
      <c r="AW45" s="474"/>
      <c r="AX45" s="474"/>
      <c r="AY45" s="474"/>
      <c r="AZ45" s="474"/>
      <c r="BA45" s="474"/>
      <c r="BB45" s="474"/>
      <c r="BC45" s="721"/>
      <c r="BD45" s="721"/>
      <c r="BE45" s="721"/>
      <c r="BF45" s="721"/>
      <c r="BG45" s="721"/>
      <c r="BH45" s="721"/>
      <c r="BI45" s="721"/>
      <c r="BJ45" s="721"/>
      <c r="BK45" s="721"/>
      <c r="BL45" s="721"/>
      <c r="BM45" s="721"/>
      <c r="BN45" s="721"/>
      <c r="BO45" s="721"/>
      <c r="BP45" s="721"/>
      <c r="BQ45" s="721"/>
      <c r="BR45" s="721"/>
      <c r="BS45" s="721"/>
      <c r="BT45" s="97"/>
      <c r="BU45" s="97"/>
      <c r="BV45" s="97"/>
      <c r="BW45" s="97"/>
      <c r="BX45" s="97"/>
      <c r="BY45" s="97"/>
      <c r="BZ45" s="97"/>
      <c r="CA45" s="97"/>
      <c r="CB45" s="97"/>
      <c r="CC45" s="97"/>
      <c r="CD45" s="97"/>
      <c r="CE45" s="97"/>
      <c r="CF45" s="97"/>
      <c r="CG45" s="468"/>
      <c r="CH45" s="468"/>
      <c r="CI45" s="468"/>
    </row>
    <row r="46" spans="1:88" s="100" customFormat="1" ht="15.75" customHeight="1">
      <c r="A46" s="46"/>
      <c r="B46" s="97"/>
      <c r="Q46" s="469"/>
      <c r="T46" s="474"/>
      <c r="U46" s="474"/>
      <c r="V46" s="474"/>
      <c r="W46" s="474"/>
      <c r="X46" s="474"/>
      <c r="Y46" s="474"/>
      <c r="Z46" s="474"/>
      <c r="AA46" s="474"/>
      <c r="AB46" s="474"/>
      <c r="AC46" s="474"/>
      <c r="AD46" s="474"/>
      <c r="AE46" s="474"/>
      <c r="AF46" s="474"/>
      <c r="AG46" s="474"/>
      <c r="AH46" s="474"/>
      <c r="AI46" s="474"/>
      <c r="AJ46" s="474"/>
      <c r="AK46" s="474"/>
      <c r="AL46" s="474"/>
      <c r="AM46" s="474"/>
      <c r="AN46" s="474"/>
      <c r="AO46" s="474"/>
      <c r="AP46" s="474"/>
      <c r="AQ46" s="474"/>
      <c r="AR46" s="474"/>
      <c r="AS46" s="474"/>
      <c r="AT46" s="474"/>
      <c r="AU46" s="474"/>
      <c r="AV46" s="474"/>
      <c r="AW46" s="474"/>
      <c r="AX46" s="474"/>
      <c r="AY46" s="474"/>
      <c r="AZ46" s="474"/>
      <c r="BA46" s="474"/>
      <c r="BB46" s="474"/>
      <c r="BC46" s="721"/>
      <c r="BD46" s="721"/>
      <c r="BE46" s="721"/>
      <c r="BF46" s="721"/>
      <c r="BG46" s="721"/>
      <c r="BH46" s="721"/>
      <c r="BI46" s="721"/>
      <c r="BJ46" s="721"/>
      <c r="BK46" s="721"/>
      <c r="BL46" s="721"/>
      <c r="BM46" s="721"/>
      <c r="BN46" s="721"/>
      <c r="BO46" s="721"/>
      <c r="BP46" s="721"/>
      <c r="BQ46" s="721"/>
      <c r="BR46" s="721"/>
      <c r="BS46" s="721"/>
      <c r="BT46" s="97"/>
      <c r="BU46" s="97"/>
      <c r="BV46" s="97"/>
      <c r="BW46" s="97"/>
      <c r="BX46" s="97"/>
      <c r="BY46" s="97"/>
      <c r="BZ46" s="97"/>
      <c r="CA46" s="97"/>
      <c r="CB46" s="97"/>
      <c r="CC46" s="97"/>
      <c r="CD46" s="97"/>
      <c r="CE46" s="97"/>
      <c r="CF46" s="97"/>
      <c r="CG46" s="468"/>
      <c r="CH46" s="468"/>
      <c r="CI46" s="468"/>
    </row>
    <row r="47" spans="1:88" s="100" customFormat="1" ht="15.75" customHeight="1">
      <c r="A47" s="46"/>
      <c r="B47" s="97"/>
      <c r="Q47" s="469"/>
      <c r="T47" s="474"/>
      <c r="U47" s="474"/>
      <c r="V47" s="474"/>
      <c r="W47" s="474"/>
      <c r="X47" s="474"/>
      <c r="Y47" s="474"/>
      <c r="Z47" s="474"/>
      <c r="AA47" s="474"/>
      <c r="AB47" s="474"/>
      <c r="AC47" s="474"/>
      <c r="AD47" s="474"/>
      <c r="AE47" s="474"/>
      <c r="AF47" s="474"/>
      <c r="AG47" s="474"/>
      <c r="AH47" s="474"/>
      <c r="AI47" s="474"/>
      <c r="AJ47" s="474"/>
      <c r="AK47" s="474"/>
      <c r="AL47" s="474"/>
      <c r="AM47" s="474"/>
      <c r="AN47" s="474"/>
      <c r="AO47" s="474"/>
      <c r="AP47" s="474"/>
      <c r="AQ47" s="474"/>
      <c r="AR47" s="474"/>
      <c r="AS47" s="474"/>
      <c r="AT47" s="474"/>
      <c r="AU47" s="474"/>
      <c r="AV47" s="474"/>
      <c r="AW47" s="474"/>
      <c r="AX47" s="474"/>
      <c r="AY47" s="474"/>
      <c r="AZ47" s="474"/>
      <c r="BA47" s="474"/>
      <c r="BB47" s="474"/>
      <c r="BC47" s="721"/>
      <c r="BD47" s="721"/>
      <c r="BE47" s="721"/>
      <c r="BF47" s="721"/>
      <c r="BG47" s="721"/>
      <c r="BH47" s="721"/>
      <c r="BI47" s="721"/>
      <c r="BJ47" s="721"/>
      <c r="BK47" s="721"/>
      <c r="BL47" s="721"/>
      <c r="BM47" s="721"/>
      <c r="BN47" s="721"/>
      <c r="BO47" s="721"/>
      <c r="BP47" s="721"/>
      <c r="BQ47" s="721"/>
      <c r="BR47" s="721"/>
      <c r="BS47" s="721"/>
      <c r="BT47" s="97"/>
      <c r="BU47" s="97"/>
      <c r="BV47" s="97"/>
      <c r="BW47" s="97"/>
      <c r="BX47" s="97"/>
      <c r="BY47" s="97"/>
      <c r="BZ47" s="97"/>
      <c r="CA47" s="97"/>
      <c r="CB47" s="97"/>
      <c r="CC47" s="97"/>
      <c r="CD47" s="97"/>
      <c r="CE47" s="97"/>
      <c r="CF47" s="97"/>
      <c r="CG47" s="468"/>
      <c r="CH47" s="468"/>
      <c r="CI47" s="468"/>
    </row>
    <row r="48" spans="1:88">
      <c r="CJ48" s="100"/>
    </row>
  </sheetData>
  <mergeCells count="26">
    <mergeCell ref="A1:G3"/>
    <mergeCell ref="H1:K1"/>
    <mergeCell ref="L1:R1"/>
    <mergeCell ref="S1:V1"/>
    <mergeCell ref="W1:AC1"/>
    <mergeCell ref="AH1:AL1"/>
    <mergeCell ref="AM1:AP1"/>
    <mergeCell ref="AQ1:AT1"/>
    <mergeCell ref="AU1:AX1"/>
    <mergeCell ref="H2:K2"/>
    <mergeCell ref="L2:R2"/>
    <mergeCell ref="S2:V2"/>
    <mergeCell ref="W2:AC2"/>
    <mergeCell ref="AD2:AG2"/>
    <mergeCell ref="AH2:AL2"/>
    <mergeCell ref="AD1:AG1"/>
    <mergeCell ref="AW5:AX5"/>
    <mergeCell ref="AM2:AP2"/>
    <mergeCell ref="AQ2:AT2"/>
    <mergeCell ref="AU2:AX3"/>
    <mergeCell ref="H3:K3"/>
    <mergeCell ref="L3:R3"/>
    <mergeCell ref="S3:V3"/>
    <mergeCell ref="W3:AL3"/>
    <mergeCell ref="AM3:AP3"/>
    <mergeCell ref="AQ3:AT3"/>
  </mergeCells>
  <phoneticPr fontId="3"/>
  <pageMargins left="0.7" right="0.7" top="0.75" bottom="0.75" header="0.3" footer="0.3"/>
  <pageSetup paperSize="9" scale="6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CJ100"/>
  <sheetViews>
    <sheetView showGridLines="0" zoomScaleNormal="100" workbookViewId="0">
      <selection activeCell="X13" sqref="X12:X13"/>
    </sheetView>
  </sheetViews>
  <sheetFormatPr defaultColWidth="3.5" defaultRowHeight="13.5"/>
  <cols>
    <col min="1" max="16384" width="3.5" style="468"/>
  </cols>
  <sheetData>
    <row r="1" spans="1:87" s="79" customFormat="1" ht="12">
      <c r="A1" s="940" t="s">
        <v>1059</v>
      </c>
      <c r="B1" s="941"/>
      <c r="C1" s="941"/>
      <c r="D1" s="941"/>
      <c r="E1" s="941"/>
      <c r="F1" s="941"/>
      <c r="G1" s="942"/>
      <c r="H1" s="949" t="s">
        <v>2</v>
      </c>
      <c r="I1" s="938"/>
      <c r="J1" s="938"/>
      <c r="K1" s="939"/>
      <c r="L1" s="950" t="s">
        <v>1064</v>
      </c>
      <c r="M1" s="951"/>
      <c r="N1" s="951"/>
      <c r="O1" s="951"/>
      <c r="P1" s="951"/>
      <c r="Q1" s="951"/>
      <c r="R1" s="952"/>
      <c r="S1" s="937" t="s">
        <v>7</v>
      </c>
      <c r="T1" s="938"/>
      <c r="U1" s="938"/>
      <c r="V1" s="939"/>
      <c r="W1" s="950" t="s">
        <v>1061</v>
      </c>
      <c r="X1" s="951"/>
      <c r="Y1" s="951"/>
      <c r="Z1" s="951"/>
      <c r="AA1" s="951"/>
      <c r="AB1" s="951"/>
      <c r="AC1" s="952"/>
      <c r="AD1" s="903" t="s">
        <v>8</v>
      </c>
      <c r="AE1" s="904"/>
      <c r="AF1" s="904"/>
      <c r="AG1" s="953"/>
      <c r="AH1" s="954" t="s">
        <v>1033</v>
      </c>
      <c r="AI1" s="955"/>
      <c r="AJ1" s="955"/>
      <c r="AK1" s="955"/>
      <c r="AL1" s="956"/>
      <c r="AM1" s="903" t="s">
        <v>9</v>
      </c>
      <c r="AN1" s="904"/>
      <c r="AO1" s="904"/>
      <c r="AP1" s="953"/>
      <c r="AQ1" s="900">
        <v>42881</v>
      </c>
      <c r="AR1" s="901"/>
      <c r="AS1" s="901"/>
      <c r="AT1" s="902"/>
      <c r="AU1" s="903" t="s">
        <v>0</v>
      </c>
      <c r="AV1" s="904"/>
      <c r="AW1" s="904"/>
      <c r="AX1" s="905"/>
    </row>
    <row r="2" spans="1:87" s="79" customFormat="1" ht="12">
      <c r="A2" s="943"/>
      <c r="B2" s="944"/>
      <c r="C2" s="944"/>
      <c r="D2" s="944"/>
      <c r="E2" s="944"/>
      <c r="F2" s="944"/>
      <c r="G2" s="945"/>
      <c r="H2" s="906" t="s">
        <v>10</v>
      </c>
      <c r="I2" s="907"/>
      <c r="J2" s="907"/>
      <c r="K2" s="908"/>
      <c r="L2" s="909" t="s">
        <v>1062</v>
      </c>
      <c r="M2" s="910"/>
      <c r="N2" s="910"/>
      <c r="O2" s="910"/>
      <c r="P2" s="910"/>
      <c r="Q2" s="910"/>
      <c r="R2" s="911"/>
      <c r="S2" s="912" t="s">
        <v>41</v>
      </c>
      <c r="T2" s="907"/>
      <c r="U2" s="907"/>
      <c r="V2" s="908"/>
      <c r="W2" s="909" t="s">
        <v>1065</v>
      </c>
      <c r="X2" s="910"/>
      <c r="Y2" s="910"/>
      <c r="Z2" s="910"/>
      <c r="AA2" s="910"/>
      <c r="AB2" s="910"/>
      <c r="AC2" s="911"/>
      <c r="AD2" s="913" t="s">
        <v>11</v>
      </c>
      <c r="AE2" s="914"/>
      <c r="AF2" s="914"/>
      <c r="AG2" s="915"/>
      <c r="AH2" s="916" t="s">
        <v>1033</v>
      </c>
      <c r="AI2" s="917"/>
      <c r="AJ2" s="917"/>
      <c r="AK2" s="917"/>
      <c r="AL2" s="918"/>
      <c r="AM2" s="919" t="s">
        <v>12</v>
      </c>
      <c r="AN2" s="920"/>
      <c r="AO2" s="920"/>
      <c r="AP2" s="921"/>
      <c r="AQ2" s="922">
        <v>43007</v>
      </c>
      <c r="AR2" s="923"/>
      <c r="AS2" s="923"/>
      <c r="AT2" s="923"/>
      <c r="AU2" s="924" t="s">
        <v>1066</v>
      </c>
      <c r="AV2" s="925"/>
      <c r="AW2" s="925"/>
      <c r="AX2" s="926"/>
    </row>
    <row r="3" spans="1:87" s="79" customFormat="1" ht="12.75" thickBot="1">
      <c r="A3" s="946"/>
      <c r="B3" s="947"/>
      <c r="C3" s="947"/>
      <c r="D3" s="947"/>
      <c r="E3" s="947"/>
      <c r="F3" s="947"/>
      <c r="G3" s="948"/>
      <c r="H3" s="930" t="s">
        <v>14</v>
      </c>
      <c r="I3" s="930"/>
      <c r="J3" s="930"/>
      <c r="K3" s="931"/>
      <c r="L3" s="932" t="s">
        <v>1060</v>
      </c>
      <c r="M3" s="933"/>
      <c r="N3" s="933"/>
      <c r="O3" s="933"/>
      <c r="P3" s="933"/>
      <c r="Q3" s="933"/>
      <c r="R3" s="933"/>
      <c r="S3" s="957" t="s">
        <v>15</v>
      </c>
      <c r="T3" s="930"/>
      <c r="U3" s="930"/>
      <c r="V3" s="931"/>
      <c r="W3" s="932" t="s">
        <v>1063</v>
      </c>
      <c r="X3" s="958"/>
      <c r="Y3" s="958"/>
      <c r="Z3" s="958"/>
      <c r="AA3" s="958"/>
      <c r="AB3" s="958"/>
      <c r="AC3" s="958"/>
      <c r="AD3" s="958"/>
      <c r="AE3" s="958"/>
      <c r="AF3" s="958"/>
      <c r="AG3" s="958"/>
      <c r="AH3" s="958"/>
      <c r="AI3" s="958"/>
      <c r="AJ3" s="958"/>
      <c r="AK3" s="958"/>
      <c r="AL3" s="959"/>
      <c r="AM3" s="934" t="s">
        <v>13</v>
      </c>
      <c r="AN3" s="935"/>
      <c r="AO3" s="935"/>
      <c r="AP3" s="936"/>
      <c r="AQ3" s="897" t="s">
        <v>1032</v>
      </c>
      <c r="AR3" s="898"/>
      <c r="AS3" s="898"/>
      <c r="AT3" s="899"/>
      <c r="AU3" s="927"/>
      <c r="AV3" s="928"/>
      <c r="AW3" s="928"/>
      <c r="AX3" s="929"/>
    </row>
    <row r="4" spans="1:87" ht="14.25" thickBot="1">
      <c r="A4" s="759"/>
      <c r="B4" s="760"/>
      <c r="C4" s="760"/>
      <c r="D4" s="760"/>
      <c r="E4" s="760"/>
      <c r="F4" s="760"/>
      <c r="G4" s="760"/>
      <c r="H4" s="760"/>
      <c r="I4" s="760"/>
      <c r="J4" s="760"/>
      <c r="K4" s="760"/>
      <c r="L4" s="760"/>
      <c r="M4" s="760"/>
      <c r="N4" s="760"/>
      <c r="O4" s="760"/>
      <c r="P4" s="760"/>
      <c r="Q4" s="760"/>
      <c r="R4" s="760"/>
      <c r="S4" s="760"/>
      <c r="T4" s="760"/>
      <c r="U4" s="760"/>
      <c r="V4" s="760"/>
      <c r="W4" s="760"/>
      <c r="X4" s="760"/>
      <c r="Y4" s="760"/>
      <c r="Z4" s="760"/>
      <c r="AA4" s="760"/>
      <c r="AB4" s="760"/>
      <c r="AC4" s="760"/>
      <c r="AD4" s="760"/>
      <c r="AE4" s="760"/>
      <c r="AF4" s="760"/>
      <c r="AG4" s="760"/>
      <c r="AH4" s="760"/>
      <c r="AI4" s="760"/>
      <c r="AJ4" s="760"/>
      <c r="AK4" s="760"/>
      <c r="AL4" s="760"/>
      <c r="AM4" s="760"/>
      <c r="AN4" s="760"/>
      <c r="AO4" s="760"/>
      <c r="AP4" s="760"/>
      <c r="AQ4" s="760"/>
      <c r="AR4" s="760"/>
      <c r="AS4" s="760"/>
      <c r="AT4" s="760"/>
      <c r="AU4" s="760"/>
      <c r="AV4" s="760"/>
      <c r="AW4" s="760"/>
      <c r="AX4" s="761"/>
    </row>
    <row r="5" spans="1:87" s="79" customFormat="1" ht="12.75" thickBot="1">
      <c r="A5" s="67" t="s">
        <v>1059</v>
      </c>
      <c r="B5" s="7"/>
      <c r="C5" s="7"/>
      <c r="D5" s="7"/>
      <c r="E5" s="7"/>
      <c r="F5" s="7"/>
      <c r="G5" s="7"/>
      <c r="H5" s="7"/>
      <c r="I5" s="7"/>
      <c r="J5" s="7"/>
      <c r="K5" s="7"/>
      <c r="L5" s="7"/>
      <c r="M5" s="7"/>
      <c r="N5" s="7"/>
      <c r="O5" s="7"/>
      <c r="P5" s="7"/>
      <c r="Q5" s="7"/>
      <c r="R5" s="7"/>
      <c r="S5" s="7"/>
      <c r="T5" s="7"/>
      <c r="U5" s="7"/>
      <c r="V5" s="7"/>
      <c r="W5" s="7"/>
      <c r="X5" s="7"/>
      <c r="Y5" s="68"/>
      <c r="Z5" s="7"/>
      <c r="AA5" s="7"/>
      <c r="AB5" s="7"/>
      <c r="AC5" s="7"/>
      <c r="AD5" s="7"/>
      <c r="AE5" s="7"/>
      <c r="AF5" s="7"/>
      <c r="AG5" s="7"/>
      <c r="AH5" s="7"/>
      <c r="AI5" s="7"/>
      <c r="AJ5" s="7"/>
      <c r="AK5" s="7"/>
      <c r="AL5" s="7"/>
      <c r="AM5" s="7"/>
      <c r="AN5" s="7"/>
      <c r="AO5" s="7"/>
      <c r="AP5" s="7"/>
      <c r="AQ5" s="7"/>
      <c r="AR5" s="7"/>
      <c r="AS5" s="7"/>
      <c r="AT5" s="7"/>
      <c r="AU5" s="7"/>
      <c r="AV5" s="7"/>
      <c r="AW5" s="1005"/>
      <c r="AX5" s="1006"/>
    </row>
    <row r="6" spans="1:87" ht="14.25" thickTop="1">
      <c r="A6" s="769"/>
      <c r="B6" s="770" t="s">
        <v>1312</v>
      </c>
      <c r="C6" s="770"/>
      <c r="D6" s="770"/>
      <c r="E6" s="770"/>
      <c r="F6" s="770"/>
      <c r="G6" s="770"/>
      <c r="H6" s="770"/>
      <c r="I6" s="770"/>
      <c r="J6" s="770"/>
      <c r="K6" s="770"/>
      <c r="L6" s="770"/>
      <c r="M6" s="770"/>
      <c r="N6" s="770"/>
      <c r="O6" s="770"/>
      <c r="P6" s="770"/>
      <c r="Q6" s="770"/>
      <c r="R6" s="770"/>
      <c r="S6" s="770"/>
      <c r="T6" s="770"/>
      <c r="U6" s="770"/>
      <c r="V6" s="770"/>
      <c r="W6" s="770"/>
      <c r="X6" s="770"/>
      <c r="Y6" s="770"/>
      <c r="Z6" s="770"/>
      <c r="AA6" s="770"/>
      <c r="AB6" s="770"/>
      <c r="AC6" s="770"/>
      <c r="AD6" s="770"/>
      <c r="AE6" s="770"/>
      <c r="AF6" s="770"/>
      <c r="AG6" s="770"/>
      <c r="AH6" s="770"/>
      <c r="AI6" s="770"/>
      <c r="AJ6" s="770"/>
      <c r="AK6" s="770"/>
      <c r="AL6" s="770"/>
      <c r="AM6" s="770"/>
      <c r="AN6" s="770"/>
      <c r="AO6" s="770"/>
      <c r="AP6" s="770"/>
      <c r="AQ6" s="770"/>
      <c r="AR6" s="770"/>
      <c r="AS6" s="770"/>
      <c r="AT6" s="770"/>
      <c r="AU6" s="770"/>
      <c r="AV6" s="770"/>
      <c r="AW6" s="770"/>
      <c r="AX6" s="771"/>
    </row>
    <row r="7" spans="1:87">
      <c r="A7" s="759"/>
      <c r="B7" s="760"/>
      <c r="C7" s="760"/>
      <c r="D7" s="760"/>
      <c r="E7" s="760"/>
      <c r="F7" s="760"/>
      <c r="G7" s="760"/>
      <c r="H7" s="760"/>
      <c r="I7" s="760"/>
      <c r="J7" s="760"/>
      <c r="K7" s="760"/>
      <c r="L7" s="760"/>
      <c r="M7" s="760"/>
      <c r="N7" s="760"/>
      <c r="O7" s="760"/>
      <c r="P7" s="760"/>
      <c r="Q7" s="760"/>
      <c r="R7" s="760"/>
      <c r="S7" s="760"/>
      <c r="T7" s="760"/>
      <c r="U7" s="760"/>
      <c r="V7" s="760"/>
      <c r="W7" s="760"/>
      <c r="X7" s="760"/>
      <c r="Y7" s="760"/>
      <c r="Z7" s="760"/>
      <c r="AA7" s="760"/>
      <c r="AB7" s="760"/>
      <c r="AC7" s="760"/>
      <c r="AD7" s="760"/>
      <c r="AE7" s="760"/>
      <c r="AF7" s="760"/>
      <c r="AG7" s="760"/>
      <c r="AH7" s="760"/>
      <c r="AI7" s="760"/>
      <c r="AJ7" s="760"/>
      <c r="AK7" s="760"/>
      <c r="AL7" s="760"/>
      <c r="AM7" s="760"/>
      <c r="AN7" s="760"/>
      <c r="AO7" s="760"/>
      <c r="AP7" s="760"/>
      <c r="AQ7" s="760"/>
      <c r="AR7" s="760"/>
      <c r="AS7" s="760"/>
      <c r="AT7" s="760"/>
      <c r="AU7" s="760"/>
      <c r="AV7" s="760"/>
      <c r="AW7" s="760"/>
      <c r="AX7" s="761"/>
    </row>
    <row r="8" spans="1:87">
      <c r="A8" s="759"/>
      <c r="B8" s="760"/>
      <c r="C8" s="760"/>
      <c r="D8" s="760"/>
      <c r="E8" s="760"/>
      <c r="F8" s="760"/>
      <c r="G8" s="760"/>
      <c r="H8" s="760"/>
      <c r="I8" s="760"/>
      <c r="J8" s="760"/>
      <c r="K8" s="760"/>
      <c r="L8" s="760"/>
      <c r="M8" s="760"/>
      <c r="N8" s="760"/>
      <c r="O8" s="760"/>
      <c r="P8" s="760"/>
      <c r="Q8" s="760"/>
      <c r="R8" s="760"/>
      <c r="S8" s="760"/>
      <c r="T8" s="760"/>
      <c r="U8" s="760"/>
      <c r="V8" s="760"/>
      <c r="W8" s="760"/>
      <c r="X8" s="760"/>
      <c r="Y8" s="760"/>
      <c r="Z8" s="760"/>
      <c r="AA8" s="760"/>
      <c r="AB8" s="760"/>
      <c r="AC8" s="760"/>
      <c r="AD8" s="760"/>
      <c r="AE8" s="760"/>
      <c r="AF8" s="760"/>
      <c r="AG8" s="760"/>
      <c r="AH8" s="760"/>
      <c r="AI8" s="760"/>
      <c r="AJ8" s="760"/>
      <c r="AK8" s="760"/>
      <c r="AL8" s="760"/>
      <c r="AM8" s="760"/>
      <c r="AN8" s="760"/>
      <c r="AO8" s="760"/>
      <c r="AP8" s="760"/>
      <c r="AQ8" s="760"/>
      <c r="AR8" s="760"/>
      <c r="AS8" s="760"/>
      <c r="AT8" s="760"/>
      <c r="AU8" s="760"/>
      <c r="AV8" s="760"/>
      <c r="AW8" s="760"/>
      <c r="AX8" s="761"/>
    </row>
    <row r="9" spans="1:87" s="100" customFormat="1" ht="15.75" customHeight="1">
      <c r="A9" s="46"/>
      <c r="B9" s="462"/>
      <c r="C9" s="466"/>
      <c r="D9" s="466"/>
      <c r="E9" s="97"/>
      <c r="F9" s="97"/>
      <c r="G9" s="97"/>
      <c r="H9" s="97"/>
      <c r="I9" s="97"/>
      <c r="J9" s="97"/>
      <c r="K9" s="97"/>
      <c r="L9" s="97"/>
      <c r="M9" s="97"/>
      <c r="N9" s="97"/>
      <c r="O9" s="97"/>
      <c r="P9" s="97"/>
      <c r="Q9" s="741"/>
      <c r="R9" s="97"/>
      <c r="S9" s="97"/>
      <c r="T9" s="721"/>
      <c r="U9" s="721"/>
      <c r="V9" s="721"/>
      <c r="W9" s="721"/>
      <c r="X9" s="721"/>
      <c r="Y9" s="721"/>
      <c r="Z9" s="721"/>
      <c r="AA9" s="721"/>
      <c r="AB9" s="721"/>
      <c r="AC9" s="721"/>
      <c r="AD9" s="721"/>
      <c r="AE9" s="721"/>
      <c r="AF9" s="721"/>
      <c r="AG9" s="721"/>
      <c r="AH9" s="721"/>
      <c r="AI9" s="721"/>
      <c r="AJ9" s="721"/>
      <c r="AK9" s="721"/>
      <c r="AL9" s="721"/>
      <c r="AM9" s="721"/>
      <c r="AN9" s="721"/>
      <c r="AO9" s="721"/>
      <c r="AP9" s="721"/>
      <c r="AQ9" s="721"/>
      <c r="AR9" s="721"/>
      <c r="AS9" s="721"/>
      <c r="AT9" s="721"/>
      <c r="AU9" s="721"/>
      <c r="AV9" s="721"/>
      <c r="AW9" s="721"/>
      <c r="AX9" s="762"/>
      <c r="AY9" s="474"/>
      <c r="AZ9" s="474"/>
      <c r="BA9" s="474"/>
      <c r="BB9" s="474"/>
      <c r="BC9" s="721"/>
      <c r="BD9" s="721"/>
      <c r="BE9" s="721"/>
      <c r="BF9" s="721"/>
      <c r="BG9" s="721"/>
      <c r="BH9" s="721"/>
      <c r="BI9" s="721"/>
      <c r="BJ9" s="721"/>
      <c r="BK9" s="721"/>
      <c r="BL9" s="721"/>
      <c r="BM9" s="721"/>
      <c r="BN9" s="721"/>
      <c r="BO9" s="721"/>
      <c r="BP9" s="721"/>
      <c r="BQ9" s="721"/>
      <c r="BR9" s="721"/>
      <c r="BS9" s="721"/>
      <c r="BT9" s="97"/>
      <c r="BU9" s="97"/>
      <c r="BV9" s="97"/>
      <c r="BW9" s="97"/>
      <c r="BX9" s="97"/>
      <c r="BY9" s="97"/>
      <c r="BZ9" s="97"/>
      <c r="CA9" s="97"/>
      <c r="CB9" s="97"/>
      <c r="CC9" s="97"/>
      <c r="CD9" s="97"/>
      <c r="CE9" s="97"/>
      <c r="CF9" s="97"/>
      <c r="CG9" s="468"/>
      <c r="CH9" s="468"/>
      <c r="CI9" s="468"/>
    </row>
    <row r="10" spans="1:87" s="100" customFormat="1" ht="15.75" customHeight="1">
      <c r="A10" s="46"/>
      <c r="B10" s="97"/>
      <c r="C10" s="462"/>
      <c r="D10" s="466"/>
      <c r="E10" s="471"/>
      <c r="F10" s="466"/>
      <c r="G10" s="466"/>
      <c r="H10" s="466"/>
      <c r="I10" s="466"/>
      <c r="J10" s="466"/>
      <c r="K10" s="466"/>
      <c r="L10" s="466"/>
      <c r="M10" s="466"/>
      <c r="N10" s="466"/>
      <c r="O10" s="466"/>
      <c r="P10" s="466"/>
      <c r="Q10" s="466"/>
      <c r="R10" s="97"/>
      <c r="S10" s="97"/>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62"/>
      <c r="AY10" s="474"/>
      <c r="AZ10" s="474"/>
      <c r="BA10" s="474"/>
      <c r="BB10" s="474"/>
      <c r="BC10" s="721"/>
      <c r="BD10" s="721"/>
      <c r="BE10" s="721"/>
      <c r="BF10" s="721"/>
      <c r="BG10" s="721"/>
      <c r="BH10" s="721"/>
      <c r="BI10" s="721"/>
      <c r="BJ10" s="721"/>
      <c r="BK10" s="721"/>
      <c r="BL10" s="721"/>
      <c r="BM10" s="721"/>
      <c r="BN10" s="721"/>
      <c r="BO10" s="721"/>
      <c r="BP10" s="721"/>
      <c r="BQ10" s="721"/>
      <c r="BR10" s="721"/>
      <c r="BS10" s="721"/>
      <c r="BT10" s="97"/>
      <c r="BU10" s="97"/>
      <c r="BV10" s="97"/>
      <c r="BW10" s="97"/>
      <c r="BX10" s="97"/>
      <c r="BY10" s="97"/>
      <c r="BZ10" s="97"/>
      <c r="CA10" s="97"/>
      <c r="CB10" s="97"/>
      <c r="CC10" s="97"/>
      <c r="CD10" s="97"/>
      <c r="CE10" s="97"/>
      <c r="CF10" s="97"/>
      <c r="CG10" s="468"/>
      <c r="CH10" s="468"/>
      <c r="CI10" s="468"/>
    </row>
    <row r="11" spans="1:87" s="100" customFormat="1" ht="15.75" customHeight="1">
      <c r="A11" s="46"/>
      <c r="B11" s="97"/>
      <c r="C11" s="463" t="s">
        <v>683</v>
      </c>
      <c r="D11" s="464"/>
      <c r="E11" s="465"/>
      <c r="F11" s="464"/>
      <c r="G11" s="464"/>
      <c r="H11" s="464"/>
      <c r="I11" s="464"/>
      <c r="J11" s="464"/>
      <c r="K11" s="464"/>
      <c r="L11" s="464"/>
      <c r="M11" s="464"/>
      <c r="N11" s="464"/>
      <c r="O11" s="464"/>
      <c r="P11" s="464"/>
      <c r="Q11" s="464"/>
      <c r="R11" s="772"/>
      <c r="S11" s="97"/>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62"/>
      <c r="AY11" s="474"/>
      <c r="AZ11" s="474"/>
      <c r="BA11" s="474"/>
      <c r="BB11" s="474"/>
      <c r="BC11" s="721"/>
      <c r="BD11" s="721"/>
      <c r="BE11" s="721"/>
      <c r="BF11" s="721"/>
      <c r="BG11" s="721"/>
      <c r="BH11" s="721"/>
      <c r="BI11" s="721"/>
      <c r="BJ11" s="721"/>
      <c r="BK11" s="721"/>
      <c r="BL11" s="721"/>
      <c r="BM11" s="721"/>
      <c r="BN11" s="721"/>
      <c r="BO11" s="721"/>
      <c r="BP11" s="721"/>
      <c r="BQ11" s="721"/>
      <c r="BR11" s="721"/>
      <c r="BS11" s="721"/>
      <c r="BT11" s="97"/>
      <c r="BU11" s="97"/>
      <c r="BV11" s="97"/>
      <c r="BW11" s="97"/>
      <c r="BX11" s="97"/>
      <c r="BY11" s="97"/>
      <c r="BZ11" s="97"/>
      <c r="CA11" s="97"/>
      <c r="CB11" s="97"/>
      <c r="CC11" s="97"/>
      <c r="CD11" s="97"/>
      <c r="CE11" s="97"/>
      <c r="CF11" s="97"/>
      <c r="CG11" s="468"/>
      <c r="CH11" s="468"/>
      <c r="CI11" s="468"/>
    </row>
    <row r="12" spans="1:87" s="100" customFormat="1" ht="15.75" customHeight="1">
      <c r="A12" s="46"/>
      <c r="B12" s="97"/>
      <c r="C12" s="464"/>
      <c r="D12" s="464"/>
      <c r="E12" s="465"/>
      <c r="F12" s="464"/>
      <c r="G12" s="464"/>
      <c r="H12" s="464"/>
      <c r="I12" s="464"/>
      <c r="J12" s="464"/>
      <c r="K12" s="464"/>
      <c r="L12" s="464"/>
      <c r="M12" s="464"/>
      <c r="N12" s="464"/>
      <c r="O12" s="464"/>
      <c r="P12" s="464"/>
      <c r="Q12" s="464"/>
      <c r="R12" s="772"/>
      <c r="S12" s="97"/>
      <c r="T12" s="721"/>
      <c r="U12" s="721"/>
      <c r="V12" s="721"/>
      <c r="W12" s="721"/>
      <c r="X12" s="721"/>
      <c r="Y12" s="721"/>
      <c r="Z12" s="721"/>
      <c r="AA12" s="721"/>
      <c r="AB12" s="721"/>
      <c r="AC12" s="721"/>
      <c r="AD12" s="721"/>
      <c r="AE12" s="721"/>
      <c r="AF12" s="721"/>
      <c r="AG12" s="721"/>
      <c r="AH12" s="721"/>
      <c r="AI12" s="721"/>
      <c r="AJ12" s="721"/>
      <c r="AK12" s="721"/>
      <c r="AL12" s="721"/>
      <c r="AM12" s="721"/>
      <c r="AN12" s="721"/>
      <c r="AO12" s="721"/>
      <c r="AP12" s="721"/>
      <c r="AQ12" s="721"/>
      <c r="AR12" s="721"/>
      <c r="AS12" s="721"/>
      <c r="AT12" s="721"/>
      <c r="AU12" s="721"/>
      <c r="AV12" s="721"/>
      <c r="AW12" s="721"/>
      <c r="AX12" s="762"/>
      <c r="AY12" s="474"/>
      <c r="AZ12" s="474"/>
      <c r="BA12" s="474"/>
      <c r="BB12" s="474"/>
      <c r="BC12" s="721"/>
      <c r="BD12" s="721"/>
      <c r="BE12" s="721"/>
      <c r="BF12" s="721"/>
      <c r="BG12" s="721"/>
      <c r="BH12" s="721"/>
      <c r="BI12" s="721"/>
      <c r="BJ12" s="721"/>
      <c r="BK12" s="721"/>
      <c r="BL12" s="721"/>
      <c r="BM12" s="721"/>
      <c r="BN12" s="721"/>
      <c r="BO12" s="721"/>
      <c r="BP12" s="721"/>
      <c r="BQ12" s="721"/>
      <c r="BR12" s="721"/>
      <c r="BS12" s="721"/>
      <c r="BT12" s="97"/>
      <c r="BU12" s="97"/>
      <c r="BV12" s="97"/>
      <c r="BW12" s="97"/>
      <c r="BX12" s="97"/>
      <c r="BY12" s="97"/>
      <c r="BZ12" s="97"/>
      <c r="CA12" s="97"/>
      <c r="CB12" s="97"/>
      <c r="CC12" s="97"/>
      <c r="CD12" s="97"/>
      <c r="CE12" s="97"/>
      <c r="CF12" s="97"/>
      <c r="CG12" s="468"/>
      <c r="CH12" s="468"/>
      <c r="CI12" s="468"/>
    </row>
    <row r="13" spans="1:87" s="100" customFormat="1" ht="15.75" customHeight="1">
      <c r="A13" s="46"/>
      <c r="B13" s="97"/>
      <c r="C13" s="464"/>
      <c r="D13" s="464"/>
      <c r="E13" s="465"/>
      <c r="F13" s="464"/>
      <c r="G13" s="464"/>
      <c r="H13" s="464"/>
      <c r="I13" s="464"/>
      <c r="J13" s="464"/>
      <c r="K13" s="464"/>
      <c r="L13" s="464"/>
      <c r="M13" s="464"/>
      <c r="N13" s="464"/>
      <c r="O13" s="464"/>
      <c r="P13" s="464"/>
      <c r="Q13" s="464"/>
      <c r="R13" s="772"/>
      <c r="S13" s="97"/>
      <c r="T13" s="721"/>
      <c r="U13" s="721"/>
      <c r="V13" s="721"/>
      <c r="W13" s="721"/>
      <c r="X13" s="721"/>
      <c r="Y13" s="721"/>
      <c r="Z13" s="721"/>
      <c r="AA13" s="721"/>
      <c r="AB13" s="721"/>
      <c r="AC13" s="721"/>
      <c r="AD13" s="721"/>
      <c r="AE13" s="721"/>
      <c r="AF13" s="721"/>
      <c r="AG13" s="721"/>
      <c r="AH13" s="721"/>
      <c r="AI13" s="721"/>
      <c r="AJ13" s="721"/>
      <c r="AK13" s="721"/>
      <c r="AL13" s="721"/>
      <c r="AM13" s="721"/>
      <c r="AN13" s="721"/>
      <c r="AO13" s="721"/>
      <c r="AP13" s="721"/>
      <c r="AQ13" s="721"/>
      <c r="AR13" s="721"/>
      <c r="AS13" s="721"/>
      <c r="AT13" s="721"/>
      <c r="AU13" s="721"/>
      <c r="AV13" s="721"/>
      <c r="AW13" s="721"/>
      <c r="AX13" s="762"/>
      <c r="AY13" s="474"/>
      <c r="AZ13" s="474"/>
      <c r="BA13" s="474"/>
      <c r="BB13" s="474"/>
      <c r="BC13" s="721"/>
      <c r="BD13" s="721"/>
      <c r="BE13" s="721"/>
      <c r="BF13" s="721"/>
      <c r="BG13" s="721"/>
      <c r="BH13" s="721"/>
      <c r="BI13" s="721"/>
      <c r="BJ13" s="721"/>
      <c r="BK13" s="721"/>
      <c r="BL13" s="721"/>
      <c r="BM13" s="721"/>
      <c r="BN13" s="721"/>
      <c r="BO13" s="721"/>
      <c r="BP13" s="721"/>
      <c r="BQ13" s="721"/>
      <c r="BR13" s="721"/>
      <c r="BS13" s="721"/>
      <c r="BT13" s="97"/>
      <c r="BU13" s="97"/>
      <c r="BV13" s="97"/>
      <c r="BW13" s="97"/>
      <c r="BX13" s="97"/>
      <c r="BY13" s="97"/>
      <c r="BZ13" s="97"/>
      <c r="CA13" s="97"/>
      <c r="CB13" s="97"/>
      <c r="CC13" s="97"/>
      <c r="CD13" s="97"/>
      <c r="CE13" s="97"/>
      <c r="CF13" s="97"/>
      <c r="CG13" s="468"/>
      <c r="CH13" s="468"/>
      <c r="CI13" s="468"/>
    </row>
    <row r="14" spans="1:87" s="100" customFormat="1" ht="15.75" customHeight="1">
      <c r="A14" s="46"/>
      <c r="B14" s="97"/>
      <c r="C14" s="464"/>
      <c r="D14" s="464"/>
      <c r="E14" s="465"/>
      <c r="F14" s="464"/>
      <c r="G14" s="464"/>
      <c r="H14" s="464"/>
      <c r="I14" s="464"/>
      <c r="J14" s="464"/>
      <c r="K14" s="464"/>
      <c r="L14" s="464"/>
      <c r="M14" s="464"/>
      <c r="N14" s="464"/>
      <c r="O14" s="464"/>
      <c r="P14" s="464"/>
      <c r="Q14" s="464"/>
      <c r="R14" s="772"/>
      <c r="S14" s="97"/>
      <c r="T14" s="721"/>
      <c r="U14" s="721"/>
      <c r="V14" s="721"/>
      <c r="W14" s="721"/>
      <c r="X14" s="721"/>
      <c r="Y14" s="721"/>
      <c r="Z14" s="721"/>
      <c r="AA14" s="721"/>
      <c r="AB14" s="721"/>
      <c r="AC14" s="721"/>
      <c r="AD14" s="721"/>
      <c r="AE14" s="721"/>
      <c r="AF14" s="721"/>
      <c r="AG14" s="721"/>
      <c r="AH14" s="721"/>
      <c r="AI14" s="721"/>
      <c r="AJ14" s="721"/>
      <c r="AK14" s="721"/>
      <c r="AL14" s="721"/>
      <c r="AM14" s="721"/>
      <c r="AN14" s="721"/>
      <c r="AO14" s="721"/>
      <c r="AP14" s="721"/>
      <c r="AQ14" s="721"/>
      <c r="AR14" s="721"/>
      <c r="AS14" s="721"/>
      <c r="AT14" s="721"/>
      <c r="AU14" s="721"/>
      <c r="AV14" s="721"/>
      <c r="AW14" s="721"/>
      <c r="AX14" s="762"/>
      <c r="AY14" s="474"/>
      <c r="AZ14" s="474"/>
      <c r="BA14" s="474"/>
      <c r="BB14" s="474"/>
      <c r="BC14" s="721"/>
      <c r="BD14" s="721"/>
      <c r="BE14" s="721"/>
      <c r="BF14" s="721"/>
      <c r="BG14" s="721"/>
      <c r="BH14" s="721"/>
      <c r="BI14" s="721"/>
      <c r="BJ14" s="721"/>
      <c r="BK14" s="721"/>
      <c r="BL14" s="721"/>
      <c r="BM14" s="721"/>
      <c r="BN14" s="721"/>
      <c r="BO14" s="721"/>
      <c r="BP14" s="721"/>
      <c r="BQ14" s="721"/>
      <c r="BR14" s="721"/>
      <c r="BS14" s="721"/>
      <c r="BT14" s="97"/>
      <c r="BU14" s="97"/>
      <c r="BV14" s="97"/>
      <c r="BW14" s="97"/>
      <c r="BX14" s="97"/>
      <c r="BY14" s="97"/>
      <c r="BZ14" s="97"/>
      <c r="CA14" s="97"/>
      <c r="CB14" s="97"/>
      <c r="CC14" s="97"/>
      <c r="CD14" s="97"/>
      <c r="CE14" s="97"/>
      <c r="CF14" s="97"/>
      <c r="CG14" s="468"/>
      <c r="CH14" s="468"/>
      <c r="CI14" s="468"/>
    </row>
    <row r="15" spans="1:87" s="100" customFormat="1" ht="15.75" customHeight="1">
      <c r="A15" s="46"/>
      <c r="B15" s="97"/>
      <c r="C15" s="464"/>
      <c r="D15" s="464"/>
      <c r="E15" s="465"/>
      <c r="F15" s="464"/>
      <c r="G15" s="464"/>
      <c r="H15" s="464"/>
      <c r="I15" s="464"/>
      <c r="J15" s="464"/>
      <c r="K15" s="464"/>
      <c r="L15" s="464"/>
      <c r="M15" s="464"/>
      <c r="N15" s="464"/>
      <c r="O15" s="464"/>
      <c r="P15" s="464"/>
      <c r="Q15" s="464"/>
      <c r="R15" s="772"/>
      <c r="S15" s="97"/>
      <c r="T15" s="721"/>
      <c r="U15" s="721"/>
      <c r="V15" s="721"/>
      <c r="W15" s="721"/>
      <c r="X15" s="721"/>
      <c r="Y15" s="721"/>
      <c r="Z15" s="721"/>
      <c r="AA15" s="721"/>
      <c r="AB15" s="721"/>
      <c r="AC15" s="721"/>
      <c r="AD15" s="721"/>
      <c r="AE15" s="721"/>
      <c r="AF15" s="721"/>
      <c r="AG15" s="721"/>
      <c r="AH15" s="721"/>
      <c r="AI15" s="721"/>
      <c r="AJ15" s="721"/>
      <c r="AK15" s="721"/>
      <c r="AL15" s="721"/>
      <c r="AM15" s="721"/>
      <c r="AN15" s="721"/>
      <c r="AO15" s="721"/>
      <c r="AP15" s="721"/>
      <c r="AQ15" s="721"/>
      <c r="AR15" s="721"/>
      <c r="AS15" s="721"/>
      <c r="AT15" s="721"/>
      <c r="AU15" s="721"/>
      <c r="AV15" s="721"/>
      <c r="AW15" s="721"/>
      <c r="AX15" s="762"/>
      <c r="AY15" s="474"/>
      <c r="AZ15" s="474"/>
      <c r="BA15" s="474"/>
      <c r="BB15" s="474"/>
      <c r="BC15" s="721"/>
      <c r="BD15" s="721"/>
      <c r="BE15" s="721"/>
      <c r="BF15" s="721"/>
      <c r="BG15" s="721"/>
      <c r="BH15" s="721"/>
      <c r="BI15" s="721"/>
      <c r="BJ15" s="721"/>
      <c r="BK15" s="721"/>
      <c r="BL15" s="721"/>
      <c r="BM15" s="721"/>
      <c r="BN15" s="721"/>
      <c r="BO15" s="721"/>
      <c r="BP15" s="721"/>
      <c r="BQ15" s="721"/>
      <c r="BR15" s="721"/>
      <c r="BS15" s="721"/>
      <c r="BT15" s="97"/>
      <c r="BU15" s="97"/>
      <c r="BV15" s="97"/>
      <c r="BW15" s="97"/>
      <c r="BX15" s="97"/>
      <c r="BY15" s="97"/>
      <c r="BZ15" s="97"/>
      <c r="CA15" s="97"/>
      <c r="CB15" s="97"/>
      <c r="CC15" s="97"/>
      <c r="CD15" s="97"/>
      <c r="CE15" s="97"/>
      <c r="CF15" s="97"/>
      <c r="CG15" s="468"/>
      <c r="CH15" s="468"/>
      <c r="CI15" s="468"/>
    </row>
    <row r="16" spans="1:87" s="100" customFormat="1" ht="15.75" customHeight="1">
      <c r="A16" s="46"/>
      <c r="B16" s="97"/>
      <c r="C16" s="464"/>
      <c r="D16" s="464"/>
      <c r="E16" s="465"/>
      <c r="F16" s="464"/>
      <c r="G16" s="464"/>
      <c r="H16" s="464"/>
      <c r="I16" s="464"/>
      <c r="J16" s="464"/>
      <c r="K16" s="464"/>
      <c r="L16" s="464"/>
      <c r="M16" s="464"/>
      <c r="N16" s="464"/>
      <c r="O16" s="464"/>
      <c r="P16" s="464"/>
      <c r="Q16" s="464"/>
      <c r="R16" s="772"/>
      <c r="S16" s="97"/>
      <c r="T16" s="721"/>
      <c r="U16" s="721"/>
      <c r="V16" s="721"/>
      <c r="W16" s="721"/>
      <c r="X16" s="721"/>
      <c r="Y16" s="721"/>
      <c r="Z16" s="721"/>
      <c r="AA16" s="721"/>
      <c r="AB16" s="721"/>
      <c r="AC16" s="721"/>
      <c r="AD16" s="721"/>
      <c r="AE16" s="721"/>
      <c r="AF16" s="721"/>
      <c r="AG16" s="721"/>
      <c r="AH16" s="721"/>
      <c r="AI16" s="721"/>
      <c r="AJ16" s="721"/>
      <c r="AK16" s="721"/>
      <c r="AL16" s="721"/>
      <c r="AM16" s="721"/>
      <c r="AN16" s="721"/>
      <c r="AO16" s="721"/>
      <c r="AP16" s="721"/>
      <c r="AQ16" s="721"/>
      <c r="AR16" s="721"/>
      <c r="AS16" s="721"/>
      <c r="AT16" s="721"/>
      <c r="AU16" s="721"/>
      <c r="AV16" s="721"/>
      <c r="AW16" s="721"/>
      <c r="AX16" s="762"/>
      <c r="AY16" s="474"/>
      <c r="AZ16" s="474"/>
      <c r="BA16" s="474"/>
      <c r="BB16" s="474"/>
      <c r="BC16" s="721"/>
      <c r="BD16" s="721"/>
      <c r="BE16" s="721"/>
      <c r="BF16" s="721"/>
      <c r="BG16" s="721"/>
      <c r="BH16" s="721"/>
      <c r="BI16" s="721"/>
      <c r="BJ16" s="721"/>
      <c r="BK16" s="721"/>
      <c r="BL16" s="721"/>
      <c r="BM16" s="721"/>
      <c r="BN16" s="721"/>
      <c r="BO16" s="721"/>
      <c r="BP16" s="721"/>
      <c r="BQ16" s="721"/>
      <c r="BR16" s="721"/>
      <c r="BS16" s="721"/>
      <c r="BT16" s="97"/>
      <c r="BU16" s="97"/>
      <c r="BV16" s="97"/>
      <c r="BW16" s="97"/>
      <c r="BX16" s="97"/>
      <c r="BY16" s="97"/>
      <c r="BZ16" s="97"/>
      <c r="CA16" s="97"/>
      <c r="CB16" s="97"/>
      <c r="CC16" s="97"/>
      <c r="CD16" s="97"/>
      <c r="CE16" s="97"/>
      <c r="CF16" s="97"/>
      <c r="CG16" s="468"/>
      <c r="CH16" s="468"/>
      <c r="CI16" s="468"/>
    </row>
    <row r="17" spans="1:87" s="100" customFormat="1" ht="15.75" customHeight="1">
      <c r="A17" s="46"/>
      <c r="B17" s="97"/>
      <c r="C17" s="464"/>
      <c r="D17" s="464"/>
      <c r="E17" s="465"/>
      <c r="F17" s="464"/>
      <c r="G17" s="464"/>
      <c r="H17" s="464"/>
      <c r="I17" s="464"/>
      <c r="J17" s="464"/>
      <c r="K17" s="464"/>
      <c r="L17" s="464"/>
      <c r="M17" s="464"/>
      <c r="N17" s="464"/>
      <c r="O17" s="464"/>
      <c r="P17" s="464"/>
      <c r="Q17" s="464"/>
      <c r="R17" s="772"/>
      <c r="S17" s="97"/>
      <c r="T17" s="721"/>
      <c r="U17" s="721"/>
      <c r="V17" s="721"/>
      <c r="W17" s="721"/>
      <c r="X17" s="721"/>
      <c r="Y17" s="721"/>
      <c r="Z17" s="721"/>
      <c r="AA17" s="721"/>
      <c r="AB17" s="721"/>
      <c r="AC17" s="721"/>
      <c r="AD17" s="721"/>
      <c r="AE17" s="721"/>
      <c r="AF17" s="721"/>
      <c r="AG17" s="721"/>
      <c r="AH17" s="721"/>
      <c r="AI17" s="721"/>
      <c r="AJ17" s="721"/>
      <c r="AK17" s="721"/>
      <c r="AL17" s="721"/>
      <c r="AM17" s="721"/>
      <c r="AN17" s="721"/>
      <c r="AO17" s="721"/>
      <c r="AP17" s="721"/>
      <c r="AQ17" s="721"/>
      <c r="AR17" s="721"/>
      <c r="AS17" s="721"/>
      <c r="AT17" s="721"/>
      <c r="AU17" s="721"/>
      <c r="AV17" s="721"/>
      <c r="AW17" s="721"/>
      <c r="AX17" s="762"/>
      <c r="AY17" s="474"/>
      <c r="AZ17" s="474"/>
      <c r="BA17" s="474"/>
      <c r="BB17" s="474"/>
      <c r="BC17" s="721"/>
      <c r="BD17" s="721"/>
      <c r="BE17" s="721"/>
      <c r="BF17" s="721"/>
      <c r="BG17" s="721"/>
      <c r="BH17" s="721"/>
      <c r="BI17" s="721"/>
      <c r="BJ17" s="721"/>
      <c r="BK17" s="721"/>
      <c r="BL17" s="721"/>
      <c r="BM17" s="721"/>
      <c r="BN17" s="721"/>
      <c r="BO17" s="721"/>
      <c r="BP17" s="721"/>
      <c r="BQ17" s="721"/>
      <c r="BR17" s="721"/>
      <c r="BS17" s="721"/>
      <c r="BT17" s="97"/>
      <c r="BU17" s="97"/>
      <c r="BV17" s="97"/>
      <c r="BW17" s="97"/>
      <c r="BX17" s="97"/>
      <c r="BY17" s="97"/>
      <c r="BZ17" s="97"/>
      <c r="CA17" s="97"/>
      <c r="CB17" s="97"/>
      <c r="CC17" s="97"/>
      <c r="CD17" s="97"/>
      <c r="CE17" s="97"/>
      <c r="CF17" s="97"/>
      <c r="CG17" s="468"/>
      <c r="CH17" s="468"/>
      <c r="CI17" s="468"/>
    </row>
    <row r="18" spans="1:87" s="100" customFormat="1" ht="15.75" customHeight="1">
      <c r="A18" s="46"/>
      <c r="B18" s="97"/>
      <c r="C18" s="464"/>
      <c r="D18" s="464"/>
      <c r="E18" s="465"/>
      <c r="F18" s="464"/>
      <c r="G18" s="464"/>
      <c r="H18" s="464"/>
      <c r="I18" s="464"/>
      <c r="J18" s="464"/>
      <c r="K18" s="464"/>
      <c r="L18" s="464"/>
      <c r="M18" s="464"/>
      <c r="N18" s="464"/>
      <c r="O18" s="464"/>
      <c r="P18" s="464"/>
      <c r="Q18" s="464"/>
      <c r="R18" s="772"/>
      <c r="S18" s="97"/>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721"/>
      <c r="AW18" s="721"/>
      <c r="AX18" s="762"/>
      <c r="AY18" s="474"/>
      <c r="AZ18" s="474"/>
      <c r="BA18" s="474"/>
      <c r="BB18" s="474"/>
      <c r="BC18" s="721"/>
      <c r="BD18" s="721"/>
      <c r="BE18" s="721"/>
      <c r="BF18" s="721"/>
      <c r="BG18" s="721"/>
      <c r="BH18" s="721"/>
      <c r="BI18" s="721"/>
      <c r="BJ18" s="721"/>
      <c r="BK18" s="721"/>
      <c r="BL18" s="721"/>
      <c r="BM18" s="721"/>
      <c r="BN18" s="721"/>
      <c r="BO18" s="721"/>
      <c r="BP18" s="721"/>
      <c r="BQ18" s="721"/>
      <c r="BR18" s="721"/>
      <c r="BS18" s="721"/>
      <c r="BT18" s="97"/>
      <c r="BU18" s="97"/>
      <c r="BV18" s="97"/>
      <c r="BW18" s="97"/>
      <c r="BX18" s="97"/>
      <c r="BY18" s="97"/>
      <c r="BZ18" s="97"/>
      <c r="CA18" s="97"/>
      <c r="CB18" s="97"/>
      <c r="CC18" s="97"/>
      <c r="CD18" s="97"/>
      <c r="CE18" s="97"/>
      <c r="CF18" s="97"/>
      <c r="CG18" s="468"/>
      <c r="CH18" s="468"/>
      <c r="CI18" s="468"/>
    </row>
    <row r="19" spans="1:87" s="100" customFormat="1" ht="15.75" customHeight="1">
      <c r="A19" s="46"/>
      <c r="B19" s="97"/>
      <c r="C19" s="472"/>
      <c r="D19" s="472"/>
      <c r="E19" s="473"/>
      <c r="F19" s="472"/>
      <c r="G19" s="472"/>
      <c r="H19" s="472"/>
      <c r="I19" s="472"/>
      <c r="J19" s="472"/>
      <c r="K19" s="472"/>
      <c r="L19" s="472"/>
      <c r="M19" s="472"/>
      <c r="N19" s="472"/>
      <c r="O19" s="472"/>
      <c r="P19" s="472"/>
      <c r="Q19" s="472"/>
      <c r="R19" s="721"/>
      <c r="S19" s="721"/>
      <c r="T19" s="475"/>
      <c r="U19" s="721"/>
      <c r="V19" s="721"/>
      <c r="W19" s="721"/>
      <c r="X19" s="721"/>
      <c r="Y19" s="721"/>
      <c r="Z19" s="721"/>
      <c r="AA19" s="721"/>
      <c r="AB19" s="721"/>
      <c r="AC19" s="721"/>
      <c r="AD19" s="721"/>
      <c r="AE19" s="721"/>
      <c r="AF19" s="721"/>
      <c r="AG19" s="721"/>
      <c r="AH19" s="721"/>
      <c r="AI19" s="721"/>
      <c r="AJ19" s="721"/>
      <c r="AK19" s="721"/>
      <c r="AL19" s="721"/>
      <c r="AM19" s="721"/>
      <c r="AN19" s="721"/>
      <c r="AO19" s="721"/>
      <c r="AP19" s="721"/>
      <c r="AQ19" s="721"/>
      <c r="AR19" s="721"/>
      <c r="AS19" s="721"/>
      <c r="AT19" s="721"/>
      <c r="AU19" s="721"/>
      <c r="AV19" s="721"/>
      <c r="AW19" s="721"/>
      <c r="AX19" s="762"/>
      <c r="AY19" s="474"/>
      <c r="AZ19" s="474"/>
      <c r="BA19" s="474"/>
      <c r="BB19" s="474"/>
      <c r="BC19" s="721"/>
      <c r="BD19" s="721"/>
      <c r="BE19" s="721"/>
      <c r="BF19" s="721"/>
      <c r="BG19" s="721"/>
      <c r="BH19" s="721"/>
      <c r="BI19" s="721"/>
      <c r="BJ19" s="721"/>
      <c r="BK19" s="721"/>
      <c r="BL19" s="721"/>
      <c r="BM19" s="721"/>
      <c r="BN19" s="721"/>
      <c r="BO19" s="721"/>
      <c r="BP19" s="721"/>
      <c r="BQ19" s="721"/>
      <c r="BR19" s="721"/>
      <c r="BS19" s="721"/>
      <c r="BT19" s="97"/>
      <c r="BU19" s="97"/>
      <c r="BV19" s="97"/>
      <c r="BW19" s="97"/>
      <c r="BX19" s="97"/>
      <c r="BY19" s="97"/>
      <c r="BZ19" s="97"/>
      <c r="CA19" s="97"/>
      <c r="CB19" s="97"/>
      <c r="CC19" s="97"/>
      <c r="CD19" s="97"/>
      <c r="CE19" s="97"/>
      <c r="CF19" s="97"/>
      <c r="CG19" s="468"/>
      <c r="CH19" s="468"/>
      <c r="CI19" s="468"/>
    </row>
    <row r="20" spans="1:87" s="100" customFormat="1" ht="15.75" customHeight="1">
      <c r="A20" s="46"/>
      <c r="B20" s="97"/>
      <c r="C20" s="472"/>
      <c r="D20" s="472"/>
      <c r="E20" s="473"/>
      <c r="F20" s="472"/>
      <c r="G20" s="472"/>
      <c r="H20" s="472"/>
      <c r="I20" s="472"/>
      <c r="J20" s="472"/>
      <c r="K20" s="472"/>
      <c r="L20" s="472"/>
      <c r="M20" s="472"/>
      <c r="N20" s="472"/>
      <c r="O20" s="472"/>
      <c r="P20" s="472"/>
      <c r="Q20" s="472"/>
      <c r="R20" s="721"/>
      <c r="S20" s="721"/>
      <c r="T20" s="721"/>
      <c r="U20" s="721"/>
      <c r="V20" s="721"/>
      <c r="W20" s="721"/>
      <c r="X20" s="721"/>
      <c r="Y20" s="721"/>
      <c r="Z20" s="721"/>
      <c r="AA20" s="721"/>
      <c r="AB20" s="721"/>
      <c r="AC20" s="721"/>
      <c r="AD20" s="721"/>
      <c r="AE20" s="721"/>
      <c r="AF20" s="721"/>
      <c r="AG20" s="721"/>
      <c r="AH20" s="721"/>
      <c r="AI20" s="721"/>
      <c r="AJ20" s="721"/>
      <c r="AK20" s="721"/>
      <c r="AL20" s="721"/>
      <c r="AM20" s="721"/>
      <c r="AN20" s="721"/>
      <c r="AO20" s="721"/>
      <c r="AP20" s="721"/>
      <c r="AQ20" s="721"/>
      <c r="AR20" s="721"/>
      <c r="AS20" s="721"/>
      <c r="AT20" s="721"/>
      <c r="AU20" s="721"/>
      <c r="AV20" s="721"/>
      <c r="AW20" s="721"/>
      <c r="AX20" s="762"/>
      <c r="AY20" s="474"/>
      <c r="AZ20" s="474"/>
      <c r="BA20" s="474"/>
      <c r="BB20" s="474"/>
      <c r="BC20" s="721"/>
      <c r="BD20" s="721"/>
      <c r="BE20" s="721"/>
      <c r="BF20" s="721"/>
      <c r="BG20" s="721"/>
      <c r="BH20" s="721"/>
      <c r="BI20" s="721"/>
      <c r="BJ20" s="721"/>
      <c r="BK20" s="721"/>
      <c r="BL20" s="721"/>
      <c r="BM20" s="721"/>
      <c r="BN20" s="721"/>
      <c r="BO20" s="721"/>
      <c r="BP20" s="721"/>
      <c r="BQ20" s="721"/>
      <c r="BR20" s="721"/>
      <c r="BS20" s="721"/>
      <c r="BT20" s="97"/>
      <c r="BU20" s="97"/>
      <c r="BV20" s="97"/>
      <c r="BW20" s="97"/>
      <c r="BX20" s="97"/>
      <c r="BY20" s="97"/>
      <c r="BZ20" s="97"/>
      <c r="CA20" s="97"/>
      <c r="CB20" s="97"/>
      <c r="CC20" s="97"/>
      <c r="CD20" s="97"/>
      <c r="CE20" s="97"/>
      <c r="CF20" s="97"/>
      <c r="CG20" s="468"/>
      <c r="CH20" s="468"/>
      <c r="CI20" s="468"/>
    </row>
    <row r="21" spans="1:87" s="100" customFormat="1" ht="15.75" customHeight="1">
      <c r="A21" s="46"/>
      <c r="B21" s="97"/>
      <c r="C21" s="472"/>
      <c r="D21" s="472"/>
      <c r="E21" s="473"/>
      <c r="F21" s="472"/>
      <c r="G21" s="472"/>
      <c r="H21" s="472"/>
      <c r="I21" s="472"/>
      <c r="J21" s="472"/>
      <c r="K21" s="472"/>
      <c r="L21" s="472"/>
      <c r="M21" s="472"/>
      <c r="N21" s="472"/>
      <c r="O21" s="472"/>
      <c r="P21" s="472"/>
      <c r="Q21" s="472"/>
      <c r="R21" s="721"/>
      <c r="S21" s="721"/>
      <c r="T21" s="721"/>
      <c r="U21" s="721"/>
      <c r="V21" s="721"/>
      <c r="W21" s="721"/>
      <c r="X21" s="721"/>
      <c r="Y21" s="721"/>
      <c r="Z21" s="721"/>
      <c r="AA21" s="721"/>
      <c r="AB21" s="721"/>
      <c r="AC21" s="721"/>
      <c r="AD21" s="721"/>
      <c r="AE21" s="721"/>
      <c r="AF21" s="721"/>
      <c r="AG21" s="721"/>
      <c r="AH21" s="721"/>
      <c r="AI21" s="721"/>
      <c r="AJ21" s="721"/>
      <c r="AK21" s="721"/>
      <c r="AL21" s="721"/>
      <c r="AM21" s="721"/>
      <c r="AN21" s="721"/>
      <c r="AO21" s="721"/>
      <c r="AP21" s="721"/>
      <c r="AQ21" s="721"/>
      <c r="AR21" s="721"/>
      <c r="AS21" s="721"/>
      <c r="AT21" s="721"/>
      <c r="AU21" s="721"/>
      <c r="AV21" s="721"/>
      <c r="AW21" s="721"/>
      <c r="AX21" s="762"/>
      <c r="AY21" s="474"/>
      <c r="AZ21" s="474"/>
      <c r="BA21" s="474"/>
      <c r="BB21" s="474"/>
      <c r="BC21" s="721"/>
      <c r="BD21" s="721"/>
      <c r="BE21" s="721"/>
      <c r="BF21" s="721"/>
      <c r="BG21" s="721"/>
      <c r="BH21" s="721"/>
      <c r="BI21" s="721"/>
      <c r="BJ21" s="721"/>
      <c r="BK21" s="721"/>
      <c r="BL21" s="721"/>
      <c r="BM21" s="721"/>
      <c r="BN21" s="721"/>
      <c r="BO21" s="721"/>
      <c r="BP21" s="721"/>
      <c r="BQ21" s="721"/>
      <c r="BR21" s="721"/>
      <c r="BS21" s="721"/>
      <c r="BT21" s="97"/>
      <c r="BU21" s="97"/>
      <c r="BV21" s="97"/>
      <c r="BW21" s="97"/>
      <c r="BX21" s="97"/>
      <c r="BY21" s="97"/>
      <c r="BZ21" s="97"/>
      <c r="CA21" s="97"/>
      <c r="CB21" s="97"/>
      <c r="CC21" s="97"/>
      <c r="CD21" s="97"/>
      <c r="CE21" s="97"/>
      <c r="CF21" s="97"/>
      <c r="CG21" s="468"/>
      <c r="CH21" s="468"/>
      <c r="CI21" s="468"/>
    </row>
    <row r="22" spans="1:87" s="100" customFormat="1" ht="15.75" customHeight="1">
      <c r="A22" s="46"/>
      <c r="B22" s="97"/>
      <c r="C22" s="472"/>
      <c r="D22" s="472"/>
      <c r="E22" s="473"/>
      <c r="F22" s="472"/>
      <c r="G22" s="472"/>
      <c r="H22" s="472"/>
      <c r="I22" s="472"/>
      <c r="J22" s="472"/>
      <c r="K22" s="472"/>
      <c r="L22" s="472"/>
      <c r="M22" s="472"/>
      <c r="N22" s="472"/>
      <c r="O22" s="472"/>
      <c r="P22" s="472"/>
      <c r="Q22" s="472"/>
      <c r="R22" s="721"/>
      <c r="S22" s="721"/>
      <c r="T22" s="721"/>
      <c r="U22" s="721"/>
      <c r="V22" s="721"/>
      <c r="W22" s="721"/>
      <c r="X22" s="721"/>
      <c r="Y22" s="721"/>
      <c r="Z22" s="721"/>
      <c r="AA22" s="721"/>
      <c r="AB22" s="721"/>
      <c r="AC22" s="721"/>
      <c r="AD22" s="721"/>
      <c r="AE22" s="721"/>
      <c r="AF22" s="721"/>
      <c r="AG22" s="721"/>
      <c r="AH22" s="721"/>
      <c r="AI22" s="721"/>
      <c r="AJ22" s="721"/>
      <c r="AK22" s="721"/>
      <c r="AL22" s="721"/>
      <c r="AM22" s="721"/>
      <c r="AN22" s="721"/>
      <c r="AO22" s="721"/>
      <c r="AP22" s="721"/>
      <c r="AQ22" s="721"/>
      <c r="AR22" s="721"/>
      <c r="AS22" s="721"/>
      <c r="AT22" s="721"/>
      <c r="AU22" s="721"/>
      <c r="AV22" s="721"/>
      <c r="AW22" s="721"/>
      <c r="AX22" s="762"/>
      <c r="AY22" s="474"/>
      <c r="AZ22" s="474"/>
      <c r="BA22" s="474"/>
      <c r="BB22" s="474"/>
      <c r="BC22" s="721"/>
      <c r="BD22" s="721"/>
      <c r="BE22" s="721"/>
      <c r="BF22" s="721"/>
      <c r="BG22" s="721"/>
      <c r="BH22" s="721"/>
      <c r="BI22" s="721"/>
      <c r="BJ22" s="721"/>
      <c r="BK22" s="721"/>
      <c r="BL22" s="721"/>
      <c r="BM22" s="721"/>
      <c r="BN22" s="721"/>
      <c r="BO22" s="721"/>
      <c r="BP22" s="721"/>
      <c r="BQ22" s="721"/>
      <c r="BR22" s="721"/>
      <c r="BS22" s="721"/>
      <c r="BT22" s="97"/>
      <c r="BU22" s="97"/>
      <c r="BV22" s="97"/>
      <c r="BW22" s="97"/>
      <c r="BX22" s="97"/>
      <c r="BY22" s="97"/>
      <c r="BZ22" s="97"/>
      <c r="CA22" s="97"/>
      <c r="CB22" s="97"/>
      <c r="CC22" s="97"/>
      <c r="CD22" s="97"/>
      <c r="CE22" s="97"/>
      <c r="CF22" s="97"/>
      <c r="CG22" s="468"/>
      <c r="CH22" s="468"/>
      <c r="CI22" s="468"/>
    </row>
    <row r="23" spans="1:87" s="100" customFormat="1" ht="15.75" customHeight="1">
      <c r="A23" s="46"/>
      <c r="B23" s="97"/>
      <c r="C23" s="472"/>
      <c r="D23" s="472"/>
      <c r="E23" s="472"/>
      <c r="F23" s="472"/>
      <c r="G23" s="472"/>
      <c r="H23" s="472"/>
      <c r="I23" s="472"/>
      <c r="J23" s="472"/>
      <c r="K23" s="472"/>
      <c r="L23" s="472"/>
      <c r="M23" s="472"/>
      <c r="N23" s="472"/>
      <c r="O23" s="472"/>
      <c r="P23" s="472"/>
      <c r="Q23" s="472"/>
      <c r="R23" s="721"/>
      <c r="S23" s="721"/>
      <c r="T23" s="721"/>
      <c r="U23" s="721"/>
      <c r="V23" s="721"/>
      <c r="W23" s="721"/>
      <c r="X23" s="721"/>
      <c r="Y23" s="721"/>
      <c r="Z23" s="721"/>
      <c r="AA23" s="721"/>
      <c r="AB23" s="721"/>
      <c r="AC23" s="721"/>
      <c r="AD23" s="721"/>
      <c r="AE23" s="721"/>
      <c r="AF23" s="721"/>
      <c r="AG23" s="721"/>
      <c r="AH23" s="721"/>
      <c r="AI23" s="721"/>
      <c r="AJ23" s="721"/>
      <c r="AK23" s="721"/>
      <c r="AL23" s="721"/>
      <c r="AM23" s="721"/>
      <c r="AN23" s="721"/>
      <c r="AO23" s="721"/>
      <c r="AP23" s="721"/>
      <c r="AQ23" s="721"/>
      <c r="AR23" s="721"/>
      <c r="AS23" s="721"/>
      <c r="AT23" s="721"/>
      <c r="AU23" s="721"/>
      <c r="AV23" s="721"/>
      <c r="AW23" s="721"/>
      <c r="AX23" s="762"/>
      <c r="AY23" s="474"/>
      <c r="AZ23" s="474"/>
      <c r="BA23" s="474"/>
      <c r="BB23" s="474"/>
      <c r="BC23" s="721"/>
      <c r="BD23" s="721"/>
      <c r="BE23" s="721"/>
      <c r="BF23" s="721"/>
      <c r="BG23" s="721"/>
      <c r="BH23" s="721"/>
      <c r="BI23" s="721"/>
      <c r="BJ23" s="721"/>
      <c r="BK23" s="721"/>
      <c r="BL23" s="721"/>
      <c r="BM23" s="721"/>
      <c r="BN23" s="721"/>
      <c r="BO23" s="721"/>
      <c r="BP23" s="721"/>
      <c r="BQ23" s="721"/>
      <c r="BR23" s="721"/>
      <c r="BS23" s="721"/>
      <c r="BT23" s="97"/>
      <c r="BU23" s="97"/>
      <c r="BV23" s="97"/>
      <c r="BW23" s="97"/>
      <c r="BX23" s="97"/>
      <c r="BY23" s="97"/>
      <c r="BZ23" s="97"/>
      <c r="CA23" s="97"/>
      <c r="CB23" s="97"/>
      <c r="CC23" s="97"/>
      <c r="CD23" s="97"/>
      <c r="CE23" s="97"/>
      <c r="CF23" s="97"/>
      <c r="CG23" s="468"/>
      <c r="CH23" s="468"/>
      <c r="CI23" s="468"/>
    </row>
    <row r="24" spans="1:87" s="100" customFormat="1" ht="15.75" customHeight="1">
      <c r="A24" s="46"/>
      <c r="B24" s="97"/>
      <c r="C24" s="472"/>
      <c r="D24" s="472"/>
      <c r="E24" s="472"/>
      <c r="F24" s="472"/>
      <c r="G24" s="472"/>
      <c r="H24" s="472"/>
      <c r="I24" s="472"/>
      <c r="J24" s="472"/>
      <c r="K24" s="472"/>
      <c r="L24" s="472"/>
      <c r="M24" s="472"/>
      <c r="N24" s="472"/>
      <c r="O24" s="472"/>
      <c r="P24" s="472"/>
      <c r="Q24" s="472"/>
      <c r="R24" s="721"/>
      <c r="S24" s="721"/>
      <c r="T24" s="721"/>
      <c r="U24" s="721"/>
      <c r="V24" s="721"/>
      <c r="W24" s="721"/>
      <c r="X24" s="721"/>
      <c r="Y24" s="721"/>
      <c r="Z24" s="721"/>
      <c r="AA24" s="721"/>
      <c r="AB24" s="721"/>
      <c r="AC24" s="721"/>
      <c r="AD24" s="721"/>
      <c r="AE24" s="721"/>
      <c r="AF24" s="721"/>
      <c r="AG24" s="721"/>
      <c r="AH24" s="721"/>
      <c r="AI24" s="721"/>
      <c r="AJ24" s="721"/>
      <c r="AK24" s="721"/>
      <c r="AL24" s="721"/>
      <c r="AM24" s="721"/>
      <c r="AN24" s="721"/>
      <c r="AO24" s="721"/>
      <c r="AP24" s="721"/>
      <c r="AQ24" s="721"/>
      <c r="AR24" s="721"/>
      <c r="AS24" s="721"/>
      <c r="AT24" s="721"/>
      <c r="AU24" s="721"/>
      <c r="AV24" s="721"/>
      <c r="AW24" s="721"/>
      <c r="AX24" s="762"/>
      <c r="AY24" s="474"/>
      <c r="AZ24" s="474"/>
      <c r="BA24" s="474"/>
      <c r="BB24" s="474"/>
      <c r="BC24" s="721"/>
      <c r="BD24" s="721"/>
      <c r="BE24" s="721"/>
      <c r="BF24" s="721"/>
      <c r="BG24" s="721"/>
      <c r="BH24" s="721"/>
      <c r="BI24" s="721"/>
      <c r="BJ24" s="721"/>
      <c r="BK24" s="721"/>
      <c r="BL24" s="721"/>
      <c r="BM24" s="721"/>
      <c r="BN24" s="721"/>
      <c r="BO24" s="721"/>
      <c r="BP24" s="721"/>
      <c r="BQ24" s="721"/>
      <c r="BR24" s="721"/>
      <c r="BS24" s="721"/>
      <c r="BT24" s="97"/>
      <c r="BU24" s="97"/>
      <c r="BV24" s="97"/>
      <c r="BW24" s="97"/>
      <c r="BX24" s="97"/>
      <c r="BY24" s="97"/>
      <c r="BZ24" s="97"/>
      <c r="CA24" s="97"/>
      <c r="CB24" s="97"/>
      <c r="CC24" s="97"/>
      <c r="CD24" s="97"/>
      <c r="CE24" s="97"/>
      <c r="CF24" s="97"/>
      <c r="CG24" s="468"/>
      <c r="CH24" s="468"/>
      <c r="CI24" s="468"/>
    </row>
    <row r="25" spans="1:87" s="100" customFormat="1" ht="15.75" customHeight="1">
      <c r="A25" s="46"/>
      <c r="B25" s="97"/>
      <c r="C25" s="472"/>
      <c r="D25" s="472"/>
      <c r="E25" s="472"/>
      <c r="F25" s="472"/>
      <c r="G25" s="472"/>
      <c r="H25" s="472"/>
      <c r="I25" s="472"/>
      <c r="J25" s="472"/>
      <c r="K25" s="472"/>
      <c r="L25" s="472"/>
      <c r="M25" s="472"/>
      <c r="N25" s="472"/>
      <c r="O25" s="472"/>
      <c r="P25" s="472"/>
      <c r="Q25" s="472"/>
      <c r="R25" s="721"/>
      <c r="S25" s="721"/>
      <c r="T25" s="721"/>
      <c r="U25" s="721"/>
      <c r="V25" s="721"/>
      <c r="W25" s="721"/>
      <c r="X25" s="721"/>
      <c r="Y25" s="721"/>
      <c r="Z25" s="721"/>
      <c r="AA25" s="721"/>
      <c r="AB25" s="721"/>
      <c r="AC25" s="721"/>
      <c r="AD25" s="721"/>
      <c r="AE25" s="721"/>
      <c r="AF25" s="721"/>
      <c r="AG25" s="721"/>
      <c r="AH25" s="721"/>
      <c r="AI25" s="721"/>
      <c r="AJ25" s="721"/>
      <c r="AK25" s="721"/>
      <c r="AL25" s="721"/>
      <c r="AM25" s="721"/>
      <c r="AN25" s="721"/>
      <c r="AO25" s="721"/>
      <c r="AP25" s="721"/>
      <c r="AQ25" s="721"/>
      <c r="AR25" s="721"/>
      <c r="AS25" s="721"/>
      <c r="AT25" s="721"/>
      <c r="AU25" s="721"/>
      <c r="AV25" s="721"/>
      <c r="AW25" s="721"/>
      <c r="AX25" s="762"/>
      <c r="AY25" s="474"/>
      <c r="AZ25" s="474"/>
      <c r="BA25" s="474"/>
      <c r="BB25" s="474"/>
      <c r="BC25" s="721"/>
      <c r="BD25" s="721"/>
      <c r="BE25" s="721"/>
      <c r="BF25" s="721"/>
      <c r="BG25" s="721"/>
      <c r="BH25" s="721"/>
      <c r="BI25" s="721"/>
      <c r="BJ25" s="721"/>
      <c r="BK25" s="721"/>
      <c r="BL25" s="721"/>
      <c r="BM25" s="721"/>
      <c r="BN25" s="721"/>
      <c r="BO25" s="721"/>
      <c r="BP25" s="721"/>
      <c r="BQ25" s="721"/>
      <c r="BR25" s="721"/>
      <c r="BS25" s="721"/>
      <c r="BT25" s="97"/>
      <c r="BU25" s="97"/>
      <c r="BV25" s="97"/>
      <c r="BW25" s="97"/>
      <c r="BX25" s="97"/>
      <c r="BY25" s="97"/>
      <c r="BZ25" s="97"/>
      <c r="CA25" s="97"/>
      <c r="CB25" s="97"/>
      <c r="CC25" s="97"/>
      <c r="CD25" s="97"/>
      <c r="CE25" s="97"/>
      <c r="CF25" s="97"/>
      <c r="CG25" s="468"/>
      <c r="CH25" s="468"/>
      <c r="CI25" s="468"/>
    </row>
    <row r="26" spans="1:87" s="100" customFormat="1" ht="15.75" customHeight="1">
      <c r="A26" s="46"/>
      <c r="B26" s="97"/>
      <c r="C26" s="472"/>
      <c r="D26" s="472"/>
      <c r="E26" s="472"/>
      <c r="F26" s="472"/>
      <c r="G26" s="472"/>
      <c r="H26" s="472"/>
      <c r="I26" s="472"/>
      <c r="J26" s="472"/>
      <c r="K26" s="472"/>
      <c r="L26" s="472"/>
      <c r="M26" s="472"/>
      <c r="N26" s="472"/>
      <c r="O26" s="472"/>
      <c r="P26" s="472"/>
      <c r="Q26" s="472"/>
      <c r="R26" s="721"/>
      <c r="S26" s="721"/>
      <c r="T26" s="721"/>
      <c r="U26" s="721"/>
      <c r="V26" s="721"/>
      <c r="W26" s="721"/>
      <c r="X26" s="721"/>
      <c r="Y26" s="721"/>
      <c r="Z26" s="721"/>
      <c r="AA26" s="721"/>
      <c r="AB26" s="721"/>
      <c r="AC26" s="721"/>
      <c r="AD26" s="721"/>
      <c r="AE26" s="721"/>
      <c r="AF26" s="721"/>
      <c r="AG26" s="721"/>
      <c r="AH26" s="721"/>
      <c r="AI26" s="721"/>
      <c r="AJ26" s="721"/>
      <c r="AK26" s="721"/>
      <c r="AL26" s="721"/>
      <c r="AM26" s="721"/>
      <c r="AN26" s="721"/>
      <c r="AO26" s="721"/>
      <c r="AP26" s="721"/>
      <c r="AQ26" s="721"/>
      <c r="AR26" s="721"/>
      <c r="AS26" s="721"/>
      <c r="AT26" s="721"/>
      <c r="AU26" s="721"/>
      <c r="AV26" s="721"/>
      <c r="AW26" s="721"/>
      <c r="AX26" s="762"/>
      <c r="AY26" s="474"/>
      <c r="AZ26" s="474"/>
      <c r="BA26" s="474"/>
      <c r="BB26" s="474"/>
      <c r="BC26" s="721"/>
      <c r="BD26" s="721"/>
      <c r="BE26" s="721"/>
      <c r="BF26" s="721"/>
      <c r="BG26" s="721"/>
      <c r="BH26" s="721"/>
      <c r="BI26" s="721"/>
      <c r="BJ26" s="721"/>
      <c r="BK26" s="721"/>
      <c r="BL26" s="721"/>
      <c r="BM26" s="721"/>
      <c r="BN26" s="721"/>
      <c r="BO26" s="721"/>
      <c r="BP26" s="721"/>
      <c r="BQ26" s="721"/>
      <c r="BR26" s="721"/>
      <c r="BS26" s="721"/>
      <c r="BT26" s="97"/>
      <c r="BU26" s="97"/>
      <c r="BV26" s="97"/>
      <c r="BW26" s="97"/>
      <c r="BX26" s="97"/>
      <c r="BY26" s="97"/>
      <c r="BZ26" s="97"/>
      <c r="CA26" s="97"/>
      <c r="CB26" s="97"/>
      <c r="CC26" s="97"/>
      <c r="CD26" s="97"/>
      <c r="CE26" s="97"/>
      <c r="CF26" s="97"/>
      <c r="CG26" s="468"/>
      <c r="CH26" s="468"/>
      <c r="CI26" s="468"/>
    </row>
    <row r="27" spans="1:87" s="100" customFormat="1" ht="15.75" customHeight="1">
      <c r="A27" s="46"/>
      <c r="B27" s="97"/>
      <c r="C27" s="472"/>
      <c r="D27" s="472"/>
      <c r="E27" s="472"/>
      <c r="F27" s="472"/>
      <c r="G27" s="472"/>
      <c r="H27" s="472"/>
      <c r="I27" s="472"/>
      <c r="J27" s="472"/>
      <c r="K27" s="472"/>
      <c r="L27" s="472"/>
      <c r="M27" s="472"/>
      <c r="N27" s="472"/>
      <c r="O27" s="472"/>
      <c r="P27" s="472"/>
      <c r="Q27" s="472"/>
      <c r="R27" s="721"/>
      <c r="S27" s="721"/>
      <c r="T27" s="721"/>
      <c r="U27" s="721"/>
      <c r="V27" s="721"/>
      <c r="W27" s="721"/>
      <c r="X27" s="721"/>
      <c r="Y27" s="721"/>
      <c r="Z27" s="721"/>
      <c r="AA27" s="721"/>
      <c r="AB27" s="721"/>
      <c r="AC27" s="721"/>
      <c r="AD27" s="721"/>
      <c r="AE27" s="721"/>
      <c r="AF27" s="721"/>
      <c r="AG27" s="721"/>
      <c r="AH27" s="721"/>
      <c r="AI27" s="721"/>
      <c r="AJ27" s="721"/>
      <c r="AK27" s="721"/>
      <c r="AL27" s="721"/>
      <c r="AM27" s="721"/>
      <c r="AN27" s="721"/>
      <c r="AO27" s="721"/>
      <c r="AP27" s="721"/>
      <c r="AQ27" s="721"/>
      <c r="AR27" s="721"/>
      <c r="AS27" s="721"/>
      <c r="AT27" s="721"/>
      <c r="AU27" s="721"/>
      <c r="AV27" s="721"/>
      <c r="AW27" s="721"/>
      <c r="AX27" s="762"/>
      <c r="AY27" s="474"/>
      <c r="AZ27" s="474"/>
      <c r="BA27" s="474"/>
      <c r="BB27" s="474"/>
      <c r="BC27" s="721"/>
      <c r="BD27" s="721"/>
      <c r="BE27" s="721"/>
      <c r="BF27" s="721"/>
      <c r="BG27" s="721"/>
      <c r="BH27" s="721"/>
      <c r="BI27" s="721"/>
      <c r="BJ27" s="721"/>
      <c r="BK27" s="721"/>
      <c r="BL27" s="721"/>
      <c r="BM27" s="721"/>
      <c r="BN27" s="721"/>
      <c r="BO27" s="721"/>
      <c r="BP27" s="721"/>
      <c r="BQ27" s="721"/>
      <c r="BR27" s="721"/>
      <c r="BS27" s="721"/>
      <c r="BT27" s="97"/>
      <c r="BU27" s="97"/>
      <c r="BV27" s="97"/>
      <c r="BW27" s="97"/>
      <c r="BX27" s="97"/>
      <c r="BY27" s="97"/>
      <c r="BZ27" s="97"/>
      <c r="CA27" s="97"/>
      <c r="CB27" s="97"/>
      <c r="CC27" s="97"/>
      <c r="CD27" s="97"/>
      <c r="CE27" s="97"/>
      <c r="CF27" s="97"/>
      <c r="CG27" s="468"/>
      <c r="CH27" s="468"/>
      <c r="CI27" s="468"/>
    </row>
    <row r="28" spans="1:87" s="100" customFormat="1" ht="15.75" customHeight="1">
      <c r="A28" s="46"/>
      <c r="B28" s="97"/>
      <c r="C28" s="475"/>
      <c r="D28" s="472"/>
      <c r="E28" s="472"/>
      <c r="F28" s="472"/>
      <c r="G28" s="472"/>
      <c r="H28" s="472"/>
      <c r="I28" s="472"/>
      <c r="J28" s="472"/>
      <c r="K28" s="472"/>
      <c r="L28" s="472"/>
      <c r="M28" s="472"/>
      <c r="N28" s="472"/>
      <c r="O28" s="472"/>
      <c r="P28" s="472"/>
      <c r="Q28" s="472"/>
      <c r="R28" s="721"/>
      <c r="S28" s="721"/>
      <c r="T28" s="721"/>
      <c r="U28" s="721"/>
      <c r="V28" s="721"/>
      <c r="W28" s="721"/>
      <c r="X28" s="721"/>
      <c r="Y28" s="721"/>
      <c r="Z28" s="721"/>
      <c r="AA28" s="721"/>
      <c r="AB28" s="721"/>
      <c r="AC28" s="721"/>
      <c r="AD28" s="721"/>
      <c r="AE28" s="721"/>
      <c r="AF28" s="721"/>
      <c r="AG28" s="721"/>
      <c r="AH28" s="721"/>
      <c r="AI28" s="721"/>
      <c r="AJ28" s="721"/>
      <c r="AK28" s="721"/>
      <c r="AL28" s="721"/>
      <c r="AM28" s="721"/>
      <c r="AN28" s="721"/>
      <c r="AO28" s="721"/>
      <c r="AP28" s="721"/>
      <c r="AQ28" s="721"/>
      <c r="AR28" s="721"/>
      <c r="AS28" s="721"/>
      <c r="AT28" s="721"/>
      <c r="AU28" s="721"/>
      <c r="AV28" s="721"/>
      <c r="AW28" s="721"/>
      <c r="AX28" s="762"/>
      <c r="AY28" s="474"/>
      <c r="AZ28" s="474"/>
      <c r="BA28" s="474"/>
      <c r="BB28" s="474"/>
      <c r="BC28" s="721"/>
      <c r="BD28" s="721"/>
      <c r="BE28" s="721"/>
      <c r="BF28" s="721"/>
      <c r="BG28" s="721"/>
      <c r="BH28" s="721"/>
      <c r="BI28" s="721"/>
      <c r="BJ28" s="721"/>
      <c r="BK28" s="721"/>
      <c r="BL28" s="721"/>
      <c r="BM28" s="721"/>
      <c r="BN28" s="721"/>
      <c r="BO28" s="721"/>
      <c r="BP28" s="721"/>
      <c r="BQ28" s="721"/>
      <c r="BR28" s="721"/>
      <c r="BS28" s="721"/>
      <c r="BT28" s="97"/>
      <c r="BU28" s="97"/>
      <c r="BV28" s="97"/>
      <c r="BW28" s="97"/>
      <c r="BX28" s="97"/>
      <c r="BY28" s="97"/>
      <c r="BZ28" s="97"/>
      <c r="CA28" s="97"/>
      <c r="CB28" s="97"/>
      <c r="CC28" s="97"/>
      <c r="CD28" s="97"/>
      <c r="CE28" s="97"/>
      <c r="CF28" s="97"/>
      <c r="CG28" s="468"/>
      <c r="CH28" s="468"/>
      <c r="CI28" s="468"/>
    </row>
    <row r="29" spans="1:87" s="100" customFormat="1" ht="15.75" customHeight="1">
      <c r="A29" s="46"/>
      <c r="B29" s="97"/>
      <c r="C29" s="472"/>
      <c r="D29" s="472"/>
      <c r="E29" s="472"/>
      <c r="F29" s="472"/>
      <c r="G29" s="472"/>
      <c r="H29" s="472"/>
      <c r="I29" s="472"/>
      <c r="J29" s="472"/>
      <c r="K29" s="472"/>
      <c r="L29" s="472"/>
      <c r="M29" s="472"/>
      <c r="N29" s="472"/>
      <c r="O29" s="472"/>
      <c r="P29" s="472"/>
      <c r="Q29" s="472"/>
      <c r="R29" s="721"/>
      <c r="S29" s="721"/>
      <c r="T29" s="721"/>
      <c r="U29" s="721"/>
      <c r="V29" s="721"/>
      <c r="W29" s="721"/>
      <c r="X29" s="721"/>
      <c r="Y29" s="721"/>
      <c r="Z29" s="721"/>
      <c r="AA29" s="721"/>
      <c r="AB29" s="721"/>
      <c r="AC29" s="721"/>
      <c r="AD29" s="721"/>
      <c r="AE29" s="721"/>
      <c r="AF29" s="721"/>
      <c r="AG29" s="721"/>
      <c r="AH29" s="721"/>
      <c r="AI29" s="721"/>
      <c r="AJ29" s="721"/>
      <c r="AK29" s="721"/>
      <c r="AL29" s="721"/>
      <c r="AM29" s="721"/>
      <c r="AN29" s="721"/>
      <c r="AO29" s="721"/>
      <c r="AP29" s="721"/>
      <c r="AQ29" s="721"/>
      <c r="AR29" s="721"/>
      <c r="AS29" s="721"/>
      <c r="AT29" s="721"/>
      <c r="AU29" s="721"/>
      <c r="AV29" s="721"/>
      <c r="AW29" s="721"/>
      <c r="AX29" s="762"/>
      <c r="AY29" s="474"/>
      <c r="AZ29" s="474"/>
      <c r="BA29" s="474"/>
      <c r="BB29" s="474"/>
      <c r="BC29" s="721"/>
      <c r="BD29" s="721"/>
      <c r="BE29" s="721"/>
      <c r="BF29" s="721"/>
      <c r="BG29" s="721"/>
      <c r="BH29" s="721"/>
      <c r="BI29" s="721"/>
      <c r="BJ29" s="721"/>
      <c r="BK29" s="721"/>
      <c r="BL29" s="721"/>
      <c r="BM29" s="721"/>
      <c r="BN29" s="721"/>
      <c r="BO29" s="721"/>
      <c r="BP29" s="721"/>
      <c r="BQ29" s="721"/>
      <c r="BR29" s="721"/>
      <c r="BS29" s="721"/>
      <c r="BT29" s="97"/>
      <c r="BU29" s="97"/>
      <c r="BV29" s="97"/>
      <c r="BW29" s="97"/>
      <c r="BX29" s="97"/>
      <c r="BY29" s="97"/>
      <c r="BZ29" s="97"/>
      <c r="CA29" s="97"/>
      <c r="CB29" s="97"/>
      <c r="CC29" s="97"/>
      <c r="CD29" s="97"/>
      <c r="CE29" s="97"/>
      <c r="CF29" s="97"/>
      <c r="CG29" s="468"/>
      <c r="CH29" s="468"/>
      <c r="CI29" s="468"/>
    </row>
    <row r="30" spans="1:87" s="100" customFormat="1" ht="15.75" customHeight="1">
      <c r="A30" s="46"/>
      <c r="B30" s="97"/>
      <c r="C30" s="472"/>
      <c r="D30" s="472"/>
      <c r="E30" s="472"/>
      <c r="F30" s="472"/>
      <c r="G30" s="472"/>
      <c r="H30" s="472"/>
      <c r="I30" s="472"/>
      <c r="J30" s="472"/>
      <c r="K30" s="472"/>
      <c r="L30" s="472"/>
      <c r="M30" s="472"/>
      <c r="N30" s="472"/>
      <c r="O30" s="472"/>
      <c r="P30" s="472"/>
      <c r="Q30" s="472"/>
      <c r="R30" s="721"/>
      <c r="S30" s="721"/>
      <c r="T30" s="721"/>
      <c r="U30" s="721"/>
      <c r="V30" s="721"/>
      <c r="W30" s="721"/>
      <c r="X30" s="721"/>
      <c r="Y30" s="721"/>
      <c r="Z30" s="721"/>
      <c r="AA30" s="721"/>
      <c r="AB30" s="721"/>
      <c r="AC30" s="721"/>
      <c r="AD30" s="721"/>
      <c r="AE30" s="721"/>
      <c r="AF30" s="721"/>
      <c r="AG30" s="721"/>
      <c r="AH30" s="721"/>
      <c r="AI30" s="721"/>
      <c r="AJ30" s="721"/>
      <c r="AK30" s="721"/>
      <c r="AL30" s="721"/>
      <c r="AM30" s="721"/>
      <c r="AN30" s="721"/>
      <c r="AO30" s="721"/>
      <c r="AP30" s="721"/>
      <c r="AQ30" s="721"/>
      <c r="AR30" s="721"/>
      <c r="AS30" s="721"/>
      <c r="AT30" s="721"/>
      <c r="AU30" s="721"/>
      <c r="AV30" s="721"/>
      <c r="AW30" s="721"/>
      <c r="AX30" s="762"/>
      <c r="AY30" s="474"/>
      <c r="AZ30" s="474"/>
      <c r="BA30" s="474"/>
      <c r="BB30" s="474"/>
      <c r="BC30" s="721"/>
      <c r="BD30" s="721"/>
      <c r="BE30" s="721"/>
      <c r="BF30" s="721"/>
      <c r="BG30" s="721"/>
      <c r="BH30" s="721"/>
      <c r="BI30" s="721"/>
      <c r="BJ30" s="721"/>
      <c r="BK30" s="721"/>
      <c r="BL30" s="721"/>
      <c r="BM30" s="721"/>
      <c r="BN30" s="721"/>
      <c r="BO30" s="721"/>
      <c r="BP30" s="721"/>
      <c r="BQ30" s="721"/>
      <c r="BR30" s="721"/>
      <c r="BS30" s="721"/>
      <c r="BT30" s="97"/>
      <c r="BU30" s="97"/>
      <c r="BV30" s="97"/>
      <c r="BW30" s="97"/>
      <c r="BX30" s="97"/>
      <c r="BY30" s="97"/>
      <c r="BZ30" s="97"/>
      <c r="CA30" s="97"/>
      <c r="CB30" s="97"/>
      <c r="CC30" s="97"/>
      <c r="CD30" s="97"/>
      <c r="CE30" s="97"/>
      <c r="CF30" s="97"/>
      <c r="CG30" s="468"/>
      <c r="CH30" s="468"/>
      <c r="CI30" s="468"/>
    </row>
    <row r="31" spans="1:87" s="100" customFormat="1" ht="15.75" customHeight="1">
      <c r="A31" s="46"/>
      <c r="B31" s="97"/>
      <c r="C31" s="472"/>
      <c r="D31" s="472"/>
      <c r="E31" s="472"/>
      <c r="F31" s="472"/>
      <c r="G31" s="472"/>
      <c r="H31" s="472"/>
      <c r="I31" s="472"/>
      <c r="J31" s="472"/>
      <c r="K31" s="472"/>
      <c r="L31" s="472"/>
      <c r="M31" s="472"/>
      <c r="N31" s="472"/>
      <c r="O31" s="472"/>
      <c r="P31" s="472"/>
      <c r="Q31" s="472"/>
      <c r="R31" s="721"/>
      <c r="S31" s="721"/>
      <c r="T31" s="721"/>
      <c r="U31" s="721"/>
      <c r="V31" s="721"/>
      <c r="W31" s="721"/>
      <c r="X31" s="721"/>
      <c r="Y31" s="721"/>
      <c r="Z31" s="721"/>
      <c r="AA31" s="721"/>
      <c r="AB31" s="721"/>
      <c r="AC31" s="721"/>
      <c r="AD31" s="721"/>
      <c r="AE31" s="721"/>
      <c r="AF31" s="721"/>
      <c r="AG31" s="721"/>
      <c r="AH31" s="721"/>
      <c r="AI31" s="721"/>
      <c r="AJ31" s="721"/>
      <c r="AK31" s="721"/>
      <c r="AL31" s="721"/>
      <c r="AM31" s="721"/>
      <c r="AN31" s="721"/>
      <c r="AO31" s="721"/>
      <c r="AP31" s="721"/>
      <c r="AQ31" s="721"/>
      <c r="AR31" s="721"/>
      <c r="AS31" s="721"/>
      <c r="AT31" s="721"/>
      <c r="AU31" s="721"/>
      <c r="AV31" s="721"/>
      <c r="AW31" s="721"/>
      <c r="AX31" s="762"/>
      <c r="AY31" s="474"/>
      <c r="AZ31" s="474"/>
      <c r="BA31" s="474"/>
      <c r="BB31" s="474"/>
      <c r="BC31" s="721"/>
      <c r="BD31" s="721"/>
      <c r="BE31" s="721"/>
      <c r="BF31" s="721"/>
      <c r="BG31" s="721"/>
      <c r="BH31" s="721"/>
      <c r="BI31" s="721"/>
      <c r="BJ31" s="721"/>
      <c r="BK31" s="721"/>
      <c r="BL31" s="721"/>
      <c r="BM31" s="721"/>
      <c r="BN31" s="721"/>
      <c r="BO31" s="721"/>
      <c r="BP31" s="721"/>
      <c r="BQ31" s="721"/>
      <c r="BR31" s="721"/>
      <c r="BS31" s="721"/>
      <c r="BT31" s="97"/>
      <c r="BU31" s="97"/>
      <c r="BV31" s="97"/>
      <c r="BW31" s="97"/>
      <c r="BX31" s="97"/>
      <c r="BY31" s="97"/>
      <c r="BZ31" s="97"/>
      <c r="CA31" s="97"/>
      <c r="CB31" s="97"/>
      <c r="CC31" s="97"/>
      <c r="CD31" s="97"/>
      <c r="CE31" s="97"/>
      <c r="CF31" s="97"/>
      <c r="CG31" s="468"/>
      <c r="CH31" s="468"/>
      <c r="CI31" s="468"/>
    </row>
    <row r="32" spans="1:87" s="100" customFormat="1" ht="15.75" customHeight="1">
      <c r="A32" s="46"/>
      <c r="B32" s="97"/>
      <c r="C32" s="472"/>
      <c r="D32" s="472"/>
      <c r="E32" s="472"/>
      <c r="F32" s="472"/>
      <c r="G32" s="472"/>
      <c r="H32" s="472"/>
      <c r="I32" s="472"/>
      <c r="J32" s="472"/>
      <c r="K32" s="472"/>
      <c r="L32" s="472"/>
      <c r="M32" s="472"/>
      <c r="N32" s="472"/>
      <c r="O32" s="472"/>
      <c r="P32" s="472"/>
      <c r="Q32" s="472"/>
      <c r="R32" s="721"/>
      <c r="S32" s="721"/>
      <c r="T32" s="721"/>
      <c r="U32" s="721"/>
      <c r="V32" s="721"/>
      <c r="W32" s="721"/>
      <c r="X32" s="721"/>
      <c r="Y32" s="721"/>
      <c r="Z32" s="721"/>
      <c r="AA32" s="721"/>
      <c r="AB32" s="721"/>
      <c r="AC32" s="721"/>
      <c r="AD32" s="721"/>
      <c r="AE32" s="721"/>
      <c r="AF32" s="721"/>
      <c r="AG32" s="721"/>
      <c r="AH32" s="721"/>
      <c r="AI32" s="721"/>
      <c r="AJ32" s="721"/>
      <c r="AK32" s="721"/>
      <c r="AL32" s="721"/>
      <c r="AM32" s="721"/>
      <c r="AN32" s="721"/>
      <c r="AO32" s="721"/>
      <c r="AP32" s="721"/>
      <c r="AQ32" s="721"/>
      <c r="AR32" s="721"/>
      <c r="AS32" s="721"/>
      <c r="AT32" s="721"/>
      <c r="AU32" s="721"/>
      <c r="AV32" s="721"/>
      <c r="AW32" s="721"/>
      <c r="AX32" s="762"/>
      <c r="AY32" s="474"/>
      <c r="AZ32" s="474"/>
      <c r="BA32" s="474"/>
      <c r="BB32" s="474"/>
      <c r="BC32" s="721"/>
      <c r="BD32" s="721"/>
      <c r="BE32" s="721"/>
      <c r="BF32" s="721"/>
      <c r="BG32" s="721"/>
      <c r="BH32" s="721"/>
      <c r="BI32" s="721"/>
      <c r="BJ32" s="721"/>
      <c r="BK32" s="721"/>
      <c r="BL32" s="721"/>
      <c r="BM32" s="721"/>
      <c r="BN32" s="721"/>
      <c r="BO32" s="721"/>
      <c r="BP32" s="721"/>
      <c r="BQ32" s="721"/>
      <c r="BR32" s="721"/>
      <c r="BS32" s="721"/>
      <c r="BT32" s="97"/>
      <c r="BU32" s="97"/>
      <c r="BV32" s="97"/>
      <c r="BW32" s="97"/>
      <c r="BX32" s="97"/>
      <c r="BY32" s="97"/>
      <c r="BZ32" s="97"/>
      <c r="CA32" s="97"/>
      <c r="CB32" s="97"/>
      <c r="CC32" s="97"/>
      <c r="CD32" s="97"/>
      <c r="CE32" s="97"/>
      <c r="CF32" s="97"/>
      <c r="CG32" s="468"/>
      <c r="CH32" s="468"/>
      <c r="CI32" s="468"/>
    </row>
    <row r="33" spans="1:87" s="100" customFormat="1" ht="15.75" customHeight="1">
      <c r="A33" s="46"/>
      <c r="B33" s="97"/>
      <c r="C33" s="721"/>
      <c r="D33" s="721"/>
      <c r="E33" s="721"/>
      <c r="F33" s="721"/>
      <c r="G33" s="721"/>
      <c r="H33" s="721"/>
      <c r="I33" s="721"/>
      <c r="J33" s="721"/>
      <c r="K33" s="721"/>
      <c r="L33" s="721"/>
      <c r="M33" s="721"/>
      <c r="N33" s="721"/>
      <c r="O33" s="721"/>
      <c r="P33" s="721"/>
      <c r="Q33" s="763"/>
      <c r="R33" s="721"/>
      <c r="S33" s="721"/>
      <c r="T33" s="721"/>
      <c r="U33" s="721"/>
      <c r="V33" s="721"/>
      <c r="W33" s="721"/>
      <c r="X33" s="721"/>
      <c r="Y33" s="721"/>
      <c r="Z33" s="721"/>
      <c r="AA33" s="721"/>
      <c r="AB33" s="721"/>
      <c r="AC33" s="721"/>
      <c r="AD33" s="721"/>
      <c r="AE33" s="721"/>
      <c r="AF33" s="721"/>
      <c r="AG33" s="721"/>
      <c r="AH33" s="721"/>
      <c r="AI33" s="721"/>
      <c r="AJ33" s="721"/>
      <c r="AK33" s="721"/>
      <c r="AL33" s="721"/>
      <c r="AM33" s="721"/>
      <c r="AN33" s="721"/>
      <c r="AO33" s="721"/>
      <c r="AP33" s="721"/>
      <c r="AQ33" s="721"/>
      <c r="AR33" s="721"/>
      <c r="AS33" s="721"/>
      <c r="AT33" s="721"/>
      <c r="AU33" s="721"/>
      <c r="AV33" s="721"/>
      <c r="AW33" s="721"/>
      <c r="AX33" s="762"/>
      <c r="AY33" s="474"/>
      <c r="AZ33" s="474"/>
      <c r="BA33" s="474"/>
      <c r="BB33" s="474"/>
      <c r="BC33" s="721"/>
      <c r="BD33" s="721"/>
      <c r="BE33" s="721"/>
      <c r="BF33" s="721"/>
      <c r="BG33" s="721"/>
      <c r="BH33" s="721"/>
      <c r="BI33" s="721"/>
      <c r="BJ33" s="721"/>
      <c r="BK33" s="721"/>
      <c r="BL33" s="721"/>
      <c r="BM33" s="721"/>
      <c r="BN33" s="721"/>
      <c r="BO33" s="721"/>
      <c r="BP33" s="721"/>
      <c r="BQ33" s="721"/>
      <c r="BR33" s="721"/>
      <c r="BS33" s="721"/>
      <c r="BT33" s="97"/>
      <c r="BU33" s="97"/>
      <c r="BV33" s="97"/>
      <c r="BW33" s="97"/>
      <c r="BX33" s="97"/>
      <c r="BY33" s="97"/>
      <c r="BZ33" s="97"/>
      <c r="CA33" s="97"/>
      <c r="CB33" s="97"/>
      <c r="CC33" s="97"/>
      <c r="CD33" s="97"/>
      <c r="CE33" s="97"/>
      <c r="CF33" s="97"/>
      <c r="CG33" s="468"/>
      <c r="CH33" s="468"/>
      <c r="CI33" s="468"/>
    </row>
    <row r="34" spans="1:87" s="100" customFormat="1" ht="15.75" customHeight="1">
      <c r="A34" s="46"/>
      <c r="B34" s="97"/>
      <c r="C34" s="721"/>
      <c r="D34" s="721"/>
      <c r="E34" s="721"/>
      <c r="F34" s="721"/>
      <c r="G34" s="721"/>
      <c r="H34" s="721"/>
      <c r="I34" s="721"/>
      <c r="J34" s="721"/>
      <c r="K34" s="721"/>
      <c r="L34" s="721"/>
      <c r="M34" s="721"/>
      <c r="N34" s="721"/>
      <c r="O34" s="721"/>
      <c r="P34" s="721"/>
      <c r="Q34" s="763"/>
      <c r="R34" s="721"/>
      <c r="S34" s="721"/>
      <c r="T34" s="721"/>
      <c r="U34" s="721"/>
      <c r="V34" s="721"/>
      <c r="W34" s="721"/>
      <c r="X34" s="721"/>
      <c r="Y34" s="721"/>
      <c r="Z34" s="721"/>
      <c r="AA34" s="721"/>
      <c r="AB34" s="721"/>
      <c r="AC34" s="721"/>
      <c r="AD34" s="721"/>
      <c r="AE34" s="721"/>
      <c r="AF34" s="721"/>
      <c r="AG34" s="721"/>
      <c r="AH34" s="721"/>
      <c r="AI34" s="721"/>
      <c r="AJ34" s="721"/>
      <c r="AK34" s="721"/>
      <c r="AL34" s="721"/>
      <c r="AM34" s="721"/>
      <c r="AN34" s="721"/>
      <c r="AO34" s="721"/>
      <c r="AP34" s="721"/>
      <c r="AQ34" s="721"/>
      <c r="AR34" s="721"/>
      <c r="AS34" s="721"/>
      <c r="AT34" s="721"/>
      <c r="AU34" s="721"/>
      <c r="AV34" s="721"/>
      <c r="AW34" s="721"/>
      <c r="AX34" s="762"/>
      <c r="AY34" s="474"/>
      <c r="AZ34" s="474"/>
      <c r="BA34" s="474"/>
      <c r="BB34" s="474"/>
      <c r="BC34" s="721"/>
      <c r="BD34" s="721"/>
      <c r="BE34" s="721"/>
      <c r="BF34" s="721"/>
      <c r="BG34" s="721"/>
      <c r="BH34" s="721"/>
      <c r="BI34" s="721"/>
      <c r="BJ34" s="721"/>
      <c r="BK34" s="721"/>
      <c r="BL34" s="721"/>
      <c r="BM34" s="721"/>
      <c r="BN34" s="721"/>
      <c r="BO34" s="721"/>
      <c r="BP34" s="721"/>
      <c r="BQ34" s="721"/>
      <c r="BR34" s="721"/>
      <c r="BS34" s="721"/>
      <c r="BT34" s="97"/>
      <c r="BU34" s="97"/>
      <c r="BV34" s="97"/>
      <c r="BW34" s="97"/>
      <c r="BX34" s="97"/>
      <c r="BY34" s="97"/>
      <c r="BZ34" s="97"/>
      <c r="CA34" s="97"/>
      <c r="CB34" s="97"/>
      <c r="CC34" s="97"/>
      <c r="CD34" s="97"/>
      <c r="CE34" s="97"/>
      <c r="CF34" s="97"/>
      <c r="CG34" s="468"/>
      <c r="CH34" s="468"/>
      <c r="CI34" s="468"/>
    </row>
    <row r="35" spans="1:87" s="100" customFormat="1" ht="15.75" customHeight="1">
      <c r="A35" s="46"/>
      <c r="B35" s="97"/>
      <c r="C35" s="97"/>
      <c r="D35" s="97"/>
      <c r="E35" s="97"/>
      <c r="F35" s="97"/>
      <c r="G35" s="97"/>
      <c r="H35" s="97"/>
      <c r="I35" s="97"/>
      <c r="J35" s="97"/>
      <c r="K35" s="97"/>
      <c r="L35" s="97"/>
      <c r="M35" s="97"/>
      <c r="N35" s="97"/>
      <c r="O35" s="97"/>
      <c r="P35" s="97"/>
      <c r="Q35" s="741"/>
      <c r="R35" s="97"/>
      <c r="S35" s="97"/>
      <c r="T35" s="721"/>
      <c r="U35" s="721"/>
      <c r="V35" s="721"/>
      <c r="W35" s="721"/>
      <c r="X35" s="721"/>
      <c r="Y35" s="721"/>
      <c r="Z35" s="721"/>
      <c r="AA35" s="721"/>
      <c r="AB35" s="721"/>
      <c r="AC35" s="721"/>
      <c r="AD35" s="721"/>
      <c r="AE35" s="721"/>
      <c r="AF35" s="721"/>
      <c r="AG35" s="721"/>
      <c r="AH35" s="721"/>
      <c r="AI35" s="721"/>
      <c r="AJ35" s="721"/>
      <c r="AK35" s="721"/>
      <c r="AL35" s="721"/>
      <c r="AM35" s="721"/>
      <c r="AN35" s="721"/>
      <c r="AO35" s="721"/>
      <c r="AP35" s="721"/>
      <c r="AQ35" s="721"/>
      <c r="AR35" s="721"/>
      <c r="AS35" s="721"/>
      <c r="AT35" s="721"/>
      <c r="AU35" s="721"/>
      <c r="AV35" s="721"/>
      <c r="AW35" s="721"/>
      <c r="AX35" s="762"/>
      <c r="AY35" s="474"/>
      <c r="AZ35" s="474"/>
      <c r="BA35" s="474"/>
      <c r="BB35" s="474"/>
      <c r="BC35" s="721"/>
      <c r="BD35" s="721"/>
      <c r="BE35" s="721"/>
      <c r="BF35" s="721"/>
      <c r="BG35" s="721"/>
      <c r="BH35" s="721"/>
      <c r="BI35" s="721"/>
      <c r="BJ35" s="721"/>
      <c r="BK35" s="721"/>
      <c r="BL35" s="721"/>
      <c r="BM35" s="721"/>
      <c r="BN35" s="721"/>
      <c r="BO35" s="721"/>
      <c r="BP35" s="721"/>
      <c r="BQ35" s="721"/>
      <c r="BR35" s="721"/>
      <c r="BS35" s="721"/>
      <c r="BT35" s="97"/>
      <c r="BU35" s="97"/>
      <c r="BV35" s="97"/>
      <c r="BW35" s="97"/>
      <c r="BX35" s="97"/>
      <c r="BY35" s="97"/>
      <c r="BZ35" s="97"/>
      <c r="CA35" s="97"/>
      <c r="CB35" s="97"/>
      <c r="CC35" s="97"/>
      <c r="CD35" s="97"/>
      <c r="CE35" s="97"/>
      <c r="CF35" s="97"/>
      <c r="CG35" s="468"/>
      <c r="CH35" s="468"/>
      <c r="CI35" s="468"/>
    </row>
    <row r="36" spans="1:87" s="100" customFormat="1" ht="15.75" customHeight="1">
      <c r="A36" s="46"/>
      <c r="B36" s="97"/>
      <c r="C36" s="97"/>
      <c r="D36" s="97"/>
      <c r="E36" s="97"/>
      <c r="F36" s="97"/>
      <c r="G36" s="97"/>
      <c r="H36" s="97"/>
      <c r="I36" s="97"/>
      <c r="J36" s="97"/>
      <c r="K36" s="97"/>
      <c r="L36" s="97"/>
      <c r="M36" s="97"/>
      <c r="N36" s="97"/>
      <c r="O36" s="97"/>
      <c r="P36" s="97"/>
      <c r="Q36" s="741"/>
      <c r="R36" s="97"/>
      <c r="S36" s="97"/>
      <c r="T36" s="721"/>
      <c r="U36" s="721"/>
      <c r="V36" s="721"/>
      <c r="W36" s="721"/>
      <c r="X36" s="721"/>
      <c r="Y36" s="721"/>
      <c r="Z36" s="721"/>
      <c r="AA36" s="721"/>
      <c r="AB36" s="721"/>
      <c r="AC36" s="721"/>
      <c r="AD36" s="721"/>
      <c r="AE36" s="721"/>
      <c r="AF36" s="721"/>
      <c r="AG36" s="721"/>
      <c r="AH36" s="721"/>
      <c r="AI36" s="721"/>
      <c r="AJ36" s="721"/>
      <c r="AK36" s="721"/>
      <c r="AL36" s="721"/>
      <c r="AM36" s="721"/>
      <c r="AN36" s="721"/>
      <c r="AO36" s="721"/>
      <c r="AP36" s="721"/>
      <c r="AQ36" s="721"/>
      <c r="AR36" s="721"/>
      <c r="AS36" s="721"/>
      <c r="AT36" s="721"/>
      <c r="AU36" s="721"/>
      <c r="AV36" s="721"/>
      <c r="AW36" s="721"/>
      <c r="AX36" s="762"/>
      <c r="AY36" s="474"/>
      <c r="AZ36" s="474"/>
      <c r="BA36" s="474"/>
      <c r="BB36" s="474"/>
      <c r="BC36" s="721"/>
      <c r="BD36" s="721"/>
      <c r="BE36" s="721"/>
      <c r="BF36" s="721"/>
      <c r="BG36" s="721"/>
      <c r="BH36" s="721"/>
      <c r="BI36" s="721"/>
      <c r="BJ36" s="721"/>
      <c r="BK36" s="721"/>
      <c r="BL36" s="721"/>
      <c r="BM36" s="721"/>
      <c r="BN36" s="721"/>
      <c r="BO36" s="721"/>
      <c r="BP36" s="721"/>
      <c r="BQ36" s="721"/>
      <c r="BR36" s="721"/>
      <c r="BS36" s="721"/>
      <c r="BT36" s="97"/>
      <c r="BU36" s="97"/>
      <c r="BV36" s="97"/>
      <c r="BW36" s="97"/>
      <c r="BX36" s="97"/>
      <c r="BY36" s="97"/>
      <c r="BZ36" s="97"/>
      <c r="CA36" s="97"/>
      <c r="CB36" s="97"/>
      <c r="CC36" s="97"/>
      <c r="CD36" s="97"/>
      <c r="CE36" s="97"/>
      <c r="CF36" s="97"/>
      <c r="CG36" s="468"/>
      <c r="CH36" s="468"/>
      <c r="CI36" s="468"/>
    </row>
    <row r="37" spans="1:87" s="100" customFormat="1" ht="15.75" customHeight="1">
      <c r="A37" s="46"/>
      <c r="B37" s="97"/>
      <c r="C37" s="97"/>
      <c r="D37" s="97"/>
      <c r="E37" s="97"/>
      <c r="F37" s="97"/>
      <c r="G37" s="97"/>
      <c r="H37" s="97"/>
      <c r="I37" s="97"/>
      <c r="J37" s="97"/>
      <c r="K37" s="97"/>
      <c r="L37" s="97"/>
      <c r="M37" s="97"/>
      <c r="N37" s="97"/>
      <c r="O37" s="97"/>
      <c r="P37" s="97"/>
      <c r="Q37" s="741"/>
      <c r="R37" s="97"/>
      <c r="S37" s="97"/>
      <c r="T37" s="721"/>
      <c r="U37" s="721"/>
      <c r="V37" s="721"/>
      <c r="W37" s="721"/>
      <c r="X37" s="721"/>
      <c r="Y37" s="721"/>
      <c r="Z37" s="721"/>
      <c r="AA37" s="721"/>
      <c r="AB37" s="721"/>
      <c r="AC37" s="721"/>
      <c r="AD37" s="721"/>
      <c r="AE37" s="721"/>
      <c r="AF37" s="721"/>
      <c r="AG37" s="721"/>
      <c r="AH37" s="721"/>
      <c r="AI37" s="721"/>
      <c r="AJ37" s="721"/>
      <c r="AK37" s="721"/>
      <c r="AL37" s="721"/>
      <c r="AM37" s="721"/>
      <c r="AN37" s="721"/>
      <c r="AO37" s="721"/>
      <c r="AP37" s="721"/>
      <c r="AQ37" s="721"/>
      <c r="AR37" s="721"/>
      <c r="AS37" s="721"/>
      <c r="AT37" s="721"/>
      <c r="AU37" s="721"/>
      <c r="AV37" s="721"/>
      <c r="AW37" s="721"/>
      <c r="AX37" s="762"/>
      <c r="AY37" s="474"/>
      <c r="AZ37" s="474"/>
      <c r="BA37" s="474"/>
      <c r="BB37" s="474"/>
      <c r="BC37" s="721"/>
      <c r="BD37" s="721"/>
      <c r="BE37" s="721"/>
      <c r="BF37" s="721"/>
      <c r="BG37" s="721"/>
      <c r="BH37" s="721"/>
      <c r="BI37" s="721"/>
      <c r="BJ37" s="721"/>
      <c r="BK37" s="721"/>
      <c r="BL37" s="721"/>
      <c r="BM37" s="721"/>
      <c r="BN37" s="721"/>
      <c r="BO37" s="721"/>
      <c r="BP37" s="721"/>
      <c r="BQ37" s="721"/>
      <c r="BR37" s="721"/>
      <c r="BS37" s="721"/>
      <c r="BT37" s="97"/>
      <c r="BU37" s="97"/>
      <c r="BV37" s="97"/>
      <c r="BW37" s="97"/>
      <c r="BX37" s="97"/>
      <c r="BY37" s="97"/>
      <c r="BZ37" s="97"/>
      <c r="CA37" s="97"/>
      <c r="CB37" s="97"/>
      <c r="CC37" s="97"/>
      <c r="CD37" s="97"/>
      <c r="CE37" s="97"/>
      <c r="CF37" s="97"/>
      <c r="CG37" s="468"/>
      <c r="CH37" s="468"/>
      <c r="CI37" s="468"/>
    </row>
    <row r="38" spans="1:87" s="100" customFormat="1" ht="15.75" customHeight="1">
      <c r="A38" s="46"/>
      <c r="B38" s="97"/>
      <c r="C38" s="97"/>
      <c r="D38" s="97"/>
      <c r="E38" s="97"/>
      <c r="F38" s="97"/>
      <c r="G38" s="97"/>
      <c r="H38" s="97"/>
      <c r="I38" s="97"/>
      <c r="J38" s="97"/>
      <c r="K38" s="97"/>
      <c r="L38" s="97"/>
      <c r="M38" s="97"/>
      <c r="N38" s="97"/>
      <c r="O38" s="97"/>
      <c r="P38" s="97"/>
      <c r="Q38" s="741"/>
      <c r="R38" s="97"/>
      <c r="S38" s="97"/>
      <c r="T38" s="721"/>
      <c r="U38" s="721"/>
      <c r="V38" s="721"/>
      <c r="W38" s="721"/>
      <c r="X38" s="721"/>
      <c r="Y38" s="721"/>
      <c r="Z38" s="721"/>
      <c r="AA38" s="721"/>
      <c r="AB38" s="721"/>
      <c r="AC38" s="721"/>
      <c r="AD38" s="721"/>
      <c r="AE38" s="721"/>
      <c r="AF38" s="721"/>
      <c r="AG38" s="721"/>
      <c r="AH38" s="721"/>
      <c r="AI38" s="721"/>
      <c r="AJ38" s="721"/>
      <c r="AK38" s="721"/>
      <c r="AL38" s="721"/>
      <c r="AM38" s="721"/>
      <c r="AN38" s="721"/>
      <c r="AO38" s="721"/>
      <c r="AP38" s="721"/>
      <c r="AQ38" s="721"/>
      <c r="AR38" s="721"/>
      <c r="AS38" s="721"/>
      <c r="AT38" s="721"/>
      <c r="AU38" s="721"/>
      <c r="AV38" s="721"/>
      <c r="AW38" s="721"/>
      <c r="AX38" s="762"/>
      <c r="AY38" s="474"/>
      <c r="AZ38" s="474"/>
      <c r="BA38" s="474"/>
      <c r="BB38" s="474"/>
      <c r="BC38" s="721"/>
      <c r="BD38" s="721"/>
      <c r="BE38" s="721"/>
      <c r="BF38" s="721"/>
      <c r="BG38" s="721"/>
      <c r="BH38" s="721"/>
      <c r="BI38" s="721"/>
      <c r="BJ38" s="721"/>
      <c r="BK38" s="721"/>
      <c r="BL38" s="721"/>
      <c r="BM38" s="721"/>
      <c r="BN38" s="721"/>
      <c r="BO38" s="721"/>
      <c r="BP38" s="721"/>
      <c r="BQ38" s="721"/>
      <c r="BR38" s="721"/>
      <c r="BS38" s="721"/>
      <c r="BT38" s="97"/>
      <c r="BU38" s="97"/>
      <c r="BV38" s="97"/>
      <c r="BW38" s="97"/>
      <c r="BX38" s="97"/>
      <c r="BY38" s="97"/>
      <c r="BZ38" s="97"/>
      <c r="CA38" s="97"/>
      <c r="CB38" s="97"/>
      <c r="CC38" s="97"/>
      <c r="CD38" s="97"/>
      <c r="CE38" s="97"/>
      <c r="CF38" s="97"/>
      <c r="CG38" s="468"/>
      <c r="CH38" s="468"/>
      <c r="CI38" s="468"/>
    </row>
    <row r="39" spans="1:87" s="100" customFormat="1" ht="15.75" customHeight="1">
      <c r="A39" s="46"/>
      <c r="B39" s="97"/>
      <c r="C39" s="97"/>
      <c r="D39" s="97"/>
      <c r="E39" s="97"/>
      <c r="F39" s="97"/>
      <c r="G39" s="97"/>
      <c r="H39" s="97"/>
      <c r="I39" s="97"/>
      <c r="J39" s="97"/>
      <c r="K39" s="97"/>
      <c r="L39" s="97"/>
      <c r="M39" s="97"/>
      <c r="N39" s="97"/>
      <c r="O39" s="97"/>
      <c r="P39" s="97"/>
      <c r="Q39" s="741"/>
      <c r="R39" s="97"/>
      <c r="S39" s="97"/>
      <c r="T39" s="721"/>
      <c r="U39" s="721"/>
      <c r="V39" s="721"/>
      <c r="W39" s="721"/>
      <c r="X39" s="721"/>
      <c r="Y39" s="721"/>
      <c r="Z39" s="721"/>
      <c r="AA39" s="721"/>
      <c r="AB39" s="721"/>
      <c r="AC39" s="721"/>
      <c r="AD39" s="721"/>
      <c r="AE39" s="721"/>
      <c r="AF39" s="721"/>
      <c r="AG39" s="721"/>
      <c r="AH39" s="721"/>
      <c r="AI39" s="721"/>
      <c r="AJ39" s="721"/>
      <c r="AK39" s="721"/>
      <c r="AL39" s="721"/>
      <c r="AM39" s="721"/>
      <c r="AN39" s="721"/>
      <c r="AO39" s="721"/>
      <c r="AP39" s="721"/>
      <c r="AQ39" s="721"/>
      <c r="AR39" s="721"/>
      <c r="AS39" s="721"/>
      <c r="AT39" s="721"/>
      <c r="AU39" s="721"/>
      <c r="AV39" s="721"/>
      <c r="AW39" s="721"/>
      <c r="AX39" s="762"/>
      <c r="AY39" s="474"/>
      <c r="AZ39" s="474"/>
      <c r="BA39" s="474"/>
      <c r="BB39" s="474"/>
      <c r="BC39" s="721"/>
      <c r="BD39" s="721"/>
      <c r="BE39" s="721"/>
      <c r="BF39" s="721"/>
      <c r="BG39" s="721"/>
      <c r="BH39" s="721"/>
      <c r="BI39" s="721"/>
      <c r="BJ39" s="721"/>
      <c r="BK39" s="721"/>
      <c r="BL39" s="721"/>
      <c r="BM39" s="721"/>
      <c r="BN39" s="721"/>
      <c r="BO39" s="721"/>
      <c r="BP39" s="721"/>
      <c r="BQ39" s="721"/>
      <c r="BR39" s="721"/>
      <c r="BS39" s="721"/>
      <c r="BT39" s="97"/>
      <c r="BU39" s="97"/>
      <c r="BV39" s="97"/>
      <c r="BW39" s="97"/>
      <c r="BX39" s="97"/>
      <c r="BY39" s="97"/>
      <c r="BZ39" s="97"/>
      <c r="CA39" s="97"/>
      <c r="CB39" s="97"/>
      <c r="CC39" s="97"/>
      <c r="CD39" s="97"/>
      <c r="CE39" s="97"/>
      <c r="CF39" s="97"/>
      <c r="CG39" s="468"/>
      <c r="CH39" s="468"/>
      <c r="CI39" s="468"/>
    </row>
    <row r="40" spans="1:87" s="100" customFormat="1" ht="15.75" customHeight="1">
      <c r="A40" s="46"/>
      <c r="B40" s="97"/>
      <c r="C40" s="97"/>
      <c r="D40" s="97"/>
      <c r="E40" s="97"/>
      <c r="F40" s="97"/>
      <c r="G40" s="97"/>
      <c r="H40" s="97"/>
      <c r="I40" s="97"/>
      <c r="J40" s="97"/>
      <c r="K40" s="97"/>
      <c r="L40" s="97"/>
      <c r="M40" s="97"/>
      <c r="N40" s="97"/>
      <c r="O40" s="97"/>
      <c r="P40" s="97"/>
      <c r="Q40" s="741"/>
      <c r="R40" s="97"/>
      <c r="S40" s="97"/>
      <c r="T40" s="721"/>
      <c r="U40" s="721"/>
      <c r="V40" s="721"/>
      <c r="W40" s="721"/>
      <c r="X40" s="721"/>
      <c r="Y40" s="721"/>
      <c r="Z40" s="721"/>
      <c r="AA40" s="721"/>
      <c r="AB40" s="721"/>
      <c r="AC40" s="721"/>
      <c r="AD40" s="721"/>
      <c r="AE40" s="721"/>
      <c r="AF40" s="721"/>
      <c r="AG40" s="721"/>
      <c r="AH40" s="721"/>
      <c r="AI40" s="721"/>
      <c r="AJ40" s="721"/>
      <c r="AK40" s="721"/>
      <c r="AL40" s="721"/>
      <c r="AM40" s="721"/>
      <c r="AN40" s="721"/>
      <c r="AO40" s="721"/>
      <c r="AP40" s="721"/>
      <c r="AQ40" s="721"/>
      <c r="AR40" s="721"/>
      <c r="AS40" s="721"/>
      <c r="AT40" s="721"/>
      <c r="AU40" s="721"/>
      <c r="AV40" s="721"/>
      <c r="AW40" s="721"/>
      <c r="AX40" s="762"/>
      <c r="AY40" s="474"/>
      <c r="AZ40" s="474"/>
      <c r="BA40" s="474"/>
      <c r="BB40" s="474"/>
      <c r="BC40" s="721"/>
      <c r="BD40" s="721"/>
      <c r="BE40" s="721"/>
      <c r="BF40" s="721"/>
      <c r="BG40" s="721"/>
      <c r="BH40" s="721"/>
      <c r="BI40" s="721"/>
      <c r="BJ40" s="721"/>
      <c r="BK40" s="721"/>
      <c r="BL40" s="721"/>
      <c r="BM40" s="721"/>
      <c r="BN40" s="721"/>
      <c r="BO40" s="721"/>
      <c r="BP40" s="721"/>
      <c r="BQ40" s="721"/>
      <c r="BR40" s="721"/>
      <c r="BS40" s="721"/>
      <c r="BT40" s="97"/>
      <c r="BU40" s="97"/>
      <c r="BV40" s="97"/>
      <c r="BW40" s="97"/>
      <c r="BX40" s="97"/>
      <c r="BY40" s="97"/>
      <c r="BZ40" s="97"/>
      <c r="CA40" s="97"/>
      <c r="CB40" s="97"/>
      <c r="CC40" s="97"/>
      <c r="CD40" s="97"/>
      <c r="CE40" s="97"/>
      <c r="CF40" s="97"/>
      <c r="CG40" s="468"/>
      <c r="CH40" s="468"/>
      <c r="CI40" s="468"/>
    </row>
    <row r="41" spans="1:87" s="100" customFormat="1" ht="15.75" customHeight="1">
      <c r="A41" s="46"/>
      <c r="B41" s="97"/>
      <c r="C41" s="97"/>
      <c r="D41" s="97"/>
      <c r="E41" s="97"/>
      <c r="F41" s="97"/>
      <c r="G41" s="97"/>
      <c r="H41" s="97"/>
      <c r="I41" s="97"/>
      <c r="J41" s="97"/>
      <c r="K41" s="97"/>
      <c r="L41" s="97"/>
      <c r="M41" s="97"/>
      <c r="N41" s="97"/>
      <c r="O41" s="97"/>
      <c r="P41" s="97"/>
      <c r="Q41" s="741"/>
      <c r="R41" s="97"/>
      <c r="S41" s="97"/>
      <c r="T41" s="721"/>
      <c r="U41" s="721"/>
      <c r="V41" s="721"/>
      <c r="W41" s="721"/>
      <c r="X41" s="721"/>
      <c r="Y41" s="721"/>
      <c r="Z41" s="721"/>
      <c r="AA41" s="721"/>
      <c r="AB41" s="721"/>
      <c r="AC41" s="721"/>
      <c r="AD41" s="721"/>
      <c r="AE41" s="721"/>
      <c r="AF41" s="721"/>
      <c r="AG41" s="721"/>
      <c r="AH41" s="721"/>
      <c r="AI41" s="721"/>
      <c r="AJ41" s="721"/>
      <c r="AK41" s="721"/>
      <c r="AL41" s="721"/>
      <c r="AM41" s="721"/>
      <c r="AN41" s="721"/>
      <c r="AO41" s="721"/>
      <c r="AP41" s="721"/>
      <c r="AQ41" s="721"/>
      <c r="AR41" s="721"/>
      <c r="AS41" s="721"/>
      <c r="AT41" s="721"/>
      <c r="AU41" s="721"/>
      <c r="AV41" s="721"/>
      <c r="AW41" s="721"/>
      <c r="AX41" s="762"/>
      <c r="AY41" s="474"/>
      <c r="AZ41" s="474"/>
      <c r="BA41" s="474"/>
      <c r="BB41" s="474"/>
      <c r="BC41" s="721"/>
      <c r="BD41" s="721"/>
      <c r="BE41" s="721"/>
      <c r="BF41" s="721"/>
      <c r="BG41" s="721"/>
      <c r="BH41" s="721"/>
      <c r="BI41" s="721"/>
      <c r="BJ41" s="721"/>
      <c r="BK41" s="721"/>
      <c r="BL41" s="721"/>
      <c r="BM41" s="721"/>
      <c r="BN41" s="721"/>
      <c r="BO41" s="721"/>
      <c r="BP41" s="721"/>
      <c r="BQ41" s="721"/>
      <c r="BR41" s="721"/>
      <c r="BS41" s="721"/>
      <c r="BT41" s="97"/>
      <c r="BU41" s="97"/>
      <c r="BV41" s="97"/>
      <c r="BW41" s="97"/>
      <c r="BX41" s="97"/>
      <c r="BY41" s="97"/>
      <c r="BZ41" s="97"/>
      <c r="CA41" s="97"/>
      <c r="CB41" s="97"/>
      <c r="CC41" s="97"/>
      <c r="CD41" s="97"/>
      <c r="CE41" s="97"/>
      <c r="CF41" s="97"/>
      <c r="CG41" s="468"/>
      <c r="CH41" s="468"/>
      <c r="CI41" s="468"/>
    </row>
    <row r="42" spans="1:87" s="100" customFormat="1" ht="15.75" customHeight="1">
      <c r="A42" s="46"/>
      <c r="B42" s="97"/>
      <c r="C42" s="97"/>
      <c r="D42" s="97"/>
      <c r="E42" s="97"/>
      <c r="F42" s="97"/>
      <c r="G42" s="97"/>
      <c r="H42" s="97"/>
      <c r="I42" s="97"/>
      <c r="J42" s="97"/>
      <c r="K42" s="97"/>
      <c r="L42" s="97"/>
      <c r="M42" s="97"/>
      <c r="N42" s="97"/>
      <c r="O42" s="97"/>
      <c r="P42" s="97"/>
      <c r="Q42" s="741"/>
      <c r="R42" s="97"/>
      <c r="S42" s="97"/>
      <c r="T42" s="721"/>
      <c r="U42" s="721"/>
      <c r="V42" s="721"/>
      <c r="W42" s="721"/>
      <c r="X42" s="721"/>
      <c r="Y42" s="721"/>
      <c r="Z42" s="721"/>
      <c r="AA42" s="721"/>
      <c r="AB42" s="721"/>
      <c r="AC42" s="721"/>
      <c r="AD42" s="721"/>
      <c r="AE42" s="721"/>
      <c r="AF42" s="721"/>
      <c r="AG42" s="721"/>
      <c r="AH42" s="721"/>
      <c r="AI42" s="721"/>
      <c r="AJ42" s="721"/>
      <c r="AK42" s="721"/>
      <c r="AL42" s="721"/>
      <c r="AM42" s="721"/>
      <c r="AN42" s="721"/>
      <c r="AO42" s="721"/>
      <c r="AP42" s="721"/>
      <c r="AQ42" s="721"/>
      <c r="AR42" s="721"/>
      <c r="AS42" s="721"/>
      <c r="AT42" s="721"/>
      <c r="AU42" s="721"/>
      <c r="AV42" s="721"/>
      <c r="AW42" s="721"/>
      <c r="AX42" s="762"/>
      <c r="AY42" s="474"/>
      <c r="AZ42" s="474"/>
      <c r="BA42" s="474"/>
      <c r="BB42" s="474"/>
      <c r="BC42" s="721"/>
      <c r="BD42" s="721"/>
      <c r="BE42" s="721"/>
      <c r="BF42" s="721"/>
      <c r="BG42" s="721"/>
      <c r="BH42" s="721"/>
      <c r="BI42" s="721"/>
      <c r="BJ42" s="721"/>
      <c r="BK42" s="721"/>
      <c r="BL42" s="721"/>
      <c r="BM42" s="721"/>
      <c r="BN42" s="721"/>
      <c r="BO42" s="721"/>
      <c r="BP42" s="721"/>
      <c r="BQ42" s="721"/>
      <c r="BR42" s="721"/>
      <c r="BS42" s="721"/>
      <c r="BT42" s="97"/>
      <c r="BU42" s="97"/>
      <c r="BV42" s="97"/>
      <c r="BW42" s="97"/>
      <c r="BX42" s="97"/>
      <c r="BY42" s="97"/>
      <c r="BZ42" s="97"/>
      <c r="CA42" s="97"/>
      <c r="CB42" s="97"/>
      <c r="CC42" s="97"/>
      <c r="CD42" s="97"/>
      <c r="CE42" s="97"/>
      <c r="CF42" s="97"/>
      <c r="CG42" s="468"/>
      <c r="CH42" s="468"/>
      <c r="CI42" s="468"/>
    </row>
    <row r="43" spans="1:87" s="100" customFormat="1" ht="15.75" customHeight="1">
      <c r="A43" s="46"/>
      <c r="B43" s="97"/>
      <c r="C43" s="97"/>
      <c r="D43" s="97"/>
      <c r="E43" s="97"/>
      <c r="F43" s="97"/>
      <c r="G43" s="97"/>
      <c r="H43" s="97"/>
      <c r="I43" s="97"/>
      <c r="J43" s="97"/>
      <c r="K43" s="97"/>
      <c r="L43" s="97"/>
      <c r="M43" s="97"/>
      <c r="N43" s="97"/>
      <c r="O43" s="97"/>
      <c r="P43" s="97"/>
      <c r="Q43" s="741"/>
      <c r="R43" s="97"/>
      <c r="S43" s="97"/>
      <c r="T43" s="721"/>
      <c r="U43" s="721"/>
      <c r="V43" s="721"/>
      <c r="W43" s="721"/>
      <c r="X43" s="721"/>
      <c r="Y43" s="721"/>
      <c r="Z43" s="721"/>
      <c r="AA43" s="721"/>
      <c r="AB43" s="721"/>
      <c r="AC43" s="721"/>
      <c r="AD43" s="721"/>
      <c r="AE43" s="721"/>
      <c r="AF43" s="721"/>
      <c r="AG43" s="721"/>
      <c r="AH43" s="721"/>
      <c r="AI43" s="721"/>
      <c r="AJ43" s="721"/>
      <c r="AK43" s="721"/>
      <c r="AL43" s="721"/>
      <c r="AM43" s="721"/>
      <c r="AN43" s="721"/>
      <c r="AO43" s="721"/>
      <c r="AP43" s="721"/>
      <c r="AQ43" s="721"/>
      <c r="AR43" s="721"/>
      <c r="AS43" s="721"/>
      <c r="AT43" s="721"/>
      <c r="AU43" s="721"/>
      <c r="AV43" s="721"/>
      <c r="AW43" s="721"/>
      <c r="AX43" s="762"/>
      <c r="AY43" s="474"/>
      <c r="AZ43" s="474"/>
      <c r="BA43" s="474"/>
      <c r="BB43" s="474"/>
      <c r="BC43" s="721"/>
      <c r="BD43" s="721"/>
      <c r="BE43" s="721"/>
      <c r="BF43" s="721"/>
      <c r="BG43" s="721"/>
      <c r="BH43" s="721"/>
      <c r="BI43" s="721"/>
      <c r="BJ43" s="721"/>
      <c r="BK43" s="721"/>
      <c r="BL43" s="721"/>
      <c r="BM43" s="721"/>
      <c r="BN43" s="721"/>
      <c r="BO43" s="721"/>
      <c r="BP43" s="721"/>
      <c r="BQ43" s="721"/>
      <c r="BR43" s="721"/>
      <c r="BS43" s="721"/>
      <c r="BT43" s="97"/>
      <c r="BU43" s="97"/>
      <c r="BV43" s="97"/>
      <c r="BW43" s="97"/>
      <c r="BX43" s="97"/>
      <c r="BY43" s="97"/>
      <c r="BZ43" s="97"/>
      <c r="CA43" s="97"/>
      <c r="CB43" s="97"/>
      <c r="CC43" s="97"/>
      <c r="CD43" s="97"/>
      <c r="CE43" s="97"/>
      <c r="CF43" s="97"/>
      <c r="CG43" s="468"/>
      <c r="CH43" s="468"/>
      <c r="CI43" s="468"/>
    </row>
    <row r="44" spans="1:87" s="100" customFormat="1" ht="15.75" customHeight="1">
      <c r="A44" s="46"/>
      <c r="B44" s="97"/>
      <c r="C44" s="97"/>
      <c r="D44" s="97"/>
      <c r="E44" s="97"/>
      <c r="F44" s="97"/>
      <c r="G44" s="97"/>
      <c r="H44" s="97"/>
      <c r="I44" s="97"/>
      <c r="J44" s="97"/>
      <c r="K44" s="97"/>
      <c r="L44" s="97"/>
      <c r="M44" s="97"/>
      <c r="N44" s="97"/>
      <c r="O44" s="97"/>
      <c r="P44" s="97"/>
      <c r="Q44" s="741"/>
      <c r="R44" s="97"/>
      <c r="S44" s="97"/>
      <c r="T44" s="721"/>
      <c r="U44" s="721"/>
      <c r="V44" s="721"/>
      <c r="W44" s="721"/>
      <c r="X44" s="721"/>
      <c r="Y44" s="721"/>
      <c r="Z44" s="721"/>
      <c r="AA44" s="721"/>
      <c r="AB44" s="721"/>
      <c r="AC44" s="721"/>
      <c r="AD44" s="721"/>
      <c r="AE44" s="721"/>
      <c r="AF44" s="721"/>
      <c r="AG44" s="721"/>
      <c r="AH44" s="721"/>
      <c r="AI44" s="721"/>
      <c r="AJ44" s="721"/>
      <c r="AK44" s="721"/>
      <c r="AL44" s="721"/>
      <c r="AM44" s="721"/>
      <c r="AN44" s="721"/>
      <c r="AO44" s="721"/>
      <c r="AP44" s="721"/>
      <c r="AQ44" s="721"/>
      <c r="AR44" s="721"/>
      <c r="AS44" s="721"/>
      <c r="AT44" s="721"/>
      <c r="AU44" s="721"/>
      <c r="AV44" s="721"/>
      <c r="AW44" s="721"/>
      <c r="AX44" s="762"/>
      <c r="AY44" s="474"/>
      <c r="AZ44" s="474"/>
      <c r="BA44" s="474"/>
      <c r="BB44" s="474"/>
      <c r="BC44" s="721"/>
      <c r="BD44" s="721"/>
      <c r="BE44" s="721"/>
      <c r="BF44" s="721"/>
      <c r="BG44" s="721"/>
      <c r="BH44" s="721"/>
      <c r="BI44" s="721"/>
      <c r="BJ44" s="721"/>
      <c r="BK44" s="721"/>
      <c r="BL44" s="721"/>
      <c r="BM44" s="721"/>
      <c r="BN44" s="721"/>
      <c r="BO44" s="721"/>
      <c r="BP44" s="721"/>
      <c r="BQ44" s="721"/>
      <c r="BR44" s="721"/>
      <c r="BS44" s="721"/>
      <c r="BT44" s="97"/>
      <c r="BU44" s="97"/>
      <c r="BV44" s="97"/>
      <c r="BW44" s="97"/>
      <c r="BX44" s="97"/>
      <c r="BY44" s="97"/>
      <c r="BZ44" s="97"/>
      <c r="CA44" s="97"/>
      <c r="CB44" s="97"/>
      <c r="CC44" s="97"/>
      <c r="CD44" s="97"/>
      <c r="CE44" s="97"/>
      <c r="CF44" s="97"/>
      <c r="CG44" s="468"/>
      <c r="CH44" s="468"/>
      <c r="CI44" s="468"/>
    </row>
    <row r="45" spans="1:87" s="100" customFormat="1" ht="15.75" customHeight="1">
      <c r="A45" s="46"/>
      <c r="B45" s="97"/>
      <c r="C45" s="97"/>
      <c r="D45" s="97"/>
      <c r="E45" s="97"/>
      <c r="F45" s="97"/>
      <c r="G45" s="97"/>
      <c r="H45" s="97"/>
      <c r="I45" s="97"/>
      <c r="J45" s="97"/>
      <c r="K45" s="97"/>
      <c r="L45" s="97"/>
      <c r="M45" s="97"/>
      <c r="N45" s="97"/>
      <c r="O45" s="97"/>
      <c r="P45" s="97"/>
      <c r="Q45" s="741"/>
      <c r="R45" s="97"/>
      <c r="S45" s="97"/>
      <c r="T45" s="721"/>
      <c r="U45" s="721"/>
      <c r="V45" s="721"/>
      <c r="W45" s="721"/>
      <c r="X45" s="721"/>
      <c r="Y45" s="721"/>
      <c r="Z45" s="721"/>
      <c r="AA45" s="721"/>
      <c r="AB45" s="721"/>
      <c r="AC45" s="721"/>
      <c r="AD45" s="721"/>
      <c r="AE45" s="721"/>
      <c r="AF45" s="721"/>
      <c r="AG45" s="721"/>
      <c r="AH45" s="721"/>
      <c r="AI45" s="721"/>
      <c r="AJ45" s="721"/>
      <c r="AK45" s="721"/>
      <c r="AL45" s="721"/>
      <c r="AM45" s="721"/>
      <c r="AN45" s="721"/>
      <c r="AO45" s="721"/>
      <c r="AP45" s="721"/>
      <c r="AQ45" s="721"/>
      <c r="AR45" s="721"/>
      <c r="AS45" s="721"/>
      <c r="AT45" s="721"/>
      <c r="AU45" s="721"/>
      <c r="AV45" s="721"/>
      <c r="AW45" s="721"/>
      <c r="AX45" s="762"/>
      <c r="AY45" s="474"/>
      <c r="AZ45" s="474"/>
      <c r="BA45" s="474"/>
      <c r="BB45" s="474"/>
      <c r="BC45" s="721"/>
      <c r="BD45" s="721"/>
      <c r="BE45" s="721"/>
      <c r="BF45" s="721"/>
      <c r="BG45" s="721"/>
      <c r="BH45" s="721"/>
      <c r="BI45" s="721"/>
      <c r="BJ45" s="721"/>
      <c r="BK45" s="721"/>
      <c r="BL45" s="721"/>
      <c r="BM45" s="721"/>
      <c r="BN45" s="721"/>
      <c r="BO45" s="721"/>
      <c r="BP45" s="721"/>
      <c r="BQ45" s="721"/>
      <c r="BR45" s="721"/>
      <c r="BS45" s="721"/>
      <c r="BT45" s="97"/>
      <c r="BU45" s="97"/>
      <c r="BV45" s="97"/>
      <c r="BW45" s="97"/>
      <c r="BX45" s="97"/>
      <c r="BY45" s="97"/>
      <c r="BZ45" s="97"/>
      <c r="CA45" s="97"/>
      <c r="CB45" s="97"/>
      <c r="CC45" s="97"/>
      <c r="CD45" s="97"/>
      <c r="CE45" s="97"/>
      <c r="CF45" s="97"/>
      <c r="CG45" s="468"/>
      <c r="CH45" s="468"/>
      <c r="CI45" s="468"/>
    </row>
    <row r="46" spans="1:87" s="100" customFormat="1" ht="15.75" customHeight="1">
      <c r="A46" s="46"/>
      <c r="B46" s="97"/>
      <c r="C46" s="97"/>
      <c r="D46" s="97"/>
      <c r="E46" s="97"/>
      <c r="F46" s="97"/>
      <c r="G46" s="97"/>
      <c r="H46" s="97"/>
      <c r="I46" s="97"/>
      <c r="J46" s="97"/>
      <c r="K46" s="97"/>
      <c r="L46" s="97"/>
      <c r="M46" s="97"/>
      <c r="N46" s="97"/>
      <c r="O46" s="97"/>
      <c r="P46" s="97"/>
      <c r="Q46" s="741"/>
      <c r="R46" s="97"/>
      <c r="S46" s="97"/>
      <c r="T46" s="721"/>
      <c r="U46" s="721"/>
      <c r="V46" s="721"/>
      <c r="W46" s="721"/>
      <c r="X46" s="721"/>
      <c r="Y46" s="721"/>
      <c r="Z46" s="721"/>
      <c r="AA46" s="721"/>
      <c r="AB46" s="721"/>
      <c r="AC46" s="721"/>
      <c r="AD46" s="721"/>
      <c r="AE46" s="721"/>
      <c r="AF46" s="721"/>
      <c r="AG46" s="721"/>
      <c r="AH46" s="721"/>
      <c r="AI46" s="721"/>
      <c r="AJ46" s="721"/>
      <c r="AK46" s="721"/>
      <c r="AL46" s="721"/>
      <c r="AM46" s="721"/>
      <c r="AN46" s="721"/>
      <c r="AO46" s="721"/>
      <c r="AP46" s="721"/>
      <c r="AQ46" s="721"/>
      <c r="AR46" s="721"/>
      <c r="AS46" s="721"/>
      <c r="AT46" s="721"/>
      <c r="AU46" s="721"/>
      <c r="AV46" s="721"/>
      <c r="AW46" s="721"/>
      <c r="AX46" s="762"/>
      <c r="AY46" s="474"/>
      <c r="AZ46" s="474"/>
      <c r="BA46" s="474"/>
      <c r="BB46" s="474"/>
      <c r="BC46" s="721"/>
      <c r="BD46" s="721"/>
      <c r="BE46" s="721"/>
      <c r="BF46" s="721"/>
      <c r="BG46" s="721"/>
      <c r="BH46" s="721"/>
      <c r="BI46" s="721"/>
      <c r="BJ46" s="721"/>
      <c r="BK46" s="721"/>
      <c r="BL46" s="721"/>
      <c r="BM46" s="721"/>
      <c r="BN46" s="721"/>
      <c r="BO46" s="721"/>
      <c r="BP46" s="721"/>
      <c r="BQ46" s="721"/>
      <c r="BR46" s="721"/>
      <c r="BS46" s="721"/>
      <c r="BT46" s="97"/>
      <c r="BU46" s="97"/>
      <c r="BV46" s="97"/>
      <c r="BW46" s="97"/>
      <c r="BX46" s="97"/>
      <c r="BY46" s="97"/>
      <c r="BZ46" s="97"/>
      <c r="CA46" s="97"/>
      <c r="CB46" s="97"/>
      <c r="CC46" s="97"/>
      <c r="CD46" s="97"/>
      <c r="CE46" s="97"/>
      <c r="CF46" s="97"/>
      <c r="CG46" s="468"/>
      <c r="CH46" s="468"/>
      <c r="CI46" s="468"/>
    </row>
    <row r="47" spans="1:87" s="100" customFormat="1" ht="15.75" customHeight="1">
      <c r="A47" s="46"/>
      <c r="B47" s="97"/>
      <c r="C47" s="97"/>
      <c r="D47" s="97"/>
      <c r="E47" s="97"/>
      <c r="F47" s="97"/>
      <c r="G47" s="97"/>
      <c r="H47" s="97"/>
      <c r="I47" s="97"/>
      <c r="J47" s="97"/>
      <c r="K47" s="97"/>
      <c r="L47" s="97"/>
      <c r="M47" s="97"/>
      <c r="N47" s="97"/>
      <c r="O47" s="97"/>
      <c r="P47" s="97"/>
      <c r="Q47" s="741"/>
      <c r="R47" s="97"/>
      <c r="S47" s="97"/>
      <c r="T47" s="721"/>
      <c r="U47" s="721"/>
      <c r="V47" s="721"/>
      <c r="W47" s="721"/>
      <c r="X47" s="721"/>
      <c r="Y47" s="721"/>
      <c r="Z47" s="721"/>
      <c r="AA47" s="721"/>
      <c r="AB47" s="721"/>
      <c r="AC47" s="721"/>
      <c r="AD47" s="721"/>
      <c r="AE47" s="721"/>
      <c r="AF47" s="721"/>
      <c r="AG47" s="721"/>
      <c r="AH47" s="721"/>
      <c r="AI47" s="721"/>
      <c r="AJ47" s="721"/>
      <c r="AK47" s="721"/>
      <c r="AL47" s="721"/>
      <c r="AM47" s="721"/>
      <c r="AN47" s="721"/>
      <c r="AO47" s="721"/>
      <c r="AP47" s="721"/>
      <c r="AQ47" s="721"/>
      <c r="AR47" s="721"/>
      <c r="AS47" s="721"/>
      <c r="AT47" s="721"/>
      <c r="AU47" s="721"/>
      <c r="AV47" s="721"/>
      <c r="AW47" s="721"/>
      <c r="AX47" s="762"/>
      <c r="AY47" s="474"/>
      <c r="AZ47" s="474"/>
      <c r="BA47" s="474"/>
      <c r="BB47" s="474"/>
      <c r="BC47" s="721"/>
      <c r="BD47" s="721"/>
      <c r="BE47" s="721"/>
      <c r="BF47" s="721"/>
      <c r="BG47" s="721"/>
      <c r="BH47" s="721"/>
      <c r="BI47" s="721"/>
      <c r="BJ47" s="721"/>
      <c r="BK47" s="721"/>
      <c r="BL47" s="721"/>
      <c r="BM47" s="721"/>
      <c r="BN47" s="721"/>
      <c r="BO47" s="721"/>
      <c r="BP47" s="721"/>
      <c r="BQ47" s="721"/>
      <c r="BR47" s="721"/>
      <c r="BS47" s="721"/>
      <c r="BT47" s="97"/>
      <c r="BU47" s="97"/>
      <c r="BV47" s="97"/>
      <c r="BW47" s="97"/>
      <c r="BX47" s="97"/>
      <c r="BY47" s="97"/>
      <c r="BZ47" s="97"/>
      <c r="CA47" s="97"/>
      <c r="CB47" s="97"/>
      <c r="CC47" s="97"/>
      <c r="CD47" s="97"/>
      <c r="CE47" s="97"/>
      <c r="CF47" s="97"/>
      <c r="CG47" s="468"/>
      <c r="CH47" s="468"/>
      <c r="CI47" s="468"/>
    </row>
    <row r="48" spans="1:87" s="100" customFormat="1" ht="15.75" customHeight="1">
      <c r="A48" s="46"/>
      <c r="B48" s="97"/>
      <c r="C48" s="97"/>
      <c r="D48" s="97"/>
      <c r="E48" s="97"/>
      <c r="F48" s="97"/>
      <c r="G48" s="97"/>
      <c r="H48" s="97"/>
      <c r="I48" s="97"/>
      <c r="J48" s="97"/>
      <c r="K48" s="97"/>
      <c r="L48" s="97"/>
      <c r="M48" s="97"/>
      <c r="N48" s="97"/>
      <c r="O48" s="97"/>
      <c r="P48" s="97"/>
      <c r="Q48" s="741"/>
      <c r="R48" s="97"/>
      <c r="S48" s="97"/>
      <c r="T48" s="721"/>
      <c r="U48" s="721"/>
      <c r="V48" s="721"/>
      <c r="W48" s="721"/>
      <c r="X48" s="721"/>
      <c r="Y48" s="721"/>
      <c r="Z48" s="721"/>
      <c r="AA48" s="721"/>
      <c r="AB48" s="721"/>
      <c r="AC48" s="721"/>
      <c r="AD48" s="721"/>
      <c r="AE48" s="721"/>
      <c r="AF48" s="721"/>
      <c r="AG48" s="721"/>
      <c r="AH48" s="721"/>
      <c r="AI48" s="721"/>
      <c r="AJ48" s="721"/>
      <c r="AK48" s="721"/>
      <c r="AL48" s="721"/>
      <c r="AM48" s="721"/>
      <c r="AN48" s="721"/>
      <c r="AO48" s="721"/>
      <c r="AP48" s="721"/>
      <c r="AQ48" s="721"/>
      <c r="AR48" s="721"/>
      <c r="AS48" s="721"/>
      <c r="AT48" s="721"/>
      <c r="AU48" s="721"/>
      <c r="AV48" s="721"/>
      <c r="AW48" s="721"/>
      <c r="AX48" s="762"/>
      <c r="AY48" s="474"/>
      <c r="AZ48" s="474"/>
      <c r="BA48" s="474"/>
      <c r="BB48" s="474"/>
      <c r="BC48" s="721"/>
      <c r="BD48" s="721"/>
      <c r="BE48" s="721"/>
      <c r="BF48" s="721"/>
      <c r="BG48" s="721"/>
      <c r="BH48" s="721"/>
      <c r="BI48" s="721"/>
      <c r="BJ48" s="721"/>
      <c r="BK48" s="721"/>
      <c r="BL48" s="721"/>
      <c r="BM48" s="721"/>
      <c r="BN48" s="721"/>
      <c r="BO48" s="721"/>
      <c r="BP48" s="721"/>
      <c r="BQ48" s="721"/>
      <c r="BR48" s="721"/>
      <c r="BS48" s="721"/>
      <c r="BT48" s="97"/>
      <c r="BU48" s="97"/>
      <c r="BV48" s="97"/>
      <c r="BW48" s="97"/>
      <c r="BX48" s="97"/>
      <c r="BY48" s="97"/>
      <c r="BZ48" s="97"/>
      <c r="CA48" s="97"/>
      <c r="CB48" s="97"/>
      <c r="CC48" s="97"/>
      <c r="CD48" s="97"/>
      <c r="CE48" s="97"/>
      <c r="CF48" s="97"/>
      <c r="CG48" s="468"/>
      <c r="CH48" s="468"/>
      <c r="CI48" s="468"/>
    </row>
    <row r="49" spans="1:87">
      <c r="A49" s="759"/>
      <c r="B49" s="760"/>
      <c r="C49" s="760"/>
      <c r="D49" s="760"/>
      <c r="E49" s="760"/>
      <c r="F49" s="760"/>
      <c r="G49" s="760"/>
      <c r="H49" s="760"/>
      <c r="I49" s="760"/>
      <c r="J49" s="760"/>
      <c r="K49" s="760"/>
      <c r="L49" s="760"/>
      <c r="M49" s="760"/>
      <c r="N49" s="760"/>
      <c r="O49" s="760"/>
      <c r="P49" s="760"/>
      <c r="Q49" s="760"/>
      <c r="R49" s="760"/>
      <c r="S49" s="760"/>
      <c r="T49" s="760"/>
      <c r="U49" s="760"/>
      <c r="V49" s="760"/>
      <c r="W49" s="760"/>
      <c r="X49" s="760"/>
      <c r="Y49" s="760"/>
      <c r="Z49" s="760"/>
      <c r="AA49" s="760"/>
      <c r="AB49" s="760"/>
      <c r="AC49" s="760"/>
      <c r="AD49" s="760"/>
      <c r="AE49" s="760"/>
      <c r="AF49" s="760"/>
      <c r="AG49" s="760"/>
      <c r="AH49" s="760"/>
      <c r="AI49" s="760"/>
      <c r="AJ49" s="760"/>
      <c r="AK49" s="760"/>
      <c r="AL49" s="760"/>
      <c r="AM49" s="760"/>
      <c r="AN49" s="760"/>
      <c r="AO49" s="760"/>
      <c r="AP49" s="760"/>
      <c r="AQ49" s="760"/>
      <c r="AR49" s="760"/>
      <c r="AS49" s="760"/>
      <c r="AT49" s="760"/>
      <c r="AU49" s="760"/>
      <c r="AV49" s="760"/>
      <c r="AW49" s="760"/>
      <c r="AX49" s="761"/>
    </row>
    <row r="50" spans="1:87">
      <c r="A50" s="769"/>
      <c r="B50" s="770" t="s">
        <v>1311</v>
      </c>
      <c r="C50" s="770"/>
      <c r="D50" s="770"/>
      <c r="E50" s="770"/>
      <c r="F50" s="770"/>
      <c r="G50" s="770"/>
      <c r="H50" s="770"/>
      <c r="I50" s="770"/>
      <c r="J50" s="770"/>
      <c r="K50" s="770"/>
      <c r="L50" s="770"/>
      <c r="M50" s="770"/>
      <c r="N50" s="770"/>
      <c r="O50" s="770"/>
      <c r="P50" s="770"/>
      <c r="Q50" s="770"/>
      <c r="R50" s="770"/>
      <c r="S50" s="770"/>
      <c r="T50" s="770"/>
      <c r="U50" s="770"/>
      <c r="V50" s="770"/>
      <c r="W50" s="770"/>
      <c r="X50" s="770"/>
      <c r="Y50" s="770"/>
      <c r="Z50" s="770"/>
      <c r="AA50" s="770"/>
      <c r="AB50" s="770"/>
      <c r="AC50" s="770"/>
      <c r="AD50" s="770"/>
      <c r="AE50" s="770"/>
      <c r="AF50" s="770"/>
      <c r="AG50" s="770"/>
      <c r="AH50" s="770"/>
      <c r="AI50" s="770"/>
      <c r="AJ50" s="770"/>
      <c r="AK50" s="770"/>
      <c r="AL50" s="770"/>
      <c r="AM50" s="770"/>
      <c r="AN50" s="770"/>
      <c r="AO50" s="770"/>
      <c r="AP50" s="770"/>
      <c r="AQ50" s="770"/>
      <c r="AR50" s="770"/>
      <c r="AS50" s="770"/>
      <c r="AT50" s="770"/>
      <c r="AU50" s="770"/>
      <c r="AV50" s="770"/>
      <c r="AW50" s="770"/>
      <c r="AX50" s="771"/>
    </row>
    <row r="51" spans="1:87">
      <c r="A51" s="759"/>
      <c r="B51" s="760"/>
      <c r="C51" s="760"/>
      <c r="D51" s="760"/>
      <c r="E51" s="760"/>
      <c r="F51" s="760"/>
      <c r="G51" s="760"/>
      <c r="H51" s="760"/>
      <c r="I51" s="760"/>
      <c r="J51" s="760"/>
      <c r="K51" s="760"/>
      <c r="L51" s="760"/>
      <c r="M51" s="760"/>
      <c r="N51" s="760"/>
      <c r="O51" s="760"/>
      <c r="P51" s="760"/>
      <c r="Q51" s="760"/>
      <c r="R51" s="760"/>
      <c r="S51" s="760"/>
      <c r="T51" s="760"/>
      <c r="U51" s="760"/>
      <c r="V51" s="760"/>
      <c r="W51" s="760"/>
      <c r="X51" s="760"/>
      <c r="Y51" s="760"/>
      <c r="Z51" s="760"/>
      <c r="AA51" s="760"/>
      <c r="AB51" s="760"/>
      <c r="AC51" s="760"/>
      <c r="AD51" s="760"/>
      <c r="AE51" s="760"/>
      <c r="AF51" s="760"/>
      <c r="AG51" s="760"/>
      <c r="AH51" s="760"/>
      <c r="AI51" s="760"/>
      <c r="AJ51" s="760"/>
      <c r="AK51" s="760"/>
      <c r="AL51" s="760"/>
      <c r="AM51" s="760"/>
      <c r="AN51" s="760"/>
      <c r="AO51" s="760"/>
      <c r="AP51" s="760"/>
      <c r="AQ51" s="760"/>
      <c r="AR51" s="760"/>
      <c r="AS51" s="760"/>
      <c r="AT51" s="760"/>
      <c r="AU51" s="760"/>
      <c r="AV51" s="760"/>
      <c r="AW51" s="760"/>
      <c r="AX51" s="761"/>
    </row>
    <row r="52" spans="1:87">
      <c r="A52" s="759"/>
      <c r="B52" s="760"/>
      <c r="C52" s="760"/>
      <c r="D52" s="760"/>
      <c r="E52" s="760"/>
      <c r="F52" s="760"/>
      <c r="G52" s="760"/>
      <c r="H52" s="760"/>
      <c r="I52" s="760"/>
      <c r="J52" s="760"/>
      <c r="K52" s="760"/>
      <c r="L52" s="760"/>
      <c r="M52" s="760"/>
      <c r="N52" s="760"/>
      <c r="O52" s="760"/>
      <c r="P52" s="760"/>
      <c r="Q52" s="760"/>
      <c r="R52" s="760"/>
      <c r="S52" s="760"/>
      <c r="T52" s="760"/>
      <c r="U52" s="760"/>
      <c r="V52" s="760"/>
      <c r="W52" s="760"/>
      <c r="X52" s="760"/>
      <c r="Y52" s="760"/>
      <c r="Z52" s="760"/>
      <c r="AA52" s="760"/>
      <c r="AB52" s="760"/>
      <c r="AC52" s="760"/>
      <c r="AD52" s="760"/>
      <c r="AE52" s="760"/>
      <c r="AF52" s="760"/>
      <c r="AG52" s="760"/>
      <c r="AH52" s="760"/>
      <c r="AI52" s="760"/>
      <c r="AJ52" s="760"/>
      <c r="AK52" s="760"/>
      <c r="AL52" s="760"/>
      <c r="AM52" s="760"/>
      <c r="AN52" s="760"/>
      <c r="AO52" s="760"/>
      <c r="AP52" s="760"/>
      <c r="AQ52" s="760"/>
      <c r="AR52" s="760"/>
      <c r="AS52" s="760"/>
      <c r="AT52" s="760"/>
      <c r="AU52" s="760"/>
      <c r="AV52" s="760"/>
      <c r="AW52" s="760"/>
      <c r="AX52" s="761"/>
    </row>
    <row r="53" spans="1:87">
      <c r="A53" s="759"/>
      <c r="B53" s="760"/>
      <c r="C53" s="760"/>
      <c r="D53" s="760"/>
      <c r="E53" s="760"/>
      <c r="F53" s="760"/>
      <c r="G53" s="760"/>
      <c r="H53" s="760"/>
      <c r="I53" s="760"/>
      <c r="J53" s="760"/>
      <c r="K53" s="760"/>
      <c r="L53" s="760"/>
      <c r="M53" s="760"/>
      <c r="N53" s="760"/>
      <c r="O53" s="760"/>
      <c r="P53" s="760"/>
      <c r="Q53" s="760"/>
      <c r="R53" s="760"/>
      <c r="S53" s="760"/>
      <c r="T53" s="760"/>
      <c r="U53" s="760"/>
      <c r="V53" s="760"/>
      <c r="W53" s="760"/>
      <c r="X53" s="760"/>
      <c r="Y53" s="760"/>
      <c r="Z53" s="760"/>
      <c r="AA53" s="760"/>
      <c r="AB53" s="760"/>
      <c r="AC53" s="760"/>
      <c r="AD53" s="760"/>
      <c r="AE53" s="760"/>
      <c r="AF53" s="760"/>
      <c r="AG53" s="760"/>
      <c r="AH53" s="760"/>
      <c r="AI53" s="760"/>
      <c r="AJ53" s="760"/>
      <c r="AK53" s="760"/>
      <c r="AL53" s="760"/>
      <c r="AM53" s="760"/>
      <c r="AN53" s="760"/>
      <c r="AO53" s="760"/>
      <c r="AP53" s="760"/>
      <c r="AQ53" s="760"/>
      <c r="AR53" s="760"/>
      <c r="AS53" s="760"/>
      <c r="AT53" s="760"/>
      <c r="AU53" s="760"/>
      <c r="AV53" s="760"/>
      <c r="AW53" s="760"/>
      <c r="AX53" s="761"/>
    </row>
    <row r="54" spans="1:87" s="100" customFormat="1" ht="15.75" customHeight="1">
      <c r="A54" s="46"/>
      <c r="B54" s="97"/>
      <c r="C54" s="97"/>
      <c r="D54" s="97"/>
      <c r="E54" s="97"/>
      <c r="F54" s="97"/>
      <c r="G54" s="97"/>
      <c r="H54" s="97"/>
      <c r="I54" s="97"/>
      <c r="J54" s="97"/>
      <c r="K54" s="97"/>
      <c r="L54" s="97"/>
      <c r="M54" s="97"/>
      <c r="N54" s="97"/>
      <c r="O54" s="97"/>
      <c r="P54" s="97"/>
      <c r="Q54" s="741"/>
      <c r="R54" s="97"/>
      <c r="S54" s="97"/>
      <c r="T54" s="97"/>
      <c r="U54" s="97"/>
      <c r="V54" s="97"/>
      <c r="W54" s="97"/>
      <c r="X54" s="97"/>
      <c r="Y54" s="97"/>
      <c r="Z54" s="97"/>
      <c r="AA54" s="97"/>
      <c r="AB54" s="97"/>
      <c r="AC54" s="97"/>
      <c r="AD54" s="97"/>
      <c r="AE54" s="470"/>
      <c r="AF54" s="470"/>
      <c r="AG54" s="470"/>
      <c r="AH54" s="470"/>
      <c r="AI54" s="470"/>
      <c r="AJ54" s="470"/>
      <c r="AK54" s="470"/>
      <c r="AL54" s="470"/>
      <c r="AM54" s="470"/>
      <c r="AN54" s="470"/>
      <c r="AO54" s="470"/>
      <c r="AP54" s="470"/>
      <c r="AQ54" s="470"/>
      <c r="AR54" s="470"/>
      <c r="AS54" s="470"/>
      <c r="AT54" s="470"/>
      <c r="AU54" s="470"/>
      <c r="AV54" s="470"/>
      <c r="AW54" s="470"/>
      <c r="AX54" s="742"/>
      <c r="BC54" s="97"/>
      <c r="BD54" s="97"/>
      <c r="BE54" s="97"/>
      <c r="BF54" s="97"/>
      <c r="BG54" s="97"/>
      <c r="BH54" s="97"/>
      <c r="BI54" s="97"/>
      <c r="BJ54" s="97"/>
      <c r="BK54" s="97"/>
      <c r="BL54" s="97"/>
      <c r="BM54" s="97"/>
      <c r="BN54" s="97"/>
      <c r="BO54" s="97"/>
      <c r="BP54" s="97"/>
      <c r="BQ54" s="97"/>
      <c r="BR54" s="97"/>
      <c r="BS54" s="97"/>
      <c r="BT54" s="97"/>
      <c r="BU54" s="97"/>
      <c r="BV54" s="97"/>
      <c r="BW54" s="97"/>
      <c r="BX54" s="97"/>
      <c r="BY54" s="97"/>
      <c r="BZ54" s="97"/>
      <c r="CA54" s="97"/>
      <c r="CB54" s="97"/>
      <c r="CC54" s="97"/>
      <c r="CD54" s="97"/>
      <c r="CE54" s="97"/>
      <c r="CF54" s="97"/>
      <c r="CG54" s="468"/>
      <c r="CH54" s="468"/>
      <c r="CI54" s="468"/>
    </row>
    <row r="55" spans="1:87" s="100" customFormat="1" ht="15.75" customHeight="1">
      <c r="A55" s="46"/>
      <c r="B55" s="462"/>
      <c r="C55" s="466"/>
      <c r="D55" s="466"/>
      <c r="E55" s="97"/>
      <c r="F55" s="97"/>
      <c r="G55" s="97"/>
      <c r="H55" s="97"/>
      <c r="I55" s="97"/>
      <c r="J55" s="97"/>
      <c r="K55" s="97"/>
      <c r="L55" s="97"/>
      <c r="M55" s="97"/>
      <c r="N55" s="97"/>
      <c r="O55" s="97"/>
      <c r="P55" s="97"/>
      <c r="Q55" s="741"/>
      <c r="R55" s="97"/>
      <c r="S55" s="97"/>
      <c r="T55" s="97"/>
      <c r="U55" s="97"/>
      <c r="V55" s="97"/>
      <c r="W55" s="97"/>
      <c r="X55" s="97"/>
      <c r="Y55" s="97"/>
      <c r="Z55" s="97"/>
      <c r="AA55" s="97"/>
      <c r="AB55" s="97"/>
      <c r="AC55" s="97"/>
      <c r="AD55" s="97"/>
      <c r="AE55" s="470"/>
      <c r="AF55" s="470"/>
      <c r="AG55" s="470"/>
      <c r="AH55" s="470"/>
      <c r="AI55" s="470"/>
      <c r="AJ55" s="470"/>
      <c r="AK55" s="470"/>
      <c r="AL55" s="470"/>
      <c r="AM55" s="470"/>
      <c r="AN55" s="470"/>
      <c r="AO55" s="470"/>
      <c r="AP55" s="470"/>
      <c r="AQ55" s="470"/>
      <c r="AR55" s="470"/>
      <c r="AS55" s="470"/>
      <c r="AT55" s="470"/>
      <c r="AU55" s="470"/>
      <c r="AV55" s="470"/>
      <c r="AW55" s="470"/>
      <c r="AX55" s="742"/>
      <c r="BC55" s="97"/>
      <c r="BD55" s="97"/>
      <c r="BE55" s="97"/>
      <c r="BF55" s="97"/>
      <c r="BG55" s="97"/>
      <c r="BH55" s="97"/>
      <c r="BI55" s="97"/>
      <c r="BJ55" s="97"/>
      <c r="BK55" s="97"/>
      <c r="BL55" s="97"/>
      <c r="BM55" s="97"/>
      <c r="BN55" s="97"/>
      <c r="BO55" s="97"/>
      <c r="BP55" s="97"/>
      <c r="BQ55" s="97"/>
      <c r="BR55" s="97"/>
      <c r="BS55" s="97"/>
      <c r="BT55" s="97"/>
      <c r="BU55" s="97"/>
      <c r="BV55" s="97"/>
      <c r="BW55" s="97"/>
      <c r="BX55" s="97"/>
      <c r="BY55" s="97"/>
      <c r="BZ55" s="97"/>
      <c r="CA55" s="97"/>
      <c r="CB55" s="97"/>
      <c r="CC55" s="97"/>
      <c r="CD55" s="97"/>
      <c r="CE55" s="97"/>
      <c r="CF55" s="97"/>
      <c r="CG55" s="468"/>
      <c r="CH55" s="468"/>
      <c r="CI55" s="468"/>
    </row>
    <row r="56" spans="1:87" s="100" customFormat="1" ht="15.75" customHeight="1">
      <c r="A56" s="46"/>
      <c r="B56" s="97"/>
      <c r="C56" s="462"/>
      <c r="D56" s="466"/>
      <c r="E56" s="471"/>
      <c r="F56" s="466"/>
      <c r="G56" s="466"/>
      <c r="H56" s="466"/>
      <c r="I56" s="466"/>
      <c r="J56" s="466"/>
      <c r="K56" s="466"/>
      <c r="L56" s="466"/>
      <c r="M56" s="466"/>
      <c r="N56" s="466"/>
      <c r="O56" s="466"/>
      <c r="P56" s="466"/>
      <c r="Q56" s="741"/>
      <c r="R56" s="97"/>
      <c r="S56" s="97"/>
      <c r="T56" s="97"/>
      <c r="U56" s="97"/>
      <c r="V56" s="97"/>
      <c r="W56" s="97"/>
      <c r="X56" s="97"/>
      <c r="Y56" s="97"/>
      <c r="Z56" s="97"/>
      <c r="AA56" s="97"/>
      <c r="AB56" s="97"/>
      <c r="AC56" s="97"/>
      <c r="AD56" s="97"/>
      <c r="AE56" s="470"/>
      <c r="AF56" s="470"/>
      <c r="AG56" s="470"/>
      <c r="AH56" s="470"/>
      <c r="AI56" s="470"/>
      <c r="AJ56" s="470"/>
      <c r="AK56" s="470"/>
      <c r="AL56" s="470"/>
      <c r="AM56" s="470"/>
      <c r="AN56" s="470"/>
      <c r="AO56" s="470"/>
      <c r="AP56" s="470"/>
      <c r="AQ56" s="470"/>
      <c r="AR56" s="470"/>
      <c r="AS56" s="470"/>
      <c r="AT56" s="470"/>
      <c r="AU56" s="470"/>
      <c r="AV56" s="470"/>
      <c r="AW56" s="470"/>
      <c r="AX56" s="742"/>
      <c r="BC56" s="97"/>
      <c r="BD56" s="97"/>
      <c r="BE56" s="97"/>
      <c r="BF56" s="97"/>
      <c r="BG56" s="97"/>
      <c r="BH56" s="97"/>
      <c r="BI56" s="97"/>
      <c r="BJ56" s="97"/>
      <c r="BK56" s="97"/>
      <c r="BL56" s="97"/>
      <c r="BM56" s="97"/>
      <c r="BN56" s="97"/>
      <c r="BO56" s="97"/>
      <c r="BP56" s="97"/>
      <c r="BQ56" s="97"/>
      <c r="BR56" s="97"/>
      <c r="BS56" s="97"/>
      <c r="BT56" s="97"/>
      <c r="BU56" s="97"/>
      <c r="BV56" s="97"/>
      <c r="BW56" s="97"/>
      <c r="BX56" s="97"/>
      <c r="BY56" s="97"/>
      <c r="BZ56" s="97"/>
      <c r="CA56" s="97"/>
      <c r="CB56" s="97"/>
      <c r="CC56" s="97"/>
      <c r="CD56" s="97"/>
      <c r="CE56" s="97"/>
      <c r="CF56" s="97"/>
      <c r="CG56" s="468"/>
      <c r="CH56" s="468"/>
      <c r="CI56" s="468"/>
    </row>
    <row r="57" spans="1:87" s="100" customFormat="1" ht="15.75" customHeight="1">
      <c r="A57" s="46"/>
      <c r="B57" s="97"/>
      <c r="C57" s="463" t="s">
        <v>683</v>
      </c>
      <c r="D57" s="464"/>
      <c r="E57" s="465"/>
      <c r="F57" s="464"/>
      <c r="G57" s="464"/>
      <c r="H57" s="464"/>
      <c r="I57" s="464"/>
      <c r="J57" s="464"/>
      <c r="K57" s="464"/>
      <c r="L57" s="464"/>
      <c r="M57" s="464"/>
      <c r="N57" s="464"/>
      <c r="O57" s="464"/>
      <c r="P57" s="464"/>
      <c r="Q57" s="741"/>
      <c r="R57" s="97"/>
      <c r="S57" s="97"/>
      <c r="T57" s="97"/>
      <c r="U57" s="97"/>
      <c r="V57" s="97"/>
      <c r="W57" s="97"/>
      <c r="X57" s="97"/>
      <c r="Y57" s="97"/>
      <c r="Z57" s="97"/>
      <c r="AA57" s="97"/>
      <c r="AB57" s="97"/>
      <c r="AC57" s="97"/>
      <c r="AD57" s="97"/>
      <c r="AE57" s="470"/>
      <c r="AF57" s="470"/>
      <c r="AG57" s="470"/>
      <c r="AH57" s="470"/>
      <c r="AI57" s="470"/>
      <c r="AJ57" s="470"/>
      <c r="AK57" s="470"/>
      <c r="AL57" s="470"/>
      <c r="AM57" s="470"/>
      <c r="AN57" s="470"/>
      <c r="AO57" s="470"/>
      <c r="AP57" s="470"/>
      <c r="AQ57" s="470"/>
      <c r="AR57" s="470"/>
      <c r="AS57" s="470"/>
      <c r="AT57" s="470"/>
      <c r="AU57" s="470"/>
      <c r="AV57" s="470"/>
      <c r="AW57" s="470"/>
      <c r="AX57" s="742"/>
      <c r="BC57" s="97"/>
      <c r="BD57" s="97"/>
      <c r="BE57" s="97"/>
      <c r="BF57" s="97"/>
      <c r="BG57" s="97"/>
      <c r="BH57" s="97"/>
      <c r="BI57" s="97"/>
      <c r="BJ57" s="97"/>
      <c r="BK57" s="97"/>
      <c r="BL57" s="97"/>
      <c r="BM57" s="97"/>
      <c r="BN57" s="97"/>
      <c r="BO57" s="97"/>
      <c r="BP57" s="97"/>
      <c r="BQ57" s="97"/>
      <c r="BR57" s="97"/>
      <c r="BS57" s="97"/>
      <c r="BT57" s="97"/>
      <c r="BU57" s="97"/>
      <c r="BV57" s="97"/>
      <c r="BW57" s="97"/>
      <c r="BX57" s="97"/>
      <c r="BY57" s="97"/>
      <c r="BZ57" s="97"/>
      <c r="CA57" s="97"/>
      <c r="CB57" s="97"/>
      <c r="CC57" s="97"/>
      <c r="CD57" s="97"/>
      <c r="CE57" s="97"/>
      <c r="CF57" s="97"/>
      <c r="CG57" s="468"/>
      <c r="CH57" s="468"/>
      <c r="CI57" s="468"/>
    </row>
    <row r="58" spans="1:87" s="100" customFormat="1" ht="15.75" customHeight="1">
      <c r="A58" s="46"/>
      <c r="B58" s="97"/>
      <c r="C58" s="464"/>
      <c r="D58" s="464"/>
      <c r="E58" s="465"/>
      <c r="F58" s="464"/>
      <c r="G58" s="464"/>
      <c r="H58" s="464"/>
      <c r="I58" s="464"/>
      <c r="J58" s="464"/>
      <c r="K58" s="464"/>
      <c r="L58" s="464"/>
      <c r="M58" s="464"/>
      <c r="N58" s="464"/>
      <c r="O58" s="464"/>
      <c r="P58" s="464"/>
      <c r="Q58" s="741"/>
      <c r="R58" s="97"/>
      <c r="S58" s="97"/>
      <c r="T58" s="97"/>
      <c r="U58" s="97"/>
      <c r="V58" s="97"/>
      <c r="W58" s="97"/>
      <c r="X58" s="97"/>
      <c r="Y58" s="97"/>
      <c r="Z58" s="97"/>
      <c r="AA58" s="97"/>
      <c r="AB58" s="97"/>
      <c r="AC58" s="97"/>
      <c r="AD58" s="97"/>
      <c r="AE58" s="470"/>
      <c r="AF58" s="470"/>
      <c r="AG58" s="470"/>
      <c r="AH58" s="470"/>
      <c r="AI58" s="470"/>
      <c r="AJ58" s="470"/>
      <c r="AK58" s="470"/>
      <c r="AL58" s="470"/>
      <c r="AM58" s="470"/>
      <c r="AN58" s="470"/>
      <c r="AO58" s="470"/>
      <c r="AP58" s="470"/>
      <c r="AQ58" s="470"/>
      <c r="AR58" s="470"/>
      <c r="AS58" s="470"/>
      <c r="AT58" s="470"/>
      <c r="AU58" s="470"/>
      <c r="AV58" s="470"/>
      <c r="AW58" s="470"/>
      <c r="AX58" s="742"/>
      <c r="BC58" s="97"/>
      <c r="BD58" s="97"/>
      <c r="BE58" s="97"/>
      <c r="BF58" s="97"/>
      <c r="BG58" s="97"/>
      <c r="BH58" s="97"/>
      <c r="BI58" s="97"/>
      <c r="BJ58" s="97"/>
      <c r="BK58" s="97"/>
      <c r="BL58" s="97"/>
      <c r="BM58" s="97"/>
      <c r="BN58" s="97"/>
      <c r="BO58" s="97"/>
      <c r="BP58" s="97"/>
      <c r="BQ58" s="97"/>
      <c r="BR58" s="97"/>
      <c r="BS58" s="97"/>
      <c r="BT58" s="97"/>
      <c r="BU58" s="97"/>
      <c r="BV58" s="97"/>
      <c r="BW58" s="97"/>
      <c r="BX58" s="97"/>
      <c r="BY58" s="97"/>
      <c r="BZ58" s="97"/>
      <c r="CA58" s="97"/>
      <c r="CB58" s="97"/>
      <c r="CC58" s="97"/>
      <c r="CD58" s="97"/>
      <c r="CE58" s="97"/>
      <c r="CF58" s="97"/>
      <c r="CG58" s="468"/>
      <c r="CH58" s="468"/>
      <c r="CI58" s="468"/>
    </row>
    <row r="59" spans="1:87" s="100" customFormat="1" ht="15.75" customHeight="1">
      <c r="A59" s="46"/>
      <c r="B59" s="97"/>
      <c r="C59" s="464"/>
      <c r="D59" s="464"/>
      <c r="E59" s="465"/>
      <c r="F59" s="464"/>
      <c r="G59" s="464"/>
      <c r="H59" s="464"/>
      <c r="I59" s="464"/>
      <c r="J59" s="464"/>
      <c r="K59" s="464"/>
      <c r="L59" s="464"/>
      <c r="M59" s="464"/>
      <c r="N59" s="464"/>
      <c r="O59" s="464"/>
      <c r="P59" s="464"/>
      <c r="Q59" s="741"/>
      <c r="R59" s="97"/>
      <c r="S59" s="97"/>
      <c r="T59" s="97"/>
      <c r="U59" s="97"/>
      <c r="V59" s="97"/>
      <c r="W59" s="97"/>
      <c r="X59" s="97"/>
      <c r="Y59" s="97"/>
      <c r="Z59" s="97"/>
      <c r="AA59" s="97"/>
      <c r="AB59" s="97"/>
      <c r="AC59" s="97"/>
      <c r="AD59" s="97"/>
      <c r="AE59" s="470"/>
      <c r="AF59" s="470"/>
      <c r="AG59" s="470"/>
      <c r="AH59" s="470"/>
      <c r="AI59" s="470"/>
      <c r="AJ59" s="470"/>
      <c r="AK59" s="470"/>
      <c r="AL59" s="470"/>
      <c r="AM59" s="470"/>
      <c r="AN59" s="470"/>
      <c r="AO59" s="470"/>
      <c r="AP59" s="470"/>
      <c r="AQ59" s="470"/>
      <c r="AR59" s="470"/>
      <c r="AS59" s="470"/>
      <c r="AT59" s="470"/>
      <c r="AU59" s="470"/>
      <c r="AV59" s="470"/>
      <c r="AW59" s="470"/>
      <c r="AX59" s="742"/>
      <c r="BC59" s="97"/>
      <c r="BD59" s="97"/>
      <c r="BE59" s="97"/>
      <c r="BF59" s="97"/>
      <c r="BG59" s="97"/>
      <c r="BH59" s="97"/>
      <c r="BI59" s="97"/>
      <c r="BJ59" s="97"/>
      <c r="BK59" s="97"/>
      <c r="BL59" s="97"/>
      <c r="BM59" s="97"/>
      <c r="BN59" s="97"/>
      <c r="BO59" s="97"/>
      <c r="BP59" s="97"/>
      <c r="BQ59" s="97"/>
      <c r="BR59" s="97"/>
      <c r="BS59" s="97"/>
      <c r="BT59" s="97"/>
      <c r="BU59" s="97"/>
      <c r="BV59" s="97"/>
      <c r="BW59" s="97"/>
      <c r="BX59" s="97"/>
      <c r="BY59" s="97"/>
      <c r="BZ59" s="97"/>
      <c r="CA59" s="97"/>
      <c r="CB59" s="97"/>
      <c r="CC59" s="97"/>
      <c r="CD59" s="97"/>
      <c r="CE59" s="97"/>
      <c r="CF59" s="97"/>
      <c r="CG59" s="468"/>
      <c r="CH59" s="468"/>
      <c r="CI59" s="468"/>
    </row>
    <row r="60" spans="1:87" s="100" customFormat="1" ht="15.75" customHeight="1">
      <c r="A60" s="46"/>
      <c r="B60" s="97"/>
      <c r="C60" s="464"/>
      <c r="D60" s="464"/>
      <c r="E60" s="465"/>
      <c r="F60" s="464"/>
      <c r="G60" s="464"/>
      <c r="H60" s="464"/>
      <c r="I60" s="464"/>
      <c r="J60" s="464"/>
      <c r="K60" s="464"/>
      <c r="L60" s="464"/>
      <c r="M60" s="464"/>
      <c r="N60" s="464"/>
      <c r="O60" s="464"/>
      <c r="P60" s="464"/>
      <c r="Q60" s="741"/>
      <c r="R60" s="97"/>
      <c r="S60" s="97"/>
      <c r="T60" s="97"/>
      <c r="U60" s="97"/>
      <c r="V60" s="97"/>
      <c r="W60" s="97"/>
      <c r="X60" s="97"/>
      <c r="Y60" s="97"/>
      <c r="Z60" s="97"/>
      <c r="AA60" s="97"/>
      <c r="AB60" s="97"/>
      <c r="AC60" s="97"/>
      <c r="AD60" s="97"/>
      <c r="AE60" s="470"/>
      <c r="AF60" s="470"/>
      <c r="AG60" s="470"/>
      <c r="AH60" s="470"/>
      <c r="AI60" s="470"/>
      <c r="AJ60" s="470"/>
      <c r="AK60" s="470"/>
      <c r="AL60" s="470"/>
      <c r="AM60" s="470"/>
      <c r="AN60" s="470"/>
      <c r="AO60" s="470"/>
      <c r="AP60" s="470"/>
      <c r="AQ60" s="470"/>
      <c r="AR60" s="470"/>
      <c r="AS60" s="470"/>
      <c r="AT60" s="470"/>
      <c r="AU60" s="470"/>
      <c r="AV60" s="470"/>
      <c r="AW60" s="470"/>
      <c r="AX60" s="742"/>
      <c r="BC60" s="97"/>
      <c r="BD60" s="97"/>
      <c r="BE60" s="97"/>
      <c r="BF60" s="97"/>
      <c r="BG60" s="97"/>
      <c r="BH60" s="97"/>
      <c r="BI60" s="97"/>
      <c r="BJ60" s="97"/>
      <c r="BK60" s="97"/>
      <c r="BL60" s="97"/>
      <c r="BM60" s="97"/>
      <c r="BN60" s="97"/>
      <c r="BO60" s="97"/>
      <c r="BP60" s="97"/>
      <c r="BQ60" s="97"/>
      <c r="BR60" s="97"/>
      <c r="BS60" s="97"/>
      <c r="BT60" s="97"/>
      <c r="BU60" s="97"/>
      <c r="BV60" s="97"/>
      <c r="BW60" s="97"/>
      <c r="BX60" s="97"/>
      <c r="BY60" s="97"/>
      <c r="BZ60" s="97"/>
      <c r="CA60" s="97"/>
      <c r="CB60" s="97"/>
      <c r="CC60" s="97"/>
      <c r="CD60" s="97"/>
      <c r="CE60" s="97"/>
      <c r="CF60" s="97"/>
      <c r="CG60" s="468"/>
      <c r="CH60" s="468"/>
      <c r="CI60" s="468"/>
    </row>
    <row r="61" spans="1:87" s="100" customFormat="1" ht="15.75" customHeight="1">
      <c r="A61" s="46"/>
      <c r="B61" s="97"/>
      <c r="C61" s="464"/>
      <c r="D61" s="464"/>
      <c r="E61" s="465"/>
      <c r="F61" s="464"/>
      <c r="G61" s="464"/>
      <c r="H61" s="464"/>
      <c r="I61" s="464"/>
      <c r="J61" s="464"/>
      <c r="K61" s="464"/>
      <c r="L61" s="464"/>
      <c r="M61" s="464"/>
      <c r="N61" s="464"/>
      <c r="O61" s="464"/>
      <c r="P61" s="464"/>
      <c r="Q61" s="741"/>
      <c r="R61" s="97"/>
      <c r="S61" s="97"/>
      <c r="T61" s="97"/>
      <c r="U61" s="97"/>
      <c r="V61" s="97"/>
      <c r="W61" s="97"/>
      <c r="X61" s="97"/>
      <c r="Y61" s="97"/>
      <c r="Z61" s="97"/>
      <c r="AA61" s="97"/>
      <c r="AB61" s="97"/>
      <c r="AC61" s="97"/>
      <c r="AD61" s="97"/>
      <c r="AE61" s="470"/>
      <c r="AF61" s="470"/>
      <c r="AG61" s="470"/>
      <c r="AH61" s="470"/>
      <c r="AI61" s="470"/>
      <c r="AJ61" s="470"/>
      <c r="AK61" s="470"/>
      <c r="AL61" s="470"/>
      <c r="AM61" s="470"/>
      <c r="AN61" s="470"/>
      <c r="AO61" s="470"/>
      <c r="AP61" s="470"/>
      <c r="AQ61" s="470"/>
      <c r="AR61" s="470"/>
      <c r="AS61" s="470"/>
      <c r="AT61" s="470"/>
      <c r="AU61" s="470"/>
      <c r="AV61" s="470"/>
      <c r="AW61" s="470"/>
      <c r="AX61" s="742"/>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c r="CA61" s="97"/>
      <c r="CB61" s="97"/>
      <c r="CC61" s="97"/>
      <c r="CD61" s="97"/>
      <c r="CE61" s="97"/>
      <c r="CF61" s="97"/>
      <c r="CG61" s="468"/>
      <c r="CH61" s="468"/>
      <c r="CI61" s="468"/>
    </row>
    <row r="62" spans="1:87" s="100" customFormat="1" ht="15.75" customHeight="1">
      <c r="A62" s="46"/>
      <c r="B62" s="97"/>
      <c r="C62" s="464"/>
      <c r="D62" s="464"/>
      <c r="E62" s="465"/>
      <c r="F62" s="464"/>
      <c r="G62" s="464"/>
      <c r="H62" s="464"/>
      <c r="I62" s="464"/>
      <c r="J62" s="464"/>
      <c r="K62" s="464"/>
      <c r="L62" s="464"/>
      <c r="M62" s="464"/>
      <c r="N62" s="464"/>
      <c r="O62" s="464"/>
      <c r="P62" s="464"/>
      <c r="Q62" s="741"/>
      <c r="R62" s="97"/>
      <c r="S62" s="97"/>
      <c r="T62" s="97"/>
      <c r="U62" s="97"/>
      <c r="V62" s="97"/>
      <c r="W62" s="97"/>
      <c r="X62" s="97"/>
      <c r="Y62" s="97"/>
      <c r="Z62" s="97"/>
      <c r="AA62" s="97"/>
      <c r="AB62" s="97"/>
      <c r="AC62" s="97"/>
      <c r="AD62" s="97"/>
      <c r="AE62" s="470"/>
      <c r="AF62" s="470"/>
      <c r="AG62" s="470"/>
      <c r="AH62" s="470"/>
      <c r="AI62" s="470"/>
      <c r="AJ62" s="470"/>
      <c r="AK62" s="470"/>
      <c r="AL62" s="470"/>
      <c r="AM62" s="470"/>
      <c r="AN62" s="470"/>
      <c r="AO62" s="470"/>
      <c r="AP62" s="470"/>
      <c r="AQ62" s="470"/>
      <c r="AR62" s="470"/>
      <c r="AS62" s="470"/>
      <c r="AT62" s="470"/>
      <c r="AU62" s="470"/>
      <c r="AV62" s="470"/>
      <c r="AW62" s="470"/>
      <c r="AX62" s="742"/>
      <c r="BC62" s="97"/>
      <c r="BD62" s="97"/>
      <c r="BE62" s="97"/>
      <c r="BF62" s="97"/>
      <c r="BG62" s="97"/>
      <c r="BH62" s="97"/>
      <c r="BI62" s="97"/>
      <c r="BJ62" s="97"/>
      <c r="BK62" s="97"/>
      <c r="BL62" s="97"/>
      <c r="BM62" s="97"/>
      <c r="BN62" s="97"/>
      <c r="BO62" s="97"/>
      <c r="BP62" s="97"/>
      <c r="BQ62" s="97"/>
      <c r="BR62" s="97"/>
      <c r="BS62" s="97"/>
      <c r="BT62" s="97"/>
      <c r="BU62" s="97"/>
      <c r="BV62" s="97"/>
      <c r="BW62" s="97"/>
      <c r="BX62" s="97"/>
      <c r="BY62" s="97"/>
      <c r="BZ62" s="97"/>
      <c r="CA62" s="97"/>
      <c r="CB62" s="97"/>
      <c r="CC62" s="97"/>
      <c r="CD62" s="97"/>
      <c r="CE62" s="97"/>
      <c r="CF62" s="97"/>
      <c r="CG62" s="468"/>
      <c r="CH62" s="468"/>
      <c r="CI62" s="468"/>
    </row>
    <row r="63" spans="1:87" s="100" customFormat="1" ht="15.75" customHeight="1">
      <c r="A63" s="46"/>
      <c r="B63" s="97"/>
      <c r="C63" s="464"/>
      <c r="D63" s="464"/>
      <c r="E63" s="465"/>
      <c r="F63" s="464"/>
      <c r="G63" s="464"/>
      <c r="H63" s="464"/>
      <c r="I63" s="464"/>
      <c r="J63" s="464"/>
      <c r="K63" s="464"/>
      <c r="L63" s="464"/>
      <c r="M63" s="464"/>
      <c r="N63" s="464"/>
      <c r="O63" s="464"/>
      <c r="P63" s="464"/>
      <c r="Q63" s="741"/>
      <c r="R63" s="97"/>
      <c r="S63" s="97"/>
      <c r="T63" s="97"/>
      <c r="U63" s="97"/>
      <c r="V63" s="97"/>
      <c r="W63" s="97"/>
      <c r="X63" s="97"/>
      <c r="Y63" s="97"/>
      <c r="Z63" s="97"/>
      <c r="AA63" s="97"/>
      <c r="AB63" s="97"/>
      <c r="AC63" s="97"/>
      <c r="AD63" s="97"/>
      <c r="AE63" s="470"/>
      <c r="AF63" s="470"/>
      <c r="AG63" s="470"/>
      <c r="AH63" s="470"/>
      <c r="AI63" s="470"/>
      <c r="AJ63" s="470"/>
      <c r="AK63" s="470"/>
      <c r="AL63" s="470"/>
      <c r="AM63" s="470"/>
      <c r="AN63" s="470"/>
      <c r="AO63" s="470"/>
      <c r="AP63" s="470"/>
      <c r="AQ63" s="470"/>
      <c r="AR63" s="470"/>
      <c r="AS63" s="470"/>
      <c r="AT63" s="470"/>
      <c r="AU63" s="470"/>
      <c r="AV63" s="470"/>
      <c r="AW63" s="470"/>
      <c r="AX63" s="742"/>
      <c r="BC63" s="97"/>
      <c r="BD63" s="97"/>
      <c r="BE63" s="97"/>
      <c r="BF63" s="97"/>
      <c r="BG63" s="97"/>
      <c r="BH63" s="97"/>
      <c r="BI63" s="97"/>
      <c r="BJ63" s="97"/>
      <c r="BK63" s="97"/>
      <c r="BL63" s="97"/>
      <c r="BM63" s="97"/>
      <c r="BN63" s="97"/>
      <c r="BO63" s="97"/>
      <c r="BP63" s="97"/>
      <c r="BQ63" s="97"/>
      <c r="BR63" s="97"/>
      <c r="BS63" s="97"/>
      <c r="BT63" s="97"/>
      <c r="BU63" s="97"/>
      <c r="BV63" s="97"/>
      <c r="BW63" s="97"/>
      <c r="BX63" s="97"/>
      <c r="BY63" s="97"/>
      <c r="BZ63" s="97"/>
      <c r="CA63" s="97"/>
      <c r="CB63" s="97"/>
      <c r="CC63" s="97"/>
      <c r="CD63" s="97"/>
      <c r="CE63" s="97"/>
      <c r="CF63" s="97"/>
      <c r="CG63" s="468"/>
      <c r="CH63" s="468"/>
      <c r="CI63" s="468"/>
    </row>
    <row r="64" spans="1:87" s="100" customFormat="1" ht="15.75" customHeight="1">
      <c r="A64" s="46"/>
      <c r="B64" s="97"/>
      <c r="C64" s="464"/>
      <c r="D64" s="464"/>
      <c r="E64" s="465"/>
      <c r="F64" s="464"/>
      <c r="G64" s="464"/>
      <c r="H64" s="464"/>
      <c r="I64" s="464"/>
      <c r="J64" s="464"/>
      <c r="K64" s="464"/>
      <c r="L64" s="464"/>
      <c r="M64" s="464"/>
      <c r="N64" s="464"/>
      <c r="O64" s="464"/>
      <c r="P64" s="464"/>
      <c r="Q64" s="741"/>
      <c r="R64" s="97"/>
      <c r="S64" s="97"/>
      <c r="T64" s="97"/>
      <c r="U64" s="97"/>
      <c r="V64" s="97"/>
      <c r="W64" s="97"/>
      <c r="X64" s="97"/>
      <c r="Y64" s="97"/>
      <c r="Z64" s="97"/>
      <c r="AA64" s="97"/>
      <c r="AB64" s="97"/>
      <c r="AC64" s="97"/>
      <c r="AD64" s="97"/>
      <c r="AE64" s="470"/>
      <c r="AF64" s="470"/>
      <c r="AG64" s="470"/>
      <c r="AH64" s="470"/>
      <c r="AI64" s="470"/>
      <c r="AJ64" s="470"/>
      <c r="AK64" s="470"/>
      <c r="AL64" s="470"/>
      <c r="AM64" s="470"/>
      <c r="AN64" s="470"/>
      <c r="AO64" s="470"/>
      <c r="AP64" s="470"/>
      <c r="AQ64" s="470"/>
      <c r="AR64" s="470"/>
      <c r="AS64" s="470"/>
      <c r="AT64" s="470"/>
      <c r="AU64" s="470"/>
      <c r="AV64" s="470"/>
      <c r="AW64" s="470"/>
      <c r="AX64" s="742"/>
      <c r="BC64" s="97"/>
      <c r="BD64" s="97"/>
      <c r="BE64" s="97"/>
      <c r="BF64" s="97"/>
      <c r="BG64" s="97"/>
      <c r="BH64" s="97"/>
      <c r="BI64" s="97"/>
      <c r="BJ64" s="97"/>
      <c r="BK64" s="97"/>
      <c r="BL64" s="97"/>
      <c r="BM64" s="97"/>
      <c r="BN64" s="97"/>
      <c r="BO64" s="97"/>
      <c r="BP64" s="97"/>
      <c r="BQ64" s="97"/>
      <c r="BR64" s="97"/>
      <c r="BS64" s="97"/>
      <c r="BT64" s="97"/>
      <c r="BU64" s="97"/>
      <c r="BV64" s="97"/>
      <c r="BW64" s="97"/>
      <c r="BX64" s="97"/>
      <c r="BY64" s="97"/>
      <c r="BZ64" s="97"/>
      <c r="CA64" s="97"/>
      <c r="CB64" s="97"/>
      <c r="CC64" s="97"/>
      <c r="CD64" s="97"/>
      <c r="CE64" s="97"/>
      <c r="CF64" s="97"/>
      <c r="CG64" s="468"/>
      <c r="CH64" s="468"/>
      <c r="CI64" s="468"/>
    </row>
    <row r="65" spans="1:87" s="100" customFormat="1" ht="15.75" customHeight="1">
      <c r="A65" s="46"/>
      <c r="B65" s="97"/>
      <c r="C65" s="472"/>
      <c r="D65" s="472"/>
      <c r="E65" s="473"/>
      <c r="F65" s="472"/>
      <c r="G65" s="472"/>
      <c r="H65" s="472"/>
      <c r="I65" s="472"/>
      <c r="J65" s="472"/>
      <c r="K65" s="472"/>
      <c r="L65" s="472"/>
      <c r="M65" s="472"/>
      <c r="N65" s="472"/>
      <c r="O65" s="472"/>
      <c r="P65" s="472"/>
      <c r="Q65" s="741"/>
      <c r="R65" s="467" t="s">
        <v>1058</v>
      </c>
      <c r="S65" s="470"/>
      <c r="T65" s="470"/>
      <c r="U65" s="470"/>
      <c r="V65" s="470"/>
      <c r="W65" s="470"/>
      <c r="X65" s="470"/>
      <c r="Y65" s="470"/>
      <c r="Z65" s="470"/>
      <c r="AA65" s="470"/>
      <c r="AB65" s="470"/>
      <c r="AC65" s="470"/>
      <c r="AD65" s="470"/>
      <c r="AE65" s="470"/>
      <c r="AF65" s="470"/>
      <c r="AG65" s="470"/>
      <c r="AH65" s="470"/>
      <c r="AI65" s="470"/>
      <c r="AJ65" s="470"/>
      <c r="AK65" s="470"/>
      <c r="AL65" s="470"/>
      <c r="AM65" s="470"/>
      <c r="AN65" s="470"/>
      <c r="AO65" s="470"/>
      <c r="AP65" s="470"/>
      <c r="AQ65" s="470"/>
      <c r="AR65" s="470"/>
      <c r="AS65" s="470"/>
      <c r="AT65" s="470"/>
      <c r="AU65" s="470"/>
      <c r="AV65" s="470"/>
      <c r="AW65" s="470"/>
      <c r="AX65" s="742"/>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97"/>
      <c r="CA65" s="97"/>
      <c r="CB65" s="97"/>
      <c r="CC65" s="97"/>
      <c r="CD65" s="97"/>
      <c r="CE65" s="97"/>
      <c r="CF65" s="97"/>
      <c r="CG65" s="468"/>
      <c r="CH65" s="468"/>
      <c r="CI65" s="468"/>
    </row>
    <row r="66" spans="1:87" s="100" customFormat="1" ht="15.75" customHeight="1">
      <c r="A66" s="46"/>
      <c r="B66" s="97"/>
      <c r="C66" s="472"/>
      <c r="D66" s="472"/>
      <c r="E66" s="473"/>
      <c r="F66" s="472"/>
      <c r="G66" s="472"/>
      <c r="H66" s="472"/>
      <c r="I66" s="472"/>
      <c r="J66" s="472"/>
      <c r="K66" s="472"/>
      <c r="L66" s="472"/>
      <c r="M66" s="472"/>
      <c r="N66" s="472"/>
      <c r="O66" s="472"/>
      <c r="P66" s="472"/>
      <c r="Q66" s="472"/>
      <c r="R66" s="470"/>
      <c r="S66" s="470"/>
      <c r="T66" s="470"/>
      <c r="U66" s="470"/>
      <c r="V66" s="470"/>
      <c r="W66" s="470"/>
      <c r="X66" s="470"/>
      <c r="Y66" s="470"/>
      <c r="Z66" s="470"/>
      <c r="AA66" s="470"/>
      <c r="AB66" s="470"/>
      <c r="AC66" s="470"/>
      <c r="AD66" s="470"/>
      <c r="AE66" s="470"/>
      <c r="AF66" s="470"/>
      <c r="AG66" s="470"/>
      <c r="AH66" s="470"/>
      <c r="AI66" s="470"/>
      <c r="AJ66" s="470"/>
      <c r="AK66" s="470"/>
      <c r="AL66" s="470"/>
      <c r="AM66" s="470"/>
      <c r="AN66" s="470"/>
      <c r="AO66" s="470"/>
      <c r="AP66" s="470"/>
      <c r="AQ66" s="470"/>
      <c r="AR66" s="470"/>
      <c r="AS66" s="470"/>
      <c r="AT66" s="470"/>
      <c r="AU66" s="470"/>
      <c r="AV66" s="470"/>
      <c r="AW66" s="470"/>
      <c r="AX66" s="742"/>
      <c r="BC66" s="97"/>
      <c r="BD66" s="97"/>
      <c r="BE66" s="97"/>
      <c r="BF66" s="97"/>
      <c r="BG66" s="97"/>
      <c r="BH66" s="97"/>
      <c r="BI66" s="97"/>
      <c r="BJ66" s="97"/>
      <c r="BK66" s="97"/>
      <c r="BL66" s="97"/>
      <c r="BM66" s="97"/>
      <c r="BN66" s="97"/>
      <c r="BO66" s="97"/>
      <c r="BP66" s="97"/>
      <c r="BQ66" s="97"/>
      <c r="BR66" s="97"/>
      <c r="BS66" s="97"/>
      <c r="BT66" s="97"/>
      <c r="BU66" s="97"/>
      <c r="BV66" s="97"/>
      <c r="BW66" s="97"/>
      <c r="BX66" s="97"/>
      <c r="BY66" s="97"/>
      <c r="BZ66" s="97"/>
      <c r="CA66" s="97"/>
      <c r="CB66" s="97"/>
      <c r="CC66" s="97"/>
      <c r="CD66" s="97"/>
      <c r="CE66" s="97"/>
      <c r="CF66" s="97"/>
      <c r="CG66" s="468"/>
      <c r="CH66" s="468"/>
      <c r="CI66" s="468"/>
    </row>
    <row r="67" spans="1:87" s="100" customFormat="1" ht="15.75" customHeight="1">
      <c r="A67" s="46"/>
      <c r="B67" s="97"/>
      <c r="C67" s="472"/>
      <c r="D67" s="472"/>
      <c r="E67" s="473"/>
      <c r="F67" s="472"/>
      <c r="G67" s="472"/>
      <c r="H67" s="472"/>
      <c r="I67" s="472"/>
      <c r="J67" s="472"/>
      <c r="K67" s="472"/>
      <c r="L67" s="472"/>
      <c r="M67" s="472"/>
      <c r="N67" s="472"/>
      <c r="O67" s="472"/>
      <c r="P67" s="472"/>
      <c r="Q67" s="472"/>
      <c r="R67" s="470"/>
      <c r="S67" s="470"/>
      <c r="T67" s="470"/>
      <c r="U67" s="470"/>
      <c r="V67" s="470"/>
      <c r="W67" s="470"/>
      <c r="X67" s="470"/>
      <c r="Y67" s="470"/>
      <c r="Z67" s="470"/>
      <c r="AA67" s="470"/>
      <c r="AB67" s="470"/>
      <c r="AC67" s="470"/>
      <c r="AD67" s="470"/>
      <c r="AE67" s="470"/>
      <c r="AF67" s="470"/>
      <c r="AG67" s="470"/>
      <c r="AH67" s="470"/>
      <c r="AI67" s="470"/>
      <c r="AJ67" s="470"/>
      <c r="AK67" s="470"/>
      <c r="AL67" s="470"/>
      <c r="AM67" s="470"/>
      <c r="AN67" s="470"/>
      <c r="AO67" s="470"/>
      <c r="AP67" s="470"/>
      <c r="AQ67" s="470"/>
      <c r="AR67" s="470"/>
      <c r="AS67" s="470"/>
      <c r="AT67" s="470"/>
      <c r="AU67" s="470"/>
      <c r="AV67" s="470"/>
      <c r="AW67" s="470"/>
      <c r="AX67" s="742"/>
      <c r="BC67" s="97"/>
      <c r="BD67" s="97"/>
      <c r="BE67" s="97"/>
      <c r="BF67" s="97"/>
      <c r="BG67" s="97"/>
      <c r="BH67" s="97"/>
      <c r="BI67" s="97"/>
      <c r="BJ67" s="97"/>
      <c r="BK67" s="97"/>
      <c r="BL67" s="97"/>
      <c r="BM67" s="97"/>
      <c r="BN67" s="97"/>
      <c r="BO67" s="97"/>
      <c r="BP67" s="97"/>
      <c r="BQ67" s="97"/>
      <c r="BR67" s="97"/>
      <c r="BS67" s="97"/>
      <c r="BT67" s="97"/>
      <c r="BU67" s="97"/>
      <c r="BV67" s="97"/>
      <c r="BW67" s="97"/>
      <c r="BX67" s="97"/>
      <c r="BY67" s="97"/>
      <c r="BZ67" s="97"/>
      <c r="CA67" s="97"/>
      <c r="CB67" s="97"/>
      <c r="CC67" s="97"/>
      <c r="CD67" s="97"/>
      <c r="CE67" s="97"/>
      <c r="CF67" s="97"/>
      <c r="CG67" s="468"/>
      <c r="CH67" s="468"/>
      <c r="CI67" s="468"/>
    </row>
    <row r="68" spans="1:87" s="100" customFormat="1" ht="15.75" customHeight="1">
      <c r="A68" s="46"/>
      <c r="B68" s="97"/>
      <c r="C68" s="472"/>
      <c r="D68" s="472"/>
      <c r="E68" s="473"/>
      <c r="F68" s="472"/>
      <c r="G68" s="472"/>
      <c r="H68" s="472"/>
      <c r="I68" s="472"/>
      <c r="J68" s="472"/>
      <c r="K68" s="472"/>
      <c r="L68" s="472"/>
      <c r="M68" s="472"/>
      <c r="N68" s="472"/>
      <c r="O68" s="472"/>
      <c r="P68" s="472"/>
      <c r="Q68" s="472"/>
      <c r="R68" s="470"/>
      <c r="S68" s="470"/>
      <c r="T68" s="470"/>
      <c r="U68" s="470"/>
      <c r="V68" s="470"/>
      <c r="W68" s="470"/>
      <c r="X68" s="470"/>
      <c r="Y68" s="470"/>
      <c r="Z68" s="470"/>
      <c r="AA68" s="470"/>
      <c r="AB68" s="470"/>
      <c r="AC68" s="470"/>
      <c r="AD68" s="470"/>
      <c r="AE68" s="470"/>
      <c r="AF68" s="470"/>
      <c r="AG68" s="470"/>
      <c r="AH68" s="470"/>
      <c r="AI68" s="470"/>
      <c r="AJ68" s="470"/>
      <c r="AK68" s="470"/>
      <c r="AL68" s="470"/>
      <c r="AM68" s="470"/>
      <c r="AN68" s="470"/>
      <c r="AO68" s="470"/>
      <c r="AP68" s="470"/>
      <c r="AQ68" s="470"/>
      <c r="AR68" s="470"/>
      <c r="AS68" s="470"/>
      <c r="AT68" s="470"/>
      <c r="AU68" s="470"/>
      <c r="AV68" s="470"/>
      <c r="AW68" s="470"/>
      <c r="AX68" s="742"/>
      <c r="BC68" s="97"/>
      <c r="BD68" s="97"/>
      <c r="BE68" s="97"/>
      <c r="BF68" s="97"/>
      <c r="BG68" s="97"/>
      <c r="BH68" s="97"/>
      <c r="BI68" s="97"/>
      <c r="BJ68" s="97"/>
      <c r="BK68" s="97"/>
      <c r="BL68" s="97"/>
      <c r="BM68" s="97"/>
      <c r="BN68" s="97"/>
      <c r="BO68" s="97"/>
      <c r="BP68" s="97"/>
      <c r="BQ68" s="97"/>
      <c r="BR68" s="97"/>
      <c r="BS68" s="97"/>
      <c r="BT68" s="97"/>
      <c r="BU68" s="97"/>
      <c r="BV68" s="97"/>
      <c r="BW68" s="97"/>
      <c r="BX68" s="97"/>
      <c r="BY68" s="97"/>
      <c r="BZ68" s="97"/>
      <c r="CA68" s="97"/>
      <c r="CB68" s="97"/>
      <c r="CC68" s="97"/>
      <c r="CD68" s="97"/>
      <c r="CE68" s="97"/>
      <c r="CF68" s="97"/>
      <c r="CG68" s="468"/>
      <c r="CH68" s="468"/>
      <c r="CI68" s="468"/>
    </row>
    <row r="69" spans="1:87" s="100" customFormat="1" ht="15.75" customHeight="1">
      <c r="A69" s="46"/>
      <c r="B69" s="97"/>
      <c r="C69" s="472"/>
      <c r="D69" s="472"/>
      <c r="E69" s="472"/>
      <c r="F69" s="472"/>
      <c r="G69" s="472"/>
      <c r="H69" s="472"/>
      <c r="I69" s="472"/>
      <c r="J69" s="472"/>
      <c r="K69" s="472"/>
      <c r="L69" s="472"/>
      <c r="M69" s="472"/>
      <c r="N69" s="472"/>
      <c r="O69" s="472"/>
      <c r="P69" s="472"/>
      <c r="Q69" s="472"/>
      <c r="R69" s="470"/>
      <c r="S69" s="470"/>
      <c r="T69" s="470"/>
      <c r="U69" s="470"/>
      <c r="V69" s="470"/>
      <c r="W69" s="470"/>
      <c r="X69" s="470"/>
      <c r="Y69" s="470"/>
      <c r="Z69" s="470"/>
      <c r="AA69" s="470"/>
      <c r="AB69" s="470"/>
      <c r="AC69" s="470"/>
      <c r="AD69" s="470"/>
      <c r="AE69" s="470"/>
      <c r="AF69" s="470"/>
      <c r="AG69" s="470"/>
      <c r="AH69" s="470"/>
      <c r="AI69" s="470"/>
      <c r="AJ69" s="470"/>
      <c r="AK69" s="470"/>
      <c r="AL69" s="470"/>
      <c r="AM69" s="470"/>
      <c r="AN69" s="470"/>
      <c r="AO69" s="470"/>
      <c r="AP69" s="470"/>
      <c r="AQ69" s="470"/>
      <c r="AR69" s="470"/>
      <c r="AS69" s="470"/>
      <c r="AT69" s="470"/>
      <c r="AU69" s="470"/>
      <c r="AV69" s="470"/>
      <c r="AW69" s="470"/>
      <c r="AX69" s="742"/>
      <c r="BC69" s="97"/>
      <c r="BD69" s="97"/>
      <c r="BE69" s="97"/>
      <c r="BF69" s="97"/>
      <c r="BG69" s="97"/>
      <c r="BH69" s="97"/>
      <c r="BI69" s="97"/>
      <c r="BJ69" s="97"/>
      <c r="BK69" s="97"/>
      <c r="BL69" s="97"/>
      <c r="BM69" s="97"/>
      <c r="BN69" s="97"/>
      <c r="BO69" s="97"/>
      <c r="BP69" s="97"/>
      <c r="BQ69" s="97"/>
      <c r="BR69" s="97"/>
      <c r="BS69" s="97"/>
      <c r="BT69" s="97"/>
      <c r="BU69" s="97"/>
      <c r="BV69" s="97"/>
      <c r="BW69" s="97"/>
      <c r="BX69" s="97"/>
      <c r="BY69" s="97"/>
      <c r="BZ69" s="97"/>
      <c r="CA69" s="97"/>
      <c r="CB69" s="97"/>
      <c r="CC69" s="97"/>
      <c r="CD69" s="97"/>
      <c r="CE69" s="97"/>
      <c r="CF69" s="97"/>
      <c r="CG69" s="468"/>
      <c r="CH69" s="468"/>
      <c r="CI69" s="468"/>
    </row>
    <row r="70" spans="1:87" s="100" customFormat="1" ht="15.75" customHeight="1">
      <c r="A70" s="46"/>
      <c r="B70" s="97"/>
      <c r="C70" s="472"/>
      <c r="D70" s="472"/>
      <c r="E70" s="472"/>
      <c r="F70" s="472"/>
      <c r="G70" s="472"/>
      <c r="H70" s="472"/>
      <c r="I70" s="472"/>
      <c r="J70" s="472"/>
      <c r="K70" s="472"/>
      <c r="L70" s="472"/>
      <c r="M70" s="472"/>
      <c r="N70" s="472"/>
      <c r="O70" s="472"/>
      <c r="P70" s="472"/>
      <c r="Q70" s="472"/>
      <c r="R70" s="470"/>
      <c r="S70" s="470"/>
      <c r="T70" s="470"/>
      <c r="U70" s="470"/>
      <c r="V70" s="470"/>
      <c r="W70" s="470"/>
      <c r="X70" s="470"/>
      <c r="Y70" s="470"/>
      <c r="Z70" s="470"/>
      <c r="AA70" s="470"/>
      <c r="AB70" s="470"/>
      <c r="AC70" s="470"/>
      <c r="AD70" s="470"/>
      <c r="AE70" s="470"/>
      <c r="AF70" s="470"/>
      <c r="AG70" s="470"/>
      <c r="AH70" s="470"/>
      <c r="AI70" s="470"/>
      <c r="AJ70" s="470"/>
      <c r="AK70" s="470"/>
      <c r="AL70" s="470"/>
      <c r="AM70" s="470"/>
      <c r="AN70" s="470"/>
      <c r="AO70" s="470"/>
      <c r="AP70" s="470"/>
      <c r="AQ70" s="470"/>
      <c r="AR70" s="470"/>
      <c r="AS70" s="470"/>
      <c r="AT70" s="470"/>
      <c r="AU70" s="470"/>
      <c r="AV70" s="470"/>
      <c r="AW70" s="470"/>
      <c r="AX70" s="742"/>
      <c r="BC70" s="97"/>
      <c r="BD70" s="97"/>
      <c r="BE70" s="97"/>
      <c r="BF70" s="97"/>
      <c r="BG70" s="97"/>
      <c r="BH70" s="97"/>
      <c r="BI70" s="97"/>
      <c r="BJ70" s="97"/>
      <c r="BK70" s="97"/>
      <c r="BL70" s="97"/>
      <c r="BM70" s="97"/>
      <c r="BN70" s="97"/>
      <c r="BO70" s="97"/>
      <c r="BP70" s="97"/>
      <c r="BQ70" s="97"/>
      <c r="BR70" s="97"/>
      <c r="BS70" s="97"/>
      <c r="BT70" s="97"/>
      <c r="BU70" s="97"/>
      <c r="BV70" s="97"/>
      <c r="BW70" s="97"/>
      <c r="BX70" s="97"/>
      <c r="BY70" s="97"/>
      <c r="BZ70" s="97"/>
      <c r="CA70" s="97"/>
      <c r="CB70" s="97"/>
      <c r="CC70" s="97"/>
      <c r="CD70" s="97"/>
      <c r="CE70" s="97"/>
      <c r="CF70" s="97"/>
      <c r="CG70" s="468"/>
      <c r="CH70" s="468"/>
      <c r="CI70" s="468"/>
    </row>
    <row r="71" spans="1:87" s="100" customFormat="1" ht="15.75" customHeight="1">
      <c r="A71" s="46"/>
      <c r="B71" s="97"/>
      <c r="C71" s="472"/>
      <c r="D71" s="472"/>
      <c r="E71" s="472"/>
      <c r="F71" s="472"/>
      <c r="G71" s="472"/>
      <c r="H71" s="472"/>
      <c r="I71" s="472"/>
      <c r="J71" s="472"/>
      <c r="K71" s="472"/>
      <c r="L71" s="472"/>
      <c r="M71" s="472"/>
      <c r="N71" s="472"/>
      <c r="O71" s="472"/>
      <c r="P71" s="472"/>
      <c r="Q71" s="472"/>
      <c r="R71" s="721"/>
      <c r="S71" s="721"/>
      <c r="T71" s="721"/>
      <c r="U71" s="721"/>
      <c r="V71" s="721"/>
      <c r="W71" s="721"/>
      <c r="X71" s="721"/>
      <c r="Y71" s="721"/>
      <c r="Z71" s="97"/>
      <c r="AA71" s="97"/>
      <c r="AB71" s="97"/>
      <c r="AC71" s="97"/>
      <c r="AD71" s="97"/>
      <c r="AE71" s="470"/>
      <c r="AF71" s="470"/>
      <c r="AG71" s="470"/>
      <c r="AH71" s="470"/>
      <c r="AI71" s="470"/>
      <c r="AJ71" s="470"/>
      <c r="AK71" s="470"/>
      <c r="AL71" s="470"/>
      <c r="AM71" s="470"/>
      <c r="AN71" s="470"/>
      <c r="AO71" s="470"/>
      <c r="AP71" s="470"/>
      <c r="AQ71" s="470"/>
      <c r="AR71" s="470"/>
      <c r="AS71" s="470"/>
      <c r="AT71" s="470"/>
      <c r="AU71" s="470"/>
      <c r="AV71" s="470"/>
      <c r="AW71" s="470"/>
      <c r="AX71" s="742"/>
      <c r="BC71" s="97"/>
      <c r="BD71" s="97"/>
      <c r="BE71" s="97"/>
      <c r="BF71" s="97"/>
      <c r="BG71" s="97"/>
      <c r="BH71" s="97"/>
      <c r="BI71" s="97"/>
      <c r="BJ71" s="97"/>
      <c r="BK71" s="97"/>
      <c r="BL71" s="97"/>
      <c r="BM71" s="97"/>
      <c r="BN71" s="97"/>
      <c r="BO71" s="97"/>
      <c r="BP71" s="97"/>
      <c r="BQ71" s="97"/>
      <c r="BR71" s="97"/>
      <c r="BS71" s="97"/>
      <c r="BT71" s="97"/>
      <c r="BU71" s="97"/>
      <c r="BV71" s="97"/>
      <c r="BW71" s="97"/>
      <c r="BX71" s="97"/>
      <c r="BY71" s="97"/>
      <c r="BZ71" s="97"/>
      <c r="CA71" s="97"/>
      <c r="CB71" s="97"/>
      <c r="CC71" s="97"/>
      <c r="CD71" s="97"/>
      <c r="CE71" s="97"/>
      <c r="CF71" s="97"/>
      <c r="CG71" s="468"/>
      <c r="CH71" s="468"/>
      <c r="CI71" s="468"/>
    </row>
    <row r="72" spans="1:87" s="100" customFormat="1" ht="15.75" customHeight="1">
      <c r="A72" s="46"/>
      <c r="B72" s="97"/>
      <c r="C72" s="472"/>
      <c r="D72" s="472"/>
      <c r="E72" s="472"/>
      <c r="F72" s="472"/>
      <c r="G72" s="472"/>
      <c r="H72" s="472"/>
      <c r="I72" s="472"/>
      <c r="J72" s="472"/>
      <c r="K72" s="472"/>
      <c r="L72" s="472"/>
      <c r="M72" s="472"/>
      <c r="N72" s="472"/>
      <c r="O72" s="472"/>
      <c r="P72" s="472"/>
      <c r="Q72" s="472"/>
      <c r="R72" s="721"/>
      <c r="S72" s="721"/>
      <c r="T72" s="721"/>
      <c r="U72" s="721"/>
      <c r="V72" s="721"/>
      <c r="W72" s="721"/>
      <c r="X72" s="721"/>
      <c r="Y72" s="721"/>
      <c r="Z72" s="97"/>
      <c r="AA72" s="97"/>
      <c r="AB72" s="97"/>
      <c r="AC72" s="97"/>
      <c r="AD72" s="97"/>
      <c r="AE72" s="470"/>
      <c r="AF72" s="470"/>
      <c r="AG72" s="470"/>
      <c r="AH72" s="470"/>
      <c r="AI72" s="470"/>
      <c r="AJ72" s="470"/>
      <c r="AK72" s="470"/>
      <c r="AL72" s="470"/>
      <c r="AM72" s="470"/>
      <c r="AN72" s="470"/>
      <c r="AO72" s="470"/>
      <c r="AP72" s="470"/>
      <c r="AQ72" s="470"/>
      <c r="AR72" s="470"/>
      <c r="AS72" s="470"/>
      <c r="AT72" s="470"/>
      <c r="AU72" s="470"/>
      <c r="AV72" s="470"/>
      <c r="AW72" s="470"/>
      <c r="AX72" s="742"/>
      <c r="BC72" s="97"/>
      <c r="BD72" s="97"/>
      <c r="BE72" s="97"/>
      <c r="BF72" s="97"/>
      <c r="BG72" s="97"/>
      <c r="BH72" s="97"/>
      <c r="BI72" s="97"/>
      <c r="BJ72" s="97"/>
      <c r="BK72" s="97"/>
      <c r="BL72" s="97"/>
      <c r="BM72" s="97"/>
      <c r="BN72" s="97"/>
      <c r="BO72" s="97"/>
      <c r="BP72" s="97"/>
      <c r="BQ72" s="97"/>
      <c r="BR72" s="97"/>
      <c r="BS72" s="97"/>
      <c r="BT72" s="97"/>
      <c r="BU72" s="97"/>
      <c r="BV72" s="97"/>
      <c r="BW72" s="97"/>
      <c r="BX72" s="97"/>
      <c r="BY72" s="97"/>
      <c r="BZ72" s="97"/>
      <c r="CA72" s="97"/>
      <c r="CB72" s="97"/>
      <c r="CC72" s="97"/>
      <c r="CD72" s="97"/>
      <c r="CE72" s="97"/>
      <c r="CF72" s="97"/>
      <c r="CG72" s="468"/>
      <c r="CH72" s="468"/>
      <c r="CI72" s="468"/>
    </row>
    <row r="73" spans="1:87" s="100" customFormat="1" ht="15.75" customHeight="1">
      <c r="A73" s="46"/>
      <c r="B73" s="97"/>
      <c r="C73" s="472"/>
      <c r="D73" s="472"/>
      <c r="E73" s="472"/>
      <c r="F73" s="472"/>
      <c r="G73" s="472"/>
      <c r="H73" s="472"/>
      <c r="I73" s="472"/>
      <c r="J73" s="472"/>
      <c r="K73" s="472"/>
      <c r="L73" s="472"/>
      <c r="M73" s="472"/>
      <c r="N73" s="472"/>
      <c r="O73" s="472"/>
      <c r="P73" s="472"/>
      <c r="Q73" s="472"/>
      <c r="R73" s="721"/>
      <c r="S73" s="721"/>
      <c r="T73" s="721"/>
      <c r="U73" s="721"/>
      <c r="V73" s="721"/>
      <c r="W73" s="721"/>
      <c r="X73" s="721"/>
      <c r="Y73" s="721"/>
      <c r="Z73" s="97"/>
      <c r="AA73" s="97"/>
      <c r="AB73" s="97"/>
      <c r="AC73" s="97"/>
      <c r="AD73" s="97"/>
      <c r="AE73" s="470"/>
      <c r="AF73" s="470"/>
      <c r="AG73" s="470"/>
      <c r="AH73" s="470"/>
      <c r="AI73" s="470"/>
      <c r="AJ73" s="470"/>
      <c r="AK73" s="470"/>
      <c r="AL73" s="470"/>
      <c r="AM73" s="470"/>
      <c r="AN73" s="470"/>
      <c r="AO73" s="470"/>
      <c r="AP73" s="470"/>
      <c r="AQ73" s="470"/>
      <c r="AR73" s="470"/>
      <c r="AS73" s="470"/>
      <c r="AT73" s="470"/>
      <c r="AU73" s="470"/>
      <c r="AV73" s="470"/>
      <c r="AW73" s="470"/>
      <c r="AX73" s="742"/>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97"/>
      <c r="CE73" s="97"/>
      <c r="CF73" s="97"/>
      <c r="CG73" s="468"/>
      <c r="CH73" s="468"/>
      <c r="CI73" s="468"/>
    </row>
    <row r="74" spans="1:87" s="100" customFormat="1" ht="15.75" customHeight="1">
      <c r="A74" s="46"/>
      <c r="B74" s="97"/>
      <c r="C74" s="475"/>
      <c r="D74" s="472"/>
      <c r="E74" s="472"/>
      <c r="F74" s="472"/>
      <c r="G74" s="472"/>
      <c r="H74" s="472"/>
      <c r="I74" s="472"/>
      <c r="J74" s="472"/>
      <c r="K74" s="472"/>
      <c r="L74" s="472"/>
      <c r="M74" s="472"/>
      <c r="N74" s="472"/>
      <c r="O74" s="472"/>
      <c r="P74" s="472"/>
      <c r="Q74" s="472"/>
      <c r="R74" s="721"/>
      <c r="S74" s="721"/>
      <c r="T74" s="721"/>
      <c r="U74" s="721"/>
      <c r="V74" s="721"/>
      <c r="W74" s="721"/>
      <c r="X74" s="721"/>
      <c r="Y74" s="721"/>
      <c r="Z74" s="97"/>
      <c r="AA74" s="97"/>
      <c r="AB74" s="97"/>
      <c r="AC74" s="97"/>
      <c r="AD74" s="97"/>
      <c r="AE74" s="470"/>
      <c r="AF74" s="470"/>
      <c r="AG74" s="470"/>
      <c r="AH74" s="470"/>
      <c r="AI74" s="470"/>
      <c r="AJ74" s="470"/>
      <c r="AK74" s="470"/>
      <c r="AL74" s="470"/>
      <c r="AM74" s="470"/>
      <c r="AN74" s="470"/>
      <c r="AO74" s="470"/>
      <c r="AP74" s="470"/>
      <c r="AQ74" s="470"/>
      <c r="AR74" s="470"/>
      <c r="AS74" s="470"/>
      <c r="AT74" s="470"/>
      <c r="AU74" s="470"/>
      <c r="AV74" s="470"/>
      <c r="AW74" s="470"/>
      <c r="AX74" s="742"/>
      <c r="BC74" s="97"/>
      <c r="BD74" s="97"/>
      <c r="BE74" s="97"/>
      <c r="BF74" s="97"/>
      <c r="BG74" s="97"/>
      <c r="BH74" s="97"/>
      <c r="BI74" s="97"/>
      <c r="BJ74" s="97"/>
      <c r="BK74" s="97"/>
      <c r="BL74" s="97"/>
      <c r="BM74" s="97"/>
      <c r="BN74" s="97"/>
      <c r="BO74" s="97"/>
      <c r="BP74" s="97"/>
      <c r="BQ74" s="97"/>
      <c r="BR74" s="97"/>
      <c r="BS74" s="97"/>
      <c r="BT74" s="97"/>
      <c r="BU74" s="97"/>
      <c r="BV74" s="97"/>
      <c r="BW74" s="97"/>
      <c r="BX74" s="97"/>
      <c r="BY74" s="97"/>
      <c r="BZ74" s="97"/>
      <c r="CA74" s="97"/>
      <c r="CB74" s="97"/>
      <c r="CC74" s="97"/>
      <c r="CD74" s="97"/>
      <c r="CE74" s="97"/>
      <c r="CF74" s="97"/>
      <c r="CG74" s="468"/>
      <c r="CH74" s="468"/>
      <c r="CI74" s="468"/>
    </row>
    <row r="75" spans="1:87" s="100" customFormat="1" ht="15.75" customHeight="1">
      <c r="A75" s="46"/>
      <c r="B75" s="97"/>
      <c r="C75" s="472"/>
      <c r="D75" s="472"/>
      <c r="E75" s="472"/>
      <c r="F75" s="472"/>
      <c r="G75" s="472"/>
      <c r="H75" s="472"/>
      <c r="I75" s="472"/>
      <c r="J75" s="472"/>
      <c r="K75" s="472"/>
      <c r="L75" s="472"/>
      <c r="M75" s="472"/>
      <c r="N75" s="472"/>
      <c r="O75" s="472"/>
      <c r="P75" s="472"/>
      <c r="Q75" s="472"/>
      <c r="R75" s="721"/>
      <c r="S75" s="721"/>
      <c r="T75" s="721"/>
      <c r="U75" s="721"/>
      <c r="V75" s="721"/>
      <c r="W75" s="721"/>
      <c r="X75" s="721"/>
      <c r="Y75" s="721"/>
      <c r="Z75" s="97"/>
      <c r="AA75" s="97"/>
      <c r="AB75" s="97"/>
      <c r="AC75" s="97"/>
      <c r="AD75" s="97"/>
      <c r="AE75" s="470"/>
      <c r="AF75" s="470"/>
      <c r="AG75" s="470"/>
      <c r="AH75" s="470"/>
      <c r="AI75" s="470"/>
      <c r="AJ75" s="470"/>
      <c r="AK75" s="470"/>
      <c r="AL75" s="470"/>
      <c r="AM75" s="470"/>
      <c r="AN75" s="470"/>
      <c r="AO75" s="470"/>
      <c r="AP75" s="470"/>
      <c r="AQ75" s="470"/>
      <c r="AR75" s="470"/>
      <c r="AS75" s="470"/>
      <c r="AT75" s="470"/>
      <c r="AU75" s="470"/>
      <c r="AV75" s="470"/>
      <c r="AW75" s="470"/>
      <c r="AX75" s="742"/>
      <c r="BC75" s="97"/>
      <c r="BD75" s="97"/>
      <c r="BE75" s="97"/>
      <c r="BF75" s="97"/>
      <c r="BG75" s="97"/>
      <c r="BH75" s="97"/>
      <c r="BI75" s="97"/>
      <c r="BJ75" s="97"/>
      <c r="BK75" s="97"/>
      <c r="BL75" s="97"/>
      <c r="BM75" s="97"/>
      <c r="BN75" s="97"/>
      <c r="BO75" s="97"/>
      <c r="BP75" s="97"/>
      <c r="BQ75" s="97"/>
      <c r="BR75" s="97"/>
      <c r="BS75" s="97"/>
      <c r="BT75" s="97"/>
      <c r="BU75" s="97"/>
      <c r="BV75" s="97"/>
      <c r="BW75" s="97"/>
      <c r="BX75" s="97"/>
      <c r="BY75" s="97"/>
      <c r="BZ75" s="97"/>
      <c r="CA75" s="97"/>
      <c r="CB75" s="97"/>
      <c r="CC75" s="97"/>
      <c r="CD75" s="97"/>
      <c r="CE75" s="97"/>
      <c r="CF75" s="97"/>
      <c r="CG75" s="468"/>
      <c r="CH75" s="468"/>
      <c r="CI75" s="468"/>
    </row>
    <row r="76" spans="1:87" s="100" customFormat="1" ht="15.75" customHeight="1">
      <c r="A76" s="46"/>
      <c r="B76" s="97"/>
      <c r="C76" s="472"/>
      <c r="D76" s="472"/>
      <c r="E76" s="472"/>
      <c r="F76" s="472"/>
      <c r="G76" s="472"/>
      <c r="H76" s="472"/>
      <c r="I76" s="472"/>
      <c r="J76" s="472"/>
      <c r="K76" s="472"/>
      <c r="L76" s="472"/>
      <c r="M76" s="472"/>
      <c r="N76" s="472"/>
      <c r="O76" s="472"/>
      <c r="P76" s="472"/>
      <c r="Q76" s="472"/>
      <c r="R76" s="721"/>
      <c r="S76" s="721"/>
      <c r="T76" s="721"/>
      <c r="U76" s="721"/>
      <c r="V76" s="721"/>
      <c r="W76" s="721"/>
      <c r="X76" s="721"/>
      <c r="Y76" s="721"/>
      <c r="Z76" s="97"/>
      <c r="AA76" s="97"/>
      <c r="AB76" s="97"/>
      <c r="AC76" s="97"/>
      <c r="AD76" s="97"/>
      <c r="AE76" s="470"/>
      <c r="AF76" s="470"/>
      <c r="AG76" s="470"/>
      <c r="AH76" s="470"/>
      <c r="AI76" s="470"/>
      <c r="AJ76" s="470"/>
      <c r="AK76" s="470"/>
      <c r="AL76" s="470"/>
      <c r="AM76" s="470"/>
      <c r="AN76" s="470"/>
      <c r="AO76" s="470"/>
      <c r="AP76" s="470"/>
      <c r="AQ76" s="470"/>
      <c r="AR76" s="470"/>
      <c r="AS76" s="470"/>
      <c r="AT76" s="470"/>
      <c r="AU76" s="470"/>
      <c r="AV76" s="470"/>
      <c r="AW76" s="470"/>
      <c r="AX76" s="742"/>
      <c r="BC76" s="97"/>
      <c r="BD76" s="97"/>
      <c r="BE76" s="97"/>
      <c r="BF76" s="97"/>
      <c r="BG76" s="97"/>
      <c r="BH76" s="97"/>
      <c r="BI76" s="97"/>
      <c r="BJ76" s="97"/>
      <c r="BK76" s="97"/>
      <c r="BL76" s="97"/>
      <c r="BM76" s="97"/>
      <c r="BN76" s="97"/>
      <c r="BO76" s="97"/>
      <c r="BP76" s="97"/>
      <c r="BQ76" s="97"/>
      <c r="BR76" s="97"/>
      <c r="BS76" s="97"/>
      <c r="BT76" s="97"/>
      <c r="BU76" s="97"/>
      <c r="BV76" s="97"/>
      <c r="BW76" s="97"/>
      <c r="BX76" s="97"/>
      <c r="BY76" s="97"/>
      <c r="BZ76" s="97"/>
      <c r="CA76" s="97"/>
      <c r="CB76" s="97"/>
      <c r="CC76" s="97"/>
      <c r="CD76" s="97"/>
      <c r="CE76" s="97"/>
      <c r="CF76" s="97"/>
      <c r="CG76" s="468"/>
      <c r="CH76" s="468"/>
      <c r="CI76" s="468"/>
    </row>
    <row r="77" spans="1:87" s="100" customFormat="1" ht="15.75" customHeight="1">
      <c r="A77" s="46"/>
      <c r="B77" s="97"/>
      <c r="C77" s="472"/>
      <c r="D77" s="472"/>
      <c r="E77" s="472"/>
      <c r="F77" s="472"/>
      <c r="G77" s="472"/>
      <c r="H77" s="472"/>
      <c r="I77" s="472"/>
      <c r="J77" s="472"/>
      <c r="K77" s="472"/>
      <c r="L77" s="472"/>
      <c r="M77" s="472"/>
      <c r="N77" s="472"/>
      <c r="O77" s="472"/>
      <c r="P77" s="472"/>
      <c r="Q77" s="472"/>
      <c r="R77" s="721"/>
      <c r="S77" s="721"/>
      <c r="T77" s="721"/>
      <c r="U77" s="721"/>
      <c r="V77" s="721"/>
      <c r="W77" s="721"/>
      <c r="X77" s="721"/>
      <c r="Y77" s="721"/>
      <c r="Z77" s="97"/>
      <c r="AA77" s="97"/>
      <c r="AB77" s="97"/>
      <c r="AC77" s="97"/>
      <c r="AD77" s="97"/>
      <c r="AE77" s="470"/>
      <c r="AF77" s="470"/>
      <c r="AG77" s="470"/>
      <c r="AH77" s="470"/>
      <c r="AI77" s="470"/>
      <c r="AJ77" s="470"/>
      <c r="AK77" s="470"/>
      <c r="AL77" s="470"/>
      <c r="AM77" s="470"/>
      <c r="AN77" s="470"/>
      <c r="AO77" s="470"/>
      <c r="AP77" s="470"/>
      <c r="AQ77" s="470"/>
      <c r="AR77" s="470"/>
      <c r="AS77" s="470"/>
      <c r="AT77" s="470"/>
      <c r="AU77" s="470"/>
      <c r="AV77" s="470"/>
      <c r="AW77" s="470"/>
      <c r="AX77" s="742"/>
      <c r="BC77" s="97"/>
      <c r="BD77" s="97"/>
      <c r="BE77" s="97"/>
      <c r="BF77" s="97"/>
      <c r="BG77" s="97"/>
      <c r="BH77" s="97"/>
      <c r="BI77" s="97"/>
      <c r="BJ77" s="97"/>
      <c r="BK77" s="97"/>
      <c r="BL77" s="97"/>
      <c r="BM77" s="97"/>
      <c r="BN77" s="97"/>
      <c r="BO77" s="97"/>
      <c r="BP77" s="97"/>
      <c r="BQ77" s="97"/>
      <c r="BR77" s="97"/>
      <c r="BS77" s="97"/>
      <c r="BT77" s="97"/>
      <c r="BU77" s="97"/>
      <c r="BV77" s="97"/>
      <c r="BW77" s="97"/>
      <c r="BX77" s="97"/>
      <c r="BY77" s="97"/>
      <c r="BZ77" s="97"/>
      <c r="CA77" s="97"/>
      <c r="CB77" s="97"/>
      <c r="CC77" s="97"/>
      <c r="CD77" s="97"/>
      <c r="CE77" s="97"/>
      <c r="CF77" s="97"/>
      <c r="CG77" s="468"/>
      <c r="CH77" s="468"/>
      <c r="CI77" s="468"/>
    </row>
    <row r="78" spans="1:87" s="100" customFormat="1" ht="15.75" customHeight="1">
      <c r="A78" s="46"/>
      <c r="B78" s="97"/>
      <c r="C78" s="472"/>
      <c r="D78" s="472"/>
      <c r="E78" s="472"/>
      <c r="F78" s="472"/>
      <c r="G78" s="472"/>
      <c r="H78" s="472"/>
      <c r="I78" s="472"/>
      <c r="J78" s="472"/>
      <c r="K78" s="472"/>
      <c r="L78" s="472"/>
      <c r="M78" s="472"/>
      <c r="N78" s="472"/>
      <c r="O78" s="472"/>
      <c r="P78" s="472"/>
      <c r="Q78" s="472"/>
      <c r="R78" s="721"/>
      <c r="S78" s="721"/>
      <c r="T78" s="721"/>
      <c r="U78" s="721"/>
      <c r="V78" s="721"/>
      <c r="W78" s="721"/>
      <c r="X78" s="721"/>
      <c r="Y78" s="721"/>
      <c r="Z78" s="97"/>
      <c r="AA78" s="97"/>
      <c r="AB78" s="97"/>
      <c r="AC78" s="97"/>
      <c r="AD78" s="97"/>
      <c r="AE78" s="470"/>
      <c r="AF78" s="470"/>
      <c r="AG78" s="470"/>
      <c r="AH78" s="470"/>
      <c r="AI78" s="470"/>
      <c r="AJ78" s="470"/>
      <c r="AK78" s="470"/>
      <c r="AL78" s="470"/>
      <c r="AM78" s="470"/>
      <c r="AN78" s="470"/>
      <c r="AO78" s="470"/>
      <c r="AP78" s="470"/>
      <c r="AQ78" s="470"/>
      <c r="AR78" s="470"/>
      <c r="AS78" s="470"/>
      <c r="AT78" s="470"/>
      <c r="AU78" s="470"/>
      <c r="AV78" s="470"/>
      <c r="AW78" s="470"/>
      <c r="AX78" s="742"/>
      <c r="BC78" s="97"/>
      <c r="BD78" s="97"/>
      <c r="BE78" s="97"/>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7"/>
      <c r="CG78" s="468"/>
      <c r="CH78" s="468"/>
      <c r="CI78" s="468"/>
    </row>
    <row r="79" spans="1:87" s="100" customFormat="1" ht="15.75" customHeight="1">
      <c r="A79" s="46"/>
      <c r="B79" s="97"/>
      <c r="C79" s="721"/>
      <c r="D79" s="721"/>
      <c r="E79" s="721"/>
      <c r="F79" s="721"/>
      <c r="G79" s="721"/>
      <c r="H79" s="721"/>
      <c r="I79" s="721"/>
      <c r="J79" s="721"/>
      <c r="K79" s="721"/>
      <c r="L79" s="721"/>
      <c r="M79" s="721"/>
      <c r="N79" s="721"/>
      <c r="O79" s="721"/>
      <c r="P79" s="721"/>
      <c r="Q79" s="763"/>
      <c r="R79" s="721"/>
      <c r="S79" s="721"/>
      <c r="T79" s="721"/>
      <c r="U79" s="721"/>
      <c r="V79" s="721"/>
      <c r="W79" s="721"/>
      <c r="X79" s="721"/>
      <c r="Y79" s="721"/>
      <c r="Z79" s="97"/>
      <c r="AA79" s="97"/>
      <c r="AB79" s="97"/>
      <c r="AC79" s="97"/>
      <c r="AD79" s="97"/>
      <c r="AE79" s="470"/>
      <c r="AF79" s="470"/>
      <c r="AG79" s="470"/>
      <c r="AH79" s="470"/>
      <c r="AI79" s="470"/>
      <c r="AJ79" s="470"/>
      <c r="AK79" s="470"/>
      <c r="AL79" s="470"/>
      <c r="AM79" s="470"/>
      <c r="AN79" s="470"/>
      <c r="AO79" s="470"/>
      <c r="AP79" s="470"/>
      <c r="AQ79" s="470"/>
      <c r="AR79" s="470"/>
      <c r="AS79" s="470"/>
      <c r="AT79" s="470"/>
      <c r="AU79" s="470"/>
      <c r="AV79" s="470"/>
      <c r="AW79" s="470"/>
      <c r="AX79" s="742"/>
      <c r="BC79" s="97"/>
      <c r="BD79" s="97"/>
      <c r="BE79" s="97"/>
      <c r="BF79" s="97"/>
      <c r="BG79" s="97"/>
      <c r="BH79" s="97"/>
      <c r="BI79" s="97"/>
      <c r="BJ79" s="97"/>
      <c r="BK79" s="97"/>
      <c r="BL79" s="97"/>
      <c r="BM79" s="97"/>
      <c r="BN79" s="97"/>
      <c r="BO79" s="97"/>
      <c r="BP79" s="97"/>
      <c r="BQ79" s="97"/>
      <c r="BR79" s="97"/>
      <c r="BS79" s="97"/>
      <c r="BT79" s="97"/>
      <c r="BU79" s="97"/>
      <c r="BV79" s="97"/>
      <c r="BW79" s="97"/>
      <c r="BX79" s="97"/>
      <c r="BY79" s="97"/>
      <c r="BZ79" s="97"/>
      <c r="CA79" s="97"/>
      <c r="CB79" s="97"/>
      <c r="CC79" s="97"/>
      <c r="CD79" s="97"/>
      <c r="CE79" s="97"/>
      <c r="CF79" s="97"/>
      <c r="CG79" s="468"/>
      <c r="CH79" s="468"/>
      <c r="CI79" s="468"/>
    </row>
    <row r="80" spans="1:87" s="100" customFormat="1" ht="15.75" customHeight="1">
      <c r="A80" s="46"/>
      <c r="B80" s="97"/>
      <c r="C80" s="721"/>
      <c r="D80" s="721"/>
      <c r="E80" s="721"/>
      <c r="F80" s="721"/>
      <c r="G80" s="721"/>
      <c r="H80" s="721"/>
      <c r="I80" s="721"/>
      <c r="J80" s="721"/>
      <c r="K80" s="721"/>
      <c r="L80" s="721"/>
      <c r="M80" s="721"/>
      <c r="N80" s="721"/>
      <c r="O80" s="721"/>
      <c r="P80" s="721"/>
      <c r="Q80" s="763"/>
      <c r="R80" s="721"/>
      <c r="S80" s="721"/>
      <c r="T80" s="721"/>
      <c r="U80" s="721"/>
      <c r="V80" s="721"/>
      <c r="W80" s="721"/>
      <c r="X80" s="721"/>
      <c r="Y80" s="721"/>
      <c r="Z80" s="97"/>
      <c r="AA80" s="97"/>
      <c r="AB80" s="97"/>
      <c r="AC80" s="97"/>
      <c r="AD80" s="97"/>
      <c r="AE80" s="470"/>
      <c r="AF80" s="470"/>
      <c r="AG80" s="470"/>
      <c r="AH80" s="470"/>
      <c r="AI80" s="470"/>
      <c r="AJ80" s="470"/>
      <c r="AK80" s="470"/>
      <c r="AL80" s="470"/>
      <c r="AM80" s="470"/>
      <c r="AN80" s="470"/>
      <c r="AO80" s="470"/>
      <c r="AP80" s="470"/>
      <c r="AQ80" s="470"/>
      <c r="AR80" s="470"/>
      <c r="AS80" s="470"/>
      <c r="AT80" s="470"/>
      <c r="AU80" s="470"/>
      <c r="AV80" s="470"/>
      <c r="AW80" s="470"/>
      <c r="AX80" s="742"/>
      <c r="BC80" s="97"/>
      <c r="BD80" s="97"/>
      <c r="BE80" s="97"/>
      <c r="BF80" s="97"/>
      <c r="BG80" s="97"/>
      <c r="BH80" s="97"/>
      <c r="BI80" s="97"/>
      <c r="BJ80" s="97"/>
      <c r="BK80" s="97"/>
      <c r="BL80" s="97"/>
      <c r="BM80" s="97"/>
      <c r="BN80" s="97"/>
      <c r="BO80" s="97"/>
      <c r="BP80" s="97"/>
      <c r="BQ80" s="97"/>
      <c r="BR80" s="97"/>
      <c r="BS80" s="97"/>
      <c r="BT80" s="97"/>
      <c r="BU80" s="97"/>
      <c r="BV80" s="97"/>
      <c r="BW80" s="97"/>
      <c r="BX80" s="97"/>
      <c r="BY80" s="97"/>
      <c r="BZ80" s="97"/>
      <c r="CA80" s="97"/>
      <c r="CB80" s="97"/>
      <c r="CC80" s="97"/>
      <c r="CD80" s="97"/>
      <c r="CE80" s="97"/>
      <c r="CF80" s="97"/>
      <c r="CG80" s="468"/>
      <c r="CH80" s="468"/>
      <c r="CI80" s="468"/>
    </row>
    <row r="81" spans="1:87" s="100" customFormat="1" ht="15.75" customHeight="1">
      <c r="A81" s="46"/>
      <c r="B81" s="97"/>
      <c r="C81" s="97"/>
      <c r="D81" s="97"/>
      <c r="E81" s="97"/>
      <c r="F81" s="97"/>
      <c r="G81" s="97"/>
      <c r="H81" s="97"/>
      <c r="I81" s="97"/>
      <c r="J81" s="97"/>
      <c r="K81" s="97"/>
      <c r="L81" s="97"/>
      <c r="M81" s="97"/>
      <c r="N81" s="97"/>
      <c r="O81" s="97"/>
      <c r="P81" s="97"/>
      <c r="Q81" s="741"/>
      <c r="R81" s="97"/>
      <c r="S81" s="97"/>
      <c r="T81" s="97"/>
      <c r="U81" s="97"/>
      <c r="V81" s="97"/>
      <c r="W81" s="97"/>
      <c r="X81" s="97"/>
      <c r="Y81" s="97"/>
      <c r="Z81" s="97"/>
      <c r="AA81" s="97"/>
      <c r="AB81" s="97"/>
      <c r="AC81" s="97"/>
      <c r="AD81" s="97"/>
      <c r="AE81" s="470"/>
      <c r="AF81" s="470"/>
      <c r="AG81" s="470"/>
      <c r="AH81" s="470"/>
      <c r="AI81" s="470"/>
      <c r="AJ81" s="470"/>
      <c r="AK81" s="470"/>
      <c r="AL81" s="470"/>
      <c r="AM81" s="470"/>
      <c r="AN81" s="470"/>
      <c r="AO81" s="470"/>
      <c r="AP81" s="470"/>
      <c r="AQ81" s="470"/>
      <c r="AR81" s="470"/>
      <c r="AS81" s="470"/>
      <c r="AT81" s="470"/>
      <c r="AU81" s="470"/>
      <c r="AV81" s="470"/>
      <c r="AW81" s="470"/>
      <c r="AX81" s="742"/>
      <c r="BC81" s="97"/>
      <c r="BD81" s="97"/>
      <c r="BE81" s="97"/>
      <c r="BF81" s="97"/>
      <c r="BG81" s="97"/>
      <c r="BH81" s="97"/>
      <c r="BI81" s="97"/>
      <c r="BJ81" s="97"/>
      <c r="BK81" s="97"/>
      <c r="BL81" s="97"/>
      <c r="BM81" s="97"/>
      <c r="BN81" s="97"/>
      <c r="BO81" s="97"/>
      <c r="BP81" s="97"/>
      <c r="BQ81" s="97"/>
      <c r="BR81" s="97"/>
      <c r="BS81" s="97"/>
      <c r="BT81" s="97"/>
      <c r="BU81" s="97"/>
      <c r="BV81" s="97"/>
      <c r="BW81" s="97"/>
      <c r="BX81" s="97"/>
      <c r="BY81" s="97"/>
      <c r="BZ81" s="97"/>
      <c r="CA81" s="97"/>
      <c r="CB81" s="97"/>
      <c r="CC81" s="97"/>
      <c r="CD81" s="97"/>
      <c r="CE81" s="97"/>
      <c r="CF81" s="97"/>
      <c r="CG81" s="468"/>
      <c r="CH81" s="468"/>
      <c r="CI81" s="468"/>
    </row>
    <row r="82" spans="1:87" s="100" customFormat="1" ht="15.75" customHeight="1">
      <c r="A82" s="46"/>
      <c r="B82" s="97"/>
      <c r="C82" s="97"/>
      <c r="D82" s="97"/>
      <c r="E82" s="97"/>
      <c r="F82" s="97"/>
      <c r="G82" s="97"/>
      <c r="H82" s="97"/>
      <c r="I82" s="97"/>
      <c r="J82" s="97"/>
      <c r="K82" s="97"/>
      <c r="L82" s="97"/>
      <c r="M82" s="97"/>
      <c r="N82" s="97"/>
      <c r="O82" s="97"/>
      <c r="P82" s="97"/>
      <c r="Q82" s="741"/>
      <c r="R82" s="97"/>
      <c r="S82" s="97"/>
      <c r="T82" s="97"/>
      <c r="U82" s="97"/>
      <c r="V82" s="97"/>
      <c r="W82" s="97"/>
      <c r="X82" s="97"/>
      <c r="Y82" s="97"/>
      <c r="Z82" s="97"/>
      <c r="AA82" s="97"/>
      <c r="AB82" s="97"/>
      <c r="AC82" s="97"/>
      <c r="AD82" s="97"/>
      <c r="AE82" s="470"/>
      <c r="AF82" s="470"/>
      <c r="AG82" s="470"/>
      <c r="AH82" s="470"/>
      <c r="AI82" s="470"/>
      <c r="AJ82" s="470"/>
      <c r="AK82" s="470"/>
      <c r="AL82" s="470"/>
      <c r="AM82" s="470"/>
      <c r="AN82" s="470"/>
      <c r="AO82" s="470"/>
      <c r="AP82" s="470"/>
      <c r="AQ82" s="470"/>
      <c r="AR82" s="470"/>
      <c r="AS82" s="470"/>
      <c r="AT82" s="470"/>
      <c r="AU82" s="470"/>
      <c r="AV82" s="470"/>
      <c r="AW82" s="470"/>
      <c r="AX82" s="742"/>
      <c r="BC82" s="97"/>
      <c r="BD82" s="97"/>
      <c r="BE82" s="97"/>
      <c r="BF82" s="97"/>
      <c r="BG82" s="97"/>
      <c r="BH82" s="97"/>
      <c r="BI82" s="97"/>
      <c r="BJ82" s="97"/>
      <c r="BK82" s="97"/>
      <c r="BL82" s="97"/>
      <c r="BM82" s="97"/>
      <c r="BN82" s="97"/>
      <c r="BO82" s="97"/>
      <c r="BP82" s="97"/>
      <c r="BQ82" s="97"/>
      <c r="BR82" s="97"/>
      <c r="BS82" s="97"/>
      <c r="BT82" s="97"/>
      <c r="BU82" s="97"/>
      <c r="BV82" s="97"/>
      <c r="BW82" s="97"/>
      <c r="BX82" s="97"/>
      <c r="BY82" s="97"/>
      <c r="BZ82" s="97"/>
      <c r="CA82" s="97"/>
      <c r="CB82" s="97"/>
      <c r="CC82" s="97"/>
      <c r="CD82" s="97"/>
      <c r="CE82" s="97"/>
      <c r="CF82" s="97"/>
      <c r="CG82" s="468"/>
      <c r="CH82" s="468"/>
      <c r="CI82" s="468"/>
    </row>
    <row r="83" spans="1:87" s="100" customFormat="1" ht="15.75" customHeight="1">
      <c r="A83" s="46"/>
      <c r="B83" s="97"/>
      <c r="C83" s="97"/>
      <c r="D83" s="97"/>
      <c r="E83" s="97"/>
      <c r="F83" s="97"/>
      <c r="G83" s="97"/>
      <c r="H83" s="97"/>
      <c r="I83" s="97"/>
      <c r="J83" s="97"/>
      <c r="K83" s="97"/>
      <c r="L83" s="97"/>
      <c r="M83" s="97"/>
      <c r="N83" s="97"/>
      <c r="O83" s="97"/>
      <c r="P83" s="97"/>
      <c r="Q83" s="741"/>
      <c r="R83" s="97"/>
      <c r="S83" s="97"/>
      <c r="T83" s="97"/>
      <c r="U83" s="97"/>
      <c r="V83" s="97"/>
      <c r="W83" s="97"/>
      <c r="X83" s="97"/>
      <c r="Y83" s="97"/>
      <c r="Z83" s="97"/>
      <c r="AA83" s="97"/>
      <c r="AB83" s="97"/>
      <c r="AC83" s="97"/>
      <c r="AD83" s="97"/>
      <c r="AE83" s="470"/>
      <c r="AF83" s="470"/>
      <c r="AG83" s="470"/>
      <c r="AH83" s="470"/>
      <c r="AI83" s="470"/>
      <c r="AJ83" s="470"/>
      <c r="AK83" s="470"/>
      <c r="AL83" s="470"/>
      <c r="AM83" s="470"/>
      <c r="AN83" s="470"/>
      <c r="AO83" s="470"/>
      <c r="AP83" s="470"/>
      <c r="AQ83" s="470"/>
      <c r="AR83" s="470"/>
      <c r="AS83" s="470"/>
      <c r="AT83" s="470"/>
      <c r="AU83" s="470"/>
      <c r="AV83" s="470"/>
      <c r="AW83" s="470"/>
      <c r="AX83" s="742"/>
      <c r="BC83" s="97"/>
      <c r="BD83" s="97"/>
      <c r="BE83" s="97"/>
      <c r="BF83" s="97"/>
      <c r="BG83" s="97"/>
      <c r="BH83" s="97"/>
      <c r="BI83" s="97"/>
      <c r="BJ83" s="97"/>
      <c r="BK83" s="97"/>
      <c r="BL83" s="97"/>
      <c r="BM83" s="97"/>
      <c r="BN83" s="97"/>
      <c r="BO83" s="97"/>
      <c r="BP83" s="97"/>
      <c r="BQ83" s="97"/>
      <c r="BR83" s="97"/>
      <c r="BS83" s="97"/>
      <c r="BT83" s="97"/>
      <c r="BU83" s="97"/>
      <c r="BV83" s="97"/>
      <c r="BW83" s="97"/>
      <c r="BX83" s="97"/>
      <c r="BY83" s="97"/>
      <c r="BZ83" s="97"/>
      <c r="CA83" s="97"/>
      <c r="CB83" s="97"/>
      <c r="CC83" s="97"/>
      <c r="CD83" s="97"/>
      <c r="CE83" s="97"/>
      <c r="CF83" s="97"/>
      <c r="CG83" s="468"/>
      <c r="CH83" s="468"/>
      <c r="CI83" s="468"/>
    </row>
    <row r="84" spans="1:87" s="100" customFormat="1" ht="15.75" customHeight="1">
      <c r="A84" s="46"/>
      <c r="B84" s="97"/>
      <c r="C84" s="97"/>
      <c r="D84" s="97"/>
      <c r="E84" s="97"/>
      <c r="F84" s="97"/>
      <c r="G84" s="97"/>
      <c r="H84" s="97"/>
      <c r="I84" s="97"/>
      <c r="J84" s="97"/>
      <c r="K84" s="97"/>
      <c r="L84" s="97"/>
      <c r="M84" s="97"/>
      <c r="N84" s="97"/>
      <c r="O84" s="97"/>
      <c r="P84" s="97"/>
      <c r="Q84" s="741"/>
      <c r="R84" s="97"/>
      <c r="S84" s="97"/>
      <c r="T84" s="97"/>
      <c r="U84" s="97"/>
      <c r="V84" s="97"/>
      <c r="W84" s="97"/>
      <c r="X84" s="97"/>
      <c r="Y84" s="97"/>
      <c r="Z84" s="97"/>
      <c r="AA84" s="97"/>
      <c r="AB84" s="97"/>
      <c r="AC84" s="97"/>
      <c r="AD84" s="97"/>
      <c r="AE84" s="470"/>
      <c r="AF84" s="470"/>
      <c r="AG84" s="470"/>
      <c r="AH84" s="470"/>
      <c r="AI84" s="470"/>
      <c r="AJ84" s="470"/>
      <c r="AK84" s="470"/>
      <c r="AL84" s="470"/>
      <c r="AM84" s="470"/>
      <c r="AN84" s="470"/>
      <c r="AO84" s="470"/>
      <c r="AP84" s="470"/>
      <c r="AQ84" s="470"/>
      <c r="AR84" s="470"/>
      <c r="AS84" s="470"/>
      <c r="AT84" s="470"/>
      <c r="AU84" s="470"/>
      <c r="AV84" s="470"/>
      <c r="AW84" s="470"/>
      <c r="AX84" s="742"/>
      <c r="BC84" s="97"/>
      <c r="BD84" s="97"/>
      <c r="BE84" s="97"/>
      <c r="BF84" s="97"/>
      <c r="BG84" s="97"/>
      <c r="BH84" s="97"/>
      <c r="BI84" s="97"/>
      <c r="BJ84" s="97"/>
      <c r="BK84" s="97"/>
      <c r="BL84" s="97"/>
      <c r="BM84" s="97"/>
      <c r="BN84" s="97"/>
      <c r="BO84" s="97"/>
      <c r="BP84" s="97"/>
      <c r="BQ84" s="97"/>
      <c r="BR84" s="97"/>
      <c r="BS84" s="97"/>
      <c r="BT84" s="97"/>
      <c r="BU84" s="97"/>
      <c r="BV84" s="97"/>
      <c r="BW84" s="97"/>
      <c r="BX84" s="97"/>
      <c r="BY84" s="97"/>
      <c r="BZ84" s="97"/>
      <c r="CA84" s="97"/>
      <c r="CB84" s="97"/>
      <c r="CC84" s="97"/>
      <c r="CD84" s="97"/>
      <c r="CE84" s="97"/>
      <c r="CF84" s="97"/>
      <c r="CG84" s="468"/>
      <c r="CH84" s="468"/>
      <c r="CI84" s="468"/>
    </row>
    <row r="85" spans="1:87" s="100" customFormat="1" ht="15.75" customHeight="1">
      <c r="A85" s="46"/>
      <c r="B85" s="97"/>
      <c r="C85" s="97"/>
      <c r="D85" s="97"/>
      <c r="E85" s="97"/>
      <c r="F85" s="97"/>
      <c r="G85" s="97"/>
      <c r="H85" s="97"/>
      <c r="I85" s="97"/>
      <c r="J85" s="97"/>
      <c r="K85" s="97"/>
      <c r="L85" s="97"/>
      <c r="M85" s="97"/>
      <c r="N85" s="97"/>
      <c r="O85" s="97"/>
      <c r="P85" s="97"/>
      <c r="Q85" s="741"/>
      <c r="R85" s="97"/>
      <c r="S85" s="97"/>
      <c r="T85" s="97"/>
      <c r="U85" s="97"/>
      <c r="V85" s="97"/>
      <c r="W85" s="97"/>
      <c r="X85" s="97"/>
      <c r="Y85" s="97"/>
      <c r="Z85" s="97"/>
      <c r="AA85" s="97"/>
      <c r="AB85" s="97"/>
      <c r="AC85" s="97"/>
      <c r="AD85" s="97"/>
      <c r="AE85" s="470"/>
      <c r="AF85" s="470"/>
      <c r="AG85" s="470"/>
      <c r="AH85" s="470"/>
      <c r="AI85" s="470"/>
      <c r="AJ85" s="470"/>
      <c r="AK85" s="470"/>
      <c r="AL85" s="470"/>
      <c r="AM85" s="470"/>
      <c r="AN85" s="470"/>
      <c r="AO85" s="470"/>
      <c r="AP85" s="470"/>
      <c r="AQ85" s="470"/>
      <c r="AR85" s="470"/>
      <c r="AS85" s="470"/>
      <c r="AT85" s="470"/>
      <c r="AU85" s="470"/>
      <c r="AV85" s="470"/>
      <c r="AW85" s="470"/>
      <c r="AX85" s="742"/>
      <c r="BC85" s="97"/>
      <c r="BD85" s="97"/>
      <c r="BE85" s="97"/>
      <c r="BF85" s="97"/>
      <c r="BG85" s="97"/>
      <c r="BH85" s="97"/>
      <c r="BI85" s="97"/>
      <c r="BJ85" s="97"/>
      <c r="BK85" s="97"/>
      <c r="BL85" s="97"/>
      <c r="BM85" s="97"/>
      <c r="BN85" s="97"/>
      <c r="BO85" s="97"/>
      <c r="BP85" s="97"/>
      <c r="BQ85" s="97"/>
      <c r="BR85" s="97"/>
      <c r="BS85" s="97"/>
      <c r="BT85" s="97"/>
      <c r="BU85" s="97"/>
      <c r="BV85" s="97"/>
      <c r="BW85" s="97"/>
      <c r="BX85" s="97"/>
      <c r="BY85" s="97"/>
      <c r="BZ85" s="97"/>
      <c r="CA85" s="97"/>
      <c r="CB85" s="97"/>
      <c r="CC85" s="97"/>
      <c r="CD85" s="97"/>
      <c r="CE85" s="97"/>
      <c r="CF85" s="97"/>
      <c r="CG85" s="468"/>
      <c r="CH85" s="468"/>
      <c r="CI85" s="468"/>
    </row>
    <row r="86" spans="1:87" s="100" customFormat="1" ht="15.75" customHeight="1">
      <c r="A86" s="46"/>
      <c r="B86" s="97"/>
      <c r="C86" s="97"/>
      <c r="D86" s="97"/>
      <c r="E86" s="97"/>
      <c r="F86" s="97"/>
      <c r="G86" s="97"/>
      <c r="H86" s="97"/>
      <c r="I86" s="97"/>
      <c r="J86" s="97"/>
      <c r="K86" s="97"/>
      <c r="L86" s="97"/>
      <c r="M86" s="97"/>
      <c r="N86" s="97"/>
      <c r="O86" s="97"/>
      <c r="P86" s="97"/>
      <c r="Q86" s="741"/>
      <c r="R86" s="97"/>
      <c r="S86" s="97"/>
      <c r="T86" s="97"/>
      <c r="U86" s="97"/>
      <c r="V86" s="97"/>
      <c r="W86" s="97"/>
      <c r="X86" s="97"/>
      <c r="Y86" s="97"/>
      <c r="Z86" s="97"/>
      <c r="AA86" s="97"/>
      <c r="AB86" s="97"/>
      <c r="AC86" s="97"/>
      <c r="AD86" s="97"/>
      <c r="AE86" s="470"/>
      <c r="AF86" s="470"/>
      <c r="AG86" s="470"/>
      <c r="AH86" s="470"/>
      <c r="AI86" s="470"/>
      <c r="AJ86" s="470"/>
      <c r="AK86" s="470"/>
      <c r="AL86" s="470"/>
      <c r="AM86" s="470"/>
      <c r="AN86" s="470"/>
      <c r="AO86" s="470"/>
      <c r="AP86" s="470"/>
      <c r="AQ86" s="470"/>
      <c r="AR86" s="470"/>
      <c r="AS86" s="470"/>
      <c r="AT86" s="470"/>
      <c r="AU86" s="470"/>
      <c r="AV86" s="470"/>
      <c r="AW86" s="470"/>
      <c r="AX86" s="742"/>
      <c r="BC86" s="97"/>
      <c r="BD86" s="97"/>
      <c r="BE86" s="97"/>
      <c r="BF86" s="97"/>
      <c r="BG86" s="97"/>
      <c r="BH86" s="97"/>
      <c r="BI86" s="97"/>
      <c r="BJ86" s="97"/>
      <c r="BK86" s="97"/>
      <c r="BL86" s="97"/>
      <c r="BM86" s="97"/>
      <c r="BN86" s="97"/>
      <c r="BO86" s="97"/>
      <c r="BP86" s="97"/>
      <c r="BQ86" s="97"/>
      <c r="BR86" s="97"/>
      <c r="BS86" s="97"/>
      <c r="BT86" s="97"/>
      <c r="BU86" s="97"/>
      <c r="BV86" s="97"/>
      <c r="BW86" s="97"/>
      <c r="BX86" s="97"/>
      <c r="BY86" s="97"/>
      <c r="BZ86" s="97"/>
      <c r="CA86" s="97"/>
      <c r="CB86" s="97"/>
      <c r="CC86" s="97"/>
      <c r="CD86" s="97"/>
      <c r="CE86" s="97"/>
      <c r="CF86" s="97"/>
      <c r="CG86" s="468"/>
      <c r="CH86" s="468"/>
      <c r="CI86" s="468"/>
    </row>
    <row r="87" spans="1:87" s="100" customFormat="1" ht="15.75" customHeight="1">
      <c r="A87" s="46"/>
      <c r="B87" s="97"/>
      <c r="C87" s="97"/>
      <c r="D87" s="97"/>
      <c r="E87" s="97"/>
      <c r="F87" s="97"/>
      <c r="G87" s="97"/>
      <c r="H87" s="97"/>
      <c r="I87" s="97"/>
      <c r="J87" s="97"/>
      <c r="K87" s="97"/>
      <c r="L87" s="97"/>
      <c r="M87" s="97"/>
      <c r="N87" s="97"/>
      <c r="O87" s="97"/>
      <c r="P87" s="97"/>
      <c r="Q87" s="741"/>
      <c r="R87" s="97"/>
      <c r="S87" s="97"/>
      <c r="T87" s="97"/>
      <c r="U87" s="97"/>
      <c r="V87" s="97"/>
      <c r="W87" s="97"/>
      <c r="X87" s="97"/>
      <c r="Y87" s="97"/>
      <c r="Z87" s="97"/>
      <c r="AA87" s="97"/>
      <c r="AB87" s="97"/>
      <c r="AC87" s="97"/>
      <c r="AD87" s="97"/>
      <c r="AE87" s="470"/>
      <c r="AF87" s="470"/>
      <c r="AG87" s="470"/>
      <c r="AH87" s="470"/>
      <c r="AI87" s="470"/>
      <c r="AJ87" s="470"/>
      <c r="AK87" s="470"/>
      <c r="AL87" s="470"/>
      <c r="AM87" s="470"/>
      <c r="AN87" s="470"/>
      <c r="AO87" s="470"/>
      <c r="AP87" s="470"/>
      <c r="AQ87" s="470"/>
      <c r="AR87" s="470"/>
      <c r="AS87" s="470"/>
      <c r="AT87" s="470"/>
      <c r="AU87" s="470"/>
      <c r="AV87" s="470"/>
      <c r="AW87" s="470"/>
      <c r="AX87" s="742"/>
      <c r="BC87" s="97"/>
      <c r="BD87" s="97"/>
      <c r="BE87" s="97"/>
      <c r="BF87" s="97"/>
      <c r="BG87" s="97"/>
      <c r="BH87" s="97"/>
      <c r="BI87" s="97"/>
      <c r="BJ87" s="97"/>
      <c r="BK87" s="97"/>
      <c r="BL87" s="97"/>
      <c r="BM87" s="97"/>
      <c r="BN87" s="97"/>
      <c r="BO87" s="97"/>
      <c r="BP87" s="97"/>
      <c r="BQ87" s="97"/>
      <c r="BR87" s="97"/>
      <c r="BS87" s="97"/>
      <c r="BT87" s="97"/>
      <c r="BU87" s="97"/>
      <c r="BV87" s="97"/>
      <c r="BW87" s="97"/>
      <c r="BX87" s="97"/>
      <c r="BY87" s="97"/>
      <c r="BZ87" s="97"/>
      <c r="CA87" s="97"/>
      <c r="CB87" s="97"/>
      <c r="CC87" s="97"/>
      <c r="CD87" s="97"/>
      <c r="CE87" s="97"/>
      <c r="CF87" s="97"/>
      <c r="CG87" s="468"/>
      <c r="CH87" s="468"/>
      <c r="CI87" s="468"/>
    </row>
    <row r="88" spans="1:87" s="100" customFormat="1" ht="15.75" customHeight="1">
      <c r="A88" s="46"/>
      <c r="B88" s="97"/>
      <c r="C88" s="97"/>
      <c r="D88" s="97"/>
      <c r="E88" s="97"/>
      <c r="F88" s="97"/>
      <c r="G88" s="97"/>
      <c r="H88" s="97"/>
      <c r="I88" s="97"/>
      <c r="J88" s="97"/>
      <c r="K88" s="97"/>
      <c r="L88" s="97"/>
      <c r="M88" s="97"/>
      <c r="N88" s="97"/>
      <c r="O88" s="97"/>
      <c r="P88" s="97"/>
      <c r="Q88" s="741"/>
      <c r="R88" s="97"/>
      <c r="S88" s="97"/>
      <c r="T88" s="97"/>
      <c r="U88" s="97"/>
      <c r="V88" s="97"/>
      <c r="W88" s="97"/>
      <c r="X88" s="97"/>
      <c r="Y88" s="97"/>
      <c r="Z88" s="97"/>
      <c r="AA88" s="97"/>
      <c r="AB88" s="97"/>
      <c r="AC88" s="97"/>
      <c r="AD88" s="97"/>
      <c r="AE88" s="470"/>
      <c r="AF88" s="470"/>
      <c r="AG88" s="470"/>
      <c r="AH88" s="470"/>
      <c r="AI88" s="470"/>
      <c r="AJ88" s="470"/>
      <c r="AK88" s="470"/>
      <c r="AL88" s="470"/>
      <c r="AM88" s="470"/>
      <c r="AN88" s="470"/>
      <c r="AO88" s="470"/>
      <c r="AP88" s="470"/>
      <c r="AQ88" s="470"/>
      <c r="AR88" s="470"/>
      <c r="AS88" s="470"/>
      <c r="AT88" s="470"/>
      <c r="AU88" s="470"/>
      <c r="AV88" s="470"/>
      <c r="AW88" s="470"/>
      <c r="AX88" s="742"/>
      <c r="BC88" s="97"/>
      <c r="BD88" s="97"/>
      <c r="BE88" s="97"/>
      <c r="BF88" s="97"/>
      <c r="BG88" s="97"/>
      <c r="BH88" s="97"/>
      <c r="BI88" s="97"/>
      <c r="BJ88" s="97"/>
      <c r="BK88" s="97"/>
      <c r="BL88" s="97"/>
      <c r="BM88" s="97"/>
      <c r="BN88" s="97"/>
      <c r="BO88" s="97"/>
      <c r="BP88" s="97"/>
      <c r="BQ88" s="97"/>
      <c r="BR88" s="97"/>
      <c r="BS88" s="97"/>
      <c r="BT88" s="97"/>
      <c r="BU88" s="97"/>
      <c r="BV88" s="97"/>
      <c r="BW88" s="97"/>
      <c r="BX88" s="97"/>
      <c r="BY88" s="97"/>
      <c r="BZ88" s="97"/>
      <c r="CA88" s="97"/>
      <c r="CB88" s="97"/>
      <c r="CC88" s="97"/>
      <c r="CD88" s="97"/>
      <c r="CE88" s="97"/>
      <c r="CF88" s="97"/>
      <c r="CG88" s="468"/>
      <c r="CH88" s="468"/>
      <c r="CI88" s="468"/>
    </row>
    <row r="89" spans="1:87" s="100" customFormat="1" ht="15.75" customHeight="1">
      <c r="A89" s="46"/>
      <c r="B89" s="97"/>
      <c r="C89" s="97"/>
      <c r="D89" s="97"/>
      <c r="E89" s="97"/>
      <c r="F89" s="97"/>
      <c r="G89" s="97"/>
      <c r="H89" s="97"/>
      <c r="I89" s="97"/>
      <c r="J89" s="97"/>
      <c r="K89" s="97"/>
      <c r="L89" s="97"/>
      <c r="M89" s="97"/>
      <c r="N89" s="97"/>
      <c r="O89" s="97"/>
      <c r="P89" s="97"/>
      <c r="Q89" s="741"/>
      <c r="R89" s="97"/>
      <c r="S89" s="97"/>
      <c r="T89" s="97"/>
      <c r="U89" s="97"/>
      <c r="V89" s="97"/>
      <c r="W89" s="97"/>
      <c r="X89" s="97"/>
      <c r="Y89" s="97"/>
      <c r="Z89" s="97"/>
      <c r="AA89" s="97"/>
      <c r="AB89" s="97"/>
      <c r="AC89" s="97"/>
      <c r="AD89" s="97"/>
      <c r="AE89" s="470"/>
      <c r="AF89" s="470"/>
      <c r="AG89" s="470"/>
      <c r="AH89" s="470"/>
      <c r="AI89" s="470"/>
      <c r="AJ89" s="470"/>
      <c r="AK89" s="470"/>
      <c r="AL89" s="470"/>
      <c r="AM89" s="470"/>
      <c r="AN89" s="470"/>
      <c r="AO89" s="470"/>
      <c r="AP89" s="470"/>
      <c r="AQ89" s="470"/>
      <c r="AR89" s="470"/>
      <c r="AS89" s="470"/>
      <c r="AT89" s="470"/>
      <c r="AU89" s="470"/>
      <c r="AV89" s="470"/>
      <c r="AW89" s="470"/>
      <c r="AX89" s="742"/>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97"/>
      <c r="CE89" s="97"/>
      <c r="CF89" s="97"/>
      <c r="CG89" s="468"/>
      <c r="CH89" s="468"/>
      <c r="CI89" s="468"/>
    </row>
    <row r="90" spans="1:87" s="100" customFormat="1" ht="15.75" customHeight="1">
      <c r="A90" s="46"/>
      <c r="B90" s="97"/>
      <c r="C90" s="97"/>
      <c r="D90" s="97"/>
      <c r="E90" s="97"/>
      <c r="F90" s="97"/>
      <c r="G90" s="97"/>
      <c r="H90" s="97"/>
      <c r="I90" s="97"/>
      <c r="J90" s="97"/>
      <c r="K90" s="97"/>
      <c r="L90" s="97"/>
      <c r="M90" s="97"/>
      <c r="N90" s="97"/>
      <c r="O90" s="97"/>
      <c r="P90" s="97"/>
      <c r="Q90" s="741"/>
      <c r="R90" s="97"/>
      <c r="S90" s="97"/>
      <c r="T90" s="97"/>
      <c r="U90" s="97"/>
      <c r="V90" s="97"/>
      <c r="W90" s="97"/>
      <c r="X90" s="97"/>
      <c r="Y90" s="97"/>
      <c r="Z90" s="97"/>
      <c r="AA90" s="97"/>
      <c r="AB90" s="97"/>
      <c r="AC90" s="97"/>
      <c r="AD90" s="97"/>
      <c r="AE90" s="470"/>
      <c r="AF90" s="470"/>
      <c r="AG90" s="470"/>
      <c r="AH90" s="470"/>
      <c r="AI90" s="470"/>
      <c r="AJ90" s="470"/>
      <c r="AK90" s="470"/>
      <c r="AL90" s="470"/>
      <c r="AM90" s="470"/>
      <c r="AN90" s="470"/>
      <c r="AO90" s="470"/>
      <c r="AP90" s="470"/>
      <c r="AQ90" s="470"/>
      <c r="AR90" s="470"/>
      <c r="AS90" s="470"/>
      <c r="AT90" s="470"/>
      <c r="AU90" s="470"/>
      <c r="AV90" s="470"/>
      <c r="AW90" s="470"/>
      <c r="AX90" s="742"/>
      <c r="BC90" s="97"/>
      <c r="BD90" s="97"/>
      <c r="BE90" s="97"/>
      <c r="BF90" s="97"/>
      <c r="BG90" s="97"/>
      <c r="BH90" s="97"/>
      <c r="BI90" s="97"/>
      <c r="BJ90" s="97"/>
      <c r="BK90" s="97"/>
      <c r="BL90" s="97"/>
      <c r="BM90" s="97"/>
      <c r="BN90" s="97"/>
      <c r="BO90" s="97"/>
      <c r="BP90" s="97"/>
      <c r="BQ90" s="97"/>
      <c r="BR90" s="97"/>
      <c r="BS90" s="97"/>
      <c r="BT90" s="97"/>
      <c r="BU90" s="97"/>
      <c r="BV90" s="97"/>
      <c r="BW90" s="97"/>
      <c r="BX90" s="97"/>
      <c r="BY90" s="97"/>
      <c r="BZ90" s="97"/>
      <c r="CA90" s="97"/>
      <c r="CB90" s="97"/>
      <c r="CC90" s="97"/>
      <c r="CD90" s="97"/>
      <c r="CE90" s="97"/>
      <c r="CF90" s="97"/>
      <c r="CG90" s="468"/>
      <c r="CH90" s="468"/>
      <c r="CI90" s="468"/>
    </row>
    <row r="91" spans="1:87" s="100" customFormat="1" ht="15.75" customHeight="1">
      <c r="A91" s="46"/>
      <c r="B91" s="97"/>
      <c r="C91" s="97"/>
      <c r="D91" s="97"/>
      <c r="E91" s="97"/>
      <c r="F91" s="97"/>
      <c r="G91" s="97"/>
      <c r="H91" s="97"/>
      <c r="I91" s="97"/>
      <c r="J91" s="97"/>
      <c r="K91" s="97"/>
      <c r="L91" s="97"/>
      <c r="M91" s="97"/>
      <c r="N91" s="97"/>
      <c r="O91" s="97"/>
      <c r="P91" s="97"/>
      <c r="Q91" s="741"/>
      <c r="R91" s="97"/>
      <c r="S91" s="97"/>
      <c r="T91" s="97"/>
      <c r="U91" s="97"/>
      <c r="V91" s="97"/>
      <c r="W91" s="97"/>
      <c r="X91" s="97"/>
      <c r="Y91" s="97"/>
      <c r="Z91" s="97"/>
      <c r="AA91" s="97"/>
      <c r="AB91" s="97"/>
      <c r="AC91" s="97"/>
      <c r="AD91" s="97"/>
      <c r="AE91" s="470"/>
      <c r="AF91" s="470"/>
      <c r="AG91" s="470"/>
      <c r="AH91" s="470"/>
      <c r="AI91" s="470"/>
      <c r="AJ91" s="470"/>
      <c r="AK91" s="470"/>
      <c r="AL91" s="470"/>
      <c r="AM91" s="470"/>
      <c r="AN91" s="470"/>
      <c r="AO91" s="470"/>
      <c r="AP91" s="470"/>
      <c r="AQ91" s="470"/>
      <c r="AR91" s="470"/>
      <c r="AS91" s="470"/>
      <c r="AT91" s="470"/>
      <c r="AU91" s="470"/>
      <c r="AV91" s="470"/>
      <c r="AW91" s="470"/>
      <c r="AX91" s="742"/>
      <c r="BC91" s="97"/>
      <c r="BD91" s="97"/>
      <c r="BE91" s="97"/>
      <c r="BF91" s="97"/>
      <c r="BG91" s="97"/>
      <c r="BH91" s="97"/>
      <c r="BI91" s="97"/>
      <c r="BJ91" s="97"/>
      <c r="BK91" s="97"/>
      <c r="BL91" s="97"/>
      <c r="BM91" s="97"/>
      <c r="BN91" s="97"/>
      <c r="BO91" s="97"/>
      <c r="BP91" s="97"/>
      <c r="BQ91" s="97"/>
      <c r="BR91" s="97"/>
      <c r="BS91" s="97"/>
      <c r="BT91" s="97"/>
      <c r="BU91" s="97"/>
      <c r="BV91" s="97"/>
      <c r="BW91" s="97"/>
      <c r="BX91" s="97"/>
      <c r="BY91" s="97"/>
      <c r="BZ91" s="97"/>
      <c r="CA91" s="97"/>
      <c r="CB91" s="97"/>
      <c r="CC91" s="97"/>
      <c r="CD91" s="97"/>
      <c r="CE91" s="97"/>
      <c r="CF91" s="97"/>
      <c r="CG91" s="468"/>
      <c r="CH91" s="468"/>
      <c r="CI91" s="468"/>
    </row>
    <row r="92" spans="1:87" s="100" customFormat="1" ht="15.75" customHeight="1">
      <c r="A92" s="46"/>
      <c r="B92" s="97"/>
      <c r="C92" s="97"/>
      <c r="D92" s="97"/>
      <c r="E92" s="97"/>
      <c r="F92" s="97"/>
      <c r="G92" s="97"/>
      <c r="H92" s="97"/>
      <c r="I92" s="97"/>
      <c r="J92" s="97"/>
      <c r="K92" s="97"/>
      <c r="L92" s="97"/>
      <c r="M92" s="97"/>
      <c r="N92" s="97"/>
      <c r="O92" s="97"/>
      <c r="P92" s="97"/>
      <c r="Q92" s="741"/>
      <c r="R92" s="97"/>
      <c r="S92" s="97"/>
      <c r="T92" s="97"/>
      <c r="U92" s="97"/>
      <c r="V92" s="97"/>
      <c r="W92" s="97"/>
      <c r="X92" s="97"/>
      <c r="Y92" s="97"/>
      <c r="Z92" s="97"/>
      <c r="AA92" s="97"/>
      <c r="AB92" s="97"/>
      <c r="AC92" s="97"/>
      <c r="AD92" s="97"/>
      <c r="AE92" s="470"/>
      <c r="AF92" s="470"/>
      <c r="AG92" s="470"/>
      <c r="AH92" s="470"/>
      <c r="AI92" s="470"/>
      <c r="AJ92" s="470"/>
      <c r="AK92" s="470"/>
      <c r="AL92" s="470"/>
      <c r="AM92" s="470"/>
      <c r="AN92" s="470"/>
      <c r="AO92" s="470"/>
      <c r="AP92" s="470"/>
      <c r="AQ92" s="470"/>
      <c r="AR92" s="470"/>
      <c r="AS92" s="470"/>
      <c r="AT92" s="470"/>
      <c r="AU92" s="470"/>
      <c r="AV92" s="470"/>
      <c r="AW92" s="470"/>
      <c r="AX92" s="742"/>
      <c r="BC92" s="97"/>
      <c r="BD92" s="97"/>
      <c r="BE92" s="97"/>
      <c r="BF92" s="97"/>
      <c r="BG92" s="97"/>
      <c r="BH92" s="97"/>
      <c r="BI92" s="97"/>
      <c r="BJ92" s="97"/>
      <c r="BK92" s="97"/>
      <c r="BL92" s="97"/>
      <c r="BM92" s="97"/>
      <c r="BN92" s="97"/>
      <c r="BO92" s="97"/>
      <c r="BP92" s="97"/>
      <c r="BQ92" s="97"/>
      <c r="BR92" s="97"/>
      <c r="BS92" s="97"/>
      <c r="BT92" s="97"/>
      <c r="BU92" s="97"/>
      <c r="BV92" s="97"/>
      <c r="BW92" s="97"/>
      <c r="BX92" s="97"/>
      <c r="BY92" s="97"/>
      <c r="BZ92" s="97"/>
      <c r="CA92" s="97"/>
      <c r="CB92" s="97"/>
      <c r="CC92" s="97"/>
      <c r="CD92" s="97"/>
      <c r="CE92" s="97"/>
      <c r="CF92" s="97"/>
      <c r="CG92" s="468"/>
      <c r="CH92" s="468"/>
      <c r="CI92" s="468"/>
    </row>
    <row r="93" spans="1:87" s="100" customFormat="1" ht="15.75" customHeight="1">
      <c r="A93" s="46"/>
      <c r="B93" s="97"/>
      <c r="C93" s="97"/>
      <c r="D93" s="97"/>
      <c r="E93" s="97"/>
      <c r="F93" s="97"/>
      <c r="G93" s="97"/>
      <c r="H93" s="97"/>
      <c r="I93" s="97"/>
      <c r="J93" s="97"/>
      <c r="K93" s="97"/>
      <c r="L93" s="97"/>
      <c r="M93" s="97"/>
      <c r="N93" s="97"/>
      <c r="O93" s="97"/>
      <c r="P93" s="97"/>
      <c r="Q93" s="741"/>
      <c r="R93" s="97"/>
      <c r="S93" s="97"/>
      <c r="T93" s="97"/>
      <c r="U93" s="97"/>
      <c r="V93" s="97"/>
      <c r="W93" s="97"/>
      <c r="X93" s="97"/>
      <c r="Y93" s="97"/>
      <c r="Z93" s="97"/>
      <c r="AA93" s="97"/>
      <c r="AB93" s="97"/>
      <c r="AC93" s="97"/>
      <c r="AD93" s="97"/>
      <c r="AE93" s="470"/>
      <c r="AF93" s="470"/>
      <c r="AG93" s="470"/>
      <c r="AH93" s="470"/>
      <c r="AI93" s="470"/>
      <c r="AJ93" s="470"/>
      <c r="AK93" s="470"/>
      <c r="AL93" s="470"/>
      <c r="AM93" s="470"/>
      <c r="AN93" s="470"/>
      <c r="AO93" s="470"/>
      <c r="AP93" s="470"/>
      <c r="AQ93" s="470"/>
      <c r="AR93" s="470"/>
      <c r="AS93" s="470"/>
      <c r="AT93" s="470"/>
      <c r="AU93" s="470"/>
      <c r="AV93" s="470"/>
      <c r="AW93" s="470"/>
      <c r="AX93" s="742"/>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97"/>
      <c r="CA93" s="97"/>
      <c r="CB93" s="97"/>
      <c r="CC93" s="97"/>
      <c r="CD93" s="97"/>
      <c r="CE93" s="97"/>
      <c r="CF93" s="97"/>
      <c r="CG93" s="468"/>
      <c r="CH93" s="468"/>
      <c r="CI93" s="468"/>
    </row>
    <row r="94" spans="1:87" s="100" customFormat="1" ht="15.75" customHeight="1">
      <c r="A94" s="46"/>
      <c r="B94" s="97"/>
      <c r="C94" s="97"/>
      <c r="D94" s="97"/>
      <c r="E94" s="97"/>
      <c r="F94" s="97"/>
      <c r="G94" s="97"/>
      <c r="H94" s="97"/>
      <c r="I94" s="97"/>
      <c r="J94" s="97"/>
      <c r="K94" s="97"/>
      <c r="L94" s="97"/>
      <c r="M94" s="97"/>
      <c r="N94" s="97"/>
      <c r="O94" s="97"/>
      <c r="P94" s="97"/>
      <c r="Q94" s="741"/>
      <c r="R94" s="97"/>
      <c r="S94" s="97"/>
      <c r="T94" s="97"/>
      <c r="U94" s="97"/>
      <c r="V94" s="97"/>
      <c r="W94" s="97"/>
      <c r="X94" s="97"/>
      <c r="Y94" s="97"/>
      <c r="Z94" s="97"/>
      <c r="AA94" s="97"/>
      <c r="AB94" s="97"/>
      <c r="AC94" s="97"/>
      <c r="AD94" s="97"/>
      <c r="AE94" s="470"/>
      <c r="AF94" s="470"/>
      <c r="AG94" s="470"/>
      <c r="AH94" s="470"/>
      <c r="AI94" s="470"/>
      <c r="AJ94" s="470"/>
      <c r="AK94" s="470"/>
      <c r="AL94" s="470"/>
      <c r="AM94" s="470"/>
      <c r="AN94" s="470"/>
      <c r="AO94" s="470"/>
      <c r="AP94" s="470"/>
      <c r="AQ94" s="470"/>
      <c r="AR94" s="470"/>
      <c r="AS94" s="470"/>
      <c r="AT94" s="470"/>
      <c r="AU94" s="470"/>
      <c r="AV94" s="470"/>
      <c r="AW94" s="470"/>
      <c r="AX94" s="742"/>
      <c r="BC94" s="97"/>
      <c r="BD94" s="97"/>
      <c r="BE94" s="97"/>
      <c r="BF94" s="97"/>
      <c r="BG94" s="97"/>
      <c r="BH94" s="97"/>
      <c r="BI94" s="97"/>
      <c r="BJ94" s="97"/>
      <c r="BK94" s="97"/>
      <c r="BL94" s="97"/>
      <c r="BM94" s="97"/>
      <c r="BN94" s="97"/>
      <c r="BO94" s="97"/>
      <c r="BP94" s="97"/>
      <c r="BQ94" s="97"/>
      <c r="BR94" s="97"/>
      <c r="BS94" s="97"/>
      <c r="BT94" s="97"/>
      <c r="BU94" s="97"/>
      <c r="BV94" s="97"/>
      <c r="BW94" s="97"/>
      <c r="BX94" s="97"/>
      <c r="BY94" s="97"/>
      <c r="BZ94" s="97"/>
      <c r="CA94" s="97"/>
      <c r="CB94" s="97"/>
      <c r="CC94" s="97"/>
      <c r="CD94" s="97"/>
      <c r="CE94" s="97"/>
      <c r="CF94" s="97"/>
      <c r="CG94" s="468"/>
      <c r="CH94" s="468"/>
      <c r="CI94" s="468"/>
    </row>
    <row r="95" spans="1:87" s="100" customFormat="1" ht="15.75" customHeight="1">
      <c r="A95" s="46"/>
      <c r="B95" s="97"/>
      <c r="C95" s="97"/>
      <c r="D95" s="97"/>
      <c r="E95" s="97"/>
      <c r="F95" s="97"/>
      <c r="G95" s="97"/>
      <c r="H95" s="97"/>
      <c r="I95" s="97"/>
      <c r="J95" s="97"/>
      <c r="K95" s="97"/>
      <c r="L95" s="97"/>
      <c r="M95" s="97"/>
      <c r="N95" s="97"/>
      <c r="O95" s="97"/>
      <c r="P95" s="97"/>
      <c r="Q95" s="741"/>
      <c r="R95" s="97"/>
      <c r="S95" s="97"/>
      <c r="T95" s="97"/>
      <c r="U95" s="97"/>
      <c r="V95" s="97"/>
      <c r="W95" s="97"/>
      <c r="X95" s="97"/>
      <c r="Y95" s="97"/>
      <c r="Z95" s="97"/>
      <c r="AA95" s="97"/>
      <c r="AB95" s="97"/>
      <c r="AC95" s="97"/>
      <c r="AD95" s="97"/>
      <c r="AE95" s="470"/>
      <c r="AF95" s="470"/>
      <c r="AG95" s="470"/>
      <c r="AH95" s="470"/>
      <c r="AI95" s="470"/>
      <c r="AJ95" s="470"/>
      <c r="AK95" s="470"/>
      <c r="AL95" s="470"/>
      <c r="AM95" s="470"/>
      <c r="AN95" s="470"/>
      <c r="AO95" s="470"/>
      <c r="AP95" s="470"/>
      <c r="AQ95" s="470"/>
      <c r="AR95" s="470"/>
      <c r="AS95" s="470"/>
      <c r="AT95" s="470"/>
      <c r="AU95" s="470"/>
      <c r="AV95" s="470"/>
      <c r="AW95" s="470"/>
      <c r="AX95" s="742"/>
      <c r="BC95" s="97"/>
      <c r="BD95" s="97"/>
      <c r="BE95" s="97"/>
      <c r="BF95" s="97"/>
      <c r="BG95" s="97"/>
      <c r="BH95" s="97"/>
      <c r="BI95" s="97"/>
      <c r="BJ95" s="97"/>
      <c r="BK95" s="97"/>
      <c r="BL95" s="97"/>
      <c r="BM95" s="97"/>
      <c r="BN95" s="97"/>
      <c r="BO95" s="97"/>
      <c r="BP95" s="97"/>
      <c r="BQ95" s="97"/>
      <c r="BR95" s="97"/>
      <c r="BS95" s="97"/>
      <c r="BT95" s="97"/>
      <c r="BU95" s="97"/>
      <c r="BV95" s="97"/>
      <c r="BW95" s="97"/>
      <c r="BX95" s="97"/>
      <c r="BY95" s="97"/>
      <c r="BZ95" s="97"/>
      <c r="CA95" s="97"/>
      <c r="CB95" s="97"/>
      <c r="CC95" s="97"/>
      <c r="CD95" s="97"/>
      <c r="CE95" s="97"/>
      <c r="CF95" s="97"/>
      <c r="CG95" s="468"/>
      <c r="CH95" s="468"/>
      <c r="CI95" s="468"/>
    </row>
    <row r="96" spans="1:87" s="100" customFormat="1" ht="15.75" customHeight="1">
      <c r="A96" s="46"/>
      <c r="B96" s="97"/>
      <c r="C96" s="97"/>
      <c r="D96" s="97"/>
      <c r="E96" s="97"/>
      <c r="F96" s="97"/>
      <c r="G96" s="97"/>
      <c r="H96" s="97"/>
      <c r="I96" s="97"/>
      <c r="J96" s="97"/>
      <c r="K96" s="97"/>
      <c r="L96" s="97"/>
      <c r="M96" s="97"/>
      <c r="N96" s="97"/>
      <c r="O96" s="97"/>
      <c r="P96" s="97"/>
      <c r="Q96" s="741"/>
      <c r="R96" s="97"/>
      <c r="S96" s="97"/>
      <c r="T96" s="97"/>
      <c r="U96" s="97"/>
      <c r="V96" s="97"/>
      <c r="W96" s="97"/>
      <c r="X96" s="97"/>
      <c r="Y96" s="97"/>
      <c r="Z96" s="97"/>
      <c r="AA96" s="97"/>
      <c r="AB96" s="97"/>
      <c r="AC96" s="97"/>
      <c r="AD96" s="97"/>
      <c r="AE96" s="470"/>
      <c r="AF96" s="470"/>
      <c r="AG96" s="470"/>
      <c r="AH96" s="470"/>
      <c r="AI96" s="470"/>
      <c r="AJ96" s="470"/>
      <c r="AK96" s="470"/>
      <c r="AL96" s="470"/>
      <c r="AM96" s="470"/>
      <c r="AN96" s="470"/>
      <c r="AO96" s="470"/>
      <c r="AP96" s="470"/>
      <c r="AQ96" s="470"/>
      <c r="AR96" s="470"/>
      <c r="AS96" s="470"/>
      <c r="AT96" s="470"/>
      <c r="AU96" s="470"/>
      <c r="AV96" s="470"/>
      <c r="AW96" s="470"/>
      <c r="AX96" s="742"/>
      <c r="BC96" s="97"/>
      <c r="BD96" s="97"/>
      <c r="BE96" s="97"/>
      <c r="BF96" s="97"/>
      <c r="BG96" s="97"/>
      <c r="BH96" s="97"/>
      <c r="BI96" s="97"/>
      <c r="BJ96" s="97"/>
      <c r="BK96" s="97"/>
      <c r="BL96" s="97"/>
      <c r="BM96" s="97"/>
      <c r="BN96" s="97"/>
      <c r="BO96" s="97"/>
      <c r="BP96" s="97"/>
      <c r="BQ96" s="97"/>
      <c r="BR96" s="97"/>
      <c r="BS96" s="97"/>
      <c r="BT96" s="97"/>
      <c r="BU96" s="97"/>
      <c r="BV96" s="97"/>
      <c r="BW96" s="97"/>
      <c r="BX96" s="97"/>
      <c r="BY96" s="97"/>
      <c r="BZ96" s="97"/>
      <c r="CA96" s="97"/>
      <c r="CB96" s="97"/>
      <c r="CC96" s="97"/>
      <c r="CD96" s="97"/>
      <c r="CE96" s="97"/>
      <c r="CF96" s="97"/>
      <c r="CG96" s="468"/>
      <c r="CH96" s="468"/>
      <c r="CI96" s="468"/>
    </row>
    <row r="97" spans="1:88" s="100" customFormat="1" ht="15.75" customHeight="1">
      <c r="A97" s="46"/>
      <c r="B97" s="97"/>
      <c r="C97" s="97"/>
      <c r="D97" s="97"/>
      <c r="E97" s="97"/>
      <c r="F97" s="97"/>
      <c r="G97" s="97"/>
      <c r="H97" s="97"/>
      <c r="I97" s="97"/>
      <c r="J97" s="97"/>
      <c r="K97" s="97"/>
      <c r="L97" s="97"/>
      <c r="M97" s="97"/>
      <c r="N97" s="97"/>
      <c r="O97" s="97"/>
      <c r="P97" s="97"/>
      <c r="Q97" s="741"/>
      <c r="R97" s="97"/>
      <c r="S97" s="97"/>
      <c r="T97" s="97"/>
      <c r="U97" s="97"/>
      <c r="V97" s="97"/>
      <c r="W97" s="97"/>
      <c r="X97" s="97"/>
      <c r="Y97" s="97"/>
      <c r="Z97" s="97"/>
      <c r="AA97" s="97"/>
      <c r="AB97" s="97"/>
      <c r="AC97" s="97"/>
      <c r="AD97" s="97"/>
      <c r="AE97" s="470"/>
      <c r="AF97" s="470"/>
      <c r="AG97" s="470"/>
      <c r="AH97" s="470"/>
      <c r="AI97" s="470"/>
      <c r="AJ97" s="470"/>
      <c r="AK97" s="470"/>
      <c r="AL97" s="470"/>
      <c r="AM97" s="470"/>
      <c r="AN97" s="470"/>
      <c r="AO97" s="470"/>
      <c r="AP97" s="470"/>
      <c r="AQ97" s="470"/>
      <c r="AR97" s="470"/>
      <c r="AS97" s="470"/>
      <c r="AT97" s="470"/>
      <c r="AU97" s="470"/>
      <c r="AV97" s="470"/>
      <c r="AW97" s="470"/>
      <c r="AX97" s="742"/>
      <c r="BC97" s="97"/>
      <c r="BD97" s="97"/>
      <c r="BE97" s="97"/>
      <c r="BF97" s="97"/>
      <c r="BG97" s="97"/>
      <c r="BH97" s="97"/>
      <c r="BI97" s="97"/>
      <c r="BJ97" s="97"/>
      <c r="BK97" s="97"/>
      <c r="BL97" s="97"/>
      <c r="BM97" s="97"/>
      <c r="BN97" s="97"/>
      <c r="BO97" s="97"/>
      <c r="BP97" s="97"/>
      <c r="BQ97" s="97"/>
      <c r="BR97" s="97"/>
      <c r="BS97" s="97"/>
      <c r="BT97" s="97"/>
      <c r="BU97" s="97"/>
      <c r="BV97" s="97"/>
      <c r="BW97" s="97"/>
      <c r="BX97" s="97"/>
      <c r="BY97" s="97"/>
      <c r="BZ97" s="97"/>
      <c r="CA97" s="97"/>
      <c r="CB97" s="97"/>
      <c r="CC97" s="97"/>
      <c r="CD97" s="97"/>
      <c r="CE97" s="97"/>
      <c r="CF97" s="97"/>
      <c r="CG97" s="468"/>
      <c r="CH97" s="468"/>
      <c r="CI97" s="468"/>
    </row>
    <row r="98" spans="1:88" s="100" customFormat="1" ht="15.75" customHeight="1">
      <c r="A98" s="46"/>
      <c r="B98" s="97"/>
      <c r="C98" s="97"/>
      <c r="D98" s="97"/>
      <c r="E98" s="97"/>
      <c r="F98" s="97"/>
      <c r="G98" s="97"/>
      <c r="H98" s="97"/>
      <c r="I98" s="97"/>
      <c r="J98" s="97"/>
      <c r="K98" s="97"/>
      <c r="L98" s="97"/>
      <c r="M98" s="97"/>
      <c r="N98" s="97"/>
      <c r="O98" s="97"/>
      <c r="P98" s="97"/>
      <c r="Q98" s="741"/>
      <c r="R98" s="97"/>
      <c r="S98" s="97"/>
      <c r="T98" s="97"/>
      <c r="U98" s="97"/>
      <c r="V98" s="97"/>
      <c r="W98" s="97"/>
      <c r="X98" s="97"/>
      <c r="Y98" s="97"/>
      <c r="Z98" s="97"/>
      <c r="AA98" s="97"/>
      <c r="AB98" s="97"/>
      <c r="AC98" s="97"/>
      <c r="AD98" s="97"/>
      <c r="AE98" s="470"/>
      <c r="AF98" s="470"/>
      <c r="AG98" s="470"/>
      <c r="AH98" s="470"/>
      <c r="AI98" s="470"/>
      <c r="AJ98" s="470"/>
      <c r="AK98" s="470"/>
      <c r="AL98" s="470"/>
      <c r="AM98" s="470"/>
      <c r="AN98" s="470"/>
      <c r="AO98" s="470"/>
      <c r="AP98" s="470"/>
      <c r="AQ98" s="470"/>
      <c r="AR98" s="470"/>
      <c r="AS98" s="470"/>
      <c r="AT98" s="470"/>
      <c r="AU98" s="470"/>
      <c r="AV98" s="470"/>
      <c r="AW98" s="470"/>
      <c r="AX98" s="742"/>
      <c r="BC98" s="97"/>
      <c r="BD98" s="97"/>
      <c r="BE98" s="97"/>
      <c r="BF98" s="97"/>
      <c r="BG98" s="97"/>
      <c r="BH98" s="97"/>
      <c r="BI98" s="97"/>
      <c r="BJ98" s="97"/>
      <c r="BK98" s="97"/>
      <c r="BL98" s="97"/>
      <c r="BM98" s="97"/>
      <c r="BN98" s="97"/>
      <c r="BO98" s="97"/>
      <c r="BP98" s="97"/>
      <c r="BQ98" s="97"/>
      <c r="BR98" s="97"/>
      <c r="BS98" s="97"/>
      <c r="BT98" s="97"/>
      <c r="BU98" s="97"/>
      <c r="BV98" s="97"/>
      <c r="BW98" s="97"/>
      <c r="BX98" s="97"/>
      <c r="BY98" s="97"/>
      <c r="BZ98" s="97"/>
      <c r="CA98" s="97"/>
      <c r="CB98" s="97"/>
      <c r="CC98" s="97"/>
      <c r="CD98" s="97"/>
      <c r="CE98" s="97"/>
      <c r="CF98" s="97"/>
      <c r="CG98" s="468"/>
      <c r="CH98" s="468"/>
      <c r="CI98" s="468"/>
    </row>
    <row r="99" spans="1:88" s="100" customFormat="1" ht="15.75" customHeight="1" thickBot="1">
      <c r="A99" s="764"/>
      <c r="B99" s="765"/>
      <c r="C99" s="765"/>
      <c r="D99" s="765"/>
      <c r="E99" s="765"/>
      <c r="F99" s="765"/>
      <c r="G99" s="765"/>
      <c r="H99" s="765"/>
      <c r="I99" s="765"/>
      <c r="J99" s="765"/>
      <c r="K99" s="765"/>
      <c r="L99" s="765"/>
      <c r="M99" s="765"/>
      <c r="N99" s="765"/>
      <c r="O99" s="765"/>
      <c r="P99" s="765"/>
      <c r="Q99" s="766"/>
      <c r="R99" s="765"/>
      <c r="S99" s="765"/>
      <c r="T99" s="765"/>
      <c r="U99" s="765"/>
      <c r="V99" s="765"/>
      <c r="W99" s="765"/>
      <c r="X99" s="765"/>
      <c r="Y99" s="765"/>
      <c r="Z99" s="765"/>
      <c r="AA99" s="765"/>
      <c r="AB99" s="765"/>
      <c r="AC99" s="765"/>
      <c r="AD99" s="765"/>
      <c r="AE99" s="765"/>
      <c r="AF99" s="765"/>
      <c r="AG99" s="765"/>
      <c r="AH99" s="765"/>
      <c r="AI99" s="765"/>
      <c r="AJ99" s="765"/>
      <c r="AK99" s="765"/>
      <c r="AL99" s="765"/>
      <c r="AM99" s="765"/>
      <c r="AN99" s="765"/>
      <c r="AO99" s="765"/>
      <c r="AP99" s="765"/>
      <c r="AQ99" s="765"/>
      <c r="AR99" s="765"/>
      <c r="AS99" s="765"/>
      <c r="AT99" s="765"/>
      <c r="AU99" s="765"/>
      <c r="AV99" s="765"/>
      <c r="AW99" s="765"/>
      <c r="AX99" s="773"/>
      <c r="BC99" s="97"/>
      <c r="BD99" s="97"/>
      <c r="BE99" s="97"/>
      <c r="BF99" s="97"/>
      <c r="BG99" s="97"/>
      <c r="BH99" s="97"/>
      <c r="BI99" s="97"/>
      <c r="BJ99" s="97"/>
      <c r="BK99" s="97"/>
      <c r="BL99" s="97"/>
      <c r="BM99" s="97"/>
      <c r="BN99" s="97"/>
      <c r="BO99" s="97"/>
      <c r="BP99" s="97"/>
      <c r="BQ99" s="97"/>
      <c r="BR99" s="97"/>
      <c r="BS99" s="97"/>
      <c r="BT99" s="97"/>
      <c r="BU99" s="97"/>
      <c r="BV99" s="97"/>
      <c r="BW99" s="97"/>
      <c r="BX99" s="97"/>
      <c r="BY99" s="97"/>
      <c r="BZ99" s="97"/>
      <c r="CA99" s="97"/>
      <c r="CB99" s="97"/>
      <c r="CC99" s="97"/>
      <c r="CD99" s="97"/>
      <c r="CE99" s="97"/>
      <c r="CF99" s="97"/>
      <c r="CG99" s="468"/>
      <c r="CH99" s="468"/>
      <c r="CI99" s="468"/>
    </row>
    <row r="100" spans="1:88">
      <c r="CJ100" s="100"/>
    </row>
  </sheetData>
  <mergeCells count="26">
    <mergeCell ref="AM2:AP2"/>
    <mergeCell ref="AW5:AX5"/>
    <mergeCell ref="AQ3:AT3"/>
    <mergeCell ref="AH1:AL1"/>
    <mergeCell ref="AM1:AP1"/>
    <mergeCell ref="AQ1:AT1"/>
    <mergeCell ref="AU1:AX1"/>
    <mergeCell ref="AQ2:AT2"/>
    <mergeCell ref="AU2:AX3"/>
    <mergeCell ref="AM3:AP3"/>
    <mergeCell ref="AH2:AL2"/>
    <mergeCell ref="A1:G3"/>
    <mergeCell ref="H1:K1"/>
    <mergeCell ref="L1:R1"/>
    <mergeCell ref="S1:V1"/>
    <mergeCell ref="W1:AC1"/>
    <mergeCell ref="S3:V3"/>
    <mergeCell ref="W3:AL3"/>
    <mergeCell ref="H2:K2"/>
    <mergeCell ref="L2:R2"/>
    <mergeCell ref="S2:V2"/>
    <mergeCell ref="AD1:AG1"/>
    <mergeCell ref="H3:K3"/>
    <mergeCell ref="L3:R3"/>
    <mergeCell ref="W2:AC2"/>
    <mergeCell ref="AD2:AG2"/>
  </mergeCells>
  <phoneticPr fontId="3"/>
  <pageMargins left="0.7" right="0.7" top="0.75" bottom="0.75" header="0.3" footer="0.3"/>
  <pageSetup paperSize="9" scale="62" orientation="portrait" r:id="rId1"/>
  <rowBreaks count="1" manualBreakCount="1">
    <brk id="49" max="49"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H26"/>
  <sheetViews>
    <sheetView showGridLines="0" zoomScale="90" zoomScaleNormal="90" zoomScaleSheetLayoutView="90" workbookViewId="0">
      <selection activeCell="N8" sqref="N8"/>
    </sheetView>
  </sheetViews>
  <sheetFormatPr defaultColWidth="9.33203125" defaultRowHeight="13.5" customHeight="1"/>
  <cols>
    <col min="1" max="1" width="6.6640625" style="78" customWidth="1"/>
    <col min="2" max="2" width="3.33203125" style="78" customWidth="1"/>
    <col min="3" max="3" width="23.33203125" style="78" customWidth="1"/>
    <col min="4" max="4" width="23.1640625" style="78" customWidth="1"/>
    <col min="5" max="5" width="3.33203125" style="78" customWidth="1"/>
    <col min="6" max="7" width="23.33203125" style="78" customWidth="1"/>
    <col min="8" max="8" width="60" style="78" customWidth="1"/>
    <col min="9" max="9" width="1.83203125" style="78" customWidth="1"/>
    <col min="10" max="212" width="9.33203125" style="78" customWidth="1"/>
    <col min="213" max="16384" width="9.33203125" style="78"/>
  </cols>
  <sheetData>
    <row r="1" spans="1:8" ht="13.5" customHeight="1">
      <c r="A1" s="665"/>
      <c r="B1" s="666"/>
      <c r="C1" s="666"/>
      <c r="D1" s="666"/>
      <c r="E1" s="666"/>
      <c r="F1" s="666"/>
      <c r="G1" s="666"/>
      <c r="H1" s="667"/>
    </row>
    <row r="2" spans="1:8" ht="13.5" customHeight="1">
      <c r="A2" s="668"/>
      <c r="B2" s="669"/>
      <c r="C2" s="669"/>
      <c r="D2" s="669"/>
      <c r="E2" s="669"/>
      <c r="F2" s="669"/>
      <c r="G2" s="669"/>
      <c r="H2" s="670"/>
    </row>
    <row r="3" spans="1:8" ht="13.5" customHeight="1">
      <c r="A3" s="668"/>
      <c r="B3" s="669"/>
      <c r="C3" s="669"/>
      <c r="D3" s="669"/>
      <c r="E3" s="669"/>
      <c r="F3" s="669"/>
      <c r="G3" s="669"/>
      <c r="H3" s="670"/>
    </row>
    <row r="4" spans="1:8" ht="6.75" customHeight="1" thickBot="1">
      <c r="A4" s="668"/>
      <c r="B4" s="669"/>
      <c r="C4" s="669"/>
      <c r="D4" s="669"/>
      <c r="E4" s="669"/>
      <c r="F4" s="669"/>
      <c r="G4" s="669"/>
      <c r="H4" s="670"/>
    </row>
    <row r="5" spans="1:8" s="79" customFormat="1" ht="13.5" customHeight="1">
      <c r="A5" s="82" t="s">
        <v>652</v>
      </c>
      <c r="B5" s="83"/>
      <c r="C5" s="84">
        <v>1</v>
      </c>
      <c r="D5" s="86" t="s">
        <v>1238</v>
      </c>
      <c r="E5" s="84" t="s">
        <v>54</v>
      </c>
      <c r="F5" s="85"/>
      <c r="G5" s="671" t="s">
        <v>36</v>
      </c>
      <c r="H5" s="87" t="s">
        <v>434</v>
      </c>
    </row>
    <row r="6" spans="1:8" s="79" customFormat="1" ht="13.5" customHeight="1">
      <c r="A6" s="672" t="s">
        <v>38</v>
      </c>
      <c r="B6" s="412"/>
      <c r="C6" s="414" t="s">
        <v>54</v>
      </c>
      <c r="D6" s="673" t="s">
        <v>1006</v>
      </c>
      <c r="E6" s="413"/>
      <c r="F6" s="413"/>
      <c r="G6" s="413"/>
      <c r="H6" s="674"/>
    </row>
    <row r="7" spans="1:8" s="79" customFormat="1" ht="13.5" customHeight="1">
      <c r="A7" s="88" t="s">
        <v>652</v>
      </c>
      <c r="B7" s="675" t="s">
        <v>55</v>
      </c>
      <c r="C7" s="89"/>
      <c r="D7" s="90"/>
      <c r="E7" s="675" t="s">
        <v>37</v>
      </c>
      <c r="F7" s="89"/>
      <c r="G7" s="90"/>
      <c r="H7" s="676" t="s">
        <v>30</v>
      </c>
    </row>
    <row r="8" spans="1:8" s="79" customFormat="1" ht="13.5" customHeight="1" thickBot="1">
      <c r="A8" s="91"/>
      <c r="B8" s="677" t="s">
        <v>63</v>
      </c>
      <c r="C8" s="92" t="s">
        <v>1239</v>
      </c>
      <c r="D8" s="92" t="s">
        <v>28</v>
      </c>
      <c r="E8" s="677" t="s">
        <v>63</v>
      </c>
      <c r="F8" s="92" t="s">
        <v>1240</v>
      </c>
      <c r="G8" s="92" t="s">
        <v>28</v>
      </c>
      <c r="H8" s="678"/>
    </row>
    <row r="9" spans="1:8" s="79" customFormat="1" ht="13.5" customHeight="1" thickTop="1">
      <c r="A9" s="664">
        <v>1</v>
      </c>
      <c r="B9" s="660" t="s">
        <v>64</v>
      </c>
      <c r="C9" s="152" t="s">
        <v>453</v>
      </c>
      <c r="D9" s="93" t="s">
        <v>428</v>
      </c>
      <c r="E9" s="679" t="s">
        <v>345</v>
      </c>
      <c r="F9" s="152" t="s">
        <v>361</v>
      </c>
      <c r="G9" s="93" t="s">
        <v>428</v>
      </c>
      <c r="H9" s="680"/>
    </row>
    <row r="10" spans="1:8" s="79" customFormat="1" ht="13.5" customHeight="1">
      <c r="A10" s="663">
        <v>2</v>
      </c>
      <c r="B10" s="660" t="s">
        <v>64</v>
      </c>
      <c r="C10" s="152" t="s">
        <v>56</v>
      </c>
      <c r="D10" s="93" t="s">
        <v>532</v>
      </c>
      <c r="E10" s="679" t="s">
        <v>345</v>
      </c>
      <c r="F10" s="152" t="s">
        <v>364</v>
      </c>
      <c r="G10" s="93" t="s">
        <v>532</v>
      </c>
      <c r="H10" s="680"/>
    </row>
    <row r="11" spans="1:8" s="79" customFormat="1" ht="13.5" customHeight="1">
      <c r="A11" s="663">
        <v>3</v>
      </c>
      <c r="B11" s="660" t="s">
        <v>64</v>
      </c>
      <c r="C11" s="152" t="s">
        <v>56</v>
      </c>
      <c r="D11" s="93" t="s">
        <v>531</v>
      </c>
      <c r="E11" s="679" t="s">
        <v>345</v>
      </c>
      <c r="F11" s="152" t="s">
        <v>364</v>
      </c>
      <c r="G11" s="93" t="s">
        <v>531</v>
      </c>
      <c r="H11" s="680"/>
    </row>
    <row r="12" spans="1:8" s="79" customFormat="1" ht="13.5" customHeight="1">
      <c r="A12" s="663">
        <v>4</v>
      </c>
      <c r="B12" s="660" t="s">
        <v>64</v>
      </c>
      <c r="C12" s="152" t="s">
        <v>56</v>
      </c>
      <c r="D12" s="93" t="s">
        <v>431</v>
      </c>
      <c r="E12" s="679" t="s">
        <v>345</v>
      </c>
      <c r="F12" s="152" t="s">
        <v>364</v>
      </c>
      <c r="G12" s="93" t="s">
        <v>431</v>
      </c>
      <c r="H12" s="680"/>
    </row>
    <row r="13" spans="1:8" s="79" customFormat="1" ht="13.5" customHeight="1">
      <c r="A13" s="663">
        <v>5</v>
      </c>
      <c r="B13" s="660" t="s">
        <v>64</v>
      </c>
      <c r="C13" s="152" t="s">
        <v>56</v>
      </c>
      <c r="D13" s="93" t="s">
        <v>430</v>
      </c>
      <c r="E13" s="679" t="s">
        <v>345</v>
      </c>
      <c r="F13" s="152" t="s">
        <v>364</v>
      </c>
      <c r="G13" s="93" t="s">
        <v>649</v>
      </c>
      <c r="H13" s="680"/>
    </row>
    <row r="14" spans="1:8" s="79" customFormat="1" ht="13.5" customHeight="1">
      <c r="A14" s="663">
        <v>6</v>
      </c>
      <c r="B14" s="660" t="s">
        <v>64</v>
      </c>
      <c r="C14" s="152" t="s">
        <v>56</v>
      </c>
      <c r="D14" s="93" t="s">
        <v>438</v>
      </c>
      <c r="E14" s="679" t="s">
        <v>345</v>
      </c>
      <c r="F14" s="152" t="s">
        <v>364</v>
      </c>
      <c r="G14" s="93" t="s">
        <v>438</v>
      </c>
      <c r="H14" s="680"/>
    </row>
    <row r="15" spans="1:8" s="79" customFormat="1" ht="13.5" customHeight="1">
      <c r="A15" s="663"/>
      <c r="B15" s="660"/>
      <c r="C15" s="152"/>
      <c r="D15" s="152"/>
      <c r="E15" s="679"/>
      <c r="F15" s="152"/>
      <c r="G15" s="152"/>
      <c r="H15" s="680"/>
    </row>
    <row r="16" spans="1:8" s="79" customFormat="1" ht="13.5" customHeight="1">
      <c r="A16" s="663"/>
      <c r="B16" s="660"/>
      <c r="C16" s="152"/>
      <c r="D16" s="152"/>
      <c r="E16" s="679"/>
      <c r="F16" s="152"/>
      <c r="G16" s="152"/>
      <c r="H16" s="680"/>
    </row>
    <row r="17" spans="1:8" s="79" customFormat="1" ht="13.5" customHeight="1">
      <c r="A17" s="663"/>
      <c r="B17" s="660"/>
      <c r="C17" s="152"/>
      <c r="D17" s="152"/>
      <c r="E17" s="679"/>
      <c r="F17" s="152"/>
      <c r="G17" s="152"/>
      <c r="H17" s="680"/>
    </row>
    <row r="18" spans="1:8" s="79" customFormat="1" ht="13.5" customHeight="1">
      <c r="A18" s="663"/>
      <c r="B18" s="660"/>
      <c r="C18" s="152"/>
      <c r="D18" s="152"/>
      <c r="E18" s="679"/>
      <c r="F18" s="152"/>
      <c r="G18" s="152"/>
      <c r="H18" s="680"/>
    </row>
    <row r="19" spans="1:8" s="79" customFormat="1" ht="13.5" customHeight="1">
      <c r="A19" s="663"/>
      <c r="B19" s="660"/>
      <c r="C19" s="152"/>
      <c r="D19" s="152"/>
      <c r="E19" s="679"/>
      <c r="F19" s="152"/>
      <c r="G19" s="152"/>
      <c r="H19" s="680"/>
    </row>
    <row r="20" spans="1:8" s="79" customFormat="1" ht="13.5" customHeight="1">
      <c r="A20" s="663"/>
      <c r="B20" s="660"/>
      <c r="C20" s="152"/>
      <c r="D20" s="152"/>
      <c r="E20" s="679"/>
      <c r="F20" s="152"/>
      <c r="G20" s="152"/>
      <c r="H20" s="680"/>
    </row>
    <row r="21" spans="1:8" s="79" customFormat="1" ht="13.5" customHeight="1">
      <c r="A21" s="663"/>
      <c r="B21" s="660"/>
      <c r="C21" s="152"/>
      <c r="D21" s="152"/>
      <c r="E21" s="679"/>
      <c r="F21" s="152"/>
      <c r="G21" s="152"/>
      <c r="H21" s="680"/>
    </row>
    <row r="22" spans="1:8" s="79" customFormat="1" ht="13.5" customHeight="1">
      <c r="A22" s="663"/>
      <c r="B22" s="660"/>
      <c r="C22" s="152"/>
      <c r="D22" s="152"/>
      <c r="E22" s="679"/>
      <c r="F22" s="152"/>
      <c r="G22" s="152"/>
      <c r="H22" s="680"/>
    </row>
    <row r="23" spans="1:8" s="79" customFormat="1" ht="13.5" customHeight="1">
      <c r="A23" s="663"/>
      <c r="B23" s="660"/>
      <c r="C23" s="152"/>
      <c r="D23" s="152"/>
      <c r="E23" s="679"/>
      <c r="F23" s="152"/>
      <c r="G23" s="152"/>
      <c r="H23" s="680"/>
    </row>
    <row r="24" spans="1:8" s="79" customFormat="1" ht="13.5" customHeight="1">
      <c r="A24" s="663"/>
      <c r="B24" s="660"/>
      <c r="C24" s="152"/>
      <c r="D24" s="152"/>
      <c r="E24" s="679"/>
      <c r="F24" s="152"/>
      <c r="G24" s="152"/>
      <c r="H24" s="680"/>
    </row>
    <row r="25" spans="1:8" s="79" customFormat="1" ht="13.5" customHeight="1">
      <c r="A25" s="663"/>
      <c r="B25" s="660"/>
      <c r="C25" s="152"/>
      <c r="D25" s="152"/>
      <c r="E25" s="679"/>
      <c r="F25" s="152"/>
      <c r="G25" s="152"/>
      <c r="H25" s="680"/>
    </row>
    <row r="26" spans="1:8" s="79" customFormat="1" ht="13.5" customHeight="1" thickBot="1">
      <c r="A26" s="662"/>
      <c r="B26" s="681"/>
      <c r="C26" s="81"/>
      <c r="D26" s="81"/>
      <c r="E26" s="682"/>
      <c r="F26" s="81"/>
      <c r="G26" s="81"/>
      <c r="H26" s="683"/>
    </row>
  </sheetData>
  <phoneticPr fontId="3"/>
  <dataValidations count="1">
    <dataValidation imeMode="off" allowBlank="1" showInputMessage="1" showErrorMessage="1" sqref="F65522:F65546 F131058:F131082 F196594:F196618 F262130:F262154 F327666:F327690 F393202:F393226 F458738:F458762 F524274:F524298 F589810:F589834 F655346:F655370 F720882:F720906 F786418:F786442 F851954:F851978 F917490:F917514 F983026:F983050 C65522:C65562 C131058:C131098 C196594:C196634 C262130:C262170 C327666:C327706 C393202:C393242 C458738:C458778 C524274:C524314 C589810:C589850 C655346:C655386 C720882:C720922 C786418:C786458 C851954:C851994 C917490:C917530 C983026:C983066 F9:F14 C9:C26"/>
  </dataValidations>
  <pageMargins left="0.39370078740157483" right="0.39370078740157483" top="0.39370078740157483" bottom="0.39370078740157483" header="0.19685039370078741" footer="0.19685039370078741"/>
  <pageSetup paperSize="9" fitToHeight="0" orientation="landscape" r:id="rId1"/>
  <headerFooter alignWithMargins="0">
    <oddFooter>&amp;L&amp;A&amp;C&amp;U&amp;P/&amp;N&amp;R©Toyo Business Engineering Corp.(B-EN-G) / Confidential</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H58"/>
  <sheetViews>
    <sheetView showGridLines="0" zoomScaleNormal="100" zoomScaleSheetLayoutView="85" workbookViewId="0">
      <selection activeCell="D9" sqref="D9"/>
    </sheetView>
  </sheetViews>
  <sheetFormatPr defaultColWidth="9.33203125" defaultRowHeight="13.5" customHeight="1"/>
  <cols>
    <col min="1" max="1" width="6.6640625" style="78" customWidth="1"/>
    <col min="2" max="2" width="3.33203125" style="78" customWidth="1"/>
    <col min="3" max="3" width="23.33203125" style="78" customWidth="1"/>
    <col min="4" max="4" width="23.1640625" style="78" customWidth="1"/>
    <col min="5" max="5" width="3.33203125" style="78" customWidth="1"/>
    <col min="6" max="7" width="23.33203125" style="78" customWidth="1"/>
    <col min="8" max="8" width="60" style="78" customWidth="1"/>
    <col min="9" max="9" width="1.83203125" style="78" customWidth="1"/>
    <col min="10" max="212" width="9.33203125" style="78" customWidth="1"/>
    <col min="213" max="16384" width="9.33203125" style="78"/>
  </cols>
  <sheetData>
    <row r="1" spans="1:8" ht="13.5" customHeight="1">
      <c r="A1" s="665"/>
      <c r="B1" s="666"/>
      <c r="C1" s="666"/>
      <c r="D1" s="666"/>
      <c r="E1" s="666"/>
      <c r="F1" s="666"/>
      <c r="G1" s="666"/>
      <c r="H1" s="667"/>
    </row>
    <row r="2" spans="1:8" ht="13.5" customHeight="1">
      <c r="A2" s="668"/>
      <c r="B2" s="669"/>
      <c r="C2" s="669"/>
      <c r="D2" s="669"/>
      <c r="E2" s="669"/>
      <c r="F2" s="669"/>
      <c r="G2" s="669"/>
      <c r="H2" s="670"/>
    </row>
    <row r="3" spans="1:8" ht="13.5" customHeight="1">
      <c r="A3" s="668"/>
      <c r="B3" s="669"/>
      <c r="C3" s="669"/>
      <c r="D3" s="669"/>
      <c r="E3" s="669"/>
      <c r="F3" s="669"/>
      <c r="G3" s="669"/>
      <c r="H3" s="670"/>
    </row>
    <row r="4" spans="1:8" ht="6.75" customHeight="1" thickBot="1">
      <c r="A4" s="668"/>
      <c r="B4" s="669"/>
      <c r="C4" s="669"/>
      <c r="D4" s="669"/>
      <c r="E4" s="669"/>
      <c r="F4" s="669"/>
      <c r="G4" s="669"/>
      <c r="H4" s="670"/>
    </row>
    <row r="5" spans="1:8" s="79" customFormat="1" ht="13.5" customHeight="1">
      <c r="A5" s="82" t="s">
        <v>652</v>
      </c>
      <c r="B5" s="83"/>
      <c r="C5" s="84">
        <v>1</v>
      </c>
      <c r="D5" s="86" t="s">
        <v>1238</v>
      </c>
      <c r="E5" s="84" t="s">
        <v>477</v>
      </c>
      <c r="F5" s="85"/>
      <c r="G5" s="671" t="s">
        <v>36</v>
      </c>
      <c r="H5" s="87" t="s">
        <v>1186</v>
      </c>
    </row>
    <row r="6" spans="1:8" s="79" customFormat="1" ht="13.5" customHeight="1">
      <c r="A6" s="672" t="s">
        <v>38</v>
      </c>
      <c r="B6" s="412"/>
      <c r="C6" s="684" t="s">
        <v>479</v>
      </c>
      <c r="D6" s="413"/>
      <c r="E6" s="413"/>
      <c r="F6" s="413"/>
      <c r="G6" s="413"/>
      <c r="H6" s="674"/>
    </row>
    <row r="7" spans="1:8" s="79" customFormat="1" ht="13.5" customHeight="1">
      <c r="A7" s="88" t="s">
        <v>652</v>
      </c>
      <c r="B7" s="675" t="s">
        <v>55</v>
      </c>
      <c r="C7" s="89"/>
      <c r="D7" s="90"/>
      <c r="E7" s="675" t="s">
        <v>37</v>
      </c>
      <c r="F7" s="89"/>
      <c r="G7" s="90"/>
      <c r="H7" s="676" t="s">
        <v>30</v>
      </c>
    </row>
    <row r="8" spans="1:8" s="79" customFormat="1" ht="13.5" customHeight="1" thickBot="1">
      <c r="A8" s="91"/>
      <c r="B8" s="677" t="s">
        <v>63</v>
      </c>
      <c r="C8" s="92" t="s">
        <v>1239</v>
      </c>
      <c r="D8" s="92" t="s">
        <v>28</v>
      </c>
      <c r="E8" s="677" t="s">
        <v>63</v>
      </c>
      <c r="F8" s="92" t="s">
        <v>1239</v>
      </c>
      <c r="G8" s="92" t="s">
        <v>28</v>
      </c>
      <c r="H8" s="678"/>
    </row>
    <row r="9" spans="1:8" s="79" customFormat="1" ht="13.5" customHeight="1" thickTop="1">
      <c r="A9" s="664">
        <v>1</v>
      </c>
      <c r="B9" s="660" t="s">
        <v>345</v>
      </c>
      <c r="C9" s="152" t="s">
        <v>361</v>
      </c>
      <c r="D9" s="93" t="s">
        <v>428</v>
      </c>
      <c r="E9" s="679" t="s">
        <v>437</v>
      </c>
      <c r="F9" s="152" t="s">
        <v>453</v>
      </c>
      <c r="G9" s="93" t="s">
        <v>428</v>
      </c>
      <c r="H9" s="680"/>
    </row>
    <row r="10" spans="1:8" s="79" customFormat="1" ht="13.5" customHeight="1">
      <c r="A10" s="663">
        <v>2</v>
      </c>
      <c r="B10" s="660" t="s">
        <v>345</v>
      </c>
      <c r="C10" s="152" t="s">
        <v>364</v>
      </c>
      <c r="D10" s="93" t="s">
        <v>342</v>
      </c>
      <c r="E10" s="679" t="s">
        <v>437</v>
      </c>
      <c r="F10" s="152" t="s">
        <v>56</v>
      </c>
      <c r="G10" s="93" t="s">
        <v>342</v>
      </c>
      <c r="H10" s="680"/>
    </row>
    <row r="11" spans="1:8" s="79" customFormat="1" ht="13.5" customHeight="1">
      <c r="A11" s="663">
        <v>3</v>
      </c>
      <c r="B11" s="660" t="s">
        <v>345</v>
      </c>
      <c r="C11" s="152" t="s">
        <v>364</v>
      </c>
      <c r="D11" s="93" t="s">
        <v>343</v>
      </c>
      <c r="E11" s="679" t="s">
        <v>437</v>
      </c>
      <c r="F11" s="152" t="s">
        <v>56</v>
      </c>
      <c r="G11" s="93" t="s">
        <v>343</v>
      </c>
      <c r="H11" s="680"/>
    </row>
    <row r="12" spans="1:8" s="79" customFormat="1" ht="13.5" customHeight="1">
      <c r="A12" s="663">
        <v>4</v>
      </c>
      <c r="B12" s="660" t="s">
        <v>345</v>
      </c>
      <c r="C12" s="152" t="s">
        <v>364</v>
      </c>
      <c r="D12" s="93" t="s">
        <v>431</v>
      </c>
      <c r="E12" s="679" t="s">
        <v>437</v>
      </c>
      <c r="F12" s="152" t="s">
        <v>56</v>
      </c>
      <c r="G12" s="93" t="s">
        <v>431</v>
      </c>
      <c r="H12" s="680"/>
    </row>
    <row r="13" spans="1:8" s="79" customFormat="1" ht="13.5" customHeight="1">
      <c r="A13" s="663">
        <v>5</v>
      </c>
      <c r="B13" s="660" t="s">
        <v>345</v>
      </c>
      <c r="C13" s="152" t="s">
        <v>364</v>
      </c>
      <c r="D13" s="93" t="s">
        <v>430</v>
      </c>
      <c r="E13" s="679" t="s">
        <v>437</v>
      </c>
      <c r="F13" s="152" t="s">
        <v>56</v>
      </c>
      <c r="G13" s="93" t="s">
        <v>430</v>
      </c>
      <c r="H13" s="680"/>
    </row>
    <row r="14" spans="1:8" s="79" customFormat="1" ht="13.5" customHeight="1">
      <c r="A14" s="663">
        <v>6</v>
      </c>
      <c r="B14" s="660" t="s">
        <v>345</v>
      </c>
      <c r="C14" s="152" t="s">
        <v>364</v>
      </c>
      <c r="D14" s="93" t="s">
        <v>438</v>
      </c>
      <c r="E14" s="679" t="s">
        <v>437</v>
      </c>
      <c r="F14" s="152" t="s">
        <v>56</v>
      </c>
      <c r="G14" s="93" t="s">
        <v>438</v>
      </c>
      <c r="H14" s="680"/>
    </row>
    <row r="15" spans="1:8" s="79" customFormat="1" ht="13.5" customHeight="1">
      <c r="A15" s="663">
        <v>7</v>
      </c>
      <c r="B15" s="660" t="s">
        <v>345</v>
      </c>
      <c r="C15" s="152" t="s">
        <v>346</v>
      </c>
      <c r="D15" s="152" t="s">
        <v>441</v>
      </c>
      <c r="E15" s="679" t="s">
        <v>64</v>
      </c>
      <c r="F15" s="152" t="s">
        <v>56</v>
      </c>
      <c r="G15" s="152" t="s">
        <v>441</v>
      </c>
      <c r="H15" s="680"/>
    </row>
    <row r="16" spans="1:8" s="79" customFormat="1" ht="13.5" customHeight="1">
      <c r="A16" s="663">
        <v>8</v>
      </c>
      <c r="B16" s="660" t="s">
        <v>345</v>
      </c>
      <c r="C16" s="152" t="s">
        <v>346</v>
      </c>
      <c r="D16" s="152" t="s">
        <v>343</v>
      </c>
      <c r="E16" s="679" t="s">
        <v>64</v>
      </c>
      <c r="F16" s="152" t="s">
        <v>56</v>
      </c>
      <c r="G16" s="152" t="s">
        <v>343</v>
      </c>
      <c r="H16" s="680"/>
    </row>
    <row r="17" spans="1:8" s="79" customFormat="1" ht="13.5" customHeight="1">
      <c r="A17" s="663">
        <v>9</v>
      </c>
      <c r="B17" s="660" t="s">
        <v>345</v>
      </c>
      <c r="C17" s="152" t="s">
        <v>346</v>
      </c>
      <c r="D17" s="152" t="s">
        <v>431</v>
      </c>
      <c r="E17" s="679" t="s">
        <v>64</v>
      </c>
      <c r="F17" s="152" t="s">
        <v>56</v>
      </c>
      <c r="G17" s="152" t="s">
        <v>431</v>
      </c>
      <c r="H17" s="680"/>
    </row>
    <row r="18" spans="1:8" s="79" customFormat="1" ht="13.5" customHeight="1">
      <c r="A18" s="663">
        <v>10</v>
      </c>
      <c r="B18" s="660" t="s">
        <v>345</v>
      </c>
      <c r="C18" s="152" t="s">
        <v>346</v>
      </c>
      <c r="D18" s="152" t="s">
        <v>438</v>
      </c>
      <c r="E18" s="679" t="s">
        <v>64</v>
      </c>
      <c r="F18" s="152" t="s">
        <v>56</v>
      </c>
      <c r="G18" s="152" t="s">
        <v>438</v>
      </c>
      <c r="H18" s="680"/>
    </row>
    <row r="19" spans="1:8" s="79" customFormat="1" ht="13.5" customHeight="1">
      <c r="A19" s="663">
        <v>11</v>
      </c>
      <c r="B19" s="660" t="s">
        <v>345</v>
      </c>
      <c r="C19" s="152" t="s">
        <v>473</v>
      </c>
      <c r="D19" s="152" t="s">
        <v>563</v>
      </c>
      <c r="E19" s="679"/>
      <c r="F19" s="152" t="s">
        <v>480</v>
      </c>
      <c r="G19" s="152" t="s">
        <v>370</v>
      </c>
      <c r="H19" s="680" t="s">
        <v>481</v>
      </c>
    </row>
    <row r="20" spans="1:8" s="79" customFormat="1" ht="13.5" customHeight="1">
      <c r="A20" s="663">
        <v>12</v>
      </c>
      <c r="B20" s="660" t="s">
        <v>345</v>
      </c>
      <c r="C20" s="152" t="s">
        <v>473</v>
      </c>
      <c r="D20" s="152" t="s">
        <v>121</v>
      </c>
      <c r="E20" s="679" t="s">
        <v>64</v>
      </c>
      <c r="F20" s="152" t="s">
        <v>56</v>
      </c>
      <c r="G20" s="152" t="s">
        <v>476</v>
      </c>
      <c r="H20" s="680" t="s">
        <v>481</v>
      </c>
    </row>
    <row r="21" spans="1:8" s="79" customFormat="1" ht="13.5" customHeight="1">
      <c r="A21" s="663">
        <v>13</v>
      </c>
      <c r="B21" s="660" t="s">
        <v>345</v>
      </c>
      <c r="C21" s="152" t="s">
        <v>473</v>
      </c>
      <c r="D21" s="152" t="s">
        <v>102</v>
      </c>
      <c r="E21" s="679" t="s">
        <v>64</v>
      </c>
      <c r="F21" s="152" t="s">
        <v>56</v>
      </c>
      <c r="G21" s="152" t="s">
        <v>362</v>
      </c>
      <c r="H21" s="680" t="s">
        <v>481</v>
      </c>
    </row>
    <row r="22" spans="1:8" s="79" customFormat="1" ht="13.5" customHeight="1">
      <c r="A22" s="663">
        <v>14</v>
      </c>
      <c r="B22" s="660" t="s">
        <v>345</v>
      </c>
      <c r="C22" s="152" t="s">
        <v>473</v>
      </c>
      <c r="D22" s="152" t="s">
        <v>198</v>
      </c>
      <c r="E22" s="679" t="s">
        <v>64</v>
      </c>
      <c r="F22" s="152" t="s">
        <v>56</v>
      </c>
      <c r="G22" s="152" t="s">
        <v>365</v>
      </c>
      <c r="H22" s="680" t="s">
        <v>481</v>
      </c>
    </row>
    <row r="23" spans="1:8" s="79" customFormat="1" ht="13.5" customHeight="1">
      <c r="A23" s="663">
        <v>15</v>
      </c>
      <c r="B23" s="660" t="s">
        <v>345</v>
      </c>
      <c r="C23" s="152" t="s">
        <v>473</v>
      </c>
      <c r="D23" s="152" t="s">
        <v>371</v>
      </c>
      <c r="E23" s="679"/>
      <c r="F23" s="152" t="s">
        <v>565</v>
      </c>
      <c r="G23" s="152" t="s">
        <v>566</v>
      </c>
      <c r="H23" s="680" t="s">
        <v>481</v>
      </c>
    </row>
    <row r="24" spans="1:8" s="79" customFormat="1" ht="13.5" customHeight="1">
      <c r="A24" s="663">
        <v>16</v>
      </c>
      <c r="B24" s="660" t="s">
        <v>345</v>
      </c>
      <c r="C24" s="152" t="s">
        <v>473</v>
      </c>
      <c r="D24" s="152" t="s">
        <v>474</v>
      </c>
      <c r="E24" s="679" t="s">
        <v>64</v>
      </c>
      <c r="F24" s="152" t="s">
        <v>56</v>
      </c>
      <c r="G24" s="152" t="s">
        <v>431</v>
      </c>
      <c r="H24" s="680" t="s">
        <v>481</v>
      </c>
    </row>
    <row r="25" spans="1:8" s="79" customFormat="1" ht="13.5" customHeight="1">
      <c r="A25" s="663">
        <v>17</v>
      </c>
      <c r="B25" s="660" t="s">
        <v>345</v>
      </c>
      <c r="C25" s="152" t="s">
        <v>473</v>
      </c>
      <c r="D25" s="152" t="s">
        <v>564</v>
      </c>
      <c r="E25" s="679"/>
      <c r="F25" s="152"/>
      <c r="G25" s="152" t="s">
        <v>1043</v>
      </c>
      <c r="H25" s="680" t="s">
        <v>481</v>
      </c>
    </row>
    <row r="26" spans="1:8" s="79" customFormat="1" ht="13.5" customHeight="1">
      <c r="A26" s="661"/>
      <c r="B26" s="444"/>
      <c r="C26" s="153"/>
      <c r="D26" s="153"/>
      <c r="E26" s="690"/>
      <c r="F26" s="153"/>
      <c r="G26" s="153"/>
      <c r="H26" s="691"/>
    </row>
    <row r="27" spans="1:8" s="79" customFormat="1" ht="13.5" customHeight="1" thickBot="1">
      <c r="A27" s="661"/>
      <c r="B27" s="444"/>
      <c r="C27" s="153"/>
      <c r="D27" s="153"/>
      <c r="E27" s="690"/>
      <c r="F27" s="153"/>
      <c r="G27" s="153"/>
      <c r="H27" s="691"/>
    </row>
    <row r="28" spans="1:8" s="79" customFormat="1" ht="13.5" customHeight="1">
      <c r="A28" s="82" t="s">
        <v>652</v>
      </c>
      <c r="B28" s="83"/>
      <c r="C28" s="84">
        <v>2</v>
      </c>
      <c r="D28" s="86" t="s">
        <v>1238</v>
      </c>
      <c r="E28" s="84" t="s">
        <v>477</v>
      </c>
      <c r="F28" s="85"/>
      <c r="G28" s="671" t="s">
        <v>36</v>
      </c>
      <c r="H28" s="87" t="s">
        <v>478</v>
      </c>
    </row>
    <row r="29" spans="1:8" s="79" customFormat="1" ht="13.5" customHeight="1">
      <c r="A29" s="672" t="s">
        <v>38</v>
      </c>
      <c r="B29" s="412"/>
      <c r="C29" s="684" t="s">
        <v>477</v>
      </c>
      <c r="D29" s="413"/>
      <c r="E29" s="413"/>
      <c r="F29" s="413"/>
      <c r="G29" s="413"/>
      <c r="H29" s="674"/>
    </row>
    <row r="30" spans="1:8" s="79" customFormat="1" ht="13.5" customHeight="1">
      <c r="A30" s="88" t="s">
        <v>652</v>
      </c>
      <c r="B30" s="675" t="s">
        <v>55</v>
      </c>
      <c r="C30" s="89"/>
      <c r="D30" s="90"/>
      <c r="E30" s="675" t="s">
        <v>37</v>
      </c>
      <c r="F30" s="89"/>
      <c r="G30" s="90"/>
      <c r="H30" s="676" t="s">
        <v>30</v>
      </c>
    </row>
    <row r="31" spans="1:8" s="79" customFormat="1" ht="13.5" customHeight="1" thickBot="1">
      <c r="A31" s="91"/>
      <c r="B31" s="677" t="s">
        <v>63</v>
      </c>
      <c r="C31" s="92" t="s">
        <v>1239</v>
      </c>
      <c r="D31" s="92" t="s">
        <v>28</v>
      </c>
      <c r="E31" s="677" t="s">
        <v>63</v>
      </c>
      <c r="F31" s="92" t="s">
        <v>1239</v>
      </c>
      <c r="G31" s="92" t="s">
        <v>28</v>
      </c>
      <c r="H31" s="678"/>
    </row>
    <row r="32" spans="1:8" s="79" customFormat="1" ht="13.5" customHeight="1" thickTop="1">
      <c r="A32" s="664">
        <v>1</v>
      </c>
      <c r="B32" s="660" t="s">
        <v>345</v>
      </c>
      <c r="C32" s="152" t="s">
        <v>361</v>
      </c>
      <c r="D32" s="93" t="s">
        <v>428</v>
      </c>
      <c r="E32" s="679" t="s">
        <v>437</v>
      </c>
      <c r="F32" s="152" t="s">
        <v>453</v>
      </c>
      <c r="G32" s="93" t="s">
        <v>428</v>
      </c>
      <c r="H32" s="680"/>
    </row>
    <row r="33" spans="1:8" s="79" customFormat="1" ht="13.5" customHeight="1">
      <c r="A33" s="663">
        <v>2</v>
      </c>
      <c r="B33" s="660" t="s">
        <v>345</v>
      </c>
      <c r="C33" s="152" t="s">
        <v>364</v>
      </c>
      <c r="D33" s="93" t="s">
        <v>342</v>
      </c>
      <c r="E33" s="679" t="s">
        <v>437</v>
      </c>
      <c r="F33" s="152" t="s">
        <v>56</v>
      </c>
      <c r="G33" s="93" t="s">
        <v>342</v>
      </c>
      <c r="H33" s="680"/>
    </row>
    <row r="34" spans="1:8" s="79" customFormat="1" ht="13.5" customHeight="1">
      <c r="A34" s="663">
        <v>3</v>
      </c>
      <c r="B34" s="660" t="s">
        <v>345</v>
      </c>
      <c r="C34" s="152" t="s">
        <v>364</v>
      </c>
      <c r="D34" s="93" t="s">
        <v>343</v>
      </c>
      <c r="E34" s="679" t="s">
        <v>437</v>
      </c>
      <c r="F34" s="152" t="s">
        <v>56</v>
      </c>
      <c r="G34" s="93" t="s">
        <v>343</v>
      </c>
      <c r="H34" s="680"/>
    </row>
    <row r="35" spans="1:8" s="79" customFormat="1" ht="13.5" customHeight="1">
      <c r="A35" s="663">
        <v>4</v>
      </c>
      <c r="B35" s="660" t="s">
        <v>345</v>
      </c>
      <c r="C35" s="152" t="s">
        <v>364</v>
      </c>
      <c r="D35" s="93" t="s">
        <v>431</v>
      </c>
      <c r="E35" s="679" t="s">
        <v>437</v>
      </c>
      <c r="F35" s="152" t="s">
        <v>56</v>
      </c>
      <c r="G35" s="93" t="s">
        <v>431</v>
      </c>
      <c r="H35" s="680"/>
    </row>
    <row r="36" spans="1:8" s="79" customFormat="1" ht="13.5" customHeight="1">
      <c r="A36" s="663">
        <v>5</v>
      </c>
      <c r="B36" s="660" t="s">
        <v>345</v>
      </c>
      <c r="C36" s="152" t="s">
        <v>364</v>
      </c>
      <c r="D36" s="93" t="s">
        <v>430</v>
      </c>
      <c r="E36" s="679" t="s">
        <v>437</v>
      </c>
      <c r="F36" s="152" t="s">
        <v>56</v>
      </c>
      <c r="G36" s="93" t="s">
        <v>430</v>
      </c>
      <c r="H36" s="680"/>
    </row>
    <row r="37" spans="1:8" s="79" customFormat="1" ht="13.5" customHeight="1">
      <c r="A37" s="663">
        <v>6</v>
      </c>
      <c r="B37" s="660" t="s">
        <v>345</v>
      </c>
      <c r="C37" s="152" t="s">
        <v>364</v>
      </c>
      <c r="D37" s="93" t="s">
        <v>438</v>
      </c>
      <c r="E37" s="679" t="s">
        <v>437</v>
      </c>
      <c r="F37" s="152" t="s">
        <v>56</v>
      </c>
      <c r="G37" s="93" t="s">
        <v>438</v>
      </c>
      <c r="H37" s="680"/>
    </row>
    <row r="38" spans="1:8" s="79" customFormat="1" ht="13.5" customHeight="1">
      <c r="A38" s="663">
        <v>7</v>
      </c>
      <c r="B38" s="660" t="s">
        <v>345</v>
      </c>
      <c r="C38" s="152" t="s">
        <v>346</v>
      </c>
      <c r="D38" s="152" t="s">
        <v>441</v>
      </c>
      <c r="E38" s="679" t="s">
        <v>64</v>
      </c>
      <c r="F38" s="152" t="s">
        <v>56</v>
      </c>
      <c r="G38" s="152" t="s">
        <v>441</v>
      </c>
      <c r="H38" s="680"/>
    </row>
    <row r="39" spans="1:8" s="79" customFormat="1" ht="13.5" customHeight="1">
      <c r="A39" s="663">
        <v>8</v>
      </c>
      <c r="B39" s="660" t="s">
        <v>345</v>
      </c>
      <c r="C39" s="152" t="s">
        <v>346</v>
      </c>
      <c r="D39" s="152" t="s">
        <v>343</v>
      </c>
      <c r="E39" s="679" t="s">
        <v>64</v>
      </c>
      <c r="F39" s="152" t="s">
        <v>56</v>
      </c>
      <c r="G39" s="152" t="s">
        <v>343</v>
      </c>
      <c r="H39" s="680"/>
    </row>
    <row r="40" spans="1:8" s="79" customFormat="1" ht="13.5" customHeight="1">
      <c r="A40" s="663">
        <v>9</v>
      </c>
      <c r="B40" s="660" t="s">
        <v>345</v>
      </c>
      <c r="C40" s="152" t="s">
        <v>346</v>
      </c>
      <c r="D40" s="152" t="s">
        <v>431</v>
      </c>
      <c r="E40" s="679" t="s">
        <v>64</v>
      </c>
      <c r="F40" s="152" t="s">
        <v>56</v>
      </c>
      <c r="G40" s="152" t="s">
        <v>431</v>
      </c>
      <c r="H40" s="680"/>
    </row>
    <row r="41" spans="1:8" s="79" customFormat="1" ht="13.5" customHeight="1">
      <c r="A41" s="663">
        <v>10</v>
      </c>
      <c r="B41" s="660" t="s">
        <v>345</v>
      </c>
      <c r="C41" s="152" t="s">
        <v>346</v>
      </c>
      <c r="D41" s="152" t="s">
        <v>438</v>
      </c>
      <c r="E41" s="679" t="s">
        <v>64</v>
      </c>
      <c r="F41" s="152" t="s">
        <v>56</v>
      </c>
      <c r="G41" s="152" t="s">
        <v>438</v>
      </c>
      <c r="H41" s="680"/>
    </row>
    <row r="42" spans="1:8" s="79" customFormat="1" ht="13.5" customHeight="1">
      <c r="A42" s="663">
        <v>11</v>
      </c>
      <c r="B42" s="660" t="s">
        <v>345</v>
      </c>
      <c r="C42" s="152" t="s">
        <v>473</v>
      </c>
      <c r="D42" s="152" t="s">
        <v>563</v>
      </c>
      <c r="E42" s="679"/>
      <c r="F42" s="152" t="s">
        <v>480</v>
      </c>
      <c r="G42" s="152" t="s">
        <v>370</v>
      </c>
      <c r="H42" s="680" t="s">
        <v>481</v>
      </c>
    </row>
    <row r="43" spans="1:8" s="79" customFormat="1" ht="13.5" customHeight="1">
      <c r="A43" s="663">
        <v>12</v>
      </c>
      <c r="B43" s="660" t="s">
        <v>345</v>
      </c>
      <c r="C43" s="152" t="s">
        <v>473</v>
      </c>
      <c r="D43" s="152" t="s">
        <v>121</v>
      </c>
      <c r="E43" s="679" t="s">
        <v>64</v>
      </c>
      <c r="F43" s="152" t="s">
        <v>56</v>
      </c>
      <c r="G43" s="152" t="s">
        <v>476</v>
      </c>
      <c r="H43" s="680" t="s">
        <v>481</v>
      </c>
    </row>
    <row r="44" spans="1:8" s="79" customFormat="1" ht="13.5" customHeight="1">
      <c r="A44" s="663">
        <v>13</v>
      </c>
      <c r="B44" s="660" t="s">
        <v>345</v>
      </c>
      <c r="C44" s="152" t="s">
        <v>473</v>
      </c>
      <c r="D44" s="152" t="s">
        <v>102</v>
      </c>
      <c r="E44" s="679" t="s">
        <v>64</v>
      </c>
      <c r="F44" s="152" t="s">
        <v>56</v>
      </c>
      <c r="G44" s="152" t="s">
        <v>362</v>
      </c>
      <c r="H44" s="680" t="s">
        <v>481</v>
      </c>
    </row>
    <row r="45" spans="1:8" s="79" customFormat="1" ht="13.5" customHeight="1">
      <c r="A45" s="663">
        <v>14</v>
      </c>
      <c r="B45" s="660" t="s">
        <v>345</v>
      </c>
      <c r="C45" s="152" t="s">
        <v>473</v>
      </c>
      <c r="D45" s="152" t="s">
        <v>198</v>
      </c>
      <c r="E45" s="679" t="s">
        <v>64</v>
      </c>
      <c r="F45" s="152" t="s">
        <v>56</v>
      </c>
      <c r="G45" s="152" t="s">
        <v>365</v>
      </c>
      <c r="H45" s="680" t="s">
        <v>481</v>
      </c>
    </row>
    <row r="46" spans="1:8" s="79" customFormat="1" ht="13.5" customHeight="1">
      <c r="A46" s="663">
        <v>15</v>
      </c>
      <c r="B46" s="660" t="s">
        <v>345</v>
      </c>
      <c r="C46" s="152" t="s">
        <v>473</v>
      </c>
      <c r="D46" s="152" t="s">
        <v>371</v>
      </c>
      <c r="E46" s="679"/>
      <c r="F46" s="152" t="s">
        <v>565</v>
      </c>
      <c r="G46" s="152" t="s">
        <v>566</v>
      </c>
      <c r="H46" s="680" t="s">
        <v>481</v>
      </c>
    </row>
    <row r="47" spans="1:8" s="79" customFormat="1" ht="13.5" customHeight="1">
      <c r="A47" s="663">
        <v>16</v>
      </c>
      <c r="B47" s="660" t="s">
        <v>345</v>
      </c>
      <c r="C47" s="152" t="s">
        <v>473</v>
      </c>
      <c r="D47" s="152" t="s">
        <v>474</v>
      </c>
      <c r="E47" s="679" t="s">
        <v>64</v>
      </c>
      <c r="F47" s="152" t="s">
        <v>56</v>
      </c>
      <c r="G47" s="152" t="s">
        <v>431</v>
      </c>
      <c r="H47" s="680" t="s">
        <v>481</v>
      </c>
    </row>
    <row r="48" spans="1:8" s="79" customFormat="1" ht="13.5" customHeight="1">
      <c r="A48" s="663">
        <v>17</v>
      </c>
      <c r="B48" s="660" t="s">
        <v>345</v>
      </c>
      <c r="C48" s="152" t="s">
        <v>473</v>
      </c>
      <c r="D48" s="152" t="s">
        <v>564</v>
      </c>
      <c r="E48" s="679"/>
      <c r="F48" s="152"/>
      <c r="G48" s="152" t="s">
        <v>1043</v>
      </c>
      <c r="H48" s="680" t="s">
        <v>481</v>
      </c>
    </row>
    <row r="49" spans="1:8" s="79" customFormat="1" ht="13.5" customHeight="1">
      <c r="A49" s="661"/>
      <c r="B49" s="444"/>
      <c r="C49" s="153"/>
      <c r="D49" s="153"/>
      <c r="E49" s="690"/>
      <c r="F49" s="153"/>
      <c r="G49" s="153"/>
      <c r="H49" s="691"/>
    </row>
    <row r="50" spans="1:8" s="79" customFormat="1" ht="13.5" customHeight="1">
      <c r="A50" s="661"/>
      <c r="B50" s="444"/>
      <c r="C50" s="153"/>
      <c r="D50" s="153"/>
      <c r="E50" s="690"/>
      <c r="F50" s="153"/>
      <c r="G50" s="153"/>
      <c r="H50" s="691"/>
    </row>
    <row r="51" spans="1:8" s="79" customFormat="1" ht="13.5" customHeight="1">
      <c r="A51" s="661"/>
      <c r="B51" s="444"/>
      <c r="C51" s="153"/>
      <c r="D51" s="153"/>
      <c r="E51" s="690"/>
      <c r="F51" s="153"/>
      <c r="G51" s="153"/>
      <c r="H51" s="691"/>
    </row>
    <row r="52" spans="1:8" s="79" customFormat="1" ht="13.5" customHeight="1">
      <c r="A52" s="661"/>
      <c r="B52" s="444"/>
      <c r="C52" s="153"/>
      <c r="D52" s="153"/>
      <c r="E52" s="690"/>
      <c r="F52" s="153"/>
      <c r="G52" s="153"/>
      <c r="H52" s="691"/>
    </row>
    <row r="53" spans="1:8" s="79" customFormat="1" ht="13.5" customHeight="1">
      <c r="A53" s="661"/>
      <c r="B53" s="444"/>
      <c r="C53" s="153"/>
      <c r="D53" s="153"/>
      <c r="E53" s="690"/>
      <c r="F53" s="153"/>
      <c r="G53" s="153"/>
      <c r="H53" s="691"/>
    </row>
    <row r="54" spans="1:8" s="79" customFormat="1" ht="13.5" customHeight="1">
      <c r="A54" s="661"/>
      <c r="B54" s="444"/>
      <c r="C54" s="153"/>
      <c r="D54" s="153"/>
      <c r="E54" s="690"/>
      <c r="F54" s="153"/>
      <c r="G54" s="153"/>
      <c r="H54" s="691"/>
    </row>
    <row r="55" spans="1:8" s="79" customFormat="1" ht="13.5" customHeight="1">
      <c r="A55" s="661"/>
      <c r="B55" s="444"/>
      <c r="C55" s="153"/>
      <c r="D55" s="153"/>
      <c r="E55" s="690"/>
      <c r="F55" s="153"/>
      <c r="G55" s="153"/>
      <c r="H55" s="691"/>
    </row>
    <row r="56" spans="1:8" s="79" customFormat="1" ht="13.5" customHeight="1">
      <c r="A56" s="661"/>
      <c r="B56" s="444"/>
      <c r="C56" s="153"/>
      <c r="D56" s="153"/>
      <c r="E56" s="690"/>
      <c r="F56" s="153"/>
      <c r="G56" s="153"/>
      <c r="H56" s="691"/>
    </row>
    <row r="57" spans="1:8" s="79" customFormat="1" ht="13.5" customHeight="1">
      <c r="A57" s="661"/>
      <c r="B57" s="444"/>
      <c r="C57" s="153"/>
      <c r="D57" s="153"/>
      <c r="E57" s="690"/>
      <c r="F57" s="153"/>
      <c r="G57" s="153"/>
      <c r="H57" s="691"/>
    </row>
    <row r="58" spans="1:8" s="79" customFormat="1" ht="13.5" customHeight="1" thickBot="1">
      <c r="A58" s="662"/>
      <c r="B58" s="681"/>
      <c r="C58" s="81"/>
      <c r="D58" s="81"/>
      <c r="E58" s="682"/>
      <c r="F58" s="81"/>
      <c r="G58" s="81"/>
      <c r="H58" s="683"/>
    </row>
  </sheetData>
  <phoneticPr fontId="3"/>
  <dataValidations count="1">
    <dataValidation imeMode="off" allowBlank="1" showInputMessage="1" showErrorMessage="1" sqref="F65554:F65578 F131090:F131114 F196626:F196650 F262162:F262186 F327698:F327722 F393234:F393258 F458770:F458794 F524306:F524330 F589842:F589866 F655378:F655402 F720914:F720938 F786450:F786474 F851986:F852010 F917522:F917546 F983058:F983082 C65554:C65594 C131090:C131130 C196626:C196666 C262162:C262202 C327698:C327738 C393234:C393274 C458770:C458810 C524306:C524346 C589842:C589882 C655378:C655418 C720914:C720954 C786450:C786490 C851986:C852026 C917522:C917562 C983058:C983098 F9:F14 C9:C27 C32:C58 F32:F37"/>
  </dataValidations>
  <pageMargins left="0.39370078740157483" right="0.39370078740157483" top="0.39370078740157483" bottom="0.39370078740157483" header="0.19685039370078741" footer="0.19685039370078741"/>
  <pageSetup paperSize="9" fitToHeight="0" orientation="landscape" r:id="rId1"/>
  <headerFooter alignWithMargins="0">
    <oddFooter>&amp;L&amp;A&amp;C&amp;U&amp;P/&amp;N&amp;R©Toyo Business Engineering Corp.(B-EN-G) / Confidential</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E18"/>
  <sheetViews>
    <sheetView showGridLines="0" zoomScaleNormal="100" zoomScaleSheetLayoutView="90" workbookViewId="0">
      <selection activeCell="Z8" sqref="Z8"/>
    </sheetView>
  </sheetViews>
  <sheetFormatPr defaultColWidth="9.33203125" defaultRowHeight="13.5" customHeight="1"/>
  <cols>
    <col min="1" max="1" width="3.33203125" style="78" customWidth="1"/>
    <col min="2" max="2" width="16.6640625" style="78" customWidth="1"/>
    <col min="3" max="4" width="56.6640625" style="78" customWidth="1"/>
    <col min="5" max="5" width="34.5" style="78" customWidth="1"/>
    <col min="6" max="205" width="9.33203125" style="78" customWidth="1"/>
    <col min="206" max="16384" width="9.33203125" style="78"/>
  </cols>
  <sheetData>
    <row r="1" spans="1:5" ht="13.5" customHeight="1">
      <c r="A1" s="665"/>
      <c r="B1" s="666"/>
      <c r="C1" s="666"/>
      <c r="D1" s="666"/>
      <c r="E1" s="667"/>
    </row>
    <row r="2" spans="1:5" ht="13.5" customHeight="1">
      <c r="A2" s="668"/>
      <c r="B2" s="669"/>
      <c r="C2" s="669"/>
      <c r="D2" s="669"/>
      <c r="E2" s="670"/>
    </row>
    <row r="3" spans="1:5" ht="13.5" customHeight="1">
      <c r="A3" s="668"/>
      <c r="B3" s="669"/>
      <c r="C3" s="669"/>
      <c r="D3" s="669"/>
      <c r="E3" s="670"/>
    </row>
    <row r="4" spans="1:5" ht="6.75" customHeight="1" thickBot="1">
      <c r="A4" s="668"/>
      <c r="B4" s="669"/>
      <c r="C4" s="669"/>
      <c r="D4" s="669"/>
      <c r="E4" s="670"/>
    </row>
    <row r="5" spans="1:5" s="79" customFormat="1" ht="13.5" customHeight="1">
      <c r="A5" s="364" t="s">
        <v>989</v>
      </c>
      <c r="B5" s="365"/>
      <c r="C5" s="366" t="s">
        <v>990</v>
      </c>
      <c r="D5" s="366" t="s">
        <v>991</v>
      </c>
      <c r="E5" s="685" t="s">
        <v>992</v>
      </c>
    </row>
    <row r="6" spans="1:5" s="79" customFormat="1" ht="13.5" customHeight="1">
      <c r="A6" s="367" t="s">
        <v>1244</v>
      </c>
      <c r="B6" s="368"/>
      <c r="C6" s="369" t="s">
        <v>993</v>
      </c>
      <c r="D6" s="369"/>
      <c r="E6" s="686"/>
    </row>
    <row r="7" spans="1:5" s="79" customFormat="1" ht="13.5" customHeight="1">
      <c r="A7" s="370"/>
      <c r="B7" s="371"/>
      <c r="C7" s="372"/>
      <c r="D7" s="371"/>
      <c r="E7" s="14"/>
    </row>
    <row r="8" spans="1:5" s="79" customFormat="1" ht="13.5" customHeight="1">
      <c r="A8" s="373"/>
      <c r="B8" s="374" t="s">
        <v>994</v>
      </c>
      <c r="C8" s="376"/>
      <c r="D8" s="375"/>
      <c r="E8" s="14"/>
    </row>
    <row r="9" spans="1:5" s="79" customFormat="1" ht="13.5" customHeight="1">
      <c r="A9" s="373"/>
      <c r="B9" s="377" t="s">
        <v>995</v>
      </c>
      <c r="C9" s="369" t="s">
        <v>1245</v>
      </c>
      <c r="D9" s="687"/>
      <c r="E9" s="14"/>
    </row>
    <row r="10" spans="1:5" s="79" customFormat="1" ht="13.5" customHeight="1">
      <c r="A10" s="373"/>
      <c r="B10" s="377" t="s">
        <v>996</v>
      </c>
      <c r="C10" s="369" t="s">
        <v>997</v>
      </c>
      <c r="D10" s="687"/>
      <c r="E10" s="14"/>
    </row>
    <row r="11" spans="1:5" s="79" customFormat="1" ht="13.5" customHeight="1">
      <c r="A11" s="373"/>
      <c r="B11" s="377" t="s">
        <v>998</v>
      </c>
      <c r="C11" s="369" t="s">
        <v>999</v>
      </c>
      <c r="D11" s="687"/>
      <c r="E11" s="14"/>
    </row>
    <row r="12" spans="1:5" s="79" customFormat="1" ht="13.5" customHeight="1">
      <c r="A12" s="373"/>
      <c r="B12" s="378" t="s">
        <v>1000</v>
      </c>
      <c r="C12" s="377" t="s">
        <v>1001</v>
      </c>
      <c r="D12" s="688" t="s">
        <v>1002</v>
      </c>
      <c r="E12" s="14"/>
    </row>
    <row r="13" spans="1:5" s="79" customFormat="1" ht="13.5" customHeight="1">
      <c r="A13" s="373"/>
      <c r="B13" s="379"/>
      <c r="C13" s="369" t="s">
        <v>1003</v>
      </c>
      <c r="D13" s="689" t="s">
        <v>1004</v>
      </c>
      <c r="E13" s="14"/>
    </row>
    <row r="14" spans="1:5" s="79" customFormat="1" ht="13.5" customHeight="1">
      <c r="A14" s="373"/>
      <c r="B14" s="379"/>
      <c r="C14" s="369"/>
      <c r="D14" s="689" t="s">
        <v>1246</v>
      </c>
      <c r="E14" s="14"/>
    </row>
    <row r="15" spans="1:5" s="79" customFormat="1" ht="13.5" customHeight="1">
      <c r="A15" s="373"/>
      <c r="B15" s="379"/>
      <c r="C15" s="369"/>
      <c r="D15" s="689" t="s">
        <v>1248</v>
      </c>
      <c r="E15" s="14"/>
    </row>
    <row r="16" spans="1:5" s="79" customFormat="1" ht="13.5" customHeight="1">
      <c r="A16" s="373"/>
      <c r="B16" s="379"/>
      <c r="C16" s="369"/>
      <c r="D16" s="689" t="s">
        <v>1247</v>
      </c>
      <c r="E16" s="14"/>
    </row>
    <row r="17" spans="1:5" s="79" customFormat="1" ht="13.5" customHeight="1">
      <c r="A17" s="373"/>
      <c r="B17" s="377" t="s">
        <v>1005</v>
      </c>
      <c r="C17" s="369" t="s">
        <v>54</v>
      </c>
      <c r="D17" s="687"/>
      <c r="E17" s="14"/>
    </row>
    <row r="18" spans="1:5" s="79" customFormat="1" ht="13.5" customHeight="1" thickBot="1">
      <c r="A18" s="380"/>
      <c r="B18" s="381"/>
      <c r="C18" s="381"/>
      <c r="D18" s="381"/>
      <c r="E18" s="53"/>
    </row>
  </sheetData>
  <phoneticPr fontId="3"/>
  <pageMargins left="0.39370078740157483" right="0.39370078740157483" top="0.39370078740157483" bottom="0.39370078740157483" header="0.19685039370078741" footer="0.19685039370078741"/>
  <pageSetup paperSize="9" fitToHeight="0" orientation="landscape" r:id="rId1"/>
  <headerFooter alignWithMargins="0">
    <oddFooter>&amp;L&amp;A&amp;C&amp;U&amp;P/&amp;N&amp;R©Toyo Business Engineering Corp.(B-EN-G) / Confidential</oddFooter>
  </headerFooter>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pageSetUpPr fitToPage="1"/>
  </sheetPr>
  <dimension ref="A1:AX126"/>
  <sheetViews>
    <sheetView showGridLines="0" zoomScaleNormal="100" zoomScaleSheetLayoutView="115" workbookViewId="0">
      <selection activeCell="A6" sqref="A6"/>
    </sheetView>
  </sheetViews>
  <sheetFormatPr defaultColWidth="9.33203125" defaultRowHeight="12"/>
  <cols>
    <col min="1" max="50" width="3.33203125" style="1" customWidth="1"/>
    <col min="51" max="51" width="1.83203125" style="1" customWidth="1"/>
    <col min="52" max="16384" width="9.33203125" style="1"/>
  </cols>
  <sheetData>
    <row r="1" spans="1:50">
      <c r="A1" s="940" t="s">
        <v>60</v>
      </c>
      <c r="B1" s="941"/>
      <c r="C1" s="941"/>
      <c r="D1" s="941"/>
      <c r="E1" s="941"/>
      <c r="F1" s="941"/>
      <c r="G1" s="942"/>
      <c r="H1" s="949" t="s">
        <v>2</v>
      </c>
      <c r="I1" s="938"/>
      <c r="J1" s="938"/>
      <c r="K1" s="939"/>
      <c r="L1" s="950" t="str">
        <f>IF(顧客名="","",顧客名)</f>
        <v>株式会社XXXX殿</v>
      </c>
      <c r="M1" s="951"/>
      <c r="N1" s="951"/>
      <c r="O1" s="951"/>
      <c r="P1" s="951"/>
      <c r="Q1" s="951"/>
      <c r="R1" s="952"/>
      <c r="S1" s="937" t="s">
        <v>7</v>
      </c>
      <c r="T1" s="938"/>
      <c r="U1" s="938"/>
      <c r="V1" s="939"/>
      <c r="W1" s="950" t="str">
        <f>IF(システム="","",システム)</f>
        <v>mcframe7</v>
      </c>
      <c r="X1" s="951"/>
      <c r="Y1" s="951"/>
      <c r="Z1" s="951"/>
      <c r="AA1" s="951"/>
      <c r="AB1" s="951"/>
      <c r="AC1" s="952"/>
      <c r="AD1" s="903" t="s">
        <v>8</v>
      </c>
      <c r="AE1" s="904"/>
      <c r="AF1" s="904"/>
      <c r="AG1" s="953"/>
      <c r="AH1" s="954" t="str">
        <f>IF(作成者="","",作成者)</f>
        <v>XX</v>
      </c>
      <c r="AI1" s="955"/>
      <c r="AJ1" s="955"/>
      <c r="AK1" s="955"/>
      <c r="AL1" s="956"/>
      <c r="AM1" s="903" t="s">
        <v>9</v>
      </c>
      <c r="AN1" s="904"/>
      <c r="AO1" s="904"/>
      <c r="AP1" s="953"/>
      <c r="AQ1" s="900">
        <f>IF(作成日="","",作成日)</f>
        <v>42881</v>
      </c>
      <c r="AR1" s="901"/>
      <c r="AS1" s="901"/>
      <c r="AT1" s="902"/>
      <c r="AU1" s="903" t="s">
        <v>0</v>
      </c>
      <c r="AV1" s="904"/>
      <c r="AW1" s="904"/>
      <c r="AX1" s="905"/>
    </row>
    <row r="2" spans="1:50">
      <c r="A2" s="943"/>
      <c r="B2" s="944"/>
      <c r="C2" s="944"/>
      <c r="D2" s="944"/>
      <c r="E2" s="944"/>
      <c r="F2" s="944"/>
      <c r="G2" s="945"/>
      <c r="H2" s="906" t="s">
        <v>10</v>
      </c>
      <c r="I2" s="907"/>
      <c r="J2" s="907"/>
      <c r="K2" s="908"/>
      <c r="L2" s="909" t="str">
        <f>IF(プロジェクト名="","",プロジェクト名)</f>
        <v>新基幹システム構築プロジェクト</v>
      </c>
      <c r="M2" s="910"/>
      <c r="N2" s="910"/>
      <c r="O2" s="910"/>
      <c r="P2" s="910"/>
      <c r="Q2" s="910"/>
      <c r="R2" s="911"/>
      <c r="S2" s="912" t="s">
        <v>41</v>
      </c>
      <c r="T2" s="907"/>
      <c r="U2" s="907"/>
      <c r="V2" s="908"/>
      <c r="W2" s="909" t="str">
        <f>IF(サブシステム="","",サブシステム)</f>
        <v>SCM</v>
      </c>
      <c r="X2" s="910"/>
      <c r="Y2" s="910"/>
      <c r="Z2" s="910"/>
      <c r="AA2" s="910"/>
      <c r="AB2" s="910"/>
      <c r="AC2" s="911"/>
      <c r="AD2" s="913" t="s">
        <v>11</v>
      </c>
      <c r="AE2" s="914"/>
      <c r="AF2" s="914"/>
      <c r="AG2" s="915"/>
      <c r="AH2" s="916" t="str">
        <f>IF(修正者="","",修正者)</f>
        <v>XX</v>
      </c>
      <c r="AI2" s="917"/>
      <c r="AJ2" s="917"/>
      <c r="AK2" s="917"/>
      <c r="AL2" s="918"/>
      <c r="AM2" s="919" t="s">
        <v>12</v>
      </c>
      <c r="AN2" s="920"/>
      <c r="AO2" s="920"/>
      <c r="AP2" s="921"/>
      <c r="AQ2" s="922">
        <f>IF(修正日="","",修正日)</f>
        <v>43007</v>
      </c>
      <c r="AR2" s="923"/>
      <c r="AS2" s="923"/>
      <c r="AT2" s="923"/>
      <c r="AU2" s="924" t="str">
        <f>IF(文書番号="","",文書番号)</f>
        <v>XX-XX-9999</v>
      </c>
      <c r="AV2" s="925"/>
      <c r="AW2" s="925"/>
      <c r="AX2" s="926"/>
    </row>
    <row r="3" spans="1:50" ht="12.75" thickBot="1">
      <c r="A3" s="946"/>
      <c r="B3" s="947"/>
      <c r="C3" s="947"/>
      <c r="D3" s="947"/>
      <c r="E3" s="947"/>
      <c r="F3" s="947"/>
      <c r="G3" s="948"/>
      <c r="H3" s="930" t="s">
        <v>14</v>
      </c>
      <c r="I3" s="930"/>
      <c r="J3" s="930"/>
      <c r="K3" s="931"/>
      <c r="L3" s="932" t="str">
        <f>IF(機能ID="","",機能ID)</f>
        <v>MSBDP0080</v>
      </c>
      <c r="M3" s="933"/>
      <c r="N3" s="933"/>
      <c r="O3" s="933"/>
      <c r="P3" s="933"/>
      <c r="Q3" s="933"/>
      <c r="R3" s="933"/>
      <c r="S3" s="957" t="s">
        <v>15</v>
      </c>
      <c r="T3" s="930"/>
      <c r="U3" s="930"/>
      <c r="V3" s="931"/>
      <c r="W3" s="932" t="str">
        <f>IF(機能名="","",機能名)</f>
        <v>発注登録</v>
      </c>
      <c r="X3" s="958"/>
      <c r="Y3" s="958"/>
      <c r="Z3" s="958"/>
      <c r="AA3" s="958"/>
      <c r="AB3" s="958"/>
      <c r="AC3" s="958"/>
      <c r="AD3" s="958"/>
      <c r="AE3" s="958"/>
      <c r="AF3" s="958"/>
      <c r="AG3" s="958"/>
      <c r="AH3" s="958"/>
      <c r="AI3" s="958"/>
      <c r="AJ3" s="958"/>
      <c r="AK3" s="958"/>
      <c r="AL3" s="959"/>
      <c r="AM3" s="934" t="s">
        <v>13</v>
      </c>
      <c r="AN3" s="935"/>
      <c r="AO3" s="935"/>
      <c r="AP3" s="936"/>
      <c r="AQ3" s="897" t="str">
        <f>IF(Rev="","",Rev)</f>
        <v>r02.00</v>
      </c>
      <c r="AR3" s="898"/>
      <c r="AS3" s="898"/>
      <c r="AT3" s="899"/>
      <c r="AU3" s="927"/>
      <c r="AV3" s="928"/>
      <c r="AW3" s="928"/>
      <c r="AX3" s="929"/>
    </row>
    <row r="4" spans="1:50" ht="12.75" thickBot="1"/>
    <row r="5" spans="1:50" ht="12.75" thickBot="1">
      <c r="A5" s="67" t="s">
        <v>65</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8"/>
    </row>
    <row r="6" spans="1:50" ht="12.75" thickTop="1">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4"/>
    </row>
    <row r="7" spans="1:50">
      <c r="A7" s="12"/>
      <c r="B7" s="15" t="s">
        <v>533</v>
      </c>
      <c r="C7" s="79" t="s">
        <v>349</v>
      </c>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4"/>
    </row>
    <row r="8" spans="1:50">
      <c r="A8" s="12"/>
      <c r="B8" s="15"/>
      <c r="C8" s="13" t="s">
        <v>350</v>
      </c>
      <c r="D8" s="13"/>
      <c r="E8" s="13"/>
      <c r="F8" s="13"/>
      <c r="G8" s="13"/>
      <c r="H8" s="13"/>
      <c r="I8" s="13"/>
      <c r="J8" s="13"/>
      <c r="K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4"/>
    </row>
    <row r="9" spans="1:50">
      <c r="A9" s="12"/>
      <c r="B9" s="15"/>
      <c r="C9" s="13"/>
      <c r="D9" s="13"/>
      <c r="E9" s="13"/>
      <c r="F9" s="13"/>
      <c r="G9" s="13"/>
      <c r="H9" s="13"/>
      <c r="I9" s="13"/>
      <c r="J9" s="13"/>
      <c r="K9" s="13"/>
      <c r="N9" s="101"/>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4"/>
    </row>
    <row r="10" spans="1:50">
      <c r="A10" s="12"/>
      <c r="B10" s="15"/>
      <c r="C10" s="13" t="s">
        <v>351</v>
      </c>
      <c r="D10" s="13"/>
      <c r="E10" s="13"/>
      <c r="F10" s="13"/>
      <c r="G10" s="13"/>
      <c r="H10" s="13"/>
      <c r="I10" s="13"/>
      <c r="J10" s="13"/>
      <c r="K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4"/>
    </row>
    <row r="11" spans="1:50">
      <c r="A11" s="12"/>
      <c r="B11" s="13"/>
      <c r="C11" s="13" t="s">
        <v>352</v>
      </c>
      <c r="D11" s="13" t="s">
        <v>354</v>
      </c>
      <c r="E11" s="13"/>
      <c r="F11" s="13"/>
      <c r="G11" s="13"/>
      <c r="H11" s="13"/>
      <c r="I11" s="13"/>
      <c r="J11" s="13"/>
      <c r="K11" s="13"/>
      <c r="N11" s="16"/>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4"/>
    </row>
    <row r="12" spans="1:50">
      <c r="A12" s="12"/>
      <c r="B12" s="13"/>
      <c r="C12" s="13"/>
      <c r="D12" s="13" t="s">
        <v>355</v>
      </c>
      <c r="E12" s="13"/>
      <c r="F12" s="13"/>
      <c r="G12" s="13"/>
      <c r="H12" s="13"/>
      <c r="I12" s="13"/>
      <c r="J12" s="13"/>
      <c r="K12" s="13"/>
      <c r="N12" s="16"/>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4"/>
    </row>
    <row r="13" spans="1:50">
      <c r="A13" s="12"/>
      <c r="B13" s="13"/>
      <c r="C13" s="13"/>
      <c r="D13" s="13" t="s">
        <v>356</v>
      </c>
      <c r="E13" s="13"/>
      <c r="F13" s="13"/>
      <c r="G13" s="13"/>
      <c r="H13" s="13"/>
      <c r="I13" s="13"/>
      <c r="J13" s="13"/>
      <c r="K13" s="13"/>
      <c r="L13" s="13"/>
      <c r="M13" s="13"/>
      <c r="N13" s="16"/>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4"/>
    </row>
    <row r="14" spans="1:50">
      <c r="A14" s="12"/>
      <c r="B14" s="13"/>
      <c r="C14" s="13"/>
      <c r="D14" s="13" t="s">
        <v>357</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4"/>
    </row>
    <row r="15" spans="1:50">
      <c r="A15" s="12"/>
      <c r="B15" s="13"/>
      <c r="C15" s="13"/>
      <c r="D15" s="13" t="s">
        <v>358</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4"/>
    </row>
    <row r="16" spans="1:50">
      <c r="A16" s="12"/>
      <c r="B16" s="13"/>
      <c r="C16" s="13"/>
      <c r="D16" s="13" t="s">
        <v>359</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4"/>
    </row>
    <row r="17" spans="1:50" s="79" customFormat="1">
      <c r="A17" s="12"/>
      <c r="B17" s="95"/>
      <c r="C17" s="95"/>
      <c r="D17" s="95" t="s">
        <v>491</v>
      </c>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14"/>
    </row>
    <row r="18" spans="1:50">
      <c r="A18" s="12"/>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4"/>
    </row>
    <row r="19" spans="1:50">
      <c r="A19" s="12"/>
      <c r="C19" s="1" t="s">
        <v>360</v>
      </c>
      <c r="D19" s="1" t="s">
        <v>353</v>
      </c>
      <c r="F19" s="13"/>
      <c r="G19" s="13"/>
      <c r="H19" s="13"/>
      <c r="I19" s="13"/>
      <c r="J19" s="13"/>
      <c r="K19" s="13"/>
      <c r="L19" s="13"/>
      <c r="M19" s="13"/>
      <c r="N19" s="13"/>
      <c r="O19" s="13"/>
      <c r="P19" s="13"/>
      <c r="Q19" s="13"/>
      <c r="R19" s="13"/>
      <c r="S19" s="13"/>
      <c r="T19" s="13"/>
      <c r="U19" s="13"/>
      <c r="AF19" s="13"/>
      <c r="AG19" s="13"/>
      <c r="AH19" s="13"/>
      <c r="AI19" s="13"/>
      <c r="AJ19" s="13"/>
      <c r="AK19" s="13"/>
      <c r="AL19" s="13"/>
      <c r="AM19" s="13"/>
      <c r="AN19" s="13"/>
      <c r="AO19" s="13"/>
      <c r="AP19" s="13"/>
      <c r="AQ19" s="13"/>
      <c r="AR19" s="13"/>
      <c r="AS19" s="13"/>
      <c r="AT19" s="13"/>
      <c r="AU19" s="13"/>
      <c r="AV19" s="13"/>
      <c r="AW19" s="13"/>
      <c r="AX19" s="14"/>
    </row>
    <row r="20" spans="1:50">
      <c r="A20" s="12"/>
      <c r="D20" s="1" t="s">
        <v>400</v>
      </c>
      <c r="F20" s="13"/>
      <c r="G20" s="13"/>
      <c r="H20" s="13"/>
      <c r="I20" s="13"/>
      <c r="J20" s="13"/>
      <c r="K20" s="13"/>
      <c r="L20" s="13"/>
      <c r="M20" s="13"/>
      <c r="N20" s="13"/>
      <c r="O20" s="13"/>
      <c r="P20" s="13"/>
      <c r="Q20" s="13"/>
      <c r="R20" s="13"/>
      <c r="S20" s="13"/>
      <c r="T20" s="13"/>
      <c r="U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4"/>
    </row>
    <row r="21" spans="1:50" s="79" customFormat="1">
      <c r="A21" s="12"/>
      <c r="D21" s="79" t="s">
        <v>591</v>
      </c>
      <c r="F21" s="95"/>
      <c r="G21" s="95"/>
      <c r="H21" s="95"/>
      <c r="I21" s="95"/>
      <c r="J21" s="95"/>
      <c r="K21" s="95"/>
      <c r="L21" s="95"/>
      <c r="M21" s="95"/>
      <c r="N21" s="95"/>
      <c r="O21" s="95"/>
      <c r="P21" s="95"/>
      <c r="Q21" s="95"/>
      <c r="R21" s="95"/>
      <c r="S21" s="95"/>
      <c r="T21" s="95"/>
      <c r="U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14"/>
    </row>
    <row r="22" spans="1:50" s="79" customFormat="1">
      <c r="A22" s="12"/>
      <c r="D22" s="79" t="s">
        <v>574</v>
      </c>
      <c r="F22" s="95"/>
      <c r="G22" s="95"/>
      <c r="H22" s="95"/>
      <c r="I22" s="95"/>
      <c r="J22" s="95"/>
      <c r="K22" s="95"/>
      <c r="L22" s="95"/>
      <c r="M22" s="95"/>
      <c r="N22" s="95"/>
      <c r="O22" s="95"/>
      <c r="P22" s="95"/>
      <c r="Q22" s="95"/>
      <c r="R22" s="95"/>
      <c r="S22" s="95"/>
      <c r="T22" s="95"/>
      <c r="U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14"/>
    </row>
    <row r="23" spans="1:50">
      <c r="A23" s="12"/>
      <c r="F23" s="13"/>
      <c r="G23" s="13"/>
      <c r="H23" s="13"/>
      <c r="I23" s="13"/>
      <c r="J23" s="13"/>
      <c r="K23" s="13"/>
      <c r="L23" s="13"/>
      <c r="M23" s="13"/>
      <c r="N23" s="13"/>
      <c r="O23" s="13"/>
      <c r="P23" s="13"/>
      <c r="Q23" s="13"/>
      <c r="R23" s="13"/>
      <c r="S23" s="13"/>
      <c r="T23" s="13"/>
      <c r="U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4"/>
    </row>
    <row r="24" spans="1:50">
      <c r="A24" s="12"/>
      <c r="E24" s="79" t="s">
        <v>366</v>
      </c>
      <c r="F24" s="13"/>
      <c r="G24" s="16"/>
      <c r="H24" s="13"/>
      <c r="I24" s="95"/>
      <c r="J24" s="95"/>
      <c r="K24" s="95"/>
      <c r="L24" s="95"/>
      <c r="M24" s="95"/>
      <c r="N24" s="95"/>
      <c r="O24" s="95"/>
      <c r="P24" s="95"/>
      <c r="Q24" s="95"/>
      <c r="R24" s="79" t="s">
        <v>368</v>
      </c>
      <c r="S24" s="79"/>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13"/>
      <c r="AS24" s="13"/>
      <c r="AT24" s="13"/>
      <c r="AU24" s="13"/>
      <c r="AV24" s="13"/>
      <c r="AW24" s="13"/>
      <c r="AX24" s="14"/>
    </row>
    <row r="25" spans="1:50">
      <c r="A25" s="12"/>
      <c r="C25" s="79"/>
      <c r="D25" s="79"/>
      <c r="E25" s="79"/>
      <c r="F25" s="79" t="s">
        <v>361</v>
      </c>
      <c r="G25" s="95"/>
      <c r="H25" s="95"/>
      <c r="I25" s="95"/>
      <c r="J25" s="95"/>
      <c r="K25" s="95"/>
      <c r="L25" s="95"/>
      <c r="M25" s="95"/>
      <c r="N25" s="95"/>
      <c r="O25" s="95"/>
      <c r="P25" s="95"/>
      <c r="Q25" s="95"/>
      <c r="R25" s="79"/>
      <c r="S25" s="95" t="s">
        <v>382</v>
      </c>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13"/>
      <c r="AS25" s="13"/>
      <c r="AT25" s="13"/>
      <c r="AU25" s="13"/>
      <c r="AV25" s="13"/>
      <c r="AW25" s="13"/>
      <c r="AX25" s="14"/>
    </row>
    <row r="26" spans="1:50">
      <c r="A26" s="12"/>
      <c r="C26" s="79"/>
      <c r="D26" s="79"/>
      <c r="E26" s="79"/>
      <c r="F26" s="103" t="s">
        <v>369</v>
      </c>
      <c r="G26" s="104"/>
      <c r="H26" s="104"/>
      <c r="I26" s="105"/>
      <c r="J26" s="103" t="s">
        <v>381</v>
      </c>
      <c r="K26" s="104"/>
      <c r="L26" s="105"/>
      <c r="M26" s="95"/>
      <c r="N26" s="95"/>
      <c r="O26" s="95"/>
      <c r="P26" s="95"/>
      <c r="Q26" s="95"/>
      <c r="R26" s="79"/>
      <c r="S26" s="103" t="s">
        <v>369</v>
      </c>
      <c r="T26" s="126"/>
      <c r="U26" s="126"/>
      <c r="V26" s="126"/>
      <c r="W26" s="126"/>
      <c r="X26" s="105"/>
      <c r="Y26" s="103" t="s">
        <v>381</v>
      </c>
      <c r="Z26" s="104"/>
      <c r="AA26" s="104"/>
      <c r="AB26" s="104"/>
      <c r="AC26" s="104"/>
      <c r="AD26" s="104"/>
      <c r="AE26" s="104"/>
      <c r="AF26" s="104"/>
      <c r="AG26" s="105"/>
      <c r="AH26" s="95"/>
      <c r="AI26" s="95"/>
      <c r="AJ26" s="95"/>
      <c r="AK26" s="95"/>
      <c r="AL26" s="95"/>
      <c r="AM26" s="95"/>
      <c r="AN26" s="95"/>
      <c r="AO26" s="95"/>
      <c r="AP26" s="95"/>
      <c r="AQ26" s="95"/>
      <c r="AR26" s="13"/>
      <c r="AS26" s="13"/>
      <c r="AT26" s="13"/>
      <c r="AU26" s="13"/>
      <c r="AV26" s="13"/>
      <c r="AW26" s="13"/>
      <c r="AX26" s="14"/>
    </row>
    <row r="27" spans="1:50">
      <c r="A27" s="12"/>
      <c r="C27" s="79"/>
      <c r="D27" s="79"/>
      <c r="E27" s="79"/>
      <c r="F27" s="106" t="s">
        <v>362</v>
      </c>
      <c r="G27" s="107"/>
      <c r="H27" s="107"/>
      <c r="I27" s="108"/>
      <c r="J27" s="106" t="s">
        <v>380</v>
      </c>
      <c r="K27" s="107"/>
      <c r="L27" s="108"/>
      <c r="M27" s="95"/>
      <c r="N27" s="95"/>
      <c r="O27" s="95"/>
      <c r="P27" s="95"/>
      <c r="Q27" s="95"/>
      <c r="R27" s="79"/>
      <c r="S27" s="106" t="s">
        <v>387</v>
      </c>
      <c r="T27" s="107"/>
      <c r="U27" s="107"/>
      <c r="V27" s="107"/>
      <c r="W27" s="107"/>
      <c r="X27" s="108"/>
      <c r="Y27" s="106" t="s">
        <v>378</v>
      </c>
      <c r="Z27" s="107"/>
      <c r="AA27" s="108"/>
      <c r="AB27" s="106" t="s">
        <v>378</v>
      </c>
      <c r="AC27" s="107"/>
      <c r="AD27" s="108"/>
      <c r="AE27" s="106" t="s">
        <v>378</v>
      </c>
      <c r="AF27" s="107"/>
      <c r="AG27" s="108"/>
      <c r="AH27" s="95"/>
      <c r="AI27" s="95"/>
      <c r="AJ27" s="95"/>
      <c r="AK27" s="95"/>
      <c r="AL27" s="95"/>
      <c r="AM27" s="95"/>
      <c r="AN27" s="95"/>
      <c r="AO27" s="95"/>
      <c r="AP27" s="95"/>
      <c r="AQ27" s="95"/>
      <c r="AR27" s="13"/>
      <c r="AS27" s="13"/>
      <c r="AT27" s="13"/>
      <c r="AU27" s="13"/>
      <c r="AV27" s="13"/>
      <c r="AW27" s="13"/>
      <c r="AX27" s="14"/>
    </row>
    <row r="28" spans="1:50">
      <c r="A28" s="12"/>
      <c r="C28" s="79"/>
      <c r="D28" s="79"/>
      <c r="E28" s="79"/>
      <c r="F28" s="109" t="s">
        <v>367</v>
      </c>
      <c r="G28" s="111"/>
      <c r="H28" s="111"/>
      <c r="I28" s="110"/>
      <c r="J28" s="109" t="s">
        <v>379</v>
      </c>
      <c r="K28" s="111"/>
      <c r="L28" s="110"/>
      <c r="M28" s="95"/>
      <c r="N28" s="95"/>
      <c r="O28" s="95"/>
      <c r="P28" s="95"/>
      <c r="Q28" s="95"/>
      <c r="R28" s="79"/>
      <c r="S28" s="119" t="s">
        <v>383</v>
      </c>
      <c r="T28" s="120"/>
      <c r="U28" s="120"/>
      <c r="V28" s="120"/>
      <c r="W28" s="120"/>
      <c r="X28" s="121"/>
      <c r="Y28" s="119" t="s">
        <v>391</v>
      </c>
      <c r="Z28" s="120"/>
      <c r="AA28" s="121"/>
      <c r="AB28" s="119" t="s">
        <v>391</v>
      </c>
      <c r="AC28" s="120"/>
      <c r="AD28" s="121"/>
      <c r="AE28" s="119" t="s">
        <v>391</v>
      </c>
      <c r="AF28" s="120"/>
      <c r="AG28" s="121"/>
      <c r="AH28" s="95"/>
      <c r="AI28" s="95"/>
      <c r="AJ28" s="95"/>
      <c r="AK28" s="95"/>
      <c r="AL28" s="95"/>
      <c r="AM28" s="95"/>
      <c r="AN28" s="95"/>
      <c r="AO28" s="95"/>
      <c r="AP28" s="95"/>
      <c r="AQ28" s="95"/>
      <c r="AR28" s="13"/>
      <c r="AS28" s="13"/>
      <c r="AT28" s="13"/>
      <c r="AU28" s="13"/>
      <c r="AV28" s="13"/>
      <c r="AW28" s="13"/>
      <c r="AX28" s="14"/>
    </row>
    <row r="29" spans="1:50">
      <c r="A29" s="12"/>
      <c r="F29" s="95"/>
      <c r="G29" s="95"/>
      <c r="H29" s="95"/>
      <c r="I29" s="95"/>
      <c r="J29" s="95"/>
      <c r="K29" s="95"/>
      <c r="L29" s="95"/>
      <c r="M29" s="13"/>
      <c r="N29" s="95"/>
      <c r="O29" s="95"/>
      <c r="P29" s="95"/>
      <c r="Q29" s="95"/>
      <c r="R29" s="79"/>
      <c r="S29" s="119" t="s">
        <v>384</v>
      </c>
      <c r="T29" s="120"/>
      <c r="U29" s="120"/>
      <c r="V29" s="120"/>
      <c r="W29" s="120"/>
      <c r="X29" s="121"/>
      <c r="Y29" s="119" t="s">
        <v>392</v>
      </c>
      <c r="Z29" s="120"/>
      <c r="AA29" s="121"/>
      <c r="AB29" s="119" t="s">
        <v>392</v>
      </c>
      <c r="AC29" s="120"/>
      <c r="AD29" s="121"/>
      <c r="AE29" s="119" t="s">
        <v>374</v>
      </c>
      <c r="AF29" s="120"/>
      <c r="AG29" s="121"/>
      <c r="AH29" s="95" t="s">
        <v>398</v>
      </c>
      <c r="AI29" s="95"/>
      <c r="AJ29" s="95"/>
      <c r="AK29" s="95"/>
      <c r="AL29" s="95"/>
      <c r="AM29" s="95"/>
      <c r="AN29" s="95"/>
      <c r="AO29" s="95"/>
      <c r="AP29" s="95"/>
      <c r="AQ29" s="95"/>
      <c r="AR29" s="13"/>
      <c r="AS29" s="13"/>
      <c r="AT29" s="13"/>
      <c r="AU29" s="13"/>
      <c r="AV29" s="13"/>
      <c r="AW29" s="13"/>
      <c r="AX29" s="14"/>
    </row>
    <row r="30" spans="1:50">
      <c r="A30" s="12"/>
      <c r="F30" s="79" t="s">
        <v>364</v>
      </c>
      <c r="G30" s="95"/>
      <c r="H30" s="95"/>
      <c r="I30" s="95"/>
      <c r="J30" s="95"/>
      <c r="K30" s="95"/>
      <c r="L30" s="95"/>
      <c r="M30" s="13"/>
      <c r="N30" s="13"/>
      <c r="O30" s="13"/>
      <c r="P30" s="95"/>
      <c r="Q30" s="13"/>
      <c r="R30" s="79"/>
      <c r="S30" s="119" t="s">
        <v>385</v>
      </c>
      <c r="T30" s="120"/>
      <c r="U30" s="120"/>
      <c r="V30" s="120"/>
      <c r="W30" s="120"/>
      <c r="X30" s="121"/>
      <c r="Y30" s="119" t="s">
        <v>393</v>
      </c>
      <c r="Z30" s="120"/>
      <c r="AA30" s="121"/>
      <c r="AB30" s="127" t="s">
        <v>396</v>
      </c>
      <c r="AC30" s="120"/>
      <c r="AD30" s="121"/>
      <c r="AE30" s="127" t="s">
        <v>393</v>
      </c>
      <c r="AF30" s="120"/>
      <c r="AG30" s="121"/>
      <c r="AH30" s="95"/>
      <c r="AI30" s="95"/>
      <c r="AJ30" s="95"/>
      <c r="AK30" s="95"/>
      <c r="AL30" s="95"/>
      <c r="AM30" s="95"/>
      <c r="AN30" s="13"/>
      <c r="AO30" s="95"/>
      <c r="AP30" s="95"/>
      <c r="AQ30" s="95"/>
      <c r="AR30" s="13"/>
      <c r="AS30" s="13"/>
      <c r="AT30" s="13"/>
      <c r="AU30" s="13"/>
      <c r="AV30" s="13"/>
      <c r="AW30" s="13"/>
      <c r="AX30" s="14"/>
    </row>
    <row r="31" spans="1:50">
      <c r="A31" s="12"/>
      <c r="E31" s="95"/>
      <c r="F31" s="103" t="s">
        <v>369</v>
      </c>
      <c r="G31" s="104"/>
      <c r="H31" s="104"/>
      <c r="I31" s="105"/>
      <c r="J31" s="103" t="s">
        <v>381</v>
      </c>
      <c r="K31" s="104"/>
      <c r="L31" s="105"/>
      <c r="M31" s="95"/>
      <c r="N31" s="95"/>
      <c r="O31" s="95"/>
      <c r="P31" s="95"/>
      <c r="Q31" s="95"/>
      <c r="R31" s="95"/>
      <c r="S31" s="119" t="s">
        <v>388</v>
      </c>
      <c r="T31" s="122"/>
      <c r="U31" s="122"/>
      <c r="V31" s="122"/>
      <c r="W31" s="122"/>
      <c r="X31" s="123"/>
      <c r="Y31" s="119" t="s">
        <v>394</v>
      </c>
      <c r="Z31" s="122"/>
      <c r="AA31" s="123"/>
      <c r="AB31" s="125" t="s">
        <v>395</v>
      </c>
      <c r="AC31" s="122"/>
      <c r="AD31" s="123"/>
      <c r="AE31" s="125" t="s">
        <v>395</v>
      </c>
      <c r="AF31" s="122"/>
      <c r="AG31" s="123"/>
      <c r="AH31" s="95"/>
      <c r="AI31" s="95"/>
      <c r="AJ31" s="95"/>
      <c r="AK31" s="95"/>
      <c r="AL31" s="95"/>
      <c r="AM31" s="95"/>
      <c r="AN31" s="95"/>
      <c r="AO31" s="95"/>
      <c r="AP31" s="95"/>
      <c r="AQ31" s="95"/>
      <c r="AR31" s="13"/>
      <c r="AS31" s="13"/>
      <c r="AT31" s="13"/>
      <c r="AU31" s="13"/>
      <c r="AV31" s="13"/>
      <c r="AW31" s="13"/>
      <c r="AX31" s="14"/>
    </row>
    <row r="32" spans="1:50">
      <c r="A32" s="12"/>
      <c r="E32" s="95"/>
      <c r="F32" s="103" t="s">
        <v>365</v>
      </c>
      <c r="G32" s="104"/>
      <c r="H32" s="104"/>
      <c r="I32" s="105"/>
      <c r="J32" s="103" t="s">
        <v>378</v>
      </c>
      <c r="K32" s="104"/>
      <c r="L32" s="105"/>
      <c r="M32" s="95"/>
      <c r="N32" s="95"/>
      <c r="O32" s="95"/>
      <c r="P32" s="95"/>
      <c r="Q32" s="95"/>
      <c r="R32" s="95"/>
      <c r="S32" s="109" t="s">
        <v>386</v>
      </c>
      <c r="T32" s="118"/>
      <c r="U32" s="118"/>
      <c r="V32" s="118"/>
      <c r="W32" s="118"/>
      <c r="X32" s="124"/>
      <c r="Y32" s="109" t="s">
        <v>389</v>
      </c>
      <c r="Z32" s="118"/>
      <c r="AA32" s="124"/>
      <c r="AB32" s="114" t="s">
        <v>397</v>
      </c>
      <c r="AC32" s="118"/>
      <c r="AD32" s="124"/>
      <c r="AE32" s="114" t="s">
        <v>390</v>
      </c>
      <c r="AF32" s="118"/>
      <c r="AG32" s="124"/>
      <c r="AH32" s="95"/>
      <c r="AI32" s="95"/>
      <c r="AJ32" s="95"/>
      <c r="AK32" s="95"/>
      <c r="AL32" s="95"/>
      <c r="AM32" s="95"/>
      <c r="AN32" s="95"/>
      <c r="AO32" s="95"/>
      <c r="AP32" s="95"/>
      <c r="AQ32" s="95"/>
      <c r="AR32" s="13"/>
      <c r="AS32" s="13"/>
      <c r="AT32" s="13"/>
      <c r="AU32" s="13"/>
      <c r="AV32" s="13"/>
      <c r="AW32" s="13"/>
      <c r="AX32" s="14"/>
    </row>
    <row r="33" spans="1:50">
      <c r="A33" s="12"/>
      <c r="E33" s="95"/>
      <c r="F33" s="95"/>
      <c r="G33" s="95"/>
      <c r="H33" s="95"/>
      <c r="I33" s="95"/>
      <c r="J33" s="95"/>
      <c r="K33" s="95"/>
      <c r="L33" s="95"/>
      <c r="M33" s="95"/>
      <c r="N33" s="95"/>
      <c r="O33" s="95"/>
      <c r="P33" s="95"/>
      <c r="Q33" s="95"/>
      <c r="R33" s="95"/>
      <c r="S33" s="95"/>
      <c r="T33" s="79"/>
      <c r="U33" s="95"/>
      <c r="V33" s="95"/>
      <c r="W33" s="95"/>
      <c r="X33" s="79"/>
      <c r="Y33" s="95"/>
      <c r="Z33" s="95"/>
      <c r="AA33" s="95"/>
      <c r="AB33" s="95"/>
      <c r="AC33" s="95"/>
      <c r="AD33" s="95"/>
      <c r="AE33" s="95"/>
      <c r="AF33" s="95"/>
      <c r="AG33" s="95"/>
      <c r="AH33" s="95"/>
      <c r="AI33" s="95"/>
      <c r="AJ33" s="95"/>
      <c r="AK33" s="95"/>
      <c r="AL33" s="95"/>
      <c r="AM33" s="95"/>
      <c r="AN33" s="95"/>
      <c r="AO33" s="95"/>
      <c r="AP33" s="95"/>
      <c r="AQ33" s="95"/>
      <c r="AR33" s="13"/>
      <c r="AS33" s="13"/>
      <c r="AT33" s="13"/>
      <c r="AU33" s="13"/>
      <c r="AV33" s="13"/>
      <c r="AW33" s="13"/>
      <c r="AX33" s="14"/>
    </row>
    <row r="34" spans="1:50" s="79" customFormat="1">
      <c r="A34" s="12"/>
      <c r="E34" s="95"/>
      <c r="F34" s="95" t="s">
        <v>486</v>
      </c>
      <c r="G34" s="95"/>
      <c r="H34" s="95"/>
      <c r="I34" s="95"/>
      <c r="J34" s="95"/>
      <c r="K34" s="95"/>
      <c r="L34" s="95"/>
      <c r="M34" s="95"/>
      <c r="N34" s="95"/>
      <c r="O34" s="95"/>
      <c r="P34" s="95"/>
      <c r="Q34" s="95"/>
      <c r="R34" s="95"/>
      <c r="S34" s="95" t="s">
        <v>472</v>
      </c>
      <c r="U34" s="95"/>
      <c r="V34" s="95"/>
      <c r="W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14"/>
    </row>
    <row r="35" spans="1:50">
      <c r="A35" s="12"/>
      <c r="E35" s="95"/>
      <c r="F35" s="95"/>
      <c r="G35" s="95"/>
      <c r="H35" s="95"/>
      <c r="I35" s="95"/>
      <c r="J35" s="95"/>
      <c r="K35" s="95"/>
      <c r="L35" s="95"/>
      <c r="M35" s="95"/>
      <c r="N35" s="95"/>
      <c r="O35" s="95"/>
      <c r="P35" s="95"/>
      <c r="Q35" s="95"/>
      <c r="R35" s="95"/>
      <c r="S35" s="103" t="s">
        <v>369</v>
      </c>
      <c r="T35" s="126"/>
      <c r="U35" s="126"/>
      <c r="V35" s="126"/>
      <c r="W35" s="105"/>
      <c r="X35" s="103" t="s">
        <v>381</v>
      </c>
      <c r="Y35" s="104"/>
      <c r="Z35" s="104"/>
      <c r="AA35" s="104"/>
      <c r="AB35" s="104"/>
      <c r="AC35" s="104"/>
      <c r="AD35" s="104"/>
      <c r="AE35" s="104"/>
      <c r="AF35" s="104"/>
      <c r="AG35" s="104"/>
      <c r="AH35" s="104"/>
      <c r="AI35" s="105"/>
      <c r="AJ35" s="95"/>
      <c r="AK35" s="95"/>
      <c r="AL35" s="95"/>
      <c r="AM35" s="95"/>
      <c r="AN35" s="95"/>
      <c r="AO35" s="95"/>
      <c r="AP35" s="95"/>
      <c r="AQ35" s="95"/>
      <c r="AR35" s="95"/>
      <c r="AS35" s="95"/>
      <c r="AT35" s="13"/>
      <c r="AU35" s="13"/>
      <c r="AV35" s="13"/>
      <c r="AW35" s="13"/>
      <c r="AX35" s="14"/>
    </row>
    <row r="36" spans="1:50">
      <c r="A36" s="12"/>
      <c r="E36" s="95"/>
      <c r="F36" s="95"/>
      <c r="G36" s="95"/>
      <c r="H36" s="95"/>
      <c r="I36" s="95"/>
      <c r="J36" s="95"/>
      <c r="K36" s="95"/>
      <c r="L36" s="95"/>
      <c r="M36" s="95"/>
      <c r="N36" s="95"/>
      <c r="O36" s="95"/>
      <c r="P36" s="95"/>
      <c r="Q36" s="95"/>
      <c r="R36" s="95"/>
      <c r="S36" s="106" t="s">
        <v>517</v>
      </c>
      <c r="T36" s="107"/>
      <c r="U36" s="107"/>
      <c r="V36" s="107"/>
      <c r="W36" s="108"/>
      <c r="X36" s="106" t="s">
        <v>370</v>
      </c>
      <c r="Y36" s="107"/>
      <c r="Z36" s="107"/>
      <c r="AA36" s="108"/>
      <c r="AB36" s="106" t="s">
        <v>370</v>
      </c>
      <c r="AC36" s="107"/>
      <c r="AD36" s="107"/>
      <c r="AE36" s="108"/>
      <c r="AF36" s="106" t="s">
        <v>372</v>
      </c>
      <c r="AG36" s="107"/>
      <c r="AH36" s="107"/>
      <c r="AI36" s="108"/>
      <c r="AJ36" s="95" t="s">
        <v>399</v>
      </c>
      <c r="AK36" s="95"/>
      <c r="AL36" s="95"/>
      <c r="AM36" s="95"/>
      <c r="AN36" s="95"/>
      <c r="AO36" s="95"/>
      <c r="AP36" s="95"/>
      <c r="AQ36" s="95"/>
      <c r="AR36" s="95"/>
      <c r="AS36" s="95"/>
      <c r="AT36" s="13"/>
      <c r="AU36" s="13"/>
      <c r="AV36" s="13"/>
      <c r="AW36" s="13"/>
      <c r="AX36" s="14"/>
    </row>
    <row r="37" spans="1:50">
      <c r="A37" s="12"/>
      <c r="F37" s="13"/>
      <c r="G37" s="13"/>
      <c r="H37" s="13"/>
      <c r="I37" s="13"/>
      <c r="J37" s="13"/>
      <c r="K37" s="13"/>
      <c r="L37" s="13"/>
      <c r="M37" s="13"/>
      <c r="N37" s="13"/>
      <c r="O37" s="13"/>
      <c r="P37" s="13"/>
      <c r="Q37" s="13"/>
      <c r="R37" s="79"/>
      <c r="S37" s="119" t="s">
        <v>363</v>
      </c>
      <c r="T37" s="120"/>
      <c r="U37" s="120"/>
      <c r="V37" s="120"/>
      <c r="W37" s="121"/>
      <c r="X37" s="119" t="s">
        <v>373</v>
      </c>
      <c r="Y37" s="120"/>
      <c r="Z37" s="120"/>
      <c r="AA37" s="121"/>
      <c r="AB37" s="119" t="s">
        <v>373</v>
      </c>
      <c r="AC37" s="120"/>
      <c r="AD37" s="120"/>
      <c r="AE37" s="121"/>
      <c r="AF37" s="119" t="s">
        <v>373</v>
      </c>
      <c r="AG37" s="120"/>
      <c r="AH37" s="120"/>
      <c r="AI37" s="121"/>
      <c r="AJ37" s="95" t="s">
        <v>573</v>
      </c>
      <c r="AK37" s="95"/>
      <c r="AL37" s="95"/>
      <c r="AM37" s="95"/>
      <c r="AN37" s="95"/>
      <c r="AO37" s="95"/>
      <c r="AP37" s="95"/>
      <c r="AQ37" s="95"/>
      <c r="AR37" s="95"/>
      <c r="AS37" s="95"/>
      <c r="AT37" s="95"/>
      <c r="AU37" s="13"/>
      <c r="AV37" s="13"/>
      <c r="AW37" s="13"/>
      <c r="AX37" s="14"/>
    </row>
    <row r="38" spans="1:50">
      <c r="A38" s="12"/>
      <c r="F38" s="13"/>
      <c r="G38" s="13"/>
      <c r="H38" s="13"/>
      <c r="I38" s="13"/>
      <c r="J38" s="13"/>
      <c r="K38" s="13"/>
      <c r="L38" s="13"/>
      <c r="M38" s="13"/>
      <c r="N38" s="13"/>
      <c r="O38" s="13"/>
      <c r="P38" s="13"/>
      <c r="Q38" s="13"/>
      <c r="R38" s="79"/>
      <c r="S38" s="119" t="s">
        <v>362</v>
      </c>
      <c r="T38" s="120"/>
      <c r="U38" s="120"/>
      <c r="V38" s="120"/>
      <c r="W38" s="121"/>
      <c r="X38" s="119" t="s">
        <v>375</v>
      </c>
      <c r="Y38" s="120"/>
      <c r="Z38" s="120"/>
      <c r="AA38" s="121"/>
      <c r="AB38" s="119" t="s">
        <v>375</v>
      </c>
      <c r="AC38" s="120"/>
      <c r="AD38" s="120"/>
      <c r="AE38" s="121"/>
      <c r="AF38" s="119" t="s">
        <v>374</v>
      </c>
      <c r="AG38" s="120"/>
      <c r="AH38" s="120"/>
      <c r="AI38" s="121"/>
      <c r="AJ38" s="95"/>
      <c r="AK38" s="95"/>
      <c r="AL38" s="95"/>
      <c r="AM38" s="95"/>
      <c r="AN38" s="95"/>
      <c r="AO38" s="95"/>
      <c r="AP38" s="95"/>
      <c r="AQ38" s="95"/>
      <c r="AR38" s="95"/>
      <c r="AS38" s="95"/>
      <c r="AT38" s="95"/>
      <c r="AU38" s="13"/>
      <c r="AV38" s="13"/>
      <c r="AW38" s="13"/>
      <c r="AX38" s="14"/>
    </row>
    <row r="39" spans="1:50">
      <c r="A39" s="12"/>
      <c r="F39" s="13"/>
      <c r="G39" s="13"/>
      <c r="H39" s="13"/>
      <c r="I39" s="13"/>
      <c r="J39" s="13"/>
      <c r="K39" s="13"/>
      <c r="L39" s="13"/>
      <c r="M39" s="13"/>
      <c r="N39" s="13"/>
      <c r="O39" s="13"/>
      <c r="P39" s="13"/>
      <c r="Q39" s="13"/>
      <c r="R39" s="79"/>
      <c r="S39" s="119" t="s">
        <v>365</v>
      </c>
      <c r="T39" s="120"/>
      <c r="U39" s="120"/>
      <c r="V39" s="120"/>
      <c r="W39" s="121"/>
      <c r="X39" s="119" t="s">
        <v>376</v>
      </c>
      <c r="Y39" s="120"/>
      <c r="Z39" s="120"/>
      <c r="AA39" s="121"/>
      <c r="AB39" s="119" t="s">
        <v>376</v>
      </c>
      <c r="AC39" s="120"/>
      <c r="AD39" s="120"/>
      <c r="AE39" s="121"/>
      <c r="AF39" s="119" t="s">
        <v>374</v>
      </c>
      <c r="AG39" s="120"/>
      <c r="AH39" s="120"/>
      <c r="AI39" s="121"/>
      <c r="AJ39" s="95"/>
      <c r="AK39" s="95"/>
      <c r="AL39" s="95"/>
      <c r="AM39" s="95"/>
      <c r="AN39" s="95"/>
      <c r="AO39" s="95"/>
      <c r="AP39" s="95"/>
      <c r="AQ39" s="95"/>
      <c r="AR39" s="95"/>
      <c r="AS39" s="95"/>
      <c r="AT39" s="95"/>
      <c r="AU39" s="13"/>
      <c r="AV39" s="13"/>
      <c r="AW39" s="13"/>
      <c r="AX39" s="14"/>
    </row>
    <row r="40" spans="1:50" s="79" customFormat="1">
      <c r="A40" s="12"/>
      <c r="F40" s="95"/>
      <c r="G40" s="95"/>
      <c r="H40" s="95"/>
      <c r="I40" s="95"/>
      <c r="J40" s="95"/>
      <c r="K40" s="95"/>
      <c r="L40" s="95"/>
      <c r="M40" s="95"/>
      <c r="N40" s="95"/>
      <c r="O40" s="95"/>
      <c r="P40" s="95"/>
      <c r="Q40" s="95"/>
      <c r="S40" s="119" t="s">
        <v>371</v>
      </c>
      <c r="T40" s="120"/>
      <c r="U40" s="120"/>
      <c r="V40" s="120"/>
      <c r="W40" s="121"/>
      <c r="X40" s="119"/>
      <c r="Y40" s="122"/>
      <c r="Z40" s="120"/>
      <c r="AA40" s="121"/>
      <c r="AB40" s="119"/>
      <c r="AC40" s="120"/>
      <c r="AD40" s="120"/>
      <c r="AE40" s="121"/>
      <c r="AF40" s="125" t="s">
        <v>377</v>
      </c>
      <c r="AG40" s="120"/>
      <c r="AH40" s="120"/>
      <c r="AI40" s="121"/>
      <c r="AJ40" s="95"/>
      <c r="AK40" s="95"/>
      <c r="AL40" s="95"/>
      <c r="AM40" s="95"/>
      <c r="AN40" s="95"/>
      <c r="AO40" s="95"/>
      <c r="AP40" s="95"/>
      <c r="AQ40" s="95"/>
      <c r="AR40" s="95"/>
      <c r="AS40" s="95"/>
      <c r="AT40" s="95"/>
      <c r="AU40" s="95"/>
      <c r="AV40" s="95"/>
      <c r="AW40" s="95"/>
      <c r="AX40" s="14"/>
    </row>
    <row r="41" spans="1:50" s="79" customFormat="1">
      <c r="A41" s="12"/>
      <c r="F41" s="95"/>
      <c r="G41" s="95"/>
      <c r="H41" s="95"/>
      <c r="I41" s="95"/>
      <c r="J41" s="95"/>
      <c r="K41" s="95"/>
      <c r="L41" s="95"/>
      <c r="M41" s="95"/>
      <c r="N41" s="95"/>
      <c r="O41" s="95"/>
      <c r="P41" s="95"/>
      <c r="Q41" s="95"/>
      <c r="S41" s="119" t="s">
        <v>475</v>
      </c>
      <c r="T41" s="122"/>
      <c r="U41" s="122"/>
      <c r="V41" s="122"/>
      <c r="W41" s="123"/>
      <c r="X41" s="125" t="s">
        <v>389</v>
      </c>
      <c r="Y41" s="120"/>
      <c r="Z41" s="120"/>
      <c r="AA41" s="121"/>
      <c r="AB41" s="125" t="s">
        <v>397</v>
      </c>
      <c r="AC41" s="122"/>
      <c r="AD41" s="122"/>
      <c r="AE41" s="123"/>
      <c r="AF41" s="125" t="s">
        <v>389</v>
      </c>
      <c r="AG41" s="120"/>
      <c r="AH41" s="120"/>
      <c r="AI41" s="121"/>
      <c r="AJ41" s="95"/>
      <c r="AK41" s="95"/>
      <c r="AL41" s="95"/>
      <c r="AM41" s="95"/>
      <c r="AN41" s="95"/>
      <c r="AO41" s="95"/>
      <c r="AP41" s="95"/>
      <c r="AQ41" s="95"/>
      <c r="AR41" s="95"/>
      <c r="AS41" s="95"/>
      <c r="AT41" s="95"/>
      <c r="AU41" s="95"/>
      <c r="AV41" s="95"/>
      <c r="AW41" s="95"/>
      <c r="AX41" s="14"/>
    </row>
    <row r="42" spans="1:50" s="79" customFormat="1">
      <c r="A42" s="12"/>
      <c r="F42" s="95"/>
      <c r="G42" s="95"/>
      <c r="H42" s="95"/>
      <c r="I42" s="95"/>
      <c r="J42" s="95"/>
      <c r="K42" s="95"/>
      <c r="L42" s="95"/>
      <c r="M42" s="95"/>
      <c r="N42" s="95"/>
      <c r="O42" s="95"/>
      <c r="P42" s="95"/>
      <c r="Q42" s="95"/>
      <c r="S42" s="109" t="s">
        <v>516</v>
      </c>
      <c r="T42" s="118"/>
      <c r="U42" s="118"/>
      <c r="V42" s="118"/>
      <c r="W42" s="124"/>
      <c r="X42" s="114" t="s">
        <v>445</v>
      </c>
      <c r="Y42" s="111"/>
      <c r="Z42" s="111"/>
      <c r="AA42" s="110"/>
      <c r="AB42" s="114" t="s">
        <v>344</v>
      </c>
      <c r="AC42" s="118"/>
      <c r="AD42" s="118"/>
      <c r="AE42" s="124"/>
      <c r="AF42" s="114" t="s">
        <v>445</v>
      </c>
      <c r="AG42" s="111"/>
      <c r="AH42" s="111"/>
      <c r="AI42" s="110"/>
      <c r="AJ42" s="95" t="s">
        <v>447</v>
      </c>
      <c r="AK42" s="95"/>
      <c r="AL42" s="95"/>
      <c r="AM42" s="95"/>
      <c r="AN42" s="95"/>
      <c r="AO42" s="95"/>
      <c r="AP42" s="95"/>
      <c r="AQ42" s="95"/>
      <c r="AR42" s="95"/>
      <c r="AS42" s="95"/>
      <c r="AT42" s="95"/>
      <c r="AU42" s="95"/>
      <c r="AV42" s="95"/>
      <c r="AW42" s="95"/>
      <c r="AX42" s="14"/>
    </row>
    <row r="43" spans="1:50" s="79" customFormat="1">
      <c r="A43" s="12"/>
      <c r="F43" s="95"/>
      <c r="G43" s="95"/>
      <c r="H43" s="95"/>
      <c r="I43" s="95"/>
      <c r="J43" s="95"/>
      <c r="K43" s="95"/>
      <c r="L43" s="95"/>
      <c r="M43" s="95"/>
      <c r="N43" s="95"/>
      <c r="O43" s="95"/>
      <c r="P43" s="95"/>
      <c r="Q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14"/>
    </row>
    <row r="44" spans="1:50" s="79" customFormat="1">
      <c r="A44" s="12"/>
      <c r="F44" s="95"/>
      <c r="G44" s="95"/>
      <c r="H44" s="95"/>
      <c r="I44" s="95"/>
      <c r="J44" s="95"/>
      <c r="K44" s="95"/>
      <c r="L44" s="95"/>
      <c r="M44" s="95"/>
      <c r="N44" s="95"/>
      <c r="O44" s="95"/>
      <c r="P44" s="95"/>
      <c r="Q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14"/>
    </row>
    <row r="45" spans="1:50" s="79" customFormat="1">
      <c r="A45" s="12"/>
      <c r="C45" s="79" t="s">
        <v>401</v>
      </c>
      <c r="D45" s="79" t="s">
        <v>402</v>
      </c>
      <c r="F45" s="95"/>
      <c r="G45" s="95"/>
      <c r="H45" s="95"/>
      <c r="I45" s="95"/>
      <c r="J45" s="95"/>
      <c r="K45" s="95"/>
      <c r="L45" s="95"/>
      <c r="M45" s="95"/>
      <c r="N45" s="95"/>
      <c r="O45" s="95"/>
      <c r="P45" s="95"/>
      <c r="Q45" s="95"/>
      <c r="R45" s="95"/>
      <c r="S45" s="95"/>
      <c r="T45" s="95"/>
      <c r="U45" s="95"/>
      <c r="AL45" s="95"/>
      <c r="AM45" s="95"/>
      <c r="AN45" s="95"/>
      <c r="AO45" s="95"/>
      <c r="AP45" s="95"/>
      <c r="AQ45" s="95"/>
      <c r="AR45" s="95"/>
      <c r="AS45" s="95"/>
      <c r="AT45" s="95"/>
      <c r="AU45" s="95"/>
      <c r="AV45" s="95"/>
      <c r="AW45" s="95"/>
      <c r="AX45" s="14"/>
    </row>
    <row r="46" spans="1:50" s="79" customFormat="1">
      <c r="A46" s="12"/>
      <c r="D46" s="79" t="s">
        <v>450</v>
      </c>
      <c r="F46" s="95"/>
      <c r="G46" s="95"/>
      <c r="H46" s="95"/>
      <c r="I46" s="95"/>
      <c r="J46" s="95"/>
      <c r="K46" s="95"/>
      <c r="L46" s="95"/>
      <c r="M46" s="95"/>
      <c r="N46" s="95"/>
      <c r="O46" s="95"/>
      <c r="P46" s="95"/>
      <c r="Q46" s="95"/>
      <c r="R46" s="95"/>
      <c r="S46" s="95"/>
      <c r="T46" s="95"/>
      <c r="U46" s="95"/>
      <c r="AL46" s="95"/>
      <c r="AM46" s="95"/>
      <c r="AN46" s="95"/>
      <c r="AO46" s="95"/>
      <c r="AP46" s="95"/>
      <c r="AQ46" s="95"/>
      <c r="AR46" s="95"/>
      <c r="AS46" s="95"/>
      <c r="AT46" s="95"/>
      <c r="AU46" s="95"/>
      <c r="AV46" s="95"/>
      <c r="AW46" s="95"/>
      <c r="AX46" s="14"/>
    </row>
    <row r="47" spans="1:50" s="79" customFormat="1">
      <c r="A47" s="12"/>
      <c r="F47" s="95"/>
      <c r="G47" s="95"/>
      <c r="H47" s="95"/>
      <c r="I47" s="95"/>
      <c r="J47" s="95"/>
      <c r="K47" s="95"/>
      <c r="L47" s="95"/>
      <c r="M47" s="95"/>
      <c r="N47" s="95"/>
      <c r="O47" s="95"/>
      <c r="P47" s="95"/>
      <c r="Q47" s="95"/>
      <c r="R47" s="95"/>
      <c r="S47" s="95"/>
      <c r="T47" s="95"/>
      <c r="U47" s="95"/>
      <c r="AL47" s="95"/>
      <c r="AM47" s="95"/>
      <c r="AN47" s="95"/>
      <c r="AO47" s="95"/>
      <c r="AP47" s="95"/>
      <c r="AQ47" s="95"/>
      <c r="AR47" s="95"/>
      <c r="AS47" s="95"/>
      <c r="AT47" s="95"/>
      <c r="AU47" s="95"/>
      <c r="AV47" s="95"/>
      <c r="AW47" s="95"/>
      <c r="AX47" s="14"/>
    </row>
    <row r="48" spans="1:50" s="79" customFormat="1">
      <c r="A48" s="12"/>
      <c r="E48" s="79" t="s">
        <v>446</v>
      </c>
      <c r="F48" s="95"/>
      <c r="G48" s="95"/>
      <c r="H48" s="95"/>
      <c r="I48" s="95"/>
      <c r="J48" s="95"/>
      <c r="K48" s="95"/>
      <c r="L48" s="95"/>
      <c r="M48" s="95"/>
      <c r="N48" s="95"/>
      <c r="O48" s="95"/>
      <c r="P48" s="95"/>
      <c r="Q48" s="95"/>
      <c r="R48" s="95"/>
      <c r="S48" s="95"/>
      <c r="T48" s="95"/>
      <c r="U48" s="95"/>
      <c r="AA48" s="95"/>
      <c r="AC48" s="95"/>
      <c r="AD48" s="95"/>
      <c r="AE48" s="95"/>
      <c r="AG48" s="95"/>
      <c r="AH48" s="95"/>
      <c r="AI48" s="95"/>
      <c r="AJ48" s="95"/>
      <c r="AK48" s="95"/>
      <c r="AS48" s="95"/>
      <c r="AT48" s="95"/>
      <c r="AU48" s="95"/>
      <c r="AV48" s="95"/>
      <c r="AW48" s="95"/>
      <c r="AX48" s="14"/>
    </row>
    <row r="49" spans="1:50" s="79" customFormat="1">
      <c r="A49" s="12"/>
      <c r="E49" s="103" t="s">
        <v>369</v>
      </c>
      <c r="F49" s="104"/>
      <c r="G49" s="104"/>
      <c r="H49" s="104"/>
      <c r="I49" s="104"/>
      <c r="J49" s="105"/>
      <c r="K49" s="103" t="s">
        <v>403</v>
      </c>
      <c r="L49" s="104"/>
      <c r="M49" s="104"/>
      <c r="N49" s="104"/>
      <c r="O49" s="104"/>
      <c r="P49" s="104"/>
      <c r="Q49" s="104"/>
      <c r="R49" s="104"/>
      <c r="S49" s="104"/>
      <c r="T49" s="104"/>
      <c r="U49" s="104"/>
      <c r="V49" s="104"/>
      <c r="W49" s="104"/>
      <c r="X49" s="105"/>
      <c r="AA49" s="95"/>
      <c r="AC49" s="95"/>
      <c r="AD49" s="95"/>
      <c r="AE49" s="95"/>
      <c r="AG49" s="95"/>
      <c r="AH49" s="95"/>
      <c r="AI49" s="95"/>
      <c r="AJ49" s="95"/>
      <c r="AK49" s="95"/>
      <c r="AS49" s="95"/>
      <c r="AT49" s="95"/>
      <c r="AU49" s="95"/>
      <c r="AV49" s="95"/>
      <c r="AW49" s="95"/>
      <c r="AX49" s="14"/>
    </row>
    <row r="50" spans="1:50" s="79" customFormat="1">
      <c r="A50" s="12"/>
      <c r="E50" s="106" t="s">
        <v>442</v>
      </c>
      <c r="F50" s="107"/>
      <c r="G50" s="107"/>
      <c r="H50" s="107"/>
      <c r="I50" s="107"/>
      <c r="J50" s="108"/>
      <c r="K50" s="106" t="s">
        <v>444</v>
      </c>
      <c r="L50" s="107"/>
      <c r="M50" s="107"/>
      <c r="N50" s="107"/>
      <c r="O50" s="107"/>
      <c r="P50" s="107"/>
      <c r="Q50" s="107"/>
      <c r="R50" s="107"/>
      <c r="S50" s="107"/>
      <c r="T50" s="107"/>
      <c r="U50" s="107"/>
      <c r="V50" s="107"/>
      <c r="W50" s="107"/>
      <c r="X50" s="108"/>
      <c r="AA50" s="95"/>
      <c r="AC50" s="95"/>
      <c r="AD50" s="95"/>
      <c r="AE50" s="95"/>
      <c r="AG50" s="95"/>
      <c r="AH50" s="95"/>
      <c r="AI50" s="95"/>
      <c r="AJ50" s="95"/>
      <c r="AK50" s="95"/>
      <c r="AS50" s="95"/>
      <c r="AT50" s="95"/>
      <c r="AU50" s="95"/>
      <c r="AV50" s="95"/>
      <c r="AW50" s="95"/>
      <c r="AX50" s="14"/>
    </row>
    <row r="51" spans="1:50" s="79" customFormat="1">
      <c r="A51" s="12"/>
      <c r="E51" s="129" t="s">
        <v>443</v>
      </c>
      <c r="F51" s="130"/>
      <c r="G51" s="130"/>
      <c r="H51" s="130"/>
      <c r="I51" s="130"/>
      <c r="J51" s="131"/>
      <c r="K51" s="129" t="s">
        <v>448</v>
      </c>
      <c r="L51" s="130"/>
      <c r="M51" s="130"/>
      <c r="N51" s="130"/>
      <c r="O51" s="130"/>
      <c r="P51" s="130"/>
      <c r="Q51" s="130"/>
      <c r="R51" s="130"/>
      <c r="S51" s="130"/>
      <c r="T51" s="130"/>
      <c r="U51" s="130"/>
      <c r="V51" s="130"/>
      <c r="W51" s="130"/>
      <c r="X51" s="131"/>
      <c r="AA51" s="95"/>
      <c r="AC51" s="95"/>
      <c r="AD51" s="95"/>
      <c r="AE51" s="95"/>
      <c r="AG51" s="95"/>
      <c r="AH51" s="95"/>
      <c r="AI51" s="95"/>
      <c r="AJ51" s="95"/>
      <c r="AK51" s="95"/>
      <c r="AS51" s="95"/>
      <c r="AT51" s="95"/>
      <c r="AU51" s="95"/>
      <c r="AV51" s="95"/>
      <c r="AW51" s="95"/>
      <c r="AX51" s="14"/>
    </row>
    <row r="52" spans="1:50" s="79" customFormat="1">
      <c r="A52" s="12"/>
      <c r="E52" s="112"/>
      <c r="F52" s="95"/>
      <c r="G52" s="95"/>
      <c r="H52" s="95"/>
      <c r="I52" s="95"/>
      <c r="J52" s="113"/>
      <c r="K52" s="112" t="s">
        <v>449</v>
      </c>
      <c r="L52" s="95"/>
      <c r="M52" s="95"/>
      <c r="N52" s="95"/>
      <c r="O52" s="95"/>
      <c r="P52" s="95"/>
      <c r="Q52" s="95"/>
      <c r="R52" s="95"/>
      <c r="S52" s="95"/>
      <c r="T52" s="95"/>
      <c r="U52" s="95"/>
      <c r="V52" s="95"/>
      <c r="W52" s="95"/>
      <c r="X52" s="113"/>
      <c r="AA52" s="95"/>
      <c r="AC52" s="95"/>
      <c r="AD52" s="95"/>
      <c r="AE52" s="95"/>
      <c r="AG52" s="95"/>
      <c r="AH52" s="95"/>
      <c r="AI52" s="95"/>
      <c r="AJ52" s="95"/>
      <c r="AK52" s="95"/>
      <c r="AS52" s="95"/>
      <c r="AT52" s="95"/>
      <c r="AU52" s="95"/>
      <c r="AV52" s="95"/>
      <c r="AW52" s="95"/>
      <c r="AX52" s="14"/>
    </row>
    <row r="53" spans="1:50" s="79" customFormat="1">
      <c r="A53" s="12"/>
      <c r="E53" s="116"/>
      <c r="F53" s="117"/>
      <c r="G53" s="117"/>
      <c r="H53" s="117"/>
      <c r="I53" s="117"/>
      <c r="J53" s="133"/>
      <c r="K53" s="116" t="s">
        <v>794</v>
      </c>
      <c r="L53" s="117"/>
      <c r="M53" s="117"/>
      <c r="N53" s="117"/>
      <c r="O53" s="117"/>
      <c r="P53" s="117"/>
      <c r="Q53" s="117"/>
      <c r="R53" s="117"/>
      <c r="S53" s="117"/>
      <c r="T53" s="117"/>
      <c r="U53" s="117"/>
      <c r="V53" s="117"/>
      <c r="W53" s="117"/>
      <c r="X53" s="133"/>
      <c r="AA53" s="95"/>
      <c r="AC53" s="95"/>
      <c r="AD53" s="95"/>
      <c r="AE53" s="95"/>
      <c r="AG53" s="95"/>
      <c r="AH53" s="95"/>
      <c r="AI53" s="95"/>
      <c r="AJ53" s="95"/>
      <c r="AK53" s="95"/>
      <c r="AS53" s="95"/>
      <c r="AT53" s="95"/>
      <c r="AU53" s="95"/>
      <c r="AV53" s="95"/>
      <c r="AW53" s="95"/>
      <c r="AX53" s="14"/>
    </row>
    <row r="54" spans="1:50" s="79" customFormat="1">
      <c r="A54" s="12"/>
      <c r="E54" s="129" t="s">
        <v>512</v>
      </c>
      <c r="F54" s="130"/>
      <c r="G54" s="130"/>
      <c r="H54" s="130"/>
      <c r="I54" s="130"/>
      <c r="J54" s="131"/>
      <c r="K54" s="129" t="s">
        <v>404</v>
      </c>
      <c r="L54" s="130"/>
      <c r="M54" s="130"/>
      <c r="N54" s="130"/>
      <c r="O54" s="130"/>
      <c r="P54" s="130"/>
      <c r="Q54" s="130"/>
      <c r="R54" s="130"/>
      <c r="S54" s="130"/>
      <c r="T54" s="130"/>
      <c r="U54" s="130"/>
      <c r="V54" s="130"/>
      <c r="W54" s="130"/>
      <c r="X54" s="131"/>
      <c r="AA54" s="95"/>
      <c r="AC54" s="95"/>
      <c r="AD54" s="95"/>
      <c r="AE54" s="95"/>
      <c r="AG54" s="95"/>
      <c r="AH54" s="95"/>
      <c r="AI54" s="95"/>
      <c r="AJ54" s="95"/>
      <c r="AK54" s="95"/>
      <c r="AS54" s="95"/>
      <c r="AT54" s="95"/>
      <c r="AU54" s="95"/>
      <c r="AV54" s="95"/>
      <c r="AW54" s="95"/>
      <c r="AX54" s="14"/>
    </row>
    <row r="55" spans="1:50" s="79" customFormat="1">
      <c r="A55" s="12"/>
      <c r="E55" s="129" t="s">
        <v>470</v>
      </c>
      <c r="F55" s="130"/>
      <c r="G55" s="130"/>
      <c r="H55" s="130"/>
      <c r="I55" s="130"/>
      <c r="J55" s="131"/>
      <c r="K55" s="129" t="s">
        <v>405</v>
      </c>
      <c r="L55" s="130"/>
      <c r="M55" s="130"/>
      <c r="N55" s="130"/>
      <c r="O55" s="130"/>
      <c r="P55" s="130"/>
      <c r="Q55" s="130"/>
      <c r="R55" s="130"/>
      <c r="S55" s="130"/>
      <c r="T55" s="130"/>
      <c r="U55" s="130"/>
      <c r="V55" s="130"/>
      <c r="W55" s="130"/>
      <c r="X55" s="131"/>
      <c r="AA55" s="95"/>
      <c r="AC55" s="95"/>
      <c r="AD55" s="95"/>
      <c r="AE55" s="95"/>
      <c r="AG55" s="95"/>
      <c r="AH55" s="95"/>
      <c r="AI55" s="95"/>
      <c r="AJ55" s="95"/>
      <c r="AK55" s="95"/>
      <c r="AS55" s="95"/>
      <c r="AT55" s="95"/>
      <c r="AU55" s="95"/>
      <c r="AV55" s="95"/>
      <c r="AW55" s="95"/>
      <c r="AX55" s="14"/>
    </row>
    <row r="56" spans="1:50" s="79" customFormat="1">
      <c r="A56" s="12"/>
      <c r="E56" s="115"/>
      <c r="F56" s="44"/>
      <c r="G56" s="44"/>
      <c r="H56" s="44"/>
      <c r="I56" s="44"/>
      <c r="J56" s="132"/>
      <c r="K56" s="115" t="s">
        <v>471</v>
      </c>
      <c r="L56" s="44"/>
      <c r="M56" s="44"/>
      <c r="N56" s="44"/>
      <c r="O56" s="44"/>
      <c r="P56" s="44"/>
      <c r="Q56" s="44"/>
      <c r="R56" s="44"/>
      <c r="S56" s="44"/>
      <c r="T56" s="44"/>
      <c r="U56" s="44"/>
      <c r="V56" s="44"/>
      <c r="W56" s="44"/>
      <c r="X56" s="132"/>
      <c r="AA56" s="95"/>
      <c r="AC56" s="95"/>
      <c r="AD56" s="95"/>
      <c r="AE56" s="95"/>
      <c r="AG56" s="95"/>
      <c r="AH56" s="95"/>
      <c r="AI56" s="95"/>
      <c r="AJ56" s="95"/>
      <c r="AK56" s="95"/>
      <c r="AS56" s="95"/>
      <c r="AT56" s="95"/>
      <c r="AU56" s="95"/>
      <c r="AV56" s="95"/>
      <c r="AW56" s="95"/>
      <c r="AX56" s="14"/>
    </row>
    <row r="57" spans="1:50" s="79" customFormat="1">
      <c r="A57" s="12"/>
      <c r="F57" s="95"/>
      <c r="G57" s="95"/>
      <c r="H57" s="95"/>
      <c r="I57" s="95"/>
      <c r="J57" s="95"/>
      <c r="K57" s="95"/>
      <c r="L57" s="95"/>
      <c r="M57" s="95"/>
      <c r="N57" s="95"/>
      <c r="O57" s="95"/>
      <c r="P57" s="95"/>
      <c r="Q57" s="95"/>
      <c r="R57" s="95"/>
      <c r="S57" s="95"/>
      <c r="T57" s="95"/>
      <c r="U57" s="95"/>
      <c r="AA57" s="95"/>
      <c r="AC57" s="95"/>
      <c r="AD57" s="95"/>
      <c r="AE57" s="95"/>
      <c r="AG57" s="95"/>
      <c r="AH57" s="95"/>
      <c r="AI57" s="95"/>
      <c r="AJ57" s="95"/>
      <c r="AK57" s="95"/>
      <c r="AS57" s="95"/>
      <c r="AT57" s="95"/>
      <c r="AU57" s="95"/>
      <c r="AV57" s="95"/>
      <c r="AW57" s="95"/>
      <c r="AX57" s="14"/>
    </row>
    <row r="58" spans="1:50" s="79" customFormat="1">
      <c r="A58" s="12"/>
      <c r="C58" s="79" t="s">
        <v>482</v>
      </c>
      <c r="D58" s="79" t="s">
        <v>485</v>
      </c>
      <c r="F58" s="95"/>
      <c r="G58" s="95"/>
      <c r="H58" s="95"/>
      <c r="I58" s="95"/>
      <c r="J58" s="95"/>
      <c r="K58" s="95"/>
      <c r="L58" s="95"/>
      <c r="M58" s="95"/>
      <c r="N58" s="95"/>
      <c r="O58" s="95"/>
      <c r="P58" s="95"/>
      <c r="Q58" s="95"/>
      <c r="S58" s="95"/>
      <c r="T58" s="95"/>
      <c r="U58" s="95"/>
      <c r="V58" s="95"/>
      <c r="W58" s="95"/>
      <c r="X58" s="95"/>
      <c r="Y58" s="95"/>
      <c r="Z58" s="95"/>
      <c r="AA58" s="95"/>
      <c r="AB58" s="95"/>
      <c r="AC58" s="95"/>
      <c r="AD58" s="95"/>
      <c r="AE58" s="95"/>
      <c r="AF58" s="95"/>
      <c r="AG58" s="95"/>
      <c r="AH58" s="95"/>
      <c r="AI58" s="95"/>
      <c r="AJ58" s="95"/>
      <c r="AK58" s="95"/>
      <c r="AL58" s="95"/>
      <c r="AM58" s="95"/>
      <c r="AN58" s="95"/>
      <c r="AO58" s="95"/>
      <c r="AP58" s="95"/>
      <c r="AQ58" s="95"/>
      <c r="AR58" s="95"/>
      <c r="AS58" s="95"/>
      <c r="AT58" s="95"/>
      <c r="AU58" s="95"/>
      <c r="AV58" s="95"/>
      <c r="AW58" s="95"/>
      <c r="AX58" s="14"/>
    </row>
    <row r="59" spans="1:50" s="79" customFormat="1">
      <c r="A59" s="12"/>
      <c r="D59" s="79" t="s">
        <v>586</v>
      </c>
      <c r="F59" s="95"/>
      <c r="G59" s="95"/>
      <c r="H59" s="95"/>
      <c r="I59" s="95"/>
      <c r="J59" s="95"/>
      <c r="K59" s="95"/>
      <c r="L59" s="95"/>
      <c r="M59" s="95"/>
      <c r="N59" s="95"/>
      <c r="O59" s="95"/>
      <c r="P59" s="95"/>
      <c r="Q59" s="95"/>
      <c r="S59" s="95"/>
      <c r="T59" s="95"/>
      <c r="U59" s="95"/>
      <c r="V59" s="95"/>
      <c r="W59" s="95"/>
      <c r="X59" s="95"/>
      <c r="Y59" s="95"/>
      <c r="Z59" s="95"/>
      <c r="AA59" s="95"/>
      <c r="AB59" s="95"/>
      <c r="AC59" s="95"/>
      <c r="AD59" s="95"/>
      <c r="AE59" s="95"/>
      <c r="AF59" s="95"/>
      <c r="AG59" s="95"/>
      <c r="AH59" s="95"/>
      <c r="AI59" s="95"/>
      <c r="AJ59" s="95"/>
      <c r="AK59" s="95"/>
      <c r="AL59" s="95"/>
      <c r="AM59" s="95"/>
      <c r="AN59" s="95"/>
      <c r="AO59" s="95"/>
      <c r="AP59" s="95"/>
      <c r="AQ59" s="95"/>
      <c r="AR59" s="95"/>
      <c r="AS59" s="95"/>
      <c r="AT59" s="95"/>
      <c r="AU59" s="95"/>
      <c r="AV59" s="95"/>
      <c r="AW59" s="95"/>
      <c r="AX59" s="14"/>
    </row>
    <row r="60" spans="1:50" s="79" customFormat="1">
      <c r="A60" s="12"/>
      <c r="F60" s="95"/>
      <c r="G60" s="95"/>
      <c r="H60" s="95"/>
      <c r="I60" s="95"/>
      <c r="J60" s="95"/>
      <c r="K60" s="95"/>
      <c r="L60" s="95"/>
      <c r="M60" s="95"/>
      <c r="N60" s="95"/>
      <c r="O60" s="95"/>
      <c r="P60" s="95"/>
      <c r="Q60" s="95"/>
      <c r="S60" s="95"/>
      <c r="T60" s="95"/>
      <c r="U60" s="95"/>
      <c r="V60" s="95"/>
      <c r="W60" s="95"/>
      <c r="X60" s="95"/>
      <c r="Y60" s="95"/>
      <c r="Z60" s="95"/>
      <c r="AA60" s="95"/>
      <c r="AB60" s="95"/>
      <c r="AC60" s="95"/>
      <c r="AD60" s="95"/>
      <c r="AE60" s="95"/>
      <c r="AF60" s="95"/>
      <c r="AG60" s="95"/>
      <c r="AH60" s="95"/>
      <c r="AI60" s="95"/>
      <c r="AJ60" s="95"/>
      <c r="AK60" s="95"/>
      <c r="AL60" s="95"/>
      <c r="AM60" s="95"/>
      <c r="AN60" s="95"/>
      <c r="AO60" s="95"/>
      <c r="AP60" s="95"/>
      <c r="AQ60" s="95"/>
      <c r="AR60" s="95"/>
      <c r="AS60" s="95"/>
      <c r="AT60" s="95"/>
      <c r="AU60" s="95"/>
      <c r="AV60" s="95"/>
      <c r="AW60" s="95"/>
      <c r="AX60" s="14"/>
    </row>
    <row r="61" spans="1:50" s="79" customFormat="1">
      <c r="A61" s="12"/>
      <c r="E61" s="103" t="s">
        <v>508</v>
      </c>
      <c r="F61" s="126"/>
      <c r="G61" s="126"/>
      <c r="H61" s="126"/>
      <c r="I61" s="105"/>
      <c r="J61" s="103" t="s">
        <v>502</v>
      </c>
      <c r="K61" s="126"/>
      <c r="L61" s="126"/>
      <c r="M61" s="126"/>
      <c r="N61" s="126"/>
      <c r="O61" s="141"/>
      <c r="P61" s="142" t="s">
        <v>501</v>
      </c>
      <c r="Q61" s="104"/>
      <c r="R61" s="104"/>
      <c r="S61" s="105"/>
      <c r="T61" s="103" t="s">
        <v>500</v>
      </c>
      <c r="U61" s="104"/>
      <c r="V61" s="104"/>
      <c r="W61" s="104"/>
      <c r="X61" s="104"/>
      <c r="Y61" s="105"/>
      <c r="Z61" s="103" t="s">
        <v>503</v>
      </c>
      <c r="AA61" s="104"/>
      <c r="AB61" s="104"/>
      <c r="AC61" s="104"/>
      <c r="AD61" s="104"/>
      <c r="AE61" s="104"/>
      <c r="AF61" s="104"/>
      <c r="AG61" s="104"/>
      <c r="AH61" s="104"/>
      <c r="AI61" s="104"/>
      <c r="AJ61" s="104"/>
      <c r="AK61" s="104"/>
      <c r="AL61" s="104"/>
      <c r="AM61" s="104"/>
      <c r="AN61" s="104"/>
      <c r="AO61" s="104"/>
      <c r="AP61" s="104"/>
      <c r="AQ61" s="104"/>
      <c r="AR61" s="104"/>
      <c r="AS61" s="104"/>
      <c r="AT61" s="105"/>
      <c r="AU61" s="95"/>
      <c r="AV61" s="95"/>
      <c r="AW61" s="95"/>
      <c r="AX61" s="14"/>
    </row>
    <row r="62" spans="1:50" s="79" customFormat="1">
      <c r="A62" s="12"/>
      <c r="E62" s="129" t="s">
        <v>513</v>
      </c>
      <c r="F62" s="130"/>
      <c r="G62" s="130"/>
      <c r="H62" s="130"/>
      <c r="I62" s="131"/>
      <c r="J62" s="119" t="s">
        <v>518</v>
      </c>
      <c r="K62" s="120"/>
      <c r="L62" s="120"/>
      <c r="M62" s="120"/>
      <c r="N62" s="120"/>
      <c r="O62" s="145"/>
      <c r="P62" s="144" t="s">
        <v>498</v>
      </c>
      <c r="Q62" s="120"/>
      <c r="R62" s="120"/>
      <c r="S62" s="121"/>
      <c r="T62" s="119" t="s">
        <v>519</v>
      </c>
      <c r="U62" s="120"/>
      <c r="V62" s="120"/>
      <c r="W62" s="120"/>
      <c r="X62" s="120"/>
      <c r="Y62" s="121"/>
      <c r="Z62" s="119" t="s">
        <v>515</v>
      </c>
      <c r="AA62" s="120"/>
      <c r="AB62" s="120"/>
      <c r="AC62" s="120"/>
      <c r="AD62" s="120"/>
      <c r="AE62" s="120"/>
      <c r="AF62" s="120"/>
      <c r="AG62" s="120"/>
      <c r="AH62" s="120"/>
      <c r="AI62" s="120"/>
      <c r="AJ62" s="120"/>
      <c r="AK62" s="120"/>
      <c r="AL62" s="120"/>
      <c r="AM62" s="120"/>
      <c r="AN62" s="120"/>
      <c r="AO62" s="120"/>
      <c r="AP62" s="120"/>
      <c r="AQ62" s="120"/>
      <c r="AR62" s="120"/>
      <c r="AS62" s="120"/>
      <c r="AT62" s="121"/>
      <c r="AU62" s="95"/>
      <c r="AV62" s="95"/>
      <c r="AW62" s="95"/>
      <c r="AX62" s="14"/>
    </row>
    <row r="63" spans="1:50" s="79" customFormat="1">
      <c r="A63" s="12"/>
      <c r="E63" s="112" t="s">
        <v>509</v>
      </c>
      <c r="F63" s="95"/>
      <c r="G63" s="95"/>
      <c r="H63" s="95"/>
      <c r="I63" s="113"/>
      <c r="J63" s="129" t="s">
        <v>363</v>
      </c>
      <c r="K63" s="130"/>
      <c r="L63" s="130"/>
      <c r="M63" s="130"/>
      <c r="N63" s="130"/>
      <c r="O63" s="143"/>
      <c r="P63" s="144" t="s">
        <v>494</v>
      </c>
      <c r="Q63" s="120"/>
      <c r="R63" s="120"/>
      <c r="S63" s="121"/>
      <c r="T63" s="119" t="s">
        <v>506</v>
      </c>
      <c r="U63" s="120"/>
      <c r="V63" s="120"/>
      <c r="W63" s="120"/>
      <c r="X63" s="120"/>
      <c r="Y63" s="121"/>
      <c r="Z63" s="129"/>
      <c r="AA63" s="130"/>
      <c r="AB63" s="130"/>
      <c r="AC63" s="130"/>
      <c r="AD63" s="130"/>
      <c r="AE63" s="130"/>
      <c r="AF63" s="130"/>
      <c r="AG63" s="130"/>
      <c r="AH63" s="130"/>
      <c r="AI63" s="130"/>
      <c r="AJ63" s="130"/>
      <c r="AK63" s="130"/>
      <c r="AL63" s="130"/>
      <c r="AM63" s="130"/>
      <c r="AN63" s="130"/>
      <c r="AO63" s="130"/>
      <c r="AP63" s="130"/>
      <c r="AQ63" s="130"/>
      <c r="AR63" s="130"/>
      <c r="AS63" s="130"/>
      <c r="AT63" s="131"/>
      <c r="AU63" s="95"/>
      <c r="AV63" s="95"/>
      <c r="AW63" s="95"/>
      <c r="AX63" s="14"/>
    </row>
    <row r="64" spans="1:50" s="79" customFormat="1">
      <c r="A64" s="12"/>
      <c r="E64" s="112"/>
      <c r="F64" s="95"/>
      <c r="G64" s="95"/>
      <c r="H64" s="95"/>
      <c r="I64" s="113"/>
      <c r="J64" s="119" t="s">
        <v>362</v>
      </c>
      <c r="K64" s="120"/>
      <c r="L64" s="120"/>
      <c r="M64" s="120"/>
      <c r="N64" s="120"/>
      <c r="O64" s="145"/>
      <c r="P64" s="144" t="s">
        <v>492</v>
      </c>
      <c r="Q64" s="120"/>
      <c r="R64" s="120"/>
      <c r="S64" s="121"/>
      <c r="T64" s="119" t="s">
        <v>493</v>
      </c>
      <c r="U64" s="120"/>
      <c r="V64" s="120"/>
      <c r="W64" s="120"/>
      <c r="X64" s="120"/>
      <c r="Y64" s="121"/>
      <c r="Z64" s="119"/>
      <c r="AA64" s="120"/>
      <c r="AB64" s="120"/>
      <c r="AC64" s="120"/>
      <c r="AD64" s="120"/>
      <c r="AE64" s="120"/>
      <c r="AF64" s="120"/>
      <c r="AG64" s="120"/>
      <c r="AH64" s="120"/>
      <c r="AI64" s="120"/>
      <c r="AJ64" s="120"/>
      <c r="AK64" s="120"/>
      <c r="AL64" s="120"/>
      <c r="AM64" s="120"/>
      <c r="AN64" s="120"/>
      <c r="AO64" s="120"/>
      <c r="AP64" s="120"/>
      <c r="AQ64" s="120"/>
      <c r="AR64" s="120"/>
      <c r="AS64" s="120"/>
      <c r="AT64" s="121"/>
      <c r="AU64" s="95"/>
      <c r="AV64" s="95"/>
      <c r="AW64" s="95"/>
      <c r="AX64" s="14"/>
    </row>
    <row r="65" spans="1:50" s="79" customFormat="1">
      <c r="A65" s="12"/>
      <c r="E65" s="112"/>
      <c r="F65" s="95"/>
      <c r="G65" s="95"/>
      <c r="H65" s="95"/>
      <c r="I65" s="113"/>
      <c r="J65" s="119" t="s">
        <v>365</v>
      </c>
      <c r="K65" s="120"/>
      <c r="L65" s="120"/>
      <c r="M65" s="120"/>
      <c r="N65" s="120"/>
      <c r="O65" s="145"/>
      <c r="P65" s="144" t="s">
        <v>494</v>
      </c>
      <c r="Q65" s="120"/>
      <c r="R65" s="120"/>
      <c r="S65" s="121"/>
      <c r="T65" s="119" t="s">
        <v>495</v>
      </c>
      <c r="U65" s="120"/>
      <c r="V65" s="120"/>
      <c r="W65" s="120"/>
      <c r="X65" s="120"/>
      <c r="Y65" s="121"/>
      <c r="Z65" s="119"/>
      <c r="AA65" s="120"/>
      <c r="AB65" s="120"/>
      <c r="AC65" s="120"/>
      <c r="AD65" s="120"/>
      <c r="AE65" s="120"/>
      <c r="AF65" s="120"/>
      <c r="AG65" s="120"/>
      <c r="AH65" s="120"/>
      <c r="AI65" s="120"/>
      <c r="AJ65" s="120"/>
      <c r="AK65" s="120"/>
      <c r="AL65" s="120"/>
      <c r="AM65" s="120"/>
      <c r="AN65" s="120"/>
      <c r="AO65" s="120"/>
      <c r="AP65" s="120"/>
      <c r="AQ65" s="120"/>
      <c r="AR65" s="120"/>
      <c r="AS65" s="120"/>
      <c r="AT65" s="121"/>
      <c r="AU65" s="95"/>
      <c r="AV65" s="95"/>
      <c r="AW65" s="95"/>
      <c r="AX65" s="14"/>
    </row>
    <row r="66" spans="1:50" s="79" customFormat="1">
      <c r="A66" s="12"/>
      <c r="E66" s="112"/>
      <c r="F66" s="95"/>
      <c r="G66" s="95"/>
      <c r="H66" s="95"/>
      <c r="I66" s="113"/>
      <c r="J66" s="119" t="s">
        <v>371</v>
      </c>
      <c r="K66" s="120"/>
      <c r="L66" s="120"/>
      <c r="M66" s="120"/>
      <c r="N66" s="120"/>
      <c r="O66" s="145"/>
      <c r="P66" s="144" t="s">
        <v>497</v>
      </c>
      <c r="Q66" s="120"/>
      <c r="R66" s="120"/>
      <c r="S66" s="121"/>
      <c r="T66" s="119" t="s">
        <v>498</v>
      </c>
      <c r="U66" s="120"/>
      <c r="V66" s="120"/>
      <c r="W66" s="120"/>
      <c r="X66" s="120"/>
      <c r="Y66" s="121"/>
      <c r="Z66" s="119" t="s">
        <v>505</v>
      </c>
      <c r="AA66" s="120"/>
      <c r="AB66" s="120"/>
      <c r="AC66" s="120"/>
      <c r="AD66" s="120"/>
      <c r="AE66" s="120"/>
      <c r="AF66" s="120"/>
      <c r="AG66" s="120"/>
      <c r="AH66" s="120"/>
      <c r="AI66" s="120"/>
      <c r="AJ66" s="120"/>
      <c r="AK66" s="120"/>
      <c r="AL66" s="120"/>
      <c r="AM66" s="120"/>
      <c r="AN66" s="120"/>
      <c r="AO66" s="120"/>
      <c r="AP66" s="120"/>
      <c r="AQ66" s="120"/>
      <c r="AR66" s="120"/>
      <c r="AS66" s="120"/>
      <c r="AT66" s="121"/>
      <c r="AU66" s="95"/>
      <c r="AV66" s="95"/>
      <c r="AW66" s="95"/>
      <c r="AX66" s="14"/>
    </row>
    <row r="67" spans="1:50" s="79" customFormat="1">
      <c r="A67" s="12"/>
      <c r="E67" s="112"/>
      <c r="F67" s="137"/>
      <c r="G67" s="137"/>
      <c r="H67" s="137"/>
      <c r="I67" s="138"/>
      <c r="J67" s="119" t="s">
        <v>475</v>
      </c>
      <c r="K67" s="122"/>
      <c r="L67" s="122"/>
      <c r="M67" s="122"/>
      <c r="N67" s="122"/>
      <c r="O67" s="146"/>
      <c r="P67" s="147" t="s">
        <v>499</v>
      </c>
      <c r="Q67" s="122"/>
      <c r="R67" s="122"/>
      <c r="S67" s="123"/>
      <c r="T67" s="125" t="s">
        <v>521</v>
      </c>
      <c r="U67" s="122"/>
      <c r="V67" s="122"/>
      <c r="W67" s="122"/>
      <c r="X67" s="122"/>
      <c r="Y67" s="121"/>
      <c r="Z67" s="125"/>
      <c r="AA67" s="122"/>
      <c r="AB67" s="122"/>
      <c r="AC67" s="122"/>
      <c r="AD67" s="122"/>
      <c r="AE67" s="122"/>
      <c r="AF67" s="122"/>
      <c r="AG67" s="122"/>
      <c r="AH67" s="122"/>
      <c r="AI67" s="122"/>
      <c r="AJ67" s="122"/>
      <c r="AK67" s="122"/>
      <c r="AL67" s="122"/>
      <c r="AM67" s="122"/>
      <c r="AN67" s="122"/>
      <c r="AO67" s="122"/>
      <c r="AP67" s="122"/>
      <c r="AQ67" s="122"/>
      <c r="AR67" s="122"/>
      <c r="AS67" s="122"/>
      <c r="AT67" s="121"/>
      <c r="AU67" s="95"/>
      <c r="AV67" s="95"/>
      <c r="AW67" s="95"/>
      <c r="AX67" s="14"/>
    </row>
    <row r="68" spans="1:50" s="79" customFormat="1">
      <c r="A68" s="12"/>
      <c r="E68" s="116"/>
      <c r="F68" s="117"/>
      <c r="G68" s="117"/>
      <c r="H68" s="117"/>
      <c r="I68" s="133"/>
      <c r="J68" s="125" t="s">
        <v>523</v>
      </c>
      <c r="K68" s="120"/>
      <c r="L68" s="120"/>
      <c r="M68" s="120"/>
      <c r="N68" s="120"/>
      <c r="O68" s="145"/>
      <c r="P68" s="144" t="s">
        <v>496</v>
      </c>
      <c r="Q68" s="120"/>
      <c r="R68" s="120"/>
      <c r="S68" s="121"/>
      <c r="T68" s="119" t="s">
        <v>496</v>
      </c>
      <c r="U68" s="120"/>
      <c r="V68" s="120"/>
      <c r="W68" s="120"/>
      <c r="X68" s="120"/>
      <c r="Y68" s="121"/>
      <c r="Z68" s="119" t="s">
        <v>504</v>
      </c>
      <c r="AA68" s="120"/>
      <c r="AB68" s="120"/>
      <c r="AC68" s="120"/>
      <c r="AD68" s="120"/>
      <c r="AE68" s="120"/>
      <c r="AF68" s="120"/>
      <c r="AG68" s="120"/>
      <c r="AH68" s="120"/>
      <c r="AI68" s="120"/>
      <c r="AJ68" s="120"/>
      <c r="AK68" s="120"/>
      <c r="AL68" s="120"/>
      <c r="AM68" s="120"/>
      <c r="AN68" s="120"/>
      <c r="AO68" s="120"/>
      <c r="AP68" s="120"/>
      <c r="AQ68" s="120"/>
      <c r="AR68" s="120"/>
      <c r="AS68" s="120"/>
      <c r="AT68" s="121"/>
      <c r="AU68" s="95"/>
      <c r="AV68" s="95"/>
      <c r="AW68" s="95"/>
      <c r="AX68" s="14"/>
    </row>
    <row r="69" spans="1:50" s="79" customFormat="1">
      <c r="A69" s="12"/>
      <c r="E69" s="129" t="s">
        <v>520</v>
      </c>
      <c r="F69" s="130"/>
      <c r="G69" s="130"/>
      <c r="H69" s="130"/>
      <c r="I69" s="131"/>
      <c r="J69" s="119" t="s">
        <v>510</v>
      </c>
      <c r="K69" s="120"/>
      <c r="L69" s="120"/>
      <c r="M69" s="120"/>
      <c r="N69" s="120"/>
      <c r="O69" s="145"/>
      <c r="P69" s="144" t="s">
        <v>436</v>
      </c>
      <c r="Q69" s="120"/>
      <c r="R69" s="120"/>
      <c r="S69" s="121"/>
      <c r="T69" s="119" t="s">
        <v>510</v>
      </c>
      <c r="U69" s="120"/>
      <c r="V69" s="120"/>
      <c r="W69" s="120"/>
      <c r="X69" s="120"/>
      <c r="Y69" s="121"/>
      <c r="Z69" s="119"/>
      <c r="AA69" s="120"/>
      <c r="AB69" s="120"/>
      <c r="AC69" s="120"/>
      <c r="AD69" s="120"/>
      <c r="AE69" s="120"/>
      <c r="AF69" s="120"/>
      <c r="AG69" s="120"/>
      <c r="AH69" s="120"/>
      <c r="AI69" s="120"/>
      <c r="AJ69" s="120"/>
      <c r="AK69" s="120"/>
      <c r="AL69" s="120"/>
      <c r="AM69" s="120"/>
      <c r="AN69" s="120"/>
      <c r="AO69" s="120"/>
      <c r="AP69" s="120"/>
      <c r="AQ69" s="120"/>
      <c r="AR69" s="120"/>
      <c r="AS69" s="120"/>
      <c r="AT69" s="121"/>
      <c r="AU69" s="95"/>
      <c r="AV69" s="95"/>
      <c r="AW69" s="95"/>
      <c r="AX69" s="14"/>
    </row>
    <row r="70" spans="1:50" s="79" customFormat="1">
      <c r="A70" s="12"/>
      <c r="E70" s="112"/>
      <c r="F70" s="95"/>
      <c r="G70" s="95"/>
      <c r="H70" s="95"/>
      <c r="I70" s="113"/>
      <c r="J70" s="119" t="s">
        <v>511</v>
      </c>
      <c r="K70" s="120"/>
      <c r="L70" s="120"/>
      <c r="M70" s="120"/>
      <c r="N70" s="120"/>
      <c r="O70" s="145"/>
      <c r="P70" s="144" t="s">
        <v>436</v>
      </c>
      <c r="Q70" s="120"/>
      <c r="R70" s="120"/>
      <c r="S70" s="121"/>
      <c r="T70" s="119" t="s">
        <v>511</v>
      </c>
      <c r="U70" s="120"/>
      <c r="V70" s="120"/>
      <c r="W70" s="120"/>
      <c r="X70" s="120"/>
      <c r="Y70" s="121"/>
      <c r="Z70" s="119"/>
      <c r="AA70" s="120"/>
      <c r="AB70" s="120"/>
      <c r="AC70" s="120"/>
      <c r="AD70" s="120"/>
      <c r="AE70" s="120"/>
      <c r="AF70" s="120"/>
      <c r="AG70" s="120"/>
      <c r="AH70" s="120"/>
      <c r="AI70" s="120"/>
      <c r="AJ70" s="120"/>
      <c r="AK70" s="120"/>
      <c r="AL70" s="120"/>
      <c r="AM70" s="120"/>
      <c r="AN70" s="120"/>
      <c r="AO70" s="120"/>
      <c r="AP70" s="120"/>
      <c r="AQ70" s="120"/>
      <c r="AR70" s="120"/>
      <c r="AS70" s="120"/>
      <c r="AT70" s="121"/>
      <c r="AU70" s="95"/>
      <c r="AV70" s="95"/>
      <c r="AW70" s="95"/>
      <c r="AX70" s="14"/>
    </row>
    <row r="71" spans="1:50" s="79" customFormat="1">
      <c r="A71" s="12"/>
      <c r="E71" s="116"/>
      <c r="F71" s="117"/>
      <c r="G71" s="117"/>
      <c r="H71" s="117"/>
      <c r="I71" s="133"/>
      <c r="J71" s="125" t="s">
        <v>522</v>
      </c>
      <c r="K71" s="120"/>
      <c r="L71" s="120"/>
      <c r="M71" s="120"/>
      <c r="N71" s="120"/>
      <c r="O71" s="145"/>
      <c r="P71" s="144" t="s">
        <v>436</v>
      </c>
      <c r="Q71" s="120"/>
      <c r="R71" s="120"/>
      <c r="S71" s="121"/>
      <c r="T71" s="119" t="s">
        <v>431</v>
      </c>
      <c r="U71" s="120"/>
      <c r="V71" s="120"/>
      <c r="W71" s="120"/>
      <c r="X71" s="120"/>
      <c r="Y71" s="121"/>
      <c r="Z71" s="119"/>
      <c r="AA71" s="120"/>
      <c r="AB71" s="120"/>
      <c r="AC71" s="120"/>
      <c r="AD71" s="120"/>
      <c r="AE71" s="120"/>
      <c r="AF71" s="120"/>
      <c r="AG71" s="120"/>
      <c r="AH71" s="120"/>
      <c r="AI71" s="120"/>
      <c r="AJ71" s="120"/>
      <c r="AK71" s="120"/>
      <c r="AL71" s="120"/>
      <c r="AM71" s="120"/>
      <c r="AN71" s="120"/>
      <c r="AO71" s="120"/>
      <c r="AP71" s="120"/>
      <c r="AQ71" s="120"/>
      <c r="AR71" s="120"/>
      <c r="AS71" s="120"/>
      <c r="AT71" s="121"/>
      <c r="AU71" s="95"/>
      <c r="AV71" s="95"/>
      <c r="AW71" s="95"/>
      <c r="AX71" s="14"/>
    </row>
    <row r="72" spans="1:50" s="79" customFormat="1">
      <c r="A72" s="12"/>
      <c r="E72" s="129" t="s">
        <v>507</v>
      </c>
      <c r="F72" s="130"/>
      <c r="G72" s="130"/>
      <c r="H72" s="130"/>
      <c r="I72" s="131"/>
      <c r="J72" s="119" t="s">
        <v>510</v>
      </c>
      <c r="K72" s="120"/>
      <c r="L72" s="120"/>
      <c r="M72" s="120"/>
      <c r="N72" s="120"/>
      <c r="O72" s="145"/>
      <c r="P72" s="144" t="s">
        <v>436</v>
      </c>
      <c r="Q72" s="120"/>
      <c r="R72" s="120"/>
      <c r="S72" s="121"/>
      <c r="T72" s="119" t="s">
        <v>510</v>
      </c>
      <c r="U72" s="120"/>
      <c r="V72" s="120"/>
      <c r="W72" s="120"/>
      <c r="X72" s="120"/>
      <c r="Y72" s="121"/>
      <c r="Z72" s="119"/>
      <c r="AA72" s="120"/>
      <c r="AB72" s="120"/>
      <c r="AC72" s="120"/>
      <c r="AD72" s="120"/>
      <c r="AE72" s="120"/>
      <c r="AF72" s="120"/>
      <c r="AG72" s="120"/>
      <c r="AH72" s="120"/>
      <c r="AI72" s="120"/>
      <c r="AJ72" s="120"/>
      <c r="AK72" s="120"/>
      <c r="AL72" s="120"/>
      <c r="AM72" s="120"/>
      <c r="AN72" s="120"/>
      <c r="AO72" s="120"/>
      <c r="AP72" s="120"/>
      <c r="AQ72" s="120"/>
      <c r="AR72" s="120"/>
      <c r="AS72" s="120"/>
      <c r="AT72" s="121"/>
      <c r="AU72" s="95"/>
      <c r="AV72" s="95"/>
      <c r="AW72" s="95"/>
      <c r="AX72" s="14"/>
    </row>
    <row r="73" spans="1:50" s="79" customFormat="1">
      <c r="A73" s="12"/>
      <c r="E73" s="112"/>
      <c r="F73" s="137"/>
      <c r="G73" s="137"/>
      <c r="H73" s="137"/>
      <c r="I73" s="138"/>
      <c r="J73" s="119" t="s">
        <v>511</v>
      </c>
      <c r="K73" s="122"/>
      <c r="L73" s="122"/>
      <c r="M73" s="122"/>
      <c r="N73" s="122"/>
      <c r="O73" s="146"/>
      <c r="P73" s="147" t="s">
        <v>436</v>
      </c>
      <c r="Q73" s="122"/>
      <c r="R73" s="122"/>
      <c r="S73" s="123"/>
      <c r="T73" s="125" t="s">
        <v>511</v>
      </c>
      <c r="U73" s="122"/>
      <c r="V73" s="122"/>
      <c r="W73" s="122"/>
      <c r="X73" s="122"/>
      <c r="Y73" s="121"/>
      <c r="Z73" s="125"/>
      <c r="AA73" s="122"/>
      <c r="AB73" s="122"/>
      <c r="AC73" s="122"/>
      <c r="AD73" s="122"/>
      <c r="AE73" s="122"/>
      <c r="AF73" s="122"/>
      <c r="AG73" s="122"/>
      <c r="AH73" s="122"/>
      <c r="AI73" s="122"/>
      <c r="AJ73" s="122"/>
      <c r="AK73" s="122"/>
      <c r="AL73" s="122"/>
      <c r="AM73" s="122"/>
      <c r="AN73" s="122"/>
      <c r="AO73" s="122"/>
      <c r="AP73" s="122"/>
      <c r="AQ73" s="122"/>
      <c r="AR73" s="122"/>
      <c r="AS73" s="122"/>
      <c r="AT73" s="121"/>
      <c r="AU73" s="95"/>
      <c r="AV73" s="95"/>
      <c r="AW73" s="95"/>
      <c r="AX73" s="14"/>
    </row>
    <row r="74" spans="1:50" s="79" customFormat="1">
      <c r="A74" s="12"/>
      <c r="E74" s="115"/>
      <c r="F74" s="139"/>
      <c r="G74" s="139"/>
      <c r="H74" s="139"/>
      <c r="I74" s="140"/>
      <c r="J74" s="109" t="s">
        <v>431</v>
      </c>
      <c r="K74" s="118"/>
      <c r="L74" s="118"/>
      <c r="M74" s="118"/>
      <c r="N74" s="118"/>
      <c r="O74" s="148"/>
      <c r="P74" s="149" t="s">
        <v>436</v>
      </c>
      <c r="Q74" s="111"/>
      <c r="R74" s="111"/>
      <c r="S74" s="110"/>
      <c r="T74" s="109" t="s">
        <v>431</v>
      </c>
      <c r="U74" s="111"/>
      <c r="V74" s="118"/>
      <c r="W74" s="118"/>
      <c r="X74" s="118"/>
      <c r="Y74" s="110"/>
      <c r="Z74" s="114"/>
      <c r="AA74" s="118"/>
      <c r="AB74" s="118"/>
      <c r="AC74" s="118"/>
      <c r="AD74" s="118"/>
      <c r="AE74" s="118"/>
      <c r="AF74" s="118"/>
      <c r="AG74" s="118"/>
      <c r="AH74" s="118"/>
      <c r="AI74" s="118"/>
      <c r="AJ74" s="118"/>
      <c r="AK74" s="118"/>
      <c r="AL74" s="118"/>
      <c r="AM74" s="118"/>
      <c r="AN74" s="118"/>
      <c r="AO74" s="118"/>
      <c r="AP74" s="118"/>
      <c r="AQ74" s="118"/>
      <c r="AR74" s="118"/>
      <c r="AS74" s="118"/>
      <c r="AT74" s="110"/>
      <c r="AU74" s="95"/>
      <c r="AV74" s="95"/>
      <c r="AW74" s="95"/>
      <c r="AX74" s="14"/>
    </row>
    <row r="75" spans="1:50" s="79" customFormat="1">
      <c r="A75" s="12"/>
      <c r="E75" s="95" t="s">
        <v>514</v>
      </c>
      <c r="F75" s="95"/>
      <c r="G75" s="95"/>
      <c r="H75" s="95"/>
      <c r="I75" s="95"/>
      <c r="J75" s="95"/>
      <c r="K75" s="95"/>
      <c r="L75" s="95"/>
      <c r="M75" s="95"/>
      <c r="N75" s="95"/>
      <c r="O75" s="95"/>
      <c r="P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5"/>
      <c r="AT75" s="95"/>
      <c r="AU75" s="95"/>
      <c r="AV75" s="95"/>
      <c r="AW75" s="95"/>
      <c r="AX75" s="14"/>
    </row>
    <row r="76" spans="1:50" s="79" customFormat="1">
      <c r="A76" s="12"/>
      <c r="E76" s="95"/>
      <c r="F76" s="95"/>
      <c r="G76" s="95"/>
      <c r="H76" s="95"/>
      <c r="I76" s="95"/>
      <c r="J76" s="95"/>
      <c r="K76" s="95"/>
      <c r="L76" s="95"/>
      <c r="M76" s="95"/>
      <c r="N76" s="95"/>
      <c r="O76" s="95"/>
      <c r="P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14"/>
    </row>
    <row r="77" spans="1:50" s="79" customFormat="1">
      <c r="A77" s="12"/>
      <c r="F77" s="95"/>
      <c r="G77" s="95"/>
      <c r="H77" s="95"/>
      <c r="I77" s="95"/>
      <c r="J77" s="95"/>
      <c r="K77" s="95"/>
      <c r="L77" s="95"/>
      <c r="M77" s="95"/>
      <c r="N77" s="95"/>
      <c r="O77" s="95"/>
      <c r="P77" s="95"/>
      <c r="Q77" s="95"/>
      <c r="R77" s="95"/>
      <c r="S77" s="95"/>
      <c r="T77" s="95"/>
      <c r="U77" s="95"/>
      <c r="AA77" s="95"/>
      <c r="AC77" s="95"/>
      <c r="AD77" s="95"/>
      <c r="AE77" s="95"/>
      <c r="AG77" s="95"/>
      <c r="AH77" s="95"/>
      <c r="AI77" s="95"/>
      <c r="AJ77" s="95"/>
      <c r="AK77" s="95"/>
      <c r="AL77" s="95"/>
      <c r="AM77" s="95"/>
      <c r="AN77" s="95"/>
      <c r="AO77" s="95"/>
      <c r="AP77" s="95"/>
      <c r="AQ77" s="95"/>
      <c r="AR77" s="95"/>
      <c r="AS77" s="95"/>
      <c r="AT77" s="95"/>
      <c r="AU77" s="95"/>
      <c r="AV77" s="95"/>
      <c r="AW77" s="95"/>
      <c r="AX77" s="14"/>
    </row>
    <row r="78" spans="1:50" s="79" customFormat="1">
      <c r="A78" s="12"/>
      <c r="C78" s="79" t="s">
        <v>451</v>
      </c>
      <c r="F78" s="95"/>
      <c r="G78" s="95"/>
      <c r="H78" s="95"/>
      <c r="I78" s="95"/>
      <c r="J78" s="95"/>
      <c r="K78" s="95"/>
      <c r="L78" s="95"/>
      <c r="M78" s="95"/>
      <c r="N78" s="95"/>
      <c r="O78" s="95"/>
      <c r="P78" s="95"/>
      <c r="Q78" s="95"/>
      <c r="R78" s="95"/>
      <c r="S78" s="95"/>
      <c r="T78" s="95"/>
      <c r="U78" s="95"/>
      <c r="AA78" s="95"/>
      <c r="AC78" s="95"/>
      <c r="AD78" s="95"/>
      <c r="AE78" s="95"/>
      <c r="AG78" s="95"/>
      <c r="AH78" s="95"/>
      <c r="AI78" s="95"/>
      <c r="AJ78" s="95"/>
      <c r="AK78" s="95"/>
      <c r="AS78" s="95"/>
      <c r="AT78" s="95"/>
      <c r="AU78" s="95"/>
      <c r="AV78" s="95"/>
      <c r="AW78" s="95"/>
      <c r="AX78" s="14"/>
    </row>
    <row r="79" spans="1:50" s="79" customFormat="1">
      <c r="A79" s="12"/>
      <c r="D79" s="79" t="s">
        <v>467</v>
      </c>
      <c r="F79" s="95"/>
      <c r="G79" s="95"/>
      <c r="H79" s="95"/>
      <c r="I79" s="95"/>
      <c r="J79" s="95"/>
      <c r="K79" s="95"/>
      <c r="L79" s="95"/>
      <c r="M79" s="95"/>
      <c r="N79" s="95"/>
      <c r="O79" s="95"/>
      <c r="P79" s="95"/>
      <c r="Q79" s="95"/>
      <c r="R79" s="95"/>
      <c r="S79" s="95"/>
      <c r="T79" s="95"/>
      <c r="U79" s="95"/>
      <c r="Y79" s="95"/>
      <c r="Z79" s="95"/>
      <c r="AA79" s="95"/>
      <c r="AB79" s="95"/>
      <c r="AC79" s="95"/>
      <c r="AD79" s="95"/>
      <c r="AE79" s="95"/>
      <c r="AG79" s="95"/>
      <c r="AH79" s="95"/>
      <c r="AI79" s="95"/>
      <c r="AJ79" s="95"/>
      <c r="AK79" s="95"/>
      <c r="AS79" s="95"/>
      <c r="AT79" s="95"/>
      <c r="AU79" s="95"/>
      <c r="AV79" s="95"/>
      <c r="AW79" s="95"/>
      <c r="AX79" s="14"/>
    </row>
    <row r="80" spans="1:50" s="79" customFormat="1">
      <c r="A80" s="12"/>
      <c r="F80" s="95"/>
      <c r="G80" s="95"/>
      <c r="H80" s="95"/>
      <c r="I80" s="95"/>
      <c r="J80" s="95"/>
      <c r="K80" s="95"/>
      <c r="L80" s="95"/>
      <c r="M80" s="95"/>
      <c r="N80" s="95"/>
      <c r="O80" s="95"/>
      <c r="P80" s="95"/>
      <c r="Q80" s="95"/>
      <c r="R80" s="95"/>
      <c r="S80" s="95"/>
      <c r="T80" s="95"/>
      <c r="U80" s="95"/>
      <c r="Y80" s="95"/>
      <c r="Z80" s="95"/>
      <c r="AA80" s="95"/>
      <c r="AB80" s="95"/>
      <c r="AC80" s="95"/>
      <c r="AD80" s="95"/>
      <c r="AE80" s="95"/>
      <c r="AG80" s="95"/>
      <c r="AH80" s="95"/>
      <c r="AI80" s="95"/>
      <c r="AJ80" s="95"/>
      <c r="AK80" s="95"/>
      <c r="AS80" s="95"/>
      <c r="AT80" s="95"/>
      <c r="AU80" s="95"/>
      <c r="AV80" s="95"/>
      <c r="AW80" s="95"/>
      <c r="AX80" s="14"/>
    </row>
    <row r="81" spans="1:50" s="79" customFormat="1">
      <c r="A81" s="12"/>
      <c r="D81" s="103" t="s">
        <v>452</v>
      </c>
      <c r="E81" s="104"/>
      <c r="F81" s="104"/>
      <c r="G81" s="104"/>
      <c r="H81" s="104"/>
      <c r="I81" s="105"/>
      <c r="J81" s="103" t="s">
        <v>369</v>
      </c>
      <c r="K81" s="104"/>
      <c r="L81" s="104"/>
      <c r="M81" s="104"/>
      <c r="N81" s="105"/>
      <c r="O81" s="103" t="s">
        <v>457</v>
      </c>
      <c r="P81" s="104"/>
      <c r="Q81" s="104"/>
      <c r="R81" s="104"/>
      <c r="S81" s="104"/>
      <c r="T81" s="104"/>
      <c r="U81" s="105"/>
      <c r="V81" s="103" t="s">
        <v>460</v>
      </c>
      <c r="W81" s="104"/>
      <c r="X81" s="105"/>
      <c r="Y81" s="95"/>
      <c r="Z81" s="95"/>
      <c r="AA81" s="95"/>
      <c r="AB81" s="95"/>
      <c r="AD81" s="95"/>
      <c r="AE81" s="95"/>
      <c r="AG81" s="95"/>
      <c r="AH81" s="95"/>
      <c r="AI81" s="95"/>
      <c r="AJ81" s="95"/>
      <c r="AK81" s="95"/>
      <c r="AS81" s="95"/>
      <c r="AT81" s="95"/>
      <c r="AU81" s="95"/>
      <c r="AV81" s="95"/>
      <c r="AW81" s="95"/>
      <c r="AX81" s="14"/>
    </row>
    <row r="82" spans="1:50" s="79" customFormat="1">
      <c r="A82" s="12"/>
      <c r="D82" s="128" t="s">
        <v>453</v>
      </c>
      <c r="E82" s="38"/>
      <c r="F82" s="38"/>
      <c r="G82" s="38"/>
      <c r="H82" s="38"/>
      <c r="I82" s="134"/>
      <c r="J82" s="106" t="s">
        <v>435</v>
      </c>
      <c r="K82" s="107"/>
      <c r="L82" s="107"/>
      <c r="M82" s="107"/>
      <c r="N82" s="108"/>
      <c r="O82" s="106" t="s">
        <v>468</v>
      </c>
      <c r="P82" s="107"/>
      <c r="Q82" s="107"/>
      <c r="R82" s="107"/>
      <c r="S82" s="107"/>
      <c r="T82" s="107"/>
      <c r="U82" s="108"/>
      <c r="V82" s="106" t="s">
        <v>461</v>
      </c>
      <c r="W82" s="107"/>
      <c r="X82" s="108"/>
      <c r="Y82" s="79" t="s">
        <v>469</v>
      </c>
      <c r="Z82" s="95"/>
      <c r="AA82" s="95"/>
      <c r="AC82" s="95"/>
      <c r="AD82" s="95"/>
      <c r="AE82" s="95"/>
      <c r="AF82" s="95"/>
      <c r="AG82" s="95"/>
      <c r="AH82" s="95"/>
      <c r="AI82" s="95"/>
      <c r="AJ82" s="95"/>
      <c r="AK82" s="95"/>
      <c r="AL82" s="95"/>
      <c r="AM82" s="95"/>
      <c r="AN82" s="95"/>
      <c r="AO82" s="95"/>
      <c r="AP82" s="95"/>
      <c r="AQ82" s="95"/>
      <c r="AR82" s="95"/>
      <c r="AS82" s="95"/>
      <c r="AT82" s="95"/>
      <c r="AU82" s="95"/>
      <c r="AV82" s="95"/>
      <c r="AW82" s="95"/>
      <c r="AX82" s="14"/>
    </row>
    <row r="83" spans="1:50" s="79" customFormat="1">
      <c r="A83" s="12"/>
      <c r="D83" s="112"/>
      <c r="E83" s="95"/>
      <c r="F83" s="95"/>
      <c r="G83" s="95"/>
      <c r="H83" s="95"/>
      <c r="I83" s="113"/>
      <c r="J83" s="119" t="s">
        <v>362</v>
      </c>
      <c r="K83" s="120"/>
      <c r="L83" s="120"/>
      <c r="M83" s="120"/>
      <c r="N83" s="121"/>
      <c r="O83" s="119" t="s">
        <v>458</v>
      </c>
      <c r="P83" s="120"/>
      <c r="Q83" s="120"/>
      <c r="R83" s="120"/>
      <c r="S83" s="120"/>
      <c r="T83" s="120"/>
      <c r="U83" s="121"/>
      <c r="V83" s="119" t="s">
        <v>462</v>
      </c>
      <c r="W83" s="120"/>
      <c r="X83" s="121"/>
      <c r="Y83" s="95"/>
      <c r="Z83" s="95"/>
      <c r="AA83" s="95"/>
      <c r="AB83" s="95"/>
      <c r="AD83" s="95"/>
      <c r="AE83" s="95"/>
      <c r="AG83" s="95"/>
      <c r="AH83" s="95"/>
      <c r="AI83" s="95"/>
      <c r="AJ83" s="95"/>
      <c r="AK83" s="95"/>
      <c r="AL83" s="95"/>
      <c r="AM83" s="95"/>
      <c r="AN83" s="95"/>
      <c r="AO83" s="95"/>
      <c r="AP83" s="95"/>
      <c r="AQ83" s="95"/>
      <c r="AR83" s="95"/>
      <c r="AS83" s="95"/>
      <c r="AT83" s="95"/>
      <c r="AU83" s="95"/>
      <c r="AV83" s="95"/>
      <c r="AW83" s="95"/>
      <c r="AX83" s="14"/>
    </row>
    <row r="84" spans="1:50" s="79" customFormat="1">
      <c r="A84" s="12"/>
      <c r="D84" s="112"/>
      <c r="E84" s="95"/>
      <c r="F84" s="95"/>
      <c r="G84" s="95"/>
      <c r="H84" s="95"/>
      <c r="I84" s="113"/>
      <c r="J84" s="119" t="s">
        <v>456</v>
      </c>
      <c r="K84" s="120"/>
      <c r="L84" s="120"/>
      <c r="M84" s="120"/>
      <c r="N84" s="121"/>
      <c r="O84" s="119" t="s">
        <v>459</v>
      </c>
      <c r="P84" s="120"/>
      <c r="Q84" s="120"/>
      <c r="R84" s="120"/>
      <c r="S84" s="120"/>
      <c r="T84" s="120"/>
      <c r="U84" s="121"/>
      <c r="V84" s="119" t="s">
        <v>462</v>
      </c>
      <c r="W84" s="120"/>
      <c r="X84" s="121"/>
      <c r="Y84" s="95"/>
      <c r="Z84" s="95"/>
      <c r="AA84" s="95"/>
      <c r="AB84" s="95"/>
      <c r="AD84" s="95"/>
      <c r="AE84" s="95"/>
      <c r="AG84" s="95"/>
      <c r="AH84" s="95"/>
      <c r="AI84" s="95"/>
      <c r="AJ84" s="95"/>
      <c r="AK84" s="95"/>
      <c r="AL84" s="95"/>
      <c r="AM84" s="95"/>
      <c r="AN84" s="95"/>
      <c r="AO84" s="95"/>
      <c r="AP84" s="95"/>
      <c r="AQ84" s="95"/>
      <c r="AR84" s="95"/>
      <c r="AS84" s="95"/>
      <c r="AT84" s="95"/>
      <c r="AU84" s="95"/>
      <c r="AV84" s="95"/>
      <c r="AW84" s="95"/>
      <c r="AX84" s="14"/>
    </row>
    <row r="85" spans="1:50" s="79" customFormat="1">
      <c r="A85" s="12"/>
      <c r="D85" s="112"/>
      <c r="E85" s="95"/>
      <c r="F85" s="95"/>
      <c r="G85" s="95"/>
      <c r="H85" s="95"/>
      <c r="I85" s="113"/>
      <c r="J85" s="119" t="s">
        <v>365</v>
      </c>
      <c r="K85" s="120"/>
      <c r="L85" s="120"/>
      <c r="M85" s="120"/>
      <c r="N85" s="121"/>
      <c r="O85" s="119" t="s">
        <v>458</v>
      </c>
      <c r="P85" s="120"/>
      <c r="Q85" s="120"/>
      <c r="R85" s="120"/>
      <c r="S85" s="120"/>
      <c r="T85" s="120"/>
      <c r="U85" s="121"/>
      <c r="V85" s="119" t="s">
        <v>462</v>
      </c>
      <c r="W85" s="120"/>
      <c r="X85" s="121"/>
      <c r="Y85" s="95"/>
      <c r="Z85" s="95"/>
      <c r="AA85" s="95"/>
      <c r="AB85" s="95"/>
      <c r="AD85" s="95"/>
      <c r="AE85" s="95"/>
      <c r="AG85" s="95"/>
      <c r="AH85" s="95"/>
      <c r="AI85" s="95"/>
      <c r="AJ85" s="95"/>
      <c r="AK85" s="95"/>
      <c r="AL85" s="95"/>
      <c r="AM85" s="95"/>
      <c r="AN85" s="95"/>
      <c r="AO85" s="95"/>
      <c r="AP85" s="95"/>
      <c r="AQ85" s="95"/>
      <c r="AR85" s="95"/>
      <c r="AS85" s="95"/>
      <c r="AT85" s="95"/>
      <c r="AU85" s="95"/>
      <c r="AV85" s="95"/>
      <c r="AW85" s="95"/>
      <c r="AX85" s="14"/>
    </row>
    <row r="86" spans="1:50" s="79" customFormat="1">
      <c r="A86" s="12"/>
      <c r="D86" s="112"/>
      <c r="E86" s="95"/>
      <c r="F86" s="95"/>
      <c r="G86" s="95"/>
      <c r="H86" s="95"/>
      <c r="I86" s="113"/>
      <c r="J86" s="119" t="s">
        <v>487</v>
      </c>
      <c r="K86" s="120"/>
      <c r="L86" s="120"/>
      <c r="M86" s="120"/>
      <c r="N86" s="121"/>
      <c r="O86" s="119" t="s">
        <v>458</v>
      </c>
      <c r="P86" s="120"/>
      <c r="Q86" s="120"/>
      <c r="R86" s="120"/>
      <c r="S86" s="120"/>
      <c r="T86" s="120"/>
      <c r="U86" s="121"/>
      <c r="V86" s="119" t="s">
        <v>462</v>
      </c>
      <c r="W86" s="120"/>
      <c r="X86" s="121"/>
      <c r="Y86" s="95"/>
      <c r="Z86" s="95"/>
      <c r="AA86" s="95"/>
      <c r="AB86" s="95"/>
      <c r="AD86" s="95"/>
      <c r="AE86" s="95"/>
      <c r="AG86" s="95"/>
      <c r="AH86" s="95"/>
      <c r="AI86" s="95"/>
      <c r="AJ86" s="95"/>
      <c r="AK86" s="95"/>
      <c r="AL86" s="95"/>
      <c r="AM86" s="95"/>
      <c r="AN86" s="95"/>
      <c r="AO86" s="95"/>
      <c r="AP86" s="95"/>
      <c r="AQ86" s="95"/>
      <c r="AR86" s="95"/>
      <c r="AS86" s="95"/>
      <c r="AT86" s="95"/>
      <c r="AU86" s="95"/>
      <c r="AV86" s="95"/>
      <c r="AW86" s="95"/>
      <c r="AX86" s="14"/>
    </row>
    <row r="87" spans="1:50" s="79" customFormat="1">
      <c r="A87" s="12"/>
      <c r="D87" s="112"/>
      <c r="E87" s="95"/>
      <c r="F87" s="95"/>
      <c r="G87" s="95"/>
      <c r="H87" s="95"/>
      <c r="I87" s="113"/>
      <c r="J87" s="129" t="s">
        <v>488</v>
      </c>
      <c r="K87" s="130"/>
      <c r="L87" s="130"/>
      <c r="M87" s="130"/>
      <c r="N87" s="131"/>
      <c r="O87" s="119" t="s">
        <v>489</v>
      </c>
      <c r="P87" s="120"/>
      <c r="Q87" s="120"/>
      <c r="R87" s="120"/>
      <c r="S87" s="120"/>
      <c r="T87" s="120"/>
      <c r="U87" s="121"/>
      <c r="V87" s="119" t="s">
        <v>462</v>
      </c>
      <c r="W87" s="120"/>
      <c r="X87" s="121"/>
      <c r="Y87" s="95"/>
      <c r="Z87" s="95"/>
      <c r="AA87" s="95"/>
      <c r="AB87" s="95"/>
      <c r="AD87" s="95"/>
      <c r="AE87" s="95"/>
      <c r="AG87" s="95"/>
      <c r="AH87" s="95"/>
      <c r="AI87" s="95"/>
      <c r="AJ87" s="95"/>
      <c r="AK87" s="95"/>
      <c r="AL87" s="95"/>
      <c r="AM87" s="95"/>
      <c r="AN87" s="95"/>
      <c r="AO87" s="95"/>
      <c r="AP87" s="95"/>
      <c r="AQ87" s="95"/>
      <c r="AR87" s="95"/>
      <c r="AS87" s="95"/>
      <c r="AT87" s="95"/>
      <c r="AU87" s="95"/>
      <c r="AV87" s="95"/>
      <c r="AW87" s="95"/>
      <c r="AX87" s="14"/>
    </row>
    <row r="88" spans="1:50" s="79" customFormat="1">
      <c r="A88" s="12"/>
      <c r="D88" s="112"/>
      <c r="E88" s="95"/>
      <c r="F88" s="95"/>
      <c r="G88" s="95"/>
      <c r="H88" s="95"/>
      <c r="I88" s="113"/>
      <c r="J88" s="116"/>
      <c r="K88" s="117"/>
      <c r="L88" s="117"/>
      <c r="M88" s="117"/>
      <c r="N88" s="133"/>
      <c r="O88" s="119" t="s">
        <v>490</v>
      </c>
      <c r="P88" s="120"/>
      <c r="Q88" s="120"/>
      <c r="R88" s="120"/>
      <c r="S88" s="120"/>
      <c r="T88" s="120"/>
      <c r="U88" s="121"/>
      <c r="V88" s="119" t="s">
        <v>463</v>
      </c>
      <c r="W88" s="120"/>
      <c r="X88" s="121"/>
      <c r="Y88" s="95"/>
      <c r="Z88" s="95"/>
      <c r="AA88" s="95"/>
      <c r="AB88" s="95"/>
      <c r="AD88" s="95"/>
      <c r="AE88" s="95"/>
      <c r="AG88" s="95"/>
      <c r="AH88" s="95"/>
      <c r="AI88" s="95"/>
      <c r="AJ88" s="95"/>
      <c r="AK88" s="95"/>
      <c r="AL88" s="95"/>
      <c r="AM88" s="95"/>
      <c r="AN88" s="95"/>
      <c r="AO88" s="95"/>
      <c r="AP88" s="95"/>
      <c r="AQ88" s="95"/>
      <c r="AR88" s="95"/>
      <c r="AS88" s="95"/>
      <c r="AT88" s="95"/>
      <c r="AU88" s="95"/>
      <c r="AV88" s="95"/>
      <c r="AW88" s="95"/>
      <c r="AX88" s="14"/>
    </row>
    <row r="89" spans="1:50" s="79" customFormat="1">
      <c r="A89" s="12"/>
      <c r="D89" s="112"/>
      <c r="E89" s="95"/>
      <c r="F89" s="95"/>
      <c r="G89" s="95"/>
      <c r="H89" s="95"/>
      <c r="I89" s="113"/>
      <c r="J89" s="119" t="s">
        <v>342</v>
      </c>
      <c r="K89" s="120"/>
      <c r="L89" s="120"/>
      <c r="M89" s="120"/>
      <c r="N89" s="121"/>
      <c r="O89" s="119" t="s">
        <v>466</v>
      </c>
      <c r="P89" s="120"/>
      <c r="Q89" s="120"/>
      <c r="R89" s="120"/>
      <c r="S89" s="120"/>
      <c r="T89" s="120"/>
      <c r="U89" s="121"/>
      <c r="V89" s="119" t="s">
        <v>462</v>
      </c>
      <c r="W89" s="120"/>
      <c r="X89" s="121"/>
      <c r="Y89" s="95"/>
      <c r="Z89" s="95"/>
      <c r="AA89" s="95"/>
      <c r="AB89" s="95"/>
      <c r="AD89" s="95"/>
      <c r="AE89" s="95"/>
      <c r="AG89" s="95"/>
      <c r="AH89" s="95"/>
      <c r="AI89" s="95"/>
      <c r="AJ89" s="95"/>
      <c r="AK89" s="95"/>
      <c r="AL89" s="95"/>
      <c r="AM89" s="95"/>
      <c r="AN89" s="95"/>
      <c r="AO89" s="95"/>
      <c r="AP89" s="95"/>
      <c r="AQ89" s="95"/>
      <c r="AR89" s="95"/>
      <c r="AS89" s="95"/>
      <c r="AT89" s="95"/>
      <c r="AU89" s="95"/>
      <c r="AV89" s="95"/>
      <c r="AW89" s="95"/>
      <c r="AX89" s="14"/>
    </row>
    <row r="90" spans="1:50" s="79" customFormat="1">
      <c r="A90" s="12"/>
      <c r="D90" s="116"/>
      <c r="E90" s="117"/>
      <c r="F90" s="117"/>
      <c r="G90" s="117"/>
      <c r="H90" s="117"/>
      <c r="I90" s="133"/>
      <c r="J90" s="119" t="s">
        <v>578</v>
      </c>
      <c r="K90" s="120"/>
      <c r="L90" s="120"/>
      <c r="M90" s="120"/>
      <c r="N90" s="121"/>
      <c r="O90" s="119" t="s">
        <v>579</v>
      </c>
      <c r="P90" s="120"/>
      <c r="Q90" s="120"/>
      <c r="R90" s="120"/>
      <c r="S90" s="120"/>
      <c r="T90" s="120"/>
      <c r="U90" s="121"/>
      <c r="V90" s="119" t="s">
        <v>462</v>
      </c>
      <c r="W90" s="120"/>
      <c r="X90" s="121"/>
      <c r="Y90" s="95"/>
      <c r="Z90" s="95"/>
      <c r="AA90" s="95"/>
      <c r="AB90" s="95"/>
      <c r="AD90" s="95"/>
      <c r="AE90" s="95"/>
      <c r="AG90" s="95"/>
      <c r="AH90" s="95"/>
      <c r="AI90" s="95"/>
      <c r="AJ90" s="95"/>
      <c r="AK90" s="95"/>
      <c r="AL90" s="95"/>
      <c r="AM90" s="95"/>
      <c r="AN90" s="95"/>
      <c r="AO90" s="95"/>
      <c r="AP90" s="95"/>
      <c r="AQ90" s="95"/>
      <c r="AR90" s="95"/>
      <c r="AS90" s="95"/>
      <c r="AT90" s="95"/>
      <c r="AU90" s="95"/>
      <c r="AV90" s="95"/>
      <c r="AW90" s="95"/>
      <c r="AX90" s="14"/>
    </row>
    <row r="91" spans="1:50" s="79" customFormat="1">
      <c r="A91" s="12"/>
      <c r="D91" s="129" t="s">
        <v>454</v>
      </c>
      <c r="E91" s="130"/>
      <c r="F91" s="130"/>
      <c r="G91" s="130"/>
      <c r="H91" s="130"/>
      <c r="I91" s="131"/>
      <c r="J91" s="119" t="s">
        <v>435</v>
      </c>
      <c r="K91" s="120"/>
      <c r="L91" s="120"/>
      <c r="M91" s="120"/>
      <c r="N91" s="121"/>
      <c r="O91" s="119" t="s">
        <v>468</v>
      </c>
      <c r="P91" s="120"/>
      <c r="Q91" s="120"/>
      <c r="R91" s="120"/>
      <c r="S91" s="120"/>
      <c r="T91" s="120"/>
      <c r="U91" s="121"/>
      <c r="V91" s="119" t="s">
        <v>463</v>
      </c>
      <c r="W91" s="120"/>
      <c r="X91" s="121"/>
      <c r="Y91" s="95"/>
      <c r="Z91" s="95"/>
      <c r="AA91" s="95"/>
      <c r="AB91" s="95"/>
      <c r="AD91" s="95"/>
      <c r="AE91" s="95"/>
      <c r="AG91" s="95"/>
      <c r="AH91" s="95"/>
      <c r="AI91" s="95"/>
      <c r="AJ91" s="95"/>
      <c r="AK91" s="95"/>
      <c r="AL91" s="95"/>
      <c r="AM91" s="95"/>
      <c r="AN91" s="95"/>
      <c r="AO91" s="95"/>
      <c r="AP91" s="95"/>
      <c r="AQ91" s="95"/>
      <c r="AR91" s="95"/>
      <c r="AS91" s="95"/>
      <c r="AT91" s="95"/>
      <c r="AU91" s="95"/>
      <c r="AV91" s="95"/>
      <c r="AW91" s="95"/>
      <c r="AX91" s="14"/>
    </row>
    <row r="92" spans="1:50" s="79" customFormat="1">
      <c r="A92" s="12"/>
      <c r="D92" s="112" t="s">
        <v>483</v>
      </c>
      <c r="E92" s="95"/>
      <c r="F92" s="95"/>
      <c r="G92" s="95"/>
      <c r="H92" s="95"/>
      <c r="I92" s="113"/>
      <c r="J92" s="119" t="s">
        <v>362</v>
      </c>
      <c r="K92" s="120"/>
      <c r="L92" s="120"/>
      <c r="M92" s="120"/>
      <c r="N92" s="121"/>
      <c r="O92" s="119" t="s">
        <v>458</v>
      </c>
      <c r="P92" s="120"/>
      <c r="Q92" s="120"/>
      <c r="R92" s="120"/>
      <c r="S92" s="120"/>
      <c r="T92" s="120"/>
      <c r="U92" s="121"/>
      <c r="V92" s="119" t="s">
        <v>462</v>
      </c>
      <c r="W92" s="120"/>
      <c r="X92" s="121"/>
      <c r="Y92" s="95"/>
      <c r="Z92" s="95"/>
      <c r="AA92" s="95"/>
      <c r="AB92" s="95"/>
      <c r="AD92" s="95"/>
      <c r="AE92" s="95"/>
      <c r="AG92" s="95"/>
      <c r="AH92" s="95"/>
      <c r="AI92" s="95"/>
      <c r="AJ92" s="95"/>
      <c r="AK92" s="95"/>
      <c r="AL92" s="95"/>
      <c r="AM92" s="95"/>
      <c r="AN92" s="95"/>
      <c r="AO92" s="95"/>
      <c r="AP92" s="95"/>
      <c r="AQ92" s="95"/>
      <c r="AR92" s="95"/>
      <c r="AS92" s="95"/>
      <c r="AT92" s="95"/>
      <c r="AU92" s="95"/>
      <c r="AV92" s="95"/>
      <c r="AW92" s="95"/>
      <c r="AX92" s="14"/>
    </row>
    <row r="93" spans="1:50" s="79" customFormat="1">
      <c r="A93" s="12"/>
      <c r="D93" s="112" t="s">
        <v>484</v>
      </c>
      <c r="E93" s="95"/>
      <c r="F93" s="95"/>
      <c r="G93" s="95"/>
      <c r="H93" s="95"/>
      <c r="I93" s="113"/>
      <c r="J93" s="119" t="s">
        <v>456</v>
      </c>
      <c r="K93" s="120"/>
      <c r="L93" s="120"/>
      <c r="M93" s="120"/>
      <c r="N93" s="121"/>
      <c r="O93" s="119" t="s">
        <v>459</v>
      </c>
      <c r="P93" s="120"/>
      <c r="Q93" s="120"/>
      <c r="R93" s="120"/>
      <c r="S93" s="120"/>
      <c r="T93" s="120"/>
      <c r="U93" s="121"/>
      <c r="V93" s="119" t="s">
        <v>462</v>
      </c>
      <c r="W93" s="120"/>
      <c r="X93" s="121"/>
      <c r="Y93" s="95"/>
      <c r="Z93" s="95"/>
      <c r="AA93" s="95"/>
      <c r="AB93" s="95"/>
      <c r="AD93" s="95"/>
      <c r="AE93" s="95"/>
      <c r="AG93" s="95"/>
      <c r="AH93" s="95"/>
      <c r="AI93" s="95"/>
      <c r="AJ93" s="95"/>
      <c r="AK93" s="95"/>
      <c r="AL93" s="95"/>
      <c r="AM93" s="95"/>
      <c r="AN93" s="95"/>
      <c r="AO93" s="95"/>
      <c r="AP93" s="95"/>
      <c r="AQ93" s="95"/>
      <c r="AR93" s="95"/>
      <c r="AS93" s="95"/>
      <c r="AT93" s="95"/>
      <c r="AU93" s="95"/>
      <c r="AV93" s="95"/>
      <c r="AW93" s="95"/>
      <c r="AX93" s="14"/>
    </row>
    <row r="94" spans="1:50" s="79" customFormat="1">
      <c r="A94" s="12"/>
      <c r="D94" s="112"/>
      <c r="E94" s="95"/>
      <c r="F94" s="95"/>
      <c r="G94" s="95"/>
      <c r="H94" s="95"/>
      <c r="I94" s="113"/>
      <c r="J94" s="119" t="s">
        <v>365</v>
      </c>
      <c r="K94" s="120"/>
      <c r="L94" s="120"/>
      <c r="M94" s="120"/>
      <c r="N94" s="121"/>
      <c r="O94" s="119" t="s">
        <v>458</v>
      </c>
      <c r="P94" s="120"/>
      <c r="Q94" s="120"/>
      <c r="R94" s="120"/>
      <c r="S94" s="120"/>
      <c r="T94" s="120"/>
      <c r="U94" s="121"/>
      <c r="V94" s="119" t="s">
        <v>462</v>
      </c>
      <c r="W94" s="120"/>
      <c r="X94" s="121"/>
      <c r="Y94" s="95"/>
      <c r="Z94" s="95"/>
      <c r="AA94" s="95"/>
      <c r="AB94" s="95"/>
      <c r="AD94" s="95"/>
      <c r="AE94" s="95"/>
      <c r="AG94" s="95"/>
      <c r="AH94" s="95"/>
      <c r="AI94" s="95"/>
      <c r="AJ94" s="95"/>
      <c r="AK94" s="95"/>
      <c r="AL94" s="95"/>
      <c r="AM94" s="95"/>
      <c r="AN94" s="95"/>
      <c r="AO94" s="95"/>
      <c r="AP94" s="95"/>
      <c r="AQ94" s="95"/>
      <c r="AR94" s="95"/>
      <c r="AS94" s="95"/>
      <c r="AT94" s="95"/>
      <c r="AU94" s="95"/>
      <c r="AV94" s="95"/>
      <c r="AW94" s="95"/>
      <c r="AX94" s="14"/>
    </row>
    <row r="95" spans="1:50" s="79" customFormat="1">
      <c r="A95" s="12"/>
      <c r="D95" s="112"/>
      <c r="E95" s="95"/>
      <c r="F95" s="95"/>
      <c r="G95" s="95"/>
      <c r="H95" s="95"/>
      <c r="I95" s="113"/>
      <c r="J95" s="119" t="s">
        <v>487</v>
      </c>
      <c r="K95" s="120"/>
      <c r="L95" s="120"/>
      <c r="M95" s="120"/>
      <c r="N95" s="121"/>
      <c r="O95" s="119" t="s">
        <v>458</v>
      </c>
      <c r="P95" s="120"/>
      <c r="Q95" s="120"/>
      <c r="R95" s="120"/>
      <c r="S95" s="120"/>
      <c r="T95" s="120"/>
      <c r="U95" s="121"/>
      <c r="V95" s="119" t="s">
        <v>462</v>
      </c>
      <c r="W95" s="120"/>
      <c r="X95" s="121"/>
      <c r="Y95" s="95"/>
      <c r="Z95" s="95"/>
      <c r="AA95" s="95"/>
      <c r="AB95" s="95"/>
      <c r="AD95" s="95"/>
      <c r="AE95" s="95"/>
      <c r="AG95" s="95"/>
      <c r="AH95" s="95"/>
      <c r="AI95" s="95"/>
      <c r="AJ95" s="95"/>
      <c r="AK95" s="95"/>
      <c r="AL95" s="95"/>
      <c r="AM95" s="95"/>
      <c r="AN95" s="95"/>
      <c r="AO95" s="95"/>
      <c r="AP95" s="95"/>
      <c r="AQ95" s="95"/>
      <c r="AR95" s="95"/>
      <c r="AS95" s="95"/>
      <c r="AT95" s="95"/>
      <c r="AU95" s="95"/>
      <c r="AV95" s="95"/>
      <c r="AW95" s="95"/>
      <c r="AX95" s="14"/>
    </row>
    <row r="96" spans="1:50" s="79" customFormat="1">
      <c r="A96" s="12"/>
      <c r="D96" s="112"/>
      <c r="E96" s="95"/>
      <c r="F96" s="95"/>
      <c r="G96" s="95"/>
      <c r="H96" s="95"/>
      <c r="I96" s="113"/>
      <c r="J96" s="129" t="s">
        <v>488</v>
      </c>
      <c r="K96" s="130"/>
      <c r="L96" s="130"/>
      <c r="M96" s="130"/>
      <c r="N96" s="131"/>
      <c r="O96" s="119" t="s">
        <v>489</v>
      </c>
      <c r="P96" s="120"/>
      <c r="Q96" s="120"/>
      <c r="R96" s="120"/>
      <c r="S96" s="120"/>
      <c r="T96" s="120"/>
      <c r="U96" s="121"/>
      <c r="V96" s="119" t="s">
        <v>462</v>
      </c>
      <c r="W96" s="120"/>
      <c r="X96" s="121"/>
      <c r="Y96" s="95"/>
      <c r="Z96" s="95"/>
      <c r="AA96" s="95"/>
      <c r="AB96" s="95"/>
      <c r="AD96" s="95"/>
      <c r="AE96" s="95"/>
      <c r="AG96" s="95"/>
      <c r="AH96" s="95"/>
      <c r="AI96" s="95"/>
      <c r="AJ96" s="95"/>
      <c r="AK96" s="95"/>
      <c r="AL96" s="95"/>
      <c r="AM96" s="95"/>
      <c r="AN96" s="95"/>
      <c r="AO96" s="95"/>
      <c r="AP96" s="95"/>
      <c r="AQ96" s="95"/>
      <c r="AR96" s="95"/>
      <c r="AS96" s="95"/>
      <c r="AT96" s="95"/>
      <c r="AU96" s="95"/>
      <c r="AV96" s="95"/>
      <c r="AW96" s="95"/>
      <c r="AX96" s="14"/>
    </row>
    <row r="97" spans="1:50" s="79" customFormat="1">
      <c r="A97" s="12"/>
      <c r="D97" s="112"/>
      <c r="E97" s="95"/>
      <c r="F97" s="95"/>
      <c r="G97" s="95"/>
      <c r="H97" s="95"/>
      <c r="I97" s="113"/>
      <c r="J97" s="116"/>
      <c r="K97" s="117"/>
      <c r="L97" s="117"/>
      <c r="M97" s="117"/>
      <c r="N97" s="133"/>
      <c r="O97" s="119" t="s">
        <v>490</v>
      </c>
      <c r="P97" s="120"/>
      <c r="Q97" s="120"/>
      <c r="R97" s="120"/>
      <c r="S97" s="120"/>
      <c r="T97" s="120"/>
      <c r="U97" s="121"/>
      <c r="V97" s="119" t="s">
        <v>463</v>
      </c>
      <c r="W97" s="120"/>
      <c r="X97" s="121"/>
      <c r="Y97" s="95"/>
      <c r="Z97" s="95"/>
      <c r="AA97" s="95"/>
      <c r="AB97" s="95"/>
      <c r="AD97" s="95"/>
      <c r="AE97" s="95"/>
      <c r="AG97" s="95"/>
      <c r="AH97" s="95"/>
      <c r="AI97" s="95"/>
      <c r="AJ97" s="95"/>
      <c r="AK97" s="95"/>
      <c r="AL97" s="95"/>
      <c r="AM97" s="95"/>
      <c r="AN97" s="95"/>
      <c r="AO97" s="95"/>
      <c r="AP97" s="95"/>
      <c r="AQ97" s="95"/>
      <c r="AR97" s="95"/>
      <c r="AS97" s="95"/>
      <c r="AT97" s="95"/>
      <c r="AU97" s="95"/>
      <c r="AV97" s="95"/>
      <c r="AW97" s="95"/>
      <c r="AX97" s="14"/>
    </row>
    <row r="98" spans="1:50" s="79" customFormat="1">
      <c r="A98" s="12"/>
      <c r="D98" s="112"/>
      <c r="E98" s="95"/>
      <c r="F98" s="95"/>
      <c r="G98" s="95"/>
      <c r="H98" s="95"/>
      <c r="I98" s="113"/>
      <c r="J98" s="119" t="s">
        <v>342</v>
      </c>
      <c r="K98" s="120"/>
      <c r="L98" s="120"/>
      <c r="M98" s="120"/>
      <c r="N98" s="121"/>
      <c r="O98" s="119" t="s">
        <v>465</v>
      </c>
      <c r="P98" s="120"/>
      <c r="Q98" s="120"/>
      <c r="R98" s="120"/>
      <c r="S98" s="120"/>
      <c r="T98" s="120"/>
      <c r="U98" s="121"/>
      <c r="V98" s="119" t="s">
        <v>462</v>
      </c>
      <c r="W98" s="120"/>
      <c r="X98" s="121"/>
      <c r="Y98" s="95"/>
      <c r="Z98" s="95"/>
      <c r="AA98" s="95"/>
      <c r="AB98" s="95"/>
      <c r="AD98" s="95"/>
      <c r="AE98" s="95"/>
      <c r="AG98" s="95"/>
      <c r="AH98" s="95"/>
      <c r="AI98" s="95"/>
      <c r="AJ98" s="95"/>
      <c r="AK98" s="95"/>
      <c r="AL98" s="95"/>
      <c r="AM98" s="95"/>
      <c r="AN98" s="95"/>
      <c r="AO98" s="95"/>
      <c r="AP98" s="95"/>
      <c r="AQ98" s="95"/>
      <c r="AR98" s="95"/>
      <c r="AS98" s="95"/>
      <c r="AT98" s="95"/>
      <c r="AU98" s="95"/>
      <c r="AV98" s="95"/>
      <c r="AW98" s="95"/>
      <c r="AX98" s="14"/>
    </row>
    <row r="99" spans="1:50" s="79" customFormat="1">
      <c r="A99" s="12"/>
      <c r="D99" s="116"/>
      <c r="E99" s="117"/>
      <c r="F99" s="117"/>
      <c r="G99" s="117"/>
      <c r="H99" s="117"/>
      <c r="I99" s="133"/>
      <c r="J99" s="119" t="s">
        <v>578</v>
      </c>
      <c r="K99" s="120"/>
      <c r="L99" s="120"/>
      <c r="M99" s="120"/>
      <c r="N99" s="121"/>
      <c r="O99" s="119" t="s">
        <v>579</v>
      </c>
      <c r="P99" s="120"/>
      <c r="Q99" s="120"/>
      <c r="R99" s="120"/>
      <c r="S99" s="120"/>
      <c r="T99" s="120"/>
      <c r="U99" s="121"/>
      <c r="V99" s="119" t="s">
        <v>462</v>
      </c>
      <c r="W99" s="120"/>
      <c r="X99" s="121"/>
      <c r="Y99" s="95"/>
      <c r="Z99" s="95"/>
      <c r="AA99" s="95"/>
      <c r="AB99" s="95"/>
      <c r="AD99" s="95"/>
      <c r="AE99" s="95"/>
      <c r="AG99" s="95"/>
      <c r="AH99" s="95"/>
      <c r="AI99" s="95"/>
      <c r="AJ99" s="95"/>
      <c r="AK99" s="95"/>
      <c r="AL99" s="95"/>
      <c r="AM99" s="95"/>
      <c r="AN99" s="95"/>
      <c r="AO99" s="95"/>
      <c r="AP99" s="95"/>
      <c r="AQ99" s="95"/>
      <c r="AR99" s="95"/>
      <c r="AS99" s="95"/>
      <c r="AT99" s="95"/>
      <c r="AU99" s="95"/>
      <c r="AV99" s="95"/>
      <c r="AW99" s="95"/>
      <c r="AX99" s="14"/>
    </row>
    <row r="100" spans="1:50" s="79" customFormat="1">
      <c r="A100" s="12"/>
      <c r="D100" s="129" t="s">
        <v>455</v>
      </c>
      <c r="E100" s="130"/>
      <c r="F100" s="130"/>
      <c r="G100" s="130"/>
      <c r="H100" s="130"/>
      <c r="I100" s="131"/>
      <c r="J100" s="119" t="s">
        <v>435</v>
      </c>
      <c r="K100" s="120"/>
      <c r="L100" s="120"/>
      <c r="M100" s="120"/>
      <c r="N100" s="121"/>
      <c r="O100" s="119" t="s">
        <v>468</v>
      </c>
      <c r="P100" s="120"/>
      <c r="Q100" s="120"/>
      <c r="R100" s="120"/>
      <c r="S100" s="120"/>
      <c r="T100" s="120"/>
      <c r="U100" s="121"/>
      <c r="V100" s="119" t="s">
        <v>463</v>
      </c>
      <c r="W100" s="120"/>
      <c r="X100" s="121"/>
      <c r="Y100" s="95"/>
      <c r="Z100" s="95"/>
      <c r="AA100" s="95"/>
      <c r="AB100" s="95"/>
      <c r="AD100" s="95"/>
      <c r="AE100" s="95"/>
      <c r="AG100" s="95"/>
      <c r="AH100" s="95"/>
      <c r="AI100" s="95"/>
      <c r="AJ100" s="95"/>
      <c r="AK100" s="95"/>
      <c r="AL100" s="95"/>
      <c r="AM100" s="95"/>
      <c r="AN100" s="95"/>
      <c r="AO100" s="95"/>
      <c r="AP100" s="95"/>
      <c r="AQ100" s="95"/>
      <c r="AR100" s="95"/>
      <c r="AS100" s="95"/>
      <c r="AT100" s="95"/>
      <c r="AU100" s="95"/>
      <c r="AV100" s="95"/>
      <c r="AW100" s="95"/>
      <c r="AX100" s="14"/>
    </row>
    <row r="101" spans="1:50" s="79" customFormat="1">
      <c r="A101" s="12"/>
      <c r="D101" s="112"/>
      <c r="E101" s="95"/>
      <c r="F101" s="95"/>
      <c r="G101" s="95"/>
      <c r="H101" s="95"/>
      <c r="I101" s="113"/>
      <c r="J101" s="119" t="s">
        <v>362</v>
      </c>
      <c r="K101" s="120"/>
      <c r="L101" s="120"/>
      <c r="M101" s="120"/>
      <c r="N101" s="121"/>
      <c r="O101" s="119" t="s">
        <v>458</v>
      </c>
      <c r="P101" s="120"/>
      <c r="Q101" s="120"/>
      <c r="R101" s="120"/>
      <c r="S101" s="120"/>
      <c r="T101" s="120"/>
      <c r="U101" s="121"/>
      <c r="V101" s="119" t="s">
        <v>463</v>
      </c>
      <c r="W101" s="120"/>
      <c r="X101" s="121"/>
      <c r="Y101" s="95"/>
      <c r="Z101" s="95"/>
      <c r="AA101" s="95"/>
      <c r="AB101" s="95"/>
      <c r="AD101" s="95"/>
      <c r="AE101" s="95"/>
      <c r="AG101" s="95"/>
      <c r="AH101" s="95"/>
      <c r="AI101" s="95"/>
      <c r="AJ101" s="95"/>
      <c r="AK101" s="95"/>
      <c r="AL101" s="95"/>
      <c r="AM101" s="95"/>
      <c r="AN101" s="95"/>
      <c r="AO101" s="95"/>
      <c r="AP101" s="95"/>
      <c r="AQ101" s="95"/>
      <c r="AR101" s="95"/>
      <c r="AS101" s="95"/>
      <c r="AT101" s="95"/>
      <c r="AU101" s="95"/>
      <c r="AV101" s="95"/>
      <c r="AW101" s="95"/>
      <c r="AX101" s="14"/>
    </row>
    <row r="102" spans="1:50" s="79" customFormat="1">
      <c r="A102" s="12"/>
      <c r="D102" s="112"/>
      <c r="E102" s="95"/>
      <c r="F102" s="95"/>
      <c r="G102" s="95"/>
      <c r="H102" s="95"/>
      <c r="I102" s="113"/>
      <c r="J102" s="119" t="s">
        <v>456</v>
      </c>
      <c r="K102" s="120"/>
      <c r="L102" s="120"/>
      <c r="M102" s="120"/>
      <c r="N102" s="121"/>
      <c r="O102" s="119" t="s">
        <v>459</v>
      </c>
      <c r="P102" s="120"/>
      <c r="Q102" s="120"/>
      <c r="R102" s="120"/>
      <c r="S102" s="120"/>
      <c r="T102" s="120"/>
      <c r="U102" s="121"/>
      <c r="V102" s="119" t="s">
        <v>463</v>
      </c>
      <c r="W102" s="120"/>
      <c r="X102" s="121"/>
      <c r="Y102" s="95"/>
      <c r="Z102" s="95"/>
      <c r="AA102" s="95"/>
      <c r="AB102" s="95"/>
      <c r="AD102" s="95"/>
      <c r="AE102" s="95"/>
      <c r="AG102" s="95"/>
      <c r="AH102" s="95"/>
      <c r="AI102" s="95"/>
      <c r="AJ102" s="95"/>
      <c r="AK102" s="95"/>
      <c r="AL102" s="95"/>
      <c r="AM102" s="95"/>
      <c r="AN102" s="95"/>
      <c r="AO102" s="95"/>
      <c r="AP102" s="95"/>
      <c r="AQ102" s="95"/>
      <c r="AR102" s="95"/>
      <c r="AS102" s="95"/>
      <c r="AT102" s="95"/>
      <c r="AU102" s="95"/>
      <c r="AV102" s="95"/>
      <c r="AW102" s="95"/>
      <c r="AX102" s="14"/>
    </row>
    <row r="103" spans="1:50" s="79" customFormat="1">
      <c r="A103" s="12"/>
      <c r="D103" s="112"/>
      <c r="E103" s="95"/>
      <c r="F103" s="95"/>
      <c r="G103" s="95"/>
      <c r="H103" s="95"/>
      <c r="I103" s="113"/>
      <c r="J103" s="119" t="s">
        <v>365</v>
      </c>
      <c r="K103" s="120"/>
      <c r="L103" s="120"/>
      <c r="M103" s="120"/>
      <c r="N103" s="121"/>
      <c r="O103" s="119" t="s">
        <v>458</v>
      </c>
      <c r="P103" s="120"/>
      <c r="Q103" s="120"/>
      <c r="R103" s="120"/>
      <c r="S103" s="120"/>
      <c r="T103" s="120"/>
      <c r="U103" s="121"/>
      <c r="V103" s="119" t="s">
        <v>463</v>
      </c>
      <c r="W103" s="120"/>
      <c r="X103" s="121"/>
      <c r="Y103" s="95"/>
      <c r="Z103" s="95"/>
      <c r="AA103" s="95"/>
      <c r="AB103" s="95"/>
      <c r="AD103" s="95"/>
      <c r="AE103" s="95"/>
      <c r="AG103" s="95"/>
      <c r="AH103" s="95"/>
      <c r="AI103" s="95"/>
      <c r="AJ103" s="95"/>
      <c r="AK103" s="95"/>
      <c r="AL103" s="95"/>
      <c r="AM103" s="95"/>
      <c r="AN103" s="95"/>
      <c r="AO103" s="95"/>
      <c r="AP103" s="95"/>
      <c r="AQ103" s="95"/>
      <c r="AR103" s="95"/>
      <c r="AS103" s="95"/>
      <c r="AT103" s="95"/>
      <c r="AU103" s="95"/>
      <c r="AV103" s="95"/>
      <c r="AW103" s="95"/>
      <c r="AX103" s="14"/>
    </row>
    <row r="104" spans="1:50" s="79" customFormat="1">
      <c r="A104" s="12"/>
      <c r="D104" s="112"/>
      <c r="E104" s="95"/>
      <c r="F104" s="95"/>
      <c r="G104" s="95"/>
      <c r="H104" s="95"/>
      <c r="I104" s="113"/>
      <c r="J104" s="119" t="s">
        <v>487</v>
      </c>
      <c r="K104" s="120"/>
      <c r="L104" s="120"/>
      <c r="M104" s="120"/>
      <c r="N104" s="121"/>
      <c r="O104" s="119" t="s">
        <v>458</v>
      </c>
      <c r="P104" s="120"/>
      <c r="Q104" s="120"/>
      <c r="R104" s="130"/>
      <c r="S104" s="130"/>
      <c r="T104" s="130"/>
      <c r="U104" s="131"/>
      <c r="V104" s="119" t="s">
        <v>463</v>
      </c>
      <c r="W104" s="120"/>
      <c r="X104" s="121"/>
      <c r="Y104" s="95"/>
      <c r="Z104" s="95"/>
      <c r="AA104" s="95"/>
      <c r="AB104" s="95"/>
      <c r="AD104" s="95"/>
      <c r="AE104" s="95"/>
      <c r="AG104" s="95"/>
      <c r="AH104" s="95"/>
      <c r="AI104" s="95"/>
      <c r="AJ104" s="95"/>
      <c r="AK104" s="95"/>
      <c r="AL104" s="95"/>
      <c r="AM104" s="95"/>
      <c r="AN104" s="95"/>
      <c r="AO104" s="95"/>
      <c r="AP104" s="95"/>
      <c r="AQ104" s="95"/>
      <c r="AR104" s="95"/>
      <c r="AS104" s="95"/>
      <c r="AT104" s="95"/>
      <c r="AU104" s="95"/>
      <c r="AV104" s="95"/>
      <c r="AW104" s="95"/>
      <c r="AX104" s="14"/>
    </row>
    <row r="105" spans="1:50" s="79" customFormat="1">
      <c r="A105" s="12"/>
      <c r="D105" s="112"/>
      <c r="E105" s="95"/>
      <c r="F105" s="95"/>
      <c r="G105" s="95"/>
      <c r="H105" s="95"/>
      <c r="I105" s="113"/>
      <c r="J105" s="129" t="s">
        <v>488</v>
      </c>
      <c r="K105" s="130"/>
      <c r="L105" s="130"/>
      <c r="M105" s="130"/>
      <c r="N105" s="131"/>
      <c r="O105" s="119" t="s">
        <v>489</v>
      </c>
      <c r="P105" s="120"/>
      <c r="Q105" s="120"/>
      <c r="R105" s="120"/>
      <c r="S105" s="120"/>
      <c r="T105" s="120"/>
      <c r="U105" s="121"/>
      <c r="V105" s="119" t="s">
        <v>463</v>
      </c>
      <c r="W105" s="120"/>
      <c r="X105" s="121"/>
      <c r="Y105" s="95"/>
      <c r="Z105" s="95"/>
      <c r="AA105" s="95"/>
      <c r="AB105" s="95"/>
      <c r="AD105" s="95"/>
      <c r="AE105" s="95"/>
      <c r="AG105" s="95"/>
      <c r="AH105" s="95"/>
      <c r="AI105" s="95"/>
      <c r="AJ105" s="95"/>
      <c r="AK105" s="95"/>
      <c r="AL105" s="95"/>
      <c r="AM105" s="95"/>
      <c r="AN105" s="95"/>
      <c r="AO105" s="95"/>
      <c r="AP105" s="95"/>
      <c r="AQ105" s="95"/>
      <c r="AR105" s="95"/>
      <c r="AS105" s="95"/>
      <c r="AT105" s="95"/>
      <c r="AU105" s="95"/>
      <c r="AV105" s="95"/>
      <c r="AW105" s="95"/>
      <c r="AX105" s="14"/>
    </row>
    <row r="106" spans="1:50" s="79" customFormat="1">
      <c r="A106" s="12"/>
      <c r="D106" s="112"/>
      <c r="E106" s="95"/>
      <c r="F106" s="95"/>
      <c r="G106" s="95"/>
      <c r="H106" s="95"/>
      <c r="I106" s="113"/>
      <c r="J106" s="116"/>
      <c r="K106" s="117"/>
      <c r="L106" s="117"/>
      <c r="M106" s="117"/>
      <c r="N106" s="133"/>
      <c r="O106" s="119" t="s">
        <v>490</v>
      </c>
      <c r="P106" s="120"/>
      <c r="Q106" s="120"/>
      <c r="R106" s="120"/>
      <c r="S106" s="120"/>
      <c r="T106" s="120"/>
      <c r="U106" s="121"/>
      <c r="V106" s="119" t="s">
        <v>463</v>
      </c>
      <c r="W106" s="120"/>
      <c r="X106" s="121"/>
      <c r="Y106" s="95"/>
      <c r="Z106" s="95"/>
      <c r="AA106" s="95"/>
      <c r="AB106" s="95"/>
      <c r="AD106" s="95"/>
      <c r="AE106" s="95"/>
      <c r="AG106" s="95"/>
      <c r="AH106" s="95"/>
      <c r="AI106" s="95"/>
      <c r="AJ106" s="95"/>
      <c r="AK106" s="95"/>
      <c r="AL106" s="95"/>
      <c r="AM106" s="95"/>
      <c r="AN106" s="95"/>
      <c r="AO106" s="95"/>
      <c r="AP106" s="95"/>
      <c r="AQ106" s="95"/>
      <c r="AR106" s="95"/>
      <c r="AS106" s="95"/>
      <c r="AT106" s="95"/>
      <c r="AU106" s="95"/>
      <c r="AV106" s="95"/>
      <c r="AW106" s="95"/>
      <c r="AX106" s="14"/>
    </row>
    <row r="107" spans="1:50" s="79" customFormat="1">
      <c r="A107" s="12"/>
      <c r="D107" s="115"/>
      <c r="E107" s="44"/>
      <c r="F107" s="44"/>
      <c r="G107" s="44"/>
      <c r="H107" s="44"/>
      <c r="I107" s="132"/>
      <c r="J107" s="109" t="s">
        <v>442</v>
      </c>
      <c r="K107" s="111"/>
      <c r="L107" s="111"/>
      <c r="M107" s="111"/>
      <c r="N107" s="110"/>
      <c r="O107" s="109" t="s">
        <v>465</v>
      </c>
      <c r="P107" s="111"/>
      <c r="Q107" s="111"/>
      <c r="R107" s="111"/>
      <c r="S107" s="111"/>
      <c r="T107" s="111"/>
      <c r="U107" s="110"/>
      <c r="V107" s="109" t="s">
        <v>463</v>
      </c>
      <c r="W107" s="111"/>
      <c r="X107" s="110"/>
      <c r="Y107" s="95"/>
      <c r="Z107" s="95"/>
      <c r="AA107" s="95"/>
      <c r="AB107" s="95"/>
      <c r="AD107" s="95"/>
      <c r="AE107" s="95"/>
      <c r="AG107" s="95"/>
      <c r="AH107" s="95"/>
      <c r="AI107" s="95"/>
      <c r="AJ107" s="95"/>
      <c r="AK107" s="95"/>
      <c r="AL107" s="95"/>
      <c r="AM107" s="95"/>
      <c r="AN107" s="95"/>
      <c r="AO107" s="95"/>
      <c r="AP107" s="95"/>
      <c r="AQ107" s="95"/>
      <c r="AR107" s="95"/>
      <c r="AS107" s="95"/>
      <c r="AT107" s="95"/>
      <c r="AU107" s="95"/>
      <c r="AV107" s="95"/>
      <c r="AW107" s="95"/>
      <c r="AX107" s="14"/>
    </row>
    <row r="108" spans="1:50" s="79" customFormat="1">
      <c r="A108" s="12"/>
      <c r="F108" s="95"/>
      <c r="G108" s="95"/>
      <c r="H108" s="95"/>
      <c r="I108" s="95"/>
      <c r="J108" s="95" t="s">
        <v>464</v>
      </c>
      <c r="K108" s="95"/>
      <c r="L108" s="95"/>
      <c r="M108" s="95"/>
      <c r="N108" s="95"/>
      <c r="O108" s="95"/>
      <c r="P108" s="95"/>
      <c r="Q108" s="95"/>
      <c r="R108" s="95"/>
      <c r="S108" s="95"/>
      <c r="T108" s="95"/>
      <c r="U108" s="95"/>
      <c r="Y108" s="95"/>
      <c r="Z108" s="95"/>
      <c r="AA108" s="95"/>
      <c r="AB108" s="95"/>
      <c r="AC108" s="95"/>
      <c r="AD108" s="95"/>
      <c r="AE108" s="95"/>
      <c r="AG108" s="95"/>
      <c r="AH108" s="95"/>
      <c r="AI108" s="95"/>
      <c r="AJ108" s="95"/>
      <c r="AK108" s="95"/>
      <c r="AL108" s="95"/>
      <c r="AM108" s="95"/>
      <c r="AN108" s="95"/>
      <c r="AO108" s="95"/>
      <c r="AP108" s="95"/>
      <c r="AQ108" s="95"/>
      <c r="AR108" s="95"/>
      <c r="AS108" s="95"/>
      <c r="AT108" s="95"/>
      <c r="AU108" s="95"/>
      <c r="AV108" s="95"/>
      <c r="AW108" s="95"/>
      <c r="AX108" s="14"/>
    </row>
    <row r="109" spans="1:50" s="79" customFormat="1">
      <c r="A109" s="12"/>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c r="AF109" s="95"/>
      <c r="AG109" s="95"/>
      <c r="AH109" s="95"/>
      <c r="AI109" s="95"/>
      <c r="AJ109" s="95"/>
      <c r="AK109" s="95"/>
      <c r="AL109" s="95"/>
      <c r="AM109" s="95"/>
      <c r="AN109" s="95"/>
      <c r="AO109" s="95"/>
      <c r="AP109" s="95"/>
      <c r="AQ109" s="95"/>
      <c r="AR109" s="95"/>
      <c r="AS109" s="95"/>
      <c r="AT109" s="95"/>
      <c r="AU109" s="95"/>
      <c r="AV109" s="95"/>
      <c r="AW109" s="95"/>
      <c r="AX109" s="14"/>
    </row>
    <row r="110" spans="1:50" s="79" customFormat="1">
      <c r="A110" s="12"/>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14"/>
    </row>
    <row r="111" spans="1:50" s="79" customFormat="1">
      <c r="A111" s="12"/>
      <c r="B111" s="15" t="s">
        <v>534</v>
      </c>
      <c r="C111" s="79" t="s">
        <v>524</v>
      </c>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c r="AF111" s="95"/>
      <c r="AG111" s="95"/>
      <c r="AH111" s="95"/>
      <c r="AI111" s="95"/>
      <c r="AJ111" s="95"/>
      <c r="AK111" s="95"/>
      <c r="AL111" s="95"/>
      <c r="AM111" s="95"/>
      <c r="AN111" s="95"/>
      <c r="AO111" s="95"/>
      <c r="AP111" s="95"/>
      <c r="AQ111" s="95"/>
      <c r="AR111" s="95"/>
      <c r="AS111" s="95"/>
      <c r="AT111" s="95"/>
      <c r="AU111" s="95"/>
      <c r="AV111" s="95"/>
      <c r="AW111" s="95"/>
      <c r="AX111" s="14"/>
    </row>
    <row r="112" spans="1:50" s="79" customFormat="1">
      <c r="A112" s="12"/>
      <c r="B112" s="15"/>
      <c r="C112" s="95" t="s">
        <v>525</v>
      </c>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c r="AF112" s="95"/>
      <c r="AG112" s="95"/>
      <c r="AH112" s="95"/>
      <c r="AI112" s="95"/>
      <c r="AJ112" s="95"/>
      <c r="AK112" s="95"/>
      <c r="AL112" s="95"/>
      <c r="AM112" s="95"/>
      <c r="AN112" s="95"/>
      <c r="AO112" s="95"/>
      <c r="AP112" s="95"/>
      <c r="AQ112" s="95"/>
      <c r="AR112" s="95"/>
      <c r="AS112" s="95"/>
      <c r="AT112" s="95"/>
      <c r="AU112" s="95"/>
      <c r="AV112" s="95"/>
      <c r="AW112" s="95"/>
      <c r="AX112" s="14"/>
    </row>
    <row r="113" spans="1:50" s="79" customFormat="1">
      <c r="A113" s="12"/>
      <c r="B113" s="1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c r="AF113" s="95"/>
      <c r="AG113" s="95"/>
      <c r="AH113" s="95"/>
      <c r="AI113" s="95"/>
      <c r="AJ113" s="95"/>
      <c r="AK113" s="95"/>
      <c r="AL113" s="95"/>
      <c r="AM113" s="95"/>
      <c r="AN113" s="95"/>
      <c r="AO113" s="95"/>
      <c r="AP113" s="95"/>
      <c r="AQ113" s="95"/>
      <c r="AR113" s="95"/>
      <c r="AS113" s="95"/>
      <c r="AT113" s="95"/>
      <c r="AU113" s="95"/>
      <c r="AV113" s="95"/>
      <c r="AW113" s="95"/>
      <c r="AX113" s="14"/>
    </row>
    <row r="114" spans="1:50" s="79" customFormat="1">
      <c r="A114" s="12"/>
      <c r="C114" s="79" t="s">
        <v>527</v>
      </c>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14"/>
    </row>
    <row r="115" spans="1:50" s="79" customFormat="1">
      <c r="A115" s="12"/>
      <c r="D115" s="79" t="s">
        <v>581</v>
      </c>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c r="AS115" s="95"/>
      <c r="AT115" s="95"/>
      <c r="AU115" s="95"/>
      <c r="AV115" s="95"/>
      <c r="AW115" s="95"/>
      <c r="AX115" s="14"/>
    </row>
    <row r="116" spans="1:50" s="79" customFormat="1">
      <c r="A116" s="12"/>
      <c r="D116" s="79" t="s">
        <v>526</v>
      </c>
      <c r="E116" s="79" t="s">
        <v>528</v>
      </c>
      <c r="F116" s="95"/>
      <c r="G116" s="95"/>
      <c r="H116" s="95"/>
      <c r="I116" s="95"/>
      <c r="J116" s="95"/>
      <c r="K116" s="95"/>
      <c r="L116" s="95"/>
      <c r="M116" s="95"/>
      <c r="N116" s="95"/>
      <c r="O116" s="95"/>
      <c r="P116" s="95"/>
      <c r="Q116" s="95"/>
      <c r="R116" s="95"/>
      <c r="S116" s="95"/>
      <c r="T116" s="99"/>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14"/>
    </row>
    <row r="117" spans="1:50" s="79" customFormat="1">
      <c r="A117" s="12"/>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5"/>
      <c r="AT117" s="95"/>
      <c r="AU117" s="95"/>
      <c r="AV117" s="95"/>
      <c r="AW117" s="95"/>
      <c r="AX117" s="14"/>
    </row>
    <row r="118" spans="1:50" s="79" customFormat="1">
      <c r="A118" s="12"/>
      <c r="C118" s="79" t="s">
        <v>584</v>
      </c>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5"/>
      <c r="AS118" s="95"/>
      <c r="AT118" s="95"/>
      <c r="AU118" s="95"/>
      <c r="AV118" s="95"/>
      <c r="AW118" s="95"/>
      <c r="AX118" s="14"/>
    </row>
    <row r="119" spans="1:50" s="79" customFormat="1">
      <c r="A119" s="12"/>
      <c r="D119" s="79" t="s">
        <v>583</v>
      </c>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c r="AF119" s="95"/>
      <c r="AG119" s="95"/>
      <c r="AH119" s="95"/>
      <c r="AI119" s="95"/>
      <c r="AJ119" s="95"/>
      <c r="AK119" s="95"/>
      <c r="AL119" s="95"/>
      <c r="AM119" s="95"/>
      <c r="AN119" s="95"/>
      <c r="AO119" s="95"/>
      <c r="AP119" s="95"/>
      <c r="AQ119" s="95"/>
      <c r="AR119" s="95"/>
      <c r="AS119" s="95"/>
      <c r="AT119" s="95"/>
      <c r="AU119" s="95"/>
      <c r="AV119" s="95"/>
      <c r="AW119" s="95"/>
      <c r="AX119" s="14"/>
    </row>
    <row r="120" spans="1:50" s="79" customFormat="1">
      <c r="A120" s="12"/>
      <c r="D120" s="79" t="s">
        <v>62</v>
      </c>
      <c r="E120" s="79" t="s">
        <v>582</v>
      </c>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c r="AF120" s="95"/>
      <c r="AG120" s="95"/>
      <c r="AH120" s="95"/>
      <c r="AI120" s="95"/>
      <c r="AJ120" s="95"/>
      <c r="AK120" s="95"/>
      <c r="AL120" s="95"/>
      <c r="AM120" s="95"/>
      <c r="AN120" s="95"/>
      <c r="AO120" s="95"/>
      <c r="AP120" s="95"/>
      <c r="AQ120" s="95"/>
      <c r="AR120" s="95"/>
      <c r="AS120" s="95"/>
      <c r="AT120" s="95"/>
      <c r="AU120" s="95"/>
      <c r="AV120" s="95"/>
      <c r="AW120" s="95"/>
      <c r="AX120" s="14"/>
    </row>
    <row r="121" spans="1:50" s="79" customFormat="1">
      <c r="A121" s="12"/>
      <c r="E121" s="79" t="s">
        <v>585</v>
      </c>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95"/>
      <c r="AO121" s="95"/>
      <c r="AP121" s="95"/>
      <c r="AQ121" s="95"/>
      <c r="AR121" s="95"/>
      <c r="AS121" s="95"/>
      <c r="AT121" s="95"/>
      <c r="AU121" s="95"/>
      <c r="AV121" s="95"/>
      <c r="AW121" s="95"/>
      <c r="AX121" s="14"/>
    </row>
    <row r="122" spans="1:50" s="79" customFormat="1">
      <c r="A122" s="12"/>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c r="AF122" s="95"/>
      <c r="AG122" s="95"/>
      <c r="AH122" s="95"/>
      <c r="AI122" s="95"/>
      <c r="AJ122" s="95"/>
      <c r="AK122" s="95"/>
      <c r="AL122" s="95"/>
      <c r="AM122" s="95"/>
      <c r="AN122" s="95"/>
      <c r="AO122" s="95"/>
      <c r="AP122" s="95"/>
      <c r="AQ122" s="95"/>
      <c r="AR122" s="95"/>
      <c r="AS122" s="95"/>
      <c r="AT122" s="95"/>
      <c r="AU122" s="95"/>
      <c r="AV122" s="95"/>
      <c r="AW122" s="95"/>
      <c r="AX122" s="14"/>
    </row>
    <row r="123" spans="1:50" s="79" customFormat="1">
      <c r="A123" s="12"/>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c r="AF123" s="95"/>
      <c r="AG123" s="95"/>
      <c r="AH123" s="95"/>
      <c r="AI123" s="95"/>
      <c r="AJ123" s="95"/>
      <c r="AK123" s="95"/>
      <c r="AL123" s="95"/>
      <c r="AM123" s="95"/>
      <c r="AN123" s="95"/>
      <c r="AO123" s="95"/>
      <c r="AP123" s="95"/>
      <c r="AQ123" s="95"/>
      <c r="AR123" s="95"/>
      <c r="AS123" s="95"/>
      <c r="AT123" s="95"/>
      <c r="AU123" s="95"/>
      <c r="AV123" s="95"/>
      <c r="AW123" s="95"/>
      <c r="AX123" s="14"/>
    </row>
    <row r="124" spans="1:50" s="79" customFormat="1">
      <c r="A124" s="12"/>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c r="AF124" s="95"/>
      <c r="AG124" s="95"/>
      <c r="AH124" s="95"/>
      <c r="AI124" s="95"/>
      <c r="AJ124" s="95"/>
      <c r="AK124" s="95"/>
      <c r="AL124" s="95"/>
      <c r="AM124" s="95"/>
      <c r="AN124" s="95"/>
      <c r="AO124" s="95"/>
      <c r="AP124" s="95"/>
      <c r="AQ124" s="95"/>
      <c r="AR124" s="95"/>
      <c r="AS124" s="95"/>
      <c r="AT124" s="95"/>
      <c r="AU124" s="95"/>
      <c r="AV124" s="95"/>
      <c r="AW124" s="95"/>
      <c r="AX124" s="14"/>
    </row>
    <row r="125" spans="1:50" s="79" customFormat="1">
      <c r="A125" s="12"/>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c r="AF125" s="95"/>
      <c r="AG125" s="95"/>
      <c r="AH125" s="95"/>
      <c r="AI125" s="95"/>
      <c r="AJ125" s="95"/>
      <c r="AK125" s="95"/>
      <c r="AL125" s="95"/>
      <c r="AM125" s="95"/>
      <c r="AN125" s="95"/>
      <c r="AO125" s="95"/>
      <c r="AP125" s="95"/>
      <c r="AQ125" s="95"/>
      <c r="AR125" s="95"/>
      <c r="AS125" s="95"/>
      <c r="AT125" s="95"/>
      <c r="AU125" s="95"/>
      <c r="AV125" s="95"/>
      <c r="AW125" s="95"/>
      <c r="AX125" s="14"/>
    </row>
    <row r="126" spans="1:50" ht="12.75" thickBot="1">
      <c r="A126" s="51"/>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3"/>
    </row>
  </sheetData>
  <mergeCells count="25">
    <mergeCell ref="AM1:AP1"/>
    <mergeCell ref="AQ1:AT1"/>
    <mergeCell ref="A1:G3"/>
    <mergeCell ref="H1:K1"/>
    <mergeCell ref="L1:R1"/>
    <mergeCell ref="S1:V1"/>
    <mergeCell ref="W1:AC1"/>
    <mergeCell ref="S3:V3"/>
    <mergeCell ref="W3:AL3"/>
    <mergeCell ref="AU1:AX1"/>
    <mergeCell ref="H2:K2"/>
    <mergeCell ref="L2:R2"/>
    <mergeCell ref="S2:V2"/>
    <mergeCell ref="W2:AC2"/>
    <mergeCell ref="AD2:AG2"/>
    <mergeCell ref="AH2:AL2"/>
    <mergeCell ref="AD1:AG1"/>
    <mergeCell ref="AM2:AP2"/>
    <mergeCell ref="AQ2:AT2"/>
    <mergeCell ref="AU2:AX3"/>
    <mergeCell ref="H3:K3"/>
    <mergeCell ref="L3:R3"/>
    <mergeCell ref="AM3:AP3"/>
    <mergeCell ref="AQ3:AT3"/>
    <mergeCell ref="AH1:AL1"/>
  </mergeCells>
  <phoneticPr fontId="3"/>
  <pageMargins left="0.39370078740157483" right="0.39370078740157483" top="0.51181102362204722" bottom="0.51181102362204722" header="0.31496062992125984" footer="0.31496062992125984"/>
  <pageSetup paperSize="9" fitToHeight="0" orientation="landscape" verticalDpi="200" r:id="rId1"/>
  <headerFooter alignWithMargins="0">
    <oddFooter>&amp;L&amp;A&amp;C&amp;P/&amp;N&amp;R©Toyo Business Engineering Corp.(B-EN-G) / Confidential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CJ150"/>
  <sheetViews>
    <sheetView showGridLines="0" topLeftCell="A43" zoomScale="85" zoomScaleNormal="85" workbookViewId="0">
      <selection activeCell="BK15" sqref="BK15"/>
    </sheetView>
  </sheetViews>
  <sheetFormatPr defaultColWidth="3.5" defaultRowHeight="15.75"/>
  <cols>
    <col min="1" max="16384" width="3.5" style="496"/>
  </cols>
  <sheetData>
    <row r="1" spans="1:88" s="79" customFormat="1" ht="12">
      <c r="A1" s="940" t="s">
        <v>1112</v>
      </c>
      <c r="B1" s="941"/>
      <c r="C1" s="941"/>
      <c r="D1" s="941"/>
      <c r="E1" s="941"/>
      <c r="F1" s="941"/>
      <c r="G1" s="942"/>
      <c r="H1" s="949" t="s">
        <v>2</v>
      </c>
      <c r="I1" s="938"/>
      <c r="J1" s="938"/>
      <c r="K1" s="939"/>
      <c r="L1" s="950" t="s">
        <v>1064</v>
      </c>
      <c r="M1" s="951"/>
      <c r="N1" s="951"/>
      <c r="O1" s="951"/>
      <c r="P1" s="951"/>
      <c r="Q1" s="951"/>
      <c r="R1" s="952"/>
      <c r="S1" s="937" t="s">
        <v>7</v>
      </c>
      <c r="T1" s="938"/>
      <c r="U1" s="938"/>
      <c r="V1" s="939"/>
      <c r="W1" s="950" t="s">
        <v>1061</v>
      </c>
      <c r="X1" s="951"/>
      <c r="Y1" s="951"/>
      <c r="Z1" s="951"/>
      <c r="AA1" s="951"/>
      <c r="AB1" s="951"/>
      <c r="AC1" s="952"/>
      <c r="AD1" s="903" t="s">
        <v>8</v>
      </c>
      <c r="AE1" s="904"/>
      <c r="AF1" s="904"/>
      <c r="AG1" s="953"/>
      <c r="AH1" s="954" t="s">
        <v>1033</v>
      </c>
      <c r="AI1" s="955"/>
      <c r="AJ1" s="955"/>
      <c r="AK1" s="955"/>
      <c r="AL1" s="956"/>
      <c r="AM1" s="903" t="s">
        <v>9</v>
      </c>
      <c r="AN1" s="904"/>
      <c r="AO1" s="904"/>
      <c r="AP1" s="953"/>
      <c r="AQ1" s="900">
        <v>42881</v>
      </c>
      <c r="AR1" s="901"/>
      <c r="AS1" s="901"/>
      <c r="AT1" s="902"/>
      <c r="AU1" s="903" t="s">
        <v>0</v>
      </c>
      <c r="AV1" s="904"/>
      <c r="AW1" s="904"/>
      <c r="AX1" s="905"/>
    </row>
    <row r="2" spans="1:88" s="79" customFormat="1" ht="12">
      <c r="A2" s="943"/>
      <c r="B2" s="944"/>
      <c r="C2" s="944"/>
      <c r="D2" s="944"/>
      <c r="E2" s="944"/>
      <c r="F2" s="944"/>
      <c r="G2" s="945"/>
      <c r="H2" s="906" t="s">
        <v>10</v>
      </c>
      <c r="I2" s="907"/>
      <c r="J2" s="907"/>
      <c r="K2" s="908"/>
      <c r="L2" s="909" t="s">
        <v>1062</v>
      </c>
      <c r="M2" s="910"/>
      <c r="N2" s="910"/>
      <c r="O2" s="910"/>
      <c r="P2" s="910"/>
      <c r="Q2" s="910"/>
      <c r="R2" s="911"/>
      <c r="S2" s="912" t="s">
        <v>41</v>
      </c>
      <c r="T2" s="907"/>
      <c r="U2" s="907"/>
      <c r="V2" s="908"/>
      <c r="W2" s="909" t="s">
        <v>1065</v>
      </c>
      <c r="X2" s="910"/>
      <c r="Y2" s="910"/>
      <c r="Z2" s="910"/>
      <c r="AA2" s="910"/>
      <c r="AB2" s="910"/>
      <c r="AC2" s="911"/>
      <c r="AD2" s="913" t="s">
        <v>11</v>
      </c>
      <c r="AE2" s="914"/>
      <c r="AF2" s="914"/>
      <c r="AG2" s="915"/>
      <c r="AH2" s="916" t="s">
        <v>1033</v>
      </c>
      <c r="AI2" s="917"/>
      <c r="AJ2" s="917"/>
      <c r="AK2" s="917"/>
      <c r="AL2" s="918"/>
      <c r="AM2" s="919" t="s">
        <v>12</v>
      </c>
      <c r="AN2" s="920"/>
      <c r="AO2" s="920"/>
      <c r="AP2" s="921"/>
      <c r="AQ2" s="922">
        <v>43007</v>
      </c>
      <c r="AR2" s="923"/>
      <c r="AS2" s="923"/>
      <c r="AT2" s="923"/>
      <c r="AU2" s="924" t="s">
        <v>1066</v>
      </c>
      <c r="AV2" s="925"/>
      <c r="AW2" s="925"/>
      <c r="AX2" s="926"/>
    </row>
    <row r="3" spans="1:88" s="79" customFormat="1" ht="12.75" thickBot="1">
      <c r="A3" s="946"/>
      <c r="B3" s="947"/>
      <c r="C3" s="947"/>
      <c r="D3" s="947"/>
      <c r="E3" s="947"/>
      <c r="F3" s="947"/>
      <c r="G3" s="948"/>
      <c r="H3" s="930" t="s">
        <v>14</v>
      </c>
      <c r="I3" s="930"/>
      <c r="J3" s="930"/>
      <c r="K3" s="931"/>
      <c r="L3" s="932" t="s">
        <v>1060</v>
      </c>
      <c r="M3" s="933"/>
      <c r="N3" s="933"/>
      <c r="O3" s="933"/>
      <c r="P3" s="933"/>
      <c r="Q3" s="933"/>
      <c r="R3" s="933"/>
      <c r="S3" s="957" t="s">
        <v>15</v>
      </c>
      <c r="T3" s="930"/>
      <c r="U3" s="930"/>
      <c r="V3" s="931"/>
      <c r="W3" s="932" t="s">
        <v>1063</v>
      </c>
      <c r="X3" s="958"/>
      <c r="Y3" s="958"/>
      <c r="Z3" s="958"/>
      <c r="AA3" s="958"/>
      <c r="AB3" s="958"/>
      <c r="AC3" s="958"/>
      <c r="AD3" s="958"/>
      <c r="AE3" s="958"/>
      <c r="AF3" s="958"/>
      <c r="AG3" s="958"/>
      <c r="AH3" s="958"/>
      <c r="AI3" s="958"/>
      <c r="AJ3" s="958"/>
      <c r="AK3" s="958"/>
      <c r="AL3" s="959"/>
      <c r="AM3" s="934" t="s">
        <v>13</v>
      </c>
      <c r="AN3" s="935"/>
      <c r="AO3" s="935"/>
      <c r="AP3" s="936"/>
      <c r="AQ3" s="897" t="s">
        <v>1032</v>
      </c>
      <c r="AR3" s="898"/>
      <c r="AS3" s="898"/>
      <c r="AT3" s="899"/>
      <c r="AU3" s="927"/>
      <c r="AV3" s="928"/>
      <c r="AW3" s="928"/>
      <c r="AX3" s="929"/>
    </row>
    <row r="4" spans="1:88" ht="16.5" thickBot="1"/>
    <row r="5" spans="1:88" s="79" customFormat="1" ht="12.75" thickBot="1">
      <c r="A5" s="67" t="s">
        <v>1112</v>
      </c>
      <c r="B5" s="6"/>
      <c r="C5" s="7"/>
      <c r="D5" s="7"/>
      <c r="E5" s="7"/>
      <c r="F5" s="7"/>
      <c r="G5" s="7"/>
      <c r="H5" s="7"/>
      <c r="I5" s="7"/>
      <c r="J5" s="7"/>
      <c r="K5" s="7"/>
      <c r="L5" s="7"/>
      <c r="M5" s="7"/>
      <c r="N5" s="7"/>
      <c r="O5" s="7"/>
      <c r="P5" s="7"/>
      <c r="Q5" s="7"/>
      <c r="R5" s="7"/>
      <c r="S5" s="7"/>
      <c r="T5" s="7"/>
      <c r="U5" s="7"/>
      <c r="V5" s="7"/>
      <c r="W5" s="7"/>
      <c r="X5" s="7"/>
      <c r="Y5" s="68"/>
      <c r="Z5" s="7"/>
      <c r="AA5" s="7"/>
      <c r="AB5" s="7"/>
      <c r="AC5" s="7"/>
      <c r="AD5" s="7"/>
      <c r="AE5" s="7"/>
      <c r="AF5" s="7"/>
      <c r="AG5" s="7"/>
      <c r="AH5" s="7"/>
      <c r="AI5" s="7"/>
      <c r="AJ5" s="7"/>
      <c r="AK5" s="7"/>
      <c r="AL5" s="7"/>
      <c r="AM5" s="7"/>
      <c r="AN5" s="7"/>
      <c r="AO5" s="7"/>
      <c r="AP5" s="7"/>
      <c r="AQ5" s="7"/>
      <c r="AR5" s="7"/>
      <c r="AS5" s="7"/>
      <c r="AT5" s="7"/>
      <c r="AU5" s="7"/>
      <c r="AV5" s="7"/>
      <c r="AW5" s="1005"/>
      <c r="AX5" s="1006"/>
    </row>
    <row r="6" spans="1:88" ht="16.5" thickTop="1">
      <c r="B6" s="738"/>
      <c r="C6" s="739"/>
      <c r="D6" s="739"/>
      <c r="E6" s="739"/>
      <c r="F6" s="739"/>
      <c r="G6" s="739"/>
      <c r="H6" s="739"/>
      <c r="I6" s="739"/>
      <c r="J6" s="739"/>
      <c r="K6" s="739"/>
      <c r="L6" s="739"/>
      <c r="M6" s="739"/>
      <c r="N6" s="739"/>
      <c r="O6" s="739"/>
      <c r="P6" s="739"/>
      <c r="Q6" s="739"/>
      <c r="R6" s="739"/>
      <c r="S6" s="739"/>
      <c r="T6" s="739"/>
      <c r="U6" s="739"/>
      <c r="V6" s="739"/>
      <c r="W6" s="739"/>
      <c r="X6" s="739"/>
      <c r="Y6" s="739"/>
      <c r="Z6" s="739"/>
      <c r="AA6" s="739"/>
      <c r="AB6" s="739"/>
      <c r="AC6" s="739"/>
      <c r="AD6" s="739"/>
      <c r="AE6" s="739"/>
      <c r="AF6" s="739"/>
      <c r="AG6" s="739"/>
      <c r="AH6" s="739"/>
      <c r="AI6" s="739"/>
      <c r="AJ6" s="739"/>
      <c r="AK6" s="739"/>
      <c r="AL6" s="739"/>
      <c r="AM6" s="739"/>
      <c r="AN6" s="739"/>
      <c r="AO6" s="739"/>
      <c r="AP6" s="739"/>
      <c r="AQ6" s="739"/>
      <c r="AR6" s="739"/>
      <c r="AS6" s="739"/>
      <c r="AT6" s="739"/>
      <c r="AU6" s="739"/>
      <c r="AV6" s="739"/>
      <c r="AW6" s="739"/>
      <c r="AX6" s="740"/>
    </row>
    <row r="7" spans="1:88" ht="12" customHeight="1">
      <c r="B7" s="738"/>
      <c r="C7" s="739"/>
      <c r="D7" s="739"/>
      <c r="E7" s="739"/>
      <c r="F7" s="739"/>
      <c r="G7" s="739"/>
      <c r="H7" s="739"/>
      <c r="I7" s="739"/>
      <c r="J7" s="739"/>
      <c r="K7" s="739"/>
      <c r="L7" s="739"/>
      <c r="M7" s="739"/>
      <c r="N7" s="739"/>
      <c r="O7" s="739"/>
      <c r="P7" s="739"/>
      <c r="Q7" s="739"/>
      <c r="R7" s="739"/>
      <c r="S7" s="739"/>
      <c r="T7" s="739"/>
      <c r="U7" s="739"/>
      <c r="V7" s="739"/>
      <c r="W7" s="739"/>
      <c r="X7" s="739"/>
      <c r="Y7" s="739"/>
      <c r="Z7" s="739"/>
      <c r="AA7" s="739"/>
      <c r="AB7" s="739"/>
      <c r="AC7" s="739"/>
      <c r="AD7" s="739"/>
      <c r="AE7" s="739"/>
      <c r="AF7" s="739"/>
      <c r="AG7" s="739"/>
      <c r="AH7" s="739"/>
      <c r="AI7" s="739"/>
      <c r="AJ7" s="739"/>
      <c r="AK7" s="739"/>
      <c r="AL7" s="739"/>
      <c r="AM7" s="739"/>
      <c r="AN7" s="739"/>
      <c r="AO7" s="739"/>
      <c r="AP7" s="739"/>
      <c r="AQ7" s="739"/>
      <c r="AR7" s="739"/>
      <c r="AS7" s="739"/>
      <c r="AT7" s="739"/>
      <c r="AU7" s="739"/>
      <c r="AV7" s="739"/>
      <c r="AW7" s="739"/>
      <c r="AX7" s="740"/>
    </row>
    <row r="8" spans="1:88" s="100" customFormat="1" ht="12" customHeight="1">
      <c r="A8" s="46"/>
      <c r="B8" s="46"/>
      <c r="C8" s="97"/>
      <c r="D8" s="97"/>
      <c r="E8" s="97"/>
      <c r="F8" s="97"/>
      <c r="G8" s="97"/>
      <c r="H8" s="97"/>
      <c r="I8" s="97"/>
      <c r="J8" s="97"/>
      <c r="K8" s="97"/>
      <c r="L8" s="97"/>
      <c r="M8" s="97"/>
      <c r="N8" s="97"/>
      <c r="O8" s="97"/>
      <c r="P8" s="97"/>
      <c r="Q8" s="741"/>
      <c r="R8" s="97"/>
      <c r="S8" s="97"/>
      <c r="T8" s="97"/>
      <c r="U8" s="97"/>
      <c r="V8" s="97"/>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742"/>
      <c r="BC8" s="97"/>
      <c r="BD8" s="97"/>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496"/>
      <c r="CH8" s="496"/>
      <c r="CI8" s="496"/>
    </row>
    <row r="9" spans="1:88" ht="12" customHeight="1">
      <c r="B9" s="738"/>
      <c r="C9" s="739"/>
      <c r="D9" s="743" t="s">
        <v>1113</v>
      </c>
      <c r="E9" s="743" t="s">
        <v>1114</v>
      </c>
      <c r="F9" s="743"/>
      <c r="G9" s="739"/>
      <c r="H9" s="739"/>
      <c r="I9" s="739"/>
      <c r="J9" s="739"/>
      <c r="K9" s="739"/>
      <c r="L9" s="739"/>
      <c r="M9" s="739"/>
      <c r="N9" s="739"/>
      <c r="O9" s="739"/>
      <c r="P9" s="739"/>
      <c r="Q9" s="739"/>
      <c r="R9" s="739"/>
      <c r="S9" s="739"/>
      <c r="T9" s="739"/>
      <c r="U9" s="739"/>
      <c r="V9" s="739"/>
      <c r="W9" s="739"/>
      <c r="X9" s="739"/>
      <c r="Y9" s="739"/>
      <c r="Z9" s="739"/>
      <c r="AA9" s="739"/>
      <c r="AB9" s="739"/>
      <c r="AC9" s="739"/>
      <c r="AD9" s="739"/>
      <c r="AE9" s="739"/>
      <c r="AF9" s="739"/>
      <c r="AG9" s="739"/>
      <c r="AH9" s="739"/>
      <c r="AI9" s="739"/>
      <c r="AJ9" s="739"/>
      <c r="AK9" s="739"/>
      <c r="AL9" s="739"/>
      <c r="AM9" s="739"/>
      <c r="AN9" s="739"/>
      <c r="AO9" s="739"/>
      <c r="AP9" s="739"/>
      <c r="AQ9" s="739"/>
      <c r="AR9" s="739"/>
      <c r="AS9" s="739"/>
      <c r="AT9" s="739"/>
      <c r="AU9" s="739"/>
      <c r="AV9" s="739"/>
      <c r="AW9" s="739"/>
      <c r="AX9" s="740"/>
      <c r="CJ9" s="100"/>
    </row>
    <row r="10" spans="1:88" ht="12" customHeight="1">
      <c r="B10" s="738"/>
      <c r="C10" s="739"/>
      <c r="D10" s="739"/>
      <c r="E10" s="739"/>
      <c r="F10" s="739"/>
      <c r="G10" s="739"/>
      <c r="H10" s="739"/>
      <c r="I10" s="739"/>
      <c r="J10" s="739"/>
      <c r="K10" s="739"/>
      <c r="L10" s="739"/>
      <c r="M10" s="739"/>
      <c r="N10" s="739"/>
      <c r="O10" s="739"/>
      <c r="P10" s="739"/>
      <c r="Q10" s="739"/>
      <c r="R10" s="739"/>
      <c r="S10" s="739"/>
      <c r="T10" s="739"/>
      <c r="U10" s="739"/>
      <c r="V10" s="739"/>
      <c r="W10" s="739"/>
      <c r="X10" s="739"/>
      <c r="Y10" s="739"/>
      <c r="Z10" s="739"/>
      <c r="AA10" s="739"/>
      <c r="AB10" s="739"/>
      <c r="AC10" s="739"/>
      <c r="AD10" s="739"/>
      <c r="AE10" s="739"/>
      <c r="AF10" s="739"/>
      <c r="AG10" s="739"/>
      <c r="AH10" s="739"/>
      <c r="AI10" s="739"/>
      <c r="AJ10" s="739"/>
      <c r="AK10" s="739"/>
      <c r="AL10" s="739"/>
      <c r="AM10" s="739"/>
      <c r="AN10" s="739"/>
      <c r="AO10" s="739"/>
      <c r="AP10" s="739"/>
      <c r="AQ10" s="739"/>
      <c r="AR10" s="739"/>
      <c r="AS10" s="739"/>
      <c r="AT10" s="739"/>
      <c r="AU10" s="739"/>
      <c r="AV10" s="739"/>
      <c r="AW10" s="739"/>
      <c r="AX10" s="740"/>
    </row>
    <row r="11" spans="1:88" ht="12" customHeight="1">
      <c r="B11" s="738"/>
      <c r="C11" s="739"/>
      <c r="D11" s="739"/>
      <c r="E11" s="739"/>
      <c r="F11" s="739"/>
      <c r="G11" s="739"/>
      <c r="H11" s="739"/>
      <c r="I11" s="739"/>
      <c r="J11" s="739"/>
      <c r="K11" s="739"/>
      <c r="L11" s="739"/>
      <c r="M11" s="739"/>
      <c r="N11" s="739"/>
      <c r="O11" s="739"/>
      <c r="P11" s="739"/>
      <c r="Q11" s="739"/>
      <c r="R11" s="739"/>
      <c r="S11" s="739"/>
      <c r="T11" s="739"/>
      <c r="U11" s="739"/>
      <c r="V11" s="739"/>
      <c r="W11" s="739"/>
      <c r="X11" s="739"/>
      <c r="Y11" s="739"/>
      <c r="Z11" s="739"/>
      <c r="AA11" s="739"/>
      <c r="AB11" s="739"/>
      <c r="AC11" s="739"/>
      <c r="AD11" s="739"/>
      <c r="AE11" s="739"/>
      <c r="AF11" s="739"/>
      <c r="AG11" s="739"/>
      <c r="AH11" s="739"/>
      <c r="AI11" s="739"/>
      <c r="AJ11" s="739"/>
      <c r="AK11" s="739"/>
      <c r="AL11" s="739"/>
      <c r="AM11" s="739"/>
      <c r="AN11" s="739"/>
      <c r="AO11" s="739"/>
      <c r="AP11" s="739"/>
      <c r="AQ11" s="739"/>
      <c r="AR11" s="739"/>
      <c r="AS11" s="739"/>
      <c r="AT11" s="739"/>
      <c r="AU11" s="739"/>
      <c r="AV11" s="739"/>
      <c r="AW11" s="739"/>
      <c r="AX11" s="740"/>
    </row>
    <row r="12" spans="1:88" ht="12" customHeight="1">
      <c r="B12" s="738"/>
      <c r="C12" s="739"/>
      <c r="D12" s="739"/>
      <c r="E12" s="739"/>
      <c r="F12" s="739"/>
      <c r="G12" s="739"/>
      <c r="H12" s="739"/>
      <c r="I12" s="739"/>
      <c r="J12" s="739"/>
      <c r="K12" s="739"/>
      <c r="L12" s="739"/>
      <c r="M12" s="739"/>
      <c r="N12" s="739"/>
      <c r="O12" s="739"/>
      <c r="P12" s="739"/>
      <c r="Q12" s="739"/>
      <c r="R12" s="739"/>
      <c r="S12" s="739"/>
      <c r="T12" s="739"/>
      <c r="U12" s="739"/>
      <c r="V12" s="739"/>
      <c r="W12" s="739"/>
      <c r="X12" s="739"/>
      <c r="Y12" s="739"/>
      <c r="Z12" s="739"/>
      <c r="AA12" s="739"/>
      <c r="AB12" s="739"/>
      <c r="AC12" s="739"/>
      <c r="AD12" s="739"/>
      <c r="AE12" s="739"/>
      <c r="AF12" s="739"/>
      <c r="AG12" s="739"/>
      <c r="AH12" s="739"/>
      <c r="AI12" s="739"/>
      <c r="AJ12" s="739"/>
      <c r="AK12" s="739"/>
      <c r="AL12" s="739"/>
      <c r="AM12" s="739"/>
      <c r="AN12" s="739"/>
      <c r="AO12" s="739"/>
      <c r="AP12" s="739"/>
      <c r="AQ12" s="739"/>
      <c r="AR12" s="739"/>
      <c r="AS12" s="739"/>
      <c r="AT12" s="739"/>
      <c r="AU12" s="739"/>
      <c r="AV12" s="739"/>
      <c r="AW12" s="739"/>
      <c r="AX12" s="740"/>
    </row>
    <row r="13" spans="1:88" ht="12" customHeight="1">
      <c r="B13" s="738"/>
      <c r="C13" s="739"/>
      <c r="D13" s="739"/>
      <c r="E13" s="739"/>
      <c r="F13" s="739"/>
      <c r="G13" s="739"/>
      <c r="H13" s="739"/>
      <c r="I13" s="739"/>
      <c r="J13" s="739"/>
      <c r="K13" s="739"/>
      <c r="L13" s="739"/>
      <c r="M13" s="739"/>
      <c r="N13" s="739"/>
      <c r="O13" s="739"/>
      <c r="P13" s="739"/>
      <c r="Q13" s="739"/>
      <c r="R13" s="739"/>
      <c r="S13" s="739"/>
      <c r="T13" s="739"/>
      <c r="U13" s="739"/>
      <c r="V13" s="739"/>
      <c r="W13" s="739"/>
      <c r="X13" s="739"/>
      <c r="Y13" s="739"/>
      <c r="Z13" s="739"/>
      <c r="AA13" s="739"/>
      <c r="AB13" s="739"/>
      <c r="AC13" s="739"/>
      <c r="AD13" s="739"/>
      <c r="AE13" s="739"/>
      <c r="AF13" s="739"/>
      <c r="AG13" s="739"/>
      <c r="AH13" s="739"/>
      <c r="AI13" s="739"/>
      <c r="AJ13" s="739"/>
      <c r="AK13" s="739"/>
      <c r="AL13" s="739"/>
      <c r="AM13" s="739"/>
      <c r="AN13" s="739"/>
      <c r="AO13" s="739"/>
      <c r="AP13" s="739"/>
      <c r="AQ13" s="739"/>
      <c r="AR13" s="739"/>
      <c r="AS13" s="739"/>
      <c r="AT13" s="739"/>
      <c r="AU13" s="739"/>
      <c r="AV13" s="739"/>
      <c r="AW13" s="739"/>
      <c r="AX13" s="740"/>
    </row>
    <row r="14" spans="1:88" ht="12" customHeight="1">
      <c r="B14" s="738"/>
      <c r="C14" s="739"/>
      <c r="D14" s="739"/>
      <c r="E14" s="739"/>
      <c r="F14" s="739"/>
      <c r="G14" s="739"/>
      <c r="H14" s="739"/>
      <c r="I14" s="739"/>
      <c r="J14" s="739"/>
      <c r="K14" s="739"/>
      <c r="L14" s="739"/>
      <c r="M14" s="739"/>
      <c r="N14" s="739"/>
      <c r="O14" s="739"/>
      <c r="P14" s="739"/>
      <c r="Q14" s="739"/>
      <c r="R14" s="739"/>
      <c r="S14" s="739"/>
      <c r="T14" s="739"/>
      <c r="U14" s="739"/>
      <c r="V14" s="739"/>
      <c r="W14" s="739"/>
      <c r="X14" s="739"/>
      <c r="Y14" s="739"/>
      <c r="Z14" s="739"/>
      <c r="AA14" s="739"/>
      <c r="AB14" s="739"/>
      <c r="AC14" s="739"/>
      <c r="AD14" s="739"/>
      <c r="AE14" s="739"/>
      <c r="AF14" s="739"/>
      <c r="AG14" s="739"/>
      <c r="AH14" s="739"/>
      <c r="AI14" s="739"/>
      <c r="AJ14" s="739"/>
      <c r="AK14" s="739"/>
      <c r="AL14" s="739"/>
      <c r="AM14" s="739"/>
      <c r="AN14" s="739"/>
      <c r="AO14" s="739"/>
      <c r="AP14" s="739"/>
      <c r="AQ14" s="739"/>
      <c r="AR14" s="739"/>
      <c r="AS14" s="739"/>
      <c r="AT14" s="739"/>
      <c r="AU14" s="739"/>
      <c r="AV14" s="739"/>
      <c r="AW14" s="739"/>
      <c r="AX14" s="740"/>
    </row>
    <row r="15" spans="1:88" ht="12" customHeight="1">
      <c r="B15" s="738"/>
      <c r="C15" s="739"/>
      <c r="D15" s="739"/>
      <c r="E15" s="739"/>
      <c r="F15" s="739"/>
      <c r="G15" s="739"/>
      <c r="H15" s="739"/>
      <c r="I15" s="739"/>
      <c r="J15" s="739"/>
      <c r="K15" s="739"/>
      <c r="L15" s="739"/>
      <c r="M15" s="739"/>
      <c r="N15" s="739"/>
      <c r="O15" s="739"/>
      <c r="P15" s="739"/>
      <c r="Q15" s="739"/>
      <c r="R15" s="739"/>
      <c r="S15" s="739"/>
      <c r="T15" s="739"/>
      <c r="U15" s="739"/>
      <c r="V15" s="739"/>
      <c r="W15" s="739"/>
      <c r="X15" s="739"/>
      <c r="Y15" s="739"/>
      <c r="Z15" s="739"/>
      <c r="AA15" s="739"/>
      <c r="AB15" s="739"/>
      <c r="AC15" s="739"/>
      <c r="AD15" s="739"/>
      <c r="AE15" s="739"/>
      <c r="AF15" s="739"/>
      <c r="AG15" s="739"/>
      <c r="AH15" s="739"/>
      <c r="AI15" s="739"/>
      <c r="AJ15" s="739"/>
      <c r="AK15" s="739"/>
      <c r="AL15" s="739"/>
      <c r="AM15" s="739"/>
      <c r="AN15" s="739"/>
      <c r="AO15" s="739"/>
      <c r="AP15" s="739"/>
      <c r="AQ15" s="739"/>
      <c r="AR15" s="739"/>
      <c r="AS15" s="739"/>
      <c r="AT15" s="739"/>
      <c r="AU15" s="739"/>
      <c r="AV15" s="739"/>
      <c r="AW15" s="739"/>
      <c r="AX15" s="740"/>
    </row>
    <row r="16" spans="1:88" ht="12" customHeight="1">
      <c r="B16" s="738"/>
      <c r="C16" s="739"/>
      <c r="D16" s="739"/>
      <c r="E16" s="739"/>
      <c r="F16" s="739"/>
      <c r="G16" s="739"/>
      <c r="H16" s="739"/>
      <c r="I16" s="739"/>
      <c r="J16" s="739"/>
      <c r="K16" s="739"/>
      <c r="L16" s="739"/>
      <c r="M16" s="739"/>
      <c r="N16" s="739"/>
      <c r="O16" s="739"/>
      <c r="P16" s="739"/>
      <c r="Q16" s="739"/>
      <c r="R16" s="739"/>
      <c r="S16" s="739"/>
      <c r="T16" s="739"/>
      <c r="U16" s="739"/>
      <c r="V16" s="739"/>
      <c r="W16" s="739"/>
      <c r="X16" s="739"/>
      <c r="Y16" s="739"/>
      <c r="Z16" s="739"/>
      <c r="AA16" s="739"/>
      <c r="AB16" s="739"/>
      <c r="AC16" s="739"/>
      <c r="AD16" s="739"/>
      <c r="AE16" s="739"/>
      <c r="AF16" s="739"/>
      <c r="AG16" s="739"/>
      <c r="AH16" s="739"/>
      <c r="AI16" s="739"/>
      <c r="AJ16" s="739"/>
      <c r="AK16" s="739"/>
      <c r="AL16" s="739"/>
      <c r="AM16" s="739"/>
      <c r="AN16" s="739"/>
      <c r="AO16" s="739"/>
      <c r="AP16" s="739"/>
      <c r="AQ16" s="739"/>
      <c r="AR16" s="739"/>
      <c r="AS16" s="739"/>
      <c r="AT16" s="739"/>
      <c r="AU16" s="739"/>
      <c r="AV16" s="739"/>
      <c r="AW16" s="739"/>
      <c r="AX16" s="740"/>
    </row>
    <row r="17" spans="2:50" ht="12" customHeight="1">
      <c r="B17" s="738"/>
      <c r="C17" s="739"/>
      <c r="D17" s="739"/>
      <c r="E17" s="739"/>
      <c r="F17" s="739"/>
      <c r="G17" s="739"/>
      <c r="H17" s="739"/>
      <c r="I17" s="739"/>
      <c r="J17" s="739"/>
      <c r="K17" s="739"/>
      <c r="L17" s="739"/>
      <c r="M17" s="739"/>
      <c r="N17" s="739"/>
      <c r="O17" s="739"/>
      <c r="P17" s="739"/>
      <c r="Q17" s="739"/>
      <c r="R17" s="739"/>
      <c r="S17" s="739"/>
      <c r="T17" s="739"/>
      <c r="U17" s="739"/>
      <c r="V17" s="739"/>
      <c r="W17" s="739"/>
      <c r="X17" s="739"/>
      <c r="Y17" s="739"/>
      <c r="Z17" s="739"/>
      <c r="AA17" s="739"/>
      <c r="AB17" s="739"/>
      <c r="AC17" s="739"/>
      <c r="AD17" s="739"/>
      <c r="AE17" s="739"/>
      <c r="AF17" s="739"/>
      <c r="AG17" s="739"/>
      <c r="AH17" s="739"/>
      <c r="AI17" s="739"/>
      <c r="AJ17" s="739"/>
      <c r="AK17" s="739"/>
      <c r="AL17" s="739"/>
      <c r="AM17" s="739"/>
      <c r="AN17" s="739"/>
      <c r="AO17" s="739"/>
      <c r="AP17" s="739"/>
      <c r="AQ17" s="739"/>
      <c r="AR17" s="739"/>
      <c r="AS17" s="739"/>
      <c r="AT17" s="739"/>
      <c r="AU17" s="739"/>
      <c r="AV17" s="739"/>
      <c r="AW17" s="739"/>
      <c r="AX17" s="740"/>
    </row>
    <row r="18" spans="2:50" ht="12" customHeight="1">
      <c r="B18" s="738"/>
      <c r="C18" s="739"/>
      <c r="D18" s="739"/>
      <c r="E18" s="739"/>
      <c r="F18" s="739"/>
      <c r="G18" s="739"/>
      <c r="H18" s="739"/>
      <c r="I18" s="739"/>
      <c r="J18" s="739"/>
      <c r="K18" s="739"/>
      <c r="L18" s="739"/>
      <c r="M18" s="739"/>
      <c r="N18" s="739"/>
      <c r="O18" s="739"/>
      <c r="P18" s="739"/>
      <c r="Q18" s="739"/>
      <c r="R18" s="739"/>
      <c r="S18" s="739"/>
      <c r="T18" s="739"/>
      <c r="U18" s="739"/>
      <c r="V18" s="739"/>
      <c r="W18" s="739"/>
      <c r="X18" s="739"/>
      <c r="Y18" s="739"/>
      <c r="Z18" s="739"/>
      <c r="AA18" s="739"/>
      <c r="AB18" s="739"/>
      <c r="AC18" s="739"/>
      <c r="AD18" s="739"/>
      <c r="AE18" s="739"/>
      <c r="AF18" s="739"/>
      <c r="AG18" s="739"/>
      <c r="AH18" s="739"/>
      <c r="AI18" s="739"/>
      <c r="AJ18" s="739"/>
      <c r="AK18" s="739"/>
      <c r="AL18" s="739"/>
      <c r="AM18" s="739"/>
      <c r="AN18" s="739"/>
      <c r="AO18" s="739"/>
      <c r="AP18" s="739"/>
      <c r="AQ18" s="739"/>
      <c r="AR18" s="739"/>
      <c r="AS18" s="739"/>
      <c r="AT18" s="739"/>
      <c r="AU18" s="739"/>
      <c r="AV18" s="739"/>
      <c r="AW18" s="739"/>
      <c r="AX18" s="740"/>
    </row>
    <row r="19" spans="2:50" ht="12" customHeight="1">
      <c r="B19" s="738"/>
      <c r="C19" s="739"/>
      <c r="D19" s="739"/>
      <c r="E19" s="739"/>
      <c r="F19" s="739"/>
      <c r="G19" s="739"/>
      <c r="H19" s="739"/>
      <c r="I19" s="739"/>
      <c r="J19" s="739"/>
      <c r="K19" s="739"/>
      <c r="L19" s="739"/>
      <c r="M19" s="739"/>
      <c r="N19" s="739"/>
      <c r="O19" s="739"/>
      <c r="P19" s="739"/>
      <c r="Q19" s="739"/>
      <c r="R19" s="739"/>
      <c r="S19" s="739"/>
      <c r="T19" s="739"/>
      <c r="U19" s="739"/>
      <c r="V19" s="739"/>
      <c r="W19" s="739"/>
      <c r="X19" s="739"/>
      <c r="Y19" s="739"/>
      <c r="Z19" s="739"/>
      <c r="AA19" s="739"/>
      <c r="AB19" s="739"/>
      <c r="AC19" s="739"/>
      <c r="AD19" s="739"/>
      <c r="AE19" s="739"/>
      <c r="AF19" s="739"/>
      <c r="AG19" s="739"/>
      <c r="AH19" s="739"/>
      <c r="AI19" s="739"/>
      <c r="AJ19" s="739"/>
      <c r="AK19" s="739"/>
      <c r="AL19" s="739"/>
      <c r="AM19" s="739"/>
      <c r="AN19" s="739"/>
      <c r="AO19" s="739"/>
      <c r="AP19" s="739"/>
      <c r="AQ19" s="739"/>
      <c r="AR19" s="739"/>
      <c r="AS19" s="739"/>
      <c r="AT19" s="739"/>
      <c r="AU19" s="739"/>
      <c r="AV19" s="739"/>
      <c r="AW19" s="739"/>
      <c r="AX19" s="740"/>
    </row>
    <row r="20" spans="2:50" ht="12" customHeight="1">
      <c r="B20" s="738"/>
      <c r="C20" s="739"/>
      <c r="D20" s="739"/>
      <c r="E20" s="739"/>
      <c r="F20" s="739"/>
      <c r="G20" s="739"/>
      <c r="H20" s="739"/>
      <c r="I20" s="739"/>
      <c r="J20" s="739"/>
      <c r="K20" s="739"/>
      <c r="L20" s="739"/>
      <c r="M20" s="739"/>
      <c r="N20" s="739"/>
      <c r="O20" s="739"/>
      <c r="P20" s="739"/>
      <c r="Q20" s="739"/>
      <c r="R20" s="739"/>
      <c r="S20" s="739"/>
      <c r="T20" s="739"/>
      <c r="U20" s="739"/>
      <c r="V20" s="739"/>
      <c r="W20" s="739"/>
      <c r="X20" s="739"/>
      <c r="Y20" s="739"/>
      <c r="Z20" s="739"/>
      <c r="AA20" s="739"/>
      <c r="AB20" s="739"/>
      <c r="AC20" s="739"/>
      <c r="AD20" s="739"/>
      <c r="AE20" s="739"/>
      <c r="AF20" s="739"/>
      <c r="AG20" s="739"/>
      <c r="AH20" s="739"/>
      <c r="AI20" s="739"/>
      <c r="AJ20" s="739"/>
      <c r="AK20" s="739"/>
      <c r="AL20" s="739"/>
      <c r="AM20" s="739"/>
      <c r="AN20" s="739"/>
      <c r="AO20" s="739"/>
      <c r="AP20" s="739"/>
      <c r="AQ20" s="739"/>
      <c r="AR20" s="739"/>
      <c r="AS20" s="739"/>
      <c r="AT20" s="739"/>
      <c r="AU20" s="739"/>
      <c r="AV20" s="739"/>
      <c r="AW20" s="739"/>
      <c r="AX20" s="740"/>
    </row>
    <row r="21" spans="2:50" ht="12" customHeight="1">
      <c r="B21" s="738"/>
      <c r="C21" s="739"/>
      <c r="D21" s="739"/>
      <c r="E21" s="739"/>
      <c r="F21" s="739"/>
      <c r="G21" s="739"/>
      <c r="H21" s="739"/>
      <c r="I21" s="739"/>
      <c r="J21" s="739"/>
      <c r="K21" s="739"/>
      <c r="L21" s="739"/>
      <c r="M21" s="739"/>
      <c r="N21" s="739"/>
      <c r="O21" s="739"/>
      <c r="P21" s="739"/>
      <c r="Q21" s="739"/>
      <c r="R21" s="739"/>
      <c r="S21" s="739"/>
      <c r="T21" s="739"/>
      <c r="U21" s="739"/>
      <c r="V21" s="739"/>
      <c r="W21" s="739"/>
      <c r="X21" s="739"/>
      <c r="Y21" s="739"/>
      <c r="Z21" s="739"/>
      <c r="AA21" s="739"/>
      <c r="AB21" s="739"/>
      <c r="AC21" s="739"/>
      <c r="AD21" s="739"/>
      <c r="AE21" s="739"/>
      <c r="AF21" s="739"/>
      <c r="AG21" s="739"/>
      <c r="AH21" s="739"/>
      <c r="AI21" s="739"/>
      <c r="AJ21" s="739"/>
      <c r="AK21" s="739"/>
      <c r="AL21" s="739"/>
      <c r="AM21" s="739"/>
      <c r="AN21" s="739"/>
      <c r="AO21" s="739"/>
      <c r="AP21" s="739"/>
      <c r="AQ21" s="739"/>
      <c r="AR21" s="739"/>
      <c r="AS21" s="739"/>
      <c r="AT21" s="739"/>
      <c r="AU21" s="739"/>
      <c r="AV21" s="739"/>
      <c r="AW21" s="739"/>
      <c r="AX21" s="740"/>
    </row>
    <row r="22" spans="2:50" ht="12" customHeight="1">
      <c r="B22" s="738"/>
      <c r="C22" s="739"/>
      <c r="D22" s="739"/>
      <c r="E22" s="739"/>
      <c r="F22" s="739"/>
      <c r="G22" s="739"/>
      <c r="H22" s="739"/>
      <c r="I22" s="739"/>
      <c r="J22" s="739"/>
      <c r="K22" s="739"/>
      <c r="L22" s="739"/>
      <c r="M22" s="739"/>
      <c r="N22" s="739"/>
      <c r="O22" s="739"/>
      <c r="P22" s="739"/>
      <c r="Q22" s="739"/>
      <c r="R22" s="739"/>
      <c r="S22" s="739"/>
      <c r="T22" s="739"/>
      <c r="U22" s="739"/>
      <c r="V22" s="739"/>
      <c r="W22" s="739"/>
      <c r="X22" s="739"/>
      <c r="Y22" s="739"/>
      <c r="Z22" s="739"/>
      <c r="AA22" s="739"/>
      <c r="AB22" s="739"/>
      <c r="AC22" s="739"/>
      <c r="AD22" s="739"/>
      <c r="AE22" s="739"/>
      <c r="AF22" s="739"/>
      <c r="AG22" s="739"/>
      <c r="AH22" s="739"/>
      <c r="AI22" s="739"/>
      <c r="AJ22" s="739"/>
      <c r="AK22" s="739"/>
      <c r="AL22" s="739"/>
      <c r="AM22" s="739"/>
      <c r="AN22" s="739"/>
      <c r="AO22" s="739"/>
      <c r="AP22" s="739"/>
      <c r="AQ22" s="739"/>
      <c r="AR22" s="739"/>
      <c r="AS22" s="739"/>
      <c r="AT22" s="739"/>
      <c r="AU22" s="739"/>
      <c r="AV22" s="739"/>
      <c r="AW22" s="739"/>
      <c r="AX22" s="740"/>
    </row>
    <row r="23" spans="2:50" ht="12" customHeight="1">
      <c r="B23" s="738"/>
      <c r="C23" s="739"/>
      <c r="D23" s="739"/>
      <c r="E23" s="739"/>
      <c r="F23" s="739"/>
      <c r="G23" s="739"/>
      <c r="H23" s="739"/>
      <c r="I23" s="739"/>
      <c r="J23" s="739"/>
      <c r="K23" s="739"/>
      <c r="L23" s="739"/>
      <c r="M23" s="739"/>
      <c r="N23" s="739"/>
      <c r="O23" s="739"/>
      <c r="P23" s="739"/>
      <c r="Q23" s="739"/>
      <c r="R23" s="739"/>
      <c r="S23" s="739"/>
      <c r="T23" s="739"/>
      <c r="U23" s="739"/>
      <c r="V23" s="739"/>
      <c r="W23" s="739"/>
      <c r="X23" s="739"/>
      <c r="Y23" s="739"/>
      <c r="Z23" s="739"/>
      <c r="AA23" s="739"/>
      <c r="AB23" s="739"/>
      <c r="AC23" s="739"/>
      <c r="AD23" s="739"/>
      <c r="AE23" s="739"/>
      <c r="AF23" s="739"/>
      <c r="AG23" s="739"/>
      <c r="AH23" s="739"/>
      <c r="AI23" s="739"/>
      <c r="AJ23" s="739"/>
      <c r="AK23" s="739"/>
      <c r="AL23" s="739"/>
      <c r="AM23" s="739"/>
      <c r="AN23" s="739"/>
      <c r="AO23" s="739"/>
      <c r="AP23" s="739"/>
      <c r="AQ23" s="739"/>
      <c r="AR23" s="739"/>
      <c r="AS23" s="739"/>
      <c r="AT23" s="739"/>
      <c r="AU23" s="739"/>
      <c r="AV23" s="739"/>
      <c r="AW23" s="739"/>
      <c r="AX23" s="740"/>
    </row>
    <row r="24" spans="2:50" ht="12" customHeight="1">
      <c r="B24" s="738"/>
      <c r="C24" s="739"/>
      <c r="D24" s="739"/>
      <c r="E24" s="739"/>
      <c r="F24" s="739"/>
      <c r="G24" s="739"/>
      <c r="H24" s="739"/>
      <c r="I24" s="739"/>
      <c r="J24" s="739"/>
      <c r="K24" s="739"/>
      <c r="L24" s="739"/>
      <c r="M24" s="739"/>
      <c r="N24" s="739"/>
      <c r="O24" s="739"/>
      <c r="P24" s="739"/>
      <c r="Q24" s="739"/>
      <c r="R24" s="739"/>
      <c r="S24" s="739"/>
      <c r="T24" s="739"/>
      <c r="U24" s="739"/>
      <c r="V24" s="739"/>
      <c r="W24" s="739"/>
      <c r="X24" s="739"/>
      <c r="Y24" s="739"/>
      <c r="Z24" s="739"/>
      <c r="AA24" s="739"/>
      <c r="AB24" s="739"/>
      <c r="AC24" s="739"/>
      <c r="AD24" s="739"/>
      <c r="AE24" s="739"/>
      <c r="AF24" s="739"/>
      <c r="AG24" s="739"/>
      <c r="AH24" s="739"/>
      <c r="AI24" s="739"/>
      <c r="AJ24" s="739"/>
      <c r="AK24" s="739"/>
      <c r="AL24" s="739"/>
      <c r="AM24" s="739"/>
      <c r="AN24" s="739"/>
      <c r="AO24" s="739"/>
      <c r="AP24" s="739"/>
      <c r="AQ24" s="739"/>
      <c r="AR24" s="739"/>
      <c r="AS24" s="739"/>
      <c r="AT24" s="739"/>
      <c r="AU24" s="739"/>
      <c r="AV24" s="739"/>
      <c r="AW24" s="739"/>
      <c r="AX24" s="740"/>
    </row>
    <row r="25" spans="2:50" ht="12" customHeight="1">
      <c r="B25" s="738"/>
      <c r="C25" s="739"/>
      <c r="D25" s="739"/>
      <c r="E25" s="739"/>
      <c r="F25" s="739"/>
      <c r="G25" s="739"/>
      <c r="H25" s="739"/>
      <c r="I25" s="739"/>
      <c r="J25" s="739"/>
      <c r="K25" s="739"/>
      <c r="L25" s="739"/>
      <c r="M25" s="739"/>
      <c r="N25" s="739"/>
      <c r="O25" s="739"/>
      <c r="P25" s="739"/>
      <c r="Q25" s="739"/>
      <c r="R25" s="739"/>
      <c r="S25" s="739"/>
      <c r="T25" s="739"/>
      <c r="U25" s="739"/>
      <c r="V25" s="739"/>
      <c r="W25" s="739"/>
      <c r="X25" s="739"/>
      <c r="Y25" s="739"/>
      <c r="Z25" s="739"/>
      <c r="AA25" s="739"/>
      <c r="AB25" s="739"/>
      <c r="AC25" s="739"/>
      <c r="AD25" s="739"/>
      <c r="AE25" s="739"/>
      <c r="AF25" s="739"/>
      <c r="AG25" s="739"/>
      <c r="AH25" s="739"/>
      <c r="AI25" s="739"/>
      <c r="AJ25" s="739"/>
      <c r="AK25" s="739"/>
      <c r="AL25" s="739"/>
      <c r="AM25" s="739"/>
      <c r="AN25" s="739"/>
      <c r="AO25" s="739"/>
      <c r="AP25" s="739"/>
      <c r="AQ25" s="739"/>
      <c r="AR25" s="739"/>
      <c r="AS25" s="739"/>
      <c r="AT25" s="739"/>
      <c r="AU25" s="739"/>
      <c r="AV25" s="739"/>
      <c r="AW25" s="739"/>
      <c r="AX25" s="740"/>
    </row>
    <row r="26" spans="2:50" ht="12" customHeight="1">
      <c r="B26" s="738"/>
      <c r="C26" s="739"/>
      <c r="D26" s="739"/>
      <c r="E26" s="739"/>
      <c r="F26" s="739"/>
      <c r="G26" s="739"/>
      <c r="H26" s="739"/>
      <c r="I26" s="739"/>
      <c r="J26" s="739"/>
      <c r="K26" s="739"/>
      <c r="L26" s="739"/>
      <c r="M26" s="739"/>
      <c r="N26" s="739"/>
      <c r="O26" s="739"/>
      <c r="P26" s="739"/>
      <c r="Q26" s="739"/>
      <c r="R26" s="739"/>
      <c r="S26" s="739"/>
      <c r="T26" s="739"/>
      <c r="U26" s="739"/>
      <c r="V26" s="739"/>
      <c r="W26" s="739"/>
      <c r="X26" s="739"/>
      <c r="Y26" s="739"/>
      <c r="Z26" s="739"/>
      <c r="AA26" s="739"/>
      <c r="AB26" s="739"/>
      <c r="AC26" s="739"/>
      <c r="AD26" s="739"/>
      <c r="AE26" s="739"/>
      <c r="AF26" s="739"/>
      <c r="AG26" s="739"/>
      <c r="AH26" s="739"/>
      <c r="AI26" s="739"/>
      <c r="AJ26" s="739"/>
      <c r="AK26" s="739"/>
      <c r="AL26" s="739"/>
      <c r="AM26" s="739"/>
      <c r="AN26" s="739"/>
      <c r="AO26" s="739"/>
      <c r="AP26" s="739"/>
      <c r="AQ26" s="739"/>
      <c r="AR26" s="739"/>
      <c r="AS26" s="739"/>
      <c r="AT26" s="739"/>
      <c r="AU26" s="739"/>
      <c r="AV26" s="739"/>
      <c r="AW26" s="739"/>
      <c r="AX26" s="740"/>
    </row>
    <row r="27" spans="2:50" ht="12" customHeight="1">
      <c r="B27" s="738"/>
      <c r="C27" s="739"/>
      <c r="D27" s="739"/>
      <c r="E27" s="739"/>
      <c r="F27" s="739"/>
      <c r="G27" s="739"/>
      <c r="H27" s="739"/>
      <c r="I27" s="739"/>
      <c r="J27" s="739"/>
      <c r="K27" s="739"/>
      <c r="L27" s="739"/>
      <c r="M27" s="739"/>
      <c r="N27" s="739"/>
      <c r="O27" s="739"/>
      <c r="P27" s="739"/>
      <c r="Q27" s="739"/>
      <c r="R27" s="739"/>
      <c r="S27" s="739"/>
      <c r="T27" s="739"/>
      <c r="U27" s="739"/>
      <c r="V27" s="739"/>
      <c r="W27" s="739"/>
      <c r="X27" s="739"/>
      <c r="Y27" s="739"/>
      <c r="Z27" s="739"/>
      <c r="AA27" s="739"/>
      <c r="AB27" s="739"/>
      <c r="AC27" s="739"/>
      <c r="AD27" s="739"/>
      <c r="AE27" s="739"/>
      <c r="AF27" s="739"/>
      <c r="AG27" s="739"/>
      <c r="AH27" s="739"/>
      <c r="AI27" s="739"/>
      <c r="AJ27" s="739"/>
      <c r="AK27" s="739"/>
      <c r="AL27" s="739"/>
      <c r="AM27" s="739"/>
      <c r="AN27" s="739"/>
      <c r="AO27" s="739"/>
      <c r="AP27" s="739"/>
      <c r="AQ27" s="739"/>
      <c r="AR27" s="739"/>
      <c r="AS27" s="739"/>
      <c r="AT27" s="739"/>
      <c r="AU27" s="739"/>
      <c r="AV27" s="739"/>
      <c r="AW27" s="739"/>
      <c r="AX27" s="740"/>
    </row>
    <row r="28" spans="2:50" ht="12" customHeight="1">
      <c r="B28" s="738"/>
      <c r="C28" s="739"/>
      <c r="D28" s="739"/>
      <c r="E28" s="739"/>
      <c r="F28" s="739"/>
      <c r="G28" s="739"/>
      <c r="H28" s="739"/>
      <c r="I28" s="739"/>
      <c r="J28" s="739"/>
      <c r="K28" s="739"/>
      <c r="L28" s="739"/>
      <c r="M28" s="739"/>
      <c r="N28" s="739"/>
      <c r="O28" s="739"/>
      <c r="P28" s="739"/>
      <c r="Q28" s="739"/>
      <c r="R28" s="739"/>
      <c r="S28" s="739"/>
      <c r="T28" s="739"/>
      <c r="U28" s="739"/>
      <c r="V28" s="739"/>
      <c r="W28" s="739"/>
      <c r="X28" s="739"/>
      <c r="Y28" s="739"/>
      <c r="Z28" s="739"/>
      <c r="AA28" s="739"/>
      <c r="AB28" s="739"/>
      <c r="AC28" s="739"/>
      <c r="AD28" s="739"/>
      <c r="AE28" s="739"/>
      <c r="AF28" s="739"/>
      <c r="AG28" s="739"/>
      <c r="AH28" s="739"/>
      <c r="AI28" s="739"/>
      <c r="AJ28" s="739"/>
      <c r="AK28" s="739"/>
      <c r="AL28" s="739"/>
      <c r="AM28" s="739"/>
      <c r="AN28" s="739"/>
      <c r="AO28" s="739"/>
      <c r="AP28" s="739"/>
      <c r="AQ28" s="739"/>
      <c r="AR28" s="739"/>
      <c r="AS28" s="739"/>
      <c r="AT28" s="739"/>
      <c r="AU28" s="739"/>
      <c r="AV28" s="739"/>
      <c r="AW28" s="739"/>
      <c r="AX28" s="740"/>
    </row>
    <row r="29" spans="2:50" ht="12" customHeight="1">
      <c r="B29" s="738"/>
      <c r="C29" s="739"/>
      <c r="D29" s="739"/>
      <c r="E29" s="739"/>
      <c r="F29" s="739"/>
      <c r="G29" s="739"/>
      <c r="H29" s="739"/>
      <c r="I29" s="739"/>
      <c r="J29" s="739"/>
      <c r="K29" s="739"/>
      <c r="L29" s="739"/>
      <c r="M29" s="739"/>
      <c r="N29" s="739"/>
      <c r="O29" s="739"/>
      <c r="P29" s="739"/>
      <c r="Q29" s="739"/>
      <c r="R29" s="739"/>
      <c r="S29" s="739"/>
      <c r="T29" s="739"/>
      <c r="U29" s="739"/>
      <c r="V29" s="739"/>
      <c r="W29" s="739"/>
      <c r="X29" s="739"/>
      <c r="Y29" s="739"/>
      <c r="Z29" s="739"/>
      <c r="AA29" s="739"/>
      <c r="AB29" s="739"/>
      <c r="AC29" s="739"/>
      <c r="AD29" s="739"/>
      <c r="AE29" s="739"/>
      <c r="AF29" s="739"/>
      <c r="AG29" s="739"/>
      <c r="AH29" s="739"/>
      <c r="AI29" s="739"/>
      <c r="AJ29" s="739"/>
      <c r="AK29" s="739"/>
      <c r="AL29" s="739"/>
      <c r="AM29" s="739"/>
      <c r="AN29" s="739"/>
      <c r="AO29" s="739"/>
      <c r="AP29" s="739"/>
      <c r="AQ29" s="739"/>
      <c r="AR29" s="739"/>
      <c r="AS29" s="739"/>
      <c r="AT29" s="739"/>
      <c r="AU29" s="739"/>
      <c r="AV29" s="739"/>
      <c r="AW29" s="739"/>
      <c r="AX29" s="740"/>
    </row>
    <row r="30" spans="2:50" ht="12" customHeight="1">
      <c r="B30" s="738"/>
      <c r="C30" s="739"/>
      <c r="D30" s="739"/>
      <c r="E30" s="739"/>
      <c r="F30" s="739"/>
      <c r="G30" s="739"/>
      <c r="H30" s="739"/>
      <c r="I30" s="739"/>
      <c r="J30" s="739"/>
      <c r="K30" s="739"/>
      <c r="L30" s="739"/>
      <c r="M30" s="739"/>
      <c r="N30" s="739"/>
      <c r="O30" s="739"/>
      <c r="P30" s="739"/>
      <c r="Q30" s="739"/>
      <c r="R30" s="739"/>
      <c r="S30" s="739"/>
      <c r="T30" s="739"/>
      <c r="U30" s="739"/>
      <c r="V30" s="739"/>
      <c r="W30" s="739"/>
      <c r="X30" s="739"/>
      <c r="Y30" s="739"/>
      <c r="Z30" s="739"/>
      <c r="AA30" s="739"/>
      <c r="AB30" s="739"/>
      <c r="AC30" s="739"/>
      <c r="AD30" s="739"/>
      <c r="AE30" s="739"/>
      <c r="AF30" s="739"/>
      <c r="AG30" s="739"/>
      <c r="AH30" s="739"/>
      <c r="AI30" s="739"/>
      <c r="AJ30" s="739"/>
      <c r="AK30" s="739"/>
      <c r="AL30" s="739"/>
      <c r="AM30" s="739"/>
      <c r="AN30" s="739"/>
      <c r="AO30" s="739"/>
      <c r="AP30" s="739"/>
      <c r="AQ30" s="739"/>
      <c r="AR30" s="739"/>
      <c r="AS30" s="739"/>
      <c r="AT30" s="739"/>
      <c r="AU30" s="739"/>
      <c r="AV30" s="739"/>
      <c r="AW30" s="739"/>
      <c r="AX30" s="740"/>
    </row>
    <row r="31" spans="2:50" ht="12" customHeight="1">
      <c r="B31" s="738"/>
      <c r="C31" s="739"/>
      <c r="D31" s="739"/>
      <c r="E31" s="739"/>
      <c r="F31" s="739"/>
      <c r="G31" s="739"/>
      <c r="H31" s="739"/>
      <c r="I31" s="739"/>
      <c r="J31" s="739"/>
      <c r="K31" s="739"/>
      <c r="L31" s="739"/>
      <c r="M31" s="739"/>
      <c r="N31" s="739"/>
      <c r="O31" s="739"/>
      <c r="P31" s="739"/>
      <c r="Q31" s="739"/>
      <c r="R31" s="739"/>
      <c r="S31" s="739"/>
      <c r="T31" s="739"/>
      <c r="U31" s="739"/>
      <c r="V31" s="739"/>
      <c r="W31" s="739"/>
      <c r="X31" s="739"/>
      <c r="Y31" s="739"/>
      <c r="Z31" s="739"/>
      <c r="AA31" s="739"/>
      <c r="AB31" s="739"/>
      <c r="AC31" s="739"/>
      <c r="AD31" s="739"/>
      <c r="AE31" s="739"/>
      <c r="AF31" s="739"/>
      <c r="AG31" s="739"/>
      <c r="AH31" s="739"/>
      <c r="AI31" s="739"/>
      <c r="AJ31" s="739"/>
      <c r="AK31" s="739"/>
      <c r="AL31" s="739"/>
      <c r="AM31" s="739"/>
      <c r="AN31" s="739"/>
      <c r="AO31" s="739"/>
      <c r="AP31" s="739"/>
      <c r="AQ31" s="739"/>
      <c r="AR31" s="739"/>
      <c r="AS31" s="739"/>
      <c r="AT31" s="739"/>
      <c r="AU31" s="739"/>
      <c r="AV31" s="739"/>
      <c r="AW31" s="739"/>
      <c r="AX31" s="740"/>
    </row>
    <row r="32" spans="2:50" ht="12" customHeight="1">
      <c r="B32" s="738"/>
      <c r="C32" s="739"/>
      <c r="D32" s="739"/>
      <c r="E32" s="739"/>
      <c r="F32" s="739"/>
      <c r="G32" s="739"/>
      <c r="H32" s="739"/>
      <c r="I32" s="739"/>
      <c r="J32" s="739"/>
      <c r="K32" s="739"/>
      <c r="L32" s="739"/>
      <c r="M32" s="739"/>
      <c r="N32" s="739"/>
      <c r="O32" s="739"/>
      <c r="P32" s="739"/>
      <c r="Q32" s="739"/>
      <c r="R32" s="739"/>
      <c r="S32" s="739"/>
      <c r="T32" s="739"/>
      <c r="U32" s="739"/>
      <c r="V32" s="739"/>
      <c r="W32" s="739"/>
      <c r="X32" s="739"/>
      <c r="Y32" s="739"/>
      <c r="Z32" s="739"/>
      <c r="AA32" s="739"/>
      <c r="AB32" s="739"/>
      <c r="AC32" s="739"/>
      <c r="AD32" s="739"/>
      <c r="AE32" s="739"/>
      <c r="AF32" s="739"/>
      <c r="AG32" s="739"/>
      <c r="AH32" s="739"/>
      <c r="AI32" s="739"/>
      <c r="AJ32" s="739"/>
      <c r="AK32" s="739"/>
      <c r="AL32" s="739"/>
      <c r="AM32" s="739"/>
      <c r="AN32" s="739"/>
      <c r="AO32" s="739"/>
      <c r="AP32" s="739"/>
      <c r="AQ32" s="739"/>
      <c r="AR32" s="739"/>
      <c r="AS32" s="739"/>
      <c r="AT32" s="739"/>
      <c r="AU32" s="739"/>
      <c r="AV32" s="739"/>
      <c r="AW32" s="739"/>
      <c r="AX32" s="740"/>
    </row>
    <row r="33" spans="2:88" ht="12" customHeight="1">
      <c r="B33" s="738"/>
      <c r="C33" s="739"/>
      <c r="D33" s="739"/>
      <c r="E33" s="739"/>
      <c r="F33" s="739"/>
      <c r="G33" s="739"/>
      <c r="H33" s="739"/>
      <c r="I33" s="739"/>
      <c r="J33" s="739"/>
      <c r="K33" s="739"/>
      <c r="L33" s="739"/>
      <c r="M33" s="739"/>
      <c r="N33" s="739"/>
      <c r="O33" s="739"/>
      <c r="P33" s="739"/>
      <c r="Q33" s="739"/>
      <c r="R33" s="739"/>
      <c r="S33" s="739"/>
      <c r="T33" s="739"/>
      <c r="U33" s="739"/>
      <c r="V33" s="739"/>
      <c r="W33" s="739"/>
      <c r="X33" s="739"/>
      <c r="Y33" s="739"/>
      <c r="Z33" s="739"/>
      <c r="AA33" s="739"/>
      <c r="AB33" s="739"/>
      <c r="AC33" s="739"/>
      <c r="AD33" s="739"/>
      <c r="AE33" s="739"/>
      <c r="AF33" s="739"/>
      <c r="AG33" s="739"/>
      <c r="AH33" s="739"/>
      <c r="AI33" s="739"/>
      <c r="AJ33" s="739"/>
      <c r="AK33" s="739"/>
      <c r="AL33" s="739"/>
      <c r="AM33" s="739"/>
      <c r="AN33" s="739"/>
      <c r="AO33" s="739"/>
      <c r="AP33" s="739"/>
      <c r="AQ33" s="739"/>
      <c r="AR33" s="739"/>
      <c r="AS33" s="739"/>
      <c r="AT33" s="739"/>
      <c r="AU33" s="739"/>
      <c r="AV33" s="739"/>
      <c r="AW33" s="739"/>
      <c r="AX33" s="740"/>
    </row>
    <row r="34" spans="2:88" ht="12" customHeight="1">
      <c r="B34" s="738"/>
      <c r="C34" s="739"/>
      <c r="D34" s="739"/>
      <c r="E34" s="739"/>
      <c r="F34" s="739"/>
      <c r="G34" s="739"/>
      <c r="H34" s="739"/>
      <c r="I34" s="739"/>
      <c r="J34" s="739"/>
      <c r="K34" s="739"/>
      <c r="L34" s="739"/>
      <c r="M34" s="739"/>
      <c r="N34" s="739"/>
      <c r="O34" s="739"/>
      <c r="P34" s="739"/>
      <c r="Q34" s="739"/>
      <c r="R34" s="739"/>
      <c r="S34" s="739"/>
      <c r="T34" s="739"/>
      <c r="U34" s="739"/>
      <c r="V34" s="739"/>
      <c r="W34" s="739"/>
      <c r="X34" s="739"/>
      <c r="Y34" s="739"/>
      <c r="Z34" s="739"/>
      <c r="AA34" s="739"/>
      <c r="AB34" s="739"/>
      <c r="AC34" s="739"/>
      <c r="AD34" s="739"/>
      <c r="AE34" s="739"/>
      <c r="AF34" s="739"/>
      <c r="AG34" s="739"/>
      <c r="AH34" s="739"/>
      <c r="AI34" s="739"/>
      <c r="AJ34" s="739"/>
      <c r="AK34" s="739"/>
      <c r="AL34" s="739"/>
      <c r="AM34" s="739"/>
      <c r="AN34" s="739"/>
      <c r="AO34" s="739"/>
      <c r="AP34" s="739"/>
      <c r="AQ34" s="739"/>
      <c r="AR34" s="739"/>
      <c r="AS34" s="739"/>
      <c r="AT34" s="739"/>
      <c r="AU34" s="739"/>
      <c r="AV34" s="739"/>
      <c r="AW34" s="739"/>
      <c r="AX34" s="740"/>
    </row>
    <row r="35" spans="2:88" ht="12" customHeight="1">
      <c r="B35" s="738"/>
      <c r="C35" s="739"/>
      <c r="D35" s="739"/>
      <c r="E35" s="739"/>
      <c r="F35" s="739"/>
      <c r="G35" s="739"/>
      <c r="H35" s="739"/>
      <c r="I35" s="739"/>
      <c r="J35" s="739"/>
      <c r="K35" s="739"/>
      <c r="L35" s="739"/>
      <c r="M35" s="739"/>
      <c r="N35" s="739"/>
      <c r="O35" s="739"/>
      <c r="P35" s="739"/>
      <c r="Q35" s="739"/>
      <c r="R35" s="739"/>
      <c r="S35" s="739"/>
      <c r="T35" s="739"/>
      <c r="U35" s="739"/>
      <c r="V35" s="739"/>
      <c r="W35" s="739"/>
      <c r="X35" s="739"/>
      <c r="Y35" s="739"/>
      <c r="Z35" s="739"/>
      <c r="AA35" s="739"/>
      <c r="AB35" s="739"/>
      <c r="AC35" s="739"/>
      <c r="AD35" s="739"/>
      <c r="AE35" s="739"/>
      <c r="AF35" s="739"/>
      <c r="AG35" s="739"/>
      <c r="AH35" s="739"/>
      <c r="AI35" s="739"/>
      <c r="AJ35" s="739"/>
      <c r="AK35" s="739"/>
      <c r="AL35" s="739"/>
      <c r="AM35" s="739"/>
      <c r="AN35" s="739"/>
      <c r="AO35" s="739"/>
      <c r="AP35" s="739"/>
      <c r="AQ35" s="739"/>
      <c r="AR35" s="739"/>
      <c r="AS35" s="739"/>
      <c r="AT35" s="739"/>
      <c r="AU35" s="739"/>
      <c r="AV35" s="739"/>
      <c r="AW35" s="739"/>
      <c r="AX35" s="740"/>
    </row>
    <row r="36" spans="2:88" ht="12" customHeight="1">
      <c r="B36" s="738"/>
      <c r="C36" s="739"/>
      <c r="D36" s="739"/>
      <c r="E36" s="739"/>
      <c r="F36" s="739"/>
      <c r="G36" s="739"/>
      <c r="H36" s="739"/>
      <c r="I36" s="739"/>
      <c r="J36" s="739"/>
      <c r="K36" s="739"/>
      <c r="L36" s="739"/>
      <c r="M36" s="739"/>
      <c r="N36" s="739"/>
      <c r="O36" s="739"/>
      <c r="P36" s="739"/>
      <c r="Q36" s="739"/>
      <c r="R36" s="739"/>
      <c r="S36" s="739"/>
      <c r="T36" s="739"/>
      <c r="U36" s="739"/>
      <c r="V36" s="739"/>
      <c r="W36" s="739"/>
      <c r="X36" s="739"/>
      <c r="Y36" s="739"/>
      <c r="Z36" s="739"/>
      <c r="AA36" s="739"/>
      <c r="AB36" s="739"/>
      <c r="AC36" s="739"/>
      <c r="AD36" s="739"/>
      <c r="AE36" s="739"/>
      <c r="AF36" s="739"/>
      <c r="AG36" s="739"/>
      <c r="AH36" s="739"/>
      <c r="AI36" s="739"/>
      <c r="AJ36" s="739"/>
      <c r="AK36" s="739"/>
      <c r="AL36" s="739"/>
      <c r="AM36" s="739"/>
      <c r="AN36" s="739"/>
      <c r="AO36" s="739"/>
      <c r="AP36" s="739"/>
      <c r="AQ36" s="739"/>
      <c r="AR36" s="739"/>
      <c r="AS36" s="739"/>
      <c r="AT36" s="739"/>
      <c r="AU36" s="739"/>
      <c r="AV36" s="739"/>
      <c r="AW36" s="739"/>
      <c r="AX36" s="740"/>
    </row>
    <row r="37" spans="2:88" ht="12" customHeight="1">
      <c r="B37" s="738"/>
      <c r="C37" s="739"/>
      <c r="D37" s="739"/>
      <c r="E37" s="739"/>
      <c r="F37" s="739"/>
      <c r="G37" s="739"/>
      <c r="H37" s="739"/>
      <c r="I37" s="739"/>
      <c r="J37" s="739"/>
      <c r="K37" s="739"/>
      <c r="L37" s="739"/>
      <c r="M37" s="739"/>
      <c r="N37" s="739"/>
      <c r="O37" s="739"/>
      <c r="P37" s="739"/>
      <c r="Q37" s="739"/>
      <c r="R37" s="739"/>
      <c r="S37" s="739"/>
      <c r="T37" s="739"/>
      <c r="U37" s="739"/>
      <c r="V37" s="739"/>
      <c r="W37" s="739"/>
      <c r="X37" s="739"/>
      <c r="Y37" s="739"/>
      <c r="Z37" s="739"/>
      <c r="AA37" s="739"/>
      <c r="AB37" s="739"/>
      <c r="AC37" s="739"/>
      <c r="AD37" s="739"/>
      <c r="AE37" s="739"/>
      <c r="AF37" s="739"/>
      <c r="AG37" s="739"/>
      <c r="AH37" s="739"/>
      <c r="AI37" s="739"/>
      <c r="AJ37" s="739"/>
      <c r="AK37" s="739"/>
      <c r="AL37" s="739"/>
      <c r="AM37" s="739"/>
      <c r="AN37" s="739"/>
      <c r="AO37" s="739"/>
      <c r="AP37" s="739"/>
      <c r="AQ37" s="739"/>
      <c r="AR37" s="739"/>
      <c r="AS37" s="739"/>
      <c r="AT37" s="739"/>
      <c r="AU37" s="739"/>
      <c r="AV37" s="739"/>
      <c r="AW37" s="739"/>
      <c r="AX37" s="740"/>
    </row>
    <row r="38" spans="2:88" ht="12" customHeight="1">
      <c r="B38" s="738"/>
      <c r="C38" s="739"/>
      <c r="D38" s="739"/>
      <c r="E38" s="739"/>
      <c r="F38" s="739"/>
      <c r="G38" s="739"/>
      <c r="H38" s="739"/>
      <c r="I38" s="739"/>
      <c r="J38" s="739"/>
      <c r="K38" s="739"/>
      <c r="L38" s="739"/>
      <c r="M38" s="739"/>
      <c r="N38" s="739"/>
      <c r="O38" s="739"/>
      <c r="P38" s="739"/>
      <c r="Q38" s="739"/>
      <c r="R38" s="739"/>
      <c r="S38" s="739"/>
      <c r="T38" s="739"/>
      <c r="U38" s="739"/>
      <c r="V38" s="739"/>
      <c r="W38" s="739"/>
      <c r="X38" s="739"/>
      <c r="Y38" s="739"/>
      <c r="Z38" s="739"/>
      <c r="AA38" s="739"/>
      <c r="AB38" s="739"/>
      <c r="AC38" s="739"/>
      <c r="AD38" s="739"/>
      <c r="AE38" s="739"/>
      <c r="AF38" s="739"/>
      <c r="AG38" s="739"/>
      <c r="AH38" s="739"/>
      <c r="AI38" s="739"/>
      <c r="AJ38" s="739"/>
      <c r="AK38" s="739"/>
      <c r="AL38" s="739"/>
      <c r="AM38" s="739"/>
      <c r="AN38" s="739"/>
      <c r="AO38" s="739"/>
      <c r="AP38" s="739"/>
      <c r="AQ38" s="739"/>
      <c r="AR38" s="739"/>
      <c r="AS38" s="739"/>
      <c r="AT38" s="739"/>
      <c r="AU38" s="739"/>
      <c r="AV38" s="739"/>
      <c r="AW38" s="739"/>
      <c r="AX38" s="740"/>
    </row>
    <row r="39" spans="2:88" ht="12" customHeight="1">
      <c r="B39" s="738"/>
      <c r="C39" s="739"/>
      <c r="D39" s="739"/>
      <c r="E39" s="739"/>
      <c r="F39" s="739"/>
      <c r="G39" s="739"/>
      <c r="H39" s="739"/>
      <c r="I39" s="739"/>
      <c r="J39" s="739"/>
      <c r="K39" s="739"/>
      <c r="L39" s="739"/>
      <c r="M39" s="739"/>
      <c r="N39" s="739"/>
      <c r="O39" s="739"/>
      <c r="P39" s="739"/>
      <c r="Q39" s="739"/>
      <c r="R39" s="739"/>
      <c r="S39" s="739"/>
      <c r="T39" s="739"/>
      <c r="U39" s="739"/>
      <c r="V39" s="739"/>
      <c r="W39" s="739"/>
      <c r="X39" s="739"/>
      <c r="Y39" s="739"/>
      <c r="Z39" s="739"/>
      <c r="AA39" s="739"/>
      <c r="AB39" s="739"/>
      <c r="AC39" s="739"/>
      <c r="AD39" s="739"/>
      <c r="AE39" s="739"/>
      <c r="AF39" s="739"/>
      <c r="AG39" s="739"/>
      <c r="AH39" s="739"/>
      <c r="AI39" s="739"/>
      <c r="AJ39" s="739"/>
      <c r="AK39" s="739"/>
      <c r="AL39" s="739"/>
      <c r="AM39" s="739"/>
      <c r="AN39" s="739"/>
      <c r="AO39" s="739"/>
      <c r="AP39" s="739"/>
      <c r="AQ39" s="739"/>
      <c r="AR39" s="739"/>
      <c r="AS39" s="739"/>
      <c r="AT39" s="739"/>
      <c r="AU39" s="739"/>
      <c r="AV39" s="739"/>
      <c r="AW39" s="739"/>
      <c r="AX39" s="740"/>
    </row>
    <row r="40" spans="2:88" ht="12" customHeight="1">
      <c r="B40" s="738"/>
      <c r="C40" s="739"/>
      <c r="D40" s="739"/>
      <c r="E40" s="739"/>
      <c r="F40" s="739"/>
      <c r="G40" s="739"/>
      <c r="H40" s="739"/>
      <c r="I40" s="739"/>
      <c r="J40" s="739"/>
      <c r="K40" s="739"/>
      <c r="L40" s="739"/>
      <c r="M40" s="739"/>
      <c r="N40" s="739"/>
      <c r="O40" s="739"/>
      <c r="P40" s="739"/>
      <c r="Q40" s="739"/>
      <c r="R40" s="739"/>
      <c r="S40" s="739"/>
      <c r="T40" s="739"/>
      <c r="U40" s="739"/>
      <c r="V40" s="739"/>
      <c r="W40" s="739"/>
      <c r="X40" s="739"/>
      <c r="Y40" s="739"/>
      <c r="Z40" s="739"/>
      <c r="AA40" s="739"/>
      <c r="AB40" s="739"/>
      <c r="AC40" s="739"/>
      <c r="AD40" s="739"/>
      <c r="AE40" s="739"/>
      <c r="AF40" s="739"/>
      <c r="AG40" s="739"/>
      <c r="AH40" s="739"/>
      <c r="AI40" s="739"/>
      <c r="AJ40" s="739"/>
      <c r="AK40" s="739"/>
      <c r="AL40" s="739"/>
      <c r="AM40" s="739"/>
      <c r="AN40" s="739"/>
      <c r="AO40" s="739"/>
      <c r="AP40" s="739"/>
      <c r="AQ40" s="739"/>
      <c r="AR40" s="739"/>
      <c r="AS40" s="739"/>
      <c r="AT40" s="739"/>
      <c r="AU40" s="739"/>
      <c r="AV40" s="739"/>
      <c r="AW40" s="739"/>
      <c r="AX40" s="740"/>
    </row>
    <row r="41" spans="2:88" ht="12" customHeight="1">
      <c r="B41" s="738"/>
      <c r="C41" s="739"/>
      <c r="D41" s="739"/>
      <c r="E41" s="739"/>
      <c r="F41" s="739"/>
      <c r="G41" s="739"/>
      <c r="H41" s="739"/>
      <c r="I41" s="739"/>
      <c r="J41" s="739"/>
      <c r="K41" s="739"/>
      <c r="L41" s="739"/>
      <c r="M41" s="739"/>
      <c r="N41" s="739"/>
      <c r="O41" s="739"/>
      <c r="P41" s="739"/>
      <c r="Q41" s="739"/>
      <c r="R41" s="739"/>
      <c r="S41" s="739"/>
      <c r="T41" s="739"/>
      <c r="U41" s="739"/>
      <c r="V41" s="739"/>
      <c r="W41" s="739"/>
      <c r="X41" s="739"/>
      <c r="Y41" s="739"/>
      <c r="Z41" s="739"/>
      <c r="AA41" s="739"/>
      <c r="AB41" s="739"/>
      <c r="AC41" s="739"/>
      <c r="AD41" s="739"/>
      <c r="AE41" s="739"/>
      <c r="AF41" s="739"/>
      <c r="AG41" s="739"/>
      <c r="AH41" s="739"/>
      <c r="AI41" s="739"/>
      <c r="AJ41" s="739"/>
      <c r="AK41" s="739"/>
      <c r="AL41" s="739"/>
      <c r="AM41" s="739"/>
      <c r="AN41" s="739"/>
      <c r="AO41" s="739"/>
      <c r="AP41" s="739"/>
      <c r="AQ41" s="739"/>
      <c r="AR41" s="739"/>
      <c r="AS41" s="739"/>
      <c r="AT41" s="739"/>
      <c r="AU41" s="739"/>
      <c r="AV41" s="739"/>
      <c r="AW41" s="739"/>
      <c r="AX41" s="740"/>
    </row>
    <row r="42" spans="2:88" ht="12" customHeight="1">
      <c r="B42" s="738"/>
      <c r="C42" s="739"/>
      <c r="D42" s="739"/>
      <c r="E42" s="739"/>
      <c r="F42" s="739"/>
      <c r="G42" s="739"/>
      <c r="H42" s="739"/>
      <c r="I42" s="739"/>
      <c r="J42" s="739"/>
      <c r="K42" s="739"/>
      <c r="L42" s="739"/>
      <c r="M42" s="739"/>
      <c r="N42" s="739"/>
      <c r="O42" s="739"/>
      <c r="P42" s="739"/>
      <c r="Q42" s="739"/>
      <c r="R42" s="739"/>
      <c r="S42" s="739"/>
      <c r="T42" s="739"/>
      <c r="U42" s="739"/>
      <c r="V42" s="739"/>
      <c r="W42" s="739"/>
      <c r="X42" s="739"/>
      <c r="Y42" s="739"/>
      <c r="Z42" s="739"/>
      <c r="AA42" s="739"/>
      <c r="AB42" s="739"/>
      <c r="AC42" s="739"/>
      <c r="AD42" s="739"/>
      <c r="AE42" s="739"/>
      <c r="AF42" s="739"/>
      <c r="AG42" s="739"/>
      <c r="AH42" s="739"/>
      <c r="AI42" s="739"/>
      <c r="AJ42" s="739"/>
      <c r="AK42" s="739"/>
      <c r="AL42" s="739"/>
      <c r="AM42" s="739"/>
      <c r="AN42" s="739"/>
      <c r="AO42" s="739"/>
      <c r="AP42" s="739"/>
      <c r="AQ42" s="739"/>
      <c r="AR42" s="739"/>
      <c r="AS42" s="739"/>
      <c r="AT42" s="739"/>
      <c r="AU42" s="739"/>
      <c r="AV42" s="739"/>
      <c r="AW42" s="739"/>
      <c r="AX42" s="740"/>
    </row>
    <row r="43" spans="2:88" ht="12" customHeight="1">
      <c r="B43" s="738"/>
      <c r="C43" s="739"/>
      <c r="D43" s="743" t="s">
        <v>1113</v>
      </c>
      <c r="E43" s="743" t="s">
        <v>1115</v>
      </c>
      <c r="F43" s="743"/>
      <c r="G43" s="739"/>
      <c r="H43" s="739"/>
      <c r="I43" s="739"/>
      <c r="J43" s="739"/>
      <c r="K43" s="739"/>
      <c r="L43" s="739"/>
      <c r="M43" s="739"/>
      <c r="N43" s="739"/>
      <c r="O43" s="739"/>
      <c r="P43" s="739"/>
      <c r="Q43" s="739"/>
      <c r="R43" s="739"/>
      <c r="S43" s="739"/>
      <c r="T43" s="739"/>
      <c r="U43" s="739"/>
      <c r="V43" s="739"/>
      <c r="W43" s="739"/>
      <c r="X43" s="739"/>
      <c r="Y43" s="739"/>
      <c r="Z43" s="739"/>
      <c r="AA43" s="739"/>
      <c r="AB43" s="739"/>
      <c r="AC43" s="739"/>
      <c r="AD43" s="739"/>
      <c r="AE43" s="739"/>
      <c r="AF43" s="739"/>
      <c r="AG43" s="739"/>
      <c r="AH43" s="739"/>
      <c r="AI43" s="739"/>
      <c r="AJ43" s="739"/>
      <c r="AK43" s="739"/>
      <c r="AL43" s="739"/>
      <c r="AM43" s="739"/>
      <c r="AN43" s="739"/>
      <c r="AO43" s="739"/>
      <c r="AP43" s="739"/>
      <c r="AQ43" s="739"/>
      <c r="AR43" s="739"/>
      <c r="AS43" s="739"/>
      <c r="AT43" s="739"/>
      <c r="AU43" s="739"/>
      <c r="AV43" s="739"/>
      <c r="AW43" s="739"/>
      <c r="AX43" s="740"/>
      <c r="CJ43" s="100"/>
    </row>
    <row r="44" spans="2:88" ht="12" customHeight="1">
      <c r="B44" s="738"/>
      <c r="C44" s="739"/>
      <c r="D44" s="739"/>
      <c r="E44" s="739"/>
      <c r="F44" s="739"/>
      <c r="G44" s="739"/>
      <c r="H44" s="739"/>
      <c r="I44" s="739"/>
      <c r="J44" s="739"/>
      <c r="K44" s="739"/>
      <c r="L44" s="739"/>
      <c r="M44" s="739"/>
      <c r="N44" s="739"/>
      <c r="O44" s="739"/>
      <c r="P44" s="739"/>
      <c r="Q44" s="739"/>
      <c r="R44" s="739"/>
      <c r="S44" s="739"/>
      <c r="T44" s="739"/>
      <c r="U44" s="739"/>
      <c r="V44" s="739"/>
      <c r="W44" s="739"/>
      <c r="X44" s="739"/>
      <c r="Y44" s="739"/>
      <c r="Z44" s="739"/>
      <c r="AA44" s="739"/>
      <c r="AB44" s="739"/>
      <c r="AC44" s="739"/>
      <c r="AD44" s="739"/>
      <c r="AE44" s="739"/>
      <c r="AF44" s="739"/>
      <c r="AG44" s="739"/>
      <c r="AH44" s="739"/>
      <c r="AI44" s="739"/>
      <c r="AJ44" s="739"/>
      <c r="AK44" s="739"/>
      <c r="AL44" s="739"/>
      <c r="AM44" s="739"/>
      <c r="AN44" s="739"/>
      <c r="AO44" s="739"/>
      <c r="AP44" s="739"/>
      <c r="AQ44" s="739"/>
      <c r="AR44" s="739"/>
      <c r="AS44" s="739"/>
      <c r="AT44" s="739"/>
      <c r="AU44" s="739"/>
      <c r="AV44" s="739"/>
      <c r="AW44" s="739"/>
      <c r="AX44" s="740"/>
    </row>
    <row r="45" spans="2:88" ht="12" customHeight="1">
      <c r="B45" s="738"/>
      <c r="C45" s="739"/>
      <c r="D45" s="739"/>
      <c r="E45" s="739"/>
      <c r="F45" s="739"/>
      <c r="G45" s="739"/>
      <c r="H45" s="739"/>
      <c r="I45" s="739"/>
      <c r="J45" s="739"/>
      <c r="K45" s="739"/>
      <c r="L45" s="739"/>
      <c r="M45" s="739"/>
      <c r="N45" s="739"/>
      <c r="O45" s="739"/>
      <c r="P45" s="739"/>
      <c r="Q45" s="739"/>
      <c r="R45" s="739"/>
      <c r="S45" s="739"/>
      <c r="T45" s="739"/>
      <c r="U45" s="739"/>
      <c r="V45" s="739"/>
      <c r="W45" s="739"/>
      <c r="X45" s="739"/>
      <c r="Y45" s="739"/>
      <c r="Z45" s="739"/>
      <c r="AA45" s="739"/>
      <c r="AB45" s="739"/>
      <c r="AC45" s="739"/>
      <c r="AD45" s="739"/>
      <c r="AE45" s="739"/>
      <c r="AF45" s="739"/>
      <c r="AG45" s="739"/>
      <c r="AH45" s="739"/>
      <c r="AI45" s="739"/>
      <c r="AJ45" s="739"/>
      <c r="AK45" s="739"/>
      <c r="AL45" s="739"/>
      <c r="AM45" s="739"/>
      <c r="AN45" s="739"/>
      <c r="AO45" s="739"/>
      <c r="AP45" s="739"/>
      <c r="AQ45" s="739"/>
      <c r="AR45" s="739"/>
      <c r="AS45" s="739"/>
      <c r="AT45" s="739"/>
      <c r="AU45" s="739"/>
      <c r="AV45" s="739"/>
      <c r="AW45" s="739"/>
      <c r="AX45" s="740"/>
    </row>
    <row r="46" spans="2:88" ht="12" customHeight="1">
      <c r="B46" s="738"/>
      <c r="C46" s="739"/>
      <c r="D46" s="739"/>
      <c r="E46" s="739"/>
      <c r="F46" s="739"/>
      <c r="G46" s="739"/>
      <c r="H46" s="739"/>
      <c r="I46" s="739"/>
      <c r="J46" s="739"/>
      <c r="K46" s="739"/>
      <c r="L46" s="739"/>
      <c r="M46" s="739"/>
      <c r="N46" s="739"/>
      <c r="O46" s="739"/>
      <c r="P46" s="739"/>
      <c r="Q46" s="739"/>
      <c r="R46" s="739"/>
      <c r="S46" s="739"/>
      <c r="T46" s="739"/>
      <c r="U46" s="739"/>
      <c r="V46" s="739"/>
      <c r="W46" s="739"/>
      <c r="X46" s="739"/>
      <c r="Y46" s="739"/>
      <c r="Z46" s="739"/>
      <c r="AA46" s="739"/>
      <c r="AB46" s="739"/>
      <c r="AC46" s="739"/>
      <c r="AD46" s="739"/>
      <c r="AE46" s="739"/>
      <c r="AF46" s="739"/>
      <c r="AG46" s="739"/>
      <c r="AH46" s="739"/>
      <c r="AI46" s="739"/>
      <c r="AJ46" s="739"/>
      <c r="AK46" s="739"/>
      <c r="AL46" s="739"/>
      <c r="AM46" s="739"/>
      <c r="AN46" s="739"/>
      <c r="AO46" s="739"/>
      <c r="AP46" s="739"/>
      <c r="AQ46" s="739"/>
      <c r="AR46" s="739"/>
      <c r="AS46" s="739"/>
      <c r="AT46" s="739"/>
      <c r="AU46" s="739"/>
      <c r="AV46" s="739"/>
      <c r="AW46" s="739"/>
      <c r="AX46" s="740"/>
    </row>
    <row r="47" spans="2:88" ht="12" customHeight="1">
      <c r="B47" s="738"/>
      <c r="C47" s="739"/>
      <c r="D47" s="739"/>
      <c r="E47" s="739"/>
      <c r="F47" s="739"/>
      <c r="G47" s="739"/>
      <c r="H47" s="739"/>
      <c r="I47" s="739"/>
      <c r="J47" s="739"/>
      <c r="K47" s="739"/>
      <c r="L47" s="739"/>
      <c r="M47" s="739"/>
      <c r="N47" s="739"/>
      <c r="O47" s="739"/>
      <c r="P47" s="739"/>
      <c r="Q47" s="739"/>
      <c r="R47" s="739"/>
      <c r="S47" s="739"/>
      <c r="T47" s="739"/>
      <c r="U47" s="739"/>
      <c r="V47" s="739"/>
      <c r="W47" s="739"/>
      <c r="X47" s="739"/>
      <c r="Y47" s="739"/>
      <c r="Z47" s="739"/>
      <c r="AA47" s="739"/>
      <c r="AB47" s="739"/>
      <c r="AC47" s="739"/>
      <c r="AD47" s="739"/>
      <c r="AE47" s="739"/>
      <c r="AF47" s="739"/>
      <c r="AG47" s="739"/>
      <c r="AH47" s="739"/>
      <c r="AI47" s="739"/>
      <c r="AJ47" s="739"/>
      <c r="AK47" s="739"/>
      <c r="AL47" s="739"/>
      <c r="AM47" s="739"/>
      <c r="AN47" s="739"/>
      <c r="AO47" s="739"/>
      <c r="AP47" s="739"/>
      <c r="AQ47" s="739"/>
      <c r="AR47" s="739"/>
      <c r="AS47" s="739"/>
      <c r="AT47" s="739"/>
      <c r="AU47" s="739"/>
      <c r="AV47" s="739"/>
      <c r="AW47" s="739"/>
      <c r="AX47" s="740"/>
    </row>
    <row r="48" spans="2:88" ht="12" customHeight="1">
      <c r="B48" s="738"/>
      <c r="C48" s="739"/>
      <c r="D48" s="739"/>
      <c r="E48" s="739"/>
      <c r="F48" s="739"/>
      <c r="G48" s="739"/>
      <c r="H48" s="739"/>
      <c r="I48" s="739"/>
      <c r="J48" s="739"/>
      <c r="K48" s="739"/>
      <c r="L48" s="739"/>
      <c r="M48" s="739"/>
      <c r="N48" s="739"/>
      <c r="O48" s="739"/>
      <c r="P48" s="739"/>
      <c r="Q48" s="739"/>
      <c r="R48" s="739"/>
      <c r="S48" s="739"/>
      <c r="T48" s="739"/>
      <c r="U48" s="739"/>
      <c r="V48" s="739"/>
      <c r="W48" s="739"/>
      <c r="X48" s="739"/>
      <c r="Y48" s="739"/>
      <c r="Z48" s="739"/>
      <c r="AA48" s="739"/>
      <c r="AB48" s="739"/>
      <c r="AC48" s="739"/>
      <c r="AD48" s="739"/>
      <c r="AE48" s="739"/>
      <c r="AF48" s="739"/>
      <c r="AG48" s="739"/>
      <c r="AH48" s="739"/>
      <c r="AI48" s="739"/>
      <c r="AJ48" s="739"/>
      <c r="AK48" s="739"/>
      <c r="AL48" s="739"/>
      <c r="AM48" s="739"/>
      <c r="AN48" s="739"/>
      <c r="AO48" s="739"/>
      <c r="AP48" s="739"/>
      <c r="AQ48" s="739"/>
      <c r="AR48" s="739"/>
      <c r="AS48" s="739"/>
      <c r="AT48" s="739"/>
      <c r="AU48" s="739"/>
      <c r="AV48" s="739"/>
      <c r="AW48" s="739"/>
      <c r="AX48" s="740"/>
    </row>
    <row r="49" spans="2:50" ht="12" customHeight="1">
      <c r="B49" s="738"/>
      <c r="C49" s="739"/>
      <c r="D49" s="739"/>
      <c r="E49" s="739"/>
      <c r="F49" s="739"/>
      <c r="G49" s="739"/>
      <c r="H49" s="739"/>
      <c r="I49" s="739"/>
      <c r="J49" s="739"/>
      <c r="K49" s="739"/>
      <c r="L49" s="739"/>
      <c r="M49" s="739"/>
      <c r="N49" s="739"/>
      <c r="O49" s="739"/>
      <c r="P49" s="739"/>
      <c r="Q49" s="739"/>
      <c r="R49" s="739"/>
      <c r="S49" s="739"/>
      <c r="T49" s="739"/>
      <c r="U49" s="739"/>
      <c r="V49" s="739"/>
      <c r="W49" s="739"/>
      <c r="X49" s="739"/>
      <c r="Y49" s="739"/>
      <c r="Z49" s="739"/>
      <c r="AA49" s="739"/>
      <c r="AB49" s="739"/>
      <c r="AC49" s="739"/>
      <c r="AD49" s="739"/>
      <c r="AE49" s="739"/>
      <c r="AF49" s="739"/>
      <c r="AG49" s="739"/>
      <c r="AH49" s="739"/>
      <c r="AI49" s="739"/>
      <c r="AJ49" s="739"/>
      <c r="AK49" s="739"/>
      <c r="AL49" s="739"/>
      <c r="AM49" s="739"/>
      <c r="AN49" s="739"/>
      <c r="AO49" s="739"/>
      <c r="AP49" s="739"/>
      <c r="AQ49" s="739"/>
      <c r="AR49" s="739"/>
      <c r="AS49" s="739"/>
      <c r="AT49" s="739"/>
      <c r="AU49" s="739"/>
      <c r="AV49" s="739"/>
      <c r="AW49" s="739"/>
      <c r="AX49" s="740"/>
    </row>
    <row r="50" spans="2:50" ht="12" customHeight="1">
      <c r="B50" s="738"/>
      <c r="C50" s="739"/>
      <c r="D50" s="739"/>
      <c r="E50" s="739"/>
      <c r="F50" s="739"/>
      <c r="G50" s="739"/>
      <c r="H50" s="739"/>
      <c r="I50" s="739"/>
      <c r="J50" s="739"/>
      <c r="K50" s="739"/>
      <c r="L50" s="739"/>
      <c r="M50" s="739"/>
      <c r="N50" s="739"/>
      <c r="O50" s="739"/>
      <c r="P50" s="739"/>
      <c r="Q50" s="739"/>
      <c r="R50" s="739"/>
      <c r="S50" s="739"/>
      <c r="T50" s="739"/>
      <c r="U50" s="739"/>
      <c r="V50" s="739"/>
      <c r="W50" s="739"/>
      <c r="X50" s="739"/>
      <c r="Y50" s="739"/>
      <c r="Z50" s="739"/>
      <c r="AA50" s="739"/>
      <c r="AB50" s="739"/>
      <c r="AC50" s="739"/>
      <c r="AD50" s="739"/>
      <c r="AE50" s="739"/>
      <c r="AF50" s="739"/>
      <c r="AG50" s="739"/>
      <c r="AH50" s="739"/>
      <c r="AI50" s="739"/>
      <c r="AJ50" s="739"/>
      <c r="AK50" s="739"/>
      <c r="AL50" s="739"/>
      <c r="AM50" s="739"/>
      <c r="AN50" s="739"/>
      <c r="AO50" s="739"/>
      <c r="AP50" s="739"/>
      <c r="AQ50" s="739"/>
      <c r="AR50" s="739"/>
      <c r="AS50" s="739"/>
      <c r="AT50" s="739"/>
      <c r="AU50" s="739"/>
      <c r="AV50" s="739"/>
      <c r="AW50" s="739"/>
      <c r="AX50" s="740"/>
    </row>
    <row r="51" spans="2:50" ht="12" customHeight="1">
      <c r="B51" s="738"/>
      <c r="C51" s="739"/>
      <c r="D51" s="739"/>
      <c r="E51" s="739"/>
      <c r="F51" s="739"/>
      <c r="G51" s="739"/>
      <c r="H51" s="739"/>
      <c r="I51" s="739"/>
      <c r="J51" s="739"/>
      <c r="K51" s="739"/>
      <c r="L51" s="739"/>
      <c r="M51" s="739"/>
      <c r="N51" s="739"/>
      <c r="O51" s="739"/>
      <c r="P51" s="739"/>
      <c r="Q51" s="739"/>
      <c r="R51" s="739"/>
      <c r="S51" s="739"/>
      <c r="T51" s="739"/>
      <c r="U51" s="739"/>
      <c r="V51" s="739"/>
      <c r="W51" s="739"/>
      <c r="X51" s="739"/>
      <c r="Y51" s="739"/>
      <c r="Z51" s="739"/>
      <c r="AA51" s="739"/>
      <c r="AB51" s="739"/>
      <c r="AC51" s="739"/>
      <c r="AD51" s="739"/>
      <c r="AE51" s="739"/>
      <c r="AF51" s="739"/>
      <c r="AG51" s="739"/>
      <c r="AH51" s="739"/>
      <c r="AI51" s="739"/>
      <c r="AJ51" s="739"/>
      <c r="AK51" s="739"/>
      <c r="AL51" s="739"/>
      <c r="AM51" s="739"/>
      <c r="AN51" s="739"/>
      <c r="AO51" s="739"/>
      <c r="AP51" s="739"/>
      <c r="AQ51" s="739"/>
      <c r="AR51" s="739"/>
      <c r="AS51" s="739"/>
      <c r="AT51" s="739"/>
      <c r="AU51" s="739"/>
      <c r="AV51" s="739"/>
      <c r="AW51" s="739"/>
      <c r="AX51" s="740"/>
    </row>
    <row r="52" spans="2:50" ht="12" customHeight="1">
      <c r="B52" s="738"/>
      <c r="C52" s="739"/>
      <c r="D52" s="739"/>
      <c r="E52" s="739"/>
      <c r="F52" s="739"/>
      <c r="G52" s="739"/>
      <c r="H52" s="739"/>
      <c r="I52" s="739"/>
      <c r="J52" s="739"/>
      <c r="K52" s="739"/>
      <c r="L52" s="739"/>
      <c r="M52" s="739"/>
      <c r="N52" s="739"/>
      <c r="O52" s="739"/>
      <c r="P52" s="739"/>
      <c r="Q52" s="739"/>
      <c r="R52" s="739"/>
      <c r="S52" s="739"/>
      <c r="T52" s="739"/>
      <c r="U52" s="739"/>
      <c r="V52" s="739"/>
      <c r="W52" s="739"/>
      <c r="X52" s="739"/>
      <c r="Y52" s="739"/>
      <c r="Z52" s="739"/>
      <c r="AA52" s="739"/>
      <c r="AB52" s="739"/>
      <c r="AC52" s="739"/>
      <c r="AD52" s="739"/>
      <c r="AE52" s="739"/>
      <c r="AF52" s="739"/>
      <c r="AG52" s="739"/>
      <c r="AH52" s="739"/>
      <c r="AI52" s="739"/>
      <c r="AJ52" s="739"/>
      <c r="AK52" s="739"/>
      <c r="AL52" s="739"/>
      <c r="AM52" s="739"/>
      <c r="AN52" s="739"/>
      <c r="AO52" s="739"/>
      <c r="AP52" s="739"/>
      <c r="AQ52" s="739"/>
      <c r="AR52" s="739"/>
      <c r="AS52" s="739"/>
      <c r="AT52" s="739"/>
      <c r="AU52" s="739"/>
      <c r="AV52" s="739"/>
      <c r="AW52" s="739"/>
      <c r="AX52" s="740"/>
    </row>
    <row r="53" spans="2:50" ht="12" customHeight="1">
      <c r="B53" s="738"/>
      <c r="C53" s="739"/>
      <c r="D53" s="739"/>
      <c r="E53" s="739"/>
      <c r="F53" s="739"/>
      <c r="G53" s="739"/>
      <c r="H53" s="739"/>
      <c r="I53" s="739"/>
      <c r="J53" s="739"/>
      <c r="K53" s="739"/>
      <c r="L53" s="739"/>
      <c r="M53" s="739"/>
      <c r="N53" s="739"/>
      <c r="O53" s="739"/>
      <c r="P53" s="739"/>
      <c r="Q53" s="739"/>
      <c r="R53" s="739"/>
      <c r="S53" s="739"/>
      <c r="T53" s="739"/>
      <c r="U53" s="739"/>
      <c r="V53" s="739"/>
      <c r="W53" s="739"/>
      <c r="X53" s="739"/>
      <c r="Y53" s="739"/>
      <c r="Z53" s="739"/>
      <c r="AA53" s="739"/>
      <c r="AB53" s="739"/>
      <c r="AC53" s="739"/>
      <c r="AD53" s="739"/>
      <c r="AE53" s="739"/>
      <c r="AF53" s="739"/>
      <c r="AG53" s="739"/>
      <c r="AH53" s="739"/>
      <c r="AI53" s="739"/>
      <c r="AJ53" s="739"/>
      <c r="AK53" s="739"/>
      <c r="AL53" s="739"/>
      <c r="AM53" s="739"/>
      <c r="AN53" s="739"/>
      <c r="AO53" s="739"/>
      <c r="AP53" s="739"/>
      <c r="AQ53" s="739"/>
      <c r="AR53" s="739"/>
      <c r="AS53" s="739"/>
      <c r="AT53" s="739"/>
      <c r="AU53" s="739"/>
      <c r="AV53" s="739"/>
      <c r="AW53" s="739"/>
      <c r="AX53" s="740"/>
    </row>
    <row r="54" spans="2:50" ht="12" customHeight="1">
      <c r="B54" s="738"/>
      <c r="C54" s="739"/>
      <c r="D54" s="739"/>
      <c r="E54" s="739"/>
      <c r="F54" s="739"/>
      <c r="G54" s="739"/>
      <c r="H54" s="739"/>
      <c r="I54" s="739"/>
      <c r="J54" s="739"/>
      <c r="K54" s="739"/>
      <c r="L54" s="739"/>
      <c r="M54" s="739"/>
      <c r="N54" s="739"/>
      <c r="O54" s="739"/>
      <c r="P54" s="739"/>
      <c r="Q54" s="739"/>
      <c r="R54" s="739"/>
      <c r="S54" s="739"/>
      <c r="T54" s="739"/>
      <c r="U54" s="739"/>
      <c r="V54" s="739"/>
      <c r="W54" s="739"/>
      <c r="X54" s="739"/>
      <c r="Y54" s="739"/>
      <c r="Z54" s="739"/>
      <c r="AA54" s="739"/>
      <c r="AB54" s="739"/>
      <c r="AC54" s="739"/>
      <c r="AD54" s="739"/>
      <c r="AE54" s="739"/>
      <c r="AF54" s="739"/>
      <c r="AG54" s="739"/>
      <c r="AH54" s="739"/>
      <c r="AI54" s="739"/>
      <c r="AJ54" s="739"/>
      <c r="AK54" s="739"/>
      <c r="AL54" s="739"/>
      <c r="AM54" s="739"/>
      <c r="AN54" s="739"/>
      <c r="AO54" s="739"/>
      <c r="AP54" s="739"/>
      <c r="AQ54" s="739"/>
      <c r="AR54" s="739"/>
      <c r="AS54" s="739"/>
      <c r="AT54" s="739"/>
      <c r="AU54" s="739"/>
      <c r="AV54" s="739"/>
      <c r="AW54" s="739"/>
      <c r="AX54" s="740"/>
    </row>
    <row r="55" spans="2:50" ht="12" customHeight="1">
      <c r="B55" s="738"/>
      <c r="C55" s="739"/>
      <c r="D55" s="739"/>
      <c r="E55" s="739"/>
      <c r="F55" s="739"/>
      <c r="G55" s="739"/>
      <c r="H55" s="739"/>
      <c r="I55" s="739"/>
      <c r="J55" s="739"/>
      <c r="K55" s="739"/>
      <c r="L55" s="739"/>
      <c r="M55" s="739"/>
      <c r="N55" s="739"/>
      <c r="O55" s="739"/>
      <c r="P55" s="739"/>
      <c r="Q55" s="739"/>
      <c r="R55" s="739"/>
      <c r="S55" s="739"/>
      <c r="T55" s="739"/>
      <c r="U55" s="739"/>
      <c r="V55" s="739"/>
      <c r="W55" s="739"/>
      <c r="X55" s="739"/>
      <c r="Y55" s="739"/>
      <c r="Z55" s="739"/>
      <c r="AA55" s="739"/>
      <c r="AB55" s="739"/>
      <c r="AC55" s="739"/>
      <c r="AD55" s="739"/>
      <c r="AE55" s="739"/>
      <c r="AF55" s="739"/>
      <c r="AG55" s="739"/>
      <c r="AH55" s="739"/>
      <c r="AI55" s="739"/>
      <c r="AJ55" s="739"/>
      <c r="AK55" s="739"/>
      <c r="AL55" s="739"/>
      <c r="AM55" s="739"/>
      <c r="AN55" s="739"/>
      <c r="AO55" s="739"/>
      <c r="AP55" s="739"/>
      <c r="AQ55" s="739"/>
      <c r="AR55" s="739"/>
      <c r="AS55" s="739"/>
      <c r="AT55" s="739"/>
      <c r="AU55" s="739"/>
      <c r="AV55" s="739"/>
      <c r="AW55" s="739"/>
      <c r="AX55" s="740"/>
    </row>
    <row r="56" spans="2:50" ht="12" customHeight="1">
      <c r="B56" s="738"/>
      <c r="C56" s="739"/>
      <c r="D56" s="739"/>
      <c r="E56" s="739"/>
      <c r="F56" s="739"/>
      <c r="G56" s="739"/>
      <c r="H56" s="739"/>
      <c r="I56" s="739"/>
      <c r="J56" s="739"/>
      <c r="K56" s="739"/>
      <c r="L56" s="739"/>
      <c r="M56" s="739"/>
      <c r="N56" s="739"/>
      <c r="O56" s="739"/>
      <c r="P56" s="739"/>
      <c r="Q56" s="739"/>
      <c r="R56" s="739"/>
      <c r="S56" s="739"/>
      <c r="T56" s="739"/>
      <c r="U56" s="739"/>
      <c r="V56" s="739"/>
      <c r="W56" s="739"/>
      <c r="X56" s="739"/>
      <c r="Y56" s="739"/>
      <c r="Z56" s="739"/>
      <c r="AA56" s="739"/>
      <c r="AB56" s="739"/>
      <c r="AC56" s="739"/>
      <c r="AD56" s="739"/>
      <c r="AE56" s="739"/>
      <c r="AF56" s="739"/>
      <c r="AG56" s="739"/>
      <c r="AH56" s="739"/>
      <c r="AI56" s="739"/>
      <c r="AJ56" s="739"/>
      <c r="AK56" s="739"/>
      <c r="AL56" s="739"/>
      <c r="AM56" s="739"/>
      <c r="AN56" s="739"/>
      <c r="AO56" s="739"/>
      <c r="AP56" s="739"/>
      <c r="AQ56" s="739"/>
      <c r="AR56" s="739"/>
      <c r="AS56" s="739"/>
      <c r="AT56" s="739"/>
      <c r="AU56" s="739"/>
      <c r="AV56" s="739"/>
      <c r="AW56" s="739"/>
      <c r="AX56" s="740"/>
    </row>
    <row r="57" spans="2:50" ht="12" customHeight="1">
      <c r="B57" s="738"/>
      <c r="C57" s="739"/>
      <c r="D57" s="739"/>
      <c r="E57" s="739"/>
      <c r="F57" s="739"/>
      <c r="G57" s="739"/>
      <c r="H57" s="739"/>
      <c r="I57" s="739"/>
      <c r="J57" s="739"/>
      <c r="K57" s="739"/>
      <c r="L57" s="739"/>
      <c r="M57" s="739"/>
      <c r="N57" s="739"/>
      <c r="O57" s="739"/>
      <c r="P57" s="739"/>
      <c r="Q57" s="739"/>
      <c r="R57" s="739"/>
      <c r="S57" s="739"/>
      <c r="T57" s="739"/>
      <c r="U57" s="739"/>
      <c r="V57" s="739"/>
      <c r="W57" s="739"/>
      <c r="X57" s="739"/>
      <c r="Y57" s="739"/>
      <c r="Z57" s="739"/>
      <c r="AA57" s="739"/>
      <c r="AB57" s="739"/>
      <c r="AC57" s="739"/>
      <c r="AD57" s="739"/>
      <c r="AE57" s="739"/>
      <c r="AF57" s="739"/>
      <c r="AG57" s="739"/>
      <c r="AH57" s="739"/>
      <c r="AI57" s="739"/>
      <c r="AJ57" s="739"/>
      <c r="AK57" s="739"/>
      <c r="AL57" s="739"/>
      <c r="AM57" s="739"/>
      <c r="AN57" s="739"/>
      <c r="AO57" s="739"/>
      <c r="AP57" s="739"/>
      <c r="AQ57" s="739"/>
      <c r="AR57" s="739"/>
      <c r="AS57" s="739"/>
      <c r="AT57" s="739"/>
      <c r="AU57" s="739"/>
      <c r="AV57" s="739"/>
      <c r="AW57" s="739"/>
      <c r="AX57" s="740"/>
    </row>
    <row r="58" spans="2:50" ht="12" customHeight="1">
      <c r="B58" s="738"/>
      <c r="C58" s="739"/>
      <c r="D58" s="739"/>
      <c r="E58" s="739"/>
      <c r="F58" s="739"/>
      <c r="G58" s="739"/>
      <c r="H58" s="739"/>
      <c r="I58" s="739"/>
      <c r="J58" s="739"/>
      <c r="K58" s="739"/>
      <c r="L58" s="739"/>
      <c r="M58" s="739"/>
      <c r="N58" s="739"/>
      <c r="O58" s="739"/>
      <c r="P58" s="739"/>
      <c r="Q58" s="739"/>
      <c r="R58" s="739"/>
      <c r="S58" s="739"/>
      <c r="T58" s="739"/>
      <c r="U58" s="739"/>
      <c r="V58" s="739"/>
      <c r="W58" s="739"/>
      <c r="X58" s="739"/>
      <c r="Y58" s="739"/>
      <c r="Z58" s="739"/>
      <c r="AA58" s="739"/>
      <c r="AB58" s="739"/>
      <c r="AC58" s="739"/>
      <c r="AD58" s="739"/>
      <c r="AE58" s="739"/>
      <c r="AF58" s="739"/>
      <c r="AG58" s="739"/>
      <c r="AH58" s="739"/>
      <c r="AI58" s="739"/>
      <c r="AJ58" s="739"/>
      <c r="AK58" s="739"/>
      <c r="AL58" s="739"/>
      <c r="AM58" s="739"/>
      <c r="AN58" s="739"/>
      <c r="AO58" s="739"/>
      <c r="AP58" s="739"/>
      <c r="AQ58" s="739"/>
      <c r="AR58" s="739"/>
      <c r="AS58" s="739"/>
      <c r="AT58" s="739"/>
      <c r="AU58" s="739"/>
      <c r="AV58" s="739"/>
      <c r="AW58" s="739"/>
      <c r="AX58" s="740"/>
    </row>
    <row r="59" spans="2:50" ht="12" customHeight="1">
      <c r="B59" s="738"/>
      <c r="C59" s="739"/>
      <c r="D59" s="739"/>
      <c r="E59" s="739"/>
      <c r="F59" s="95"/>
      <c r="G59" s="739"/>
      <c r="H59" s="739"/>
      <c r="I59" s="739"/>
      <c r="J59" s="739"/>
      <c r="K59" s="739"/>
      <c r="L59" s="739"/>
      <c r="M59" s="739"/>
      <c r="N59" s="739"/>
      <c r="O59" s="739"/>
      <c r="P59" s="739"/>
      <c r="Q59" s="739"/>
      <c r="R59" s="739"/>
      <c r="S59" s="739"/>
      <c r="T59" s="739"/>
      <c r="U59" s="739"/>
      <c r="V59" s="739"/>
      <c r="W59" s="739"/>
      <c r="X59" s="739"/>
      <c r="Y59" s="739"/>
      <c r="Z59" s="739"/>
      <c r="AA59" s="739"/>
      <c r="AB59" s="739"/>
      <c r="AC59" s="739"/>
      <c r="AD59" s="739"/>
      <c r="AE59" s="739"/>
      <c r="AF59" s="739"/>
      <c r="AG59" s="739"/>
      <c r="AH59" s="739"/>
      <c r="AI59" s="739"/>
      <c r="AJ59" s="739"/>
      <c r="AK59" s="739"/>
      <c r="AL59" s="739"/>
      <c r="AM59" s="739"/>
      <c r="AN59" s="739"/>
      <c r="AO59" s="739"/>
      <c r="AP59" s="739"/>
      <c r="AQ59" s="739"/>
      <c r="AR59" s="739"/>
      <c r="AS59" s="739"/>
      <c r="AT59" s="739"/>
      <c r="AU59" s="739"/>
      <c r="AV59" s="739"/>
      <c r="AW59" s="739"/>
      <c r="AX59" s="740"/>
    </row>
    <row r="60" spans="2:50" ht="12" customHeight="1">
      <c r="B60" s="738"/>
      <c r="C60" s="739"/>
      <c r="D60" s="739"/>
      <c r="E60" s="739"/>
      <c r="F60" s="95"/>
      <c r="G60" s="739"/>
      <c r="H60" s="739"/>
      <c r="I60" s="739"/>
      <c r="J60" s="739"/>
      <c r="K60" s="739"/>
      <c r="L60" s="739"/>
      <c r="M60" s="739"/>
      <c r="N60" s="739"/>
      <c r="O60" s="739"/>
      <c r="P60" s="739"/>
      <c r="Q60" s="739"/>
      <c r="R60" s="739"/>
      <c r="S60" s="739"/>
      <c r="T60" s="739"/>
      <c r="U60" s="739"/>
      <c r="V60" s="739"/>
      <c r="W60" s="739"/>
      <c r="X60" s="739"/>
      <c r="Y60" s="739"/>
      <c r="Z60" s="739"/>
      <c r="AA60" s="739"/>
      <c r="AB60" s="739"/>
      <c r="AC60" s="739"/>
      <c r="AD60" s="739"/>
      <c r="AE60" s="739"/>
      <c r="AF60" s="739"/>
      <c r="AG60" s="739"/>
      <c r="AH60" s="739"/>
      <c r="AI60" s="739"/>
      <c r="AJ60" s="739"/>
      <c r="AK60" s="739"/>
      <c r="AL60" s="739"/>
      <c r="AM60" s="739"/>
      <c r="AN60" s="739"/>
      <c r="AO60" s="739"/>
      <c r="AP60" s="739"/>
      <c r="AQ60" s="739"/>
      <c r="AR60" s="739"/>
      <c r="AS60" s="739"/>
      <c r="AT60" s="739"/>
      <c r="AU60" s="739"/>
      <c r="AV60" s="739"/>
      <c r="AW60" s="739"/>
      <c r="AX60" s="740"/>
    </row>
    <row r="61" spans="2:50" ht="12" customHeight="1">
      <c r="B61" s="738"/>
      <c r="C61" s="739"/>
      <c r="D61" s="739"/>
      <c r="E61" s="739"/>
      <c r="F61" s="95"/>
      <c r="G61" s="739"/>
      <c r="H61" s="739"/>
      <c r="I61" s="739"/>
      <c r="J61" s="739"/>
      <c r="K61" s="739"/>
      <c r="L61" s="739"/>
      <c r="M61" s="739"/>
      <c r="N61" s="739"/>
      <c r="O61" s="739"/>
      <c r="P61" s="739"/>
      <c r="Q61" s="739"/>
      <c r="R61" s="739"/>
      <c r="S61" s="739"/>
      <c r="T61" s="739"/>
      <c r="U61" s="739"/>
      <c r="V61" s="739"/>
      <c r="W61" s="739"/>
      <c r="X61" s="739"/>
      <c r="Y61" s="739"/>
      <c r="Z61" s="739"/>
      <c r="AA61" s="739"/>
      <c r="AB61" s="739"/>
      <c r="AC61" s="739"/>
      <c r="AD61" s="739"/>
      <c r="AE61" s="739"/>
      <c r="AF61" s="739"/>
      <c r="AG61" s="739"/>
      <c r="AH61" s="739"/>
      <c r="AI61" s="739"/>
      <c r="AJ61" s="739"/>
      <c r="AK61" s="739"/>
      <c r="AL61" s="739"/>
      <c r="AM61" s="739"/>
      <c r="AN61" s="739"/>
      <c r="AO61" s="739"/>
      <c r="AP61" s="739"/>
      <c r="AQ61" s="739"/>
      <c r="AR61" s="739"/>
      <c r="AS61" s="739"/>
      <c r="AT61" s="739"/>
      <c r="AU61" s="739"/>
      <c r="AV61" s="739"/>
      <c r="AW61" s="739"/>
      <c r="AX61" s="740"/>
    </row>
    <row r="62" spans="2:50" ht="12" customHeight="1">
      <c r="B62" s="738"/>
      <c r="C62" s="739"/>
      <c r="D62" s="739"/>
      <c r="E62" s="739"/>
      <c r="F62" s="95"/>
      <c r="G62" s="739"/>
      <c r="H62" s="739"/>
      <c r="I62" s="739"/>
      <c r="J62" s="739"/>
      <c r="K62" s="739"/>
      <c r="L62" s="739"/>
      <c r="M62" s="739"/>
      <c r="N62" s="739"/>
      <c r="O62" s="739"/>
      <c r="P62" s="739"/>
      <c r="Q62" s="739"/>
      <c r="R62" s="739"/>
      <c r="S62" s="739"/>
      <c r="T62" s="739"/>
      <c r="U62" s="739"/>
      <c r="V62" s="739"/>
      <c r="W62" s="739"/>
      <c r="X62" s="739"/>
      <c r="Y62" s="739"/>
      <c r="Z62" s="739"/>
      <c r="AA62" s="739"/>
      <c r="AB62" s="739"/>
      <c r="AC62" s="739"/>
      <c r="AD62" s="739"/>
      <c r="AE62" s="739"/>
      <c r="AF62" s="739"/>
      <c r="AG62" s="739"/>
      <c r="AH62" s="739"/>
      <c r="AI62" s="739"/>
      <c r="AJ62" s="739"/>
      <c r="AK62" s="739"/>
      <c r="AL62" s="739"/>
      <c r="AM62" s="739"/>
      <c r="AN62" s="739"/>
      <c r="AO62" s="739"/>
      <c r="AP62" s="739"/>
      <c r="AQ62" s="739"/>
      <c r="AR62" s="739"/>
      <c r="AS62" s="739"/>
      <c r="AT62" s="739"/>
      <c r="AU62" s="739"/>
      <c r="AV62" s="739"/>
      <c r="AW62" s="739"/>
      <c r="AX62" s="740"/>
    </row>
    <row r="63" spans="2:50" ht="12" customHeight="1">
      <c r="B63" s="738"/>
      <c r="C63" s="739"/>
      <c r="D63" s="739"/>
      <c r="E63" s="739"/>
      <c r="F63" s="95"/>
      <c r="G63" s="739"/>
      <c r="H63" s="739"/>
      <c r="I63" s="739"/>
      <c r="J63" s="739"/>
      <c r="K63" s="739"/>
      <c r="L63" s="739"/>
      <c r="M63" s="739"/>
      <c r="N63" s="739"/>
      <c r="O63" s="739"/>
      <c r="P63" s="739"/>
      <c r="Q63" s="739"/>
      <c r="R63" s="739"/>
      <c r="S63" s="739"/>
      <c r="T63" s="739"/>
      <c r="U63" s="739"/>
      <c r="V63" s="739"/>
      <c r="W63" s="739"/>
      <c r="X63" s="739"/>
      <c r="Y63" s="739"/>
      <c r="Z63" s="739"/>
      <c r="AA63" s="739"/>
      <c r="AB63" s="739"/>
      <c r="AC63" s="739"/>
      <c r="AD63" s="739"/>
      <c r="AE63" s="739"/>
      <c r="AF63" s="739"/>
      <c r="AG63" s="739"/>
      <c r="AH63" s="739"/>
      <c r="AI63" s="739"/>
      <c r="AJ63" s="739"/>
      <c r="AK63" s="739"/>
      <c r="AL63" s="739"/>
      <c r="AM63" s="739"/>
      <c r="AN63" s="739"/>
      <c r="AO63" s="739"/>
      <c r="AP63" s="739"/>
      <c r="AQ63" s="739"/>
      <c r="AR63" s="739"/>
      <c r="AS63" s="739"/>
      <c r="AT63" s="739"/>
      <c r="AU63" s="739"/>
      <c r="AV63" s="739"/>
      <c r="AW63" s="739"/>
      <c r="AX63" s="740"/>
    </row>
    <row r="64" spans="2:50" ht="12" customHeight="1">
      <c r="B64" s="738"/>
      <c r="C64" s="739"/>
      <c r="D64" s="739"/>
      <c r="E64" s="739"/>
      <c r="F64" s="95"/>
      <c r="G64" s="739"/>
      <c r="H64" s="739"/>
      <c r="I64" s="739"/>
      <c r="J64" s="739"/>
      <c r="K64" s="739"/>
      <c r="L64" s="739"/>
      <c r="M64" s="739"/>
      <c r="N64" s="739"/>
      <c r="O64" s="739"/>
      <c r="P64" s="739"/>
      <c r="Q64" s="739"/>
      <c r="R64" s="739"/>
      <c r="S64" s="739"/>
      <c r="T64" s="739"/>
      <c r="U64" s="739"/>
      <c r="V64" s="739"/>
      <c r="W64" s="739"/>
      <c r="X64" s="739"/>
      <c r="Y64" s="739"/>
      <c r="Z64" s="739"/>
      <c r="AA64" s="739"/>
      <c r="AB64" s="739"/>
      <c r="AC64" s="739"/>
      <c r="AD64" s="739"/>
      <c r="AE64" s="739"/>
      <c r="AF64" s="739"/>
      <c r="AG64" s="739"/>
      <c r="AH64" s="739"/>
      <c r="AI64" s="739"/>
      <c r="AJ64" s="739"/>
      <c r="AK64" s="739"/>
      <c r="AL64" s="739"/>
      <c r="AM64" s="739"/>
      <c r="AN64" s="739"/>
      <c r="AO64" s="739"/>
      <c r="AP64" s="739"/>
      <c r="AQ64" s="739"/>
      <c r="AR64" s="739"/>
      <c r="AS64" s="739"/>
      <c r="AT64" s="739"/>
      <c r="AU64" s="739"/>
      <c r="AV64" s="739"/>
      <c r="AW64" s="739"/>
      <c r="AX64" s="740"/>
    </row>
    <row r="65" spans="2:88" ht="12" customHeight="1">
      <c r="B65" s="738"/>
      <c r="C65" s="739"/>
      <c r="D65" s="739"/>
      <c r="E65" s="739"/>
      <c r="F65" s="95"/>
      <c r="G65" s="739"/>
      <c r="H65" s="739"/>
      <c r="I65" s="739"/>
      <c r="J65" s="739"/>
      <c r="K65" s="739"/>
      <c r="L65" s="739"/>
      <c r="M65" s="739"/>
      <c r="N65" s="739"/>
      <c r="O65" s="739"/>
      <c r="P65" s="739"/>
      <c r="Q65" s="739"/>
      <c r="R65" s="739"/>
      <c r="S65" s="739"/>
      <c r="T65" s="739"/>
      <c r="U65" s="739"/>
      <c r="V65" s="739"/>
      <c r="W65" s="739"/>
      <c r="X65" s="739"/>
      <c r="Y65" s="739"/>
      <c r="Z65" s="739"/>
      <c r="AA65" s="739"/>
      <c r="AB65" s="739"/>
      <c r="AC65" s="739"/>
      <c r="AD65" s="739"/>
      <c r="AE65" s="739"/>
      <c r="AF65" s="739"/>
      <c r="AG65" s="739"/>
      <c r="AH65" s="739"/>
      <c r="AI65" s="739"/>
      <c r="AJ65" s="739"/>
      <c r="AK65" s="739"/>
      <c r="AL65" s="739"/>
      <c r="AM65" s="739"/>
      <c r="AN65" s="739"/>
      <c r="AO65" s="739"/>
      <c r="AP65" s="739"/>
      <c r="AQ65" s="739"/>
      <c r="AR65" s="739"/>
      <c r="AS65" s="739"/>
      <c r="AT65" s="739"/>
      <c r="AU65" s="739"/>
      <c r="AV65" s="739"/>
      <c r="AW65" s="739"/>
      <c r="AX65" s="740"/>
    </row>
    <row r="66" spans="2:88" ht="12" customHeight="1">
      <c r="B66" s="738"/>
      <c r="C66" s="739"/>
      <c r="D66" s="743" t="s">
        <v>1113</v>
      </c>
      <c r="E66" s="743" t="s">
        <v>1116</v>
      </c>
      <c r="F66" s="743"/>
      <c r="G66" s="739"/>
      <c r="H66" s="739"/>
      <c r="I66" s="739"/>
      <c r="J66" s="739"/>
      <c r="K66" s="739"/>
      <c r="L66" s="739"/>
      <c r="M66" s="739"/>
      <c r="N66" s="739"/>
      <c r="O66" s="739"/>
      <c r="P66" s="739"/>
      <c r="Q66" s="739"/>
      <c r="R66" s="739"/>
      <c r="S66" s="739"/>
      <c r="T66" s="739"/>
      <c r="U66" s="739"/>
      <c r="V66" s="739"/>
      <c r="W66" s="739"/>
      <c r="X66" s="739"/>
      <c r="Y66" s="739"/>
      <c r="Z66" s="739"/>
      <c r="AA66" s="739"/>
      <c r="AB66" s="739"/>
      <c r="AC66" s="739"/>
      <c r="AD66" s="739"/>
      <c r="AE66" s="739"/>
      <c r="AF66" s="739"/>
      <c r="AG66" s="739"/>
      <c r="AH66" s="739"/>
      <c r="AI66" s="739"/>
      <c r="AJ66" s="739"/>
      <c r="AK66" s="739"/>
      <c r="AL66" s="739"/>
      <c r="AM66" s="739"/>
      <c r="AN66" s="739"/>
      <c r="AO66" s="739"/>
      <c r="AP66" s="739"/>
      <c r="AQ66" s="739"/>
      <c r="AR66" s="739"/>
      <c r="AS66" s="739"/>
      <c r="AT66" s="739"/>
      <c r="AU66" s="739"/>
      <c r="AV66" s="739"/>
      <c r="AW66" s="739"/>
      <c r="AX66" s="740"/>
      <c r="CJ66" s="100"/>
    </row>
    <row r="67" spans="2:88" ht="12" customHeight="1">
      <c r="B67" s="738"/>
      <c r="C67" s="739"/>
      <c r="D67" s="739"/>
      <c r="E67" s="739"/>
      <c r="F67" s="739"/>
      <c r="G67" s="739"/>
      <c r="H67" s="739"/>
      <c r="I67" s="739"/>
      <c r="J67" s="739"/>
      <c r="K67" s="739"/>
      <c r="L67" s="739"/>
      <c r="M67" s="739"/>
      <c r="N67" s="739"/>
      <c r="O67" s="739"/>
      <c r="P67" s="739"/>
      <c r="Q67" s="739"/>
      <c r="R67" s="739"/>
      <c r="S67" s="739"/>
      <c r="T67" s="739"/>
      <c r="U67" s="739"/>
      <c r="V67" s="739"/>
      <c r="W67" s="739"/>
      <c r="X67" s="739"/>
      <c r="Y67" s="739"/>
      <c r="Z67" s="739"/>
      <c r="AA67" s="739"/>
      <c r="AB67" s="739"/>
      <c r="AC67" s="739"/>
      <c r="AD67" s="739"/>
      <c r="AE67" s="739"/>
      <c r="AF67" s="739"/>
      <c r="AG67" s="739"/>
      <c r="AH67" s="739"/>
      <c r="AI67" s="739"/>
      <c r="AJ67" s="739"/>
      <c r="AK67" s="739"/>
      <c r="AL67" s="739"/>
      <c r="AM67" s="739"/>
      <c r="AN67" s="739"/>
      <c r="AO67" s="739"/>
      <c r="AP67" s="739"/>
      <c r="AQ67" s="739"/>
      <c r="AR67" s="739"/>
      <c r="AS67" s="739"/>
      <c r="AT67" s="739"/>
      <c r="AU67" s="739"/>
      <c r="AV67" s="739"/>
      <c r="AW67" s="739"/>
      <c r="AX67" s="740"/>
    </row>
    <row r="68" spans="2:88" ht="12" customHeight="1">
      <c r="B68" s="738"/>
      <c r="C68" s="739"/>
      <c r="D68" s="739"/>
      <c r="E68" s="739"/>
      <c r="F68" s="739"/>
      <c r="G68" s="739"/>
      <c r="H68" s="739"/>
      <c r="I68" s="739"/>
      <c r="J68" s="739"/>
      <c r="K68" s="739"/>
      <c r="L68" s="739"/>
      <c r="M68" s="739"/>
      <c r="N68" s="739"/>
      <c r="O68" s="739"/>
      <c r="P68" s="739"/>
      <c r="Q68" s="739"/>
      <c r="R68" s="739"/>
      <c r="S68" s="739"/>
      <c r="T68" s="739"/>
      <c r="U68" s="739"/>
      <c r="V68" s="739"/>
      <c r="W68" s="739"/>
      <c r="X68" s="739"/>
      <c r="Y68" s="739"/>
      <c r="Z68" s="739"/>
      <c r="AA68" s="739"/>
      <c r="AB68" s="739"/>
      <c r="AC68" s="739"/>
      <c r="AD68" s="739"/>
      <c r="AE68" s="739"/>
      <c r="AF68" s="739"/>
      <c r="AG68" s="739"/>
      <c r="AH68" s="739"/>
      <c r="AI68" s="739"/>
      <c r="AJ68" s="739"/>
      <c r="AK68" s="739"/>
      <c r="AL68" s="739"/>
      <c r="AM68" s="739"/>
      <c r="AN68" s="739"/>
      <c r="AO68" s="739"/>
      <c r="AP68" s="739"/>
      <c r="AQ68" s="739"/>
      <c r="AR68" s="739"/>
      <c r="AS68" s="739"/>
      <c r="AT68" s="739"/>
      <c r="AU68" s="739"/>
      <c r="AV68" s="739"/>
      <c r="AW68" s="739"/>
      <c r="AX68" s="740"/>
    </row>
    <row r="69" spans="2:88" ht="12" customHeight="1">
      <c r="B69" s="738"/>
      <c r="C69" s="739"/>
      <c r="D69" s="739"/>
      <c r="E69" s="739"/>
      <c r="F69" s="739"/>
      <c r="G69" s="739"/>
      <c r="H69" s="739"/>
      <c r="I69" s="739"/>
      <c r="J69" s="739"/>
      <c r="K69" s="739"/>
      <c r="L69" s="739"/>
      <c r="M69" s="739"/>
      <c r="N69" s="739"/>
      <c r="O69" s="739"/>
      <c r="P69" s="739"/>
      <c r="Q69" s="739"/>
      <c r="R69" s="739"/>
      <c r="S69" s="739"/>
      <c r="T69" s="739"/>
      <c r="U69" s="739"/>
      <c r="V69" s="739"/>
      <c r="W69" s="739"/>
      <c r="X69" s="739"/>
      <c r="Y69" s="739"/>
      <c r="Z69" s="739"/>
      <c r="AA69" s="739"/>
      <c r="AB69" s="739"/>
      <c r="AC69" s="739"/>
      <c r="AD69" s="739"/>
      <c r="AE69" s="739"/>
      <c r="AF69" s="739"/>
      <c r="AG69" s="739"/>
      <c r="AH69" s="739"/>
      <c r="AI69" s="739"/>
      <c r="AJ69" s="739"/>
      <c r="AK69" s="739"/>
      <c r="AL69" s="739"/>
      <c r="AM69" s="739"/>
      <c r="AN69" s="739"/>
      <c r="AO69" s="739"/>
      <c r="AP69" s="739"/>
      <c r="AQ69" s="739"/>
      <c r="AR69" s="739"/>
      <c r="AS69" s="739"/>
      <c r="AT69" s="739"/>
      <c r="AU69" s="739"/>
      <c r="AV69" s="739"/>
      <c r="AW69" s="739"/>
      <c r="AX69" s="740"/>
    </row>
    <row r="70" spans="2:88" ht="12" customHeight="1">
      <c r="B70" s="738"/>
      <c r="C70" s="739"/>
      <c r="D70" s="739"/>
      <c r="E70" s="739"/>
      <c r="F70" s="739"/>
      <c r="G70" s="739"/>
      <c r="H70" s="739"/>
      <c r="I70" s="739"/>
      <c r="J70" s="739"/>
      <c r="K70" s="739"/>
      <c r="L70" s="739"/>
      <c r="M70" s="739"/>
      <c r="N70" s="739"/>
      <c r="O70" s="739"/>
      <c r="P70" s="739"/>
      <c r="Q70" s="739"/>
      <c r="R70" s="739"/>
      <c r="S70" s="739"/>
      <c r="T70" s="739"/>
      <c r="U70" s="739"/>
      <c r="V70" s="739"/>
      <c r="W70" s="739"/>
      <c r="X70" s="739"/>
      <c r="Y70" s="739"/>
      <c r="Z70" s="739"/>
      <c r="AA70" s="739"/>
      <c r="AB70" s="739"/>
      <c r="AC70" s="739"/>
      <c r="AD70" s="739"/>
      <c r="AE70" s="739"/>
      <c r="AF70" s="739"/>
      <c r="AG70" s="739"/>
      <c r="AH70" s="739"/>
      <c r="AI70" s="739"/>
      <c r="AJ70" s="739"/>
      <c r="AK70" s="739"/>
      <c r="AL70" s="739"/>
      <c r="AM70" s="739"/>
      <c r="AN70" s="739"/>
      <c r="AO70" s="739"/>
      <c r="AP70" s="739"/>
      <c r="AQ70" s="739"/>
      <c r="AR70" s="739"/>
      <c r="AS70" s="739"/>
      <c r="AT70" s="739"/>
      <c r="AU70" s="739"/>
      <c r="AV70" s="739"/>
      <c r="AW70" s="739"/>
      <c r="AX70" s="740"/>
    </row>
    <row r="71" spans="2:88" ht="12" customHeight="1">
      <c r="B71" s="738"/>
      <c r="C71" s="739"/>
      <c r="D71" s="739"/>
      <c r="E71" s="739"/>
      <c r="F71" s="739"/>
      <c r="G71" s="739"/>
      <c r="H71" s="739"/>
      <c r="I71" s="739"/>
      <c r="J71" s="739"/>
      <c r="K71" s="739"/>
      <c r="L71" s="739"/>
      <c r="M71" s="739"/>
      <c r="N71" s="739"/>
      <c r="O71" s="739"/>
      <c r="P71" s="739"/>
      <c r="Q71" s="739"/>
      <c r="R71" s="739"/>
      <c r="S71" s="739"/>
      <c r="T71" s="739"/>
      <c r="U71" s="739"/>
      <c r="V71" s="739"/>
      <c r="W71" s="739"/>
      <c r="X71" s="739"/>
      <c r="Y71" s="739"/>
      <c r="Z71" s="739"/>
      <c r="AA71" s="739"/>
      <c r="AB71" s="739"/>
      <c r="AC71" s="739"/>
      <c r="AD71" s="739"/>
      <c r="AE71" s="739"/>
      <c r="AF71" s="739"/>
      <c r="AG71" s="739"/>
      <c r="AH71" s="739"/>
      <c r="AI71" s="739"/>
      <c r="AJ71" s="739"/>
      <c r="AK71" s="739"/>
      <c r="AL71" s="739"/>
      <c r="AM71" s="739"/>
      <c r="AN71" s="739"/>
      <c r="AO71" s="739"/>
      <c r="AP71" s="739"/>
      <c r="AQ71" s="739"/>
      <c r="AR71" s="739"/>
      <c r="AS71" s="739"/>
      <c r="AT71" s="739"/>
      <c r="AU71" s="739"/>
      <c r="AV71" s="739"/>
      <c r="AW71" s="739"/>
      <c r="AX71" s="740"/>
    </row>
    <row r="72" spans="2:88" ht="12" customHeight="1">
      <c r="B72" s="738"/>
      <c r="C72" s="739"/>
      <c r="D72" s="739"/>
      <c r="E72" s="739"/>
      <c r="F72" s="739"/>
      <c r="G72" s="739"/>
      <c r="H72" s="739"/>
      <c r="I72" s="739"/>
      <c r="J72" s="739"/>
      <c r="K72" s="739"/>
      <c r="L72" s="739"/>
      <c r="M72" s="739"/>
      <c r="N72" s="739"/>
      <c r="O72" s="739"/>
      <c r="P72" s="739"/>
      <c r="Q72" s="739"/>
      <c r="R72" s="739"/>
      <c r="S72" s="739"/>
      <c r="T72" s="739"/>
      <c r="U72" s="739"/>
      <c r="V72" s="739"/>
      <c r="W72" s="739"/>
      <c r="X72" s="739"/>
      <c r="Y72" s="739"/>
      <c r="Z72" s="739"/>
      <c r="AA72" s="739"/>
      <c r="AB72" s="739"/>
      <c r="AC72" s="739"/>
      <c r="AD72" s="739"/>
      <c r="AE72" s="739"/>
      <c r="AF72" s="739"/>
      <c r="AG72" s="739"/>
      <c r="AH72" s="739"/>
      <c r="AI72" s="739"/>
      <c r="AJ72" s="739"/>
      <c r="AK72" s="739"/>
      <c r="AL72" s="739"/>
      <c r="AM72" s="739"/>
      <c r="AN72" s="739"/>
      <c r="AO72" s="739"/>
      <c r="AP72" s="739"/>
      <c r="AQ72" s="739"/>
      <c r="AR72" s="739"/>
      <c r="AS72" s="739"/>
      <c r="AT72" s="739"/>
      <c r="AU72" s="739"/>
      <c r="AV72" s="739"/>
      <c r="AW72" s="739"/>
      <c r="AX72" s="740"/>
    </row>
    <row r="73" spans="2:88" ht="12" customHeight="1">
      <c r="B73" s="738"/>
      <c r="C73" s="739"/>
      <c r="D73" s="739"/>
      <c r="E73" s="739"/>
      <c r="F73" s="739"/>
      <c r="G73" s="739"/>
      <c r="H73" s="739"/>
      <c r="I73" s="739"/>
      <c r="J73" s="739"/>
      <c r="K73" s="739"/>
      <c r="L73" s="739"/>
      <c r="M73" s="739"/>
      <c r="N73" s="739"/>
      <c r="O73" s="739"/>
      <c r="P73" s="739"/>
      <c r="Q73" s="739"/>
      <c r="R73" s="739"/>
      <c r="S73" s="739"/>
      <c r="T73" s="739"/>
      <c r="U73" s="739"/>
      <c r="V73" s="739"/>
      <c r="W73" s="739"/>
      <c r="X73" s="739"/>
      <c r="Y73" s="739"/>
      <c r="Z73" s="739"/>
      <c r="AA73" s="739"/>
      <c r="AB73" s="739"/>
      <c r="AC73" s="739"/>
      <c r="AD73" s="739"/>
      <c r="AE73" s="739"/>
      <c r="AF73" s="739"/>
      <c r="AG73" s="739"/>
      <c r="AH73" s="739"/>
      <c r="AI73" s="739"/>
      <c r="AJ73" s="739"/>
      <c r="AK73" s="739"/>
      <c r="AL73" s="739"/>
      <c r="AM73" s="739"/>
      <c r="AN73" s="739"/>
      <c r="AO73" s="739"/>
      <c r="AP73" s="739"/>
      <c r="AQ73" s="739"/>
      <c r="AR73" s="739"/>
      <c r="AS73" s="739"/>
      <c r="AT73" s="739"/>
      <c r="AU73" s="739"/>
      <c r="AV73" s="739"/>
      <c r="AW73" s="739"/>
      <c r="AX73" s="740"/>
    </row>
    <row r="74" spans="2:88" ht="12" customHeight="1">
      <c r="B74" s="738"/>
      <c r="C74" s="739"/>
      <c r="D74" s="739"/>
      <c r="E74" s="739"/>
      <c r="F74" s="739"/>
      <c r="G74" s="739"/>
      <c r="H74" s="739"/>
      <c r="I74" s="739"/>
      <c r="J74" s="739"/>
      <c r="K74" s="739"/>
      <c r="L74" s="739"/>
      <c r="M74" s="739"/>
      <c r="N74" s="739"/>
      <c r="O74" s="739"/>
      <c r="P74" s="739"/>
      <c r="Q74" s="739"/>
      <c r="R74" s="739"/>
      <c r="S74" s="739"/>
      <c r="T74" s="739"/>
      <c r="U74" s="739"/>
      <c r="V74" s="739"/>
      <c r="W74" s="739"/>
      <c r="X74" s="739"/>
      <c r="Y74" s="739"/>
      <c r="Z74" s="739"/>
      <c r="AA74" s="739"/>
      <c r="AB74" s="739"/>
      <c r="AC74" s="739"/>
      <c r="AD74" s="739"/>
      <c r="AE74" s="739"/>
      <c r="AF74" s="739"/>
      <c r="AG74" s="739"/>
      <c r="AH74" s="739"/>
      <c r="AI74" s="739"/>
      <c r="AJ74" s="739"/>
      <c r="AK74" s="739"/>
      <c r="AL74" s="739"/>
      <c r="AM74" s="739"/>
      <c r="AN74" s="739"/>
      <c r="AO74" s="739"/>
      <c r="AP74" s="739"/>
      <c r="AQ74" s="739"/>
      <c r="AR74" s="739"/>
      <c r="AS74" s="739"/>
      <c r="AT74" s="739"/>
      <c r="AU74" s="739"/>
      <c r="AV74" s="739"/>
      <c r="AW74" s="739"/>
      <c r="AX74" s="740"/>
    </row>
    <row r="75" spans="2:88" ht="12" customHeight="1">
      <c r="B75" s="738"/>
      <c r="C75" s="739"/>
      <c r="D75" s="739"/>
      <c r="E75" s="739"/>
      <c r="F75" s="739"/>
      <c r="G75" s="739"/>
      <c r="H75" s="739"/>
      <c r="I75" s="739"/>
      <c r="J75" s="739"/>
      <c r="K75" s="739"/>
      <c r="L75" s="739"/>
      <c r="M75" s="739"/>
      <c r="N75" s="739"/>
      <c r="O75" s="739"/>
      <c r="P75" s="739"/>
      <c r="Q75" s="739"/>
      <c r="R75" s="739"/>
      <c r="S75" s="739"/>
      <c r="T75" s="739"/>
      <c r="U75" s="739"/>
      <c r="V75" s="739"/>
      <c r="W75" s="739"/>
      <c r="X75" s="739"/>
      <c r="Y75" s="739"/>
      <c r="Z75" s="739"/>
      <c r="AA75" s="739"/>
      <c r="AB75" s="739"/>
      <c r="AC75" s="739"/>
      <c r="AD75" s="739"/>
      <c r="AE75" s="739"/>
      <c r="AF75" s="739"/>
      <c r="AG75" s="739"/>
      <c r="AH75" s="739"/>
      <c r="AI75" s="739"/>
      <c r="AJ75" s="739"/>
      <c r="AK75" s="739"/>
      <c r="AL75" s="739"/>
      <c r="AM75" s="739"/>
      <c r="AN75" s="739"/>
      <c r="AO75" s="739"/>
      <c r="AP75" s="739"/>
      <c r="AQ75" s="739"/>
      <c r="AR75" s="739"/>
      <c r="AS75" s="739"/>
      <c r="AT75" s="739"/>
      <c r="AU75" s="739"/>
      <c r="AV75" s="739"/>
      <c r="AW75" s="739"/>
      <c r="AX75" s="740"/>
    </row>
    <row r="76" spans="2:88" ht="12" customHeight="1">
      <c r="B76" s="738"/>
      <c r="C76" s="739"/>
      <c r="D76" s="739"/>
      <c r="E76" s="739"/>
      <c r="F76" s="739"/>
      <c r="G76" s="739"/>
      <c r="H76" s="739"/>
      <c r="I76" s="739"/>
      <c r="J76" s="739"/>
      <c r="K76" s="739"/>
      <c r="L76" s="739"/>
      <c r="M76" s="739"/>
      <c r="N76" s="739"/>
      <c r="O76" s="739"/>
      <c r="P76" s="739"/>
      <c r="Q76" s="739"/>
      <c r="R76" s="739"/>
      <c r="S76" s="739"/>
      <c r="T76" s="739"/>
      <c r="U76" s="739"/>
      <c r="V76" s="739"/>
      <c r="W76" s="739"/>
      <c r="X76" s="739"/>
      <c r="Y76" s="739"/>
      <c r="Z76" s="739"/>
      <c r="AA76" s="739"/>
      <c r="AB76" s="739"/>
      <c r="AC76" s="739"/>
      <c r="AD76" s="739"/>
      <c r="AE76" s="739"/>
      <c r="AF76" s="739"/>
      <c r="AG76" s="739"/>
      <c r="AH76" s="739"/>
      <c r="AI76" s="739"/>
      <c r="AJ76" s="739"/>
      <c r="AK76" s="739"/>
      <c r="AL76" s="739"/>
      <c r="AM76" s="739"/>
      <c r="AN76" s="739"/>
      <c r="AO76" s="739"/>
      <c r="AP76" s="739"/>
      <c r="AQ76" s="739"/>
      <c r="AR76" s="739"/>
      <c r="AS76" s="739"/>
      <c r="AT76" s="739"/>
      <c r="AU76" s="739"/>
      <c r="AV76" s="739"/>
      <c r="AW76" s="739"/>
      <c r="AX76" s="740"/>
    </row>
    <row r="77" spans="2:88" ht="12" customHeight="1">
      <c r="B77" s="738"/>
      <c r="C77" s="739"/>
      <c r="D77" s="739"/>
      <c r="E77" s="739"/>
      <c r="F77" s="739"/>
      <c r="G77" s="739"/>
      <c r="H77" s="739"/>
      <c r="I77" s="739"/>
      <c r="J77" s="739"/>
      <c r="K77" s="739"/>
      <c r="L77" s="739"/>
      <c r="M77" s="739"/>
      <c r="N77" s="739"/>
      <c r="O77" s="739"/>
      <c r="P77" s="739"/>
      <c r="Q77" s="739"/>
      <c r="R77" s="739"/>
      <c r="S77" s="739"/>
      <c r="T77" s="739"/>
      <c r="U77" s="739"/>
      <c r="V77" s="739"/>
      <c r="W77" s="739"/>
      <c r="X77" s="739"/>
      <c r="Y77" s="739"/>
      <c r="Z77" s="739"/>
      <c r="AA77" s="739"/>
      <c r="AB77" s="739"/>
      <c r="AC77" s="739"/>
      <c r="AD77" s="739"/>
      <c r="AE77" s="739"/>
      <c r="AF77" s="739"/>
      <c r="AG77" s="739"/>
      <c r="AH77" s="739"/>
      <c r="AI77" s="739"/>
      <c r="AJ77" s="739"/>
      <c r="AK77" s="739"/>
      <c r="AL77" s="739"/>
      <c r="AM77" s="739"/>
      <c r="AN77" s="739"/>
      <c r="AO77" s="739"/>
      <c r="AP77" s="739"/>
      <c r="AQ77" s="739"/>
      <c r="AR77" s="739"/>
      <c r="AS77" s="739"/>
      <c r="AT77" s="739"/>
      <c r="AU77" s="739"/>
      <c r="AV77" s="739"/>
      <c r="AW77" s="739"/>
      <c r="AX77" s="740"/>
    </row>
    <row r="78" spans="2:88" ht="12" customHeight="1">
      <c r="B78" s="738"/>
      <c r="C78" s="739"/>
      <c r="D78" s="739"/>
      <c r="E78" s="739"/>
      <c r="F78" s="739"/>
      <c r="G78" s="739"/>
      <c r="H78" s="739"/>
      <c r="I78" s="739"/>
      <c r="J78" s="739"/>
      <c r="K78" s="739"/>
      <c r="L78" s="739"/>
      <c r="M78" s="739"/>
      <c r="N78" s="739"/>
      <c r="O78" s="739"/>
      <c r="P78" s="739"/>
      <c r="Q78" s="739"/>
      <c r="R78" s="739"/>
      <c r="S78" s="739"/>
      <c r="T78" s="739"/>
      <c r="U78" s="739"/>
      <c r="V78" s="739"/>
      <c r="W78" s="739"/>
      <c r="X78" s="739"/>
      <c r="Y78" s="739"/>
      <c r="Z78" s="739"/>
      <c r="AA78" s="739"/>
      <c r="AB78" s="739"/>
      <c r="AC78" s="739"/>
      <c r="AD78" s="739"/>
      <c r="AE78" s="739"/>
      <c r="AF78" s="739"/>
      <c r="AG78" s="739"/>
      <c r="AH78" s="739"/>
      <c r="AI78" s="739"/>
      <c r="AJ78" s="739"/>
      <c r="AK78" s="739"/>
      <c r="AL78" s="739"/>
      <c r="AM78" s="739"/>
      <c r="AN78" s="739"/>
      <c r="AO78" s="739"/>
      <c r="AP78" s="739"/>
      <c r="AQ78" s="739"/>
      <c r="AR78" s="739"/>
      <c r="AS78" s="739"/>
      <c r="AT78" s="739"/>
      <c r="AU78" s="739"/>
      <c r="AV78" s="739"/>
      <c r="AW78" s="739"/>
      <c r="AX78" s="740"/>
    </row>
    <row r="79" spans="2:88" ht="12" customHeight="1">
      <c r="B79" s="738"/>
      <c r="C79" s="739"/>
      <c r="D79" s="739"/>
      <c r="E79" s="739"/>
      <c r="F79" s="739"/>
      <c r="G79" s="739"/>
      <c r="H79" s="739"/>
      <c r="I79" s="739"/>
      <c r="J79" s="739"/>
      <c r="K79" s="739"/>
      <c r="L79" s="739"/>
      <c r="M79" s="739"/>
      <c r="N79" s="739"/>
      <c r="O79" s="739"/>
      <c r="P79" s="739"/>
      <c r="Q79" s="739"/>
      <c r="R79" s="739"/>
      <c r="S79" s="739"/>
      <c r="T79" s="739"/>
      <c r="U79" s="739"/>
      <c r="V79" s="739"/>
      <c r="W79" s="739"/>
      <c r="X79" s="739"/>
      <c r="Y79" s="739"/>
      <c r="Z79" s="739"/>
      <c r="AA79" s="739"/>
      <c r="AB79" s="739"/>
      <c r="AC79" s="739"/>
      <c r="AD79" s="739"/>
      <c r="AE79" s="739"/>
      <c r="AF79" s="739"/>
      <c r="AG79" s="739"/>
      <c r="AH79" s="739"/>
      <c r="AI79" s="739"/>
      <c r="AJ79" s="739"/>
      <c r="AK79" s="739"/>
      <c r="AL79" s="739"/>
      <c r="AM79" s="739"/>
      <c r="AN79" s="739"/>
      <c r="AO79" s="739"/>
      <c r="AP79" s="739"/>
      <c r="AQ79" s="739"/>
      <c r="AR79" s="739"/>
      <c r="AS79" s="739"/>
      <c r="AT79" s="739"/>
      <c r="AU79" s="739"/>
      <c r="AV79" s="739"/>
      <c r="AW79" s="739"/>
      <c r="AX79" s="740"/>
    </row>
    <row r="80" spans="2:88" ht="12" customHeight="1">
      <c r="B80" s="738"/>
      <c r="C80" s="739"/>
      <c r="D80" s="739"/>
      <c r="E80" s="739"/>
      <c r="F80" s="739"/>
      <c r="G80" s="739"/>
      <c r="H80" s="739"/>
      <c r="I80" s="739"/>
      <c r="J80" s="739"/>
      <c r="K80" s="739"/>
      <c r="L80" s="739"/>
      <c r="M80" s="739"/>
      <c r="N80" s="739"/>
      <c r="O80" s="739"/>
      <c r="P80" s="739"/>
      <c r="Q80" s="739"/>
      <c r="R80" s="739"/>
      <c r="S80" s="739"/>
      <c r="T80" s="739"/>
      <c r="U80" s="739"/>
      <c r="V80" s="739"/>
      <c r="W80" s="739"/>
      <c r="X80" s="739"/>
      <c r="Y80" s="739"/>
      <c r="Z80" s="739"/>
      <c r="AA80" s="739"/>
      <c r="AB80" s="739"/>
      <c r="AC80" s="739"/>
      <c r="AD80" s="739"/>
      <c r="AE80" s="739"/>
      <c r="AF80" s="739"/>
      <c r="AG80" s="739"/>
      <c r="AH80" s="739"/>
      <c r="AI80" s="739"/>
      <c r="AJ80" s="739"/>
      <c r="AK80" s="739"/>
      <c r="AL80" s="739"/>
      <c r="AM80" s="739"/>
      <c r="AN80" s="739"/>
      <c r="AO80" s="739"/>
      <c r="AP80" s="739"/>
      <c r="AQ80" s="739"/>
      <c r="AR80" s="739"/>
      <c r="AS80" s="739"/>
      <c r="AT80" s="739"/>
      <c r="AU80" s="739"/>
      <c r="AV80" s="739"/>
      <c r="AW80" s="739"/>
      <c r="AX80" s="740"/>
    </row>
    <row r="81" spans="2:88" ht="12" customHeight="1">
      <c r="B81" s="738"/>
      <c r="C81" s="739"/>
      <c r="D81" s="739"/>
      <c r="E81" s="739"/>
      <c r="F81" s="739"/>
      <c r="G81" s="739"/>
      <c r="H81" s="739"/>
      <c r="I81" s="739"/>
      <c r="J81" s="739"/>
      <c r="K81" s="739"/>
      <c r="L81" s="739"/>
      <c r="M81" s="739"/>
      <c r="N81" s="739"/>
      <c r="O81" s="739"/>
      <c r="P81" s="739"/>
      <c r="Q81" s="739"/>
      <c r="R81" s="739"/>
      <c r="S81" s="739"/>
      <c r="T81" s="739"/>
      <c r="U81" s="739"/>
      <c r="V81" s="739"/>
      <c r="W81" s="739"/>
      <c r="X81" s="739"/>
      <c r="Y81" s="739"/>
      <c r="Z81" s="739"/>
      <c r="AA81" s="739"/>
      <c r="AB81" s="739"/>
      <c r="AC81" s="739"/>
      <c r="AD81" s="739"/>
      <c r="AE81" s="739"/>
      <c r="AF81" s="739"/>
      <c r="AG81" s="739"/>
      <c r="AH81" s="739"/>
      <c r="AI81" s="739"/>
      <c r="AJ81" s="739"/>
      <c r="AK81" s="739"/>
      <c r="AL81" s="739"/>
      <c r="AM81" s="739"/>
      <c r="AN81" s="739"/>
      <c r="AO81" s="739"/>
      <c r="AP81" s="739"/>
      <c r="AQ81" s="739"/>
      <c r="AR81" s="739"/>
      <c r="AS81" s="739"/>
      <c r="AT81" s="739"/>
      <c r="AU81" s="739"/>
      <c r="AV81" s="739"/>
      <c r="AW81" s="739"/>
      <c r="AX81" s="740"/>
    </row>
    <row r="82" spans="2:88" ht="12" customHeight="1">
      <c r="B82" s="738"/>
      <c r="C82" s="739"/>
      <c r="D82" s="739"/>
      <c r="E82" s="739"/>
      <c r="F82" s="739"/>
      <c r="G82" s="739"/>
      <c r="H82" s="739"/>
      <c r="I82" s="739"/>
      <c r="J82" s="739"/>
      <c r="K82" s="739"/>
      <c r="L82" s="739"/>
      <c r="M82" s="739"/>
      <c r="N82" s="739"/>
      <c r="O82" s="739"/>
      <c r="P82" s="739"/>
      <c r="Q82" s="739"/>
      <c r="R82" s="739"/>
      <c r="S82" s="739"/>
      <c r="T82" s="739"/>
      <c r="U82" s="739"/>
      <c r="V82" s="739"/>
      <c r="W82" s="739"/>
      <c r="X82" s="739"/>
      <c r="Y82" s="739"/>
      <c r="Z82" s="739"/>
      <c r="AA82" s="739"/>
      <c r="AB82" s="739"/>
      <c r="AC82" s="739"/>
      <c r="AD82" s="739"/>
      <c r="AE82" s="739"/>
      <c r="AF82" s="739"/>
      <c r="AG82" s="739"/>
      <c r="AH82" s="739"/>
      <c r="AI82" s="739"/>
      <c r="AJ82" s="739"/>
      <c r="AK82" s="739"/>
      <c r="AL82" s="739"/>
      <c r="AM82" s="739"/>
      <c r="AN82" s="739"/>
      <c r="AO82" s="739"/>
      <c r="AP82" s="739"/>
      <c r="AQ82" s="739"/>
      <c r="AR82" s="739"/>
      <c r="AS82" s="739"/>
      <c r="AT82" s="739"/>
      <c r="AU82" s="739"/>
      <c r="AV82" s="739"/>
      <c r="AW82" s="739"/>
      <c r="AX82" s="740"/>
    </row>
    <row r="83" spans="2:88" ht="12" customHeight="1">
      <c r="B83" s="738"/>
      <c r="C83" s="739"/>
      <c r="D83" s="739"/>
      <c r="E83" s="739"/>
      <c r="F83" s="739"/>
      <c r="G83" s="739"/>
      <c r="H83" s="739"/>
      <c r="I83" s="739"/>
      <c r="J83" s="739"/>
      <c r="K83" s="739"/>
      <c r="L83" s="739"/>
      <c r="M83" s="739"/>
      <c r="N83" s="739"/>
      <c r="O83" s="739"/>
      <c r="P83" s="739"/>
      <c r="Q83" s="739"/>
      <c r="R83" s="739"/>
      <c r="S83" s="739"/>
      <c r="T83" s="739"/>
      <c r="U83" s="739"/>
      <c r="V83" s="739"/>
      <c r="W83" s="739"/>
      <c r="X83" s="739"/>
      <c r="Y83" s="739"/>
      <c r="Z83" s="739"/>
      <c r="AA83" s="739"/>
      <c r="AB83" s="739"/>
      <c r="AC83" s="739"/>
      <c r="AD83" s="739"/>
      <c r="AE83" s="739"/>
      <c r="AF83" s="739"/>
      <c r="AG83" s="739"/>
      <c r="AH83" s="739"/>
      <c r="AI83" s="739"/>
      <c r="AJ83" s="739"/>
      <c r="AK83" s="739"/>
      <c r="AL83" s="739"/>
      <c r="AM83" s="739"/>
      <c r="AN83" s="739"/>
      <c r="AO83" s="739"/>
      <c r="AP83" s="739"/>
      <c r="AQ83" s="739"/>
      <c r="AR83" s="739"/>
      <c r="AS83" s="739"/>
      <c r="AT83" s="739"/>
      <c r="AU83" s="739"/>
      <c r="AV83" s="739"/>
      <c r="AW83" s="739"/>
      <c r="AX83" s="740"/>
    </row>
    <row r="84" spans="2:88" ht="12" customHeight="1">
      <c r="B84" s="738"/>
      <c r="C84" s="739"/>
      <c r="D84" s="739"/>
      <c r="E84" s="739"/>
      <c r="F84" s="739"/>
      <c r="G84" s="739"/>
      <c r="H84" s="739"/>
      <c r="I84" s="739"/>
      <c r="J84" s="739"/>
      <c r="K84" s="739"/>
      <c r="L84" s="739"/>
      <c r="M84" s="739"/>
      <c r="N84" s="739"/>
      <c r="O84" s="739"/>
      <c r="P84" s="739"/>
      <c r="Q84" s="739"/>
      <c r="R84" s="739"/>
      <c r="S84" s="739"/>
      <c r="T84" s="739"/>
      <c r="U84" s="739"/>
      <c r="V84" s="739"/>
      <c r="W84" s="739"/>
      <c r="X84" s="739"/>
      <c r="Y84" s="739"/>
      <c r="Z84" s="739"/>
      <c r="AA84" s="739"/>
      <c r="AB84" s="739"/>
      <c r="AC84" s="739"/>
      <c r="AD84" s="739"/>
      <c r="AE84" s="739"/>
      <c r="AF84" s="739"/>
      <c r="AG84" s="739"/>
      <c r="AH84" s="739"/>
      <c r="AI84" s="739"/>
      <c r="AJ84" s="739"/>
      <c r="AK84" s="739"/>
      <c r="AL84" s="739"/>
      <c r="AM84" s="739"/>
      <c r="AN84" s="739"/>
      <c r="AO84" s="739"/>
      <c r="AP84" s="739"/>
      <c r="AQ84" s="739"/>
      <c r="AR84" s="739"/>
      <c r="AS84" s="739"/>
      <c r="AT84" s="739"/>
      <c r="AU84" s="739"/>
      <c r="AV84" s="739"/>
      <c r="AW84" s="739"/>
      <c r="AX84" s="740"/>
    </row>
    <row r="85" spans="2:88" ht="12" customHeight="1">
      <c r="B85" s="738"/>
      <c r="C85" s="739"/>
      <c r="D85" s="739"/>
      <c r="E85" s="739"/>
      <c r="F85" s="739"/>
      <c r="G85" s="739"/>
      <c r="H85" s="739"/>
      <c r="I85" s="739"/>
      <c r="J85" s="739"/>
      <c r="K85" s="739"/>
      <c r="L85" s="739"/>
      <c r="M85" s="739"/>
      <c r="N85" s="739"/>
      <c r="O85" s="739"/>
      <c r="P85" s="739"/>
      <c r="Q85" s="739"/>
      <c r="R85" s="739"/>
      <c r="S85" s="739"/>
      <c r="T85" s="739"/>
      <c r="U85" s="739"/>
      <c r="V85" s="739"/>
      <c r="W85" s="739"/>
      <c r="X85" s="739"/>
      <c r="Y85" s="739"/>
      <c r="Z85" s="739"/>
      <c r="AA85" s="739"/>
      <c r="AB85" s="739"/>
      <c r="AC85" s="739"/>
      <c r="AD85" s="739"/>
      <c r="AE85" s="739"/>
      <c r="AF85" s="739"/>
      <c r="AG85" s="739"/>
      <c r="AH85" s="739"/>
      <c r="AI85" s="739"/>
      <c r="AJ85" s="739"/>
      <c r="AK85" s="739"/>
      <c r="AL85" s="739"/>
      <c r="AM85" s="739"/>
      <c r="AN85" s="739"/>
      <c r="AO85" s="739"/>
      <c r="AP85" s="739"/>
      <c r="AQ85" s="739"/>
      <c r="AR85" s="739"/>
      <c r="AS85" s="739"/>
      <c r="AT85" s="739"/>
      <c r="AU85" s="739"/>
      <c r="AV85" s="739"/>
      <c r="AW85" s="739"/>
      <c r="AX85" s="740"/>
    </row>
    <row r="86" spans="2:88" ht="12" customHeight="1">
      <c r="B86" s="738"/>
      <c r="C86" s="739"/>
      <c r="D86" s="739"/>
      <c r="E86" s="739"/>
      <c r="F86" s="739"/>
      <c r="G86" s="739"/>
      <c r="H86" s="739"/>
      <c r="I86" s="739"/>
      <c r="J86" s="739"/>
      <c r="K86" s="739"/>
      <c r="L86" s="739"/>
      <c r="M86" s="739"/>
      <c r="N86" s="739"/>
      <c r="O86" s="739"/>
      <c r="P86" s="739"/>
      <c r="Q86" s="739"/>
      <c r="R86" s="739"/>
      <c r="S86" s="739"/>
      <c r="T86" s="739"/>
      <c r="U86" s="739"/>
      <c r="V86" s="739"/>
      <c r="W86" s="739"/>
      <c r="X86" s="739"/>
      <c r="Y86" s="739"/>
      <c r="Z86" s="739"/>
      <c r="AA86" s="739"/>
      <c r="AB86" s="739"/>
      <c r="AC86" s="739"/>
      <c r="AD86" s="739"/>
      <c r="AE86" s="739"/>
      <c r="AF86" s="739"/>
      <c r="AG86" s="739"/>
      <c r="AH86" s="739"/>
      <c r="AI86" s="739"/>
      <c r="AJ86" s="739"/>
      <c r="AK86" s="739"/>
      <c r="AL86" s="739"/>
      <c r="AM86" s="739"/>
      <c r="AN86" s="739"/>
      <c r="AO86" s="739"/>
      <c r="AP86" s="739"/>
      <c r="AQ86" s="739"/>
      <c r="AR86" s="739"/>
      <c r="AS86" s="739"/>
      <c r="AT86" s="739"/>
      <c r="AU86" s="739"/>
      <c r="AV86" s="739"/>
      <c r="AW86" s="739"/>
      <c r="AX86" s="740"/>
    </row>
    <row r="87" spans="2:88" ht="12" customHeight="1">
      <c r="B87" s="738"/>
      <c r="C87" s="739"/>
      <c r="D87" s="739"/>
      <c r="E87" s="739"/>
      <c r="F87" s="739"/>
      <c r="G87" s="739"/>
      <c r="H87" s="739"/>
      <c r="I87" s="739"/>
      <c r="J87" s="739"/>
      <c r="K87" s="739"/>
      <c r="L87" s="739"/>
      <c r="M87" s="739"/>
      <c r="N87" s="739"/>
      <c r="O87" s="739"/>
      <c r="P87" s="739"/>
      <c r="Q87" s="739"/>
      <c r="R87" s="739"/>
      <c r="S87" s="739"/>
      <c r="T87" s="739"/>
      <c r="U87" s="739"/>
      <c r="V87" s="739"/>
      <c r="W87" s="739"/>
      <c r="X87" s="739"/>
      <c r="Y87" s="739"/>
      <c r="Z87" s="739"/>
      <c r="AA87" s="739"/>
      <c r="AB87" s="739"/>
      <c r="AC87" s="739"/>
      <c r="AD87" s="739"/>
      <c r="AE87" s="739"/>
      <c r="AF87" s="739"/>
      <c r="AG87" s="739"/>
      <c r="AH87" s="739"/>
      <c r="AI87" s="739"/>
      <c r="AJ87" s="739"/>
      <c r="AK87" s="739"/>
      <c r="AL87" s="739"/>
      <c r="AM87" s="739"/>
      <c r="AN87" s="739"/>
      <c r="AO87" s="739"/>
      <c r="AP87" s="739"/>
      <c r="AQ87" s="739"/>
      <c r="AR87" s="739"/>
      <c r="AS87" s="739"/>
      <c r="AT87" s="739"/>
      <c r="AU87" s="739"/>
      <c r="AV87" s="739"/>
      <c r="AW87" s="739"/>
      <c r="AX87" s="740"/>
    </row>
    <row r="88" spans="2:88" ht="12" customHeight="1">
      <c r="B88" s="738"/>
      <c r="C88" s="739"/>
      <c r="D88" s="739"/>
      <c r="E88" s="739"/>
      <c r="F88" s="739"/>
      <c r="G88" s="739"/>
      <c r="H88" s="739"/>
      <c r="I88" s="739"/>
      <c r="J88" s="739"/>
      <c r="K88" s="739"/>
      <c r="L88" s="739"/>
      <c r="M88" s="739"/>
      <c r="N88" s="739"/>
      <c r="O88" s="739"/>
      <c r="P88" s="739"/>
      <c r="Q88" s="739"/>
      <c r="R88" s="739"/>
      <c r="S88" s="739"/>
      <c r="T88" s="739"/>
      <c r="U88" s="739"/>
      <c r="V88" s="739"/>
      <c r="W88" s="739"/>
      <c r="X88" s="739"/>
      <c r="Y88" s="739"/>
      <c r="Z88" s="739"/>
      <c r="AA88" s="739"/>
      <c r="AB88" s="739"/>
      <c r="AC88" s="739"/>
      <c r="AD88" s="739"/>
      <c r="AE88" s="739"/>
      <c r="AF88" s="739"/>
      <c r="AG88" s="739"/>
      <c r="AH88" s="739"/>
      <c r="AI88" s="739"/>
      <c r="AJ88" s="739"/>
      <c r="AK88" s="739"/>
      <c r="AL88" s="739"/>
      <c r="AM88" s="739"/>
      <c r="AN88" s="739"/>
      <c r="AO88" s="739"/>
      <c r="AP88" s="739"/>
      <c r="AQ88" s="739"/>
      <c r="AR88" s="739"/>
      <c r="AS88" s="739"/>
      <c r="AT88" s="739"/>
      <c r="AU88" s="739"/>
      <c r="AV88" s="739"/>
      <c r="AW88" s="739"/>
      <c r="AX88" s="740"/>
    </row>
    <row r="89" spans="2:88" ht="12" customHeight="1">
      <c r="B89" s="738"/>
      <c r="C89" s="739"/>
      <c r="D89" s="739"/>
      <c r="E89" s="739"/>
      <c r="F89" s="739"/>
      <c r="G89" s="739"/>
      <c r="H89" s="739"/>
      <c r="I89" s="739"/>
      <c r="J89" s="739"/>
      <c r="K89" s="739"/>
      <c r="L89" s="739"/>
      <c r="M89" s="739"/>
      <c r="N89" s="739"/>
      <c r="O89" s="739"/>
      <c r="P89" s="739"/>
      <c r="Q89" s="739"/>
      <c r="R89" s="739"/>
      <c r="S89" s="739"/>
      <c r="T89" s="739"/>
      <c r="U89" s="739"/>
      <c r="V89" s="739"/>
      <c r="W89" s="739"/>
      <c r="X89" s="739"/>
      <c r="Y89" s="739"/>
      <c r="Z89" s="739"/>
      <c r="AA89" s="739"/>
      <c r="AB89" s="739"/>
      <c r="AC89" s="739"/>
      <c r="AD89" s="739"/>
      <c r="AE89" s="739"/>
      <c r="AF89" s="739"/>
      <c r="AG89" s="739"/>
      <c r="AH89" s="739"/>
      <c r="AI89" s="739"/>
      <c r="AJ89" s="739"/>
      <c r="AK89" s="739"/>
      <c r="AL89" s="739"/>
      <c r="AM89" s="739"/>
      <c r="AN89" s="739"/>
      <c r="AO89" s="739"/>
      <c r="AP89" s="739"/>
      <c r="AQ89" s="739"/>
      <c r="AR89" s="739"/>
      <c r="AS89" s="739"/>
      <c r="AT89" s="739"/>
      <c r="AU89" s="739"/>
      <c r="AV89" s="739"/>
      <c r="AW89" s="739"/>
      <c r="AX89" s="740"/>
    </row>
    <row r="90" spans="2:88" ht="12" customHeight="1">
      <c r="B90" s="738"/>
      <c r="C90" s="739"/>
      <c r="D90" s="739"/>
      <c r="E90" s="739"/>
      <c r="F90" s="739"/>
      <c r="G90" s="739"/>
      <c r="H90" s="739"/>
      <c r="I90" s="739"/>
      <c r="J90" s="739"/>
      <c r="K90" s="739"/>
      <c r="L90" s="739"/>
      <c r="M90" s="739"/>
      <c r="N90" s="739"/>
      <c r="O90" s="739"/>
      <c r="P90" s="739"/>
      <c r="Q90" s="739"/>
      <c r="R90" s="739"/>
      <c r="S90" s="739"/>
      <c r="T90" s="739"/>
      <c r="U90" s="739"/>
      <c r="V90" s="739"/>
      <c r="W90" s="739"/>
      <c r="X90" s="739"/>
      <c r="Y90" s="739"/>
      <c r="Z90" s="739"/>
      <c r="AA90" s="739"/>
      <c r="AB90" s="739"/>
      <c r="AC90" s="739"/>
      <c r="AD90" s="739"/>
      <c r="AE90" s="739"/>
      <c r="AF90" s="739"/>
      <c r="AG90" s="739"/>
      <c r="AH90" s="739"/>
      <c r="AI90" s="739"/>
      <c r="AJ90" s="739"/>
      <c r="AK90" s="739"/>
      <c r="AL90" s="739"/>
      <c r="AM90" s="739"/>
      <c r="AN90" s="739"/>
      <c r="AO90" s="739"/>
      <c r="AP90" s="739"/>
      <c r="AQ90" s="739"/>
      <c r="AR90" s="739"/>
      <c r="AS90" s="739"/>
      <c r="AT90" s="739"/>
      <c r="AU90" s="739"/>
      <c r="AV90" s="739"/>
      <c r="AW90" s="739"/>
      <c r="AX90" s="740"/>
    </row>
    <row r="91" spans="2:88" ht="12" customHeight="1">
      <c r="B91" s="738"/>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739"/>
      <c r="AQ91" s="739"/>
      <c r="AR91" s="739"/>
      <c r="AS91" s="739"/>
      <c r="AT91" s="739"/>
      <c r="AU91" s="739"/>
      <c r="AV91" s="739"/>
      <c r="AW91" s="739"/>
      <c r="AX91" s="740"/>
    </row>
    <row r="92" spans="2:88" ht="12" customHeight="1">
      <c r="B92" s="738"/>
      <c r="C92" s="739"/>
      <c r="D92" s="739"/>
      <c r="E92" s="739"/>
      <c r="F92" s="739"/>
      <c r="G92" s="739"/>
      <c r="H92" s="739"/>
      <c r="I92" s="739"/>
      <c r="J92" s="739"/>
      <c r="K92" s="739"/>
      <c r="L92" s="739"/>
      <c r="M92" s="739"/>
      <c r="N92" s="739"/>
      <c r="O92" s="739"/>
      <c r="P92" s="739"/>
      <c r="Q92" s="739"/>
      <c r="R92" s="739"/>
      <c r="S92" s="739"/>
      <c r="T92" s="739"/>
      <c r="U92" s="739"/>
      <c r="V92" s="739"/>
      <c r="W92" s="739"/>
      <c r="X92" s="739"/>
      <c r="Y92" s="739"/>
      <c r="Z92" s="739"/>
      <c r="AA92" s="739"/>
      <c r="AB92" s="739"/>
      <c r="AC92" s="739"/>
      <c r="AD92" s="739"/>
      <c r="AE92" s="739"/>
      <c r="AF92" s="739"/>
      <c r="AG92" s="739"/>
      <c r="AH92" s="739"/>
      <c r="AI92" s="739"/>
      <c r="AJ92" s="739"/>
      <c r="AK92" s="739"/>
      <c r="AL92" s="739"/>
      <c r="AM92" s="739"/>
      <c r="AN92" s="739"/>
      <c r="AO92" s="739"/>
      <c r="AP92" s="739"/>
      <c r="AQ92" s="739"/>
      <c r="AR92" s="739"/>
      <c r="AS92" s="739"/>
      <c r="AT92" s="739"/>
      <c r="AU92" s="739"/>
      <c r="AV92" s="739"/>
      <c r="AW92" s="739"/>
      <c r="AX92" s="740"/>
    </row>
    <row r="93" spans="2:88" ht="12" customHeight="1">
      <c r="B93" s="738"/>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739"/>
      <c r="AQ93" s="739"/>
      <c r="AR93" s="739"/>
      <c r="AS93" s="739"/>
      <c r="AT93" s="739"/>
      <c r="AU93" s="739"/>
      <c r="AV93" s="739"/>
      <c r="AW93" s="739"/>
      <c r="AX93" s="740"/>
    </row>
    <row r="94" spans="2:88" ht="12" customHeight="1">
      <c r="B94" s="738"/>
      <c r="C94" s="739"/>
      <c r="D94" s="739"/>
      <c r="E94" s="739"/>
      <c r="F94" s="739"/>
      <c r="G94" s="739"/>
      <c r="H94" s="739"/>
      <c r="I94" s="739"/>
      <c r="J94" s="739"/>
      <c r="K94" s="739"/>
      <c r="L94" s="739"/>
      <c r="M94" s="739"/>
      <c r="N94" s="739"/>
      <c r="O94" s="739"/>
      <c r="P94" s="739"/>
      <c r="Q94" s="739"/>
      <c r="R94" s="739"/>
      <c r="S94" s="739"/>
      <c r="T94" s="739"/>
      <c r="U94" s="739"/>
      <c r="V94" s="739"/>
      <c r="W94" s="739"/>
      <c r="X94" s="739"/>
      <c r="Y94" s="739"/>
      <c r="Z94" s="739"/>
      <c r="AA94" s="739"/>
      <c r="AB94" s="739"/>
      <c r="AC94" s="739"/>
      <c r="AD94" s="739"/>
      <c r="AE94" s="739"/>
      <c r="AF94" s="739"/>
      <c r="AG94" s="739"/>
      <c r="AH94" s="739"/>
      <c r="AI94" s="739"/>
      <c r="AJ94" s="739"/>
      <c r="AK94" s="739"/>
      <c r="AL94" s="739"/>
      <c r="AM94" s="739"/>
      <c r="AN94" s="739"/>
      <c r="AO94" s="739"/>
      <c r="AP94" s="739"/>
      <c r="AQ94" s="739"/>
      <c r="AR94" s="739"/>
      <c r="AS94" s="739"/>
      <c r="AT94" s="739"/>
      <c r="AU94" s="739"/>
      <c r="AV94" s="739"/>
      <c r="AW94" s="739"/>
      <c r="AX94" s="740"/>
    </row>
    <row r="95" spans="2:88" ht="12" customHeight="1">
      <c r="B95" s="738"/>
      <c r="C95" s="739"/>
      <c r="D95" s="743" t="s">
        <v>1113</v>
      </c>
      <c r="E95" s="743" t="s">
        <v>1117</v>
      </c>
      <c r="F95" s="743"/>
      <c r="G95" s="739"/>
      <c r="H95" s="739"/>
      <c r="I95" s="739"/>
      <c r="J95" s="739"/>
      <c r="K95" s="739"/>
      <c r="L95" s="739"/>
      <c r="M95" s="739"/>
      <c r="N95" s="739"/>
      <c r="O95" s="739"/>
      <c r="P95" s="739"/>
      <c r="Q95" s="739"/>
      <c r="R95" s="739"/>
      <c r="S95" s="739"/>
      <c r="T95" s="739"/>
      <c r="U95" s="739"/>
      <c r="V95" s="739"/>
      <c r="W95" s="739"/>
      <c r="X95" s="739"/>
      <c r="Y95" s="739"/>
      <c r="Z95" s="739"/>
      <c r="AA95" s="739"/>
      <c r="AB95" s="739"/>
      <c r="AC95" s="739"/>
      <c r="AD95" s="739"/>
      <c r="AE95" s="739"/>
      <c r="AF95" s="739"/>
      <c r="AG95" s="739"/>
      <c r="AH95" s="739"/>
      <c r="AI95" s="739"/>
      <c r="AJ95" s="739"/>
      <c r="AK95" s="739"/>
      <c r="AL95" s="739"/>
      <c r="AM95" s="739"/>
      <c r="AN95" s="739"/>
      <c r="AO95" s="739"/>
      <c r="AP95" s="739"/>
      <c r="AQ95" s="739"/>
      <c r="AR95" s="739"/>
      <c r="AS95" s="739"/>
      <c r="AT95" s="739"/>
      <c r="AU95" s="739"/>
      <c r="AV95" s="739"/>
      <c r="AW95" s="739"/>
      <c r="AX95" s="740"/>
      <c r="CJ95" s="100"/>
    </row>
    <row r="96" spans="2:88" ht="12" customHeight="1">
      <c r="B96" s="738"/>
      <c r="C96" s="739"/>
      <c r="D96" s="739"/>
      <c r="E96" s="739"/>
      <c r="F96" s="739"/>
      <c r="G96" s="739"/>
      <c r="H96" s="739"/>
      <c r="I96" s="739"/>
      <c r="J96" s="739"/>
      <c r="K96" s="739"/>
      <c r="L96" s="739"/>
      <c r="M96" s="739"/>
      <c r="N96" s="739"/>
      <c r="O96" s="739"/>
      <c r="P96" s="739"/>
      <c r="Q96" s="739"/>
      <c r="R96" s="739"/>
      <c r="S96" s="739"/>
      <c r="T96" s="739"/>
      <c r="U96" s="739"/>
      <c r="V96" s="739"/>
      <c r="W96" s="739"/>
      <c r="X96" s="739"/>
      <c r="Y96" s="739"/>
      <c r="Z96" s="739"/>
      <c r="AA96" s="739"/>
      <c r="AB96" s="739"/>
      <c r="AC96" s="739"/>
      <c r="AD96" s="739"/>
      <c r="AE96" s="739"/>
      <c r="AF96" s="739"/>
      <c r="AG96" s="739"/>
      <c r="AH96" s="739"/>
      <c r="AI96" s="739"/>
      <c r="AJ96" s="739"/>
      <c r="AK96" s="739"/>
      <c r="AL96" s="739"/>
      <c r="AM96" s="739"/>
      <c r="AN96" s="739"/>
      <c r="AO96" s="739"/>
      <c r="AP96" s="739"/>
      <c r="AQ96" s="739"/>
      <c r="AR96" s="739"/>
      <c r="AS96" s="739"/>
      <c r="AT96" s="739"/>
      <c r="AU96" s="739"/>
      <c r="AV96" s="739"/>
      <c r="AW96" s="739"/>
      <c r="AX96" s="740"/>
    </row>
    <row r="97" spans="2:50" ht="12" customHeight="1">
      <c r="B97" s="738"/>
      <c r="C97" s="739"/>
      <c r="D97" s="739"/>
      <c r="E97" s="739"/>
      <c r="F97" s="739"/>
      <c r="G97" s="739"/>
      <c r="H97" s="739"/>
      <c r="I97" s="739"/>
      <c r="J97" s="739"/>
      <c r="K97" s="739"/>
      <c r="L97" s="739"/>
      <c r="M97" s="739"/>
      <c r="N97" s="739"/>
      <c r="O97" s="739"/>
      <c r="P97" s="739"/>
      <c r="Q97" s="739"/>
      <c r="R97" s="739"/>
      <c r="S97" s="739"/>
      <c r="T97" s="739"/>
      <c r="U97" s="739"/>
      <c r="V97" s="739"/>
      <c r="W97" s="739"/>
      <c r="X97" s="739"/>
      <c r="Y97" s="739"/>
      <c r="Z97" s="739"/>
      <c r="AA97" s="739"/>
      <c r="AB97" s="739"/>
      <c r="AC97" s="739"/>
      <c r="AD97" s="739"/>
      <c r="AE97" s="739"/>
      <c r="AF97" s="739"/>
      <c r="AG97" s="739"/>
      <c r="AH97" s="739"/>
      <c r="AI97" s="739"/>
      <c r="AJ97" s="739"/>
      <c r="AK97" s="739"/>
      <c r="AL97" s="739"/>
      <c r="AM97" s="739"/>
      <c r="AN97" s="739"/>
      <c r="AO97" s="739"/>
      <c r="AP97" s="739"/>
      <c r="AQ97" s="739"/>
      <c r="AR97" s="739"/>
      <c r="AS97" s="739"/>
      <c r="AT97" s="739"/>
      <c r="AU97" s="739"/>
      <c r="AV97" s="739"/>
      <c r="AW97" s="739"/>
      <c r="AX97" s="740"/>
    </row>
    <row r="98" spans="2:50" ht="12" customHeight="1">
      <c r="B98" s="738"/>
      <c r="C98" s="739"/>
      <c r="D98" s="739"/>
      <c r="E98" s="739"/>
      <c r="F98" s="739"/>
      <c r="G98" s="739"/>
      <c r="H98" s="739"/>
      <c r="I98" s="739"/>
      <c r="J98" s="739"/>
      <c r="K98" s="739"/>
      <c r="L98" s="739"/>
      <c r="M98" s="739"/>
      <c r="N98" s="739"/>
      <c r="O98" s="739"/>
      <c r="P98" s="739"/>
      <c r="Q98" s="739"/>
      <c r="R98" s="739"/>
      <c r="S98" s="739"/>
      <c r="T98" s="739"/>
      <c r="U98" s="739"/>
      <c r="V98" s="739"/>
      <c r="W98" s="739"/>
      <c r="X98" s="739"/>
      <c r="Y98" s="739"/>
      <c r="Z98" s="739"/>
      <c r="AA98" s="739"/>
      <c r="AB98" s="739"/>
      <c r="AC98" s="739"/>
      <c r="AD98" s="739"/>
      <c r="AE98" s="739"/>
      <c r="AF98" s="739"/>
      <c r="AG98" s="739"/>
      <c r="AH98" s="739"/>
      <c r="AI98" s="739"/>
      <c r="AJ98" s="739"/>
      <c r="AK98" s="739"/>
      <c r="AL98" s="739"/>
      <c r="AM98" s="739"/>
      <c r="AN98" s="739"/>
      <c r="AO98" s="739"/>
      <c r="AP98" s="739"/>
      <c r="AQ98" s="739"/>
      <c r="AR98" s="739"/>
      <c r="AS98" s="739"/>
      <c r="AT98" s="739"/>
      <c r="AU98" s="739"/>
      <c r="AV98" s="739"/>
      <c r="AW98" s="739"/>
      <c r="AX98" s="740"/>
    </row>
    <row r="99" spans="2:50" ht="12" customHeight="1">
      <c r="B99" s="738"/>
      <c r="C99" s="739"/>
      <c r="D99" s="739"/>
      <c r="E99" s="739"/>
      <c r="F99" s="739"/>
      <c r="G99" s="739"/>
      <c r="H99" s="739"/>
      <c r="I99" s="739"/>
      <c r="J99" s="739"/>
      <c r="K99" s="739"/>
      <c r="L99" s="739"/>
      <c r="M99" s="739"/>
      <c r="N99" s="739"/>
      <c r="O99" s="739"/>
      <c r="P99" s="739"/>
      <c r="Q99" s="739"/>
      <c r="R99" s="739"/>
      <c r="S99" s="739"/>
      <c r="T99" s="739"/>
      <c r="U99" s="739"/>
      <c r="V99" s="739"/>
      <c r="W99" s="739"/>
      <c r="X99" s="739"/>
      <c r="Y99" s="739"/>
      <c r="Z99" s="739"/>
      <c r="AA99" s="739"/>
      <c r="AB99" s="739"/>
      <c r="AC99" s="739"/>
      <c r="AD99" s="739"/>
      <c r="AE99" s="739"/>
      <c r="AF99" s="739"/>
      <c r="AG99" s="739"/>
      <c r="AH99" s="739"/>
      <c r="AI99" s="739"/>
      <c r="AJ99" s="739"/>
      <c r="AK99" s="739"/>
      <c r="AL99" s="739"/>
      <c r="AM99" s="739"/>
      <c r="AN99" s="739"/>
      <c r="AO99" s="739"/>
      <c r="AP99" s="739"/>
      <c r="AQ99" s="739"/>
      <c r="AR99" s="739"/>
      <c r="AS99" s="739"/>
      <c r="AT99" s="739"/>
      <c r="AU99" s="739"/>
      <c r="AV99" s="739"/>
      <c r="AW99" s="739"/>
      <c r="AX99" s="740"/>
    </row>
    <row r="100" spans="2:50" ht="12" customHeight="1">
      <c r="B100" s="738"/>
      <c r="C100" s="739"/>
      <c r="D100" s="739"/>
      <c r="E100" s="739"/>
      <c r="F100" s="739"/>
      <c r="G100" s="739"/>
      <c r="H100" s="739"/>
      <c r="I100" s="739"/>
      <c r="J100" s="739"/>
      <c r="K100" s="739"/>
      <c r="L100" s="739"/>
      <c r="M100" s="739"/>
      <c r="N100" s="739"/>
      <c r="O100" s="739"/>
      <c r="P100" s="739"/>
      <c r="Q100" s="739"/>
      <c r="R100" s="739"/>
      <c r="S100" s="739"/>
      <c r="T100" s="739"/>
      <c r="U100" s="739"/>
      <c r="V100" s="739"/>
      <c r="W100" s="739"/>
      <c r="X100" s="739"/>
      <c r="Y100" s="739"/>
      <c r="Z100" s="739"/>
      <c r="AA100" s="739"/>
      <c r="AB100" s="739"/>
      <c r="AC100" s="739"/>
      <c r="AD100" s="739"/>
      <c r="AE100" s="739"/>
      <c r="AF100" s="739"/>
      <c r="AG100" s="739"/>
      <c r="AH100" s="739"/>
      <c r="AI100" s="739"/>
      <c r="AJ100" s="739"/>
      <c r="AK100" s="739"/>
      <c r="AL100" s="739"/>
      <c r="AM100" s="739"/>
      <c r="AN100" s="739"/>
      <c r="AO100" s="739"/>
      <c r="AP100" s="739"/>
      <c r="AQ100" s="739"/>
      <c r="AR100" s="739"/>
      <c r="AS100" s="739"/>
      <c r="AT100" s="739"/>
      <c r="AU100" s="739"/>
      <c r="AV100" s="739"/>
      <c r="AW100" s="739"/>
      <c r="AX100" s="740"/>
    </row>
    <row r="101" spans="2:50" ht="12" customHeight="1">
      <c r="B101" s="738"/>
      <c r="C101" s="739"/>
      <c r="D101" s="739"/>
      <c r="E101" s="739"/>
      <c r="F101" s="739"/>
      <c r="G101" s="739"/>
      <c r="H101" s="739"/>
      <c r="I101" s="739"/>
      <c r="J101" s="739"/>
      <c r="K101" s="739"/>
      <c r="L101" s="739"/>
      <c r="M101" s="739"/>
      <c r="N101" s="739"/>
      <c r="O101" s="739"/>
      <c r="P101" s="739"/>
      <c r="Q101" s="739"/>
      <c r="R101" s="739"/>
      <c r="S101" s="739"/>
      <c r="T101" s="739"/>
      <c r="U101" s="739"/>
      <c r="V101" s="739"/>
      <c r="W101" s="739"/>
      <c r="X101" s="739"/>
      <c r="Y101" s="739"/>
      <c r="Z101" s="739"/>
      <c r="AA101" s="739"/>
      <c r="AB101" s="739"/>
      <c r="AC101" s="739"/>
      <c r="AD101" s="739"/>
      <c r="AE101" s="739"/>
      <c r="AF101" s="739"/>
      <c r="AG101" s="739"/>
      <c r="AH101" s="739"/>
      <c r="AI101" s="739"/>
      <c r="AJ101" s="739"/>
      <c r="AK101" s="739"/>
      <c r="AL101" s="739"/>
      <c r="AM101" s="739"/>
      <c r="AN101" s="739"/>
      <c r="AO101" s="739"/>
      <c r="AP101" s="739"/>
      <c r="AQ101" s="739"/>
      <c r="AR101" s="739"/>
      <c r="AS101" s="739"/>
      <c r="AT101" s="739"/>
      <c r="AU101" s="739"/>
      <c r="AV101" s="739"/>
      <c r="AW101" s="739"/>
      <c r="AX101" s="740"/>
    </row>
    <row r="102" spans="2:50" ht="12" customHeight="1">
      <c r="B102" s="738"/>
      <c r="C102" s="739"/>
      <c r="D102" s="739"/>
      <c r="E102" s="739"/>
      <c r="F102" s="739"/>
      <c r="G102" s="739"/>
      <c r="H102" s="739"/>
      <c r="I102" s="739"/>
      <c r="J102" s="739"/>
      <c r="K102" s="739"/>
      <c r="L102" s="739"/>
      <c r="M102" s="739"/>
      <c r="N102" s="739"/>
      <c r="O102" s="739"/>
      <c r="P102" s="739"/>
      <c r="Q102" s="739"/>
      <c r="R102" s="739"/>
      <c r="S102" s="739"/>
      <c r="T102" s="739"/>
      <c r="U102" s="739"/>
      <c r="V102" s="739"/>
      <c r="W102" s="739"/>
      <c r="X102" s="739"/>
      <c r="Y102" s="739"/>
      <c r="Z102" s="739"/>
      <c r="AA102" s="739"/>
      <c r="AB102" s="739"/>
      <c r="AC102" s="739"/>
      <c r="AD102" s="739"/>
      <c r="AE102" s="739"/>
      <c r="AF102" s="739"/>
      <c r="AG102" s="739"/>
      <c r="AH102" s="739"/>
      <c r="AI102" s="739"/>
      <c r="AJ102" s="739"/>
      <c r="AK102" s="739"/>
      <c r="AL102" s="739"/>
      <c r="AM102" s="739"/>
      <c r="AN102" s="739"/>
      <c r="AO102" s="739"/>
      <c r="AP102" s="739"/>
      <c r="AQ102" s="739"/>
      <c r="AR102" s="739"/>
      <c r="AS102" s="739"/>
      <c r="AT102" s="739"/>
      <c r="AU102" s="739"/>
      <c r="AV102" s="739"/>
      <c r="AW102" s="739"/>
      <c r="AX102" s="740"/>
    </row>
    <row r="103" spans="2:50" ht="12" customHeight="1">
      <c r="B103" s="738"/>
      <c r="C103" s="739"/>
      <c r="D103" s="739"/>
      <c r="E103" s="739"/>
      <c r="F103" s="739"/>
      <c r="G103" s="739"/>
      <c r="H103" s="739"/>
      <c r="I103" s="739"/>
      <c r="J103" s="739"/>
      <c r="K103" s="739"/>
      <c r="L103" s="739"/>
      <c r="M103" s="739"/>
      <c r="N103" s="739"/>
      <c r="O103" s="739"/>
      <c r="P103" s="739"/>
      <c r="Q103" s="739"/>
      <c r="R103" s="739"/>
      <c r="S103" s="739"/>
      <c r="T103" s="739"/>
      <c r="U103" s="739"/>
      <c r="V103" s="739"/>
      <c r="W103" s="739"/>
      <c r="X103" s="739"/>
      <c r="Y103" s="739"/>
      <c r="Z103" s="739"/>
      <c r="AA103" s="739"/>
      <c r="AB103" s="739"/>
      <c r="AC103" s="739"/>
      <c r="AD103" s="739"/>
      <c r="AE103" s="739"/>
      <c r="AF103" s="739"/>
      <c r="AG103" s="739"/>
      <c r="AH103" s="739"/>
      <c r="AI103" s="739"/>
      <c r="AJ103" s="739"/>
      <c r="AK103" s="739"/>
      <c r="AL103" s="739"/>
      <c r="AM103" s="739"/>
      <c r="AN103" s="739"/>
      <c r="AO103" s="739"/>
      <c r="AP103" s="739"/>
      <c r="AQ103" s="739"/>
      <c r="AR103" s="739"/>
      <c r="AS103" s="739"/>
      <c r="AT103" s="739"/>
      <c r="AU103" s="739"/>
      <c r="AV103" s="739"/>
      <c r="AW103" s="739"/>
      <c r="AX103" s="740"/>
    </row>
    <row r="104" spans="2:50" ht="12" customHeight="1">
      <c r="B104" s="738"/>
      <c r="C104" s="739"/>
      <c r="D104" s="739"/>
      <c r="E104" s="739"/>
      <c r="F104" s="739"/>
      <c r="G104" s="739"/>
      <c r="H104" s="739"/>
      <c r="I104" s="739"/>
      <c r="J104" s="739"/>
      <c r="K104" s="739"/>
      <c r="L104" s="739"/>
      <c r="M104" s="739"/>
      <c r="N104" s="739"/>
      <c r="O104" s="739"/>
      <c r="P104" s="739"/>
      <c r="Q104" s="739"/>
      <c r="R104" s="739"/>
      <c r="S104" s="739"/>
      <c r="T104" s="739"/>
      <c r="U104" s="739"/>
      <c r="V104" s="739"/>
      <c r="W104" s="739"/>
      <c r="X104" s="739"/>
      <c r="Y104" s="739"/>
      <c r="Z104" s="739"/>
      <c r="AA104" s="739"/>
      <c r="AB104" s="739"/>
      <c r="AC104" s="739"/>
      <c r="AD104" s="739"/>
      <c r="AE104" s="739"/>
      <c r="AF104" s="739"/>
      <c r="AG104" s="739"/>
      <c r="AH104" s="739"/>
      <c r="AI104" s="739"/>
      <c r="AJ104" s="739"/>
      <c r="AK104" s="739"/>
      <c r="AL104" s="739"/>
      <c r="AM104" s="739"/>
      <c r="AN104" s="739"/>
      <c r="AO104" s="739"/>
      <c r="AP104" s="739"/>
      <c r="AQ104" s="739"/>
      <c r="AR104" s="739"/>
      <c r="AS104" s="739"/>
      <c r="AT104" s="739"/>
      <c r="AU104" s="739"/>
      <c r="AV104" s="739"/>
      <c r="AW104" s="739"/>
      <c r="AX104" s="740"/>
    </row>
    <row r="105" spans="2:50" ht="12" customHeight="1">
      <c r="B105" s="738"/>
      <c r="C105" s="739"/>
      <c r="D105" s="739"/>
      <c r="E105" s="739"/>
      <c r="F105" s="739"/>
      <c r="G105" s="739"/>
      <c r="H105" s="739"/>
      <c r="I105" s="739"/>
      <c r="J105" s="739"/>
      <c r="K105" s="739"/>
      <c r="L105" s="739"/>
      <c r="M105" s="739"/>
      <c r="N105" s="739"/>
      <c r="O105" s="739"/>
      <c r="P105" s="739"/>
      <c r="Q105" s="739"/>
      <c r="R105" s="739"/>
      <c r="S105" s="739"/>
      <c r="T105" s="739"/>
      <c r="U105" s="739"/>
      <c r="V105" s="739"/>
      <c r="W105" s="739"/>
      <c r="X105" s="739"/>
      <c r="Y105" s="739"/>
      <c r="Z105" s="739"/>
      <c r="AA105" s="739"/>
      <c r="AB105" s="739"/>
      <c r="AC105" s="739"/>
      <c r="AD105" s="739"/>
      <c r="AE105" s="739"/>
      <c r="AF105" s="739"/>
      <c r="AG105" s="739"/>
      <c r="AH105" s="739"/>
      <c r="AI105" s="739"/>
      <c r="AJ105" s="739"/>
      <c r="AK105" s="739"/>
      <c r="AL105" s="739"/>
      <c r="AM105" s="739"/>
      <c r="AN105" s="739"/>
      <c r="AO105" s="739"/>
      <c r="AP105" s="739"/>
      <c r="AQ105" s="739"/>
      <c r="AR105" s="739"/>
      <c r="AS105" s="739"/>
      <c r="AT105" s="739"/>
      <c r="AU105" s="739"/>
      <c r="AV105" s="739"/>
      <c r="AW105" s="739"/>
      <c r="AX105" s="740"/>
    </row>
    <row r="106" spans="2:50" ht="12" customHeight="1">
      <c r="B106" s="738"/>
      <c r="C106" s="739"/>
      <c r="D106" s="739"/>
      <c r="E106" s="739"/>
      <c r="F106" s="739"/>
      <c r="G106" s="739"/>
      <c r="H106" s="739"/>
      <c r="I106" s="739"/>
      <c r="J106" s="739"/>
      <c r="K106" s="739"/>
      <c r="L106" s="739"/>
      <c r="M106" s="739"/>
      <c r="N106" s="739"/>
      <c r="O106" s="739"/>
      <c r="P106" s="739"/>
      <c r="Q106" s="739"/>
      <c r="R106" s="739"/>
      <c r="S106" s="739"/>
      <c r="T106" s="739"/>
      <c r="U106" s="739"/>
      <c r="V106" s="739"/>
      <c r="W106" s="739"/>
      <c r="X106" s="739"/>
      <c r="Y106" s="739"/>
      <c r="Z106" s="739"/>
      <c r="AA106" s="739"/>
      <c r="AB106" s="739"/>
      <c r="AC106" s="739"/>
      <c r="AD106" s="739"/>
      <c r="AE106" s="739"/>
      <c r="AF106" s="739"/>
      <c r="AG106" s="739"/>
      <c r="AH106" s="739"/>
      <c r="AI106" s="739"/>
      <c r="AJ106" s="739"/>
      <c r="AK106" s="739"/>
      <c r="AL106" s="739"/>
      <c r="AM106" s="739"/>
      <c r="AN106" s="739"/>
      <c r="AO106" s="739"/>
      <c r="AP106" s="739"/>
      <c r="AQ106" s="739"/>
      <c r="AR106" s="739"/>
      <c r="AS106" s="739"/>
      <c r="AT106" s="739"/>
      <c r="AU106" s="739"/>
      <c r="AV106" s="739"/>
      <c r="AW106" s="739"/>
      <c r="AX106" s="740"/>
    </row>
    <row r="107" spans="2:50" ht="12" customHeight="1">
      <c r="B107" s="738"/>
      <c r="C107" s="739"/>
      <c r="D107" s="739"/>
      <c r="E107" s="739"/>
      <c r="F107" s="739"/>
      <c r="G107" s="739"/>
      <c r="H107" s="739"/>
      <c r="I107" s="739"/>
      <c r="J107" s="739"/>
      <c r="K107" s="739"/>
      <c r="L107" s="739"/>
      <c r="M107" s="739"/>
      <c r="N107" s="739"/>
      <c r="O107" s="739"/>
      <c r="P107" s="739"/>
      <c r="Q107" s="739"/>
      <c r="R107" s="739"/>
      <c r="S107" s="739"/>
      <c r="T107" s="739"/>
      <c r="U107" s="739"/>
      <c r="V107" s="739"/>
      <c r="W107" s="739"/>
      <c r="X107" s="739"/>
      <c r="Y107" s="739"/>
      <c r="Z107" s="739"/>
      <c r="AA107" s="739"/>
      <c r="AB107" s="739"/>
      <c r="AC107" s="739"/>
      <c r="AD107" s="739"/>
      <c r="AE107" s="739"/>
      <c r="AF107" s="739"/>
      <c r="AG107" s="739"/>
      <c r="AH107" s="739"/>
      <c r="AI107" s="739"/>
      <c r="AJ107" s="739"/>
      <c r="AK107" s="739"/>
      <c r="AL107" s="739"/>
      <c r="AM107" s="739"/>
      <c r="AN107" s="739"/>
      <c r="AO107" s="739"/>
      <c r="AP107" s="739"/>
      <c r="AQ107" s="739"/>
      <c r="AR107" s="739"/>
      <c r="AS107" s="739"/>
      <c r="AT107" s="739"/>
      <c r="AU107" s="739"/>
      <c r="AV107" s="739"/>
      <c r="AW107" s="739"/>
      <c r="AX107" s="740"/>
    </row>
    <row r="108" spans="2:50" ht="12" customHeight="1">
      <c r="B108" s="738"/>
      <c r="C108" s="739"/>
      <c r="D108" s="739"/>
      <c r="E108" s="739"/>
      <c r="F108" s="739"/>
      <c r="G108" s="739"/>
      <c r="H108" s="739"/>
      <c r="I108" s="739"/>
      <c r="J108" s="739"/>
      <c r="K108" s="739"/>
      <c r="L108" s="739"/>
      <c r="M108" s="739"/>
      <c r="N108" s="739"/>
      <c r="O108" s="739"/>
      <c r="P108" s="739"/>
      <c r="Q108" s="739"/>
      <c r="R108" s="739"/>
      <c r="S108" s="739"/>
      <c r="T108" s="739"/>
      <c r="U108" s="739"/>
      <c r="V108" s="739"/>
      <c r="W108" s="739"/>
      <c r="X108" s="739"/>
      <c r="Y108" s="739"/>
      <c r="Z108" s="739"/>
      <c r="AA108" s="739"/>
      <c r="AB108" s="739"/>
      <c r="AC108" s="739"/>
      <c r="AD108" s="739"/>
      <c r="AE108" s="739"/>
      <c r="AF108" s="739"/>
      <c r="AG108" s="739"/>
      <c r="AH108" s="739"/>
      <c r="AI108" s="739"/>
      <c r="AJ108" s="739"/>
      <c r="AK108" s="739"/>
      <c r="AL108" s="739"/>
      <c r="AM108" s="739"/>
      <c r="AN108" s="739"/>
      <c r="AO108" s="739"/>
      <c r="AP108" s="739"/>
      <c r="AQ108" s="739"/>
      <c r="AR108" s="739"/>
      <c r="AS108" s="739"/>
      <c r="AT108" s="739"/>
      <c r="AU108" s="739"/>
      <c r="AV108" s="739"/>
      <c r="AW108" s="739"/>
      <c r="AX108" s="740"/>
    </row>
    <row r="109" spans="2:50" ht="12" customHeight="1">
      <c r="B109" s="738"/>
      <c r="C109" s="739"/>
      <c r="D109" s="739"/>
      <c r="E109" s="739"/>
      <c r="F109" s="739"/>
      <c r="G109" s="739"/>
      <c r="H109" s="739"/>
      <c r="I109" s="739"/>
      <c r="J109" s="739"/>
      <c r="K109" s="739"/>
      <c r="L109" s="739"/>
      <c r="M109" s="739"/>
      <c r="N109" s="739"/>
      <c r="O109" s="739"/>
      <c r="P109" s="739"/>
      <c r="Q109" s="739"/>
      <c r="R109" s="739"/>
      <c r="S109" s="739"/>
      <c r="T109" s="739"/>
      <c r="U109" s="739"/>
      <c r="V109" s="739"/>
      <c r="W109" s="739"/>
      <c r="X109" s="739"/>
      <c r="Y109" s="739"/>
      <c r="Z109" s="739"/>
      <c r="AA109" s="739"/>
      <c r="AB109" s="739"/>
      <c r="AC109" s="739"/>
      <c r="AD109" s="739"/>
      <c r="AE109" s="739"/>
      <c r="AF109" s="739"/>
      <c r="AG109" s="739"/>
      <c r="AH109" s="739"/>
      <c r="AI109" s="739"/>
      <c r="AJ109" s="739"/>
      <c r="AK109" s="739"/>
      <c r="AL109" s="739"/>
      <c r="AM109" s="739"/>
      <c r="AN109" s="739"/>
      <c r="AO109" s="739"/>
      <c r="AP109" s="739"/>
      <c r="AQ109" s="739"/>
      <c r="AR109" s="739"/>
      <c r="AS109" s="739"/>
      <c r="AT109" s="739"/>
      <c r="AU109" s="739"/>
      <c r="AV109" s="739"/>
      <c r="AW109" s="739"/>
      <c r="AX109" s="740"/>
    </row>
    <row r="110" spans="2:50" ht="12" customHeight="1">
      <c r="B110" s="738"/>
      <c r="C110" s="739"/>
      <c r="D110" s="739"/>
      <c r="E110" s="739"/>
      <c r="F110" s="739"/>
      <c r="G110" s="739"/>
      <c r="H110" s="739"/>
      <c r="I110" s="739"/>
      <c r="J110" s="739"/>
      <c r="K110" s="739"/>
      <c r="L110" s="739"/>
      <c r="M110" s="739"/>
      <c r="N110" s="739"/>
      <c r="O110" s="739"/>
      <c r="P110" s="739"/>
      <c r="Q110" s="739"/>
      <c r="R110" s="739"/>
      <c r="S110" s="739"/>
      <c r="T110" s="739"/>
      <c r="U110" s="739"/>
      <c r="V110" s="739"/>
      <c r="W110" s="739"/>
      <c r="X110" s="739"/>
      <c r="Y110" s="739"/>
      <c r="Z110" s="739"/>
      <c r="AA110" s="739"/>
      <c r="AB110" s="739"/>
      <c r="AC110" s="739"/>
      <c r="AD110" s="739"/>
      <c r="AE110" s="739"/>
      <c r="AF110" s="739"/>
      <c r="AG110" s="739"/>
      <c r="AH110" s="739"/>
      <c r="AI110" s="739"/>
      <c r="AJ110" s="739"/>
      <c r="AK110" s="739"/>
      <c r="AL110" s="739"/>
      <c r="AM110" s="739"/>
      <c r="AN110" s="739"/>
      <c r="AO110" s="739"/>
      <c r="AP110" s="739"/>
      <c r="AQ110" s="739"/>
      <c r="AR110" s="739"/>
      <c r="AS110" s="739"/>
      <c r="AT110" s="739"/>
      <c r="AU110" s="739"/>
      <c r="AV110" s="739"/>
      <c r="AW110" s="739"/>
      <c r="AX110" s="740"/>
    </row>
    <row r="111" spans="2:50" ht="12" customHeight="1">
      <c r="B111" s="738"/>
      <c r="C111" s="739"/>
      <c r="D111" s="739"/>
      <c r="E111" s="739"/>
      <c r="F111" s="739"/>
      <c r="G111" s="739"/>
      <c r="H111" s="739"/>
      <c r="I111" s="739"/>
      <c r="J111" s="739"/>
      <c r="K111" s="739"/>
      <c r="L111" s="739"/>
      <c r="M111" s="739"/>
      <c r="N111" s="739"/>
      <c r="O111" s="739"/>
      <c r="P111" s="739"/>
      <c r="Q111" s="739"/>
      <c r="R111" s="739"/>
      <c r="S111" s="739"/>
      <c r="T111" s="739"/>
      <c r="U111" s="739"/>
      <c r="V111" s="739"/>
      <c r="W111" s="739"/>
      <c r="X111" s="739"/>
      <c r="Y111" s="739"/>
      <c r="Z111" s="739"/>
      <c r="AA111" s="739"/>
      <c r="AB111" s="739"/>
      <c r="AC111" s="739"/>
      <c r="AD111" s="739"/>
      <c r="AE111" s="739"/>
      <c r="AF111" s="739"/>
      <c r="AG111" s="739"/>
      <c r="AH111" s="739"/>
      <c r="AI111" s="739"/>
      <c r="AJ111" s="739"/>
      <c r="AK111" s="739"/>
      <c r="AL111" s="739"/>
      <c r="AM111" s="739"/>
      <c r="AN111" s="739"/>
      <c r="AO111" s="739"/>
      <c r="AP111" s="739"/>
      <c r="AQ111" s="739"/>
      <c r="AR111" s="739"/>
      <c r="AS111" s="739"/>
      <c r="AT111" s="739"/>
      <c r="AU111" s="739"/>
      <c r="AV111" s="739"/>
      <c r="AW111" s="739"/>
      <c r="AX111" s="740"/>
    </row>
    <row r="112" spans="2:50" ht="12" customHeight="1">
      <c r="B112" s="738"/>
      <c r="C112" s="739"/>
      <c r="D112" s="739"/>
      <c r="E112" s="739"/>
      <c r="F112" s="739"/>
      <c r="G112" s="739"/>
      <c r="H112" s="739"/>
      <c r="I112" s="739"/>
      <c r="J112" s="739"/>
      <c r="K112" s="739"/>
      <c r="L112" s="739"/>
      <c r="M112" s="739"/>
      <c r="N112" s="739"/>
      <c r="O112" s="739"/>
      <c r="P112" s="739"/>
      <c r="Q112" s="739"/>
      <c r="R112" s="739"/>
      <c r="S112" s="739"/>
      <c r="T112" s="739"/>
      <c r="U112" s="739"/>
      <c r="V112" s="739"/>
      <c r="W112" s="739"/>
      <c r="X112" s="739"/>
      <c r="Y112" s="739"/>
      <c r="Z112" s="739"/>
      <c r="AA112" s="739"/>
      <c r="AB112" s="739"/>
      <c r="AC112" s="739"/>
      <c r="AD112" s="739"/>
      <c r="AE112" s="739"/>
      <c r="AF112" s="739"/>
      <c r="AG112" s="739"/>
      <c r="AH112" s="739"/>
      <c r="AI112" s="739"/>
      <c r="AJ112" s="739"/>
      <c r="AK112" s="739"/>
      <c r="AL112" s="739"/>
      <c r="AM112" s="739"/>
      <c r="AN112" s="739"/>
      <c r="AO112" s="739"/>
      <c r="AP112" s="739"/>
      <c r="AQ112" s="739"/>
      <c r="AR112" s="739"/>
      <c r="AS112" s="739"/>
      <c r="AT112" s="739"/>
      <c r="AU112" s="739"/>
      <c r="AV112" s="739"/>
      <c r="AW112" s="739"/>
      <c r="AX112" s="740"/>
    </row>
    <row r="113" spans="2:88" ht="12" customHeight="1">
      <c r="B113" s="738"/>
      <c r="C113" s="739"/>
      <c r="D113" s="739"/>
      <c r="E113" s="739"/>
      <c r="F113" s="739"/>
      <c r="G113" s="739"/>
      <c r="H113" s="739"/>
      <c r="I113" s="739"/>
      <c r="J113" s="739"/>
      <c r="K113" s="739"/>
      <c r="L113" s="739"/>
      <c r="M113" s="739"/>
      <c r="N113" s="739"/>
      <c r="O113" s="739"/>
      <c r="P113" s="739"/>
      <c r="Q113" s="739"/>
      <c r="R113" s="739"/>
      <c r="S113" s="739"/>
      <c r="T113" s="739"/>
      <c r="U113" s="739"/>
      <c r="V113" s="739"/>
      <c r="W113" s="739"/>
      <c r="X113" s="739"/>
      <c r="Y113" s="739"/>
      <c r="Z113" s="739"/>
      <c r="AA113" s="739"/>
      <c r="AB113" s="739"/>
      <c r="AC113" s="739"/>
      <c r="AD113" s="739"/>
      <c r="AE113" s="739"/>
      <c r="AF113" s="739"/>
      <c r="AG113" s="739"/>
      <c r="AH113" s="739"/>
      <c r="AI113" s="739"/>
      <c r="AJ113" s="739"/>
      <c r="AK113" s="739"/>
      <c r="AL113" s="739"/>
      <c r="AM113" s="739"/>
      <c r="AN113" s="739"/>
      <c r="AO113" s="739"/>
      <c r="AP113" s="739"/>
      <c r="AQ113" s="739"/>
      <c r="AR113" s="739"/>
      <c r="AS113" s="739"/>
      <c r="AT113" s="739"/>
      <c r="AU113" s="739"/>
      <c r="AV113" s="739"/>
      <c r="AW113" s="739"/>
      <c r="AX113" s="740"/>
    </row>
    <row r="114" spans="2:88" ht="12" customHeight="1">
      <c r="B114" s="738"/>
      <c r="C114" s="739"/>
      <c r="D114" s="739"/>
      <c r="E114" s="739"/>
      <c r="F114" s="739"/>
      <c r="G114" s="739"/>
      <c r="H114" s="739"/>
      <c r="I114" s="739"/>
      <c r="J114" s="739"/>
      <c r="K114" s="739"/>
      <c r="L114" s="739"/>
      <c r="M114" s="739"/>
      <c r="N114" s="739"/>
      <c r="O114" s="739"/>
      <c r="P114" s="739"/>
      <c r="Q114" s="739"/>
      <c r="R114" s="739"/>
      <c r="S114" s="739"/>
      <c r="T114" s="739"/>
      <c r="U114" s="739"/>
      <c r="V114" s="739"/>
      <c r="W114" s="739"/>
      <c r="X114" s="739"/>
      <c r="Y114" s="739"/>
      <c r="Z114" s="739"/>
      <c r="AA114" s="739"/>
      <c r="AB114" s="739"/>
      <c r="AC114" s="739"/>
      <c r="AD114" s="739"/>
      <c r="AE114" s="739"/>
      <c r="AF114" s="739"/>
      <c r="AG114" s="739"/>
      <c r="AH114" s="739"/>
      <c r="AI114" s="739"/>
      <c r="AJ114" s="739"/>
      <c r="AK114" s="739"/>
      <c r="AL114" s="739"/>
      <c r="AM114" s="739"/>
      <c r="AN114" s="739"/>
      <c r="AO114" s="739"/>
      <c r="AP114" s="739"/>
      <c r="AQ114" s="739"/>
      <c r="AR114" s="739"/>
      <c r="AS114" s="739"/>
      <c r="AT114" s="739"/>
      <c r="AU114" s="739"/>
      <c r="AV114" s="739"/>
      <c r="AW114" s="739"/>
      <c r="AX114" s="740"/>
    </row>
    <row r="115" spans="2:88" ht="12" customHeight="1">
      <c r="B115" s="738"/>
      <c r="C115" s="739"/>
      <c r="D115" s="739"/>
      <c r="E115" s="739"/>
      <c r="F115" s="739"/>
      <c r="G115" s="739"/>
      <c r="H115" s="739"/>
      <c r="I115" s="739"/>
      <c r="J115" s="739"/>
      <c r="K115" s="739"/>
      <c r="L115" s="739"/>
      <c r="M115" s="739"/>
      <c r="N115" s="739"/>
      <c r="O115" s="739"/>
      <c r="P115" s="739"/>
      <c r="Q115" s="739"/>
      <c r="R115" s="739"/>
      <c r="S115" s="739"/>
      <c r="T115" s="739"/>
      <c r="U115" s="739"/>
      <c r="V115" s="739"/>
      <c r="W115" s="739"/>
      <c r="X115" s="739"/>
      <c r="Y115" s="739"/>
      <c r="Z115" s="739"/>
      <c r="AA115" s="739"/>
      <c r="AB115" s="739"/>
      <c r="AC115" s="739"/>
      <c r="AD115" s="739"/>
      <c r="AE115" s="739"/>
      <c r="AF115" s="739"/>
      <c r="AG115" s="739"/>
      <c r="AH115" s="739"/>
      <c r="AI115" s="739"/>
      <c r="AJ115" s="739"/>
      <c r="AK115" s="739"/>
      <c r="AL115" s="739"/>
      <c r="AM115" s="739"/>
      <c r="AN115" s="739"/>
      <c r="AO115" s="739"/>
      <c r="AP115" s="739"/>
      <c r="AQ115" s="739"/>
      <c r="AR115" s="739"/>
      <c r="AS115" s="739"/>
      <c r="AT115" s="739"/>
      <c r="AU115" s="739"/>
      <c r="AV115" s="739"/>
      <c r="AW115" s="739"/>
      <c r="AX115" s="740"/>
    </row>
    <row r="116" spans="2:88" ht="12" customHeight="1">
      <c r="B116" s="738"/>
      <c r="C116" s="739"/>
      <c r="D116" s="739"/>
      <c r="E116" s="739"/>
      <c r="F116" s="739"/>
      <c r="G116" s="739"/>
      <c r="H116" s="739"/>
      <c r="I116" s="739"/>
      <c r="J116" s="739"/>
      <c r="K116" s="739"/>
      <c r="L116" s="739"/>
      <c r="M116" s="739"/>
      <c r="N116" s="739"/>
      <c r="O116" s="739"/>
      <c r="P116" s="739"/>
      <c r="Q116" s="739"/>
      <c r="R116" s="739"/>
      <c r="S116" s="739"/>
      <c r="T116" s="739"/>
      <c r="U116" s="739"/>
      <c r="V116" s="739"/>
      <c r="W116" s="739"/>
      <c r="X116" s="739"/>
      <c r="Y116" s="739"/>
      <c r="Z116" s="739"/>
      <c r="AA116" s="739"/>
      <c r="AB116" s="739"/>
      <c r="AC116" s="739"/>
      <c r="AD116" s="739"/>
      <c r="AE116" s="739"/>
      <c r="AF116" s="739"/>
      <c r="AG116" s="739"/>
      <c r="AH116" s="739"/>
      <c r="AI116" s="739"/>
      <c r="AJ116" s="739"/>
      <c r="AK116" s="739"/>
      <c r="AL116" s="739"/>
      <c r="AM116" s="739"/>
      <c r="AN116" s="739"/>
      <c r="AO116" s="739"/>
      <c r="AP116" s="739"/>
      <c r="AQ116" s="739"/>
      <c r="AR116" s="739"/>
      <c r="AS116" s="739"/>
      <c r="AT116" s="739"/>
      <c r="AU116" s="739"/>
      <c r="AV116" s="739"/>
      <c r="AW116" s="739"/>
      <c r="AX116" s="740"/>
    </row>
    <row r="117" spans="2:88" ht="12" customHeight="1">
      <c r="B117" s="738"/>
      <c r="C117" s="739"/>
      <c r="D117" s="739"/>
      <c r="E117" s="739"/>
      <c r="F117" s="739"/>
      <c r="G117" s="739"/>
      <c r="H117" s="739"/>
      <c r="I117" s="739"/>
      <c r="J117" s="739"/>
      <c r="K117" s="739"/>
      <c r="L117" s="739"/>
      <c r="M117" s="739"/>
      <c r="N117" s="739"/>
      <c r="O117" s="739"/>
      <c r="P117" s="739"/>
      <c r="Q117" s="739"/>
      <c r="R117" s="739"/>
      <c r="S117" s="739"/>
      <c r="T117" s="739"/>
      <c r="U117" s="739"/>
      <c r="V117" s="739"/>
      <c r="W117" s="739"/>
      <c r="X117" s="739"/>
      <c r="Y117" s="739"/>
      <c r="Z117" s="739"/>
      <c r="AA117" s="739"/>
      <c r="AB117" s="739"/>
      <c r="AC117" s="739"/>
      <c r="AD117" s="739"/>
      <c r="AE117" s="739"/>
      <c r="AF117" s="739"/>
      <c r="AG117" s="739"/>
      <c r="AH117" s="739"/>
      <c r="AI117" s="739"/>
      <c r="AJ117" s="739"/>
      <c r="AK117" s="739"/>
      <c r="AL117" s="739"/>
      <c r="AM117" s="739"/>
      <c r="AN117" s="739"/>
      <c r="AO117" s="739"/>
      <c r="AP117" s="739"/>
      <c r="AQ117" s="739"/>
      <c r="AR117" s="739"/>
      <c r="AS117" s="739"/>
      <c r="AT117" s="739"/>
      <c r="AU117" s="739"/>
      <c r="AV117" s="739"/>
      <c r="AW117" s="739"/>
      <c r="AX117" s="740"/>
    </row>
    <row r="118" spans="2:88" ht="12" customHeight="1">
      <c r="B118" s="738"/>
      <c r="C118" s="739"/>
      <c r="D118" s="739"/>
      <c r="E118" s="739"/>
      <c r="F118" s="739"/>
      <c r="G118" s="739"/>
      <c r="H118" s="739"/>
      <c r="I118" s="739"/>
      <c r="J118" s="739"/>
      <c r="K118" s="739"/>
      <c r="L118" s="739"/>
      <c r="M118" s="739"/>
      <c r="N118" s="739"/>
      <c r="O118" s="739"/>
      <c r="P118" s="739"/>
      <c r="Q118" s="739"/>
      <c r="R118" s="739"/>
      <c r="S118" s="739"/>
      <c r="T118" s="739"/>
      <c r="U118" s="739"/>
      <c r="V118" s="739"/>
      <c r="W118" s="739"/>
      <c r="X118" s="739"/>
      <c r="Y118" s="739"/>
      <c r="Z118" s="739"/>
      <c r="AA118" s="739"/>
      <c r="AB118" s="739"/>
      <c r="AC118" s="739"/>
      <c r="AD118" s="739"/>
      <c r="AE118" s="739"/>
      <c r="AF118" s="739"/>
      <c r="AG118" s="739"/>
      <c r="AH118" s="739"/>
      <c r="AI118" s="739"/>
      <c r="AJ118" s="739"/>
      <c r="AK118" s="739"/>
      <c r="AL118" s="739"/>
      <c r="AM118" s="739"/>
      <c r="AN118" s="739"/>
      <c r="AO118" s="739"/>
      <c r="AP118" s="739"/>
      <c r="AQ118" s="739"/>
      <c r="AR118" s="739"/>
      <c r="AS118" s="739"/>
      <c r="AT118" s="739"/>
      <c r="AU118" s="739"/>
      <c r="AV118" s="739"/>
      <c r="AW118" s="739"/>
      <c r="AX118" s="740"/>
    </row>
    <row r="119" spans="2:88" ht="12" customHeight="1">
      <c r="B119" s="738"/>
      <c r="C119" s="739"/>
      <c r="D119" s="739"/>
      <c r="E119" s="739"/>
      <c r="F119" s="739"/>
      <c r="G119" s="739"/>
      <c r="H119" s="739"/>
      <c r="I119" s="739"/>
      <c r="J119" s="739"/>
      <c r="K119" s="739"/>
      <c r="L119" s="739"/>
      <c r="M119" s="739"/>
      <c r="N119" s="739"/>
      <c r="O119" s="739"/>
      <c r="P119" s="739"/>
      <c r="Q119" s="739"/>
      <c r="R119" s="739"/>
      <c r="S119" s="739"/>
      <c r="T119" s="739"/>
      <c r="U119" s="739"/>
      <c r="V119" s="739"/>
      <c r="W119" s="739"/>
      <c r="X119" s="739"/>
      <c r="Y119" s="739"/>
      <c r="Z119" s="739"/>
      <c r="AA119" s="739"/>
      <c r="AB119" s="739"/>
      <c r="AC119" s="739"/>
      <c r="AD119" s="739"/>
      <c r="AE119" s="739"/>
      <c r="AF119" s="739"/>
      <c r="AG119" s="739"/>
      <c r="AH119" s="739"/>
      <c r="AI119" s="739"/>
      <c r="AJ119" s="739"/>
      <c r="AK119" s="739"/>
      <c r="AL119" s="739"/>
      <c r="AM119" s="739"/>
      <c r="AN119" s="739"/>
      <c r="AO119" s="739"/>
      <c r="AP119" s="739"/>
      <c r="AQ119" s="739"/>
      <c r="AR119" s="739"/>
      <c r="AS119" s="739"/>
      <c r="AT119" s="739"/>
      <c r="AU119" s="739"/>
      <c r="AV119" s="739"/>
      <c r="AW119" s="739"/>
      <c r="AX119" s="740"/>
    </row>
    <row r="120" spans="2:88" ht="12" customHeight="1">
      <c r="B120" s="738"/>
      <c r="C120" s="739"/>
      <c r="D120" s="739"/>
      <c r="E120" s="739"/>
      <c r="F120" s="739"/>
      <c r="G120" s="739"/>
      <c r="H120" s="739"/>
      <c r="I120" s="739"/>
      <c r="J120" s="739"/>
      <c r="K120" s="739"/>
      <c r="L120" s="739"/>
      <c r="M120" s="739"/>
      <c r="N120" s="739"/>
      <c r="O120" s="739"/>
      <c r="P120" s="739"/>
      <c r="Q120" s="739"/>
      <c r="R120" s="739"/>
      <c r="S120" s="739"/>
      <c r="T120" s="739"/>
      <c r="U120" s="739"/>
      <c r="V120" s="739"/>
      <c r="W120" s="739"/>
      <c r="X120" s="739"/>
      <c r="Y120" s="739"/>
      <c r="Z120" s="739"/>
      <c r="AA120" s="739"/>
      <c r="AB120" s="739"/>
      <c r="AC120" s="739"/>
      <c r="AD120" s="739"/>
      <c r="AE120" s="739"/>
      <c r="AF120" s="739"/>
      <c r="AG120" s="739"/>
      <c r="AH120" s="739"/>
      <c r="AI120" s="739"/>
      <c r="AJ120" s="739"/>
      <c r="AK120" s="739"/>
      <c r="AL120" s="739"/>
      <c r="AM120" s="739"/>
      <c r="AN120" s="739"/>
      <c r="AO120" s="739"/>
      <c r="AP120" s="739"/>
      <c r="AQ120" s="739"/>
      <c r="AR120" s="739"/>
      <c r="AS120" s="739"/>
      <c r="AT120" s="739"/>
      <c r="AU120" s="739"/>
      <c r="AV120" s="739"/>
      <c r="AW120" s="739"/>
      <c r="AX120" s="740"/>
    </row>
    <row r="121" spans="2:88" ht="12" customHeight="1">
      <c r="B121" s="738"/>
      <c r="C121" s="739"/>
      <c r="D121" s="739"/>
      <c r="E121" s="739"/>
      <c r="F121" s="739"/>
      <c r="G121" s="739"/>
      <c r="H121" s="739"/>
      <c r="I121" s="739"/>
      <c r="J121" s="739"/>
      <c r="K121" s="739"/>
      <c r="L121" s="739"/>
      <c r="M121" s="739"/>
      <c r="N121" s="739"/>
      <c r="O121" s="739"/>
      <c r="P121" s="739"/>
      <c r="Q121" s="739"/>
      <c r="R121" s="739"/>
      <c r="S121" s="739"/>
      <c r="T121" s="739"/>
      <c r="U121" s="739"/>
      <c r="V121" s="739"/>
      <c r="W121" s="739"/>
      <c r="X121" s="739"/>
      <c r="Y121" s="739"/>
      <c r="Z121" s="739"/>
      <c r="AA121" s="739"/>
      <c r="AB121" s="739"/>
      <c r="AC121" s="739"/>
      <c r="AD121" s="739"/>
      <c r="AE121" s="739"/>
      <c r="AF121" s="739"/>
      <c r="AG121" s="739"/>
      <c r="AH121" s="739"/>
      <c r="AI121" s="739"/>
      <c r="AJ121" s="739"/>
      <c r="AK121" s="739"/>
      <c r="AL121" s="739"/>
      <c r="AM121" s="739"/>
      <c r="AN121" s="739"/>
      <c r="AO121" s="739"/>
      <c r="AP121" s="739"/>
      <c r="AQ121" s="739"/>
      <c r="AR121" s="739"/>
      <c r="AS121" s="739"/>
      <c r="AT121" s="739"/>
      <c r="AU121" s="739"/>
      <c r="AV121" s="739"/>
      <c r="AW121" s="739"/>
      <c r="AX121" s="740"/>
    </row>
    <row r="122" spans="2:88" ht="12" customHeight="1">
      <c r="B122" s="738"/>
      <c r="C122" s="739"/>
      <c r="D122" s="739"/>
      <c r="E122" s="739"/>
      <c r="F122" s="739"/>
      <c r="G122" s="739"/>
      <c r="H122" s="739"/>
      <c r="I122" s="739"/>
      <c r="J122" s="739"/>
      <c r="K122" s="739"/>
      <c r="L122" s="739"/>
      <c r="M122" s="739"/>
      <c r="N122" s="739"/>
      <c r="O122" s="739"/>
      <c r="P122" s="739"/>
      <c r="Q122" s="739"/>
      <c r="R122" s="739"/>
      <c r="S122" s="739"/>
      <c r="T122" s="739"/>
      <c r="U122" s="739"/>
      <c r="V122" s="739"/>
      <c r="W122" s="739"/>
      <c r="X122" s="739"/>
      <c r="Y122" s="739"/>
      <c r="Z122" s="739"/>
      <c r="AA122" s="739"/>
      <c r="AB122" s="739"/>
      <c r="AC122" s="739"/>
      <c r="AD122" s="739"/>
      <c r="AE122" s="739"/>
      <c r="AF122" s="739"/>
      <c r="AG122" s="739"/>
      <c r="AH122" s="739"/>
      <c r="AI122" s="739"/>
      <c r="AJ122" s="739"/>
      <c r="AK122" s="739"/>
      <c r="AL122" s="739"/>
      <c r="AM122" s="739"/>
      <c r="AN122" s="739"/>
      <c r="AO122" s="739"/>
      <c r="AP122" s="739"/>
      <c r="AQ122" s="739"/>
      <c r="AR122" s="739"/>
      <c r="AS122" s="739"/>
      <c r="AT122" s="739"/>
      <c r="AU122" s="739"/>
      <c r="AV122" s="739"/>
      <c r="AW122" s="739"/>
      <c r="AX122" s="740"/>
    </row>
    <row r="123" spans="2:88" ht="12" customHeight="1">
      <c r="B123" s="738"/>
      <c r="C123" s="739"/>
      <c r="D123" s="739"/>
      <c r="E123" s="739"/>
      <c r="F123" s="739"/>
      <c r="G123" s="739"/>
      <c r="H123" s="739"/>
      <c r="I123" s="739"/>
      <c r="J123" s="739"/>
      <c r="K123" s="739"/>
      <c r="L123" s="739"/>
      <c r="M123" s="739"/>
      <c r="N123" s="739"/>
      <c r="O123" s="739"/>
      <c r="P123" s="739"/>
      <c r="Q123" s="739"/>
      <c r="R123" s="739"/>
      <c r="S123" s="739"/>
      <c r="T123" s="739"/>
      <c r="U123" s="739"/>
      <c r="V123" s="739"/>
      <c r="W123" s="739"/>
      <c r="X123" s="739"/>
      <c r="Y123" s="739"/>
      <c r="Z123" s="739"/>
      <c r="AA123" s="739"/>
      <c r="AB123" s="739"/>
      <c r="AC123" s="739"/>
      <c r="AD123" s="739"/>
      <c r="AE123" s="739"/>
      <c r="AF123" s="739"/>
      <c r="AG123" s="739"/>
      <c r="AH123" s="739"/>
      <c r="AI123" s="739"/>
      <c r="AJ123" s="739"/>
      <c r="AK123" s="739"/>
      <c r="AL123" s="739"/>
      <c r="AM123" s="739"/>
      <c r="AN123" s="739"/>
      <c r="AO123" s="739"/>
      <c r="AP123" s="739"/>
      <c r="AQ123" s="739"/>
      <c r="AR123" s="739"/>
      <c r="AS123" s="739"/>
      <c r="AT123" s="739"/>
      <c r="AU123" s="739"/>
      <c r="AV123" s="739"/>
      <c r="AW123" s="739"/>
      <c r="AX123" s="740"/>
    </row>
    <row r="124" spans="2:88" ht="12" customHeight="1">
      <c r="B124" s="738"/>
      <c r="C124" s="739"/>
      <c r="D124" s="743" t="s">
        <v>1113</v>
      </c>
      <c r="E124" s="743" t="s">
        <v>1118</v>
      </c>
      <c r="F124" s="743"/>
      <c r="G124" s="739"/>
      <c r="H124" s="739"/>
      <c r="I124" s="739"/>
      <c r="J124" s="739"/>
      <c r="K124" s="739"/>
      <c r="L124" s="739"/>
      <c r="M124" s="739"/>
      <c r="N124" s="739"/>
      <c r="O124" s="739"/>
      <c r="P124" s="739"/>
      <c r="Q124" s="739"/>
      <c r="R124" s="739"/>
      <c r="S124" s="739"/>
      <c r="T124" s="739"/>
      <c r="U124" s="739"/>
      <c r="V124" s="739"/>
      <c r="W124" s="739"/>
      <c r="X124" s="739"/>
      <c r="Y124" s="739"/>
      <c r="Z124" s="739"/>
      <c r="AA124" s="739"/>
      <c r="AB124" s="739"/>
      <c r="AC124" s="739"/>
      <c r="AD124" s="739"/>
      <c r="AE124" s="739"/>
      <c r="AF124" s="739"/>
      <c r="AG124" s="739"/>
      <c r="AH124" s="739"/>
      <c r="AI124" s="739"/>
      <c r="AJ124" s="739"/>
      <c r="AK124" s="739"/>
      <c r="AL124" s="739"/>
      <c r="AM124" s="739"/>
      <c r="AN124" s="739"/>
      <c r="AO124" s="739"/>
      <c r="AP124" s="739"/>
      <c r="AQ124" s="739"/>
      <c r="AR124" s="739"/>
      <c r="AS124" s="739"/>
      <c r="AT124" s="739"/>
      <c r="AU124" s="739"/>
      <c r="AV124" s="739"/>
      <c r="AW124" s="739"/>
      <c r="AX124" s="740"/>
      <c r="CJ124" s="100"/>
    </row>
    <row r="125" spans="2:88" ht="12" customHeight="1">
      <c r="B125" s="738"/>
      <c r="C125" s="739"/>
      <c r="D125" s="739"/>
      <c r="E125" s="739"/>
      <c r="F125" s="739"/>
      <c r="G125" s="739"/>
      <c r="H125" s="739"/>
      <c r="I125" s="739"/>
      <c r="J125" s="739"/>
      <c r="K125" s="739"/>
      <c r="L125" s="739"/>
      <c r="M125" s="739"/>
      <c r="N125" s="739"/>
      <c r="O125" s="739"/>
      <c r="P125" s="739"/>
      <c r="Q125" s="739"/>
      <c r="R125" s="739"/>
      <c r="S125" s="739"/>
      <c r="T125" s="739"/>
      <c r="U125" s="739"/>
      <c r="V125" s="739"/>
      <c r="W125" s="739"/>
      <c r="X125" s="739"/>
      <c r="Y125" s="739"/>
      <c r="Z125" s="739"/>
      <c r="AA125" s="739"/>
      <c r="AB125" s="739"/>
      <c r="AC125" s="739"/>
      <c r="AD125" s="739"/>
      <c r="AE125" s="739"/>
      <c r="AF125" s="739"/>
      <c r="AG125" s="739"/>
      <c r="AH125" s="739"/>
      <c r="AI125" s="739"/>
      <c r="AJ125" s="739"/>
      <c r="AK125" s="739"/>
      <c r="AL125" s="739"/>
      <c r="AM125" s="739"/>
      <c r="AN125" s="739"/>
      <c r="AO125" s="739"/>
      <c r="AP125" s="739"/>
      <c r="AQ125" s="739"/>
      <c r="AR125" s="739"/>
      <c r="AS125" s="739"/>
      <c r="AT125" s="739"/>
      <c r="AU125" s="739"/>
      <c r="AV125" s="739"/>
      <c r="AW125" s="739"/>
      <c r="AX125" s="740"/>
    </row>
    <row r="126" spans="2:88" ht="12" customHeight="1">
      <c r="B126" s="738"/>
      <c r="C126" s="739"/>
      <c r="D126" s="739"/>
      <c r="E126" s="739"/>
      <c r="F126" s="739"/>
      <c r="G126" s="739"/>
      <c r="H126" s="739"/>
      <c r="I126" s="739"/>
      <c r="J126" s="739"/>
      <c r="K126" s="739"/>
      <c r="L126" s="739"/>
      <c r="M126" s="739"/>
      <c r="N126" s="739"/>
      <c r="O126" s="739"/>
      <c r="P126" s="739"/>
      <c r="Q126" s="739"/>
      <c r="R126" s="739"/>
      <c r="S126" s="739"/>
      <c r="T126" s="739"/>
      <c r="U126" s="739"/>
      <c r="V126" s="739"/>
      <c r="W126" s="739"/>
      <c r="X126" s="739"/>
      <c r="Y126" s="739"/>
      <c r="Z126" s="739"/>
      <c r="AA126" s="739"/>
      <c r="AB126" s="739"/>
      <c r="AC126" s="739"/>
      <c r="AD126" s="739"/>
      <c r="AE126" s="739"/>
      <c r="AF126" s="739"/>
      <c r="AG126" s="739"/>
      <c r="AH126" s="739"/>
      <c r="AI126" s="739"/>
      <c r="AJ126" s="739"/>
      <c r="AK126" s="739"/>
      <c r="AL126" s="739"/>
      <c r="AM126" s="739"/>
      <c r="AN126" s="739"/>
      <c r="AO126" s="739"/>
      <c r="AP126" s="739"/>
      <c r="AQ126" s="739"/>
      <c r="AR126" s="739"/>
      <c r="AS126" s="739"/>
      <c r="AT126" s="739"/>
      <c r="AU126" s="739"/>
      <c r="AV126" s="739"/>
      <c r="AW126" s="739"/>
      <c r="AX126" s="740"/>
    </row>
    <row r="127" spans="2:88" ht="12" customHeight="1">
      <c r="B127" s="738"/>
      <c r="C127" s="739"/>
      <c r="D127" s="739"/>
      <c r="E127" s="739"/>
      <c r="F127" s="739"/>
      <c r="G127" s="739"/>
      <c r="H127" s="739"/>
      <c r="I127" s="739"/>
      <c r="J127" s="739"/>
      <c r="K127" s="739"/>
      <c r="L127" s="739"/>
      <c r="M127" s="739"/>
      <c r="N127" s="739"/>
      <c r="O127" s="739"/>
      <c r="P127" s="739"/>
      <c r="Q127" s="739"/>
      <c r="R127" s="739"/>
      <c r="S127" s="739"/>
      <c r="T127" s="739"/>
      <c r="U127" s="739"/>
      <c r="V127" s="739"/>
      <c r="W127" s="739"/>
      <c r="X127" s="739"/>
      <c r="Y127" s="739"/>
      <c r="Z127" s="739"/>
      <c r="AA127" s="739"/>
      <c r="AB127" s="739"/>
      <c r="AC127" s="739"/>
      <c r="AD127" s="739"/>
      <c r="AE127" s="739"/>
      <c r="AF127" s="739"/>
      <c r="AG127" s="739"/>
      <c r="AH127" s="739"/>
      <c r="AI127" s="739"/>
      <c r="AJ127" s="739"/>
      <c r="AK127" s="739"/>
      <c r="AL127" s="739"/>
      <c r="AM127" s="739"/>
      <c r="AN127" s="739"/>
      <c r="AO127" s="739"/>
      <c r="AP127" s="739"/>
      <c r="AQ127" s="739"/>
      <c r="AR127" s="739"/>
      <c r="AS127" s="739"/>
      <c r="AT127" s="739"/>
      <c r="AU127" s="739"/>
      <c r="AV127" s="739"/>
      <c r="AW127" s="739"/>
      <c r="AX127" s="740"/>
    </row>
    <row r="128" spans="2:88" ht="12" customHeight="1">
      <c r="B128" s="738"/>
      <c r="C128" s="739"/>
      <c r="D128" s="739"/>
      <c r="E128" s="739"/>
      <c r="F128" s="739"/>
      <c r="G128" s="739"/>
      <c r="H128" s="739"/>
      <c r="I128" s="739"/>
      <c r="J128" s="739"/>
      <c r="K128" s="739"/>
      <c r="L128" s="739"/>
      <c r="M128" s="739"/>
      <c r="N128" s="739"/>
      <c r="O128" s="739"/>
      <c r="P128" s="739"/>
      <c r="Q128" s="739"/>
      <c r="R128" s="739"/>
      <c r="S128" s="739"/>
      <c r="T128" s="739"/>
      <c r="U128" s="739"/>
      <c r="V128" s="739"/>
      <c r="W128" s="739"/>
      <c r="X128" s="739"/>
      <c r="Y128" s="739"/>
      <c r="Z128" s="739"/>
      <c r="AA128" s="739"/>
      <c r="AB128" s="739"/>
      <c r="AC128" s="739"/>
      <c r="AD128" s="739"/>
      <c r="AE128" s="739"/>
      <c r="AF128" s="739"/>
      <c r="AG128" s="739"/>
      <c r="AH128" s="739"/>
      <c r="AI128" s="739"/>
      <c r="AJ128" s="739"/>
      <c r="AK128" s="739"/>
      <c r="AL128" s="739"/>
      <c r="AM128" s="739"/>
      <c r="AN128" s="739"/>
      <c r="AO128" s="739"/>
      <c r="AP128" s="739"/>
      <c r="AQ128" s="739"/>
      <c r="AR128" s="739"/>
      <c r="AS128" s="739"/>
      <c r="AT128" s="739"/>
      <c r="AU128" s="739"/>
      <c r="AV128" s="739"/>
      <c r="AW128" s="739"/>
      <c r="AX128" s="740"/>
    </row>
    <row r="129" spans="2:50" ht="12" customHeight="1">
      <c r="B129" s="738"/>
      <c r="C129" s="739"/>
      <c r="D129" s="739"/>
      <c r="E129" s="739"/>
      <c r="F129" s="739"/>
      <c r="G129" s="739"/>
      <c r="H129" s="739"/>
      <c r="I129" s="739"/>
      <c r="J129" s="739"/>
      <c r="K129" s="739"/>
      <c r="L129" s="739"/>
      <c r="M129" s="739"/>
      <c r="N129" s="739"/>
      <c r="O129" s="739"/>
      <c r="P129" s="739"/>
      <c r="Q129" s="739"/>
      <c r="R129" s="739"/>
      <c r="S129" s="739"/>
      <c r="T129" s="739"/>
      <c r="U129" s="739"/>
      <c r="V129" s="739"/>
      <c r="W129" s="739"/>
      <c r="X129" s="739"/>
      <c r="Y129" s="739"/>
      <c r="Z129" s="739"/>
      <c r="AA129" s="739"/>
      <c r="AB129" s="739"/>
      <c r="AC129" s="739"/>
      <c r="AD129" s="739"/>
      <c r="AE129" s="739"/>
      <c r="AF129" s="739"/>
      <c r="AG129" s="739"/>
      <c r="AH129" s="739"/>
      <c r="AI129" s="739"/>
      <c r="AJ129" s="739"/>
      <c r="AK129" s="739"/>
      <c r="AL129" s="739"/>
      <c r="AM129" s="739"/>
      <c r="AN129" s="739"/>
      <c r="AO129" s="739"/>
      <c r="AP129" s="739"/>
      <c r="AQ129" s="739"/>
      <c r="AR129" s="739"/>
      <c r="AS129" s="739"/>
      <c r="AT129" s="739"/>
      <c r="AU129" s="739"/>
      <c r="AV129" s="739"/>
      <c r="AW129" s="739"/>
      <c r="AX129" s="740"/>
    </row>
    <row r="130" spans="2:50" ht="12" customHeight="1">
      <c r="B130" s="738"/>
      <c r="C130" s="739"/>
      <c r="D130" s="739"/>
      <c r="E130" s="739"/>
      <c r="F130" s="739"/>
      <c r="G130" s="739"/>
      <c r="H130" s="739"/>
      <c r="I130" s="739"/>
      <c r="J130" s="739"/>
      <c r="K130" s="739"/>
      <c r="L130" s="739"/>
      <c r="M130" s="739"/>
      <c r="N130" s="739"/>
      <c r="O130" s="739"/>
      <c r="P130" s="739"/>
      <c r="Q130" s="739"/>
      <c r="R130" s="739"/>
      <c r="S130" s="739"/>
      <c r="T130" s="739"/>
      <c r="U130" s="739"/>
      <c r="V130" s="739"/>
      <c r="W130" s="739"/>
      <c r="X130" s="739"/>
      <c r="Y130" s="739"/>
      <c r="Z130" s="739"/>
      <c r="AA130" s="739"/>
      <c r="AB130" s="739"/>
      <c r="AC130" s="739"/>
      <c r="AD130" s="739"/>
      <c r="AE130" s="739"/>
      <c r="AF130" s="739"/>
      <c r="AG130" s="739"/>
      <c r="AH130" s="739"/>
      <c r="AI130" s="739"/>
      <c r="AJ130" s="739"/>
      <c r="AK130" s="739"/>
      <c r="AL130" s="739"/>
      <c r="AM130" s="739"/>
      <c r="AN130" s="739"/>
      <c r="AO130" s="739"/>
      <c r="AP130" s="739"/>
      <c r="AQ130" s="739"/>
      <c r="AR130" s="739"/>
      <c r="AS130" s="739"/>
      <c r="AT130" s="739"/>
      <c r="AU130" s="739"/>
      <c r="AV130" s="739"/>
      <c r="AW130" s="739"/>
      <c r="AX130" s="740"/>
    </row>
    <row r="131" spans="2:50" ht="12" customHeight="1">
      <c r="B131" s="738"/>
      <c r="C131" s="739"/>
      <c r="D131" s="739"/>
      <c r="E131" s="739"/>
      <c r="F131" s="739"/>
      <c r="G131" s="739"/>
      <c r="H131" s="739"/>
      <c r="I131" s="739"/>
      <c r="J131" s="739"/>
      <c r="K131" s="739"/>
      <c r="L131" s="739"/>
      <c r="M131" s="739"/>
      <c r="N131" s="739"/>
      <c r="O131" s="739"/>
      <c r="P131" s="739"/>
      <c r="Q131" s="739"/>
      <c r="R131" s="739"/>
      <c r="S131" s="739"/>
      <c r="T131" s="739"/>
      <c r="U131" s="739"/>
      <c r="V131" s="739"/>
      <c r="W131" s="739"/>
      <c r="X131" s="739"/>
      <c r="Y131" s="739"/>
      <c r="Z131" s="739"/>
      <c r="AA131" s="739"/>
      <c r="AB131" s="739"/>
      <c r="AC131" s="739"/>
      <c r="AD131" s="739"/>
      <c r="AE131" s="739"/>
      <c r="AF131" s="739"/>
      <c r="AG131" s="739"/>
      <c r="AH131" s="739"/>
      <c r="AI131" s="739"/>
      <c r="AJ131" s="739"/>
      <c r="AK131" s="739"/>
      <c r="AL131" s="739"/>
      <c r="AM131" s="739"/>
      <c r="AN131" s="739"/>
      <c r="AO131" s="739"/>
      <c r="AP131" s="739"/>
      <c r="AQ131" s="739"/>
      <c r="AR131" s="739"/>
      <c r="AS131" s="739"/>
      <c r="AT131" s="739"/>
      <c r="AU131" s="739"/>
      <c r="AV131" s="739"/>
      <c r="AW131" s="739"/>
      <c r="AX131" s="740"/>
    </row>
    <row r="132" spans="2:50" ht="12" customHeight="1">
      <c r="B132" s="738"/>
      <c r="C132" s="739"/>
      <c r="D132" s="739"/>
      <c r="E132" s="739"/>
      <c r="F132" s="739"/>
      <c r="G132" s="739"/>
      <c r="H132" s="739"/>
      <c r="I132" s="739"/>
      <c r="J132" s="739"/>
      <c r="K132" s="739"/>
      <c r="L132" s="739"/>
      <c r="M132" s="739"/>
      <c r="N132" s="739"/>
      <c r="O132" s="739"/>
      <c r="P132" s="739"/>
      <c r="Q132" s="739"/>
      <c r="R132" s="739"/>
      <c r="S132" s="739"/>
      <c r="T132" s="739"/>
      <c r="U132" s="739"/>
      <c r="V132" s="739"/>
      <c r="W132" s="739"/>
      <c r="X132" s="739"/>
      <c r="Y132" s="739"/>
      <c r="Z132" s="739"/>
      <c r="AA132" s="739"/>
      <c r="AB132" s="739"/>
      <c r="AC132" s="739"/>
      <c r="AD132" s="739"/>
      <c r="AE132" s="739"/>
      <c r="AF132" s="739"/>
      <c r="AG132" s="739"/>
      <c r="AH132" s="739"/>
      <c r="AI132" s="739"/>
      <c r="AJ132" s="739"/>
      <c r="AK132" s="739"/>
      <c r="AL132" s="739"/>
      <c r="AM132" s="739"/>
      <c r="AN132" s="739"/>
      <c r="AO132" s="739"/>
      <c r="AP132" s="739"/>
      <c r="AQ132" s="739"/>
      <c r="AR132" s="739"/>
      <c r="AS132" s="739"/>
      <c r="AT132" s="739"/>
      <c r="AU132" s="739"/>
      <c r="AV132" s="739"/>
      <c r="AW132" s="739"/>
      <c r="AX132" s="740"/>
    </row>
    <row r="133" spans="2:50" ht="12" customHeight="1">
      <c r="B133" s="738"/>
      <c r="C133" s="739"/>
      <c r="D133" s="739"/>
      <c r="E133" s="739"/>
      <c r="F133" s="739"/>
      <c r="G133" s="739"/>
      <c r="H133" s="739"/>
      <c r="I133" s="739"/>
      <c r="J133" s="739"/>
      <c r="K133" s="739"/>
      <c r="L133" s="739"/>
      <c r="M133" s="739"/>
      <c r="N133" s="739"/>
      <c r="O133" s="739"/>
      <c r="P133" s="739"/>
      <c r="Q133" s="739"/>
      <c r="R133" s="739"/>
      <c r="S133" s="739"/>
      <c r="T133" s="739"/>
      <c r="U133" s="739"/>
      <c r="V133" s="739"/>
      <c r="W133" s="739"/>
      <c r="X133" s="739"/>
      <c r="Y133" s="739"/>
      <c r="Z133" s="739"/>
      <c r="AA133" s="739"/>
      <c r="AB133" s="739"/>
      <c r="AC133" s="739"/>
      <c r="AD133" s="739"/>
      <c r="AE133" s="739"/>
      <c r="AF133" s="739"/>
      <c r="AG133" s="739"/>
      <c r="AH133" s="739"/>
      <c r="AI133" s="739"/>
      <c r="AJ133" s="739"/>
      <c r="AK133" s="739"/>
      <c r="AL133" s="739"/>
      <c r="AM133" s="739"/>
      <c r="AN133" s="739"/>
      <c r="AO133" s="739"/>
      <c r="AP133" s="739"/>
      <c r="AQ133" s="739"/>
      <c r="AR133" s="739"/>
      <c r="AS133" s="739"/>
      <c r="AT133" s="739"/>
      <c r="AU133" s="739"/>
      <c r="AV133" s="739"/>
      <c r="AW133" s="739"/>
      <c r="AX133" s="740"/>
    </row>
    <row r="134" spans="2:50" ht="12" customHeight="1">
      <c r="B134" s="738"/>
      <c r="C134" s="739"/>
      <c r="D134" s="739"/>
      <c r="E134" s="739"/>
      <c r="F134" s="739"/>
      <c r="G134" s="739"/>
      <c r="H134" s="739"/>
      <c r="I134" s="739"/>
      <c r="J134" s="739"/>
      <c r="K134" s="739"/>
      <c r="L134" s="739"/>
      <c r="M134" s="739"/>
      <c r="N134" s="739"/>
      <c r="O134" s="739"/>
      <c r="P134" s="739"/>
      <c r="Q134" s="739"/>
      <c r="R134" s="739"/>
      <c r="S134" s="739"/>
      <c r="T134" s="739"/>
      <c r="U134" s="739"/>
      <c r="V134" s="739"/>
      <c r="W134" s="739"/>
      <c r="X134" s="739"/>
      <c r="Y134" s="739"/>
      <c r="Z134" s="739"/>
      <c r="AA134" s="739"/>
      <c r="AB134" s="739"/>
      <c r="AC134" s="739"/>
      <c r="AD134" s="739"/>
      <c r="AE134" s="739"/>
      <c r="AF134" s="739"/>
      <c r="AG134" s="739"/>
      <c r="AH134" s="739"/>
      <c r="AI134" s="739"/>
      <c r="AJ134" s="739"/>
      <c r="AK134" s="739"/>
      <c r="AL134" s="739"/>
      <c r="AM134" s="739"/>
      <c r="AN134" s="739"/>
      <c r="AO134" s="739"/>
      <c r="AP134" s="739"/>
      <c r="AQ134" s="739"/>
      <c r="AR134" s="739"/>
      <c r="AS134" s="739"/>
      <c r="AT134" s="739"/>
      <c r="AU134" s="739"/>
      <c r="AV134" s="739"/>
      <c r="AW134" s="739"/>
      <c r="AX134" s="740"/>
    </row>
    <row r="135" spans="2:50" ht="12" customHeight="1">
      <c r="B135" s="738"/>
      <c r="C135" s="739"/>
      <c r="D135" s="739"/>
      <c r="E135" s="739"/>
      <c r="F135" s="739"/>
      <c r="G135" s="739"/>
      <c r="H135" s="739"/>
      <c r="I135" s="739"/>
      <c r="J135" s="739"/>
      <c r="K135" s="739"/>
      <c r="L135" s="739"/>
      <c r="M135" s="739"/>
      <c r="N135" s="739"/>
      <c r="O135" s="739"/>
      <c r="P135" s="739"/>
      <c r="Q135" s="739"/>
      <c r="R135" s="739"/>
      <c r="S135" s="739"/>
      <c r="T135" s="739"/>
      <c r="U135" s="739"/>
      <c r="V135" s="739"/>
      <c r="W135" s="739"/>
      <c r="X135" s="739"/>
      <c r="Y135" s="739"/>
      <c r="Z135" s="739"/>
      <c r="AA135" s="739"/>
      <c r="AB135" s="739"/>
      <c r="AC135" s="739"/>
      <c r="AD135" s="739"/>
      <c r="AE135" s="739"/>
      <c r="AF135" s="739"/>
      <c r="AG135" s="739"/>
      <c r="AH135" s="739"/>
      <c r="AI135" s="739"/>
      <c r="AJ135" s="739"/>
      <c r="AK135" s="739"/>
      <c r="AL135" s="739"/>
      <c r="AM135" s="739"/>
      <c r="AN135" s="739"/>
      <c r="AO135" s="739"/>
      <c r="AP135" s="739"/>
      <c r="AQ135" s="739"/>
      <c r="AR135" s="739"/>
      <c r="AS135" s="739"/>
      <c r="AT135" s="739"/>
      <c r="AU135" s="739"/>
      <c r="AV135" s="739"/>
      <c r="AW135" s="739"/>
      <c r="AX135" s="740"/>
    </row>
    <row r="136" spans="2:50" ht="12" customHeight="1">
      <c r="B136" s="738"/>
      <c r="C136" s="739"/>
      <c r="D136" s="739"/>
      <c r="E136" s="739"/>
      <c r="F136" s="739"/>
      <c r="G136" s="739"/>
      <c r="H136" s="739"/>
      <c r="I136" s="739"/>
      <c r="J136" s="739"/>
      <c r="K136" s="739"/>
      <c r="L136" s="739"/>
      <c r="M136" s="739"/>
      <c r="N136" s="739"/>
      <c r="O136" s="739"/>
      <c r="P136" s="739"/>
      <c r="Q136" s="739"/>
      <c r="R136" s="739"/>
      <c r="S136" s="739"/>
      <c r="T136" s="739"/>
      <c r="U136" s="739"/>
      <c r="V136" s="739"/>
      <c r="W136" s="739"/>
      <c r="X136" s="739"/>
      <c r="Y136" s="739"/>
      <c r="Z136" s="739"/>
      <c r="AA136" s="739"/>
      <c r="AB136" s="739"/>
      <c r="AC136" s="739"/>
      <c r="AD136" s="739"/>
      <c r="AE136" s="739"/>
      <c r="AF136" s="739"/>
      <c r="AG136" s="739"/>
      <c r="AH136" s="739"/>
      <c r="AI136" s="739"/>
      <c r="AJ136" s="739"/>
      <c r="AK136" s="739"/>
      <c r="AL136" s="739"/>
      <c r="AM136" s="739"/>
      <c r="AN136" s="739"/>
      <c r="AO136" s="739"/>
      <c r="AP136" s="739"/>
      <c r="AQ136" s="739"/>
      <c r="AR136" s="739"/>
      <c r="AS136" s="739"/>
      <c r="AT136" s="739"/>
      <c r="AU136" s="739"/>
      <c r="AV136" s="739"/>
      <c r="AW136" s="739"/>
      <c r="AX136" s="740"/>
    </row>
    <row r="137" spans="2:50" ht="12" customHeight="1">
      <c r="B137" s="738"/>
      <c r="C137" s="739"/>
      <c r="D137" s="739"/>
      <c r="E137" s="739"/>
      <c r="F137" s="739"/>
      <c r="G137" s="739"/>
      <c r="H137" s="739"/>
      <c r="I137" s="739"/>
      <c r="J137" s="739"/>
      <c r="K137" s="739"/>
      <c r="L137" s="739"/>
      <c r="M137" s="739"/>
      <c r="N137" s="739"/>
      <c r="O137" s="739"/>
      <c r="P137" s="739"/>
      <c r="Q137" s="739"/>
      <c r="R137" s="739"/>
      <c r="S137" s="739"/>
      <c r="T137" s="739"/>
      <c r="U137" s="739"/>
      <c r="V137" s="739"/>
      <c r="W137" s="739"/>
      <c r="X137" s="739"/>
      <c r="Y137" s="739"/>
      <c r="Z137" s="739"/>
      <c r="AA137" s="739"/>
      <c r="AB137" s="739"/>
      <c r="AC137" s="739"/>
      <c r="AD137" s="739"/>
      <c r="AE137" s="739"/>
      <c r="AF137" s="739"/>
      <c r="AG137" s="739"/>
      <c r="AH137" s="739"/>
      <c r="AI137" s="739"/>
      <c r="AJ137" s="739"/>
      <c r="AK137" s="739"/>
      <c r="AL137" s="739"/>
      <c r="AM137" s="739"/>
      <c r="AN137" s="739"/>
      <c r="AO137" s="739"/>
      <c r="AP137" s="739"/>
      <c r="AQ137" s="739"/>
      <c r="AR137" s="739"/>
      <c r="AS137" s="739"/>
      <c r="AT137" s="739"/>
      <c r="AU137" s="739"/>
      <c r="AV137" s="739"/>
      <c r="AW137" s="739"/>
      <c r="AX137" s="740"/>
    </row>
    <row r="138" spans="2:50" ht="12" customHeight="1">
      <c r="B138" s="738"/>
      <c r="C138" s="739"/>
      <c r="D138" s="739"/>
      <c r="E138" s="739"/>
      <c r="F138" s="739"/>
      <c r="G138" s="739"/>
      <c r="H138" s="739"/>
      <c r="I138" s="739"/>
      <c r="J138" s="739"/>
      <c r="K138" s="739"/>
      <c r="L138" s="739"/>
      <c r="M138" s="739"/>
      <c r="N138" s="739"/>
      <c r="O138" s="739"/>
      <c r="P138" s="739"/>
      <c r="Q138" s="739"/>
      <c r="R138" s="739"/>
      <c r="S138" s="739"/>
      <c r="T138" s="739"/>
      <c r="U138" s="739"/>
      <c r="V138" s="739"/>
      <c r="W138" s="739"/>
      <c r="X138" s="739"/>
      <c r="Y138" s="739"/>
      <c r="Z138" s="739"/>
      <c r="AA138" s="739"/>
      <c r="AB138" s="739"/>
      <c r="AC138" s="739"/>
      <c r="AD138" s="739"/>
      <c r="AE138" s="739"/>
      <c r="AF138" s="739"/>
      <c r="AG138" s="739"/>
      <c r="AH138" s="739"/>
      <c r="AI138" s="739"/>
      <c r="AJ138" s="739"/>
      <c r="AK138" s="739"/>
      <c r="AL138" s="739"/>
      <c r="AM138" s="739"/>
      <c r="AN138" s="739"/>
      <c r="AO138" s="739"/>
      <c r="AP138" s="739"/>
      <c r="AQ138" s="739"/>
      <c r="AR138" s="739"/>
      <c r="AS138" s="739"/>
      <c r="AT138" s="739"/>
      <c r="AU138" s="739"/>
      <c r="AV138" s="739"/>
      <c r="AW138" s="739"/>
      <c r="AX138" s="740"/>
    </row>
    <row r="139" spans="2:50" ht="12" customHeight="1">
      <c r="B139" s="738"/>
      <c r="C139" s="739"/>
      <c r="D139" s="739"/>
      <c r="E139" s="739"/>
      <c r="F139" s="739"/>
      <c r="G139" s="739"/>
      <c r="H139" s="739"/>
      <c r="I139" s="739"/>
      <c r="J139" s="739"/>
      <c r="K139" s="739"/>
      <c r="L139" s="739"/>
      <c r="M139" s="739"/>
      <c r="N139" s="739"/>
      <c r="O139" s="739"/>
      <c r="P139" s="739"/>
      <c r="Q139" s="739"/>
      <c r="R139" s="739"/>
      <c r="S139" s="739"/>
      <c r="T139" s="739"/>
      <c r="U139" s="739"/>
      <c r="V139" s="739"/>
      <c r="W139" s="739"/>
      <c r="X139" s="739"/>
      <c r="Y139" s="739"/>
      <c r="Z139" s="739"/>
      <c r="AA139" s="739"/>
      <c r="AB139" s="739"/>
      <c r="AC139" s="739"/>
      <c r="AD139" s="739"/>
      <c r="AE139" s="739"/>
      <c r="AF139" s="739"/>
      <c r="AG139" s="739"/>
      <c r="AH139" s="739"/>
      <c r="AI139" s="739"/>
      <c r="AJ139" s="739"/>
      <c r="AK139" s="739"/>
      <c r="AL139" s="739"/>
      <c r="AM139" s="739"/>
      <c r="AN139" s="739"/>
      <c r="AO139" s="739"/>
      <c r="AP139" s="739"/>
      <c r="AQ139" s="739"/>
      <c r="AR139" s="739"/>
      <c r="AS139" s="739"/>
      <c r="AT139" s="739"/>
      <c r="AU139" s="739"/>
      <c r="AV139" s="739"/>
      <c r="AW139" s="739"/>
      <c r="AX139" s="740"/>
    </row>
    <row r="140" spans="2:50" ht="12" customHeight="1">
      <c r="B140" s="738"/>
      <c r="C140" s="739"/>
      <c r="D140" s="739"/>
      <c r="E140" s="739"/>
      <c r="F140" s="739"/>
      <c r="G140" s="739"/>
      <c r="H140" s="739"/>
      <c r="I140" s="739"/>
      <c r="J140" s="739"/>
      <c r="K140" s="739"/>
      <c r="L140" s="739"/>
      <c r="M140" s="739"/>
      <c r="N140" s="739"/>
      <c r="O140" s="739"/>
      <c r="P140" s="739"/>
      <c r="Q140" s="739"/>
      <c r="R140" s="739"/>
      <c r="S140" s="739"/>
      <c r="T140" s="739"/>
      <c r="U140" s="739"/>
      <c r="V140" s="739"/>
      <c r="W140" s="739"/>
      <c r="X140" s="739"/>
      <c r="Y140" s="739"/>
      <c r="Z140" s="739"/>
      <c r="AA140" s="739"/>
      <c r="AB140" s="739"/>
      <c r="AC140" s="739"/>
      <c r="AD140" s="739"/>
      <c r="AE140" s="739"/>
      <c r="AF140" s="739"/>
      <c r="AG140" s="739"/>
      <c r="AH140" s="739"/>
      <c r="AI140" s="739"/>
      <c r="AJ140" s="739"/>
      <c r="AK140" s="739"/>
      <c r="AL140" s="739"/>
      <c r="AM140" s="739"/>
      <c r="AN140" s="739"/>
      <c r="AO140" s="739"/>
      <c r="AP140" s="739"/>
      <c r="AQ140" s="739"/>
      <c r="AR140" s="739"/>
      <c r="AS140" s="739"/>
      <c r="AT140" s="739"/>
      <c r="AU140" s="739"/>
      <c r="AV140" s="739"/>
      <c r="AW140" s="739"/>
      <c r="AX140" s="740"/>
    </row>
    <row r="141" spans="2:50" ht="12" customHeight="1">
      <c r="B141" s="738"/>
      <c r="C141" s="739"/>
      <c r="D141" s="739"/>
      <c r="E141" s="739"/>
      <c r="F141" s="739"/>
      <c r="G141" s="739"/>
      <c r="H141" s="739"/>
      <c r="I141" s="739"/>
      <c r="J141" s="739"/>
      <c r="K141" s="739"/>
      <c r="L141" s="739"/>
      <c r="M141" s="739"/>
      <c r="N141" s="739"/>
      <c r="O141" s="739"/>
      <c r="P141" s="739"/>
      <c r="Q141" s="739"/>
      <c r="R141" s="739"/>
      <c r="S141" s="739"/>
      <c r="T141" s="739"/>
      <c r="U141" s="739"/>
      <c r="V141" s="739"/>
      <c r="W141" s="739"/>
      <c r="X141" s="739"/>
      <c r="Y141" s="739"/>
      <c r="Z141" s="739"/>
      <c r="AA141" s="739"/>
      <c r="AB141" s="739"/>
      <c r="AC141" s="739"/>
      <c r="AD141" s="739"/>
      <c r="AE141" s="739"/>
      <c r="AF141" s="739"/>
      <c r="AG141" s="739"/>
      <c r="AH141" s="739"/>
      <c r="AI141" s="739"/>
      <c r="AJ141" s="739"/>
      <c r="AK141" s="739"/>
      <c r="AL141" s="739"/>
      <c r="AM141" s="739"/>
      <c r="AN141" s="739"/>
      <c r="AO141" s="739"/>
      <c r="AP141" s="739"/>
      <c r="AQ141" s="739"/>
      <c r="AR141" s="739"/>
      <c r="AS141" s="739"/>
      <c r="AT141" s="739"/>
      <c r="AU141" s="739"/>
      <c r="AV141" s="739"/>
      <c r="AW141" s="739"/>
      <c r="AX141" s="740"/>
    </row>
    <row r="142" spans="2:50" ht="12" customHeight="1">
      <c r="B142" s="738"/>
      <c r="C142" s="739"/>
      <c r="D142" s="739"/>
      <c r="E142" s="739"/>
      <c r="F142" s="739"/>
      <c r="G142" s="739"/>
      <c r="H142" s="739"/>
      <c r="I142" s="739"/>
      <c r="J142" s="739"/>
      <c r="K142" s="739"/>
      <c r="L142" s="739"/>
      <c r="M142" s="739"/>
      <c r="N142" s="739"/>
      <c r="O142" s="739"/>
      <c r="P142" s="739"/>
      <c r="Q142" s="739"/>
      <c r="R142" s="739"/>
      <c r="S142" s="739"/>
      <c r="T142" s="739"/>
      <c r="U142" s="739"/>
      <c r="V142" s="739"/>
      <c r="W142" s="739"/>
      <c r="X142" s="739"/>
      <c r="Y142" s="739"/>
      <c r="Z142" s="739"/>
      <c r="AA142" s="739"/>
      <c r="AB142" s="739"/>
      <c r="AC142" s="739"/>
      <c r="AD142" s="739"/>
      <c r="AE142" s="739"/>
      <c r="AF142" s="739"/>
      <c r="AG142" s="739"/>
      <c r="AH142" s="739"/>
      <c r="AI142" s="739"/>
      <c r="AJ142" s="739"/>
      <c r="AK142" s="739"/>
      <c r="AL142" s="739"/>
      <c r="AM142" s="739"/>
      <c r="AN142" s="739"/>
      <c r="AO142" s="739"/>
      <c r="AP142" s="739"/>
      <c r="AQ142" s="739"/>
      <c r="AR142" s="739"/>
      <c r="AS142" s="739"/>
      <c r="AT142" s="739"/>
      <c r="AU142" s="739"/>
      <c r="AV142" s="739"/>
      <c r="AW142" s="739"/>
      <c r="AX142" s="740"/>
    </row>
    <row r="143" spans="2:50" ht="12" customHeight="1">
      <c r="B143" s="738"/>
      <c r="C143" s="739"/>
      <c r="D143" s="739"/>
      <c r="E143" s="739"/>
      <c r="F143" s="739"/>
      <c r="G143" s="739"/>
      <c r="H143" s="739"/>
      <c r="I143" s="739"/>
      <c r="J143" s="739"/>
      <c r="K143" s="739"/>
      <c r="L143" s="739"/>
      <c r="M143" s="739"/>
      <c r="N143" s="739"/>
      <c r="O143" s="739"/>
      <c r="P143" s="739"/>
      <c r="Q143" s="739"/>
      <c r="R143" s="739"/>
      <c r="S143" s="739"/>
      <c r="T143" s="739"/>
      <c r="U143" s="739"/>
      <c r="V143" s="739"/>
      <c r="W143" s="739"/>
      <c r="X143" s="739"/>
      <c r="Y143" s="739"/>
      <c r="Z143" s="739"/>
      <c r="AA143" s="739"/>
      <c r="AB143" s="739"/>
      <c r="AC143" s="739"/>
      <c r="AD143" s="739"/>
      <c r="AE143" s="739"/>
      <c r="AF143" s="739"/>
      <c r="AG143" s="739"/>
      <c r="AH143" s="739"/>
      <c r="AI143" s="739"/>
      <c r="AJ143" s="739"/>
      <c r="AK143" s="739"/>
      <c r="AL143" s="739"/>
      <c r="AM143" s="739"/>
      <c r="AN143" s="739"/>
      <c r="AO143" s="739"/>
      <c r="AP143" s="739"/>
      <c r="AQ143" s="739"/>
      <c r="AR143" s="739"/>
      <c r="AS143" s="739"/>
      <c r="AT143" s="739"/>
      <c r="AU143" s="739"/>
      <c r="AV143" s="739"/>
      <c r="AW143" s="739"/>
      <c r="AX143" s="740"/>
    </row>
    <row r="144" spans="2:50" ht="12" customHeight="1">
      <c r="B144" s="738"/>
      <c r="C144" s="739"/>
      <c r="D144" s="739"/>
      <c r="E144" s="739"/>
      <c r="F144" s="739"/>
      <c r="G144" s="739"/>
      <c r="H144" s="739"/>
      <c r="I144" s="739"/>
      <c r="J144" s="739"/>
      <c r="K144" s="739"/>
      <c r="L144" s="739"/>
      <c r="M144" s="739"/>
      <c r="N144" s="739"/>
      <c r="O144" s="739"/>
      <c r="P144" s="739"/>
      <c r="Q144" s="739"/>
      <c r="R144" s="739"/>
      <c r="S144" s="739"/>
      <c r="T144" s="739"/>
      <c r="U144" s="739"/>
      <c r="V144" s="739"/>
      <c r="W144" s="739"/>
      <c r="X144" s="739"/>
      <c r="Y144" s="739"/>
      <c r="Z144" s="739"/>
      <c r="AA144" s="739"/>
      <c r="AB144" s="739"/>
      <c r="AC144" s="739"/>
      <c r="AD144" s="739"/>
      <c r="AE144" s="739"/>
      <c r="AF144" s="739"/>
      <c r="AG144" s="739"/>
      <c r="AH144" s="739"/>
      <c r="AI144" s="739"/>
      <c r="AJ144" s="739"/>
      <c r="AK144" s="739"/>
      <c r="AL144" s="739"/>
      <c r="AM144" s="739"/>
      <c r="AN144" s="739"/>
      <c r="AO144" s="739"/>
      <c r="AP144" s="739"/>
      <c r="AQ144" s="739"/>
      <c r="AR144" s="739"/>
      <c r="AS144" s="739"/>
      <c r="AT144" s="739"/>
      <c r="AU144" s="739"/>
      <c r="AV144" s="739"/>
      <c r="AW144" s="739"/>
      <c r="AX144" s="740"/>
    </row>
    <row r="145" spans="2:50" ht="12" customHeight="1" thickBot="1">
      <c r="B145" s="744"/>
      <c r="C145" s="745"/>
      <c r="D145" s="745"/>
      <c r="E145" s="745"/>
      <c r="F145" s="745"/>
      <c r="G145" s="745"/>
      <c r="H145" s="745"/>
      <c r="I145" s="745"/>
      <c r="J145" s="745"/>
      <c r="K145" s="745"/>
      <c r="L145" s="745"/>
      <c r="M145" s="745"/>
      <c r="N145" s="745"/>
      <c r="O145" s="745"/>
      <c r="P145" s="745"/>
      <c r="Q145" s="745"/>
      <c r="R145" s="745"/>
      <c r="S145" s="745"/>
      <c r="T145" s="745"/>
      <c r="U145" s="745"/>
      <c r="V145" s="745"/>
      <c r="W145" s="745"/>
      <c r="X145" s="745"/>
      <c r="Y145" s="745"/>
      <c r="Z145" s="745"/>
      <c r="AA145" s="745"/>
      <c r="AB145" s="745"/>
      <c r="AC145" s="745"/>
      <c r="AD145" s="745"/>
      <c r="AE145" s="745"/>
      <c r="AF145" s="745"/>
      <c r="AG145" s="745"/>
      <c r="AH145" s="745"/>
      <c r="AI145" s="745"/>
      <c r="AJ145" s="745"/>
      <c r="AK145" s="745"/>
      <c r="AL145" s="745"/>
      <c r="AM145" s="745"/>
      <c r="AN145" s="745"/>
      <c r="AO145" s="745"/>
      <c r="AP145" s="745"/>
      <c r="AQ145" s="745"/>
      <c r="AR145" s="745"/>
      <c r="AS145" s="745"/>
      <c r="AT145" s="745"/>
      <c r="AU145" s="745"/>
      <c r="AV145" s="745"/>
      <c r="AW145" s="745"/>
      <c r="AX145" s="746"/>
    </row>
    <row r="146" spans="2:50" ht="12" customHeight="1"/>
    <row r="147" spans="2:50" ht="12" customHeight="1"/>
    <row r="148" spans="2:50" ht="12" customHeight="1"/>
    <row r="149" spans="2:50" ht="12" customHeight="1"/>
    <row r="150" spans="2:50" ht="12" customHeight="1"/>
  </sheetData>
  <mergeCells count="26">
    <mergeCell ref="AW5:AX5"/>
    <mergeCell ref="AM2:AP2"/>
    <mergeCell ref="AQ2:AT2"/>
    <mergeCell ref="AU2:AX3"/>
    <mergeCell ref="H3:K3"/>
    <mergeCell ref="L3:R3"/>
    <mergeCell ref="S3:V3"/>
    <mergeCell ref="W3:AL3"/>
    <mergeCell ref="AM3:AP3"/>
    <mergeCell ref="AQ3:AT3"/>
    <mergeCell ref="AH1:AL1"/>
    <mergeCell ref="AM1:AP1"/>
    <mergeCell ref="AQ1:AT1"/>
    <mergeCell ref="AU1:AX1"/>
    <mergeCell ref="H2:K2"/>
    <mergeCell ref="L2:R2"/>
    <mergeCell ref="S2:V2"/>
    <mergeCell ref="W2:AC2"/>
    <mergeCell ref="AD2:AG2"/>
    <mergeCell ref="AH2:AL2"/>
    <mergeCell ref="AD1:AG1"/>
    <mergeCell ref="A1:G3"/>
    <mergeCell ref="H1:K1"/>
    <mergeCell ref="L1:R1"/>
    <mergeCell ref="S1:V1"/>
    <mergeCell ref="W1:AC1"/>
  </mergeCells>
  <phoneticPr fontId="3"/>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CFF"/>
    <pageSetUpPr fitToPage="1"/>
  </sheetPr>
  <dimension ref="A1:BB452"/>
  <sheetViews>
    <sheetView showGridLines="0" zoomScaleNormal="100" zoomScaleSheetLayoutView="100" workbookViewId="0">
      <selection activeCell="Z8" sqref="Z8"/>
    </sheetView>
  </sheetViews>
  <sheetFormatPr defaultRowHeight="11.25"/>
  <cols>
    <col min="1" max="50" width="3.33203125" style="164" customWidth="1"/>
    <col min="51" max="51" width="1.5" style="164" customWidth="1"/>
    <col min="52" max="256" width="9.33203125" style="164"/>
    <col min="257" max="306" width="3.33203125" style="164" customWidth="1"/>
    <col min="307" max="307" width="1.5" style="164" customWidth="1"/>
    <col min="308" max="512" width="9.33203125" style="164"/>
    <col min="513" max="562" width="3.33203125" style="164" customWidth="1"/>
    <col min="563" max="563" width="1.5" style="164" customWidth="1"/>
    <col min="564" max="768" width="9.33203125" style="164"/>
    <col min="769" max="818" width="3.33203125" style="164" customWidth="1"/>
    <col min="819" max="819" width="1.5" style="164" customWidth="1"/>
    <col min="820" max="1024" width="9.33203125" style="164"/>
    <col min="1025" max="1074" width="3.33203125" style="164" customWidth="1"/>
    <col min="1075" max="1075" width="1.5" style="164" customWidth="1"/>
    <col min="1076" max="1280" width="9.33203125" style="164"/>
    <col min="1281" max="1330" width="3.33203125" style="164" customWidth="1"/>
    <col min="1331" max="1331" width="1.5" style="164" customWidth="1"/>
    <col min="1332" max="1536" width="9.33203125" style="164"/>
    <col min="1537" max="1586" width="3.33203125" style="164" customWidth="1"/>
    <col min="1587" max="1587" width="1.5" style="164" customWidth="1"/>
    <col min="1588" max="1792" width="9.33203125" style="164"/>
    <col min="1793" max="1842" width="3.33203125" style="164" customWidth="1"/>
    <col min="1843" max="1843" width="1.5" style="164" customWidth="1"/>
    <col min="1844" max="2048" width="9.33203125" style="164"/>
    <col min="2049" max="2098" width="3.33203125" style="164" customWidth="1"/>
    <col min="2099" max="2099" width="1.5" style="164" customWidth="1"/>
    <col min="2100" max="2304" width="9.33203125" style="164"/>
    <col min="2305" max="2354" width="3.33203125" style="164" customWidth="1"/>
    <col min="2355" max="2355" width="1.5" style="164" customWidth="1"/>
    <col min="2356" max="2560" width="9.33203125" style="164"/>
    <col min="2561" max="2610" width="3.33203125" style="164" customWidth="1"/>
    <col min="2611" max="2611" width="1.5" style="164" customWidth="1"/>
    <col min="2612" max="2816" width="9.33203125" style="164"/>
    <col min="2817" max="2866" width="3.33203125" style="164" customWidth="1"/>
    <col min="2867" max="2867" width="1.5" style="164" customWidth="1"/>
    <col min="2868" max="3072" width="9.33203125" style="164"/>
    <col min="3073" max="3122" width="3.33203125" style="164" customWidth="1"/>
    <col min="3123" max="3123" width="1.5" style="164" customWidth="1"/>
    <col min="3124" max="3328" width="9.33203125" style="164"/>
    <col min="3329" max="3378" width="3.33203125" style="164" customWidth="1"/>
    <col min="3379" max="3379" width="1.5" style="164" customWidth="1"/>
    <col min="3380" max="3584" width="9.33203125" style="164"/>
    <col min="3585" max="3634" width="3.33203125" style="164" customWidth="1"/>
    <col min="3635" max="3635" width="1.5" style="164" customWidth="1"/>
    <col min="3636" max="3840" width="9.33203125" style="164"/>
    <col min="3841" max="3890" width="3.33203125" style="164" customWidth="1"/>
    <col min="3891" max="3891" width="1.5" style="164" customWidth="1"/>
    <col min="3892" max="4096" width="9.33203125" style="164"/>
    <col min="4097" max="4146" width="3.33203125" style="164" customWidth="1"/>
    <col min="4147" max="4147" width="1.5" style="164" customWidth="1"/>
    <col min="4148" max="4352" width="9.33203125" style="164"/>
    <col min="4353" max="4402" width="3.33203125" style="164" customWidth="1"/>
    <col min="4403" max="4403" width="1.5" style="164" customWidth="1"/>
    <col min="4404" max="4608" width="9.33203125" style="164"/>
    <col min="4609" max="4658" width="3.33203125" style="164" customWidth="1"/>
    <col min="4659" max="4659" width="1.5" style="164" customWidth="1"/>
    <col min="4660" max="4864" width="9.33203125" style="164"/>
    <col min="4865" max="4914" width="3.33203125" style="164" customWidth="1"/>
    <col min="4915" max="4915" width="1.5" style="164" customWidth="1"/>
    <col min="4916" max="5120" width="9.33203125" style="164"/>
    <col min="5121" max="5170" width="3.33203125" style="164" customWidth="1"/>
    <col min="5171" max="5171" width="1.5" style="164" customWidth="1"/>
    <col min="5172" max="5376" width="9.33203125" style="164"/>
    <col min="5377" max="5426" width="3.33203125" style="164" customWidth="1"/>
    <col min="5427" max="5427" width="1.5" style="164" customWidth="1"/>
    <col min="5428" max="5632" width="9.33203125" style="164"/>
    <col min="5633" max="5682" width="3.33203125" style="164" customWidth="1"/>
    <col min="5683" max="5683" width="1.5" style="164" customWidth="1"/>
    <col min="5684" max="5888" width="9.33203125" style="164"/>
    <col min="5889" max="5938" width="3.33203125" style="164" customWidth="1"/>
    <col min="5939" max="5939" width="1.5" style="164" customWidth="1"/>
    <col min="5940" max="6144" width="9.33203125" style="164"/>
    <col min="6145" max="6194" width="3.33203125" style="164" customWidth="1"/>
    <col min="6195" max="6195" width="1.5" style="164" customWidth="1"/>
    <col min="6196" max="6400" width="9.33203125" style="164"/>
    <col min="6401" max="6450" width="3.33203125" style="164" customWidth="1"/>
    <col min="6451" max="6451" width="1.5" style="164" customWidth="1"/>
    <col min="6452" max="6656" width="9.33203125" style="164"/>
    <col min="6657" max="6706" width="3.33203125" style="164" customWidth="1"/>
    <col min="6707" max="6707" width="1.5" style="164" customWidth="1"/>
    <col min="6708" max="6912" width="9.33203125" style="164"/>
    <col min="6913" max="6962" width="3.33203125" style="164" customWidth="1"/>
    <col min="6963" max="6963" width="1.5" style="164" customWidth="1"/>
    <col min="6964" max="7168" width="9.33203125" style="164"/>
    <col min="7169" max="7218" width="3.33203125" style="164" customWidth="1"/>
    <col min="7219" max="7219" width="1.5" style="164" customWidth="1"/>
    <col min="7220" max="7424" width="9.33203125" style="164"/>
    <col min="7425" max="7474" width="3.33203125" style="164" customWidth="1"/>
    <col min="7475" max="7475" width="1.5" style="164" customWidth="1"/>
    <col min="7476" max="7680" width="9.33203125" style="164"/>
    <col min="7681" max="7730" width="3.33203125" style="164" customWidth="1"/>
    <col min="7731" max="7731" width="1.5" style="164" customWidth="1"/>
    <col min="7732" max="7936" width="9.33203125" style="164"/>
    <col min="7937" max="7986" width="3.33203125" style="164" customWidth="1"/>
    <col min="7987" max="7987" width="1.5" style="164" customWidth="1"/>
    <col min="7988" max="8192" width="9.33203125" style="164"/>
    <col min="8193" max="8242" width="3.33203125" style="164" customWidth="1"/>
    <col min="8243" max="8243" width="1.5" style="164" customWidth="1"/>
    <col min="8244" max="8448" width="9.33203125" style="164"/>
    <col min="8449" max="8498" width="3.33203125" style="164" customWidth="1"/>
    <col min="8499" max="8499" width="1.5" style="164" customWidth="1"/>
    <col min="8500" max="8704" width="9.33203125" style="164"/>
    <col min="8705" max="8754" width="3.33203125" style="164" customWidth="1"/>
    <col min="8755" max="8755" width="1.5" style="164" customWidth="1"/>
    <col min="8756" max="8960" width="9.33203125" style="164"/>
    <col min="8961" max="9010" width="3.33203125" style="164" customWidth="1"/>
    <col min="9011" max="9011" width="1.5" style="164" customWidth="1"/>
    <col min="9012" max="9216" width="9.33203125" style="164"/>
    <col min="9217" max="9266" width="3.33203125" style="164" customWidth="1"/>
    <col min="9267" max="9267" width="1.5" style="164" customWidth="1"/>
    <col min="9268" max="9472" width="9.33203125" style="164"/>
    <col min="9473" max="9522" width="3.33203125" style="164" customWidth="1"/>
    <col min="9523" max="9523" width="1.5" style="164" customWidth="1"/>
    <col min="9524" max="9728" width="9.33203125" style="164"/>
    <col min="9729" max="9778" width="3.33203125" style="164" customWidth="1"/>
    <col min="9779" max="9779" width="1.5" style="164" customWidth="1"/>
    <col min="9780" max="9984" width="9.33203125" style="164"/>
    <col min="9985" max="10034" width="3.33203125" style="164" customWidth="1"/>
    <col min="10035" max="10035" width="1.5" style="164" customWidth="1"/>
    <col min="10036" max="10240" width="9.33203125" style="164"/>
    <col min="10241" max="10290" width="3.33203125" style="164" customWidth="1"/>
    <col min="10291" max="10291" width="1.5" style="164" customWidth="1"/>
    <col min="10292" max="10496" width="9.33203125" style="164"/>
    <col min="10497" max="10546" width="3.33203125" style="164" customWidth="1"/>
    <col min="10547" max="10547" width="1.5" style="164" customWidth="1"/>
    <col min="10548" max="10752" width="9.33203125" style="164"/>
    <col min="10753" max="10802" width="3.33203125" style="164" customWidth="1"/>
    <col min="10803" max="10803" width="1.5" style="164" customWidth="1"/>
    <col min="10804" max="11008" width="9.33203125" style="164"/>
    <col min="11009" max="11058" width="3.33203125" style="164" customWidth="1"/>
    <col min="11059" max="11059" width="1.5" style="164" customWidth="1"/>
    <col min="11060" max="11264" width="9.33203125" style="164"/>
    <col min="11265" max="11314" width="3.33203125" style="164" customWidth="1"/>
    <col min="11315" max="11315" width="1.5" style="164" customWidth="1"/>
    <col min="11316" max="11520" width="9.33203125" style="164"/>
    <col min="11521" max="11570" width="3.33203125" style="164" customWidth="1"/>
    <col min="11571" max="11571" width="1.5" style="164" customWidth="1"/>
    <col min="11572" max="11776" width="9.33203125" style="164"/>
    <col min="11777" max="11826" width="3.33203125" style="164" customWidth="1"/>
    <col min="11827" max="11827" width="1.5" style="164" customWidth="1"/>
    <col min="11828" max="12032" width="9.33203125" style="164"/>
    <col min="12033" max="12082" width="3.33203125" style="164" customWidth="1"/>
    <col min="12083" max="12083" width="1.5" style="164" customWidth="1"/>
    <col min="12084" max="12288" width="9.33203125" style="164"/>
    <col min="12289" max="12338" width="3.33203125" style="164" customWidth="1"/>
    <col min="12339" max="12339" width="1.5" style="164" customWidth="1"/>
    <col min="12340" max="12544" width="9.33203125" style="164"/>
    <col min="12545" max="12594" width="3.33203125" style="164" customWidth="1"/>
    <col min="12595" max="12595" width="1.5" style="164" customWidth="1"/>
    <col min="12596" max="12800" width="9.33203125" style="164"/>
    <col min="12801" max="12850" width="3.33203125" style="164" customWidth="1"/>
    <col min="12851" max="12851" width="1.5" style="164" customWidth="1"/>
    <col min="12852" max="13056" width="9.33203125" style="164"/>
    <col min="13057" max="13106" width="3.33203125" style="164" customWidth="1"/>
    <col min="13107" max="13107" width="1.5" style="164" customWidth="1"/>
    <col min="13108" max="13312" width="9.33203125" style="164"/>
    <col min="13313" max="13362" width="3.33203125" style="164" customWidth="1"/>
    <col min="13363" max="13363" width="1.5" style="164" customWidth="1"/>
    <col min="13364" max="13568" width="9.33203125" style="164"/>
    <col min="13569" max="13618" width="3.33203125" style="164" customWidth="1"/>
    <col min="13619" max="13619" width="1.5" style="164" customWidth="1"/>
    <col min="13620" max="13824" width="9.33203125" style="164"/>
    <col min="13825" max="13874" width="3.33203125" style="164" customWidth="1"/>
    <col min="13875" max="13875" width="1.5" style="164" customWidth="1"/>
    <col min="13876" max="14080" width="9.33203125" style="164"/>
    <col min="14081" max="14130" width="3.33203125" style="164" customWidth="1"/>
    <col min="14131" max="14131" width="1.5" style="164" customWidth="1"/>
    <col min="14132" max="14336" width="9.33203125" style="164"/>
    <col min="14337" max="14386" width="3.33203125" style="164" customWidth="1"/>
    <col min="14387" max="14387" width="1.5" style="164" customWidth="1"/>
    <col min="14388" max="14592" width="9.33203125" style="164"/>
    <col min="14593" max="14642" width="3.33203125" style="164" customWidth="1"/>
    <col min="14643" max="14643" width="1.5" style="164" customWidth="1"/>
    <col min="14644" max="14848" width="9.33203125" style="164"/>
    <col min="14849" max="14898" width="3.33203125" style="164" customWidth="1"/>
    <col min="14899" max="14899" width="1.5" style="164" customWidth="1"/>
    <col min="14900" max="15104" width="9.33203125" style="164"/>
    <col min="15105" max="15154" width="3.33203125" style="164" customWidth="1"/>
    <col min="15155" max="15155" width="1.5" style="164" customWidth="1"/>
    <col min="15156" max="15360" width="9.33203125" style="164"/>
    <col min="15361" max="15410" width="3.33203125" style="164" customWidth="1"/>
    <col min="15411" max="15411" width="1.5" style="164" customWidth="1"/>
    <col min="15412" max="15616" width="9.33203125" style="164"/>
    <col min="15617" max="15666" width="3.33203125" style="164" customWidth="1"/>
    <col min="15667" max="15667" width="1.5" style="164" customWidth="1"/>
    <col min="15668" max="15872" width="9.33203125" style="164"/>
    <col min="15873" max="15922" width="3.33203125" style="164" customWidth="1"/>
    <col min="15923" max="15923" width="1.5" style="164" customWidth="1"/>
    <col min="15924" max="16128" width="9.33203125" style="164"/>
    <col min="16129" max="16178" width="3.33203125" style="164" customWidth="1"/>
    <col min="16179" max="16179" width="1.5" style="164" customWidth="1"/>
    <col min="16180" max="16384" width="9.33203125" style="164"/>
  </cols>
  <sheetData>
    <row r="1" spans="1:52" ht="14.25">
      <c r="A1" s="940" t="s">
        <v>650</v>
      </c>
      <c r="B1" s="941"/>
      <c r="C1" s="941"/>
      <c r="D1" s="941"/>
      <c r="E1" s="941"/>
      <c r="F1" s="941"/>
      <c r="G1" s="942"/>
      <c r="H1" s="999" t="s">
        <v>2</v>
      </c>
      <c r="I1" s="938"/>
      <c r="J1" s="938"/>
      <c r="K1" s="939"/>
      <c r="L1" s="1000" t="str">
        <f>IF(顧客名="","",顧客名)</f>
        <v>株式会社XXXX殿</v>
      </c>
      <c r="M1" s="951"/>
      <c r="N1" s="951"/>
      <c r="O1" s="951"/>
      <c r="P1" s="951"/>
      <c r="Q1" s="951"/>
      <c r="R1" s="952"/>
      <c r="S1" s="1001" t="s">
        <v>651</v>
      </c>
      <c r="T1" s="938"/>
      <c r="U1" s="938"/>
      <c r="V1" s="939"/>
      <c r="W1" s="1000" t="str">
        <f>IF(システム="","",システム)</f>
        <v>mcframe7</v>
      </c>
      <c r="X1" s="951"/>
      <c r="Y1" s="951"/>
      <c r="Z1" s="951"/>
      <c r="AA1" s="951"/>
      <c r="AB1" s="951"/>
      <c r="AC1" s="952"/>
      <c r="AD1" s="960" t="s">
        <v>8</v>
      </c>
      <c r="AE1" s="961"/>
      <c r="AF1" s="961"/>
      <c r="AG1" s="972"/>
      <c r="AH1" s="993" t="str">
        <f>IF(作成者="","",作成者)</f>
        <v>XX</v>
      </c>
      <c r="AI1" s="994"/>
      <c r="AJ1" s="994"/>
      <c r="AK1" s="994"/>
      <c r="AL1" s="995"/>
      <c r="AM1" s="960" t="s">
        <v>9</v>
      </c>
      <c r="AN1" s="961"/>
      <c r="AO1" s="961"/>
      <c r="AP1" s="972"/>
      <c r="AQ1" s="996">
        <f>IF(作成日="","",作成日)</f>
        <v>42881</v>
      </c>
      <c r="AR1" s="997"/>
      <c r="AS1" s="997"/>
      <c r="AT1" s="998"/>
      <c r="AU1" s="960" t="s">
        <v>0</v>
      </c>
      <c r="AV1" s="961"/>
      <c r="AW1" s="961"/>
      <c r="AX1" s="962"/>
    </row>
    <row r="2" spans="1:52" ht="14.25">
      <c r="A2" s="943"/>
      <c r="B2" s="944"/>
      <c r="C2" s="944"/>
      <c r="D2" s="944"/>
      <c r="E2" s="944"/>
      <c r="F2" s="944"/>
      <c r="G2" s="945"/>
      <c r="H2" s="963" t="s">
        <v>600</v>
      </c>
      <c r="I2" s="907"/>
      <c r="J2" s="907"/>
      <c r="K2" s="908"/>
      <c r="L2" s="964" t="str">
        <f>IF(プロジェクト名="","",プロジェクト名)</f>
        <v>新基幹システム構築プロジェクト</v>
      </c>
      <c r="M2" s="910"/>
      <c r="N2" s="910"/>
      <c r="O2" s="910"/>
      <c r="P2" s="910"/>
      <c r="Q2" s="910"/>
      <c r="R2" s="911"/>
      <c r="S2" s="965" t="s">
        <v>601</v>
      </c>
      <c r="T2" s="907"/>
      <c r="U2" s="907"/>
      <c r="V2" s="908"/>
      <c r="W2" s="964" t="str">
        <f>IF(サブシステム="","",サブシステム)</f>
        <v>SCM</v>
      </c>
      <c r="X2" s="910"/>
      <c r="Y2" s="910"/>
      <c r="Z2" s="910"/>
      <c r="AA2" s="910"/>
      <c r="AB2" s="910"/>
      <c r="AC2" s="911"/>
      <c r="AD2" s="966" t="s">
        <v>11</v>
      </c>
      <c r="AE2" s="967"/>
      <c r="AF2" s="967"/>
      <c r="AG2" s="968"/>
      <c r="AH2" s="969" t="str">
        <f>IF(修正者="","",修正者)</f>
        <v>XX</v>
      </c>
      <c r="AI2" s="970"/>
      <c r="AJ2" s="970"/>
      <c r="AK2" s="970"/>
      <c r="AL2" s="971"/>
      <c r="AM2" s="973" t="s">
        <v>12</v>
      </c>
      <c r="AN2" s="974"/>
      <c r="AO2" s="974"/>
      <c r="AP2" s="975"/>
      <c r="AQ2" s="976">
        <f>IF(修正日="","",修正日)</f>
        <v>43007</v>
      </c>
      <c r="AR2" s="977"/>
      <c r="AS2" s="977"/>
      <c r="AT2" s="977"/>
      <c r="AU2" s="978" t="str">
        <f>IF(文書番号="","",文書番号)</f>
        <v>XX-XX-9999</v>
      </c>
      <c r="AV2" s="979"/>
      <c r="AW2" s="979"/>
      <c r="AX2" s="980"/>
    </row>
    <row r="3" spans="1:52" ht="15" thickBot="1">
      <c r="A3" s="946"/>
      <c r="B3" s="947"/>
      <c r="C3" s="947"/>
      <c r="D3" s="947"/>
      <c r="E3" s="947"/>
      <c r="F3" s="947"/>
      <c r="G3" s="948"/>
      <c r="H3" s="984" t="s">
        <v>14</v>
      </c>
      <c r="I3" s="984"/>
      <c r="J3" s="984"/>
      <c r="K3" s="985"/>
      <c r="L3" s="986" t="str">
        <f>IF(機能ID="","",機能ID)</f>
        <v>MSBDP0080</v>
      </c>
      <c r="M3" s="933"/>
      <c r="N3" s="933"/>
      <c r="O3" s="933"/>
      <c r="P3" s="933"/>
      <c r="Q3" s="933"/>
      <c r="R3" s="933"/>
      <c r="S3" s="1002" t="s">
        <v>15</v>
      </c>
      <c r="T3" s="984"/>
      <c r="U3" s="984"/>
      <c r="V3" s="985"/>
      <c r="W3" s="986" t="str">
        <f>IF(機能名="","",機能名)</f>
        <v>発注登録</v>
      </c>
      <c r="X3" s="1003"/>
      <c r="Y3" s="1003"/>
      <c r="Z3" s="1003"/>
      <c r="AA3" s="1003"/>
      <c r="AB3" s="1003"/>
      <c r="AC3" s="1003"/>
      <c r="AD3" s="1003"/>
      <c r="AE3" s="1003"/>
      <c r="AF3" s="1003"/>
      <c r="AG3" s="1003"/>
      <c r="AH3" s="1003"/>
      <c r="AI3" s="1003"/>
      <c r="AJ3" s="1003"/>
      <c r="AK3" s="1003"/>
      <c r="AL3" s="1004"/>
      <c r="AM3" s="987" t="s">
        <v>13</v>
      </c>
      <c r="AN3" s="988"/>
      <c r="AO3" s="988"/>
      <c r="AP3" s="989"/>
      <c r="AQ3" s="990" t="str">
        <f>IF(Rev="","",Rev)</f>
        <v>r02.00</v>
      </c>
      <c r="AR3" s="991"/>
      <c r="AS3" s="991"/>
      <c r="AT3" s="992"/>
      <c r="AU3" s="981"/>
      <c r="AV3" s="982"/>
      <c r="AW3" s="982"/>
      <c r="AX3" s="983"/>
    </row>
    <row r="4" spans="1:52" ht="12" thickBot="1">
      <c r="A4" s="272"/>
      <c r="B4" s="273"/>
      <c r="C4" s="273"/>
      <c r="D4" s="273"/>
      <c r="E4" s="273"/>
      <c r="F4" s="273"/>
      <c r="G4" s="273"/>
      <c r="H4" s="273"/>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3"/>
      <c r="AV4" s="273"/>
      <c r="AW4" s="273"/>
      <c r="AX4" s="274"/>
    </row>
    <row r="5" spans="1:52" s="79" customFormat="1" ht="12.75" thickBot="1">
      <c r="A5" s="275" t="s">
        <v>652</v>
      </c>
      <c r="B5" s="1017" t="s">
        <v>653</v>
      </c>
      <c r="C5" s="1018"/>
      <c r="D5" s="276" t="s">
        <v>29</v>
      </c>
      <c r="E5" s="276"/>
      <c r="F5" s="276"/>
      <c r="G5" s="276"/>
      <c r="H5" s="276"/>
      <c r="I5" s="276"/>
      <c r="J5" s="276"/>
      <c r="K5" s="277"/>
      <c r="L5" s="276" t="s">
        <v>39</v>
      </c>
      <c r="M5" s="276"/>
      <c r="N5" s="276"/>
      <c r="O5" s="276"/>
      <c r="P5" s="276"/>
      <c r="Q5" s="276"/>
      <c r="R5" s="276"/>
      <c r="S5" s="276"/>
      <c r="T5" s="276"/>
      <c r="U5" s="276"/>
      <c r="V5" s="276"/>
      <c r="W5" s="276"/>
      <c r="X5" s="276"/>
      <c r="Y5" s="276"/>
      <c r="Z5" s="276"/>
      <c r="AA5" s="276"/>
      <c r="AB5" s="276"/>
      <c r="AC5" s="276"/>
      <c r="AD5" s="276"/>
      <c r="AE5" s="276"/>
      <c r="AF5" s="276"/>
      <c r="AG5" s="276"/>
      <c r="AH5" s="276"/>
      <c r="AI5" s="276"/>
      <c r="AJ5" s="276"/>
      <c r="AK5" s="276"/>
      <c r="AL5" s="276"/>
      <c r="AM5" s="276"/>
      <c r="AN5" s="276"/>
      <c r="AO5" s="276"/>
      <c r="AP5" s="277"/>
      <c r="AQ5" s="276" t="s">
        <v>40</v>
      </c>
      <c r="AR5" s="276"/>
      <c r="AS5" s="276"/>
      <c r="AT5" s="276"/>
      <c r="AU5" s="276"/>
      <c r="AV5" s="276"/>
      <c r="AW5" s="276"/>
      <c r="AX5" s="278"/>
    </row>
    <row r="6" spans="1:52" s="79" customFormat="1" ht="12.75" thickTop="1">
      <c r="A6" s="279">
        <v>1</v>
      </c>
      <c r="B6" s="69" t="s">
        <v>654</v>
      </c>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1"/>
    </row>
    <row r="7" spans="1:52" s="79" customFormat="1" ht="12">
      <c r="A7" s="280"/>
      <c r="B7" s="1007" t="s">
        <v>655</v>
      </c>
      <c r="C7" s="1008"/>
      <c r="D7" s="15"/>
      <c r="E7" s="15"/>
      <c r="F7" s="15"/>
      <c r="G7" s="15"/>
      <c r="H7" s="15"/>
      <c r="I7" s="15"/>
      <c r="J7" s="15"/>
      <c r="K7" s="15"/>
      <c r="L7" s="281"/>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282"/>
      <c r="AQ7" s="15"/>
      <c r="AR7" s="15"/>
      <c r="AS7" s="15"/>
      <c r="AT7" s="15"/>
      <c r="AU7" s="15"/>
      <c r="AV7" s="15"/>
      <c r="AW7" s="15"/>
      <c r="AX7" s="74"/>
      <c r="AZ7" s="283"/>
    </row>
    <row r="8" spans="1:52" s="79" customFormat="1" ht="12">
      <c r="A8" s="280"/>
      <c r="B8" s="160"/>
      <c r="C8" s="161"/>
      <c r="D8" s="15"/>
      <c r="E8" s="15"/>
      <c r="F8" s="15"/>
      <c r="G8" s="15"/>
      <c r="H8" s="15"/>
      <c r="I8" s="15"/>
      <c r="J8" s="15"/>
      <c r="K8" s="15"/>
      <c r="L8" s="72"/>
      <c r="M8" s="284"/>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73"/>
      <c r="AQ8" s="15"/>
      <c r="AR8" s="15"/>
      <c r="AS8" s="15"/>
      <c r="AT8" s="15"/>
      <c r="AU8" s="15"/>
      <c r="AV8" s="15"/>
      <c r="AW8" s="15"/>
      <c r="AX8" s="74"/>
      <c r="AZ8" s="283"/>
    </row>
    <row r="9" spans="1:52" s="79" customFormat="1" ht="12">
      <c r="A9" s="280"/>
      <c r="B9" s="1015"/>
      <c r="C9" s="1016"/>
      <c r="D9" s="15"/>
      <c r="E9" s="15"/>
      <c r="F9" s="15"/>
      <c r="G9" s="15"/>
      <c r="H9" s="15"/>
      <c r="I9" s="15"/>
      <c r="J9" s="15"/>
      <c r="K9" s="15"/>
      <c r="L9" s="285"/>
      <c r="M9" s="286"/>
      <c r="N9" s="286"/>
      <c r="O9" s="286"/>
      <c r="P9" s="286"/>
      <c r="Q9" s="286"/>
      <c r="R9" s="286"/>
      <c r="S9" s="286"/>
      <c r="T9" s="286"/>
      <c r="U9" s="286"/>
      <c r="V9" s="286"/>
      <c r="W9" s="286"/>
      <c r="X9" s="286"/>
      <c r="Y9" s="286"/>
      <c r="Z9" s="286"/>
      <c r="AA9" s="286"/>
      <c r="AB9" s="286"/>
      <c r="AC9" s="286"/>
      <c r="AD9" s="286"/>
      <c r="AE9" s="286"/>
      <c r="AF9" s="286"/>
      <c r="AG9" s="286"/>
      <c r="AH9" s="286"/>
      <c r="AI9" s="286"/>
      <c r="AJ9" s="286"/>
      <c r="AK9" s="286"/>
      <c r="AL9" s="286"/>
      <c r="AM9" s="286"/>
      <c r="AN9" s="286"/>
      <c r="AO9" s="286"/>
      <c r="AP9" s="287"/>
      <c r="AQ9" s="15"/>
      <c r="AR9" s="15"/>
      <c r="AS9" s="15"/>
      <c r="AT9" s="15"/>
      <c r="AU9" s="15"/>
      <c r="AV9" s="15"/>
      <c r="AW9" s="15"/>
      <c r="AX9" s="74"/>
      <c r="AZ9" s="283"/>
    </row>
    <row r="10" spans="1:52" s="79" customFormat="1" ht="12">
      <c r="A10" s="294" t="s">
        <v>972</v>
      </c>
      <c r="B10" s="75" t="s">
        <v>662</v>
      </c>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7"/>
    </row>
    <row r="11" spans="1:52" s="79" customFormat="1" ht="12">
      <c r="A11" s="295"/>
      <c r="B11" s="1007" t="s">
        <v>663</v>
      </c>
      <c r="C11" s="1008"/>
      <c r="D11" s="15"/>
      <c r="E11" s="15"/>
      <c r="F11" s="15"/>
      <c r="G11" s="15"/>
      <c r="H11" s="15"/>
      <c r="I11" s="15"/>
      <c r="J11" s="15"/>
      <c r="K11" s="15"/>
      <c r="L11" s="281" t="s">
        <v>664</v>
      </c>
      <c r="M11" s="15" t="s">
        <v>665</v>
      </c>
      <c r="N11" s="15"/>
      <c r="O11" s="15"/>
      <c r="P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73"/>
      <c r="AQ11" s="15"/>
      <c r="AR11" s="15"/>
      <c r="AS11" s="15"/>
      <c r="AT11" s="15"/>
      <c r="AU11" s="15"/>
      <c r="AV11" s="15"/>
      <c r="AW11" s="15"/>
      <c r="AX11" s="74"/>
      <c r="AZ11" s="283"/>
    </row>
    <row r="12" spans="1:52" s="79" customFormat="1" ht="12">
      <c r="A12" s="295"/>
      <c r="B12" s="160"/>
      <c r="C12" s="161"/>
      <c r="D12" s="15"/>
      <c r="E12" s="15"/>
      <c r="F12" s="15"/>
      <c r="G12" s="15"/>
      <c r="H12" s="15"/>
      <c r="I12" s="15"/>
      <c r="J12" s="15"/>
      <c r="K12" s="15"/>
      <c r="L12" s="289"/>
      <c r="M12" s="293" t="s">
        <v>666</v>
      </c>
      <c r="N12" s="15" t="s">
        <v>877</v>
      </c>
      <c r="O12" s="15"/>
      <c r="P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73"/>
      <c r="AQ12" s="15"/>
      <c r="AR12" s="15"/>
      <c r="AS12" s="15"/>
      <c r="AT12" s="15"/>
      <c r="AU12" s="15"/>
      <c r="AV12" s="15"/>
      <c r="AW12" s="15"/>
      <c r="AX12" s="74"/>
      <c r="AZ12" s="283"/>
    </row>
    <row r="13" spans="1:52" s="79" customFormat="1" ht="12">
      <c r="A13" s="295"/>
      <c r="B13" s="497"/>
      <c r="C13" s="498"/>
      <c r="D13" s="15"/>
      <c r="E13" s="15"/>
      <c r="F13" s="15"/>
      <c r="G13" s="15"/>
      <c r="H13" s="15"/>
      <c r="I13" s="15"/>
      <c r="J13" s="15"/>
      <c r="K13" s="15"/>
      <c r="L13" s="289"/>
      <c r="M13" s="293"/>
      <c r="N13" s="15" t="s">
        <v>1129</v>
      </c>
      <c r="O13" s="15"/>
      <c r="P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73"/>
      <c r="AQ13" s="15"/>
      <c r="AR13" s="15"/>
      <c r="AS13" s="15"/>
      <c r="AT13" s="15"/>
      <c r="AU13" s="15"/>
      <c r="AV13" s="15"/>
      <c r="AW13" s="15"/>
      <c r="AX13" s="74"/>
      <c r="AZ13" s="283"/>
    </row>
    <row r="14" spans="1:52" s="79" customFormat="1" ht="12">
      <c r="A14" s="295"/>
      <c r="B14" s="160"/>
      <c r="C14" s="161"/>
      <c r="D14" s="15"/>
      <c r="E14" s="15"/>
      <c r="F14" s="15"/>
      <c r="G14" s="15"/>
      <c r="H14" s="15"/>
      <c r="I14" s="15"/>
      <c r="J14" s="15"/>
      <c r="K14" s="15"/>
      <c r="L14" s="289"/>
      <c r="M14" s="293"/>
      <c r="AH14" s="15"/>
      <c r="AI14" s="15"/>
      <c r="AJ14" s="15"/>
      <c r="AK14" s="15"/>
      <c r="AL14" s="15"/>
      <c r="AM14" s="15"/>
      <c r="AN14" s="15"/>
      <c r="AO14" s="15"/>
      <c r="AP14" s="73"/>
      <c r="AQ14" s="15"/>
      <c r="AR14" s="15"/>
      <c r="AS14" s="15"/>
      <c r="AT14" s="15"/>
      <c r="AU14" s="15"/>
      <c r="AV14" s="15"/>
      <c r="AW14" s="15"/>
      <c r="AX14" s="74"/>
      <c r="AZ14" s="283"/>
    </row>
    <row r="15" spans="1:52" s="79" customFormat="1" ht="12">
      <c r="A15" s="295"/>
      <c r="B15" s="160"/>
      <c r="C15" s="161"/>
      <c r="D15" s="15"/>
      <c r="E15" s="15"/>
      <c r="F15" s="15"/>
      <c r="G15" s="15"/>
      <c r="H15" s="15"/>
      <c r="I15" s="15"/>
      <c r="J15" s="15"/>
      <c r="K15" s="15"/>
      <c r="L15" s="289"/>
      <c r="M15" s="293" t="s">
        <v>667</v>
      </c>
      <c r="N15" s="15" t="s">
        <v>668</v>
      </c>
      <c r="O15" s="15"/>
      <c r="P15" s="95"/>
      <c r="Q15" s="95"/>
      <c r="R15" s="95"/>
      <c r="S15" s="95"/>
      <c r="T15" s="95"/>
      <c r="U15" s="95"/>
      <c r="V15" s="15"/>
      <c r="W15" s="15"/>
      <c r="X15" s="15"/>
      <c r="Y15" s="15"/>
      <c r="Z15" s="15"/>
      <c r="AA15" s="15"/>
      <c r="AB15" s="15"/>
      <c r="AC15" s="15"/>
      <c r="AD15" s="15"/>
      <c r="AE15" s="15"/>
      <c r="AF15" s="15"/>
      <c r="AG15" s="15"/>
      <c r="AH15" s="15"/>
      <c r="AI15" s="15"/>
      <c r="AJ15" s="15"/>
      <c r="AK15" s="15"/>
      <c r="AL15" s="15"/>
      <c r="AM15" s="15"/>
      <c r="AN15" s="15"/>
      <c r="AO15" s="15"/>
      <c r="AP15" s="73"/>
      <c r="AQ15" s="15"/>
      <c r="AR15" s="15"/>
      <c r="AS15" s="15"/>
      <c r="AT15" s="15"/>
      <c r="AU15" s="15"/>
      <c r="AV15" s="15"/>
      <c r="AW15" s="15"/>
      <c r="AX15" s="74"/>
      <c r="AZ15" s="283"/>
    </row>
    <row r="16" spans="1:52" s="79" customFormat="1" ht="12">
      <c r="A16" s="295"/>
      <c r="B16" s="160"/>
      <c r="C16" s="161"/>
      <c r="D16" s="15"/>
      <c r="E16" s="15"/>
      <c r="F16" s="15"/>
      <c r="G16" s="15"/>
      <c r="H16" s="15"/>
      <c r="I16" s="15"/>
      <c r="J16" s="15"/>
      <c r="K16" s="15"/>
      <c r="L16" s="289"/>
      <c r="M16" s="15"/>
      <c r="N16" s="15" t="s">
        <v>1129</v>
      </c>
      <c r="O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73"/>
      <c r="AQ16" s="15"/>
      <c r="AR16" s="15"/>
      <c r="AS16" s="15"/>
      <c r="AT16" s="15"/>
      <c r="AU16" s="15"/>
      <c r="AV16" s="15"/>
      <c r="AW16" s="15"/>
      <c r="AX16" s="74"/>
      <c r="AZ16" s="283"/>
    </row>
    <row r="17" spans="1:52" s="79" customFormat="1" ht="11.25" customHeight="1">
      <c r="A17" s="295"/>
      <c r="B17" s="160"/>
      <c r="C17" s="161"/>
      <c r="D17" s="15"/>
      <c r="E17" s="15"/>
      <c r="F17" s="15"/>
      <c r="G17" s="15"/>
      <c r="H17" s="15"/>
      <c r="I17" s="15"/>
      <c r="J17" s="15"/>
      <c r="K17" s="15"/>
      <c r="L17" s="289"/>
      <c r="M17" s="15"/>
      <c r="AD17" s="15"/>
      <c r="AE17" s="15"/>
      <c r="AF17" s="15"/>
      <c r="AG17" s="15"/>
      <c r="AH17" s="15"/>
      <c r="AI17" s="15"/>
      <c r="AJ17" s="15"/>
      <c r="AK17" s="15"/>
      <c r="AL17" s="15"/>
      <c r="AM17" s="15"/>
      <c r="AN17" s="15"/>
      <c r="AO17" s="15"/>
      <c r="AP17" s="73"/>
      <c r="AQ17" s="15"/>
      <c r="AR17" s="15"/>
      <c r="AS17" s="15"/>
      <c r="AT17" s="15"/>
      <c r="AU17" s="15"/>
      <c r="AV17" s="15"/>
      <c r="AW17" s="15"/>
      <c r="AX17" s="74"/>
      <c r="AZ17" s="283"/>
    </row>
    <row r="18" spans="1:52" s="79" customFormat="1" ht="12">
      <c r="A18" s="295"/>
      <c r="B18" s="160"/>
      <c r="C18" s="161"/>
      <c r="D18" s="15"/>
      <c r="E18" s="15"/>
      <c r="F18" s="15"/>
      <c r="G18" s="15"/>
      <c r="H18" s="15"/>
      <c r="I18" s="15"/>
      <c r="J18" s="15"/>
      <c r="K18" s="15"/>
      <c r="L18" s="297" t="s">
        <v>660</v>
      </c>
      <c r="M18" s="15" t="s">
        <v>977</v>
      </c>
      <c r="N18" s="15"/>
      <c r="O18" s="15"/>
      <c r="P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73"/>
      <c r="AR18" s="15"/>
      <c r="AS18" s="15"/>
      <c r="AT18" s="15"/>
      <c r="AU18" s="15"/>
      <c r="AV18" s="15"/>
      <c r="AW18" s="15"/>
      <c r="AX18" s="74"/>
    </row>
    <row r="19" spans="1:52" s="79" customFormat="1" ht="12">
      <c r="A19" s="295"/>
      <c r="B19" s="160"/>
      <c r="C19" s="161"/>
      <c r="D19" s="15"/>
      <c r="E19" s="15"/>
      <c r="F19" s="15"/>
      <c r="G19" s="15"/>
      <c r="H19" s="15"/>
      <c r="I19" s="15"/>
      <c r="J19" s="15"/>
      <c r="K19" s="15"/>
      <c r="L19" s="289"/>
      <c r="M19" s="293" t="s">
        <v>661</v>
      </c>
      <c r="N19" s="15" t="s">
        <v>669</v>
      </c>
      <c r="O19" s="15"/>
      <c r="P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73"/>
      <c r="AQ19" s="15"/>
      <c r="AR19" s="15"/>
      <c r="AS19" s="15"/>
      <c r="AT19" s="15"/>
      <c r="AU19" s="15"/>
      <c r="AV19" s="15"/>
      <c r="AW19" s="15"/>
      <c r="AX19" s="74"/>
      <c r="AZ19" s="283"/>
    </row>
    <row r="20" spans="1:52" s="79" customFormat="1" ht="12">
      <c r="A20" s="280"/>
      <c r="B20" s="1015"/>
      <c r="C20" s="1016"/>
      <c r="D20" s="15"/>
      <c r="E20" s="15"/>
      <c r="F20" s="15"/>
      <c r="G20" s="15"/>
      <c r="H20" s="15"/>
      <c r="I20" s="15"/>
      <c r="J20" s="15"/>
      <c r="K20" s="15"/>
      <c r="L20" s="112"/>
      <c r="M20" s="293"/>
      <c r="N20" s="322" t="s">
        <v>670</v>
      </c>
      <c r="O20" s="15"/>
      <c r="P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73"/>
      <c r="AQ20" s="15"/>
      <c r="AR20" s="15"/>
      <c r="AS20" s="15"/>
      <c r="AT20" s="15"/>
      <c r="AU20" s="15"/>
      <c r="AV20" s="15"/>
      <c r="AW20" s="15"/>
      <c r="AX20" s="74"/>
      <c r="AZ20" s="283"/>
    </row>
    <row r="21" spans="1:52" s="79" customFormat="1" ht="12">
      <c r="A21" s="295"/>
      <c r="B21" s="352"/>
      <c r="C21" s="353"/>
      <c r="D21" s="15"/>
      <c r="E21" s="15"/>
      <c r="F21" s="15"/>
      <c r="G21" s="15"/>
      <c r="H21" s="15"/>
      <c r="I21" s="15"/>
      <c r="J21" s="15"/>
      <c r="K21" s="15"/>
      <c r="L21" s="112"/>
      <c r="M21" s="293"/>
      <c r="N21" s="360" t="s">
        <v>878</v>
      </c>
      <c r="O21" s="15"/>
      <c r="P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73"/>
      <c r="AQ21" s="15"/>
      <c r="AR21" s="15"/>
      <c r="AS21" s="15"/>
      <c r="AT21" s="15"/>
      <c r="AU21" s="15"/>
      <c r="AV21" s="15"/>
      <c r="AW21" s="15"/>
      <c r="AX21" s="74"/>
      <c r="AZ21" s="283"/>
    </row>
    <row r="22" spans="1:52" s="79" customFormat="1" ht="12">
      <c r="A22" s="295"/>
      <c r="B22" s="476"/>
      <c r="C22" s="477"/>
      <c r="D22" s="15"/>
      <c r="E22" s="15"/>
      <c r="F22" s="15"/>
      <c r="G22" s="15"/>
      <c r="H22" s="15"/>
      <c r="I22" s="15"/>
      <c r="J22" s="15"/>
      <c r="K22" s="15"/>
      <c r="L22" s="112"/>
      <c r="M22" s="293"/>
      <c r="N22" s="360"/>
      <c r="O22" s="15"/>
      <c r="P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73"/>
      <c r="AQ22" s="15"/>
      <c r="AR22" s="15"/>
      <c r="AS22" s="15"/>
      <c r="AT22" s="15"/>
      <c r="AU22" s="15"/>
      <c r="AV22" s="15"/>
      <c r="AW22" s="15"/>
      <c r="AX22" s="74"/>
      <c r="AZ22" s="283"/>
    </row>
    <row r="23" spans="1:52" s="79" customFormat="1" ht="12">
      <c r="A23" s="295"/>
      <c r="B23" s="476"/>
      <c r="C23" s="477"/>
      <c r="D23" s="15"/>
      <c r="E23" s="15"/>
      <c r="F23" s="15"/>
      <c r="G23" s="15"/>
      <c r="H23" s="15"/>
      <c r="I23" s="15"/>
      <c r="J23" s="15"/>
      <c r="K23" s="15"/>
      <c r="L23" s="112"/>
      <c r="M23" s="293"/>
      <c r="N23" s="485" t="s">
        <v>1067</v>
      </c>
      <c r="O23" s="485"/>
      <c r="P23" s="485"/>
      <c r="Q23" s="485"/>
      <c r="R23" s="485"/>
      <c r="S23" s="485"/>
      <c r="T23" s="485"/>
      <c r="U23" s="485"/>
      <c r="V23" s="485"/>
      <c r="W23" s="485"/>
      <c r="X23" s="485"/>
      <c r="Y23" s="485"/>
      <c r="Z23" s="485"/>
      <c r="AA23" s="485"/>
      <c r="AB23" s="15"/>
      <c r="AC23" s="15"/>
      <c r="AD23" s="15"/>
      <c r="AE23" s="15"/>
      <c r="AF23" s="15"/>
      <c r="AG23" s="15"/>
      <c r="AH23" s="15"/>
      <c r="AI23" s="15"/>
      <c r="AJ23" s="15"/>
      <c r="AK23" s="15"/>
      <c r="AL23" s="15"/>
      <c r="AM23" s="15"/>
      <c r="AN23" s="15"/>
      <c r="AO23" s="15"/>
      <c r="AP23" s="73"/>
      <c r="AQ23" s="15"/>
      <c r="AR23" s="15"/>
      <c r="AS23" s="15"/>
      <c r="AT23" s="15"/>
      <c r="AU23" s="15"/>
      <c r="AV23" s="15"/>
      <c r="AW23" s="15"/>
      <c r="AX23" s="74"/>
      <c r="AZ23" s="283"/>
    </row>
    <row r="24" spans="1:52" s="79" customFormat="1" ht="12">
      <c r="A24" s="295"/>
      <c r="B24" s="476"/>
      <c r="C24" s="477"/>
      <c r="D24" s="15"/>
      <c r="E24" s="15"/>
      <c r="F24" s="15"/>
      <c r="G24" s="15"/>
      <c r="H24" s="15"/>
      <c r="I24" s="15"/>
      <c r="J24" s="15"/>
      <c r="K24" s="15"/>
      <c r="L24" s="112"/>
      <c r="M24" s="293"/>
      <c r="N24" s="478" t="s">
        <v>671</v>
      </c>
      <c r="O24" s="479"/>
      <c r="P24" s="479"/>
      <c r="Q24" s="479"/>
      <c r="R24" s="479"/>
      <c r="S24" s="479"/>
      <c r="T24" s="479"/>
      <c r="U24" s="479"/>
      <c r="V24" s="478" t="s">
        <v>691</v>
      </c>
      <c r="W24" s="479"/>
      <c r="X24" s="479"/>
      <c r="Y24" s="479"/>
      <c r="Z24" s="479"/>
      <c r="AA24" s="479"/>
      <c r="AB24" s="479"/>
      <c r="AC24" s="480"/>
      <c r="AD24" s="15"/>
      <c r="AE24" s="15"/>
      <c r="AF24" s="15"/>
      <c r="AG24" s="15"/>
      <c r="AH24" s="15"/>
      <c r="AI24" s="15"/>
      <c r="AJ24" s="15"/>
      <c r="AK24" s="15"/>
      <c r="AL24" s="15"/>
      <c r="AM24" s="15"/>
      <c r="AN24" s="15"/>
      <c r="AO24" s="15"/>
      <c r="AP24" s="73"/>
      <c r="AQ24" s="15"/>
      <c r="AR24" s="15"/>
      <c r="AS24" s="15"/>
      <c r="AT24" s="15"/>
      <c r="AU24" s="15"/>
      <c r="AV24" s="15"/>
      <c r="AW24" s="15"/>
      <c r="AX24" s="74"/>
      <c r="AZ24" s="283"/>
    </row>
    <row r="25" spans="1:52" s="79" customFormat="1" ht="12">
      <c r="A25" s="295"/>
      <c r="B25" s="476"/>
      <c r="C25" s="477"/>
      <c r="D25" s="15"/>
      <c r="E25" s="15"/>
      <c r="F25" s="15"/>
      <c r="G25" s="15"/>
      <c r="H25" s="15"/>
      <c r="I25" s="15"/>
      <c r="J25" s="15"/>
      <c r="K25" s="15"/>
      <c r="L25" s="112"/>
      <c r="M25" s="293"/>
      <c r="N25" s="481" t="s">
        <v>1068</v>
      </c>
      <c r="O25" s="482"/>
      <c r="P25" s="482"/>
      <c r="Q25" s="482"/>
      <c r="R25" s="482"/>
      <c r="S25" s="482"/>
      <c r="T25" s="482"/>
      <c r="U25" s="482"/>
      <c r="V25" s="483" t="s">
        <v>1070</v>
      </c>
      <c r="W25" s="482"/>
      <c r="X25" s="482"/>
      <c r="Y25" s="482"/>
      <c r="Z25" s="482"/>
      <c r="AA25" s="482"/>
      <c r="AB25" s="482"/>
      <c r="AC25" s="484"/>
      <c r="AD25" s="15"/>
      <c r="AE25" s="15"/>
      <c r="AF25" s="15"/>
      <c r="AG25" s="15"/>
      <c r="AH25" s="15"/>
      <c r="AI25" s="15"/>
      <c r="AJ25" s="15"/>
      <c r="AK25" s="15"/>
      <c r="AL25" s="15"/>
      <c r="AM25" s="15"/>
      <c r="AN25" s="15"/>
      <c r="AO25" s="15"/>
      <c r="AP25" s="73"/>
      <c r="AQ25" s="15"/>
      <c r="AR25" s="15"/>
      <c r="AS25" s="15"/>
      <c r="AT25" s="15"/>
      <c r="AU25" s="15"/>
      <c r="AV25" s="15"/>
      <c r="AW25" s="15"/>
      <c r="AX25" s="74"/>
      <c r="AZ25" s="283"/>
    </row>
    <row r="26" spans="1:52" s="79" customFormat="1" ht="12">
      <c r="A26" s="295"/>
      <c r="B26" s="476"/>
      <c r="C26" s="477"/>
      <c r="D26" s="15"/>
      <c r="E26" s="15"/>
      <c r="F26" s="15"/>
      <c r="G26" s="15"/>
      <c r="H26" s="15"/>
      <c r="I26" s="15"/>
      <c r="J26" s="15"/>
      <c r="K26" s="15"/>
      <c r="L26" s="112"/>
      <c r="M26" s="293"/>
      <c r="N26" s="481" t="s">
        <v>362</v>
      </c>
      <c r="O26" s="482"/>
      <c r="P26" s="482"/>
      <c r="Q26" s="482"/>
      <c r="R26" s="482"/>
      <c r="S26" s="482"/>
      <c r="T26" s="482"/>
      <c r="U26" s="482"/>
      <c r="V26" s="483" t="s">
        <v>1071</v>
      </c>
      <c r="W26" s="482"/>
      <c r="X26" s="482"/>
      <c r="Y26" s="482"/>
      <c r="Z26" s="482"/>
      <c r="AA26" s="482"/>
      <c r="AB26" s="482"/>
      <c r="AC26" s="484"/>
      <c r="AD26" s="15"/>
      <c r="AE26" s="15"/>
      <c r="AF26" s="15"/>
      <c r="AG26" s="15"/>
      <c r="AH26" s="15"/>
      <c r="AI26" s="15"/>
      <c r="AJ26" s="15"/>
      <c r="AK26" s="15"/>
      <c r="AL26" s="15"/>
      <c r="AM26" s="15"/>
      <c r="AN26" s="15"/>
      <c r="AO26" s="15"/>
      <c r="AP26" s="73"/>
      <c r="AQ26" s="15"/>
      <c r="AR26" s="15"/>
      <c r="AS26" s="15"/>
      <c r="AT26" s="15"/>
      <c r="AU26" s="15"/>
      <c r="AV26" s="15"/>
      <c r="AW26" s="15"/>
      <c r="AX26" s="74"/>
      <c r="AZ26" s="283"/>
    </row>
    <row r="27" spans="1:52" s="79" customFormat="1" ht="12">
      <c r="A27" s="295"/>
      <c r="B27" s="476"/>
      <c r="C27" s="477"/>
      <c r="D27" s="15"/>
      <c r="E27" s="15"/>
      <c r="F27" s="15"/>
      <c r="G27" s="15"/>
      <c r="H27" s="15"/>
      <c r="I27" s="15"/>
      <c r="J27" s="15"/>
      <c r="K27" s="15"/>
      <c r="L27" s="112"/>
      <c r="M27" s="293"/>
      <c r="N27" s="481" t="s">
        <v>1069</v>
      </c>
      <c r="O27" s="482"/>
      <c r="P27" s="482"/>
      <c r="Q27" s="482"/>
      <c r="R27" s="482"/>
      <c r="S27" s="482"/>
      <c r="T27" s="482"/>
      <c r="U27" s="482"/>
      <c r="V27" s="483" t="s">
        <v>1072</v>
      </c>
      <c r="W27" s="482"/>
      <c r="X27" s="482"/>
      <c r="Y27" s="482"/>
      <c r="Z27" s="482"/>
      <c r="AA27" s="482"/>
      <c r="AB27" s="482"/>
      <c r="AC27" s="484"/>
      <c r="AD27" s="15"/>
      <c r="AE27" s="15"/>
      <c r="AF27" s="15"/>
      <c r="AG27" s="15"/>
      <c r="AH27" s="15"/>
      <c r="AI27" s="15"/>
      <c r="AJ27" s="15"/>
      <c r="AK27" s="15"/>
      <c r="AL27" s="15"/>
      <c r="AM27" s="15"/>
      <c r="AN27" s="15"/>
      <c r="AO27" s="15"/>
      <c r="AP27" s="73"/>
      <c r="AQ27" s="15"/>
      <c r="AR27" s="15"/>
      <c r="AS27" s="15"/>
      <c r="AT27" s="15"/>
      <c r="AU27" s="15"/>
      <c r="AV27" s="15"/>
      <c r="AW27" s="15"/>
      <c r="AX27" s="74"/>
      <c r="AZ27" s="283"/>
    </row>
    <row r="28" spans="1:52" s="79" customFormat="1" ht="12">
      <c r="A28" s="295"/>
      <c r="B28" s="476"/>
      <c r="C28" s="477"/>
      <c r="D28" s="15"/>
      <c r="E28" s="15"/>
      <c r="F28" s="15"/>
      <c r="G28" s="15"/>
      <c r="H28" s="15"/>
      <c r="I28" s="15"/>
      <c r="J28" s="15"/>
      <c r="K28" s="15"/>
      <c r="L28" s="112"/>
      <c r="M28" s="293"/>
      <c r="N28" s="486"/>
      <c r="O28" s="102"/>
      <c r="P28" s="102"/>
      <c r="Q28" s="102"/>
      <c r="R28" s="102"/>
      <c r="S28" s="102"/>
      <c r="T28" s="102"/>
      <c r="U28" s="102"/>
      <c r="V28" s="487"/>
      <c r="W28" s="102"/>
      <c r="X28" s="102"/>
      <c r="Y28" s="102"/>
      <c r="Z28" s="102"/>
      <c r="AA28" s="102"/>
      <c r="AB28" s="15"/>
      <c r="AC28" s="15"/>
      <c r="AD28" s="15"/>
      <c r="AE28" s="15"/>
      <c r="AF28" s="15"/>
      <c r="AG28" s="15"/>
      <c r="AH28" s="15"/>
      <c r="AI28" s="15"/>
      <c r="AJ28" s="15"/>
      <c r="AK28" s="15"/>
      <c r="AL28" s="15"/>
      <c r="AM28" s="15"/>
      <c r="AN28" s="15"/>
      <c r="AO28" s="15"/>
      <c r="AP28" s="73"/>
      <c r="AQ28" s="15"/>
      <c r="AR28" s="15"/>
      <c r="AS28" s="15"/>
      <c r="AT28" s="15"/>
      <c r="AU28" s="15"/>
      <c r="AV28" s="15"/>
      <c r="AW28" s="15"/>
      <c r="AX28" s="74"/>
      <c r="AZ28" s="283"/>
    </row>
    <row r="29" spans="1:52" s="79" customFormat="1" ht="12">
      <c r="A29" s="295"/>
      <c r="B29" s="476"/>
      <c r="C29" s="477"/>
      <c r="D29" s="15"/>
      <c r="E29" s="15"/>
      <c r="F29" s="15"/>
      <c r="G29" s="15"/>
      <c r="H29" s="15"/>
      <c r="I29" s="15"/>
      <c r="J29" s="15"/>
      <c r="K29" s="15"/>
      <c r="L29" s="112"/>
      <c r="M29" s="293"/>
      <c r="N29" s="478" t="s">
        <v>28</v>
      </c>
      <c r="O29" s="479"/>
      <c r="P29" s="479"/>
      <c r="Q29" s="479"/>
      <c r="R29" s="479"/>
      <c r="S29" s="479"/>
      <c r="T29" s="479"/>
      <c r="U29" s="479"/>
      <c r="V29" s="478" t="s">
        <v>691</v>
      </c>
      <c r="W29" s="479"/>
      <c r="X29" s="479"/>
      <c r="Y29" s="479"/>
      <c r="Z29" s="479"/>
      <c r="AA29" s="479"/>
      <c r="AB29" s="479"/>
      <c r="AC29" s="480"/>
      <c r="AD29" s="15"/>
      <c r="AE29" s="15"/>
      <c r="AF29" s="15"/>
      <c r="AG29" s="15"/>
      <c r="AH29" s="15"/>
      <c r="AI29" s="15"/>
      <c r="AJ29" s="15"/>
      <c r="AK29" s="15"/>
      <c r="AL29" s="15"/>
      <c r="AM29" s="15"/>
      <c r="AN29" s="15"/>
      <c r="AO29" s="15"/>
      <c r="AP29" s="73"/>
      <c r="AQ29" s="15"/>
      <c r="AR29" s="15"/>
      <c r="AS29" s="15"/>
      <c r="AT29" s="15"/>
      <c r="AU29" s="15"/>
      <c r="AV29" s="15"/>
      <c r="AW29" s="15"/>
      <c r="AX29" s="74"/>
      <c r="AZ29" s="283"/>
    </row>
    <row r="30" spans="1:52" s="79" customFormat="1" ht="12">
      <c r="A30" s="295"/>
      <c r="B30" s="499"/>
      <c r="C30" s="500"/>
      <c r="D30" s="15"/>
      <c r="E30" s="15"/>
      <c r="F30" s="15"/>
      <c r="G30" s="15"/>
      <c r="H30" s="15"/>
      <c r="I30" s="15"/>
      <c r="J30" s="15"/>
      <c r="K30" s="15"/>
      <c r="L30" s="112"/>
      <c r="M30" s="293"/>
      <c r="N30" s="483" t="s">
        <v>1130</v>
      </c>
      <c r="O30" s="482"/>
      <c r="P30" s="482"/>
      <c r="Q30" s="482"/>
      <c r="R30" s="482"/>
      <c r="S30" s="482"/>
      <c r="T30" s="482"/>
      <c r="U30" s="482"/>
      <c r="V30" s="483" t="s">
        <v>1134</v>
      </c>
      <c r="W30" s="482"/>
      <c r="X30" s="482"/>
      <c r="Y30" s="482"/>
      <c r="Z30" s="482"/>
      <c r="AA30" s="482"/>
      <c r="AB30" s="482"/>
      <c r="AC30" s="484"/>
      <c r="AD30" s="15"/>
      <c r="AE30" s="15"/>
      <c r="AF30" s="15"/>
      <c r="AG30" s="15"/>
      <c r="AH30" s="15"/>
      <c r="AI30" s="15"/>
      <c r="AJ30" s="15"/>
      <c r="AK30" s="15"/>
      <c r="AL30" s="15"/>
      <c r="AM30" s="15"/>
      <c r="AN30" s="15"/>
      <c r="AO30" s="15"/>
      <c r="AP30" s="73"/>
      <c r="AQ30" s="15"/>
      <c r="AR30" s="15"/>
      <c r="AS30" s="15"/>
      <c r="AT30" s="15"/>
      <c r="AU30" s="15"/>
      <c r="AV30" s="15"/>
      <c r="AW30" s="15"/>
      <c r="AX30" s="74"/>
      <c r="AZ30" s="283"/>
    </row>
    <row r="31" spans="1:52" s="79" customFormat="1" ht="12">
      <c r="A31" s="295"/>
      <c r="B31" s="499"/>
      <c r="C31" s="500"/>
      <c r="D31" s="15"/>
      <c r="E31" s="15"/>
      <c r="F31" s="15"/>
      <c r="G31" s="15"/>
      <c r="H31" s="15"/>
      <c r="I31" s="15"/>
      <c r="J31" s="15"/>
      <c r="K31" s="15"/>
      <c r="L31" s="112"/>
      <c r="M31" s="293"/>
      <c r="N31" s="483" t="s">
        <v>1131</v>
      </c>
      <c r="O31" s="482"/>
      <c r="P31" s="482"/>
      <c r="Q31" s="482"/>
      <c r="R31" s="482"/>
      <c r="S31" s="482"/>
      <c r="T31" s="482"/>
      <c r="U31" s="482"/>
      <c r="V31" s="483" t="s">
        <v>1135</v>
      </c>
      <c r="W31" s="482"/>
      <c r="X31" s="482"/>
      <c r="Y31" s="482"/>
      <c r="Z31" s="482"/>
      <c r="AA31" s="482"/>
      <c r="AB31" s="482"/>
      <c r="AC31" s="484"/>
      <c r="AD31" s="15"/>
      <c r="AE31" s="15"/>
      <c r="AF31" s="15"/>
      <c r="AG31" s="15"/>
      <c r="AH31" s="15"/>
      <c r="AI31" s="15"/>
      <c r="AJ31" s="15"/>
      <c r="AK31" s="15"/>
      <c r="AL31" s="15"/>
      <c r="AM31" s="15"/>
      <c r="AN31" s="15"/>
      <c r="AO31" s="15"/>
      <c r="AP31" s="73"/>
      <c r="AQ31" s="15"/>
      <c r="AR31" s="15"/>
      <c r="AS31" s="15"/>
      <c r="AT31" s="15"/>
      <c r="AU31" s="15"/>
      <c r="AV31" s="15"/>
      <c r="AW31" s="15"/>
      <c r="AX31" s="74"/>
      <c r="AZ31" s="283"/>
    </row>
    <row r="32" spans="1:52" s="79" customFormat="1" ht="12">
      <c r="A32" s="295"/>
      <c r="B32" s="499"/>
      <c r="C32" s="500"/>
      <c r="D32" s="15"/>
      <c r="E32" s="15"/>
      <c r="F32" s="15"/>
      <c r="G32" s="15"/>
      <c r="H32" s="15"/>
      <c r="I32" s="15"/>
      <c r="J32" s="15"/>
      <c r="K32" s="15"/>
      <c r="L32" s="112"/>
      <c r="M32" s="293"/>
      <c r="N32" s="483" t="s">
        <v>1132</v>
      </c>
      <c r="O32" s="482"/>
      <c r="P32" s="482"/>
      <c r="Q32" s="482"/>
      <c r="R32" s="482"/>
      <c r="S32" s="482"/>
      <c r="T32" s="482"/>
      <c r="U32" s="482"/>
      <c r="V32" s="483" t="s">
        <v>1136</v>
      </c>
      <c r="W32" s="482"/>
      <c r="X32" s="482"/>
      <c r="Y32" s="482"/>
      <c r="Z32" s="482"/>
      <c r="AA32" s="482"/>
      <c r="AB32" s="482"/>
      <c r="AC32" s="484"/>
      <c r="AD32" s="15"/>
      <c r="AE32" s="15"/>
      <c r="AF32" s="15"/>
      <c r="AG32" s="15"/>
      <c r="AH32" s="15"/>
      <c r="AI32" s="15"/>
      <c r="AJ32" s="15"/>
      <c r="AK32" s="15"/>
      <c r="AL32" s="15"/>
      <c r="AM32" s="15"/>
      <c r="AN32" s="15"/>
      <c r="AO32" s="15"/>
      <c r="AP32" s="73"/>
      <c r="AQ32" s="15"/>
      <c r="AR32" s="15"/>
      <c r="AS32" s="15"/>
      <c r="AT32" s="15"/>
      <c r="AU32" s="15"/>
      <c r="AV32" s="15"/>
      <c r="AW32" s="15"/>
      <c r="AX32" s="74"/>
      <c r="AZ32" s="283"/>
    </row>
    <row r="33" spans="1:52" s="79" customFormat="1" ht="12">
      <c r="A33" s="295"/>
      <c r="B33" s="476"/>
      <c r="C33" s="477"/>
      <c r="D33" s="15"/>
      <c r="E33" s="15"/>
      <c r="F33" s="15"/>
      <c r="G33" s="15"/>
      <c r="H33" s="15"/>
      <c r="I33" s="15"/>
      <c r="J33" s="15"/>
      <c r="K33" s="15"/>
      <c r="L33" s="112"/>
      <c r="M33" s="293"/>
      <c r="N33" s="483" t="s">
        <v>1133</v>
      </c>
      <c r="O33" s="482"/>
      <c r="P33" s="482"/>
      <c r="Q33" s="482"/>
      <c r="R33" s="482"/>
      <c r="S33" s="482"/>
      <c r="T33" s="482"/>
      <c r="U33" s="482"/>
      <c r="V33" s="483" t="s">
        <v>1137</v>
      </c>
      <c r="W33" s="482"/>
      <c r="X33" s="482"/>
      <c r="Y33" s="482"/>
      <c r="Z33" s="482"/>
      <c r="AA33" s="482"/>
      <c r="AB33" s="482"/>
      <c r="AC33" s="484"/>
      <c r="AD33" s="15"/>
      <c r="AE33" s="15"/>
      <c r="AF33" s="15"/>
      <c r="AG33" s="15"/>
      <c r="AH33" s="15"/>
      <c r="AI33" s="15"/>
      <c r="AJ33" s="15"/>
      <c r="AK33" s="15"/>
      <c r="AL33" s="15"/>
      <c r="AM33" s="15"/>
      <c r="AN33" s="15"/>
      <c r="AO33" s="15"/>
      <c r="AP33" s="73"/>
      <c r="AQ33" s="15"/>
      <c r="AR33" s="15"/>
      <c r="AS33" s="15"/>
      <c r="AT33" s="15"/>
      <c r="AU33" s="15"/>
      <c r="AV33" s="15"/>
      <c r="AW33" s="15"/>
      <c r="AX33" s="74"/>
      <c r="AZ33" s="283"/>
    </row>
    <row r="34" spans="1:52" s="79" customFormat="1" ht="12">
      <c r="A34" s="295"/>
      <c r="B34" s="476"/>
      <c r="C34" s="477"/>
      <c r="D34" s="15"/>
      <c r="E34" s="15"/>
      <c r="F34" s="15"/>
      <c r="G34" s="15"/>
      <c r="H34" s="15"/>
      <c r="I34" s="15"/>
      <c r="J34" s="15"/>
      <c r="K34" s="15"/>
      <c r="L34" s="112"/>
      <c r="M34" s="293"/>
      <c r="N34" s="486"/>
      <c r="O34" s="102"/>
      <c r="P34" s="102"/>
      <c r="Q34" s="102"/>
      <c r="R34" s="102"/>
      <c r="S34" s="102"/>
      <c r="T34" s="102"/>
      <c r="U34" s="102"/>
      <c r="V34" s="487"/>
      <c r="W34" s="102"/>
      <c r="X34" s="102"/>
      <c r="Y34" s="102"/>
      <c r="Z34" s="102"/>
      <c r="AA34" s="102"/>
      <c r="AB34" s="15"/>
      <c r="AC34" s="15"/>
      <c r="AD34" s="15"/>
      <c r="AE34" s="15"/>
      <c r="AF34" s="15"/>
      <c r="AG34" s="15"/>
      <c r="AH34" s="15"/>
      <c r="AI34" s="15"/>
      <c r="AJ34" s="15"/>
      <c r="AK34" s="15"/>
      <c r="AL34" s="15"/>
      <c r="AM34" s="15"/>
      <c r="AN34" s="15"/>
      <c r="AO34" s="15"/>
      <c r="AP34" s="73"/>
      <c r="AQ34" s="15"/>
      <c r="AR34" s="15"/>
      <c r="AS34" s="15"/>
      <c r="AT34" s="15"/>
      <c r="AU34" s="15"/>
      <c r="AV34" s="15"/>
      <c r="AW34" s="15"/>
      <c r="AX34" s="74"/>
      <c r="AZ34" s="283"/>
    </row>
    <row r="35" spans="1:52" s="79" customFormat="1" ht="12">
      <c r="A35" s="295"/>
      <c r="B35" s="476"/>
      <c r="C35" s="477"/>
      <c r="D35" s="15"/>
      <c r="E35" s="15"/>
      <c r="F35" s="15"/>
      <c r="G35" s="15"/>
      <c r="H35" s="15"/>
      <c r="I35" s="15"/>
      <c r="J35" s="15"/>
      <c r="K35" s="15"/>
      <c r="L35" s="112"/>
      <c r="M35" s="293"/>
      <c r="N35" s="486"/>
      <c r="O35" s="102"/>
      <c r="P35" s="102"/>
      <c r="Q35" s="102"/>
      <c r="R35" s="102"/>
      <c r="S35" s="102"/>
      <c r="T35" s="102"/>
      <c r="U35" s="102"/>
      <c r="V35" s="487"/>
      <c r="W35" s="102"/>
      <c r="X35" s="102"/>
      <c r="Y35" s="102"/>
      <c r="Z35" s="102"/>
      <c r="AA35" s="102"/>
      <c r="AB35" s="15"/>
      <c r="AC35" s="15"/>
      <c r="AD35" s="15"/>
      <c r="AE35" s="15"/>
      <c r="AF35" s="15"/>
      <c r="AG35" s="15"/>
      <c r="AH35" s="15"/>
      <c r="AI35" s="15"/>
      <c r="AJ35" s="15"/>
      <c r="AK35" s="15"/>
      <c r="AL35" s="15"/>
      <c r="AM35" s="15"/>
      <c r="AN35" s="15"/>
      <c r="AO35" s="15"/>
      <c r="AP35" s="73"/>
      <c r="AQ35" s="15"/>
      <c r="AR35" s="15"/>
      <c r="AS35" s="15"/>
      <c r="AT35" s="15"/>
      <c r="AU35" s="15"/>
      <c r="AV35" s="15"/>
      <c r="AW35" s="15"/>
      <c r="AX35" s="74"/>
      <c r="AZ35" s="283"/>
    </row>
    <row r="36" spans="1:52" s="79" customFormat="1" ht="12">
      <c r="A36" s="298"/>
      <c r="B36" s="160"/>
      <c r="C36" s="161"/>
      <c r="D36" s="15"/>
      <c r="E36" s="15"/>
      <c r="F36" s="15"/>
      <c r="G36" s="15"/>
      <c r="H36" s="15"/>
      <c r="I36" s="15"/>
      <c r="J36" s="15"/>
      <c r="K36" s="15"/>
      <c r="L36" s="72"/>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73"/>
      <c r="AQ36" s="15"/>
      <c r="AR36" s="15"/>
      <c r="AS36" s="15"/>
      <c r="AT36" s="15"/>
      <c r="AU36" s="15"/>
      <c r="AV36" s="15"/>
      <c r="AW36" s="15"/>
      <c r="AX36" s="74"/>
    </row>
    <row r="37" spans="1:52" s="79" customFormat="1" ht="12">
      <c r="A37" s="157"/>
      <c r="B37" s="160"/>
      <c r="C37" s="161"/>
      <c r="D37" s="15"/>
      <c r="E37" s="15"/>
      <c r="F37" s="15"/>
      <c r="G37" s="15"/>
      <c r="H37" s="15"/>
      <c r="I37" s="15"/>
      <c r="J37" s="15"/>
      <c r="K37" s="15"/>
      <c r="L37" s="292" t="s">
        <v>672</v>
      </c>
      <c r="M37" s="299" t="s">
        <v>978</v>
      </c>
      <c r="N37" s="15"/>
      <c r="O37" s="15"/>
      <c r="P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73"/>
      <c r="AQ37" s="15"/>
      <c r="AR37" s="15"/>
      <c r="AS37" s="15"/>
      <c r="AT37" s="15"/>
      <c r="AU37" s="15"/>
      <c r="AV37" s="15"/>
      <c r="AW37" s="15"/>
      <c r="AX37" s="74"/>
      <c r="AZ37" s="283"/>
    </row>
    <row r="38" spans="1:52" s="79" customFormat="1" ht="12">
      <c r="A38" s="157"/>
      <c r="B38" s="160"/>
      <c r="C38" s="161"/>
      <c r="D38" s="15"/>
      <c r="E38" s="15"/>
      <c r="F38" s="15"/>
      <c r="G38" s="15"/>
      <c r="H38" s="15"/>
      <c r="I38" s="15"/>
      <c r="J38" s="15"/>
      <c r="K38" s="15"/>
      <c r="L38" s="289"/>
      <c r="M38" s="293" t="s">
        <v>684</v>
      </c>
      <c r="N38" s="322" t="s">
        <v>891</v>
      </c>
      <c r="O38" s="15"/>
      <c r="P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73"/>
      <c r="AQ38" s="15"/>
      <c r="AR38" s="15"/>
      <c r="AS38" s="15"/>
      <c r="AT38" s="15"/>
      <c r="AU38" s="15"/>
      <c r="AV38" s="15"/>
      <c r="AW38" s="15"/>
      <c r="AX38" s="74"/>
      <c r="AZ38" s="283"/>
    </row>
    <row r="39" spans="1:52" s="79" customFormat="1" ht="12">
      <c r="A39" s="157"/>
      <c r="B39" s="352"/>
      <c r="C39" s="353"/>
      <c r="D39" s="15"/>
      <c r="E39" s="15"/>
      <c r="F39" s="15"/>
      <c r="G39" s="15"/>
      <c r="H39" s="15"/>
      <c r="I39" s="15"/>
      <c r="J39" s="15"/>
      <c r="K39" s="15"/>
      <c r="L39" s="289"/>
      <c r="M39" s="293"/>
      <c r="N39" s="360" t="s">
        <v>883</v>
      </c>
      <c r="O39" s="15"/>
      <c r="P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73"/>
      <c r="AQ39" s="15"/>
      <c r="AR39" s="15"/>
      <c r="AS39" s="15"/>
      <c r="AT39" s="15"/>
      <c r="AU39" s="15"/>
      <c r="AV39" s="15"/>
      <c r="AW39" s="15"/>
      <c r="AX39" s="74"/>
      <c r="AZ39" s="283"/>
    </row>
    <row r="40" spans="1:52" s="79" customFormat="1" ht="12">
      <c r="A40" s="157"/>
      <c r="B40" s="160"/>
      <c r="C40" s="161"/>
      <c r="D40" s="15"/>
      <c r="E40" s="15"/>
      <c r="F40" s="15"/>
      <c r="G40" s="15"/>
      <c r="H40" s="15"/>
      <c r="I40" s="15"/>
      <c r="J40" s="15"/>
      <c r="K40" s="15"/>
      <c r="L40" s="289"/>
      <c r="M40" s="293"/>
      <c r="N40" s="15"/>
      <c r="O40" s="15"/>
      <c r="P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73"/>
      <c r="AQ40" s="15"/>
      <c r="AR40" s="15"/>
      <c r="AS40" s="15"/>
      <c r="AT40" s="15"/>
      <c r="AU40" s="15"/>
      <c r="AV40" s="15"/>
      <c r="AW40" s="15"/>
      <c r="AX40" s="74"/>
      <c r="AZ40" s="283"/>
    </row>
    <row r="41" spans="1:52" s="79" customFormat="1" ht="12">
      <c r="A41" s="157"/>
      <c r="B41" s="476"/>
      <c r="C41" s="477"/>
      <c r="D41" s="15"/>
      <c r="E41" s="15"/>
      <c r="F41" s="15"/>
      <c r="G41" s="15"/>
      <c r="H41" s="15"/>
      <c r="I41" s="15"/>
      <c r="J41" s="15"/>
      <c r="K41" s="15"/>
      <c r="L41" s="289"/>
      <c r="M41" s="293"/>
      <c r="N41" s="485" t="s">
        <v>1074</v>
      </c>
      <c r="O41" s="485"/>
      <c r="P41" s="485"/>
      <c r="Q41" s="485"/>
      <c r="R41" s="485"/>
      <c r="S41" s="485"/>
      <c r="T41" s="485"/>
      <c r="U41" s="485"/>
      <c r="V41" s="485"/>
      <c r="W41" s="485"/>
      <c r="X41" s="485"/>
      <c r="Y41" s="485"/>
      <c r="Z41" s="485"/>
      <c r="AA41" s="485"/>
      <c r="AB41" s="15"/>
      <c r="AC41" s="15"/>
      <c r="AD41" s="15"/>
      <c r="AE41" s="15"/>
      <c r="AF41" s="15"/>
      <c r="AG41" s="15"/>
      <c r="AH41" s="15"/>
      <c r="AI41" s="15"/>
      <c r="AJ41" s="15"/>
      <c r="AK41" s="15"/>
      <c r="AL41" s="15"/>
      <c r="AM41" s="15"/>
      <c r="AN41" s="15"/>
      <c r="AO41" s="15"/>
      <c r="AP41" s="73"/>
      <c r="AQ41" s="15"/>
      <c r="AR41" s="15"/>
      <c r="AS41" s="15"/>
      <c r="AT41" s="15"/>
      <c r="AU41" s="15"/>
      <c r="AV41" s="15"/>
      <c r="AW41" s="15"/>
      <c r="AX41" s="74"/>
      <c r="AZ41" s="283"/>
    </row>
    <row r="42" spans="1:52" s="79" customFormat="1" ht="12">
      <c r="A42" s="157"/>
      <c r="B42" s="476"/>
      <c r="C42" s="477"/>
      <c r="D42" s="15"/>
      <c r="E42" s="15"/>
      <c r="F42" s="15"/>
      <c r="G42" s="15"/>
      <c r="H42" s="15"/>
      <c r="I42" s="15"/>
      <c r="J42" s="15"/>
      <c r="K42" s="15"/>
      <c r="L42" s="289"/>
      <c r="M42" s="293"/>
      <c r="N42" s="478" t="s">
        <v>671</v>
      </c>
      <c r="O42" s="479"/>
      <c r="P42" s="479"/>
      <c r="Q42" s="479"/>
      <c r="R42" s="479"/>
      <c r="S42" s="479"/>
      <c r="T42" s="479"/>
      <c r="U42" s="479"/>
      <c r="V42" s="478" t="s">
        <v>691</v>
      </c>
      <c r="W42" s="479"/>
      <c r="X42" s="479"/>
      <c r="Y42" s="479"/>
      <c r="Z42" s="479"/>
      <c r="AA42" s="479"/>
      <c r="AB42" s="479"/>
      <c r="AC42" s="480"/>
      <c r="AD42" s="15"/>
      <c r="AE42" s="15"/>
      <c r="AF42" s="15"/>
      <c r="AG42" s="15"/>
      <c r="AH42" s="15"/>
      <c r="AI42" s="15"/>
      <c r="AJ42" s="15"/>
      <c r="AK42" s="15"/>
      <c r="AL42" s="15"/>
      <c r="AM42" s="15"/>
      <c r="AN42" s="15"/>
      <c r="AO42" s="15"/>
      <c r="AP42" s="73"/>
      <c r="AQ42" s="15"/>
      <c r="AR42" s="15"/>
      <c r="AS42" s="15"/>
      <c r="AT42" s="15"/>
      <c r="AU42" s="15"/>
      <c r="AV42" s="15"/>
      <c r="AW42" s="15"/>
      <c r="AX42" s="74"/>
      <c r="AZ42" s="283"/>
    </row>
    <row r="43" spans="1:52" s="79" customFormat="1" ht="12">
      <c r="A43" s="157"/>
      <c r="B43" s="476"/>
      <c r="C43" s="477"/>
      <c r="D43" s="15"/>
      <c r="E43" s="15"/>
      <c r="F43" s="15"/>
      <c r="G43" s="15"/>
      <c r="H43" s="15"/>
      <c r="I43" s="15"/>
      <c r="J43" s="15"/>
      <c r="K43" s="15"/>
      <c r="L43" s="289"/>
      <c r="M43" s="293"/>
      <c r="N43" s="481" t="s">
        <v>1075</v>
      </c>
      <c r="O43" s="482"/>
      <c r="P43" s="482"/>
      <c r="Q43" s="482"/>
      <c r="R43" s="482"/>
      <c r="S43" s="482"/>
      <c r="T43" s="482"/>
      <c r="U43" s="482"/>
      <c r="V43" s="483" t="s">
        <v>1077</v>
      </c>
      <c r="W43" s="482"/>
      <c r="X43" s="482"/>
      <c r="Y43" s="482"/>
      <c r="Z43" s="482"/>
      <c r="AA43" s="482"/>
      <c r="AB43" s="482"/>
      <c r="AC43" s="484"/>
      <c r="AD43" s="15"/>
      <c r="AE43" s="15"/>
      <c r="AF43" s="15"/>
      <c r="AG43" s="15"/>
      <c r="AH43" s="15"/>
      <c r="AI43" s="15"/>
      <c r="AJ43" s="15"/>
      <c r="AK43" s="15"/>
      <c r="AL43" s="15"/>
      <c r="AM43" s="15"/>
      <c r="AN43" s="15"/>
      <c r="AO43" s="15"/>
      <c r="AP43" s="73"/>
      <c r="AQ43" s="15"/>
      <c r="AR43" s="15"/>
      <c r="AS43" s="15"/>
      <c r="AT43" s="15"/>
      <c r="AU43" s="15"/>
      <c r="AV43" s="15"/>
      <c r="AW43" s="15"/>
      <c r="AX43" s="74"/>
      <c r="AZ43" s="283"/>
    </row>
    <row r="44" spans="1:52" s="79" customFormat="1" ht="12">
      <c r="A44" s="157"/>
      <c r="B44" s="476"/>
      <c r="C44" s="477"/>
      <c r="D44" s="15"/>
      <c r="E44" s="15"/>
      <c r="F44" s="15"/>
      <c r="G44" s="15"/>
      <c r="H44" s="15"/>
      <c r="I44" s="15"/>
      <c r="J44" s="15"/>
      <c r="K44" s="15"/>
      <c r="L44" s="289"/>
      <c r="M44" s="293"/>
      <c r="N44" s="481" t="s">
        <v>1076</v>
      </c>
      <c r="O44" s="482"/>
      <c r="P44" s="482"/>
      <c r="Q44" s="482"/>
      <c r="R44" s="482"/>
      <c r="S44" s="482"/>
      <c r="T44" s="482"/>
      <c r="U44" s="482"/>
      <c r="V44" s="483" t="s">
        <v>1078</v>
      </c>
      <c r="W44" s="482"/>
      <c r="X44" s="482"/>
      <c r="Y44" s="482"/>
      <c r="Z44" s="482"/>
      <c r="AA44" s="482"/>
      <c r="AB44" s="482"/>
      <c r="AC44" s="484"/>
      <c r="AD44" s="15"/>
      <c r="AE44" s="15"/>
      <c r="AF44" s="15"/>
      <c r="AG44" s="15"/>
      <c r="AH44" s="15"/>
      <c r="AI44" s="15"/>
      <c r="AJ44" s="15"/>
      <c r="AK44" s="15"/>
      <c r="AL44" s="15"/>
      <c r="AM44" s="15"/>
      <c r="AN44" s="15"/>
      <c r="AO44" s="15"/>
      <c r="AP44" s="73"/>
      <c r="AQ44" s="15"/>
      <c r="AR44" s="15"/>
      <c r="AS44" s="15"/>
      <c r="AT44" s="15"/>
      <c r="AU44" s="15"/>
      <c r="AV44" s="15"/>
      <c r="AW44" s="15"/>
      <c r="AX44" s="74"/>
      <c r="AZ44" s="283"/>
    </row>
    <row r="45" spans="1:52" s="79" customFormat="1" ht="12">
      <c r="A45" s="157"/>
      <c r="B45" s="476"/>
      <c r="C45" s="477"/>
      <c r="D45" s="15"/>
      <c r="E45" s="15"/>
      <c r="F45" s="15"/>
      <c r="G45" s="15"/>
      <c r="H45" s="15"/>
      <c r="I45" s="15"/>
      <c r="J45" s="15"/>
      <c r="K45" s="15"/>
      <c r="L45" s="289"/>
      <c r="M45" s="293"/>
      <c r="N45" s="486"/>
      <c r="O45" s="102"/>
      <c r="P45" s="102"/>
      <c r="Q45" s="102"/>
      <c r="R45" s="102"/>
      <c r="S45" s="102"/>
      <c r="T45" s="102"/>
      <c r="U45" s="102"/>
      <c r="V45" s="487"/>
      <c r="W45" s="102"/>
      <c r="X45" s="102"/>
      <c r="Y45" s="102"/>
      <c r="Z45" s="102"/>
      <c r="AA45" s="102"/>
      <c r="AB45" s="15"/>
      <c r="AC45" s="15"/>
      <c r="AD45" s="15"/>
      <c r="AE45" s="15"/>
      <c r="AF45" s="15"/>
      <c r="AG45" s="15"/>
      <c r="AH45" s="15"/>
      <c r="AI45" s="15"/>
      <c r="AJ45" s="15"/>
      <c r="AK45" s="15"/>
      <c r="AL45" s="15"/>
      <c r="AM45" s="15"/>
      <c r="AN45" s="15"/>
      <c r="AO45" s="15"/>
      <c r="AP45" s="73"/>
      <c r="AQ45" s="15"/>
      <c r="AR45" s="15"/>
      <c r="AS45" s="15"/>
      <c r="AT45" s="15"/>
      <c r="AU45" s="15"/>
      <c r="AV45" s="15"/>
      <c r="AW45" s="15"/>
      <c r="AX45" s="74"/>
      <c r="AZ45" s="283"/>
    </row>
    <row r="46" spans="1:52" s="79" customFormat="1" ht="12">
      <c r="A46" s="157"/>
      <c r="B46" s="476"/>
      <c r="C46" s="477"/>
      <c r="D46" s="15"/>
      <c r="E46" s="15"/>
      <c r="F46" s="15"/>
      <c r="G46" s="15"/>
      <c r="H46" s="15"/>
      <c r="I46" s="15"/>
      <c r="J46" s="15"/>
      <c r="K46" s="15"/>
      <c r="L46" s="289"/>
      <c r="M46" s="293"/>
      <c r="N46" s="478" t="s">
        <v>28</v>
      </c>
      <c r="O46" s="489"/>
      <c r="P46" s="489"/>
      <c r="Q46" s="489"/>
      <c r="R46" s="489"/>
      <c r="S46" s="489"/>
      <c r="T46" s="489"/>
      <c r="U46" s="489"/>
      <c r="V46" s="478" t="s">
        <v>691</v>
      </c>
      <c r="W46" s="489"/>
      <c r="X46" s="489"/>
      <c r="Y46" s="489"/>
      <c r="Z46" s="489"/>
      <c r="AA46" s="489"/>
      <c r="AB46" s="489"/>
      <c r="AC46" s="490"/>
      <c r="AD46" s="15"/>
      <c r="AE46" s="15"/>
      <c r="AF46" s="15"/>
      <c r="AG46" s="15"/>
      <c r="AH46" s="15"/>
      <c r="AI46" s="15"/>
      <c r="AJ46" s="15"/>
      <c r="AK46" s="15"/>
      <c r="AL46" s="15"/>
      <c r="AM46" s="15"/>
      <c r="AN46" s="15"/>
      <c r="AO46" s="15"/>
      <c r="AP46" s="73"/>
      <c r="AQ46" s="15"/>
      <c r="AR46" s="15"/>
      <c r="AS46" s="15"/>
      <c r="AT46" s="15"/>
      <c r="AU46" s="15"/>
      <c r="AV46" s="15"/>
      <c r="AW46" s="15"/>
      <c r="AX46" s="74"/>
      <c r="AZ46" s="283"/>
    </row>
    <row r="47" spans="1:52" s="79" customFormat="1" ht="12">
      <c r="A47" s="157"/>
      <c r="B47" s="476"/>
      <c r="C47" s="477"/>
      <c r="D47" s="15"/>
      <c r="E47" s="15"/>
      <c r="F47" s="15"/>
      <c r="G47" s="15"/>
      <c r="H47" s="15"/>
      <c r="I47" s="15"/>
      <c r="J47" s="15"/>
      <c r="K47" s="15"/>
      <c r="L47" s="289"/>
      <c r="M47" s="293"/>
      <c r="N47" s="491" t="s">
        <v>1079</v>
      </c>
      <c r="O47" s="492"/>
      <c r="P47" s="492"/>
      <c r="Q47" s="492"/>
      <c r="R47" s="492"/>
      <c r="S47" s="492"/>
      <c r="T47" s="492"/>
      <c r="U47" s="492"/>
      <c r="V47" s="491" t="s">
        <v>1083</v>
      </c>
      <c r="W47" s="492"/>
      <c r="X47" s="492"/>
      <c r="Y47" s="492"/>
      <c r="Z47" s="492"/>
      <c r="AA47" s="492"/>
      <c r="AB47" s="492"/>
      <c r="AC47" s="493"/>
      <c r="AD47" s="15"/>
      <c r="AE47" s="15"/>
      <c r="AF47" s="15"/>
      <c r="AG47" s="15"/>
      <c r="AH47" s="15"/>
      <c r="AI47" s="15"/>
      <c r="AJ47" s="15"/>
      <c r="AK47" s="15"/>
      <c r="AL47" s="15"/>
      <c r="AM47" s="15"/>
      <c r="AN47" s="15"/>
      <c r="AO47" s="15"/>
      <c r="AP47" s="73"/>
      <c r="AQ47" s="15"/>
      <c r="AR47" s="15"/>
      <c r="AS47" s="15"/>
      <c r="AT47" s="15"/>
      <c r="AU47" s="15"/>
      <c r="AV47" s="15"/>
      <c r="AW47" s="15"/>
      <c r="AX47" s="74"/>
      <c r="AZ47" s="283"/>
    </row>
    <row r="48" spans="1:52" s="79" customFormat="1" ht="12">
      <c r="A48" s="157"/>
      <c r="B48" s="476"/>
      <c r="C48" s="477"/>
      <c r="D48" s="15"/>
      <c r="E48" s="15"/>
      <c r="F48" s="15"/>
      <c r="G48" s="15"/>
      <c r="H48" s="15"/>
      <c r="I48" s="15"/>
      <c r="J48" s="15"/>
      <c r="K48" s="15"/>
      <c r="L48" s="289"/>
      <c r="M48" s="293"/>
      <c r="N48" s="72"/>
      <c r="O48" s="15"/>
      <c r="P48" s="15"/>
      <c r="Q48" s="95"/>
      <c r="R48" s="15"/>
      <c r="S48" s="15"/>
      <c r="T48" s="15"/>
      <c r="U48" s="15"/>
      <c r="V48" s="494" t="s">
        <v>1080</v>
      </c>
      <c r="W48" s="15"/>
      <c r="X48" s="15"/>
      <c r="Y48" s="15"/>
      <c r="Z48" s="15"/>
      <c r="AA48" s="15"/>
      <c r="AB48" s="15"/>
      <c r="AC48" s="73"/>
      <c r="AD48" s="15"/>
      <c r="AE48" s="15"/>
      <c r="AF48" s="15"/>
      <c r="AG48" s="15"/>
      <c r="AH48" s="15"/>
      <c r="AI48" s="15"/>
      <c r="AJ48" s="15"/>
      <c r="AK48" s="15"/>
      <c r="AL48" s="15"/>
      <c r="AM48" s="15"/>
      <c r="AN48" s="15"/>
      <c r="AO48" s="15"/>
      <c r="AP48" s="73"/>
      <c r="AQ48" s="15"/>
      <c r="AR48" s="15"/>
      <c r="AS48" s="15"/>
      <c r="AT48" s="15"/>
      <c r="AU48" s="15"/>
      <c r="AV48" s="15"/>
      <c r="AW48" s="15"/>
      <c r="AX48" s="74"/>
      <c r="AZ48" s="283"/>
    </row>
    <row r="49" spans="1:52" s="79" customFormat="1" ht="12">
      <c r="A49" s="157"/>
      <c r="B49" s="476"/>
      <c r="C49" s="477"/>
      <c r="D49" s="15"/>
      <c r="E49" s="15"/>
      <c r="F49" s="15"/>
      <c r="G49" s="15"/>
      <c r="H49" s="15"/>
      <c r="I49" s="15"/>
      <c r="J49" s="15"/>
      <c r="K49" s="15"/>
      <c r="L49" s="289"/>
      <c r="M49" s="293"/>
      <c r="N49" s="72"/>
      <c r="O49" s="15"/>
      <c r="P49" s="15"/>
      <c r="Q49" s="95"/>
      <c r="R49" s="15"/>
      <c r="S49" s="15"/>
      <c r="T49" s="15"/>
      <c r="U49" s="15"/>
      <c r="V49" s="494" t="s">
        <v>1081</v>
      </c>
      <c r="W49" s="15"/>
      <c r="X49" s="15"/>
      <c r="Y49" s="15"/>
      <c r="Z49" s="15"/>
      <c r="AA49" s="15"/>
      <c r="AB49" s="15"/>
      <c r="AC49" s="73"/>
      <c r="AD49" s="15"/>
      <c r="AE49" s="15"/>
      <c r="AF49" s="15"/>
      <c r="AG49" s="15"/>
      <c r="AH49" s="15"/>
      <c r="AI49" s="15"/>
      <c r="AJ49" s="15"/>
      <c r="AK49" s="15"/>
      <c r="AL49" s="15"/>
      <c r="AM49" s="15"/>
      <c r="AN49" s="15"/>
      <c r="AO49" s="15"/>
      <c r="AP49" s="73"/>
      <c r="AQ49" s="15"/>
      <c r="AR49" s="15"/>
      <c r="AS49" s="15"/>
      <c r="AT49" s="15"/>
      <c r="AU49" s="15"/>
      <c r="AV49" s="15"/>
      <c r="AW49" s="15"/>
      <c r="AX49" s="74"/>
      <c r="AZ49" s="283"/>
    </row>
    <row r="50" spans="1:52" s="79" customFormat="1" ht="12">
      <c r="A50" s="157"/>
      <c r="B50" s="476"/>
      <c r="C50" s="477"/>
      <c r="D50" s="15"/>
      <c r="E50" s="15"/>
      <c r="F50" s="15"/>
      <c r="G50" s="15"/>
      <c r="H50" s="15"/>
      <c r="I50" s="15"/>
      <c r="J50" s="15"/>
      <c r="K50" s="15"/>
      <c r="L50" s="289"/>
      <c r="M50" s="293"/>
      <c r="N50" s="285"/>
      <c r="O50" s="286"/>
      <c r="P50" s="286"/>
      <c r="Q50" s="44"/>
      <c r="R50" s="286"/>
      <c r="S50" s="286"/>
      <c r="T50" s="286"/>
      <c r="U50" s="286"/>
      <c r="V50" s="495" t="s">
        <v>1082</v>
      </c>
      <c r="W50" s="286"/>
      <c r="X50" s="286"/>
      <c r="Y50" s="286"/>
      <c r="Z50" s="286"/>
      <c r="AA50" s="286"/>
      <c r="AB50" s="286"/>
      <c r="AC50" s="287"/>
      <c r="AD50" s="15"/>
      <c r="AE50" s="15"/>
      <c r="AF50" s="15"/>
      <c r="AG50" s="15"/>
      <c r="AH50" s="15"/>
      <c r="AI50" s="15"/>
      <c r="AJ50" s="15"/>
      <c r="AK50" s="15"/>
      <c r="AL50" s="15"/>
      <c r="AM50" s="15"/>
      <c r="AN50" s="15"/>
      <c r="AO50" s="15"/>
      <c r="AP50" s="73"/>
      <c r="AQ50" s="15"/>
      <c r="AR50" s="15"/>
      <c r="AS50" s="15"/>
      <c r="AT50" s="15"/>
      <c r="AU50" s="15"/>
      <c r="AV50" s="15"/>
      <c r="AW50" s="15"/>
      <c r="AX50" s="74"/>
      <c r="AZ50" s="283"/>
    </row>
    <row r="51" spans="1:52" s="79" customFormat="1" ht="12">
      <c r="A51" s="157"/>
      <c r="B51" s="476"/>
      <c r="C51" s="477"/>
      <c r="D51" s="15"/>
      <c r="E51" s="15"/>
      <c r="F51" s="15"/>
      <c r="G51" s="15"/>
      <c r="H51" s="15"/>
      <c r="I51" s="15"/>
      <c r="J51" s="15"/>
      <c r="K51" s="15"/>
      <c r="L51" s="289"/>
      <c r="M51" s="293"/>
      <c r="N51" s="15"/>
      <c r="O51" s="15"/>
      <c r="P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73"/>
      <c r="AQ51" s="15"/>
      <c r="AR51" s="15"/>
      <c r="AS51" s="15"/>
      <c r="AT51" s="15"/>
      <c r="AU51" s="15"/>
      <c r="AV51" s="15"/>
      <c r="AW51" s="15"/>
      <c r="AX51" s="74"/>
      <c r="AZ51" s="283"/>
    </row>
    <row r="52" spans="1:52" s="79" customFormat="1" ht="12">
      <c r="A52" s="157"/>
      <c r="B52" s="499"/>
      <c r="C52" s="500"/>
      <c r="D52" s="15"/>
      <c r="E52" s="15"/>
      <c r="F52" s="15"/>
      <c r="G52" s="15"/>
      <c r="H52" s="15"/>
      <c r="I52" s="15"/>
      <c r="J52" s="15"/>
      <c r="K52" s="15"/>
      <c r="L52" s="289"/>
      <c r="M52" s="293"/>
      <c r="N52" s="15"/>
      <c r="O52" s="15"/>
      <c r="P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73"/>
      <c r="AQ52" s="15"/>
      <c r="AR52" s="15"/>
      <c r="AS52" s="15"/>
      <c r="AT52" s="15"/>
      <c r="AU52" s="15"/>
      <c r="AV52" s="15"/>
      <c r="AW52" s="15"/>
      <c r="AX52" s="74"/>
      <c r="AZ52" s="283"/>
    </row>
    <row r="53" spans="1:52" s="79" customFormat="1" ht="12">
      <c r="A53" s="157"/>
      <c r="B53" s="499"/>
      <c r="C53" s="500"/>
      <c r="D53" s="15"/>
      <c r="E53" s="15"/>
      <c r="F53" s="15"/>
      <c r="G53" s="15"/>
      <c r="H53" s="15"/>
      <c r="I53" s="15"/>
      <c r="J53" s="15"/>
      <c r="K53" s="15"/>
      <c r="L53" s="289"/>
      <c r="M53" s="293"/>
      <c r="N53" s="15"/>
      <c r="O53" s="15"/>
      <c r="P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73"/>
      <c r="AQ53" s="15"/>
      <c r="AR53" s="15"/>
      <c r="AS53" s="15"/>
      <c r="AT53" s="15"/>
      <c r="AU53" s="15"/>
      <c r="AV53" s="15"/>
      <c r="AW53" s="15"/>
      <c r="AX53" s="74"/>
      <c r="AZ53" s="283"/>
    </row>
    <row r="54" spans="1:52" s="79" customFormat="1" ht="12">
      <c r="A54" s="298"/>
      <c r="B54" s="1009"/>
      <c r="C54" s="1010"/>
      <c r="D54" s="15"/>
      <c r="E54" s="15"/>
      <c r="F54" s="15"/>
      <c r="G54" s="15"/>
      <c r="H54" s="15"/>
      <c r="I54" s="15"/>
      <c r="J54" s="15"/>
      <c r="K54" s="15"/>
      <c r="L54" s="72"/>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73"/>
      <c r="AQ54" s="15"/>
      <c r="AR54" s="15"/>
      <c r="AS54" s="15"/>
      <c r="AT54" s="15"/>
      <c r="AU54" s="15"/>
      <c r="AV54" s="15"/>
      <c r="AW54" s="15"/>
      <c r="AX54" s="74"/>
    </row>
    <row r="55" spans="1:52" s="79" customFormat="1" ht="12">
      <c r="A55" s="294" t="s">
        <v>973</v>
      </c>
      <c r="B55" s="75" t="s">
        <v>673</v>
      </c>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7"/>
    </row>
    <row r="56" spans="1:52" s="79" customFormat="1" ht="12">
      <c r="A56" s="298"/>
      <c r="B56" s="1007" t="s">
        <v>663</v>
      </c>
      <c r="C56" s="1008"/>
      <c r="D56" s="15"/>
      <c r="E56" s="15"/>
      <c r="F56" s="15"/>
      <c r="G56" s="15"/>
      <c r="H56" s="15"/>
      <c r="I56" s="15"/>
      <c r="J56" s="15"/>
      <c r="K56" s="15"/>
      <c r="L56" s="281" t="s">
        <v>664</v>
      </c>
      <c r="M56" s="15" t="s">
        <v>674</v>
      </c>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73"/>
      <c r="AQ56" s="15"/>
      <c r="AR56" s="15"/>
      <c r="AS56" s="15"/>
      <c r="AT56" s="15"/>
      <c r="AU56" s="15"/>
      <c r="AV56" s="15"/>
      <c r="AW56" s="15"/>
      <c r="AX56" s="74"/>
      <c r="AZ56" s="283"/>
    </row>
    <row r="57" spans="1:52" s="79" customFormat="1" ht="12">
      <c r="A57" s="298"/>
      <c r="B57" s="160"/>
      <c r="C57" s="161"/>
      <c r="D57" s="15"/>
      <c r="E57" s="15"/>
      <c r="F57" s="15"/>
      <c r="G57" s="15"/>
      <c r="H57" s="15"/>
      <c r="I57" s="15"/>
      <c r="J57" s="15"/>
      <c r="K57" s="15"/>
      <c r="L57" s="72"/>
      <c r="M57" s="293"/>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73"/>
      <c r="AQ57" s="15"/>
      <c r="AR57" s="15"/>
      <c r="AS57" s="15"/>
      <c r="AT57" s="15"/>
      <c r="AU57" s="15"/>
      <c r="AV57" s="15"/>
      <c r="AW57" s="15"/>
      <c r="AX57" s="74"/>
    </row>
    <row r="58" spans="1:52" s="79" customFormat="1" ht="12">
      <c r="A58" s="298"/>
      <c r="B58" s="160"/>
      <c r="C58" s="161"/>
      <c r="D58" s="15"/>
      <c r="E58" s="15"/>
      <c r="F58" s="15"/>
      <c r="G58" s="15"/>
      <c r="H58" s="15"/>
      <c r="I58" s="15"/>
      <c r="J58" s="15"/>
      <c r="K58" s="15"/>
      <c r="L58" s="72"/>
      <c r="M58" s="293" t="s">
        <v>666</v>
      </c>
      <c r="N58" s="15" t="s">
        <v>675</v>
      </c>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73"/>
      <c r="AQ58" s="15"/>
      <c r="AR58" s="15"/>
      <c r="AS58" s="15"/>
      <c r="AT58" s="15"/>
      <c r="AU58" s="15"/>
      <c r="AV58" s="15"/>
      <c r="AW58" s="15"/>
      <c r="AX58" s="74"/>
    </row>
    <row r="59" spans="1:52" s="79" customFormat="1" ht="12">
      <c r="A59" s="298"/>
      <c r="B59" s="160"/>
      <c r="C59" s="161"/>
      <c r="D59" s="15"/>
      <c r="E59" s="15"/>
      <c r="F59" s="15"/>
      <c r="G59" s="15"/>
      <c r="H59" s="15"/>
      <c r="I59" s="15"/>
      <c r="J59" s="15"/>
      <c r="K59" s="15"/>
      <c r="L59" s="72"/>
      <c r="M59" s="293"/>
      <c r="N59" s="293" t="s">
        <v>676</v>
      </c>
      <c r="O59" s="15" t="s">
        <v>888</v>
      </c>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73"/>
      <c r="AQ59" s="15"/>
      <c r="AR59" s="15"/>
      <c r="AS59" s="15"/>
      <c r="AT59" s="15"/>
      <c r="AU59" s="15"/>
      <c r="AV59" s="15"/>
      <c r="AW59" s="15"/>
      <c r="AX59" s="74"/>
    </row>
    <row r="60" spans="1:52" s="79" customFormat="1" ht="12">
      <c r="A60" s="298"/>
      <c r="B60" s="160"/>
      <c r="C60" s="161"/>
      <c r="D60" s="15"/>
      <c r="E60" s="15"/>
      <c r="F60" s="15"/>
      <c r="G60" s="15"/>
      <c r="H60" s="15"/>
      <c r="I60" s="15"/>
      <c r="J60" s="15"/>
      <c r="K60" s="15"/>
      <c r="L60" s="72"/>
      <c r="M60" s="293"/>
      <c r="N60" s="15" t="s">
        <v>1129</v>
      </c>
      <c r="O60" s="290"/>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73"/>
      <c r="AQ60" s="15"/>
      <c r="AR60" s="15"/>
      <c r="AS60" s="15"/>
      <c r="AT60" s="15"/>
      <c r="AU60" s="15"/>
      <c r="AV60" s="15"/>
      <c r="AW60" s="15"/>
      <c r="AX60" s="74"/>
    </row>
    <row r="61" spans="1:52" s="79" customFormat="1" ht="12">
      <c r="A61" s="298"/>
      <c r="B61" s="160"/>
      <c r="C61" s="161"/>
      <c r="D61" s="15"/>
      <c r="E61" s="15"/>
      <c r="F61" s="15"/>
      <c r="G61" s="15"/>
      <c r="H61" s="15"/>
      <c r="I61" s="15"/>
      <c r="J61" s="15"/>
      <c r="K61" s="15"/>
      <c r="L61" s="72"/>
      <c r="M61" s="293"/>
      <c r="N61" s="15"/>
      <c r="O61" s="290"/>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73"/>
      <c r="AQ61" s="15"/>
      <c r="AR61" s="15"/>
      <c r="AS61" s="15"/>
      <c r="AT61" s="15"/>
      <c r="AU61" s="15"/>
      <c r="AV61" s="15"/>
      <c r="AW61" s="15"/>
      <c r="AX61" s="74"/>
    </row>
    <row r="62" spans="1:52" s="79" customFormat="1" ht="12">
      <c r="A62" s="298"/>
      <c r="B62" s="160"/>
      <c r="C62" s="161"/>
      <c r="D62" s="15"/>
      <c r="E62" s="15"/>
      <c r="F62" s="15"/>
      <c r="G62" s="15"/>
      <c r="H62" s="15"/>
      <c r="I62" s="15"/>
      <c r="J62" s="15"/>
      <c r="K62" s="15"/>
      <c r="L62" s="72"/>
      <c r="M62" s="293"/>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73"/>
      <c r="AQ62" s="15"/>
      <c r="AR62" s="15"/>
      <c r="AS62" s="15"/>
      <c r="AT62" s="15"/>
      <c r="AU62" s="15"/>
      <c r="AV62" s="15"/>
      <c r="AW62" s="15"/>
      <c r="AX62" s="74"/>
    </row>
    <row r="63" spans="1:52" s="79" customFormat="1" ht="12">
      <c r="A63" s="298"/>
      <c r="B63" s="160"/>
      <c r="C63" s="161"/>
      <c r="D63" s="15"/>
      <c r="E63" s="15"/>
      <c r="F63" s="15"/>
      <c r="G63" s="15"/>
      <c r="H63" s="15"/>
      <c r="I63" s="15"/>
      <c r="J63" s="15"/>
      <c r="K63" s="15"/>
      <c r="L63" s="72"/>
      <c r="M63" s="293"/>
      <c r="N63" s="293" t="s">
        <v>677</v>
      </c>
      <c r="O63" s="15" t="s">
        <v>889</v>
      </c>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73"/>
      <c r="AQ63" s="15"/>
      <c r="AR63" s="15"/>
      <c r="AS63" s="15"/>
      <c r="AT63" s="15"/>
      <c r="AU63" s="15"/>
      <c r="AV63" s="15"/>
      <c r="AW63" s="15"/>
      <c r="AX63" s="74"/>
    </row>
    <row r="64" spans="1:52" s="79" customFormat="1" ht="12">
      <c r="A64" s="157"/>
      <c r="B64" s="501"/>
      <c r="C64" s="502"/>
      <c r="D64" s="15"/>
      <c r="E64" s="15"/>
      <c r="F64" s="15"/>
      <c r="G64" s="15"/>
      <c r="H64" s="15"/>
      <c r="I64" s="15"/>
      <c r="J64" s="15"/>
      <c r="K64" s="15"/>
      <c r="L64" s="289"/>
      <c r="M64" s="293"/>
      <c r="N64" s="15" t="s">
        <v>1129</v>
      </c>
      <c r="O64" s="15"/>
      <c r="P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73"/>
      <c r="AQ64" s="15"/>
      <c r="AR64" s="15"/>
      <c r="AS64" s="15"/>
      <c r="AT64" s="15"/>
      <c r="AU64" s="15"/>
      <c r="AV64" s="15"/>
      <c r="AW64" s="15"/>
      <c r="AX64" s="74"/>
      <c r="AZ64" s="283"/>
    </row>
    <row r="65" spans="1:52" s="79" customFormat="1" ht="12">
      <c r="A65" s="298"/>
      <c r="B65" s="501"/>
      <c r="C65" s="502"/>
      <c r="D65" s="15"/>
      <c r="E65" s="15"/>
      <c r="F65" s="15"/>
      <c r="G65" s="15"/>
      <c r="H65" s="15"/>
      <c r="I65" s="15"/>
      <c r="J65" s="15"/>
      <c r="K65" s="15"/>
      <c r="L65" s="72"/>
      <c r="M65" s="293"/>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73"/>
      <c r="AQ65" s="15"/>
      <c r="AR65" s="15"/>
      <c r="AS65" s="15"/>
      <c r="AT65" s="15"/>
      <c r="AU65" s="15"/>
      <c r="AV65" s="15"/>
      <c r="AW65" s="15"/>
      <c r="AX65" s="74"/>
    </row>
    <row r="66" spans="1:52" s="79" customFormat="1" ht="12">
      <c r="A66" s="298"/>
      <c r="B66" s="1015"/>
      <c r="C66" s="1016"/>
      <c r="D66" s="15"/>
      <c r="E66" s="15"/>
      <c r="F66" s="15"/>
      <c r="G66" s="15"/>
      <c r="H66" s="15"/>
      <c r="I66" s="15"/>
      <c r="J66" s="15"/>
      <c r="K66" s="15"/>
      <c r="L66" s="72"/>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73"/>
      <c r="AQ66" s="15"/>
      <c r="AR66" s="15"/>
      <c r="AS66" s="15"/>
      <c r="AT66" s="15"/>
      <c r="AU66" s="15"/>
      <c r="AV66" s="15"/>
      <c r="AW66" s="15"/>
      <c r="AX66" s="74"/>
    </row>
    <row r="67" spans="1:52" s="79" customFormat="1" ht="12">
      <c r="A67" s="294" t="s">
        <v>879</v>
      </c>
      <c r="B67" s="75" t="s">
        <v>678</v>
      </c>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7"/>
    </row>
    <row r="68" spans="1:52" s="79" customFormat="1" ht="12">
      <c r="A68" s="298"/>
      <c r="B68" s="1007" t="s">
        <v>663</v>
      </c>
      <c r="C68" s="1008"/>
      <c r="D68" s="15"/>
      <c r="E68" s="15"/>
      <c r="F68" s="15"/>
      <c r="G68" s="15"/>
      <c r="H68" s="15"/>
      <c r="I68" s="15"/>
      <c r="J68" s="15"/>
      <c r="K68" s="15"/>
      <c r="L68" s="297" t="s">
        <v>664</v>
      </c>
      <c r="M68" s="15" t="s">
        <v>679</v>
      </c>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73"/>
      <c r="AQ68" s="15"/>
      <c r="AR68" s="15"/>
      <c r="AS68" s="15"/>
      <c r="AT68" s="15"/>
      <c r="AU68" s="15"/>
      <c r="AV68" s="15"/>
      <c r="AW68" s="15"/>
      <c r="AX68" s="74"/>
    </row>
    <row r="69" spans="1:52" s="79" customFormat="1" ht="12">
      <c r="A69" s="298"/>
      <c r="B69" s="160"/>
      <c r="C69" s="161"/>
      <c r="D69" s="15"/>
      <c r="E69" s="15"/>
      <c r="F69" s="15"/>
      <c r="G69" s="15"/>
      <c r="H69" s="15"/>
      <c r="I69" s="15"/>
      <c r="J69" s="15"/>
      <c r="K69" s="15"/>
      <c r="L69" s="297"/>
      <c r="M69" s="15" t="s">
        <v>680</v>
      </c>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73"/>
      <c r="AQ69" s="15"/>
      <c r="AR69" s="15"/>
      <c r="AS69" s="15"/>
      <c r="AT69" s="15"/>
      <c r="AU69" s="15"/>
      <c r="AV69" s="15"/>
      <c r="AW69" s="15"/>
      <c r="AX69" s="74"/>
    </row>
    <row r="70" spans="1:52" s="79" customFormat="1" ht="12">
      <c r="A70" s="298"/>
      <c r="B70" s="160"/>
      <c r="C70" s="161"/>
      <c r="D70" s="15"/>
      <c r="E70" s="15"/>
      <c r="F70" s="15"/>
      <c r="G70" s="15"/>
      <c r="H70" s="15"/>
      <c r="I70" s="15"/>
      <c r="J70" s="15"/>
      <c r="K70" s="15"/>
      <c r="L70" s="297"/>
      <c r="M70" s="293"/>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73"/>
      <c r="AQ70" s="15"/>
      <c r="AR70" s="15"/>
      <c r="AS70" s="15"/>
      <c r="AT70" s="15"/>
      <c r="AU70" s="15"/>
      <c r="AV70" s="15"/>
      <c r="AW70" s="15"/>
      <c r="AX70" s="74"/>
    </row>
    <row r="71" spans="1:52" s="79" customFormat="1" ht="12">
      <c r="A71" s="298"/>
      <c r="B71" s="160"/>
      <c r="C71" s="161"/>
      <c r="D71" s="15"/>
      <c r="E71" s="15"/>
      <c r="F71" s="15"/>
      <c r="G71" s="15"/>
      <c r="H71" s="15"/>
      <c r="I71" s="15"/>
      <c r="J71" s="15"/>
      <c r="K71" s="15"/>
      <c r="L71" s="297" t="s">
        <v>660</v>
      </c>
      <c r="M71" s="15" t="s">
        <v>681</v>
      </c>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73"/>
      <c r="AQ71" s="15"/>
      <c r="AR71" s="15"/>
      <c r="AS71" s="15"/>
      <c r="AT71" s="15"/>
      <c r="AU71" s="15"/>
      <c r="AV71" s="15"/>
      <c r="AW71" s="15"/>
      <c r="AX71" s="74"/>
    </row>
    <row r="72" spans="1:52" s="79" customFormat="1" ht="12">
      <c r="A72" s="298"/>
      <c r="B72" s="160"/>
      <c r="C72" s="161"/>
      <c r="D72" s="15"/>
      <c r="E72" s="15"/>
      <c r="F72" s="15"/>
      <c r="G72" s="15"/>
      <c r="H72" s="15"/>
      <c r="I72" s="15"/>
      <c r="J72" s="15"/>
      <c r="K72" s="15"/>
      <c r="L72" s="297"/>
      <c r="M72" s="15" t="s">
        <v>680</v>
      </c>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73"/>
      <c r="AQ72" s="15"/>
      <c r="AR72" s="15"/>
      <c r="AS72" s="15"/>
      <c r="AT72" s="15"/>
      <c r="AU72" s="15"/>
      <c r="AV72" s="15"/>
      <c r="AW72" s="15"/>
      <c r="AX72" s="74"/>
    </row>
    <row r="73" spans="1:52" s="79" customFormat="1" ht="12">
      <c r="A73" s="298"/>
      <c r="B73" s="1015"/>
      <c r="C73" s="1016"/>
      <c r="D73" s="15"/>
      <c r="E73" s="15"/>
      <c r="F73" s="15"/>
      <c r="G73" s="15"/>
      <c r="H73" s="15"/>
      <c r="I73" s="15"/>
      <c r="J73" s="15"/>
      <c r="K73" s="15"/>
      <c r="L73" s="297"/>
      <c r="M73" s="15"/>
      <c r="N73" s="293"/>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73"/>
      <c r="AQ73" s="15"/>
      <c r="AR73" s="15"/>
      <c r="AS73" s="15"/>
      <c r="AT73" s="15"/>
      <c r="AU73" s="15"/>
      <c r="AV73" s="15"/>
      <c r="AW73" s="15"/>
      <c r="AX73" s="74"/>
    </row>
    <row r="74" spans="1:52" s="79" customFormat="1" ht="12">
      <c r="A74" s="298"/>
      <c r="B74" s="162"/>
      <c r="C74" s="163"/>
      <c r="D74" s="286"/>
      <c r="E74" s="286"/>
      <c r="F74" s="286"/>
      <c r="G74" s="286"/>
      <c r="H74" s="286"/>
      <c r="I74" s="286"/>
      <c r="J74" s="286"/>
      <c r="K74" s="286"/>
      <c r="L74" s="300"/>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7"/>
      <c r="AQ74" s="286"/>
      <c r="AR74" s="286"/>
      <c r="AS74" s="286"/>
      <c r="AT74" s="286"/>
      <c r="AU74" s="286"/>
      <c r="AV74" s="286"/>
      <c r="AW74" s="286"/>
      <c r="AX74" s="301"/>
      <c r="AZ74" s="283"/>
    </row>
    <row r="75" spans="1:52" s="79" customFormat="1" ht="12">
      <c r="A75" s="298"/>
      <c r="B75" s="1007" t="s">
        <v>682</v>
      </c>
      <c r="C75" s="1008"/>
      <c r="D75" s="15"/>
      <c r="E75" s="15"/>
      <c r="F75" s="15"/>
      <c r="G75" s="15"/>
      <c r="H75" s="15"/>
      <c r="I75" s="15"/>
      <c r="J75" s="15"/>
      <c r="K75" s="15"/>
      <c r="L75" s="297" t="s">
        <v>672</v>
      </c>
      <c r="M75" s="15" t="s">
        <v>683</v>
      </c>
      <c r="N75" s="9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73"/>
      <c r="AQ75" s="15"/>
      <c r="AR75" s="15"/>
      <c r="AS75" s="15"/>
      <c r="AT75" s="15"/>
      <c r="AU75" s="15"/>
      <c r="AV75" s="15"/>
      <c r="AW75" s="15"/>
      <c r="AX75" s="74"/>
    </row>
    <row r="76" spans="1:52" s="79" customFormat="1" ht="12">
      <c r="A76" s="298"/>
      <c r="B76" s="160"/>
      <c r="C76" s="161"/>
      <c r="D76" s="15"/>
      <c r="E76" s="15"/>
      <c r="F76" s="15"/>
      <c r="G76" s="15"/>
      <c r="H76" s="15"/>
      <c r="I76" s="15"/>
      <c r="J76" s="15"/>
      <c r="K76" s="15"/>
      <c r="L76" s="297"/>
      <c r="M76" s="293" t="s">
        <v>684</v>
      </c>
      <c r="N76" s="15" t="s">
        <v>1273</v>
      </c>
      <c r="O76" s="9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73"/>
      <c r="AQ76" s="15"/>
      <c r="AR76" s="15"/>
      <c r="AS76" s="15"/>
      <c r="AT76" s="15"/>
      <c r="AU76" s="15"/>
      <c r="AV76" s="15"/>
      <c r="AW76" s="15"/>
      <c r="AX76" s="74"/>
    </row>
    <row r="77" spans="1:52" s="79" customFormat="1" ht="12">
      <c r="A77" s="298"/>
      <c r="B77" s="160"/>
      <c r="C77" s="161"/>
      <c r="D77" s="15"/>
      <c r="E77" s="15"/>
      <c r="F77" s="15"/>
      <c r="G77" s="15"/>
      <c r="H77" s="15"/>
      <c r="I77" s="15"/>
      <c r="J77" s="15"/>
      <c r="K77" s="15"/>
      <c r="L77" s="297"/>
      <c r="M77" s="15"/>
      <c r="N77" s="15" t="s">
        <v>685</v>
      </c>
      <c r="O77" s="9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73"/>
      <c r="AQ77" s="15"/>
      <c r="AR77" s="15"/>
      <c r="AS77" s="15"/>
      <c r="AT77" s="15"/>
      <c r="AU77" s="15"/>
      <c r="AV77" s="15"/>
      <c r="AW77" s="15"/>
      <c r="AX77" s="74"/>
    </row>
    <row r="78" spans="1:52" s="79" customFormat="1" ht="12">
      <c r="A78" s="298"/>
      <c r="B78" s="160"/>
      <c r="C78" s="161"/>
      <c r="D78" s="15"/>
      <c r="E78" s="15"/>
      <c r="F78" s="15"/>
      <c r="G78" s="15"/>
      <c r="H78" s="15"/>
      <c r="I78" s="15"/>
      <c r="J78" s="15"/>
      <c r="K78" s="15"/>
      <c r="L78" s="297"/>
      <c r="M78" s="15"/>
      <c r="N78" s="15" t="s">
        <v>686</v>
      </c>
      <c r="O78" s="9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73"/>
      <c r="AQ78" s="15"/>
      <c r="AR78" s="15"/>
      <c r="AS78" s="15"/>
      <c r="AT78" s="15"/>
      <c r="AU78" s="15"/>
      <c r="AV78" s="15"/>
      <c r="AW78" s="15"/>
      <c r="AX78" s="74"/>
    </row>
    <row r="79" spans="1:52" s="100" customFormat="1" ht="12">
      <c r="A79" s="302"/>
      <c r="B79" s="160"/>
      <c r="C79" s="161"/>
      <c r="D79" s="102"/>
      <c r="E79" s="102"/>
      <c r="F79" s="102"/>
      <c r="G79" s="102"/>
      <c r="H79" s="102"/>
      <c r="I79" s="102"/>
      <c r="J79" s="102"/>
      <c r="K79" s="303"/>
      <c r="L79" s="297"/>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c r="AN79" s="102"/>
      <c r="AO79" s="102"/>
      <c r="AP79" s="303"/>
      <c r="AQ79" s="102"/>
      <c r="AR79" s="102"/>
      <c r="AS79" s="102"/>
      <c r="AT79" s="102"/>
      <c r="AU79" s="102"/>
      <c r="AV79" s="102"/>
      <c r="AW79" s="102"/>
      <c r="AX79" s="304"/>
    </row>
    <row r="80" spans="1:52" s="100" customFormat="1" ht="12">
      <c r="A80" s="302"/>
      <c r="B80" s="160"/>
      <c r="C80" s="161"/>
      <c r="D80" s="102"/>
      <c r="E80" s="102"/>
      <c r="F80" s="102"/>
      <c r="G80" s="102"/>
      <c r="H80" s="102"/>
      <c r="I80" s="102"/>
      <c r="J80" s="102"/>
      <c r="K80" s="102"/>
      <c r="L80" s="297"/>
      <c r="M80" s="102"/>
      <c r="N80" s="102" t="s">
        <v>687</v>
      </c>
      <c r="O80" s="102"/>
      <c r="P80" s="102" t="s">
        <v>688</v>
      </c>
      <c r="Q80" s="102" t="s">
        <v>689</v>
      </c>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97"/>
      <c r="AO80" s="102"/>
      <c r="AP80" s="303"/>
      <c r="AQ80" s="102" t="s">
        <v>1274</v>
      </c>
      <c r="AR80" s="102"/>
      <c r="AS80" s="102"/>
      <c r="AT80" s="102"/>
      <c r="AU80" s="102"/>
      <c r="AV80" s="102"/>
      <c r="AW80" s="102"/>
      <c r="AX80" s="304"/>
    </row>
    <row r="81" spans="1:52" s="100" customFormat="1" ht="12">
      <c r="A81" s="302"/>
      <c r="B81" s="160"/>
      <c r="C81" s="161"/>
      <c r="D81" s="102"/>
      <c r="E81" s="102"/>
      <c r="F81" s="102"/>
      <c r="G81" s="102"/>
      <c r="H81" s="102"/>
      <c r="I81" s="102"/>
      <c r="J81" s="102"/>
      <c r="K81" s="102"/>
      <c r="L81" s="297"/>
      <c r="M81" s="102"/>
      <c r="N81" s="102"/>
      <c r="O81" s="102"/>
      <c r="P81" s="79"/>
      <c r="Q81" s="102"/>
      <c r="R81" s="79"/>
      <c r="S81" s="102"/>
      <c r="T81" s="102"/>
      <c r="U81" s="102"/>
      <c r="V81" s="102"/>
      <c r="W81" s="102"/>
      <c r="X81" s="102"/>
      <c r="Y81" s="102"/>
      <c r="Z81" s="102"/>
      <c r="AA81" s="102"/>
      <c r="AB81" s="102"/>
      <c r="AC81" s="102"/>
      <c r="AD81" s="102"/>
      <c r="AE81" s="102"/>
      <c r="AF81" s="102"/>
      <c r="AG81" s="102"/>
      <c r="AH81" s="102"/>
      <c r="AI81" s="102"/>
      <c r="AJ81" s="102"/>
      <c r="AK81" s="102"/>
      <c r="AL81" s="102"/>
      <c r="AM81" s="102"/>
      <c r="AN81" s="97"/>
      <c r="AO81" s="102"/>
      <c r="AP81" s="303"/>
      <c r="AR81" s="102"/>
      <c r="AS81" s="102"/>
      <c r="AT81" s="102"/>
      <c r="AU81" s="102"/>
      <c r="AV81" s="102"/>
      <c r="AW81" s="102"/>
      <c r="AX81" s="304"/>
    </row>
    <row r="82" spans="1:52" s="100" customFormat="1" ht="12">
      <c r="A82" s="302"/>
      <c r="B82" s="160"/>
      <c r="C82" s="161"/>
      <c r="D82" s="102"/>
      <c r="E82" s="102"/>
      <c r="F82" s="102"/>
      <c r="G82" s="102"/>
      <c r="H82" s="102"/>
      <c r="I82" s="102"/>
      <c r="J82" s="102"/>
      <c r="K82" s="102"/>
      <c r="L82" s="297"/>
      <c r="M82" s="102"/>
      <c r="N82" s="102" t="s">
        <v>690</v>
      </c>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97"/>
      <c r="AO82" s="102"/>
      <c r="AP82" s="303"/>
      <c r="AQ82" s="102"/>
      <c r="AR82" s="102"/>
      <c r="AS82" s="102"/>
      <c r="AT82" s="102"/>
      <c r="AU82" s="102"/>
      <c r="AV82" s="102"/>
      <c r="AW82" s="102"/>
      <c r="AX82" s="304"/>
    </row>
    <row r="83" spans="1:52" s="100" customFormat="1" ht="12">
      <c r="A83" s="302"/>
      <c r="B83" s="160"/>
      <c r="C83" s="161"/>
      <c r="D83" s="102"/>
      <c r="E83" s="102"/>
      <c r="F83" s="102"/>
      <c r="G83" s="102"/>
      <c r="H83" s="102"/>
      <c r="I83" s="102"/>
      <c r="J83" s="102"/>
      <c r="K83" s="102"/>
      <c r="L83" s="297"/>
      <c r="M83" s="102"/>
      <c r="N83" s="305" t="s">
        <v>28</v>
      </c>
      <c r="O83" s="307"/>
      <c r="P83" s="307"/>
      <c r="Q83" s="307"/>
      <c r="R83" s="307"/>
      <c r="S83" s="307"/>
      <c r="T83" s="307"/>
      <c r="U83" s="307"/>
      <c r="V83" s="307"/>
      <c r="W83" s="308" t="s">
        <v>691</v>
      </c>
      <c r="X83" s="309"/>
      <c r="Y83" s="309"/>
      <c r="Z83" s="307"/>
      <c r="AA83" s="307"/>
      <c r="AB83" s="307"/>
      <c r="AC83" s="307"/>
      <c r="AD83" s="307"/>
      <c r="AE83" s="307"/>
      <c r="AF83" s="307"/>
      <c r="AG83" s="307"/>
      <c r="AH83" s="307"/>
      <c r="AI83" s="307"/>
      <c r="AJ83" s="307"/>
      <c r="AK83" s="307"/>
      <c r="AL83" s="307"/>
      <c r="AM83" s="306"/>
      <c r="AN83" s="305" t="s">
        <v>603</v>
      </c>
      <c r="AO83" s="306"/>
      <c r="AP83" s="303"/>
      <c r="AQ83" s="102"/>
      <c r="AR83" s="102"/>
      <c r="AU83" s="102"/>
      <c r="AV83" s="102"/>
      <c r="AW83" s="102"/>
      <c r="AX83" s="304"/>
      <c r="AZ83" s="310"/>
    </row>
    <row r="84" spans="1:52" s="100" customFormat="1" ht="12">
      <c r="A84" s="302"/>
      <c r="B84" s="160"/>
      <c r="C84" s="161"/>
      <c r="D84" s="102"/>
      <c r="E84" s="102"/>
      <c r="F84" s="102"/>
      <c r="G84" s="102"/>
      <c r="H84" s="102"/>
      <c r="I84" s="102"/>
      <c r="J84" s="102"/>
      <c r="K84" s="102"/>
      <c r="L84" s="297"/>
      <c r="M84" s="102"/>
      <c r="N84" s="311" t="s">
        <v>428</v>
      </c>
      <c r="O84" s="313"/>
      <c r="P84" s="313"/>
      <c r="Q84" s="313"/>
      <c r="R84" s="158"/>
      <c r="S84" s="158"/>
      <c r="T84" s="158"/>
      <c r="U84" s="158"/>
      <c r="V84" s="312"/>
      <c r="W84" s="311" t="s">
        <v>890</v>
      </c>
      <c r="X84" s="314"/>
      <c r="Y84" s="314"/>
      <c r="Z84" s="314"/>
      <c r="AA84" s="314"/>
      <c r="AB84" s="314"/>
      <c r="AC84" s="314"/>
      <c r="AD84" s="314"/>
      <c r="AE84" s="314"/>
      <c r="AF84" s="314"/>
      <c r="AG84" s="314"/>
      <c r="AH84" s="314"/>
      <c r="AI84" s="314"/>
      <c r="AJ84" s="314"/>
      <c r="AK84" s="314"/>
      <c r="AL84" s="314"/>
      <c r="AM84" s="315"/>
      <c r="AN84" s="311" t="s">
        <v>479</v>
      </c>
      <c r="AO84" s="312"/>
      <c r="AP84" s="303"/>
      <c r="AQ84" s="102"/>
      <c r="AR84" s="102"/>
      <c r="AU84" s="102"/>
      <c r="AV84" s="102"/>
      <c r="AW84" s="102"/>
      <c r="AX84" s="304"/>
    </row>
    <row r="85" spans="1:52" s="100" customFormat="1" ht="12">
      <c r="A85" s="302"/>
      <c r="B85" s="160"/>
      <c r="C85" s="161"/>
      <c r="D85" s="102"/>
      <c r="E85" s="102"/>
      <c r="F85" s="102"/>
      <c r="G85" s="102"/>
      <c r="H85" s="102"/>
      <c r="I85" s="102"/>
      <c r="J85" s="102"/>
      <c r="K85" s="102"/>
      <c r="L85" s="297"/>
      <c r="M85" s="102"/>
      <c r="N85" s="316" t="s">
        <v>532</v>
      </c>
      <c r="O85" s="317"/>
      <c r="P85" s="317"/>
      <c r="Q85" s="317"/>
      <c r="R85" s="158"/>
      <c r="S85" s="158"/>
      <c r="T85" s="158"/>
      <c r="U85" s="158"/>
      <c r="V85" s="318"/>
      <c r="W85" s="311" t="s">
        <v>692</v>
      </c>
      <c r="X85" s="314"/>
      <c r="Y85" s="314"/>
      <c r="Z85" s="314"/>
      <c r="AA85" s="314"/>
      <c r="AB85" s="314"/>
      <c r="AC85" s="314"/>
      <c r="AD85" s="314"/>
      <c r="AE85" s="314"/>
      <c r="AF85" s="314"/>
      <c r="AG85" s="314"/>
      <c r="AH85" s="314"/>
      <c r="AI85" s="314"/>
      <c r="AJ85" s="314"/>
      <c r="AK85" s="314"/>
      <c r="AL85" s="314"/>
      <c r="AM85" s="315"/>
      <c r="AN85" s="311" t="s">
        <v>479</v>
      </c>
      <c r="AO85" s="312"/>
      <c r="AP85" s="303"/>
      <c r="AQ85" s="102"/>
      <c r="AR85" s="102"/>
      <c r="AU85" s="102"/>
      <c r="AV85" s="102"/>
      <c r="AW85" s="102"/>
      <c r="AX85" s="304"/>
    </row>
    <row r="86" spans="1:52" s="100" customFormat="1" ht="12">
      <c r="A86" s="302"/>
      <c r="B86" s="160"/>
      <c r="C86" s="161"/>
      <c r="D86" s="102"/>
      <c r="E86" s="102"/>
      <c r="F86" s="102"/>
      <c r="G86" s="102"/>
      <c r="H86" s="102"/>
      <c r="I86" s="102"/>
      <c r="J86" s="102"/>
      <c r="K86" s="102"/>
      <c r="L86" s="297"/>
      <c r="M86" s="102"/>
      <c r="N86" s="316" t="s">
        <v>531</v>
      </c>
      <c r="O86" s="317"/>
      <c r="P86" s="317"/>
      <c r="Q86" s="317"/>
      <c r="R86" s="158"/>
      <c r="S86" s="158"/>
      <c r="T86" s="158"/>
      <c r="U86" s="158"/>
      <c r="V86" s="318"/>
      <c r="W86" s="311" t="s">
        <v>693</v>
      </c>
      <c r="X86" s="314"/>
      <c r="Y86" s="314"/>
      <c r="Z86" s="314"/>
      <c r="AA86" s="314"/>
      <c r="AB86" s="314"/>
      <c r="AC86" s="314"/>
      <c r="AD86" s="314"/>
      <c r="AE86" s="314"/>
      <c r="AF86" s="314"/>
      <c r="AG86" s="314"/>
      <c r="AH86" s="314"/>
      <c r="AI86" s="314"/>
      <c r="AJ86" s="314"/>
      <c r="AK86" s="314"/>
      <c r="AL86" s="314"/>
      <c r="AM86" s="315"/>
      <c r="AN86" s="311" t="s">
        <v>479</v>
      </c>
      <c r="AO86" s="312"/>
      <c r="AP86" s="303"/>
      <c r="AQ86" s="102"/>
      <c r="AR86" s="102"/>
      <c r="AU86" s="102"/>
      <c r="AV86" s="102"/>
      <c r="AW86" s="102"/>
      <c r="AX86" s="304"/>
    </row>
    <row r="87" spans="1:52" s="100" customFormat="1" ht="12">
      <c r="A87" s="302"/>
      <c r="B87" s="160"/>
      <c r="C87" s="161"/>
      <c r="D87" s="102"/>
      <c r="E87" s="102"/>
      <c r="F87" s="102"/>
      <c r="G87" s="102"/>
      <c r="H87" s="102"/>
      <c r="I87" s="102"/>
      <c r="J87" s="102"/>
      <c r="K87" s="102"/>
      <c r="L87" s="297"/>
      <c r="M87" s="102"/>
      <c r="N87" s="316" t="s">
        <v>431</v>
      </c>
      <c r="O87" s="317"/>
      <c r="P87" s="317"/>
      <c r="Q87" s="317"/>
      <c r="R87" s="158"/>
      <c r="S87" s="158"/>
      <c r="T87" s="158"/>
      <c r="U87" s="158"/>
      <c r="V87" s="318"/>
      <c r="W87" s="311" t="s">
        <v>694</v>
      </c>
      <c r="X87" s="314"/>
      <c r="Y87" s="314"/>
      <c r="Z87" s="314"/>
      <c r="AA87" s="314"/>
      <c r="AB87" s="314"/>
      <c r="AC87" s="314"/>
      <c r="AD87" s="314"/>
      <c r="AE87" s="314"/>
      <c r="AF87" s="314"/>
      <c r="AG87" s="314"/>
      <c r="AH87" s="314"/>
      <c r="AI87" s="314"/>
      <c r="AJ87" s="314"/>
      <c r="AK87" s="314"/>
      <c r="AL87" s="314"/>
      <c r="AM87" s="315"/>
      <c r="AN87" s="311" t="s">
        <v>479</v>
      </c>
      <c r="AO87" s="312"/>
      <c r="AP87" s="303"/>
      <c r="AQ87" s="102"/>
      <c r="AR87" s="102"/>
      <c r="AU87" s="102"/>
      <c r="AV87" s="102"/>
      <c r="AW87" s="102"/>
      <c r="AX87" s="304"/>
    </row>
    <row r="88" spans="1:52" s="100" customFormat="1" ht="12">
      <c r="A88" s="302"/>
      <c r="B88" s="160"/>
      <c r="C88" s="161"/>
      <c r="D88" s="102"/>
      <c r="E88" s="102"/>
      <c r="F88" s="102"/>
      <c r="G88" s="102"/>
      <c r="H88" s="102"/>
      <c r="I88" s="102"/>
      <c r="J88" s="102"/>
      <c r="K88" s="102"/>
      <c r="L88" s="297"/>
      <c r="M88" s="102"/>
      <c r="N88" s="316" t="s">
        <v>430</v>
      </c>
      <c r="O88" s="317"/>
      <c r="P88" s="317"/>
      <c r="Q88" s="317"/>
      <c r="R88" s="158"/>
      <c r="S88" s="158"/>
      <c r="T88" s="158"/>
      <c r="U88" s="158"/>
      <c r="V88" s="318"/>
      <c r="W88" s="316" t="s">
        <v>696</v>
      </c>
      <c r="X88" s="314"/>
      <c r="Y88" s="314"/>
      <c r="Z88" s="314"/>
      <c r="AA88" s="314"/>
      <c r="AB88" s="314"/>
      <c r="AC88" s="314"/>
      <c r="AD88" s="314"/>
      <c r="AE88" s="314"/>
      <c r="AF88" s="314"/>
      <c r="AG88" s="314"/>
      <c r="AH88" s="314"/>
      <c r="AI88" s="314"/>
      <c r="AJ88" s="314"/>
      <c r="AK88" s="314"/>
      <c r="AL88" s="314"/>
      <c r="AM88" s="315"/>
      <c r="AN88" s="311" t="s">
        <v>695</v>
      </c>
      <c r="AO88" s="312"/>
      <c r="AP88" s="303"/>
      <c r="AQ88" s="102"/>
      <c r="AR88" s="102"/>
      <c r="AU88" s="102"/>
      <c r="AV88" s="102"/>
      <c r="AW88" s="102"/>
      <c r="AX88" s="304"/>
    </row>
    <row r="89" spans="1:52" s="100" customFormat="1" ht="12">
      <c r="A89" s="302"/>
      <c r="B89" s="345"/>
      <c r="C89" s="346"/>
      <c r="D89" s="102"/>
      <c r="E89" s="102"/>
      <c r="F89" s="102"/>
      <c r="G89" s="102"/>
      <c r="H89" s="102"/>
      <c r="I89" s="102"/>
      <c r="J89" s="102"/>
      <c r="K89" s="102"/>
      <c r="L89" s="297"/>
      <c r="M89" s="102"/>
      <c r="N89" s="316" t="s">
        <v>438</v>
      </c>
      <c r="O89" s="317"/>
      <c r="P89" s="317"/>
      <c r="Q89" s="317"/>
      <c r="R89" s="343"/>
      <c r="S89" s="343"/>
      <c r="T89" s="343"/>
      <c r="U89" s="343"/>
      <c r="V89" s="318"/>
      <c r="W89" s="316" t="s">
        <v>697</v>
      </c>
      <c r="X89" s="314"/>
      <c r="Y89" s="314"/>
      <c r="Z89" s="314"/>
      <c r="AA89" s="314"/>
      <c r="AB89" s="314"/>
      <c r="AC89" s="314"/>
      <c r="AD89" s="314"/>
      <c r="AE89" s="314"/>
      <c r="AF89" s="314"/>
      <c r="AG89" s="314"/>
      <c r="AH89" s="314"/>
      <c r="AI89" s="314"/>
      <c r="AJ89" s="314"/>
      <c r="AK89" s="314"/>
      <c r="AL89" s="314"/>
      <c r="AM89" s="315"/>
      <c r="AN89" s="311" t="s">
        <v>695</v>
      </c>
      <c r="AO89" s="312"/>
      <c r="AP89" s="303"/>
      <c r="AQ89" s="102"/>
      <c r="AR89" s="102"/>
      <c r="AU89" s="102"/>
      <c r="AV89" s="102"/>
      <c r="AW89" s="102"/>
      <c r="AX89" s="304"/>
    </row>
    <row r="90" spans="1:52" s="100" customFormat="1" ht="12">
      <c r="A90" s="302"/>
      <c r="B90" s="160"/>
      <c r="C90" s="161"/>
      <c r="D90" s="102"/>
      <c r="E90" s="102"/>
      <c r="F90" s="102"/>
      <c r="G90" s="102"/>
      <c r="H90" s="102"/>
      <c r="I90" s="102"/>
      <c r="J90" s="102"/>
      <c r="K90" s="102"/>
      <c r="L90" s="297"/>
      <c r="M90" s="102"/>
      <c r="N90" s="316" t="s">
        <v>796</v>
      </c>
      <c r="O90" s="317"/>
      <c r="P90" s="317"/>
      <c r="Q90" s="317"/>
      <c r="R90" s="158"/>
      <c r="S90" s="158"/>
      <c r="T90" s="158"/>
      <c r="U90" s="158"/>
      <c r="V90" s="318"/>
      <c r="W90" s="316" t="s">
        <v>806</v>
      </c>
      <c r="X90" s="314"/>
      <c r="Y90" s="314"/>
      <c r="Z90" s="314"/>
      <c r="AA90" s="314"/>
      <c r="AB90" s="314"/>
      <c r="AC90" s="314"/>
      <c r="AD90" s="314"/>
      <c r="AE90" s="314"/>
      <c r="AF90" s="314"/>
      <c r="AG90" s="314"/>
      <c r="AH90" s="314"/>
      <c r="AI90" s="314"/>
      <c r="AJ90" s="314"/>
      <c r="AK90" s="314"/>
      <c r="AL90" s="314"/>
      <c r="AM90" s="315"/>
      <c r="AN90" s="311" t="s">
        <v>695</v>
      </c>
      <c r="AO90" s="312"/>
      <c r="AP90" s="303"/>
      <c r="AQ90" s="102"/>
      <c r="AR90" s="102"/>
      <c r="AU90" s="102"/>
      <c r="AV90" s="102"/>
      <c r="AW90" s="102"/>
      <c r="AX90" s="304"/>
    </row>
    <row r="91" spans="1:52" s="100" customFormat="1" ht="12">
      <c r="A91" s="319"/>
      <c r="B91" s="160"/>
      <c r="C91" s="161"/>
      <c r="D91" s="102"/>
      <c r="E91" s="102"/>
      <c r="F91" s="102"/>
      <c r="G91" s="102"/>
      <c r="H91" s="102"/>
      <c r="I91" s="102"/>
      <c r="J91" s="102"/>
      <c r="K91" s="102"/>
      <c r="L91" s="297"/>
      <c r="M91" s="102"/>
      <c r="N91" s="299"/>
      <c r="O91" s="299"/>
      <c r="P91" s="102"/>
      <c r="Q91" s="320"/>
      <c r="R91" s="320"/>
      <c r="S91" s="320"/>
      <c r="T91" s="97"/>
      <c r="U91" s="97"/>
      <c r="V91" s="97"/>
      <c r="W91" s="97"/>
      <c r="X91" s="320"/>
      <c r="Y91" s="102"/>
      <c r="Z91" s="321"/>
      <c r="AA91" s="321"/>
      <c r="AB91" s="321"/>
      <c r="AC91" s="321"/>
      <c r="AD91" s="321"/>
      <c r="AE91" s="321"/>
      <c r="AF91" s="321"/>
      <c r="AG91" s="321"/>
      <c r="AH91" s="321"/>
      <c r="AI91" s="321"/>
      <c r="AJ91" s="321"/>
      <c r="AK91" s="321"/>
      <c r="AL91" s="321"/>
      <c r="AM91" s="321"/>
      <c r="AN91" s="321"/>
      <c r="AO91" s="321"/>
      <c r="AP91" s="303"/>
      <c r="AQ91" s="102"/>
      <c r="AR91" s="102"/>
      <c r="AS91" s="102"/>
      <c r="AT91" s="102"/>
      <c r="AU91" s="102"/>
      <c r="AV91" s="102"/>
      <c r="AW91" s="102"/>
      <c r="AX91" s="304"/>
    </row>
    <row r="92" spans="1:52" s="79" customFormat="1" ht="12">
      <c r="A92" s="298"/>
      <c r="B92" s="160"/>
      <c r="C92" s="161"/>
      <c r="D92" s="15"/>
      <c r="E92" s="15"/>
      <c r="F92" s="15"/>
      <c r="G92" s="15"/>
      <c r="H92" s="15"/>
      <c r="I92" s="15"/>
      <c r="J92" s="15"/>
      <c r="K92" s="15"/>
      <c r="L92" s="297"/>
      <c r="M92" s="15"/>
      <c r="N92" s="15" t="s">
        <v>698</v>
      </c>
      <c r="O92" s="15"/>
      <c r="P92" s="15"/>
      <c r="Q92" s="15"/>
      <c r="R92" s="15"/>
      <c r="S92" s="15"/>
      <c r="T92" s="15"/>
      <c r="U92" s="15"/>
      <c r="V92" s="15"/>
      <c r="W92" s="15"/>
      <c r="X92" s="15"/>
      <c r="Y92" s="95"/>
      <c r="Z92" s="15"/>
      <c r="AA92" s="15"/>
      <c r="AB92" s="15"/>
      <c r="AC92" s="15"/>
      <c r="AD92" s="15"/>
      <c r="AE92" s="15"/>
      <c r="AF92" s="15"/>
      <c r="AG92" s="15"/>
      <c r="AH92" s="15"/>
      <c r="AI92" s="15"/>
      <c r="AJ92" s="15"/>
      <c r="AK92" s="15"/>
      <c r="AL92" s="15"/>
      <c r="AM92" s="15"/>
      <c r="AN92" s="15"/>
      <c r="AO92" s="15"/>
      <c r="AP92" s="73"/>
      <c r="AQ92" s="15"/>
      <c r="AR92" s="15"/>
      <c r="AS92" s="15"/>
      <c r="AT92" s="15"/>
      <c r="AU92" s="15"/>
      <c r="AV92" s="15"/>
      <c r="AW92" s="15"/>
      <c r="AX92" s="74"/>
    </row>
    <row r="93" spans="1:52" s="79" customFormat="1" ht="12">
      <c r="A93" s="298"/>
      <c r="B93" s="160"/>
      <c r="C93" s="161"/>
      <c r="D93" s="15"/>
      <c r="E93" s="15"/>
      <c r="F93" s="15"/>
      <c r="G93" s="15"/>
      <c r="H93" s="15"/>
      <c r="I93" s="15"/>
      <c r="J93" s="15"/>
      <c r="K93" s="15"/>
      <c r="L93" s="297"/>
      <c r="M93" s="15"/>
      <c r="N93" s="15"/>
      <c r="O93" s="15" t="s">
        <v>699</v>
      </c>
      <c r="P93" s="15"/>
      <c r="Q93" s="15"/>
      <c r="R93" s="15"/>
      <c r="S93" s="15"/>
      <c r="T93" s="15"/>
      <c r="U93" s="15"/>
      <c r="V93" s="15"/>
      <c r="W93" s="15"/>
      <c r="X93" s="15"/>
      <c r="Y93" s="95"/>
      <c r="Z93" s="15"/>
      <c r="AA93" s="15"/>
      <c r="AB93" s="15"/>
      <c r="AC93" s="15"/>
      <c r="AD93" s="15"/>
      <c r="AE93" s="15"/>
      <c r="AF93" s="15"/>
      <c r="AG93" s="15"/>
      <c r="AH93" s="15"/>
      <c r="AI93" s="15"/>
      <c r="AJ93" s="15"/>
      <c r="AK93" s="15"/>
      <c r="AL93" s="15"/>
      <c r="AM93" s="15"/>
      <c r="AN93" s="15"/>
      <c r="AO93" s="15"/>
      <c r="AP93" s="73"/>
      <c r="AQ93" s="15"/>
      <c r="AR93" s="15"/>
      <c r="AS93" s="15"/>
      <c r="AT93" s="15"/>
      <c r="AU93" s="15"/>
      <c r="AV93" s="15"/>
      <c r="AW93" s="15"/>
      <c r="AX93" s="74"/>
    </row>
    <row r="94" spans="1:52" s="79" customFormat="1" ht="12">
      <c r="A94" s="298"/>
      <c r="B94" s="160"/>
      <c r="C94" s="161"/>
      <c r="D94" s="15"/>
      <c r="E94" s="15"/>
      <c r="F94" s="15"/>
      <c r="G94" s="15"/>
      <c r="H94" s="15"/>
      <c r="I94" s="15"/>
      <c r="J94" s="15"/>
      <c r="K94" s="15"/>
      <c r="L94" s="297"/>
      <c r="P94" s="79" t="s">
        <v>700</v>
      </c>
      <c r="R94" s="15"/>
      <c r="V94" s="79" t="s">
        <v>701</v>
      </c>
      <c r="W94" s="15"/>
      <c r="Y94" s="15"/>
      <c r="AG94" s="283"/>
      <c r="AK94" s="15"/>
      <c r="AL94" s="15"/>
      <c r="AM94" s="15"/>
      <c r="AN94" s="15"/>
      <c r="AO94" s="15"/>
      <c r="AP94" s="73"/>
      <c r="AQ94" s="15"/>
      <c r="AR94" s="15"/>
      <c r="AS94" s="15"/>
      <c r="AT94" s="15"/>
      <c r="AU94" s="15"/>
      <c r="AV94" s="15"/>
      <c r="AW94" s="15"/>
      <c r="AX94" s="74"/>
    </row>
    <row r="95" spans="1:52" s="79" customFormat="1" ht="12">
      <c r="A95" s="298"/>
      <c r="B95" s="160"/>
      <c r="C95" s="161"/>
      <c r="D95" s="15"/>
      <c r="E95" s="15"/>
      <c r="F95" s="15"/>
      <c r="G95" s="15"/>
      <c r="H95" s="15"/>
      <c r="I95" s="15"/>
      <c r="J95" s="15"/>
      <c r="K95" s="15"/>
      <c r="L95" s="297"/>
      <c r="M95" s="15"/>
      <c r="N95" s="15"/>
      <c r="P95" s="79" t="s">
        <v>702</v>
      </c>
      <c r="R95" s="15"/>
      <c r="V95" s="79" t="s">
        <v>703</v>
      </c>
      <c r="W95" s="15"/>
      <c r="X95" s="15"/>
      <c r="Y95" s="95"/>
      <c r="Z95" s="15"/>
      <c r="AA95" s="15"/>
      <c r="AB95" s="15"/>
      <c r="AC95" s="15"/>
      <c r="AD95" s="15"/>
      <c r="AE95" s="15"/>
      <c r="AF95" s="15"/>
      <c r="AG95" s="15"/>
      <c r="AH95" s="15"/>
      <c r="AI95" s="15"/>
      <c r="AJ95" s="15"/>
      <c r="AK95" s="15"/>
      <c r="AL95" s="15"/>
      <c r="AM95" s="15"/>
      <c r="AN95" s="15"/>
      <c r="AO95" s="15"/>
      <c r="AP95" s="73"/>
      <c r="AQ95" s="15"/>
      <c r="AR95" s="15"/>
      <c r="AS95" s="15"/>
      <c r="AT95" s="15"/>
      <c r="AU95" s="15"/>
      <c r="AV95" s="15"/>
      <c r="AW95" s="15"/>
      <c r="AX95" s="74"/>
    </row>
    <row r="96" spans="1:52" s="79" customFormat="1" ht="12">
      <c r="A96" s="298"/>
      <c r="B96" s="345"/>
      <c r="C96" s="346"/>
      <c r="D96" s="15"/>
      <c r="E96" s="15"/>
      <c r="F96" s="15"/>
      <c r="G96" s="15"/>
      <c r="H96" s="15"/>
      <c r="I96" s="15"/>
      <c r="J96" s="15"/>
      <c r="K96" s="15"/>
      <c r="L96" s="297"/>
      <c r="M96" s="15"/>
      <c r="N96" s="79" t="s">
        <v>797</v>
      </c>
      <c r="P96" s="79" t="s">
        <v>798</v>
      </c>
      <c r="R96" s="15"/>
      <c r="V96" s="79" t="s">
        <v>802</v>
      </c>
      <c r="X96" s="102" t="s">
        <v>984</v>
      </c>
      <c r="AB96" s="15"/>
      <c r="AD96" s="15" t="s">
        <v>803</v>
      </c>
      <c r="AE96" s="15"/>
      <c r="AF96" s="15"/>
      <c r="AG96" s="15"/>
      <c r="AH96" s="15"/>
      <c r="AI96" s="15"/>
      <c r="AJ96" s="15"/>
      <c r="AK96" s="15"/>
      <c r="AL96" s="15"/>
      <c r="AM96" s="15"/>
      <c r="AN96" s="15"/>
      <c r="AO96" s="15"/>
      <c r="AP96" s="73"/>
      <c r="AQ96" s="15"/>
      <c r="AR96" s="15"/>
      <c r="AS96" s="15"/>
      <c r="AT96" s="15"/>
      <c r="AU96" s="15"/>
      <c r="AV96" s="15"/>
      <c r="AW96" s="15"/>
      <c r="AX96" s="74"/>
    </row>
    <row r="97" spans="1:52" s="79" customFormat="1" ht="12">
      <c r="A97" s="298"/>
      <c r="B97" s="160"/>
      <c r="C97" s="161"/>
      <c r="D97" s="15"/>
      <c r="E97" s="15"/>
      <c r="F97" s="15"/>
      <c r="G97" s="15"/>
      <c r="H97" s="15"/>
      <c r="I97" s="15"/>
      <c r="J97" s="15"/>
      <c r="K97" s="15"/>
      <c r="L97" s="297"/>
      <c r="M97" s="15"/>
      <c r="R97" s="15"/>
      <c r="X97" s="15"/>
      <c r="AB97" s="15"/>
      <c r="AD97" s="15" t="s">
        <v>805</v>
      </c>
      <c r="AE97" s="15"/>
      <c r="AF97" s="15"/>
      <c r="AG97" s="15"/>
      <c r="AH97" s="15"/>
      <c r="AI97" s="15"/>
      <c r="AJ97" s="15"/>
      <c r="AK97" s="15"/>
      <c r="AL97" s="15"/>
      <c r="AM97" s="15"/>
      <c r="AN97" s="15"/>
      <c r="AO97" s="15"/>
      <c r="AP97" s="73"/>
      <c r="AQ97" s="15"/>
      <c r="AR97" s="15"/>
      <c r="AS97" s="15"/>
      <c r="AT97" s="15"/>
      <c r="AU97" s="15"/>
      <c r="AV97" s="15"/>
      <c r="AW97" s="15"/>
      <c r="AX97" s="74"/>
    </row>
    <row r="98" spans="1:52" s="79" customFormat="1" ht="12">
      <c r="A98" s="298"/>
      <c r="B98" s="345"/>
      <c r="C98" s="346"/>
      <c r="D98" s="15"/>
      <c r="E98" s="15"/>
      <c r="F98" s="15"/>
      <c r="G98" s="15"/>
      <c r="H98" s="15"/>
      <c r="I98" s="15"/>
      <c r="J98" s="15"/>
      <c r="K98" s="15"/>
      <c r="L98" s="297"/>
      <c r="M98" s="15"/>
      <c r="N98" s="15"/>
      <c r="O98" s="15"/>
      <c r="T98" s="15"/>
      <c r="Y98" s="15"/>
      <c r="AA98" s="15"/>
      <c r="AC98" s="15"/>
      <c r="AE98" s="15"/>
      <c r="AF98" s="15"/>
      <c r="AG98" s="15"/>
      <c r="AH98" s="15"/>
      <c r="AI98" s="15"/>
      <c r="AJ98" s="15"/>
      <c r="AK98" s="15"/>
      <c r="AL98" s="15"/>
      <c r="AM98" s="15"/>
      <c r="AN98" s="15"/>
      <c r="AO98" s="15"/>
      <c r="AP98" s="73"/>
      <c r="AQ98" s="15"/>
      <c r="AR98" s="15"/>
      <c r="AS98" s="15"/>
      <c r="AT98" s="15"/>
      <c r="AU98" s="15"/>
      <c r="AV98" s="15"/>
      <c r="AW98" s="15"/>
      <c r="AX98" s="74"/>
    </row>
    <row r="99" spans="1:52" s="79" customFormat="1" ht="12">
      <c r="A99" s="298"/>
      <c r="B99" s="160"/>
      <c r="C99" s="161"/>
      <c r="D99" s="15"/>
      <c r="E99" s="15"/>
      <c r="F99" s="15"/>
      <c r="G99" s="15"/>
      <c r="H99" s="15"/>
      <c r="I99" s="15"/>
      <c r="J99" s="15"/>
      <c r="K99" s="15"/>
      <c r="L99" s="297" t="s">
        <v>704</v>
      </c>
      <c r="M99" s="15" t="s">
        <v>1275</v>
      </c>
      <c r="N99" s="15"/>
      <c r="O99" s="9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73"/>
      <c r="AQ99" s="15"/>
      <c r="AR99" s="15"/>
      <c r="AS99" s="15"/>
      <c r="AT99" s="15"/>
      <c r="AU99" s="15"/>
      <c r="AV99" s="15"/>
      <c r="AW99" s="15"/>
      <c r="AX99" s="74"/>
    </row>
    <row r="100" spans="1:52" s="79" customFormat="1" ht="12">
      <c r="A100" s="298"/>
      <c r="B100" s="160"/>
      <c r="C100" s="161"/>
      <c r="D100" s="15"/>
      <c r="E100" s="15"/>
      <c r="F100" s="15"/>
      <c r="G100" s="15"/>
      <c r="H100" s="15"/>
      <c r="I100" s="15"/>
      <c r="J100" s="15"/>
      <c r="K100" s="15"/>
      <c r="L100" s="297"/>
      <c r="M100" s="293"/>
      <c r="N100" s="15"/>
      <c r="O100" s="9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73"/>
      <c r="AQ100" s="15"/>
      <c r="AR100" s="15"/>
      <c r="AS100" s="15"/>
      <c r="AT100" s="15"/>
      <c r="AU100" s="15"/>
      <c r="AV100" s="15"/>
      <c r="AW100" s="15"/>
      <c r="AX100" s="74"/>
    </row>
    <row r="101" spans="1:52" s="79" customFormat="1" ht="12">
      <c r="A101" s="298"/>
      <c r="B101" s="160"/>
      <c r="C101" s="161"/>
      <c r="D101" s="102" t="s">
        <v>1274</v>
      </c>
      <c r="E101" s="15"/>
      <c r="F101" s="15"/>
      <c r="G101" s="15"/>
      <c r="H101" s="15"/>
      <c r="I101" s="15"/>
      <c r="J101" s="15"/>
      <c r="K101" s="15"/>
      <c r="L101" s="297"/>
      <c r="M101" s="293" t="s">
        <v>705</v>
      </c>
      <c r="N101" s="15" t="s">
        <v>1276</v>
      </c>
      <c r="O101" s="95"/>
      <c r="P101" s="15"/>
      <c r="Q101" s="15"/>
      <c r="R101" s="322"/>
      <c r="S101" s="322"/>
      <c r="T101" s="322"/>
      <c r="U101" s="322"/>
      <c r="V101" s="322"/>
      <c r="W101" s="322"/>
      <c r="X101" s="322"/>
      <c r="Y101" s="322"/>
      <c r="Z101" s="322"/>
      <c r="AA101" s="322"/>
      <c r="AB101" s="322"/>
      <c r="AC101" s="322"/>
      <c r="AD101" s="322"/>
      <c r="AE101" s="322"/>
      <c r="AF101" s="322"/>
      <c r="AG101" s="322"/>
      <c r="AH101" s="322"/>
      <c r="AI101" s="322"/>
      <c r="AJ101" s="322"/>
      <c r="AK101" s="322"/>
      <c r="AL101" s="322"/>
      <c r="AM101" s="322"/>
      <c r="AN101" s="15"/>
      <c r="AO101" s="15"/>
      <c r="AP101" s="73"/>
      <c r="AQ101" s="102" t="s">
        <v>1277</v>
      </c>
      <c r="AR101" s="15"/>
      <c r="AS101" s="15"/>
      <c r="AT101" s="15"/>
      <c r="AU101" s="15"/>
      <c r="AV101" s="15"/>
      <c r="AW101" s="15"/>
      <c r="AX101" s="74"/>
    </row>
    <row r="102" spans="1:52" s="79" customFormat="1" ht="12">
      <c r="A102" s="298"/>
      <c r="B102" s="160"/>
      <c r="C102" s="161"/>
      <c r="D102" s="15"/>
      <c r="E102" s="15"/>
      <c r="F102" s="15"/>
      <c r="G102" s="15"/>
      <c r="H102" s="15"/>
      <c r="I102" s="15"/>
      <c r="J102" s="15"/>
      <c r="K102" s="15"/>
      <c r="L102" s="297"/>
      <c r="M102" s="293"/>
      <c r="N102" s="15" t="s">
        <v>680</v>
      </c>
      <c r="O102" s="95"/>
      <c r="P102" s="15"/>
      <c r="Q102" s="15"/>
      <c r="R102" s="322"/>
      <c r="S102" s="322"/>
      <c r="T102" s="322"/>
      <c r="U102" s="322"/>
      <c r="V102" s="322"/>
      <c r="W102" s="322"/>
      <c r="X102" s="322"/>
      <c r="Y102" s="322"/>
      <c r="Z102" s="322"/>
      <c r="AA102" s="322"/>
      <c r="AB102" s="322"/>
      <c r="AC102" s="322"/>
      <c r="AD102" s="322"/>
      <c r="AE102" s="322"/>
      <c r="AF102" s="322"/>
      <c r="AG102" s="322"/>
      <c r="AH102" s="322"/>
      <c r="AI102" s="322"/>
      <c r="AJ102" s="322"/>
      <c r="AK102" s="322"/>
      <c r="AL102" s="322"/>
      <c r="AM102" s="322"/>
      <c r="AN102" s="15"/>
      <c r="AO102" s="15"/>
      <c r="AP102" s="73"/>
      <c r="AQ102" s="15"/>
      <c r="AR102" s="15"/>
      <c r="AS102" s="15"/>
      <c r="AT102" s="15"/>
      <c r="AU102" s="15"/>
      <c r="AV102" s="15"/>
      <c r="AW102" s="15"/>
      <c r="AX102" s="74"/>
    </row>
    <row r="103" spans="1:52" s="79" customFormat="1" ht="12">
      <c r="A103" s="298"/>
      <c r="B103" s="160"/>
      <c r="C103" s="161"/>
      <c r="D103" s="15"/>
      <c r="E103" s="15"/>
      <c r="F103" s="15"/>
      <c r="G103" s="15"/>
      <c r="H103" s="15"/>
      <c r="I103" s="15"/>
      <c r="J103" s="15"/>
      <c r="K103" s="15"/>
      <c r="L103" s="297"/>
      <c r="M103" s="293"/>
      <c r="N103" s="15" t="s">
        <v>706</v>
      </c>
      <c r="O103" s="95"/>
      <c r="P103" s="15"/>
      <c r="Q103" s="15"/>
      <c r="R103" s="322"/>
      <c r="S103" s="322"/>
      <c r="T103" s="322"/>
      <c r="U103" s="322"/>
      <c r="V103" s="322"/>
      <c r="W103" s="322"/>
      <c r="X103" s="322"/>
      <c r="Y103" s="322"/>
      <c r="Z103" s="322"/>
      <c r="AA103" s="322"/>
      <c r="AB103" s="322"/>
      <c r="AC103" s="322"/>
      <c r="AD103" s="322"/>
      <c r="AE103" s="322"/>
      <c r="AF103" s="322"/>
      <c r="AG103" s="322"/>
      <c r="AH103" s="322"/>
      <c r="AI103" s="322"/>
      <c r="AJ103" s="322"/>
      <c r="AK103" s="322"/>
      <c r="AL103" s="322"/>
      <c r="AM103" s="322"/>
      <c r="AN103" s="15"/>
      <c r="AO103" s="15"/>
      <c r="AP103" s="73"/>
      <c r="AQ103" s="15"/>
      <c r="AR103" s="15"/>
      <c r="AS103" s="15"/>
      <c r="AT103" s="15"/>
      <c r="AU103" s="15"/>
      <c r="AV103" s="15"/>
      <c r="AW103" s="15"/>
      <c r="AX103" s="74"/>
    </row>
    <row r="104" spans="1:52" s="79" customFormat="1" ht="12">
      <c r="A104" s="298"/>
      <c r="B104" s="160"/>
      <c r="C104" s="161"/>
      <c r="D104" s="15"/>
      <c r="E104" s="15"/>
      <c r="F104" s="15"/>
      <c r="G104" s="15"/>
      <c r="H104" s="15"/>
      <c r="I104" s="15"/>
      <c r="J104" s="15"/>
      <c r="K104" s="15"/>
      <c r="L104" s="297"/>
      <c r="M104" s="293"/>
      <c r="N104" s="15"/>
      <c r="O104" s="95"/>
      <c r="P104" s="15"/>
      <c r="Q104" s="15"/>
      <c r="R104" s="322"/>
      <c r="S104" s="322"/>
      <c r="T104" s="322"/>
      <c r="U104" s="322"/>
      <c r="V104" s="322"/>
      <c r="W104" s="322"/>
      <c r="X104" s="322"/>
      <c r="Y104" s="322"/>
      <c r="Z104" s="322"/>
      <c r="AA104" s="322"/>
      <c r="AB104" s="322"/>
      <c r="AC104" s="322"/>
      <c r="AD104" s="322"/>
      <c r="AE104" s="322"/>
      <c r="AF104" s="322"/>
      <c r="AG104" s="322"/>
      <c r="AH104" s="322"/>
      <c r="AI104" s="322"/>
      <c r="AJ104" s="322"/>
      <c r="AK104" s="322"/>
      <c r="AL104" s="322"/>
      <c r="AM104" s="322"/>
      <c r="AN104" s="15"/>
      <c r="AO104" s="15"/>
      <c r="AP104" s="73"/>
      <c r="AQ104" s="15"/>
      <c r="AR104" s="15"/>
      <c r="AS104" s="15"/>
      <c r="AT104" s="15"/>
      <c r="AU104" s="15"/>
      <c r="AV104" s="15"/>
      <c r="AW104" s="15"/>
      <c r="AX104" s="74"/>
    </row>
    <row r="105" spans="1:52" s="100" customFormat="1" ht="12">
      <c r="A105" s="302"/>
      <c r="B105" s="160"/>
      <c r="C105" s="161"/>
      <c r="D105" s="102"/>
      <c r="E105" s="102"/>
      <c r="F105" s="102"/>
      <c r="G105" s="102"/>
      <c r="H105" s="102"/>
      <c r="I105" s="102"/>
      <c r="J105" s="102"/>
      <c r="K105" s="102"/>
      <c r="L105" s="297"/>
      <c r="M105" s="102"/>
      <c r="N105" s="305" t="s">
        <v>707</v>
      </c>
      <c r="O105" s="307"/>
      <c r="P105" s="307"/>
      <c r="Q105" s="307"/>
      <c r="R105" s="307"/>
      <c r="S105" s="307"/>
      <c r="T105" s="307"/>
      <c r="U105" s="307"/>
      <c r="V105" s="307"/>
      <c r="W105" s="308" t="s">
        <v>691</v>
      </c>
      <c r="X105" s="309"/>
      <c r="Y105" s="309"/>
      <c r="Z105" s="307"/>
      <c r="AA105" s="307"/>
      <c r="AB105" s="307"/>
      <c r="AC105" s="307"/>
      <c r="AD105" s="307"/>
      <c r="AE105" s="307"/>
      <c r="AF105" s="307"/>
      <c r="AG105" s="307"/>
      <c r="AH105" s="307"/>
      <c r="AI105" s="307"/>
      <c r="AJ105" s="307"/>
      <c r="AK105" s="307"/>
      <c r="AL105" s="307"/>
      <c r="AM105" s="306"/>
      <c r="AN105" s="305" t="s">
        <v>603</v>
      </c>
      <c r="AO105" s="306"/>
      <c r="AP105" s="303"/>
      <c r="AQ105" s="102"/>
      <c r="AR105" s="102"/>
      <c r="AS105" s="102"/>
      <c r="AT105" s="102"/>
      <c r="AU105" s="102"/>
      <c r="AV105" s="102"/>
      <c r="AW105" s="102"/>
      <c r="AX105" s="304"/>
      <c r="AZ105" s="310"/>
    </row>
    <row r="106" spans="1:52" s="100" customFormat="1" ht="12">
      <c r="A106" s="302"/>
      <c r="B106" s="160"/>
      <c r="C106" s="161"/>
      <c r="D106" s="102"/>
      <c r="E106" s="102"/>
      <c r="F106" s="102"/>
      <c r="G106" s="102"/>
      <c r="H106" s="102"/>
      <c r="I106" s="102"/>
      <c r="J106" s="102"/>
      <c r="K106" s="102"/>
      <c r="L106" s="297"/>
      <c r="M106" s="102"/>
      <c r="N106" s="311" t="s">
        <v>428</v>
      </c>
      <c r="O106" s="313"/>
      <c r="P106" s="313"/>
      <c r="Q106" s="313"/>
      <c r="R106" s="158"/>
      <c r="S106" s="158"/>
      <c r="T106" s="158"/>
      <c r="U106" s="158"/>
      <c r="V106" s="312"/>
      <c r="W106" s="311" t="s">
        <v>1278</v>
      </c>
      <c r="X106" s="314"/>
      <c r="Y106" s="314"/>
      <c r="Z106" s="314"/>
      <c r="AA106" s="314"/>
      <c r="AB106" s="314"/>
      <c r="AC106" s="314"/>
      <c r="AD106" s="314"/>
      <c r="AE106" s="314"/>
      <c r="AF106" s="314"/>
      <c r="AG106" s="314"/>
      <c r="AH106" s="314"/>
      <c r="AI106" s="314"/>
      <c r="AJ106" s="314"/>
      <c r="AK106" s="314"/>
      <c r="AL106" s="314"/>
      <c r="AM106" s="315"/>
      <c r="AN106" s="311" t="s">
        <v>479</v>
      </c>
      <c r="AO106" s="312"/>
      <c r="AP106" s="303"/>
      <c r="AQ106" s="102"/>
      <c r="AR106" s="102"/>
      <c r="AS106" s="102"/>
      <c r="AT106" s="102"/>
      <c r="AU106" s="102"/>
      <c r="AV106" s="102"/>
      <c r="AW106" s="102"/>
      <c r="AX106" s="304"/>
    </row>
    <row r="107" spans="1:52" s="100" customFormat="1" ht="12">
      <c r="A107" s="302"/>
      <c r="B107" s="160"/>
      <c r="C107" s="161"/>
      <c r="D107" s="102"/>
      <c r="E107" s="102"/>
      <c r="F107" s="102"/>
      <c r="G107" s="102"/>
      <c r="H107" s="102"/>
      <c r="I107" s="102"/>
      <c r="J107" s="102"/>
      <c r="K107" s="102"/>
      <c r="L107" s="297"/>
      <c r="M107" s="102"/>
      <c r="N107" s="299"/>
      <c r="O107" s="299"/>
      <c r="P107" s="102"/>
      <c r="Q107" s="320"/>
      <c r="R107" s="320"/>
      <c r="S107" s="320"/>
      <c r="T107" s="97"/>
      <c r="U107" s="97"/>
      <c r="V107" s="97"/>
      <c r="W107" s="97"/>
      <c r="X107" s="320"/>
      <c r="Y107" s="299"/>
      <c r="Z107" s="321"/>
      <c r="AA107" s="321"/>
      <c r="AB107" s="321"/>
      <c r="AC107" s="321"/>
      <c r="AD107" s="321"/>
      <c r="AE107" s="321"/>
      <c r="AF107" s="321"/>
      <c r="AG107" s="321"/>
      <c r="AH107" s="321"/>
      <c r="AI107" s="321"/>
      <c r="AJ107" s="321"/>
      <c r="AK107" s="321"/>
      <c r="AL107" s="321"/>
      <c r="AM107" s="321"/>
      <c r="AN107" s="321"/>
      <c r="AO107" s="321"/>
      <c r="AP107" s="303"/>
      <c r="AQ107" s="102"/>
      <c r="AR107" s="102"/>
      <c r="AS107" s="102"/>
      <c r="AT107" s="102"/>
      <c r="AU107" s="102"/>
      <c r="AV107" s="102"/>
      <c r="AW107" s="102"/>
      <c r="AX107" s="304"/>
    </row>
    <row r="108" spans="1:52" s="100" customFormat="1" ht="12">
      <c r="A108" s="302"/>
      <c r="B108" s="160"/>
      <c r="C108" s="161"/>
      <c r="D108" s="102" t="s">
        <v>1274</v>
      </c>
      <c r="E108" s="102"/>
      <c r="F108" s="102"/>
      <c r="G108" s="102"/>
      <c r="H108" s="102"/>
      <c r="I108" s="102"/>
      <c r="J108" s="102"/>
      <c r="K108" s="102"/>
      <c r="L108" s="297"/>
      <c r="M108" s="293" t="s">
        <v>708</v>
      </c>
      <c r="N108" s="15" t="s">
        <v>1279</v>
      </c>
      <c r="O108" s="299"/>
      <c r="P108" s="102"/>
      <c r="Q108" s="320"/>
      <c r="R108" s="320"/>
      <c r="S108" s="320"/>
      <c r="T108" s="97"/>
      <c r="U108" s="97"/>
      <c r="V108" s="97"/>
      <c r="W108" s="97"/>
      <c r="X108" s="320"/>
      <c r="Y108" s="299"/>
      <c r="Z108" s="321"/>
      <c r="AA108" s="321"/>
      <c r="AB108" s="321"/>
      <c r="AC108" s="321"/>
      <c r="AD108" s="321"/>
      <c r="AE108" s="321"/>
      <c r="AF108" s="321"/>
      <c r="AG108" s="321"/>
      <c r="AH108" s="321"/>
      <c r="AI108" s="321"/>
      <c r="AJ108" s="321"/>
      <c r="AK108" s="321"/>
      <c r="AL108" s="321"/>
      <c r="AM108" s="321"/>
      <c r="AN108" s="321"/>
      <c r="AO108" s="321"/>
      <c r="AP108" s="303"/>
      <c r="AQ108" s="102" t="s">
        <v>1274</v>
      </c>
      <c r="AR108" s="102"/>
      <c r="AS108" s="102"/>
      <c r="AT108" s="102"/>
      <c r="AU108" s="102"/>
      <c r="AV108" s="102"/>
      <c r="AW108" s="102"/>
      <c r="AX108" s="304"/>
    </row>
    <row r="109" spans="1:52" s="100" customFormat="1" ht="12">
      <c r="A109" s="302"/>
      <c r="B109" s="345"/>
      <c r="C109" s="346"/>
      <c r="D109" s="102"/>
      <c r="E109" s="102"/>
      <c r="F109" s="102"/>
      <c r="G109" s="102"/>
      <c r="H109" s="102"/>
      <c r="I109" s="102"/>
      <c r="J109" s="102"/>
      <c r="K109" s="102"/>
      <c r="L109" s="297"/>
      <c r="M109" s="293"/>
      <c r="N109" s="15"/>
      <c r="O109" s="299"/>
      <c r="P109" s="102"/>
      <c r="Q109" s="320"/>
      <c r="R109" s="320"/>
      <c r="S109" s="320"/>
      <c r="T109" s="97"/>
      <c r="U109" s="97"/>
      <c r="V109" s="97"/>
      <c r="W109" s="97"/>
      <c r="X109" s="320"/>
      <c r="Y109" s="299"/>
      <c r="Z109" s="321"/>
      <c r="AA109" s="321"/>
      <c r="AB109" s="321"/>
      <c r="AC109" s="321"/>
      <c r="AD109" s="321"/>
      <c r="AE109" s="321"/>
      <c r="AF109" s="321"/>
      <c r="AG109" s="321"/>
      <c r="AH109" s="321"/>
      <c r="AI109" s="321"/>
      <c r="AJ109" s="321"/>
      <c r="AK109" s="321"/>
      <c r="AL109" s="321"/>
      <c r="AM109" s="321"/>
      <c r="AN109" s="321"/>
      <c r="AO109" s="321"/>
      <c r="AP109" s="303"/>
      <c r="AQ109" s="102"/>
      <c r="AR109" s="102"/>
      <c r="AS109" s="102"/>
      <c r="AT109" s="102"/>
      <c r="AU109" s="102"/>
      <c r="AV109" s="102"/>
      <c r="AW109" s="102"/>
      <c r="AX109" s="304"/>
    </row>
    <row r="110" spans="1:52" s="100" customFormat="1" ht="12">
      <c r="A110" s="302"/>
      <c r="B110" s="345"/>
      <c r="C110" s="346"/>
      <c r="D110" s="102"/>
      <c r="E110" s="102"/>
      <c r="F110" s="102"/>
      <c r="G110" s="102"/>
      <c r="H110" s="102"/>
      <c r="I110" s="102"/>
      <c r="J110" s="102"/>
      <c r="K110" s="102"/>
      <c r="L110" s="297"/>
      <c r="M110" s="293"/>
      <c r="N110" s="293" t="s">
        <v>807</v>
      </c>
      <c r="O110" s="299" t="s">
        <v>808</v>
      </c>
      <c r="P110" s="102"/>
      <c r="Q110" s="320"/>
      <c r="R110" s="320"/>
      <c r="S110" s="320"/>
      <c r="T110" s="97"/>
      <c r="U110" s="97"/>
      <c r="V110" s="97"/>
      <c r="W110" s="97"/>
      <c r="X110" s="320"/>
      <c r="Y110" s="299"/>
      <c r="Z110" s="321"/>
      <c r="AA110" s="321"/>
      <c r="AB110" s="321"/>
      <c r="AC110" s="321"/>
      <c r="AD110" s="321"/>
      <c r="AE110" s="321"/>
      <c r="AF110" s="321"/>
      <c r="AG110" s="321"/>
      <c r="AH110" s="321"/>
      <c r="AI110" s="321"/>
      <c r="AJ110" s="321"/>
      <c r="AK110" s="321"/>
      <c r="AL110" s="321"/>
      <c r="AM110" s="321"/>
      <c r="AN110" s="321"/>
      <c r="AO110" s="321"/>
      <c r="AP110" s="303"/>
      <c r="AQ110" s="102"/>
      <c r="AR110" s="102"/>
      <c r="AS110" s="102"/>
      <c r="AT110" s="102"/>
      <c r="AU110" s="102"/>
      <c r="AV110" s="102"/>
      <c r="AW110" s="102"/>
      <c r="AX110" s="304"/>
    </row>
    <row r="111" spans="1:52" s="100" customFormat="1" ht="12">
      <c r="A111" s="302"/>
      <c r="B111" s="345"/>
      <c r="C111" s="346"/>
      <c r="D111" s="102"/>
      <c r="E111" s="102"/>
      <c r="F111" s="102"/>
      <c r="G111" s="102"/>
      <c r="H111" s="102"/>
      <c r="I111" s="102"/>
      <c r="J111" s="102"/>
      <c r="K111" s="102"/>
      <c r="L111" s="297"/>
      <c r="M111" s="293"/>
      <c r="N111" s="293"/>
      <c r="O111" s="95" t="s">
        <v>809</v>
      </c>
      <c r="P111" s="102"/>
      <c r="Q111" s="320"/>
      <c r="R111" s="320"/>
      <c r="S111" s="320"/>
      <c r="T111" s="97"/>
      <c r="U111" s="97"/>
      <c r="V111" s="97"/>
      <c r="W111" s="97"/>
      <c r="X111" s="320"/>
      <c r="Y111" s="299"/>
      <c r="Z111" s="321"/>
      <c r="AA111" s="321"/>
      <c r="AB111" s="321"/>
      <c r="AC111" s="321"/>
      <c r="AD111" s="321"/>
      <c r="AE111" s="321"/>
      <c r="AF111" s="321"/>
      <c r="AG111" s="321"/>
      <c r="AH111" s="321"/>
      <c r="AI111" s="321"/>
      <c r="AJ111" s="321"/>
      <c r="AK111" s="321"/>
      <c r="AL111" s="321"/>
      <c r="AM111" s="321"/>
      <c r="AN111" s="321"/>
      <c r="AO111" s="321"/>
      <c r="AP111" s="303"/>
      <c r="AQ111" s="102"/>
      <c r="AR111" s="102"/>
      <c r="AS111" s="102"/>
      <c r="AT111" s="102"/>
      <c r="AU111" s="102"/>
      <c r="AV111" s="102"/>
      <c r="AW111" s="102"/>
      <c r="AX111" s="304"/>
    </row>
    <row r="112" spans="1:52" s="100" customFormat="1" ht="12">
      <c r="A112" s="302"/>
      <c r="B112" s="345"/>
      <c r="C112" s="346"/>
      <c r="D112" s="102"/>
      <c r="E112" s="102"/>
      <c r="F112" s="102"/>
      <c r="G112" s="102"/>
      <c r="H112" s="102"/>
      <c r="I112" s="102"/>
      <c r="J112" s="102"/>
      <c r="K112" s="102"/>
      <c r="L112" s="297"/>
      <c r="M112" s="293"/>
      <c r="N112" s="293"/>
      <c r="O112" s="95"/>
      <c r="P112" s="102"/>
      <c r="Q112" s="320"/>
      <c r="R112" s="320"/>
      <c r="S112" s="320"/>
      <c r="T112" s="97"/>
      <c r="U112" s="97"/>
      <c r="V112" s="97"/>
      <c r="W112" s="97"/>
      <c r="X112" s="320"/>
      <c r="Y112" s="299"/>
      <c r="Z112" s="321"/>
      <c r="AA112" s="321"/>
      <c r="AB112" s="321"/>
      <c r="AC112" s="321"/>
      <c r="AD112" s="321"/>
      <c r="AE112" s="321"/>
      <c r="AF112" s="321"/>
      <c r="AG112" s="321"/>
      <c r="AH112" s="321"/>
      <c r="AI112" s="321"/>
      <c r="AJ112" s="321"/>
      <c r="AK112" s="321"/>
      <c r="AL112" s="321"/>
      <c r="AM112" s="321"/>
      <c r="AN112" s="321"/>
      <c r="AO112" s="321"/>
      <c r="AP112" s="303"/>
      <c r="AQ112" s="102"/>
      <c r="AR112" s="102"/>
      <c r="AS112" s="102"/>
      <c r="AT112" s="102"/>
      <c r="AU112" s="102"/>
      <c r="AV112" s="102"/>
      <c r="AW112" s="102"/>
      <c r="AX112" s="304"/>
    </row>
    <row r="113" spans="1:50" s="100" customFormat="1" ht="12">
      <c r="A113" s="302"/>
      <c r="B113" s="345"/>
      <c r="C113" s="346"/>
      <c r="D113" s="102"/>
      <c r="E113" s="102"/>
      <c r="F113" s="102"/>
      <c r="G113" s="102"/>
      <c r="H113" s="102"/>
      <c r="I113" s="102"/>
      <c r="J113" s="102"/>
      <c r="K113" s="102"/>
      <c r="L113" s="297"/>
      <c r="M113" s="293"/>
      <c r="N113" s="293"/>
      <c r="O113" s="290" t="s">
        <v>810</v>
      </c>
      <c r="P113" s="15" t="s">
        <v>811</v>
      </c>
      <c r="Q113" s="15"/>
      <c r="R113" s="15"/>
      <c r="S113" s="15"/>
      <c r="T113" s="15"/>
      <c r="U113" s="97"/>
      <c r="V113" s="97"/>
      <c r="W113" s="97"/>
      <c r="X113" s="320"/>
      <c r="Y113" s="299"/>
      <c r="Z113" s="321"/>
      <c r="AA113" s="321"/>
      <c r="AB113" s="321"/>
      <c r="AC113" s="321"/>
      <c r="AD113" s="321"/>
      <c r="AE113" s="321"/>
      <c r="AF113" s="321"/>
      <c r="AG113" s="321"/>
      <c r="AH113" s="321"/>
      <c r="AI113" s="321"/>
      <c r="AJ113" s="321"/>
      <c r="AK113" s="321"/>
      <c r="AL113" s="321"/>
      <c r="AM113" s="321"/>
      <c r="AN113" s="321"/>
      <c r="AO113" s="321"/>
      <c r="AP113" s="303"/>
      <c r="AQ113" s="102"/>
      <c r="AR113" s="102"/>
      <c r="AS113" s="102"/>
      <c r="AT113" s="102"/>
      <c r="AU113" s="102"/>
      <c r="AV113" s="102"/>
      <c r="AW113" s="102"/>
      <c r="AX113" s="304"/>
    </row>
    <row r="114" spans="1:50" s="100" customFormat="1" ht="12">
      <c r="A114" s="302"/>
      <c r="B114" s="476"/>
      <c r="C114" s="477"/>
      <c r="D114" s="102"/>
      <c r="E114" s="102"/>
      <c r="F114" s="102"/>
      <c r="G114" s="102"/>
      <c r="H114" s="102"/>
      <c r="I114" s="102"/>
      <c r="J114" s="102"/>
      <c r="K114" s="102"/>
      <c r="L114" s="297"/>
      <c r="M114" s="293"/>
      <c r="N114" s="293"/>
      <c r="O114" s="290"/>
      <c r="P114" s="15"/>
      <c r="Q114" s="15"/>
      <c r="R114" s="478" t="s">
        <v>369</v>
      </c>
      <c r="S114" s="479"/>
      <c r="T114" s="479"/>
      <c r="U114" s="479"/>
      <c r="V114" s="479"/>
      <c r="W114" s="479"/>
      <c r="X114" s="479"/>
      <c r="Y114" s="479"/>
      <c r="Z114" s="478" t="s">
        <v>691</v>
      </c>
      <c r="AA114" s="479"/>
      <c r="AB114" s="479"/>
      <c r="AC114" s="479"/>
      <c r="AD114" s="479"/>
      <c r="AE114" s="479"/>
      <c r="AF114" s="479"/>
      <c r="AG114" s="480"/>
      <c r="AH114" s="321"/>
      <c r="AI114" s="321"/>
      <c r="AJ114" s="321"/>
      <c r="AK114" s="321"/>
      <c r="AL114" s="321"/>
      <c r="AM114" s="321"/>
      <c r="AN114" s="321"/>
      <c r="AO114" s="321"/>
      <c r="AP114" s="303"/>
      <c r="AQ114" s="102"/>
      <c r="AR114" s="102"/>
      <c r="AS114" s="102"/>
      <c r="AT114" s="102"/>
      <c r="AU114" s="102"/>
      <c r="AV114" s="102"/>
      <c r="AW114" s="102"/>
      <c r="AX114" s="304"/>
    </row>
    <row r="115" spans="1:50" s="100" customFormat="1" ht="12">
      <c r="A115" s="302"/>
      <c r="B115" s="476"/>
      <c r="C115" s="477"/>
      <c r="D115" s="102"/>
      <c r="E115" s="102"/>
      <c r="F115" s="102"/>
      <c r="G115" s="102"/>
      <c r="H115" s="102"/>
      <c r="I115" s="102"/>
      <c r="J115" s="102"/>
      <c r="K115" s="102"/>
      <c r="L115" s="297"/>
      <c r="M115" s="293"/>
      <c r="N115" s="293"/>
      <c r="O115" s="290"/>
      <c r="P115" s="15"/>
      <c r="Q115" s="15"/>
      <c r="R115" s="481" t="s">
        <v>1084</v>
      </c>
      <c r="S115" s="482"/>
      <c r="T115" s="482"/>
      <c r="U115" s="482"/>
      <c r="V115" s="482"/>
      <c r="W115" s="482"/>
      <c r="X115" s="482"/>
      <c r="Y115" s="482"/>
      <c r="Z115" s="483" t="s">
        <v>344</v>
      </c>
      <c r="AA115" s="482"/>
      <c r="AB115" s="482"/>
      <c r="AC115" s="482"/>
      <c r="AD115" s="482"/>
      <c r="AE115" s="482"/>
      <c r="AF115" s="482"/>
      <c r="AG115" s="484"/>
      <c r="AH115" s="321"/>
      <c r="AI115" s="321"/>
      <c r="AJ115" s="321"/>
      <c r="AK115" s="321"/>
      <c r="AL115" s="321"/>
      <c r="AM115" s="321"/>
      <c r="AN115" s="321"/>
      <c r="AO115" s="321"/>
      <c r="AP115" s="303"/>
      <c r="AQ115" s="102"/>
      <c r="AR115" s="102"/>
      <c r="AS115" s="102"/>
      <c r="AT115" s="102"/>
      <c r="AU115" s="102"/>
      <c r="AV115" s="102"/>
      <c r="AW115" s="102"/>
      <c r="AX115" s="304"/>
    </row>
    <row r="116" spans="1:50" s="100" customFormat="1" ht="12">
      <c r="A116" s="302"/>
      <c r="B116" s="476"/>
      <c r="C116" s="477"/>
      <c r="D116" s="102"/>
      <c r="E116" s="102"/>
      <c r="F116" s="102"/>
      <c r="G116" s="102"/>
      <c r="H116" s="102"/>
      <c r="I116" s="102"/>
      <c r="J116" s="102"/>
      <c r="K116" s="102"/>
      <c r="L116" s="297"/>
      <c r="M116" s="293"/>
      <c r="N116" s="293"/>
      <c r="O116" s="290"/>
      <c r="P116" s="15"/>
      <c r="Q116" s="15"/>
      <c r="R116" s="15"/>
      <c r="S116" s="15"/>
      <c r="T116" s="15"/>
      <c r="U116" s="97"/>
      <c r="V116" s="97"/>
      <c r="W116" s="97"/>
      <c r="X116" s="320"/>
      <c r="Y116" s="299"/>
      <c r="Z116" s="321"/>
      <c r="AA116" s="321"/>
      <c r="AB116" s="321"/>
      <c r="AC116" s="321"/>
      <c r="AD116" s="321"/>
      <c r="AE116" s="321"/>
      <c r="AF116" s="321"/>
      <c r="AG116" s="321"/>
      <c r="AH116" s="321"/>
      <c r="AI116" s="321"/>
      <c r="AJ116" s="321"/>
      <c r="AK116" s="321"/>
      <c r="AL116" s="321"/>
      <c r="AM116" s="321"/>
      <c r="AN116" s="321"/>
      <c r="AO116" s="321"/>
      <c r="AP116" s="303"/>
      <c r="AQ116" s="102"/>
      <c r="AR116" s="102"/>
      <c r="AS116" s="102"/>
      <c r="AT116" s="102"/>
      <c r="AU116" s="102"/>
      <c r="AV116" s="102"/>
      <c r="AW116" s="102"/>
      <c r="AX116" s="304"/>
    </row>
    <row r="117" spans="1:50" s="100" customFormat="1" ht="12">
      <c r="A117" s="302"/>
      <c r="B117" s="345"/>
      <c r="C117" s="346"/>
      <c r="D117" s="102"/>
      <c r="E117" s="102"/>
      <c r="F117" s="102"/>
      <c r="G117" s="102"/>
      <c r="H117" s="102"/>
      <c r="I117" s="102"/>
      <c r="J117" s="102"/>
      <c r="K117" s="102"/>
      <c r="L117" s="297"/>
      <c r="M117" s="293"/>
      <c r="N117" s="293"/>
      <c r="P117" s="15" t="s">
        <v>812</v>
      </c>
      <c r="Q117" s="15"/>
      <c r="R117" s="15"/>
      <c r="S117" s="15"/>
      <c r="T117" s="15"/>
      <c r="U117" s="97"/>
      <c r="V117" s="97"/>
      <c r="W117" s="97"/>
      <c r="X117" s="320"/>
      <c r="Y117" s="299"/>
      <c r="Z117" s="321"/>
      <c r="AA117" s="321"/>
      <c r="AB117" s="321"/>
      <c r="AC117" s="321"/>
      <c r="AD117" s="321"/>
      <c r="AE117" s="321"/>
      <c r="AF117" s="321"/>
      <c r="AG117" s="321"/>
      <c r="AH117" s="321"/>
      <c r="AI117" s="321"/>
      <c r="AJ117" s="321"/>
      <c r="AK117" s="321"/>
      <c r="AL117" s="321"/>
      <c r="AM117" s="321"/>
      <c r="AN117" s="321"/>
      <c r="AO117" s="321"/>
      <c r="AP117" s="303"/>
      <c r="AQ117" s="102"/>
      <c r="AR117" s="102"/>
      <c r="AS117" s="102"/>
      <c r="AT117" s="102"/>
      <c r="AU117" s="102"/>
      <c r="AV117" s="102"/>
      <c r="AW117" s="102"/>
      <c r="AX117" s="304"/>
    </row>
    <row r="118" spans="1:50" s="100" customFormat="1" ht="12">
      <c r="A118" s="302"/>
      <c r="B118" s="476"/>
      <c r="C118" s="477"/>
      <c r="D118" s="102"/>
      <c r="E118" s="102"/>
      <c r="F118" s="102"/>
      <c r="G118" s="102"/>
      <c r="H118" s="102"/>
      <c r="I118" s="102"/>
      <c r="J118" s="102"/>
      <c r="K118" s="102"/>
      <c r="L118" s="297"/>
      <c r="M118" s="293"/>
      <c r="N118" s="293"/>
      <c r="O118" s="290"/>
      <c r="P118" s="15"/>
      <c r="Q118" s="15"/>
      <c r="R118" s="478" t="s">
        <v>369</v>
      </c>
      <c r="S118" s="479"/>
      <c r="T118" s="479"/>
      <c r="U118" s="479"/>
      <c r="V118" s="479"/>
      <c r="W118" s="479"/>
      <c r="X118" s="479"/>
      <c r="Y118" s="479"/>
      <c r="Z118" s="478" t="s">
        <v>691</v>
      </c>
      <c r="AA118" s="479"/>
      <c r="AB118" s="479"/>
      <c r="AC118" s="479"/>
      <c r="AD118" s="479"/>
      <c r="AE118" s="479"/>
      <c r="AF118" s="479"/>
      <c r="AG118" s="480"/>
      <c r="AH118" s="321"/>
      <c r="AI118" s="321"/>
      <c r="AJ118" s="321"/>
      <c r="AK118" s="321"/>
      <c r="AL118" s="321"/>
      <c r="AM118" s="321"/>
      <c r="AN118" s="321"/>
      <c r="AO118" s="321"/>
      <c r="AP118" s="303"/>
      <c r="AQ118" s="102"/>
      <c r="AR118" s="102"/>
      <c r="AS118" s="102"/>
      <c r="AT118" s="102"/>
      <c r="AU118" s="102"/>
      <c r="AV118" s="102"/>
      <c r="AW118" s="102"/>
      <c r="AX118" s="304"/>
    </row>
    <row r="119" spans="1:50" s="100" customFormat="1" ht="12">
      <c r="A119" s="302"/>
      <c r="B119" s="476"/>
      <c r="C119" s="477"/>
      <c r="D119" s="102"/>
      <c r="E119" s="102"/>
      <c r="F119" s="102"/>
      <c r="G119" s="102"/>
      <c r="H119" s="102"/>
      <c r="I119" s="102"/>
      <c r="J119" s="102"/>
      <c r="K119" s="102"/>
      <c r="L119" s="297"/>
      <c r="M119" s="293"/>
      <c r="N119" s="293"/>
      <c r="O119" s="290"/>
      <c r="P119" s="15"/>
      <c r="Q119" s="15"/>
      <c r="R119" s="481" t="s">
        <v>1084</v>
      </c>
      <c r="S119" s="482"/>
      <c r="T119" s="482"/>
      <c r="U119" s="482"/>
      <c r="V119" s="482"/>
      <c r="W119" s="482"/>
      <c r="X119" s="482"/>
      <c r="Y119" s="482"/>
      <c r="Z119" s="483" t="s">
        <v>445</v>
      </c>
      <c r="AA119" s="482"/>
      <c r="AB119" s="482"/>
      <c r="AC119" s="482"/>
      <c r="AD119" s="482"/>
      <c r="AE119" s="482"/>
      <c r="AF119" s="482"/>
      <c r="AG119" s="484"/>
      <c r="AH119" s="321"/>
      <c r="AI119" s="321"/>
      <c r="AJ119" s="321"/>
      <c r="AK119" s="321"/>
      <c r="AL119" s="321"/>
      <c r="AM119" s="321"/>
      <c r="AN119" s="321"/>
      <c r="AO119" s="321"/>
      <c r="AP119" s="303"/>
      <c r="AQ119" s="102"/>
      <c r="AR119" s="102"/>
      <c r="AS119" s="102"/>
      <c r="AT119" s="102"/>
      <c r="AU119" s="102"/>
      <c r="AV119" s="102"/>
      <c r="AW119" s="102"/>
      <c r="AX119" s="304"/>
    </row>
    <row r="120" spans="1:50" s="100" customFormat="1" ht="12">
      <c r="A120" s="302"/>
      <c r="B120" s="345"/>
      <c r="C120" s="346"/>
      <c r="D120" s="102"/>
      <c r="E120" s="102"/>
      <c r="F120" s="102"/>
      <c r="G120" s="102"/>
      <c r="H120" s="102"/>
      <c r="I120" s="102"/>
      <c r="J120" s="102"/>
      <c r="K120" s="102"/>
      <c r="L120" s="297"/>
      <c r="M120" s="293"/>
      <c r="N120" s="293"/>
      <c r="P120" s="15"/>
      <c r="Q120" s="293"/>
      <c r="R120" s="15"/>
      <c r="S120" s="15"/>
      <c r="T120" s="15"/>
      <c r="U120" s="97"/>
      <c r="V120" s="97"/>
      <c r="W120" s="97"/>
      <c r="X120" s="320"/>
      <c r="Y120" s="299"/>
      <c r="Z120" s="321"/>
      <c r="AA120" s="321"/>
      <c r="AB120" s="321"/>
      <c r="AC120" s="321"/>
      <c r="AD120" s="321"/>
      <c r="AE120" s="321"/>
      <c r="AF120" s="321"/>
      <c r="AG120" s="321"/>
      <c r="AH120" s="321"/>
      <c r="AI120" s="321"/>
      <c r="AJ120" s="321"/>
      <c r="AK120" s="321"/>
      <c r="AL120" s="321"/>
      <c r="AM120" s="321"/>
      <c r="AN120" s="321"/>
      <c r="AO120" s="321"/>
      <c r="AP120" s="303"/>
      <c r="AQ120" s="102"/>
      <c r="AR120" s="102"/>
      <c r="AS120" s="102"/>
      <c r="AT120" s="102"/>
      <c r="AU120" s="102"/>
      <c r="AV120" s="102"/>
      <c r="AW120" s="102"/>
      <c r="AX120" s="304"/>
    </row>
    <row r="121" spans="1:50" s="100" customFormat="1" ht="12">
      <c r="A121" s="302"/>
      <c r="B121" s="345"/>
      <c r="C121" s="346"/>
      <c r="D121" s="102"/>
      <c r="E121" s="102"/>
      <c r="F121" s="102"/>
      <c r="G121" s="102"/>
      <c r="H121" s="102"/>
      <c r="I121" s="102"/>
      <c r="J121" s="102"/>
      <c r="K121" s="102"/>
      <c r="L121" s="297"/>
      <c r="M121" s="293"/>
      <c r="N121" s="15"/>
      <c r="O121" s="299"/>
      <c r="P121" s="102"/>
      <c r="Q121" s="320"/>
      <c r="R121" s="320"/>
      <c r="S121" s="320"/>
      <c r="T121" s="97"/>
      <c r="U121" s="97"/>
      <c r="V121" s="97"/>
      <c r="W121" s="97"/>
      <c r="X121" s="320"/>
      <c r="Y121" s="299"/>
      <c r="Z121" s="321"/>
      <c r="AA121" s="321"/>
      <c r="AB121" s="321"/>
      <c r="AC121" s="321"/>
      <c r="AD121" s="321"/>
      <c r="AE121" s="321"/>
      <c r="AF121" s="321"/>
      <c r="AG121" s="321"/>
      <c r="AH121" s="321"/>
      <c r="AI121" s="321"/>
      <c r="AJ121" s="321"/>
      <c r="AK121" s="321"/>
      <c r="AL121" s="321"/>
      <c r="AM121" s="321"/>
      <c r="AN121" s="321"/>
      <c r="AO121" s="321"/>
      <c r="AP121" s="303"/>
      <c r="AQ121" s="102"/>
      <c r="AR121" s="102"/>
      <c r="AS121" s="102"/>
      <c r="AT121" s="102"/>
      <c r="AU121" s="102"/>
      <c r="AV121" s="102"/>
      <c r="AW121" s="102"/>
      <c r="AX121" s="304"/>
    </row>
    <row r="122" spans="1:50" s="100" customFormat="1" ht="12">
      <c r="A122" s="302"/>
      <c r="B122" s="160"/>
      <c r="C122" s="161"/>
      <c r="D122" s="15"/>
      <c r="E122" s="102"/>
      <c r="F122" s="102"/>
      <c r="G122" s="102"/>
      <c r="H122" s="102"/>
      <c r="I122" s="102"/>
      <c r="J122" s="102"/>
      <c r="K122" s="102"/>
      <c r="L122" s="297"/>
      <c r="M122" s="15" t="s">
        <v>815</v>
      </c>
      <c r="O122" s="299"/>
      <c r="P122" s="102"/>
      <c r="Q122" s="320"/>
      <c r="R122" s="320"/>
      <c r="S122" s="320"/>
      <c r="T122" s="97"/>
      <c r="U122" s="97"/>
      <c r="V122" s="97"/>
      <c r="W122" s="97"/>
      <c r="X122" s="320"/>
      <c r="Y122" s="299"/>
      <c r="Z122" s="321"/>
      <c r="AA122" s="321"/>
      <c r="AB122" s="321"/>
      <c r="AC122" s="321"/>
      <c r="AD122" s="321"/>
      <c r="AE122" s="321"/>
      <c r="AF122" s="321"/>
      <c r="AG122" s="321"/>
      <c r="AH122" s="321"/>
      <c r="AI122" s="321"/>
      <c r="AJ122" s="321"/>
      <c r="AK122" s="321"/>
      <c r="AL122" s="321"/>
      <c r="AM122" s="321"/>
      <c r="AN122" s="321"/>
      <c r="AO122" s="321"/>
      <c r="AP122" s="303"/>
      <c r="AQ122" s="15"/>
      <c r="AR122" s="102"/>
      <c r="AS122" s="102"/>
      <c r="AT122" s="102"/>
      <c r="AU122" s="102"/>
      <c r="AV122" s="102"/>
      <c r="AW122" s="102"/>
      <c r="AX122" s="304"/>
    </row>
    <row r="123" spans="1:50" s="100" customFormat="1" ht="12">
      <c r="A123" s="302"/>
      <c r="B123" s="160"/>
      <c r="C123" s="161"/>
      <c r="D123" s="15"/>
      <c r="E123" s="102"/>
      <c r="F123" s="102"/>
      <c r="G123" s="102"/>
      <c r="H123" s="102"/>
      <c r="I123" s="102"/>
      <c r="J123" s="102"/>
      <c r="K123" s="102"/>
      <c r="L123" s="297"/>
      <c r="M123" s="15" t="s">
        <v>709</v>
      </c>
      <c r="O123" s="299"/>
      <c r="P123" s="102"/>
      <c r="Q123" s="320"/>
      <c r="R123" s="320"/>
      <c r="S123" s="320"/>
      <c r="T123" s="97"/>
      <c r="U123" s="97"/>
      <c r="V123" s="97"/>
      <c r="W123" s="97"/>
      <c r="X123" s="320"/>
      <c r="Y123" s="299"/>
      <c r="Z123" s="321"/>
      <c r="AA123" s="321"/>
      <c r="AB123" s="321"/>
      <c r="AC123" s="321"/>
      <c r="AD123" s="321"/>
      <c r="AE123" s="321"/>
      <c r="AF123" s="321"/>
      <c r="AG123" s="321"/>
      <c r="AH123" s="321"/>
      <c r="AI123" s="321"/>
      <c r="AJ123" s="321"/>
      <c r="AK123" s="321"/>
      <c r="AL123" s="321"/>
      <c r="AM123" s="321"/>
      <c r="AN123" s="321"/>
      <c r="AO123" s="321"/>
      <c r="AP123" s="303"/>
      <c r="AQ123" s="15"/>
      <c r="AR123" s="102"/>
      <c r="AS123" s="102"/>
      <c r="AT123" s="102"/>
      <c r="AU123" s="102"/>
      <c r="AV123" s="102"/>
      <c r="AW123" s="102"/>
      <c r="AX123" s="304"/>
    </row>
    <row r="124" spans="1:50" s="100" customFormat="1" ht="12">
      <c r="A124" s="302"/>
      <c r="B124" s="160"/>
      <c r="C124" s="161"/>
      <c r="D124" s="102"/>
      <c r="E124" s="102"/>
      <c r="F124" s="102"/>
      <c r="G124" s="102"/>
      <c r="H124" s="102"/>
      <c r="I124" s="102"/>
      <c r="J124" s="102"/>
      <c r="K124" s="102"/>
      <c r="L124" s="297"/>
      <c r="M124" s="102"/>
      <c r="N124" s="15"/>
      <c r="O124" s="299"/>
      <c r="P124" s="102"/>
      <c r="Q124" s="320"/>
      <c r="R124" s="320"/>
      <c r="S124" s="320"/>
      <c r="T124" s="97"/>
      <c r="U124" s="97"/>
      <c r="V124" s="97"/>
      <c r="W124" s="97"/>
      <c r="X124" s="320"/>
      <c r="Y124" s="299"/>
      <c r="Z124" s="321"/>
      <c r="AA124" s="321"/>
      <c r="AB124" s="321"/>
      <c r="AC124" s="321"/>
      <c r="AD124" s="321"/>
      <c r="AE124" s="321"/>
      <c r="AF124" s="321"/>
      <c r="AG124" s="321"/>
      <c r="AH124" s="321"/>
      <c r="AI124" s="321"/>
      <c r="AJ124" s="321"/>
      <c r="AK124" s="321"/>
      <c r="AL124" s="321"/>
      <c r="AM124" s="321"/>
      <c r="AN124" s="321"/>
      <c r="AO124" s="321"/>
      <c r="AP124" s="303"/>
      <c r="AQ124" s="102"/>
      <c r="AR124" s="102"/>
      <c r="AS124" s="102"/>
      <c r="AT124" s="102"/>
      <c r="AU124" s="102"/>
      <c r="AV124" s="102"/>
      <c r="AW124" s="102"/>
      <c r="AX124" s="304"/>
    </row>
    <row r="125" spans="1:50" s="100" customFormat="1" ht="12">
      <c r="A125" s="302"/>
      <c r="B125" s="160"/>
      <c r="C125" s="161"/>
      <c r="D125" s="102"/>
      <c r="E125" s="102"/>
      <c r="F125" s="102"/>
      <c r="G125" s="102"/>
      <c r="H125" s="102"/>
      <c r="I125" s="102"/>
      <c r="J125" s="102"/>
      <c r="K125" s="102"/>
      <c r="L125" s="297"/>
      <c r="M125" s="102"/>
      <c r="N125" s="305" t="s">
        <v>707</v>
      </c>
      <c r="O125" s="307"/>
      <c r="P125" s="307"/>
      <c r="Q125" s="307"/>
      <c r="R125" s="307"/>
      <c r="S125" s="307"/>
      <c r="T125" s="307"/>
      <c r="U125" s="307"/>
      <c r="V125" s="307"/>
      <c r="W125" s="308" t="s">
        <v>691</v>
      </c>
      <c r="X125" s="309"/>
      <c r="Y125" s="309"/>
      <c r="Z125" s="307"/>
      <c r="AA125" s="307"/>
      <c r="AB125" s="307"/>
      <c r="AC125" s="307"/>
      <c r="AD125" s="307"/>
      <c r="AE125" s="307"/>
      <c r="AF125" s="307"/>
      <c r="AG125" s="307"/>
      <c r="AH125" s="307"/>
      <c r="AI125" s="307"/>
      <c r="AJ125" s="307"/>
      <c r="AK125" s="307"/>
      <c r="AL125" s="307"/>
      <c r="AM125" s="306"/>
      <c r="AN125" s="305" t="s">
        <v>603</v>
      </c>
      <c r="AO125" s="306"/>
      <c r="AP125" s="303"/>
      <c r="AQ125" s="102"/>
      <c r="AR125" s="102"/>
      <c r="AS125" s="102"/>
      <c r="AT125" s="102"/>
      <c r="AU125" s="102"/>
      <c r="AV125" s="102"/>
      <c r="AW125" s="102"/>
      <c r="AX125" s="304"/>
    </row>
    <row r="126" spans="1:50" s="100" customFormat="1" ht="12">
      <c r="A126" s="302"/>
      <c r="B126" s="160"/>
      <c r="C126" s="161"/>
      <c r="D126" s="102"/>
      <c r="E126" s="102"/>
      <c r="F126" s="102"/>
      <c r="G126" s="102"/>
      <c r="H126" s="102"/>
      <c r="I126" s="102"/>
      <c r="J126" s="102"/>
      <c r="K126" s="102"/>
      <c r="L126" s="297"/>
      <c r="M126" s="102"/>
      <c r="N126" s="316" t="s">
        <v>532</v>
      </c>
      <c r="O126" s="317"/>
      <c r="P126" s="317"/>
      <c r="Q126" s="317"/>
      <c r="R126" s="158"/>
      <c r="S126" s="158"/>
      <c r="T126" s="158"/>
      <c r="U126" s="158"/>
      <c r="V126" s="318"/>
      <c r="W126" s="311" t="s">
        <v>1280</v>
      </c>
      <c r="X126" s="314"/>
      <c r="Y126" s="314"/>
      <c r="Z126" s="314"/>
      <c r="AA126" s="314"/>
      <c r="AB126" s="314"/>
      <c r="AC126" s="314"/>
      <c r="AD126" s="314"/>
      <c r="AE126" s="314"/>
      <c r="AF126" s="314"/>
      <c r="AG126" s="314"/>
      <c r="AH126" s="314"/>
      <c r="AI126" s="314"/>
      <c r="AJ126" s="314"/>
      <c r="AK126" s="314"/>
      <c r="AL126" s="314"/>
      <c r="AM126" s="315"/>
      <c r="AN126" s="311" t="s">
        <v>695</v>
      </c>
      <c r="AO126" s="312"/>
      <c r="AP126" s="303"/>
      <c r="AQ126" s="102"/>
      <c r="AR126" s="102"/>
      <c r="AS126" s="102"/>
      <c r="AT126" s="102"/>
      <c r="AU126" s="102"/>
      <c r="AV126" s="102"/>
      <c r="AW126" s="102"/>
      <c r="AX126" s="304"/>
    </row>
    <row r="127" spans="1:50" s="100" customFormat="1" ht="12">
      <c r="A127" s="302"/>
      <c r="B127" s="160"/>
      <c r="C127" s="161"/>
      <c r="D127" s="102"/>
      <c r="E127" s="102"/>
      <c r="F127" s="102"/>
      <c r="G127" s="102"/>
      <c r="H127" s="102"/>
      <c r="I127" s="102"/>
      <c r="J127" s="102"/>
      <c r="K127" s="102"/>
      <c r="L127" s="297"/>
      <c r="M127" s="102"/>
      <c r="N127" s="316" t="s">
        <v>531</v>
      </c>
      <c r="O127" s="317"/>
      <c r="P127" s="317"/>
      <c r="Q127" s="317"/>
      <c r="R127" s="158"/>
      <c r="S127" s="158"/>
      <c r="T127" s="158"/>
      <c r="U127" s="158"/>
      <c r="V127" s="318"/>
      <c r="W127" s="311" t="s">
        <v>1281</v>
      </c>
      <c r="X127" s="314"/>
      <c r="Y127" s="314"/>
      <c r="Z127" s="314"/>
      <c r="AA127" s="314"/>
      <c r="AB127" s="314"/>
      <c r="AC127" s="314"/>
      <c r="AD127" s="314"/>
      <c r="AE127" s="314"/>
      <c r="AF127" s="314"/>
      <c r="AG127" s="314"/>
      <c r="AH127" s="314"/>
      <c r="AI127" s="314"/>
      <c r="AJ127" s="314"/>
      <c r="AK127" s="314"/>
      <c r="AL127" s="314"/>
      <c r="AM127" s="315"/>
      <c r="AN127" s="311" t="s">
        <v>695</v>
      </c>
      <c r="AO127" s="312"/>
      <c r="AP127" s="303"/>
      <c r="AQ127" s="102"/>
      <c r="AR127" s="102"/>
      <c r="AS127" s="102"/>
      <c r="AT127" s="102"/>
      <c r="AU127" s="102"/>
      <c r="AV127" s="102"/>
      <c r="AW127" s="102"/>
      <c r="AX127" s="304"/>
    </row>
    <row r="128" spans="1:50" s="97" customFormat="1" ht="12">
      <c r="A128" s="302"/>
      <c r="B128" s="160"/>
      <c r="C128" s="161"/>
      <c r="D128" s="102"/>
      <c r="E128" s="102"/>
      <c r="F128" s="102"/>
      <c r="G128" s="102"/>
      <c r="H128" s="102"/>
      <c r="I128" s="102"/>
      <c r="J128" s="102"/>
      <c r="K128" s="102"/>
      <c r="L128" s="297"/>
      <c r="M128" s="102"/>
      <c r="N128" s="316" t="s">
        <v>431</v>
      </c>
      <c r="O128" s="317"/>
      <c r="P128" s="317"/>
      <c r="Q128" s="317"/>
      <c r="R128" s="158"/>
      <c r="S128" s="158"/>
      <c r="T128" s="158"/>
      <c r="U128" s="158"/>
      <c r="V128" s="318"/>
      <c r="W128" s="311" t="s">
        <v>1282</v>
      </c>
      <c r="X128" s="314"/>
      <c r="Y128" s="314"/>
      <c r="Z128" s="314"/>
      <c r="AA128" s="314"/>
      <c r="AB128" s="314"/>
      <c r="AC128" s="314"/>
      <c r="AD128" s="314"/>
      <c r="AE128" s="314"/>
      <c r="AF128" s="314"/>
      <c r="AG128" s="314"/>
      <c r="AH128" s="314"/>
      <c r="AI128" s="314"/>
      <c r="AJ128" s="314"/>
      <c r="AK128" s="314"/>
      <c r="AL128" s="314"/>
      <c r="AM128" s="315"/>
      <c r="AN128" s="311" t="s">
        <v>695</v>
      </c>
      <c r="AO128" s="312"/>
      <c r="AP128" s="303"/>
      <c r="AQ128" s="102"/>
      <c r="AR128" s="102"/>
      <c r="AS128" s="102"/>
      <c r="AT128" s="102"/>
      <c r="AU128" s="102"/>
      <c r="AV128" s="102"/>
      <c r="AW128" s="102"/>
      <c r="AX128" s="304"/>
    </row>
    <row r="129" spans="1:52" s="97" customFormat="1" ht="12">
      <c r="A129" s="302"/>
      <c r="B129" s="160"/>
      <c r="C129" s="161"/>
      <c r="D129" s="102"/>
      <c r="E129" s="102"/>
      <c r="F129" s="102"/>
      <c r="G129" s="102"/>
      <c r="H129" s="102"/>
      <c r="I129" s="102"/>
      <c r="J129" s="102"/>
      <c r="K129" s="102"/>
      <c r="L129" s="297"/>
      <c r="M129" s="102"/>
      <c r="N129" s="316" t="s">
        <v>430</v>
      </c>
      <c r="O129" s="317"/>
      <c r="P129" s="317"/>
      <c r="Q129" s="317"/>
      <c r="R129" s="158"/>
      <c r="S129" s="158"/>
      <c r="T129" s="158"/>
      <c r="U129" s="158"/>
      <c r="V129" s="318"/>
      <c r="W129" s="311" t="s">
        <v>1283</v>
      </c>
      <c r="X129" s="314"/>
      <c r="Y129" s="314"/>
      <c r="Z129" s="314"/>
      <c r="AA129" s="314"/>
      <c r="AB129" s="314"/>
      <c r="AC129" s="314"/>
      <c r="AD129" s="314"/>
      <c r="AE129" s="314"/>
      <c r="AF129" s="314"/>
      <c r="AG129" s="314"/>
      <c r="AH129" s="314"/>
      <c r="AI129" s="314"/>
      <c r="AJ129" s="314"/>
      <c r="AK129" s="314"/>
      <c r="AL129" s="314"/>
      <c r="AM129" s="315"/>
      <c r="AN129" s="311" t="s">
        <v>695</v>
      </c>
      <c r="AO129" s="312"/>
      <c r="AP129" s="303"/>
      <c r="AQ129" s="102"/>
      <c r="AR129" s="102"/>
      <c r="AS129" s="102"/>
      <c r="AT129" s="102"/>
      <c r="AU129" s="102"/>
      <c r="AV129" s="102"/>
      <c r="AW129" s="102"/>
      <c r="AX129" s="304"/>
    </row>
    <row r="130" spans="1:52" s="97" customFormat="1" ht="12">
      <c r="A130" s="302"/>
      <c r="B130" s="160"/>
      <c r="C130" s="161"/>
      <c r="D130" s="102"/>
      <c r="E130" s="102"/>
      <c r="F130" s="102"/>
      <c r="G130" s="102"/>
      <c r="H130" s="102"/>
      <c r="I130" s="102"/>
      <c r="J130" s="102"/>
      <c r="K130" s="102"/>
      <c r="L130" s="297"/>
      <c r="M130" s="102"/>
      <c r="N130" s="316" t="s">
        <v>438</v>
      </c>
      <c r="O130" s="317"/>
      <c r="P130" s="317"/>
      <c r="Q130" s="317"/>
      <c r="R130" s="158"/>
      <c r="S130" s="158"/>
      <c r="T130" s="158"/>
      <c r="U130" s="158"/>
      <c r="V130" s="318"/>
      <c r="W130" s="311" t="s">
        <v>1284</v>
      </c>
      <c r="X130" s="314"/>
      <c r="Y130" s="314"/>
      <c r="Z130" s="314"/>
      <c r="AA130" s="314"/>
      <c r="AB130" s="314"/>
      <c r="AC130" s="314"/>
      <c r="AD130" s="314"/>
      <c r="AE130" s="314"/>
      <c r="AF130" s="314"/>
      <c r="AG130" s="314"/>
      <c r="AH130" s="314"/>
      <c r="AI130" s="314"/>
      <c r="AJ130" s="314"/>
      <c r="AK130" s="314"/>
      <c r="AL130" s="314"/>
      <c r="AM130" s="315"/>
      <c r="AN130" s="311" t="s">
        <v>695</v>
      </c>
      <c r="AO130" s="312"/>
      <c r="AP130" s="303"/>
      <c r="AQ130" s="102"/>
      <c r="AR130" s="102"/>
      <c r="AS130" s="102"/>
      <c r="AT130" s="102"/>
      <c r="AU130" s="102"/>
      <c r="AV130" s="102"/>
      <c r="AW130" s="102"/>
      <c r="AX130" s="304"/>
    </row>
    <row r="131" spans="1:52" s="97" customFormat="1" ht="12">
      <c r="A131" s="319"/>
      <c r="B131" s="345"/>
      <c r="C131" s="346"/>
      <c r="D131" s="102"/>
      <c r="E131" s="102"/>
      <c r="F131" s="102"/>
      <c r="G131" s="102"/>
      <c r="H131" s="102"/>
      <c r="I131" s="102"/>
      <c r="J131" s="102"/>
      <c r="K131" s="102"/>
      <c r="L131" s="297"/>
      <c r="M131" s="102"/>
      <c r="N131" s="316" t="s">
        <v>813</v>
      </c>
      <c r="O131" s="317"/>
      <c r="P131" s="317"/>
      <c r="Q131" s="317"/>
      <c r="R131" s="343"/>
      <c r="S131" s="343"/>
      <c r="T131" s="343"/>
      <c r="U131" s="343"/>
      <c r="V131" s="318"/>
      <c r="W131" s="311" t="s">
        <v>814</v>
      </c>
      <c r="X131" s="314"/>
      <c r="Y131" s="314"/>
      <c r="Z131" s="314"/>
      <c r="AA131" s="314"/>
      <c r="AB131" s="314"/>
      <c r="AC131" s="314"/>
      <c r="AD131" s="314"/>
      <c r="AE131" s="314"/>
      <c r="AF131" s="314"/>
      <c r="AG131" s="314"/>
      <c r="AH131" s="314"/>
      <c r="AI131" s="314"/>
      <c r="AJ131" s="314"/>
      <c r="AK131" s="314"/>
      <c r="AL131" s="314"/>
      <c r="AM131" s="315"/>
      <c r="AN131" s="311" t="s">
        <v>695</v>
      </c>
      <c r="AO131" s="312"/>
      <c r="AP131" s="303"/>
      <c r="AQ131" s="102"/>
      <c r="AR131" s="102"/>
      <c r="AS131" s="102"/>
      <c r="AT131" s="102"/>
      <c r="AU131" s="102"/>
      <c r="AV131" s="102"/>
      <c r="AW131" s="102"/>
      <c r="AX131" s="304"/>
    </row>
    <row r="132" spans="1:52" s="79" customFormat="1" ht="12">
      <c r="A132" s="298"/>
      <c r="B132" s="160"/>
      <c r="C132" s="161"/>
      <c r="D132" s="15"/>
      <c r="E132" s="15"/>
      <c r="F132" s="15"/>
      <c r="G132" s="15"/>
      <c r="H132" s="15"/>
      <c r="I132" s="15"/>
      <c r="J132" s="15"/>
      <c r="K132" s="15"/>
      <c r="L132" s="297"/>
      <c r="M132" s="293"/>
      <c r="N132" s="15"/>
      <c r="O132" s="95"/>
      <c r="P132" s="9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73"/>
      <c r="AQ132" s="15"/>
      <c r="AR132" s="15"/>
      <c r="AS132" s="15"/>
      <c r="AT132" s="15"/>
      <c r="AU132" s="15"/>
      <c r="AV132" s="15"/>
      <c r="AW132" s="15"/>
      <c r="AX132" s="74"/>
    </row>
    <row r="133" spans="1:52" s="79" customFormat="1" ht="12">
      <c r="A133" s="298"/>
      <c r="B133" s="162"/>
      <c r="C133" s="163"/>
      <c r="D133" s="286"/>
      <c r="E133" s="286"/>
      <c r="F133" s="286"/>
      <c r="G133" s="286"/>
      <c r="H133" s="286"/>
      <c r="I133" s="286"/>
      <c r="J133" s="286"/>
      <c r="K133" s="286"/>
      <c r="L133" s="300"/>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c r="AJ133" s="286"/>
      <c r="AK133" s="286"/>
      <c r="AL133" s="286"/>
      <c r="AM133" s="286"/>
      <c r="AN133" s="286"/>
      <c r="AO133" s="286"/>
      <c r="AP133" s="287"/>
      <c r="AQ133" s="286"/>
      <c r="AR133" s="286"/>
      <c r="AS133" s="286"/>
      <c r="AT133" s="286"/>
      <c r="AU133" s="286"/>
      <c r="AV133" s="286"/>
      <c r="AW133" s="286"/>
      <c r="AX133" s="301"/>
    </row>
    <row r="134" spans="1:52" s="79" customFormat="1" ht="12">
      <c r="A134" s="298"/>
      <c r="B134" s="1007" t="s">
        <v>710</v>
      </c>
      <c r="C134" s="1008"/>
      <c r="D134" s="15"/>
      <c r="E134" s="15"/>
      <c r="F134" s="15"/>
      <c r="G134" s="15"/>
      <c r="H134" s="15"/>
      <c r="I134" s="15"/>
      <c r="J134" s="15"/>
      <c r="K134" s="15"/>
      <c r="L134" s="297" t="s">
        <v>711</v>
      </c>
      <c r="M134" s="15" t="s">
        <v>712</v>
      </c>
      <c r="N134" s="9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73"/>
      <c r="AQ134" s="15"/>
      <c r="AR134" s="15"/>
      <c r="AS134" s="15"/>
      <c r="AT134" s="15"/>
      <c r="AU134" s="15"/>
      <c r="AV134" s="15"/>
      <c r="AW134" s="15"/>
      <c r="AX134" s="74"/>
    </row>
    <row r="135" spans="1:52" s="79" customFormat="1" ht="12">
      <c r="A135" s="298"/>
      <c r="B135" s="160"/>
      <c r="C135" s="161"/>
      <c r="D135" s="15"/>
      <c r="E135" s="15"/>
      <c r="F135" s="15"/>
      <c r="G135" s="15"/>
      <c r="H135" s="15"/>
      <c r="I135" s="15"/>
      <c r="J135" s="15"/>
      <c r="K135" s="15"/>
      <c r="L135" s="297"/>
      <c r="M135" s="15" t="s">
        <v>680</v>
      </c>
      <c r="N135" s="9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73"/>
      <c r="AQ135" s="15"/>
      <c r="AR135" s="15"/>
      <c r="AS135" s="15"/>
      <c r="AT135" s="15"/>
      <c r="AU135" s="15"/>
      <c r="AV135" s="15"/>
      <c r="AW135" s="15"/>
      <c r="AX135" s="74"/>
    </row>
    <row r="136" spans="1:52" s="283" customFormat="1" ht="12">
      <c r="A136" s="323"/>
      <c r="B136" s="1013"/>
      <c r="C136" s="1014"/>
      <c r="D136" s="324"/>
      <c r="E136" s="324"/>
      <c r="F136" s="324"/>
      <c r="G136" s="324"/>
      <c r="H136" s="324"/>
      <c r="I136" s="324"/>
      <c r="J136" s="324"/>
      <c r="K136" s="324"/>
      <c r="L136" s="325"/>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c r="AJ136" s="324"/>
      <c r="AK136" s="324"/>
      <c r="AL136" s="324"/>
      <c r="AM136" s="324"/>
      <c r="AN136" s="324"/>
      <c r="AO136" s="324"/>
      <c r="AP136" s="326"/>
      <c r="AQ136" s="324"/>
      <c r="AR136" s="324"/>
      <c r="AS136" s="324"/>
      <c r="AT136" s="324"/>
      <c r="AU136" s="324"/>
      <c r="AV136" s="324"/>
      <c r="AW136" s="324"/>
      <c r="AX136" s="327"/>
    </row>
    <row r="137" spans="1:52" s="79" customFormat="1" ht="12">
      <c r="A137" s="294" t="s">
        <v>880</v>
      </c>
      <c r="B137" s="75" t="s">
        <v>864</v>
      </c>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7"/>
    </row>
    <row r="138" spans="1:52" s="79" customFormat="1" ht="12">
      <c r="A138" s="298"/>
      <c r="B138" s="1007" t="s">
        <v>663</v>
      </c>
      <c r="C138" s="1008"/>
      <c r="D138" s="15"/>
      <c r="E138" s="15"/>
      <c r="F138" s="15"/>
      <c r="G138" s="15"/>
      <c r="H138" s="15"/>
      <c r="I138" s="15"/>
      <c r="J138" s="15"/>
      <c r="K138" s="15"/>
      <c r="L138" s="297" t="s">
        <v>664</v>
      </c>
      <c r="M138" s="15" t="s">
        <v>679</v>
      </c>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73"/>
      <c r="AQ138" s="15"/>
      <c r="AR138" s="15"/>
      <c r="AS138" s="15"/>
      <c r="AT138" s="15"/>
      <c r="AU138" s="15"/>
      <c r="AV138" s="15"/>
      <c r="AW138" s="15"/>
      <c r="AX138" s="74"/>
    </row>
    <row r="139" spans="1:52" s="79" customFormat="1" ht="12">
      <c r="A139" s="298"/>
      <c r="B139" s="345"/>
      <c r="C139" s="346"/>
      <c r="D139" s="15"/>
      <c r="E139" s="15"/>
      <c r="F139" s="15"/>
      <c r="G139" s="15"/>
      <c r="H139" s="15"/>
      <c r="I139" s="15"/>
      <c r="J139" s="15"/>
      <c r="K139" s="15"/>
      <c r="L139" s="297"/>
      <c r="M139" s="15" t="s">
        <v>680</v>
      </c>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73"/>
      <c r="AQ139" s="15"/>
      <c r="AR139" s="15"/>
      <c r="AS139" s="15"/>
      <c r="AT139" s="15"/>
      <c r="AU139" s="15"/>
      <c r="AV139" s="15"/>
      <c r="AW139" s="15"/>
      <c r="AX139" s="74"/>
    </row>
    <row r="140" spans="1:52" s="79" customFormat="1" ht="12">
      <c r="A140" s="298"/>
      <c r="B140" s="345"/>
      <c r="C140" s="346"/>
      <c r="D140" s="15"/>
      <c r="E140" s="15"/>
      <c r="F140" s="15"/>
      <c r="G140" s="15"/>
      <c r="H140" s="15"/>
      <c r="I140" s="15"/>
      <c r="J140" s="15"/>
      <c r="K140" s="15"/>
      <c r="L140" s="297"/>
      <c r="M140" s="293"/>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73"/>
      <c r="AQ140" s="15"/>
      <c r="AR140" s="15"/>
      <c r="AS140" s="15"/>
      <c r="AT140" s="15"/>
      <c r="AU140" s="15"/>
      <c r="AV140" s="15"/>
      <c r="AW140" s="15"/>
      <c r="AX140" s="74"/>
    </row>
    <row r="141" spans="1:52" s="79" customFormat="1" ht="12">
      <c r="A141" s="298"/>
      <c r="B141" s="345"/>
      <c r="C141" s="346"/>
      <c r="D141" s="15"/>
      <c r="E141" s="15"/>
      <c r="F141" s="15"/>
      <c r="G141" s="15"/>
      <c r="H141" s="15"/>
      <c r="I141" s="15"/>
      <c r="J141" s="15"/>
      <c r="K141" s="15"/>
      <c r="L141" s="297" t="s">
        <v>595</v>
      </c>
      <c r="M141" s="15" t="s">
        <v>681</v>
      </c>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73"/>
      <c r="AQ141" s="15"/>
      <c r="AR141" s="15"/>
      <c r="AS141" s="15"/>
      <c r="AT141" s="15"/>
      <c r="AU141" s="15"/>
      <c r="AV141" s="15"/>
      <c r="AW141" s="15"/>
      <c r="AX141" s="74"/>
    </row>
    <row r="142" spans="1:52" s="79" customFormat="1" ht="12">
      <c r="A142" s="298"/>
      <c r="B142" s="345"/>
      <c r="C142" s="346"/>
      <c r="D142" s="15"/>
      <c r="E142" s="15"/>
      <c r="F142" s="15"/>
      <c r="G142" s="15"/>
      <c r="H142" s="15"/>
      <c r="I142" s="15"/>
      <c r="J142" s="15"/>
      <c r="K142" s="15"/>
      <c r="L142" s="297"/>
      <c r="M142" s="15" t="s">
        <v>680</v>
      </c>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73"/>
      <c r="AQ142" s="15"/>
      <c r="AR142" s="15"/>
      <c r="AS142" s="15"/>
      <c r="AT142" s="15"/>
      <c r="AU142" s="15"/>
      <c r="AV142" s="15"/>
      <c r="AW142" s="15"/>
      <c r="AX142" s="74"/>
    </row>
    <row r="143" spans="1:52" s="79" customFormat="1" ht="12">
      <c r="A143" s="298"/>
      <c r="B143" s="1015"/>
      <c r="C143" s="1016"/>
      <c r="D143" s="15"/>
      <c r="E143" s="15"/>
      <c r="F143" s="15"/>
      <c r="G143" s="15"/>
      <c r="H143" s="15"/>
      <c r="I143" s="15"/>
      <c r="J143" s="15"/>
      <c r="K143" s="15"/>
      <c r="L143" s="297"/>
      <c r="M143" s="15"/>
      <c r="N143" s="293"/>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73"/>
      <c r="AQ143" s="15"/>
      <c r="AR143" s="15"/>
      <c r="AS143" s="15"/>
      <c r="AT143" s="15"/>
      <c r="AU143" s="15"/>
      <c r="AV143" s="15"/>
      <c r="AW143" s="15"/>
      <c r="AX143" s="74"/>
    </row>
    <row r="144" spans="1:52" s="79" customFormat="1" ht="12">
      <c r="A144" s="298"/>
      <c r="B144" s="347"/>
      <c r="C144" s="348"/>
      <c r="D144" s="286"/>
      <c r="E144" s="286"/>
      <c r="F144" s="286"/>
      <c r="G144" s="286"/>
      <c r="H144" s="286"/>
      <c r="I144" s="286"/>
      <c r="J144" s="286"/>
      <c r="K144" s="286"/>
      <c r="L144" s="300"/>
      <c r="M144" s="286"/>
      <c r="N144" s="286"/>
      <c r="O144" s="286"/>
      <c r="P144" s="286"/>
      <c r="Q144" s="286"/>
      <c r="R144" s="286"/>
      <c r="S144" s="286"/>
      <c r="T144" s="286"/>
      <c r="U144" s="286"/>
      <c r="V144" s="286"/>
      <c r="W144" s="286"/>
      <c r="X144" s="286"/>
      <c r="Y144" s="286"/>
      <c r="Z144" s="286"/>
      <c r="AA144" s="286"/>
      <c r="AB144" s="286"/>
      <c r="AC144" s="286"/>
      <c r="AD144" s="286"/>
      <c r="AE144" s="286"/>
      <c r="AF144" s="286"/>
      <c r="AG144" s="286"/>
      <c r="AH144" s="286"/>
      <c r="AI144" s="286"/>
      <c r="AJ144" s="286"/>
      <c r="AK144" s="286"/>
      <c r="AL144" s="286"/>
      <c r="AM144" s="286"/>
      <c r="AN144" s="286"/>
      <c r="AO144" s="286"/>
      <c r="AP144" s="287"/>
      <c r="AQ144" s="286"/>
      <c r="AR144" s="286"/>
      <c r="AS144" s="286"/>
      <c r="AT144" s="286"/>
      <c r="AU144" s="286"/>
      <c r="AV144" s="286"/>
      <c r="AW144" s="286"/>
      <c r="AX144" s="301"/>
      <c r="AZ144" s="283"/>
    </row>
    <row r="145" spans="1:52" s="79" customFormat="1" ht="12">
      <c r="A145" s="298"/>
      <c r="B145" s="1007" t="s">
        <v>682</v>
      </c>
      <c r="C145" s="1008"/>
      <c r="D145" s="15"/>
      <c r="E145" s="15"/>
      <c r="F145" s="15"/>
      <c r="G145" s="15"/>
      <c r="H145" s="15"/>
      <c r="I145" s="15"/>
      <c r="J145" s="15"/>
      <c r="K145" s="15"/>
      <c r="L145" s="297" t="s">
        <v>594</v>
      </c>
      <c r="M145" s="15" t="s">
        <v>683</v>
      </c>
      <c r="N145" s="9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73"/>
      <c r="AQ145" s="15"/>
      <c r="AR145" s="15"/>
      <c r="AS145" s="15"/>
      <c r="AT145" s="15"/>
      <c r="AU145" s="15"/>
      <c r="AV145" s="15"/>
      <c r="AW145" s="15"/>
      <c r="AX145" s="74"/>
    </row>
    <row r="146" spans="1:52" s="79" customFormat="1" ht="12">
      <c r="A146" s="298"/>
      <c r="B146" s="345"/>
      <c r="C146" s="346"/>
      <c r="D146" s="15"/>
      <c r="E146" s="15"/>
      <c r="F146" s="15"/>
      <c r="G146" s="15"/>
      <c r="H146" s="15"/>
      <c r="I146" s="15"/>
      <c r="J146" s="15"/>
      <c r="K146" s="15"/>
      <c r="L146" s="297"/>
      <c r="M146" s="293" t="s">
        <v>684</v>
      </c>
      <c r="N146" s="15" t="s">
        <v>1285</v>
      </c>
      <c r="O146" s="9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73"/>
      <c r="AQ146" s="15"/>
      <c r="AR146" s="15"/>
      <c r="AS146" s="15"/>
      <c r="AT146" s="15"/>
      <c r="AU146" s="15"/>
      <c r="AV146" s="15"/>
      <c r="AW146" s="15"/>
      <c r="AX146" s="74"/>
    </row>
    <row r="147" spans="1:52" s="79" customFormat="1" ht="12">
      <c r="A147" s="298"/>
      <c r="B147" s="345"/>
      <c r="C147" s="346"/>
      <c r="D147" s="15"/>
      <c r="E147" s="15"/>
      <c r="F147" s="15"/>
      <c r="G147" s="15"/>
      <c r="H147" s="15"/>
      <c r="I147" s="15"/>
      <c r="J147" s="15"/>
      <c r="K147" s="15"/>
      <c r="L147" s="297"/>
      <c r="M147" s="15"/>
      <c r="N147" s="15" t="s">
        <v>685</v>
      </c>
      <c r="O147" s="9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73"/>
      <c r="AQ147" s="15"/>
      <c r="AR147" s="15"/>
      <c r="AS147" s="15"/>
      <c r="AT147" s="15"/>
      <c r="AU147" s="15"/>
      <c r="AV147" s="15"/>
      <c r="AW147" s="15"/>
      <c r="AX147" s="74"/>
    </row>
    <row r="148" spans="1:52" s="100" customFormat="1" ht="12">
      <c r="A148" s="302"/>
      <c r="B148" s="345"/>
      <c r="C148" s="346"/>
      <c r="D148" s="102"/>
      <c r="E148" s="102"/>
      <c r="F148" s="102"/>
      <c r="G148" s="102"/>
      <c r="H148" s="102"/>
      <c r="I148" s="102"/>
      <c r="J148" s="102"/>
      <c r="K148" s="303"/>
      <c r="L148" s="297"/>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303"/>
      <c r="AQ148" s="102"/>
      <c r="AR148" s="102"/>
      <c r="AS148" s="102"/>
      <c r="AT148" s="102"/>
      <c r="AU148" s="102"/>
      <c r="AV148" s="102"/>
      <c r="AW148" s="102"/>
      <c r="AX148" s="304"/>
    </row>
    <row r="149" spans="1:52" s="100" customFormat="1" ht="12">
      <c r="A149" s="302"/>
      <c r="B149" s="345"/>
      <c r="C149" s="346"/>
      <c r="D149" s="102"/>
      <c r="E149" s="102"/>
      <c r="F149" s="102"/>
      <c r="G149" s="102"/>
      <c r="H149" s="102"/>
      <c r="I149" s="102"/>
      <c r="J149" s="102"/>
      <c r="K149" s="102"/>
      <c r="L149" s="297"/>
      <c r="M149" s="102"/>
      <c r="N149" s="102" t="s">
        <v>687</v>
      </c>
      <c r="O149" s="102"/>
      <c r="P149" s="102" t="s">
        <v>688</v>
      </c>
      <c r="Q149" s="102" t="s">
        <v>816</v>
      </c>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97"/>
      <c r="AO149" s="102"/>
      <c r="AP149" s="303"/>
      <c r="AQ149" s="102" t="s">
        <v>1274</v>
      </c>
      <c r="AR149" s="102"/>
      <c r="AS149" s="102"/>
      <c r="AT149" s="102"/>
      <c r="AU149" s="102"/>
      <c r="AV149" s="102"/>
      <c r="AW149" s="102"/>
      <c r="AX149" s="304"/>
    </row>
    <row r="150" spans="1:52" s="100" customFormat="1" ht="12">
      <c r="A150" s="302"/>
      <c r="B150" s="345"/>
      <c r="C150" s="346"/>
      <c r="D150" s="102"/>
      <c r="E150" s="102"/>
      <c r="F150" s="102"/>
      <c r="G150" s="102"/>
      <c r="H150" s="102"/>
      <c r="I150" s="102"/>
      <c r="J150" s="102"/>
      <c r="K150" s="102"/>
      <c r="L150" s="297"/>
      <c r="M150" s="102"/>
      <c r="N150" s="102"/>
      <c r="O150" s="102"/>
      <c r="P150" s="79"/>
      <c r="Q150" s="102"/>
      <c r="R150" s="79"/>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97"/>
      <c r="AO150" s="102"/>
      <c r="AP150" s="303"/>
      <c r="AR150" s="102"/>
      <c r="AS150" s="102"/>
      <c r="AT150" s="102"/>
      <c r="AU150" s="102"/>
      <c r="AV150" s="102"/>
      <c r="AW150" s="102"/>
      <c r="AX150" s="304"/>
    </row>
    <row r="151" spans="1:52" s="100" customFormat="1" ht="12">
      <c r="A151" s="302"/>
      <c r="B151" s="345"/>
      <c r="C151" s="346"/>
      <c r="D151" s="102"/>
      <c r="E151" s="102"/>
      <c r="F151" s="102"/>
      <c r="G151" s="102"/>
      <c r="H151" s="102"/>
      <c r="I151" s="102"/>
      <c r="J151" s="102"/>
      <c r="K151" s="102"/>
      <c r="L151" s="297"/>
      <c r="M151" s="102"/>
      <c r="N151" s="102" t="s">
        <v>690</v>
      </c>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97"/>
      <c r="AO151" s="102"/>
      <c r="AP151" s="303"/>
      <c r="AQ151" s="102"/>
      <c r="AR151" s="102"/>
      <c r="AS151" s="102"/>
      <c r="AT151" s="102"/>
      <c r="AU151" s="102"/>
      <c r="AV151" s="102"/>
      <c r="AW151" s="102"/>
      <c r="AX151" s="304"/>
    </row>
    <row r="152" spans="1:52" s="100" customFormat="1" ht="12">
      <c r="A152" s="302"/>
      <c r="B152" s="345"/>
      <c r="C152" s="346"/>
      <c r="D152" s="102"/>
      <c r="E152" s="102"/>
      <c r="F152" s="102"/>
      <c r="G152" s="102"/>
      <c r="H152" s="102"/>
      <c r="I152" s="102"/>
      <c r="J152" s="102"/>
      <c r="K152" s="102"/>
      <c r="L152" s="297"/>
      <c r="M152" s="102"/>
      <c r="N152" s="305" t="s">
        <v>28</v>
      </c>
      <c r="O152" s="307"/>
      <c r="P152" s="307"/>
      <c r="Q152" s="307"/>
      <c r="R152" s="307"/>
      <c r="S152" s="307"/>
      <c r="T152" s="307"/>
      <c r="U152" s="307"/>
      <c r="V152" s="307"/>
      <c r="W152" s="308" t="s">
        <v>691</v>
      </c>
      <c r="X152" s="309"/>
      <c r="Y152" s="309"/>
      <c r="Z152" s="307"/>
      <c r="AA152" s="307"/>
      <c r="AB152" s="307"/>
      <c r="AC152" s="307"/>
      <c r="AD152" s="307"/>
      <c r="AE152" s="307"/>
      <c r="AF152" s="307"/>
      <c r="AG152" s="307"/>
      <c r="AH152" s="307"/>
      <c r="AI152" s="307"/>
      <c r="AJ152" s="307"/>
      <c r="AK152" s="307"/>
      <c r="AL152" s="307"/>
      <c r="AM152" s="306"/>
      <c r="AN152" s="305" t="s">
        <v>603</v>
      </c>
      <c r="AO152" s="306"/>
      <c r="AP152" s="303"/>
      <c r="AQ152" s="102"/>
      <c r="AT152" s="102"/>
      <c r="AU152" s="102"/>
      <c r="AV152" s="102"/>
      <c r="AW152" s="102"/>
      <c r="AX152" s="304"/>
      <c r="AZ152" s="310"/>
    </row>
    <row r="153" spans="1:52" s="100" customFormat="1" ht="12">
      <c r="A153" s="302"/>
      <c r="B153" s="345"/>
      <c r="C153" s="346"/>
      <c r="D153" s="102"/>
      <c r="E153" s="102"/>
      <c r="F153" s="102"/>
      <c r="G153" s="102"/>
      <c r="H153" s="102"/>
      <c r="I153" s="102"/>
      <c r="J153" s="102"/>
      <c r="K153" s="102"/>
      <c r="L153" s="297"/>
      <c r="M153" s="102"/>
      <c r="N153" s="311" t="s">
        <v>428</v>
      </c>
      <c r="O153" s="313"/>
      <c r="P153" s="313"/>
      <c r="Q153" s="313"/>
      <c r="R153" s="343"/>
      <c r="S153" s="343"/>
      <c r="T153" s="343"/>
      <c r="U153" s="343"/>
      <c r="V153" s="312"/>
      <c r="W153" s="311" t="s">
        <v>817</v>
      </c>
      <c r="X153" s="314"/>
      <c r="Y153" s="314"/>
      <c r="Z153" s="314"/>
      <c r="AA153" s="314"/>
      <c r="AB153" s="314"/>
      <c r="AC153" s="314"/>
      <c r="AD153" s="314"/>
      <c r="AE153" s="314"/>
      <c r="AF153" s="314"/>
      <c r="AG153" s="314"/>
      <c r="AH153" s="314"/>
      <c r="AI153" s="314"/>
      <c r="AJ153" s="314"/>
      <c r="AK153" s="314"/>
      <c r="AL153" s="314"/>
      <c r="AM153" s="315"/>
      <c r="AN153" s="311" t="s">
        <v>479</v>
      </c>
      <c r="AO153" s="312"/>
      <c r="AP153" s="303"/>
      <c r="AQ153" s="102"/>
      <c r="AT153" s="102"/>
      <c r="AU153" s="102"/>
      <c r="AV153" s="102"/>
      <c r="AW153" s="102"/>
      <c r="AX153" s="304"/>
    </row>
    <row r="154" spans="1:52" s="100" customFormat="1" ht="12">
      <c r="A154" s="302"/>
      <c r="B154" s="345"/>
      <c r="C154" s="346"/>
      <c r="D154" s="102"/>
      <c r="E154" s="102"/>
      <c r="F154" s="102"/>
      <c r="G154" s="102"/>
      <c r="H154" s="102"/>
      <c r="I154" s="102"/>
      <c r="J154" s="102"/>
      <c r="K154" s="102"/>
      <c r="L154" s="297"/>
      <c r="M154" s="102"/>
      <c r="N154" s="311" t="s">
        <v>818</v>
      </c>
      <c r="O154" s="313"/>
      <c r="P154" s="313"/>
      <c r="Q154" s="313"/>
      <c r="R154" s="343"/>
      <c r="S154" s="343"/>
      <c r="T154" s="343"/>
      <c r="U154" s="343"/>
      <c r="V154" s="312"/>
      <c r="W154" s="311" t="s">
        <v>819</v>
      </c>
      <c r="X154" s="314"/>
      <c r="Y154" s="314"/>
      <c r="Z154" s="314"/>
      <c r="AA154" s="314"/>
      <c r="AB154" s="314"/>
      <c r="AC154" s="314"/>
      <c r="AD154" s="314"/>
      <c r="AE154" s="314"/>
      <c r="AF154" s="314"/>
      <c r="AG154" s="314"/>
      <c r="AH154" s="314"/>
      <c r="AI154" s="314"/>
      <c r="AJ154" s="314"/>
      <c r="AK154" s="314"/>
      <c r="AL154" s="314"/>
      <c r="AM154" s="315"/>
      <c r="AN154" s="311" t="s">
        <v>479</v>
      </c>
      <c r="AO154" s="312"/>
      <c r="AP154" s="303"/>
      <c r="AQ154" s="102"/>
      <c r="AT154" s="102"/>
      <c r="AU154" s="102"/>
      <c r="AV154" s="102"/>
      <c r="AW154" s="102"/>
      <c r="AX154" s="304"/>
    </row>
    <row r="155" spans="1:52" s="100" customFormat="1" ht="12">
      <c r="A155" s="302"/>
      <c r="B155" s="345"/>
      <c r="C155" s="346"/>
      <c r="D155" s="102"/>
      <c r="E155" s="102"/>
      <c r="F155" s="102"/>
      <c r="G155" s="102"/>
      <c r="H155" s="102"/>
      <c r="I155" s="102"/>
      <c r="J155" s="102"/>
      <c r="K155" s="102"/>
      <c r="L155" s="297"/>
      <c r="M155" s="102"/>
      <c r="N155" s="316" t="s">
        <v>820</v>
      </c>
      <c r="O155" s="317"/>
      <c r="P155" s="317"/>
      <c r="Q155" s="317"/>
      <c r="R155" s="343"/>
      <c r="S155" s="343"/>
      <c r="T155" s="343"/>
      <c r="U155" s="343"/>
      <c r="V155" s="318"/>
      <c r="W155" s="316" t="s">
        <v>821</v>
      </c>
      <c r="X155" s="314"/>
      <c r="Y155" s="314"/>
      <c r="Z155" s="314"/>
      <c r="AA155" s="314"/>
      <c r="AB155" s="314"/>
      <c r="AC155" s="314"/>
      <c r="AD155" s="314"/>
      <c r="AE155" s="314"/>
      <c r="AF155" s="314"/>
      <c r="AG155" s="314"/>
      <c r="AH155" s="314"/>
      <c r="AI155" s="314"/>
      <c r="AJ155" s="314"/>
      <c r="AK155" s="314"/>
      <c r="AL155" s="314"/>
      <c r="AM155" s="315"/>
      <c r="AN155" s="311" t="s">
        <v>695</v>
      </c>
      <c r="AO155" s="312"/>
      <c r="AP155" s="303"/>
      <c r="AQ155" s="102"/>
      <c r="AT155" s="102"/>
      <c r="AU155" s="102"/>
      <c r="AV155" s="102"/>
      <c r="AW155" s="102"/>
      <c r="AX155" s="304"/>
    </row>
    <row r="156" spans="1:52" s="100" customFormat="1" ht="12">
      <c r="A156" s="302"/>
      <c r="B156" s="345"/>
      <c r="C156" s="346"/>
      <c r="D156" s="102"/>
      <c r="E156" s="102"/>
      <c r="F156" s="102"/>
      <c r="G156" s="102"/>
      <c r="H156" s="102"/>
      <c r="I156" s="102"/>
      <c r="J156" s="102"/>
      <c r="K156" s="102"/>
      <c r="L156" s="297"/>
      <c r="M156" s="102"/>
      <c r="N156" s="316" t="s">
        <v>822</v>
      </c>
      <c r="O156" s="317"/>
      <c r="P156" s="317"/>
      <c r="Q156" s="317"/>
      <c r="R156" s="343"/>
      <c r="S156" s="343"/>
      <c r="T156" s="343"/>
      <c r="U156" s="343"/>
      <c r="V156" s="318"/>
      <c r="W156" s="316" t="s">
        <v>823</v>
      </c>
      <c r="X156" s="314"/>
      <c r="Y156" s="314"/>
      <c r="Z156" s="314"/>
      <c r="AA156" s="314"/>
      <c r="AB156" s="314"/>
      <c r="AC156" s="314"/>
      <c r="AD156" s="314"/>
      <c r="AE156" s="314"/>
      <c r="AF156" s="314"/>
      <c r="AG156" s="314"/>
      <c r="AH156" s="314"/>
      <c r="AI156" s="314"/>
      <c r="AJ156" s="314"/>
      <c r="AK156" s="314"/>
      <c r="AL156" s="314"/>
      <c r="AM156" s="315"/>
      <c r="AN156" s="311" t="s">
        <v>695</v>
      </c>
      <c r="AO156" s="312"/>
      <c r="AP156" s="303"/>
      <c r="AQ156" s="102"/>
      <c r="AT156" s="102"/>
      <c r="AU156" s="102"/>
      <c r="AV156" s="102"/>
      <c r="AW156" s="102"/>
      <c r="AX156" s="304"/>
    </row>
    <row r="157" spans="1:52" s="100" customFormat="1" ht="12">
      <c r="A157" s="302"/>
      <c r="B157" s="345"/>
      <c r="C157" s="346"/>
      <c r="D157" s="102"/>
      <c r="E157" s="102"/>
      <c r="F157" s="102"/>
      <c r="G157" s="102"/>
      <c r="H157" s="102"/>
      <c r="I157" s="102"/>
      <c r="J157" s="102"/>
      <c r="K157" s="102"/>
      <c r="L157" s="297"/>
      <c r="M157" s="102"/>
      <c r="N157" s="316" t="s">
        <v>824</v>
      </c>
      <c r="O157" s="317"/>
      <c r="P157" s="317"/>
      <c r="Q157" s="317"/>
      <c r="R157" s="343"/>
      <c r="S157" s="343"/>
      <c r="T157" s="343"/>
      <c r="U157" s="343"/>
      <c r="V157" s="318"/>
      <c r="W157" s="316" t="s">
        <v>825</v>
      </c>
      <c r="X157" s="314"/>
      <c r="Y157" s="314"/>
      <c r="Z157" s="314"/>
      <c r="AA157" s="314"/>
      <c r="AB157" s="314"/>
      <c r="AC157" s="314"/>
      <c r="AD157" s="314"/>
      <c r="AE157" s="314"/>
      <c r="AF157" s="314"/>
      <c r="AG157" s="314"/>
      <c r="AH157" s="314"/>
      <c r="AI157" s="314"/>
      <c r="AJ157" s="314"/>
      <c r="AK157" s="314"/>
      <c r="AL157" s="314"/>
      <c r="AM157" s="315"/>
      <c r="AN157" s="311" t="s">
        <v>695</v>
      </c>
      <c r="AO157" s="312"/>
      <c r="AP157" s="303"/>
      <c r="AQ157" s="102"/>
      <c r="AT157" s="102"/>
      <c r="AU157" s="102"/>
      <c r="AV157" s="102"/>
      <c r="AW157" s="102"/>
      <c r="AX157" s="304"/>
    </row>
    <row r="158" spans="1:52" s="100" customFormat="1" ht="12">
      <c r="A158" s="302"/>
      <c r="B158" s="345"/>
      <c r="C158" s="346"/>
      <c r="D158" s="102"/>
      <c r="E158" s="102"/>
      <c r="F158" s="102"/>
      <c r="G158" s="102"/>
      <c r="H158" s="102"/>
      <c r="I158" s="102"/>
      <c r="J158" s="102"/>
      <c r="K158" s="102"/>
      <c r="L158" s="297"/>
      <c r="M158" s="102"/>
      <c r="N158" s="316" t="s">
        <v>826</v>
      </c>
      <c r="O158" s="317"/>
      <c r="P158" s="317"/>
      <c r="Q158" s="317"/>
      <c r="R158" s="343"/>
      <c r="S158" s="343"/>
      <c r="T158" s="343"/>
      <c r="U158" s="343"/>
      <c r="V158" s="318"/>
      <c r="W158" s="316" t="s">
        <v>827</v>
      </c>
      <c r="X158" s="314"/>
      <c r="Y158" s="314"/>
      <c r="Z158" s="314"/>
      <c r="AA158" s="314"/>
      <c r="AB158" s="314"/>
      <c r="AC158" s="314"/>
      <c r="AD158" s="314"/>
      <c r="AE158" s="314"/>
      <c r="AF158" s="314"/>
      <c r="AG158" s="314"/>
      <c r="AH158" s="314"/>
      <c r="AI158" s="314"/>
      <c r="AJ158" s="314"/>
      <c r="AK158" s="314"/>
      <c r="AL158" s="314"/>
      <c r="AM158" s="315"/>
      <c r="AN158" s="311" t="s">
        <v>695</v>
      </c>
      <c r="AO158" s="312"/>
      <c r="AP158" s="303"/>
      <c r="AQ158" s="102"/>
      <c r="AT158" s="102"/>
      <c r="AU158" s="102"/>
      <c r="AV158" s="102"/>
      <c r="AW158" s="102"/>
      <c r="AX158" s="304"/>
    </row>
    <row r="159" spans="1:52" s="100" customFormat="1" ht="12">
      <c r="A159" s="302"/>
      <c r="B159" s="345"/>
      <c r="C159" s="346"/>
      <c r="D159" s="102"/>
      <c r="E159" s="102"/>
      <c r="F159" s="102"/>
      <c r="G159" s="102"/>
      <c r="H159" s="102"/>
      <c r="I159" s="102"/>
      <c r="J159" s="102"/>
      <c r="K159" s="102"/>
      <c r="L159" s="297"/>
      <c r="M159" s="102"/>
      <c r="N159" s="316" t="s">
        <v>828</v>
      </c>
      <c r="O159" s="317"/>
      <c r="P159" s="317"/>
      <c r="Q159" s="317"/>
      <c r="R159" s="343"/>
      <c r="S159" s="343"/>
      <c r="T159" s="343"/>
      <c r="U159" s="343"/>
      <c r="V159" s="318"/>
      <c r="W159" s="316" t="s">
        <v>829</v>
      </c>
      <c r="X159" s="314"/>
      <c r="Y159" s="314"/>
      <c r="Z159" s="314"/>
      <c r="AA159" s="314"/>
      <c r="AB159" s="314"/>
      <c r="AC159" s="314"/>
      <c r="AD159" s="314"/>
      <c r="AE159" s="314"/>
      <c r="AF159" s="314"/>
      <c r="AG159" s="314"/>
      <c r="AH159" s="314"/>
      <c r="AI159" s="314"/>
      <c r="AJ159" s="314"/>
      <c r="AK159" s="314"/>
      <c r="AL159" s="314"/>
      <c r="AM159" s="315"/>
      <c r="AN159" s="311" t="s">
        <v>695</v>
      </c>
      <c r="AO159" s="312"/>
      <c r="AP159" s="303"/>
      <c r="AQ159" s="102"/>
      <c r="AT159" s="102"/>
      <c r="AU159" s="102"/>
      <c r="AV159" s="102"/>
      <c r="AW159" s="102"/>
      <c r="AX159" s="304"/>
    </row>
    <row r="160" spans="1:52" s="100" customFormat="1" ht="12">
      <c r="A160" s="302"/>
      <c r="B160" s="345"/>
      <c r="C160" s="346"/>
      <c r="D160" s="102"/>
      <c r="E160" s="102"/>
      <c r="F160" s="102"/>
      <c r="G160" s="102"/>
      <c r="H160" s="102"/>
      <c r="I160" s="102"/>
      <c r="J160" s="102"/>
      <c r="K160" s="102"/>
      <c r="L160" s="297"/>
      <c r="M160" s="102"/>
      <c r="N160" s="316" t="s">
        <v>830</v>
      </c>
      <c r="O160" s="317"/>
      <c r="P160" s="317"/>
      <c r="Q160" s="317"/>
      <c r="R160" s="343"/>
      <c r="S160" s="343"/>
      <c r="T160" s="343"/>
      <c r="U160" s="343"/>
      <c r="V160" s="318"/>
      <c r="W160" s="316" t="s">
        <v>831</v>
      </c>
      <c r="X160" s="314"/>
      <c r="Y160" s="314"/>
      <c r="Z160" s="314"/>
      <c r="AA160" s="314"/>
      <c r="AB160" s="314"/>
      <c r="AC160" s="314"/>
      <c r="AD160" s="314"/>
      <c r="AE160" s="314"/>
      <c r="AF160" s="314"/>
      <c r="AG160" s="314"/>
      <c r="AH160" s="314"/>
      <c r="AI160" s="314"/>
      <c r="AJ160" s="314"/>
      <c r="AK160" s="314"/>
      <c r="AL160" s="314"/>
      <c r="AM160" s="315"/>
      <c r="AN160" s="311" t="s">
        <v>695</v>
      </c>
      <c r="AO160" s="312"/>
      <c r="AP160" s="303"/>
      <c r="AQ160" s="102"/>
      <c r="AT160" s="102"/>
      <c r="AU160" s="102"/>
      <c r="AV160" s="102"/>
      <c r="AW160" s="102"/>
      <c r="AX160" s="304"/>
    </row>
    <row r="161" spans="1:50" s="100" customFormat="1" ht="12">
      <c r="A161" s="302"/>
      <c r="B161" s="345"/>
      <c r="C161" s="346"/>
      <c r="D161" s="102"/>
      <c r="E161" s="102"/>
      <c r="F161" s="102"/>
      <c r="G161" s="102"/>
      <c r="H161" s="102"/>
      <c r="I161" s="102"/>
      <c r="J161" s="102"/>
      <c r="K161" s="102"/>
      <c r="L161" s="297"/>
      <c r="M161" s="102"/>
      <c r="N161" s="316" t="s">
        <v>832</v>
      </c>
      <c r="O161" s="317"/>
      <c r="P161" s="317"/>
      <c r="Q161" s="317"/>
      <c r="R161" s="343"/>
      <c r="S161" s="343"/>
      <c r="T161" s="343"/>
      <c r="U161" s="343"/>
      <c r="V161" s="318"/>
      <c r="W161" s="316" t="s">
        <v>833</v>
      </c>
      <c r="X161" s="314"/>
      <c r="Y161" s="314"/>
      <c r="Z161" s="314"/>
      <c r="AA161" s="314"/>
      <c r="AB161" s="314"/>
      <c r="AC161" s="314"/>
      <c r="AD161" s="314"/>
      <c r="AE161" s="314"/>
      <c r="AF161" s="314"/>
      <c r="AG161" s="314"/>
      <c r="AH161" s="314"/>
      <c r="AI161" s="314"/>
      <c r="AJ161" s="314"/>
      <c r="AK161" s="314"/>
      <c r="AL161" s="314"/>
      <c r="AM161" s="315"/>
      <c r="AN161" s="311" t="s">
        <v>695</v>
      </c>
      <c r="AO161" s="312"/>
      <c r="AP161" s="303"/>
      <c r="AQ161" s="102"/>
      <c r="AT161" s="102"/>
      <c r="AU161" s="102"/>
      <c r="AV161" s="102"/>
      <c r="AW161" s="102"/>
      <c r="AX161" s="304"/>
    </row>
    <row r="162" spans="1:50" s="100" customFormat="1" ht="12">
      <c r="A162" s="319"/>
      <c r="B162" s="345"/>
      <c r="C162" s="346"/>
      <c r="D162" s="102"/>
      <c r="E162" s="102"/>
      <c r="F162" s="102"/>
      <c r="G162" s="102"/>
      <c r="H162" s="102"/>
      <c r="I162" s="102"/>
      <c r="J162" s="102"/>
      <c r="K162" s="102"/>
      <c r="L162" s="297"/>
      <c r="M162" s="102"/>
      <c r="N162" s="299"/>
      <c r="O162" s="299"/>
      <c r="P162" s="102"/>
      <c r="Q162" s="320"/>
      <c r="R162" s="320"/>
      <c r="S162" s="320"/>
      <c r="T162" s="97"/>
      <c r="U162" s="97"/>
      <c r="V162" s="97"/>
      <c r="W162" s="97"/>
      <c r="X162" s="320"/>
      <c r="Y162" s="102"/>
      <c r="Z162" s="321"/>
      <c r="AA162" s="321"/>
      <c r="AB162" s="321"/>
      <c r="AC162" s="321"/>
      <c r="AD162" s="321"/>
      <c r="AE162" s="321"/>
      <c r="AF162" s="321"/>
      <c r="AG162" s="321"/>
      <c r="AH162" s="321"/>
      <c r="AI162" s="321"/>
      <c r="AJ162" s="321"/>
      <c r="AK162" s="321"/>
      <c r="AL162" s="321"/>
      <c r="AM162" s="321"/>
      <c r="AN162" s="321"/>
      <c r="AO162" s="321"/>
      <c r="AP162" s="303"/>
      <c r="AQ162" s="102"/>
      <c r="AR162" s="102"/>
      <c r="AS162" s="102"/>
      <c r="AT162" s="102"/>
      <c r="AU162" s="102"/>
      <c r="AV162" s="102"/>
      <c r="AW162" s="102"/>
      <c r="AX162" s="304"/>
    </row>
    <row r="163" spans="1:50" s="79" customFormat="1" ht="12">
      <c r="A163" s="298"/>
      <c r="B163" s="345"/>
      <c r="C163" s="346"/>
      <c r="D163" s="15"/>
      <c r="E163" s="15"/>
      <c r="F163" s="15"/>
      <c r="G163" s="15"/>
      <c r="H163" s="15"/>
      <c r="I163" s="15"/>
      <c r="J163" s="15"/>
      <c r="K163" s="15"/>
      <c r="L163" s="297"/>
      <c r="M163" s="15"/>
      <c r="N163" s="15" t="s">
        <v>698</v>
      </c>
      <c r="O163" s="15"/>
      <c r="P163" s="15"/>
      <c r="Q163" s="15"/>
      <c r="R163" s="15"/>
      <c r="S163" s="15"/>
      <c r="T163" s="15"/>
      <c r="U163" s="15"/>
      <c r="V163" s="15"/>
      <c r="W163" s="15"/>
      <c r="X163" s="15"/>
      <c r="Y163" s="95"/>
      <c r="Z163" s="15"/>
      <c r="AA163" s="15"/>
      <c r="AB163" s="15"/>
      <c r="AC163" s="15"/>
      <c r="AD163" s="15"/>
      <c r="AE163" s="15"/>
      <c r="AF163" s="15"/>
      <c r="AG163" s="15"/>
      <c r="AH163" s="15"/>
      <c r="AI163" s="15"/>
      <c r="AJ163" s="15"/>
      <c r="AK163" s="15"/>
      <c r="AL163" s="15"/>
      <c r="AM163" s="15"/>
      <c r="AN163" s="15"/>
      <c r="AO163" s="15"/>
      <c r="AP163" s="73"/>
      <c r="AQ163" s="15"/>
      <c r="AR163" s="15"/>
      <c r="AS163" s="15"/>
      <c r="AT163" s="15"/>
      <c r="AU163" s="15"/>
      <c r="AV163" s="15"/>
      <c r="AW163" s="15"/>
      <c r="AX163" s="74"/>
    </row>
    <row r="164" spans="1:50" s="79" customFormat="1" ht="12">
      <c r="A164" s="298"/>
      <c r="B164" s="345"/>
      <c r="C164" s="346"/>
      <c r="D164" s="15"/>
      <c r="E164" s="15"/>
      <c r="F164" s="15"/>
      <c r="G164" s="15"/>
      <c r="H164" s="15"/>
      <c r="I164" s="15"/>
      <c r="J164" s="15"/>
      <c r="K164" s="15"/>
      <c r="L164" s="297"/>
      <c r="M164" s="15"/>
      <c r="N164" s="15"/>
      <c r="O164" s="15" t="s">
        <v>834</v>
      </c>
      <c r="P164" s="15"/>
      <c r="Q164" s="15"/>
      <c r="R164" s="15"/>
      <c r="S164" s="15"/>
      <c r="T164" s="15"/>
      <c r="U164" s="15"/>
      <c r="V164" s="15"/>
      <c r="W164" s="15"/>
      <c r="X164" s="15"/>
      <c r="Y164" s="95"/>
      <c r="Z164" s="15"/>
      <c r="AA164" s="15"/>
      <c r="AB164" s="15"/>
      <c r="AC164" s="15"/>
      <c r="AD164" s="15"/>
      <c r="AE164" s="15"/>
      <c r="AF164" s="15"/>
      <c r="AG164" s="15"/>
      <c r="AH164" s="15"/>
      <c r="AI164" s="15"/>
      <c r="AJ164" s="15"/>
      <c r="AK164" s="15"/>
      <c r="AL164" s="15"/>
      <c r="AM164" s="15"/>
      <c r="AN164" s="15"/>
      <c r="AO164" s="15"/>
      <c r="AP164" s="73"/>
      <c r="AQ164" s="15"/>
      <c r="AR164" s="15"/>
      <c r="AS164" s="15"/>
      <c r="AT164" s="15"/>
      <c r="AU164" s="15"/>
      <c r="AV164" s="15"/>
      <c r="AW164" s="15"/>
      <c r="AX164" s="74"/>
    </row>
    <row r="165" spans="1:50" s="79" customFormat="1" ht="12">
      <c r="A165" s="298"/>
      <c r="B165" s="345"/>
      <c r="C165" s="346"/>
      <c r="D165" s="15"/>
      <c r="E165" s="15"/>
      <c r="F165" s="15"/>
      <c r="G165" s="15"/>
      <c r="H165" s="15"/>
      <c r="I165" s="15"/>
      <c r="J165" s="15"/>
      <c r="K165" s="15"/>
      <c r="L165" s="297"/>
      <c r="N165" s="79" t="s">
        <v>479</v>
      </c>
      <c r="P165" s="79" t="s">
        <v>835</v>
      </c>
      <c r="R165" s="15"/>
      <c r="U165" s="79" t="s">
        <v>836</v>
      </c>
      <c r="W165" s="102" t="s">
        <v>984</v>
      </c>
      <c r="AC165" s="15" t="s">
        <v>837</v>
      </c>
      <c r="AG165" s="283"/>
      <c r="AK165" s="15"/>
      <c r="AL165" s="15"/>
      <c r="AM165" s="15"/>
      <c r="AN165" s="15"/>
      <c r="AO165" s="15"/>
      <c r="AP165" s="73"/>
      <c r="AQ165" s="15"/>
      <c r="AR165" s="15"/>
      <c r="AS165" s="15"/>
      <c r="AT165" s="15"/>
      <c r="AU165" s="15"/>
      <c r="AV165" s="15"/>
      <c r="AW165" s="15"/>
      <c r="AX165" s="74"/>
    </row>
    <row r="166" spans="1:50" s="79" customFormat="1" ht="12">
      <c r="A166" s="298"/>
      <c r="B166" s="345"/>
      <c r="C166" s="346"/>
      <c r="D166" s="15"/>
      <c r="E166" s="15"/>
      <c r="F166" s="15"/>
      <c r="G166" s="15"/>
      <c r="H166" s="15"/>
      <c r="I166" s="15"/>
      <c r="J166" s="15"/>
      <c r="K166" s="15"/>
      <c r="L166" s="297"/>
      <c r="N166" s="79" t="s">
        <v>479</v>
      </c>
      <c r="P166" s="79" t="s">
        <v>838</v>
      </c>
      <c r="R166" s="15"/>
      <c r="U166" s="79" t="s">
        <v>839</v>
      </c>
      <c r="W166" s="102" t="s">
        <v>984</v>
      </c>
      <c r="AC166" s="15" t="s">
        <v>840</v>
      </c>
      <c r="AG166" s="283"/>
      <c r="AK166" s="15"/>
      <c r="AL166" s="15"/>
      <c r="AM166" s="15"/>
      <c r="AN166" s="15"/>
      <c r="AO166" s="15"/>
      <c r="AP166" s="73"/>
      <c r="AQ166" s="15"/>
      <c r="AR166" s="15"/>
      <c r="AS166" s="15"/>
      <c r="AT166" s="15"/>
      <c r="AU166" s="15"/>
      <c r="AV166" s="15"/>
      <c r="AW166" s="15"/>
      <c r="AX166" s="74"/>
    </row>
    <row r="167" spans="1:50" s="79" customFormat="1" ht="12">
      <c r="A167" s="298"/>
      <c r="B167" s="345"/>
      <c r="C167" s="346"/>
      <c r="D167" s="15"/>
      <c r="E167" s="15"/>
      <c r="F167" s="15"/>
      <c r="G167" s="15"/>
      <c r="H167" s="15"/>
      <c r="I167" s="15"/>
      <c r="J167" s="15"/>
      <c r="K167" s="15"/>
      <c r="L167" s="297"/>
      <c r="N167" s="79" t="s">
        <v>479</v>
      </c>
      <c r="P167" s="79" t="s">
        <v>835</v>
      </c>
      <c r="R167" s="15"/>
      <c r="U167" s="79" t="s">
        <v>841</v>
      </c>
      <c r="W167" s="102" t="s">
        <v>984</v>
      </c>
      <c r="AC167" s="15" t="s">
        <v>842</v>
      </c>
      <c r="AG167" s="283"/>
      <c r="AK167" s="15"/>
      <c r="AL167" s="15"/>
      <c r="AM167" s="15"/>
      <c r="AN167" s="15"/>
      <c r="AO167" s="15"/>
      <c r="AP167" s="73"/>
      <c r="AQ167" s="15"/>
      <c r="AR167" s="15"/>
      <c r="AS167" s="15"/>
      <c r="AT167" s="15"/>
      <c r="AU167" s="15"/>
      <c r="AV167" s="15"/>
      <c r="AW167" s="15"/>
      <c r="AX167" s="74"/>
    </row>
    <row r="168" spans="1:50" s="79" customFormat="1" ht="12">
      <c r="A168" s="298"/>
      <c r="B168" s="345"/>
      <c r="C168" s="346"/>
      <c r="D168" s="15"/>
      <c r="E168" s="15"/>
      <c r="F168" s="15"/>
      <c r="G168" s="15"/>
      <c r="H168" s="15"/>
      <c r="I168" s="15"/>
      <c r="J168" s="15"/>
      <c r="K168" s="15"/>
      <c r="L168" s="297"/>
      <c r="N168" s="79" t="s">
        <v>797</v>
      </c>
      <c r="P168" s="79" t="s">
        <v>843</v>
      </c>
      <c r="R168" s="15"/>
      <c r="U168" s="79" t="s">
        <v>844</v>
      </c>
      <c r="W168" s="102" t="s">
        <v>984</v>
      </c>
      <c r="AC168" s="15" t="s">
        <v>845</v>
      </c>
      <c r="AG168" s="283"/>
      <c r="AK168" s="15"/>
      <c r="AL168" s="15"/>
      <c r="AM168" s="15"/>
      <c r="AN168" s="15"/>
      <c r="AO168" s="15"/>
      <c r="AP168" s="73"/>
      <c r="AQ168" s="15"/>
      <c r="AR168" s="15"/>
      <c r="AS168" s="15"/>
      <c r="AT168" s="15"/>
      <c r="AU168" s="15"/>
      <c r="AV168" s="15"/>
      <c r="AW168" s="15"/>
      <c r="AX168" s="74"/>
    </row>
    <row r="169" spans="1:50" s="79" customFormat="1" ht="12">
      <c r="A169" s="298"/>
      <c r="B169" s="345"/>
      <c r="C169" s="346"/>
      <c r="D169" s="15"/>
      <c r="E169" s="15"/>
      <c r="F169" s="15"/>
      <c r="G169" s="15"/>
      <c r="H169" s="15"/>
      <c r="I169" s="15"/>
      <c r="J169" s="15"/>
      <c r="K169" s="15"/>
      <c r="L169" s="297"/>
      <c r="R169" s="15"/>
      <c r="W169" s="15"/>
      <c r="AC169" s="15" t="s">
        <v>846</v>
      </c>
      <c r="AG169" s="283"/>
      <c r="AK169" s="15"/>
      <c r="AL169" s="15"/>
      <c r="AM169" s="15"/>
      <c r="AN169" s="15"/>
      <c r="AO169" s="15"/>
      <c r="AP169" s="73"/>
      <c r="AQ169" s="15"/>
      <c r="AR169" s="15"/>
      <c r="AS169" s="15"/>
      <c r="AT169" s="15"/>
      <c r="AU169" s="15"/>
      <c r="AV169" s="15"/>
      <c r="AW169" s="15"/>
      <c r="AX169" s="74"/>
    </row>
    <row r="170" spans="1:50" s="79" customFormat="1" ht="12">
      <c r="A170" s="298"/>
      <c r="B170" s="345"/>
      <c r="C170" s="346"/>
      <c r="D170" s="15"/>
      <c r="E170" s="15"/>
      <c r="F170" s="15"/>
      <c r="G170" s="15"/>
      <c r="H170" s="15"/>
      <c r="I170" s="15"/>
      <c r="J170" s="15"/>
      <c r="K170" s="15"/>
      <c r="L170" s="297"/>
      <c r="R170" s="15"/>
      <c r="W170" s="15"/>
      <c r="AC170" s="15" t="s">
        <v>804</v>
      </c>
      <c r="AG170" s="283"/>
      <c r="AK170" s="15"/>
      <c r="AL170" s="15"/>
      <c r="AM170" s="15"/>
      <c r="AN170" s="15"/>
      <c r="AO170" s="15"/>
      <c r="AP170" s="73"/>
      <c r="AQ170" s="15"/>
      <c r="AR170" s="15"/>
      <c r="AS170" s="15"/>
      <c r="AT170" s="15"/>
      <c r="AU170" s="15"/>
      <c r="AV170" s="15"/>
      <c r="AW170" s="15"/>
      <c r="AX170" s="74"/>
    </row>
    <row r="171" spans="1:50" s="79" customFormat="1" ht="12">
      <c r="A171" s="298"/>
      <c r="B171" s="345"/>
      <c r="C171" s="346"/>
      <c r="D171" s="15"/>
      <c r="E171" s="15"/>
      <c r="F171" s="15"/>
      <c r="G171" s="15"/>
      <c r="H171" s="15"/>
      <c r="I171" s="15"/>
      <c r="J171" s="15"/>
      <c r="K171" s="15"/>
      <c r="L171" s="297"/>
      <c r="N171" s="79" t="s">
        <v>797</v>
      </c>
      <c r="P171" s="79" t="s">
        <v>798</v>
      </c>
      <c r="R171" s="15"/>
      <c r="U171" s="79" t="s">
        <v>799</v>
      </c>
      <c r="W171" s="102" t="s">
        <v>984</v>
      </c>
      <c r="AC171" s="15" t="s">
        <v>800</v>
      </c>
      <c r="AG171" s="283"/>
      <c r="AK171" s="15"/>
      <c r="AL171" s="15"/>
      <c r="AM171" s="15"/>
      <c r="AN171" s="15"/>
      <c r="AO171" s="15"/>
      <c r="AP171" s="73"/>
      <c r="AQ171" s="15"/>
      <c r="AR171" s="15"/>
      <c r="AS171" s="15"/>
      <c r="AT171" s="15"/>
      <c r="AU171" s="15"/>
      <c r="AV171" s="15"/>
      <c r="AW171" s="15"/>
      <c r="AX171" s="74"/>
    </row>
    <row r="172" spans="1:50" s="79" customFormat="1" ht="12">
      <c r="A172" s="298"/>
      <c r="B172" s="345"/>
      <c r="C172" s="346"/>
      <c r="D172" s="15"/>
      <c r="E172" s="15"/>
      <c r="F172" s="15"/>
      <c r="G172" s="15"/>
      <c r="H172" s="15"/>
      <c r="I172" s="15"/>
      <c r="J172" s="15"/>
      <c r="K172" s="15"/>
      <c r="L172" s="297"/>
      <c r="R172" s="15"/>
      <c r="W172" s="15"/>
      <c r="AC172" s="15" t="s">
        <v>801</v>
      </c>
      <c r="AG172" s="283"/>
      <c r="AK172" s="15"/>
      <c r="AL172" s="15"/>
      <c r="AM172" s="15"/>
      <c r="AN172" s="15"/>
      <c r="AO172" s="15"/>
      <c r="AP172" s="73"/>
      <c r="AQ172" s="15"/>
      <c r="AR172" s="15"/>
      <c r="AS172" s="15"/>
      <c r="AT172" s="15"/>
      <c r="AU172" s="15"/>
      <c r="AV172" s="15"/>
      <c r="AW172" s="15"/>
      <c r="AX172" s="74"/>
    </row>
    <row r="173" spans="1:50" s="79" customFormat="1" ht="12">
      <c r="A173" s="298"/>
      <c r="B173" s="345"/>
      <c r="C173" s="346"/>
      <c r="D173" s="15"/>
      <c r="E173" s="15"/>
      <c r="F173" s="15"/>
      <c r="G173" s="15"/>
      <c r="H173" s="15"/>
      <c r="I173" s="15"/>
      <c r="J173" s="15"/>
      <c r="K173" s="15"/>
      <c r="L173" s="297"/>
      <c r="R173" s="15"/>
      <c r="W173" s="15"/>
      <c r="Y173" s="15"/>
      <c r="AG173" s="283"/>
      <c r="AK173" s="15"/>
      <c r="AL173" s="15"/>
      <c r="AM173" s="15"/>
      <c r="AN173" s="15"/>
      <c r="AO173" s="15"/>
      <c r="AP173" s="73"/>
      <c r="AQ173" s="15"/>
      <c r="AR173" s="15"/>
      <c r="AS173" s="15"/>
      <c r="AT173" s="15"/>
      <c r="AU173" s="15"/>
      <c r="AV173" s="15"/>
      <c r="AW173" s="15"/>
      <c r="AX173" s="74"/>
    </row>
    <row r="174" spans="1:50" s="79" customFormat="1" ht="12">
      <c r="A174" s="298"/>
      <c r="B174" s="345"/>
      <c r="C174" s="346"/>
      <c r="D174" s="15"/>
      <c r="E174" s="15"/>
      <c r="F174" s="15"/>
      <c r="G174" s="15"/>
      <c r="H174" s="15"/>
      <c r="I174" s="15"/>
      <c r="J174" s="15"/>
      <c r="K174" s="15"/>
      <c r="L174" s="297"/>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73"/>
      <c r="AQ174" s="15"/>
      <c r="AR174" s="15"/>
      <c r="AS174" s="15"/>
      <c r="AT174" s="15"/>
      <c r="AU174" s="15"/>
      <c r="AV174" s="15"/>
      <c r="AW174" s="15"/>
      <c r="AX174" s="74"/>
    </row>
    <row r="175" spans="1:50" s="79" customFormat="1" ht="12">
      <c r="A175" s="298"/>
      <c r="B175" s="345"/>
      <c r="C175" s="346"/>
      <c r="D175" s="15"/>
      <c r="E175" s="15"/>
      <c r="F175" s="15"/>
      <c r="G175" s="15"/>
      <c r="H175" s="15"/>
      <c r="I175" s="15"/>
      <c r="J175" s="15"/>
      <c r="K175" s="15"/>
      <c r="L175" s="297" t="s">
        <v>847</v>
      </c>
      <c r="M175" s="79" t="s">
        <v>1286</v>
      </c>
      <c r="N175" s="15"/>
      <c r="O175" s="9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73"/>
      <c r="AQ175" s="15"/>
      <c r="AR175" s="15"/>
      <c r="AS175" s="15"/>
      <c r="AT175" s="15"/>
      <c r="AU175" s="15"/>
      <c r="AV175" s="15"/>
      <c r="AW175" s="15"/>
      <c r="AX175" s="74"/>
    </row>
    <row r="176" spans="1:50" s="79" customFormat="1" ht="12">
      <c r="A176" s="298"/>
      <c r="B176" s="345"/>
      <c r="C176" s="346"/>
      <c r="D176" s="15"/>
      <c r="E176" s="15"/>
      <c r="F176" s="15"/>
      <c r="G176" s="15"/>
      <c r="H176" s="15"/>
      <c r="I176" s="15"/>
      <c r="J176" s="15"/>
      <c r="K176" s="15"/>
      <c r="L176" s="297"/>
      <c r="M176" s="293"/>
      <c r="N176" s="15"/>
      <c r="O176" s="9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73"/>
      <c r="AQ176" s="15"/>
      <c r="AR176" s="15"/>
      <c r="AS176" s="15"/>
      <c r="AT176" s="15"/>
      <c r="AU176" s="15"/>
      <c r="AV176" s="15"/>
      <c r="AW176" s="15"/>
      <c r="AX176" s="74"/>
    </row>
    <row r="177" spans="1:52" s="79" customFormat="1" ht="12">
      <c r="A177" s="298"/>
      <c r="B177" s="350"/>
      <c r="C177" s="351"/>
      <c r="D177" s="102" t="s">
        <v>1274</v>
      </c>
      <c r="E177" s="15"/>
      <c r="F177" s="15"/>
      <c r="G177" s="15"/>
      <c r="H177" s="15"/>
      <c r="I177" s="15"/>
      <c r="J177" s="15"/>
      <c r="K177" s="15"/>
      <c r="L177" s="297"/>
      <c r="M177" s="293" t="s">
        <v>705</v>
      </c>
      <c r="N177" s="15" t="s">
        <v>1276</v>
      </c>
      <c r="O177" s="95"/>
      <c r="P177" s="15"/>
      <c r="Q177" s="15"/>
      <c r="R177" s="322"/>
      <c r="S177" s="322"/>
      <c r="T177" s="322"/>
      <c r="U177" s="322"/>
      <c r="V177" s="322"/>
      <c r="W177" s="322"/>
      <c r="X177" s="322"/>
      <c r="Y177" s="322"/>
      <c r="Z177" s="322"/>
      <c r="AA177" s="322"/>
      <c r="AB177" s="322"/>
      <c r="AC177" s="322"/>
      <c r="AD177" s="322"/>
      <c r="AE177" s="322"/>
      <c r="AF177" s="322"/>
      <c r="AG177" s="322"/>
      <c r="AH177" s="322"/>
      <c r="AI177" s="322"/>
      <c r="AJ177" s="322"/>
      <c r="AK177" s="322"/>
      <c r="AL177" s="322"/>
      <c r="AM177" s="322"/>
      <c r="AN177" s="15"/>
      <c r="AO177" s="15"/>
      <c r="AP177" s="73"/>
      <c r="AQ177" s="102" t="s">
        <v>1277</v>
      </c>
      <c r="AR177" s="15"/>
      <c r="AS177" s="15"/>
      <c r="AT177" s="15"/>
      <c r="AU177" s="15"/>
      <c r="AV177" s="15"/>
      <c r="AW177" s="15"/>
      <c r="AX177" s="74"/>
    </row>
    <row r="178" spans="1:52" s="79" customFormat="1" ht="12">
      <c r="A178" s="298"/>
      <c r="B178" s="350"/>
      <c r="C178" s="351"/>
      <c r="D178" s="15"/>
      <c r="E178" s="15"/>
      <c r="F178" s="15"/>
      <c r="G178" s="15"/>
      <c r="H178" s="15"/>
      <c r="I178" s="15"/>
      <c r="J178" s="15"/>
      <c r="K178" s="15"/>
      <c r="L178" s="297"/>
      <c r="M178" s="293"/>
      <c r="N178" s="15" t="s">
        <v>680</v>
      </c>
      <c r="O178" s="95"/>
      <c r="P178" s="15"/>
      <c r="Q178" s="15"/>
      <c r="R178" s="322"/>
      <c r="S178" s="322"/>
      <c r="T178" s="322"/>
      <c r="U178" s="322"/>
      <c r="V178" s="322"/>
      <c r="W178" s="322"/>
      <c r="X178" s="322"/>
      <c r="Y178" s="322"/>
      <c r="Z178" s="322"/>
      <c r="AA178" s="322"/>
      <c r="AB178" s="322"/>
      <c r="AC178" s="322"/>
      <c r="AD178" s="322"/>
      <c r="AE178" s="322"/>
      <c r="AF178" s="322"/>
      <c r="AG178" s="322"/>
      <c r="AH178" s="322"/>
      <c r="AI178" s="322"/>
      <c r="AJ178" s="322"/>
      <c r="AK178" s="322"/>
      <c r="AL178" s="322"/>
      <c r="AM178" s="322"/>
      <c r="AN178" s="15"/>
      <c r="AO178" s="15"/>
      <c r="AP178" s="73"/>
      <c r="AQ178" s="15"/>
      <c r="AR178" s="15"/>
      <c r="AS178" s="15"/>
      <c r="AT178" s="15"/>
      <c r="AU178" s="15"/>
      <c r="AV178" s="15"/>
      <c r="AW178" s="15"/>
      <c r="AX178" s="74"/>
    </row>
    <row r="179" spans="1:52" s="79" customFormat="1" ht="12">
      <c r="A179" s="298"/>
      <c r="B179" s="350"/>
      <c r="C179" s="351"/>
      <c r="D179" s="15"/>
      <c r="E179" s="15"/>
      <c r="F179" s="15"/>
      <c r="G179" s="15"/>
      <c r="H179" s="15"/>
      <c r="I179" s="15"/>
      <c r="J179" s="15"/>
      <c r="K179" s="15"/>
      <c r="L179" s="297"/>
      <c r="M179" s="293"/>
      <c r="N179" s="15" t="s">
        <v>866</v>
      </c>
      <c r="O179" s="95"/>
      <c r="P179" s="15"/>
      <c r="Q179" s="15"/>
      <c r="R179" s="322"/>
      <c r="S179" s="322"/>
      <c r="T179" s="322"/>
      <c r="U179" s="322"/>
      <c r="V179" s="322"/>
      <c r="W179" s="322"/>
      <c r="X179" s="322"/>
      <c r="Y179" s="322"/>
      <c r="Z179" s="322"/>
      <c r="AA179" s="322"/>
      <c r="AB179" s="322"/>
      <c r="AC179" s="322"/>
      <c r="AD179" s="322"/>
      <c r="AE179" s="322"/>
      <c r="AF179" s="322"/>
      <c r="AG179" s="322"/>
      <c r="AH179" s="322"/>
      <c r="AI179" s="322"/>
      <c r="AJ179" s="322"/>
      <c r="AK179" s="322"/>
      <c r="AL179" s="322"/>
      <c r="AM179" s="322"/>
      <c r="AN179" s="15"/>
      <c r="AO179" s="15"/>
      <c r="AP179" s="73"/>
      <c r="AQ179" s="15"/>
      <c r="AR179" s="15"/>
      <c r="AS179" s="15"/>
      <c r="AT179" s="15"/>
      <c r="AU179" s="15"/>
      <c r="AV179" s="15"/>
      <c r="AW179" s="15"/>
      <c r="AX179" s="74"/>
    </row>
    <row r="180" spans="1:52" s="79" customFormat="1" ht="12">
      <c r="A180" s="298"/>
      <c r="B180" s="350"/>
      <c r="C180" s="351"/>
      <c r="D180" s="15"/>
      <c r="E180" s="15"/>
      <c r="F180" s="15"/>
      <c r="G180" s="15"/>
      <c r="H180" s="15"/>
      <c r="I180" s="15"/>
      <c r="J180" s="15"/>
      <c r="K180" s="15"/>
      <c r="L180" s="297"/>
      <c r="M180" s="293"/>
      <c r="N180" s="15"/>
      <c r="O180" s="95"/>
      <c r="P180" s="15"/>
      <c r="Q180" s="15"/>
      <c r="R180" s="322"/>
      <c r="S180" s="322"/>
      <c r="T180" s="322"/>
      <c r="U180" s="322"/>
      <c r="V180" s="322"/>
      <c r="W180" s="322"/>
      <c r="X180" s="322"/>
      <c r="Y180" s="322"/>
      <c r="Z180" s="322"/>
      <c r="AA180" s="322"/>
      <c r="AB180" s="322"/>
      <c r="AC180" s="322"/>
      <c r="AD180" s="322"/>
      <c r="AE180" s="322"/>
      <c r="AF180" s="322"/>
      <c r="AG180" s="322"/>
      <c r="AH180" s="322"/>
      <c r="AI180" s="322"/>
      <c r="AJ180" s="322"/>
      <c r="AK180" s="322"/>
      <c r="AL180" s="322"/>
      <c r="AM180" s="322"/>
      <c r="AN180" s="15"/>
      <c r="AO180" s="15"/>
      <c r="AP180" s="73"/>
      <c r="AQ180" s="15"/>
      <c r="AR180" s="15"/>
      <c r="AS180" s="15"/>
      <c r="AT180" s="15"/>
      <c r="AU180" s="15"/>
      <c r="AV180" s="15"/>
      <c r="AW180" s="15"/>
      <c r="AX180" s="74"/>
    </row>
    <row r="181" spans="1:52" s="100" customFormat="1" ht="12">
      <c r="A181" s="302"/>
      <c r="B181" s="350"/>
      <c r="C181" s="351"/>
      <c r="D181" s="102"/>
      <c r="E181" s="102"/>
      <c r="F181" s="102"/>
      <c r="G181" s="102"/>
      <c r="H181" s="102"/>
      <c r="I181" s="102"/>
      <c r="J181" s="102"/>
      <c r="K181" s="102"/>
      <c r="L181" s="297"/>
      <c r="M181" s="102"/>
      <c r="N181" s="305" t="s">
        <v>707</v>
      </c>
      <c r="O181" s="307"/>
      <c r="P181" s="307"/>
      <c r="Q181" s="307"/>
      <c r="R181" s="307"/>
      <c r="S181" s="307"/>
      <c r="T181" s="307"/>
      <c r="U181" s="307"/>
      <c r="V181" s="307"/>
      <c r="W181" s="308" t="s">
        <v>691</v>
      </c>
      <c r="X181" s="309"/>
      <c r="Y181" s="309"/>
      <c r="Z181" s="307"/>
      <c r="AA181" s="307"/>
      <c r="AB181" s="307"/>
      <c r="AC181" s="307"/>
      <c r="AD181" s="307"/>
      <c r="AE181" s="307"/>
      <c r="AF181" s="307"/>
      <c r="AG181" s="307"/>
      <c r="AH181" s="307"/>
      <c r="AI181" s="307"/>
      <c r="AJ181" s="307"/>
      <c r="AK181" s="307"/>
      <c r="AL181" s="307"/>
      <c r="AM181" s="306"/>
      <c r="AN181" s="305" t="s">
        <v>603</v>
      </c>
      <c r="AO181" s="306"/>
      <c r="AP181" s="303"/>
      <c r="AQ181" s="102"/>
      <c r="AT181" s="102"/>
      <c r="AU181" s="102"/>
      <c r="AV181" s="102"/>
      <c r="AW181" s="102"/>
      <c r="AX181" s="304"/>
      <c r="AZ181" s="310"/>
    </row>
    <row r="182" spans="1:52" s="100" customFormat="1" ht="12">
      <c r="A182" s="302"/>
      <c r="B182" s="350"/>
      <c r="C182" s="351"/>
      <c r="D182" s="102"/>
      <c r="E182" s="102"/>
      <c r="F182" s="102"/>
      <c r="G182" s="102"/>
      <c r="H182" s="102"/>
      <c r="I182" s="102"/>
      <c r="J182" s="102"/>
      <c r="K182" s="102"/>
      <c r="L182" s="297"/>
      <c r="M182" s="102"/>
      <c r="N182" s="311" t="s">
        <v>428</v>
      </c>
      <c r="O182" s="313"/>
      <c r="P182" s="313"/>
      <c r="Q182" s="313"/>
      <c r="R182" s="349"/>
      <c r="S182" s="349"/>
      <c r="T182" s="349"/>
      <c r="U182" s="349"/>
      <c r="V182" s="312"/>
      <c r="W182" s="311" t="s">
        <v>1278</v>
      </c>
      <c r="X182" s="314"/>
      <c r="Y182" s="314"/>
      <c r="Z182" s="314"/>
      <c r="AA182" s="314"/>
      <c r="AB182" s="314"/>
      <c r="AC182" s="314"/>
      <c r="AD182" s="314"/>
      <c r="AE182" s="314"/>
      <c r="AF182" s="314"/>
      <c r="AG182" s="314"/>
      <c r="AH182" s="314"/>
      <c r="AI182" s="314"/>
      <c r="AJ182" s="314"/>
      <c r="AK182" s="314"/>
      <c r="AL182" s="314"/>
      <c r="AM182" s="315"/>
      <c r="AN182" s="311" t="s">
        <v>479</v>
      </c>
      <c r="AO182" s="312"/>
      <c r="AP182" s="303"/>
      <c r="AQ182" s="102"/>
      <c r="AT182" s="102"/>
      <c r="AU182" s="102"/>
      <c r="AV182" s="102"/>
      <c r="AW182" s="102"/>
      <c r="AX182" s="304"/>
    </row>
    <row r="183" spans="1:52" s="100" customFormat="1" ht="12">
      <c r="A183" s="302"/>
      <c r="B183" s="350"/>
      <c r="C183" s="351"/>
      <c r="D183" s="102"/>
      <c r="E183" s="102"/>
      <c r="F183" s="102"/>
      <c r="G183" s="102"/>
      <c r="H183" s="102"/>
      <c r="I183" s="102"/>
      <c r="J183" s="102"/>
      <c r="K183" s="102"/>
      <c r="L183" s="297"/>
      <c r="M183" s="102"/>
      <c r="N183" s="311" t="s">
        <v>793</v>
      </c>
      <c r="O183" s="313"/>
      <c r="P183" s="313"/>
      <c r="Q183" s="313"/>
      <c r="R183" s="349"/>
      <c r="S183" s="349"/>
      <c r="T183" s="349"/>
      <c r="U183" s="349"/>
      <c r="V183" s="312"/>
      <c r="W183" s="311" t="s">
        <v>1287</v>
      </c>
      <c r="X183" s="314"/>
      <c r="Y183" s="314"/>
      <c r="Z183" s="314"/>
      <c r="AA183" s="314"/>
      <c r="AB183" s="314"/>
      <c r="AC183" s="314"/>
      <c r="AD183" s="314"/>
      <c r="AE183" s="314"/>
      <c r="AF183" s="314"/>
      <c r="AG183" s="314"/>
      <c r="AH183" s="314"/>
      <c r="AI183" s="314"/>
      <c r="AJ183" s="314"/>
      <c r="AK183" s="314"/>
      <c r="AL183" s="314"/>
      <c r="AM183" s="315"/>
      <c r="AN183" s="311" t="s">
        <v>479</v>
      </c>
      <c r="AO183" s="312"/>
      <c r="AP183" s="303"/>
      <c r="AQ183" s="102"/>
      <c r="AT183" s="102"/>
      <c r="AU183" s="102"/>
      <c r="AV183" s="102"/>
      <c r="AW183" s="102"/>
      <c r="AX183" s="304"/>
    </row>
    <row r="184" spans="1:52" s="100" customFormat="1" ht="12">
      <c r="A184" s="302"/>
      <c r="B184" s="350"/>
      <c r="C184" s="351"/>
      <c r="D184" s="102"/>
      <c r="E184" s="102"/>
      <c r="F184" s="102"/>
      <c r="G184" s="102"/>
      <c r="H184" s="102"/>
      <c r="I184" s="102"/>
      <c r="J184" s="102"/>
      <c r="K184" s="102"/>
      <c r="L184" s="297"/>
      <c r="M184" s="102"/>
      <c r="N184" s="316" t="s">
        <v>820</v>
      </c>
      <c r="O184" s="313"/>
      <c r="P184" s="313"/>
      <c r="Q184" s="313"/>
      <c r="R184" s="349"/>
      <c r="S184" s="349"/>
      <c r="T184" s="349"/>
      <c r="U184" s="349"/>
      <c r="V184" s="312"/>
      <c r="W184" s="316" t="s">
        <v>1288</v>
      </c>
      <c r="X184" s="314"/>
      <c r="Y184" s="314"/>
      <c r="Z184" s="314"/>
      <c r="AA184" s="314"/>
      <c r="AB184" s="314"/>
      <c r="AC184" s="314"/>
      <c r="AD184" s="314"/>
      <c r="AE184" s="314"/>
      <c r="AF184" s="314"/>
      <c r="AG184" s="314"/>
      <c r="AH184" s="314"/>
      <c r="AI184" s="314"/>
      <c r="AJ184" s="314"/>
      <c r="AK184" s="314"/>
      <c r="AL184" s="314"/>
      <c r="AM184" s="315"/>
      <c r="AN184" s="311" t="s">
        <v>479</v>
      </c>
      <c r="AO184" s="312"/>
      <c r="AP184" s="303"/>
      <c r="AQ184" s="102"/>
      <c r="AT184" s="102"/>
      <c r="AU184" s="102"/>
      <c r="AV184" s="102"/>
      <c r="AW184" s="102"/>
      <c r="AX184" s="304"/>
    </row>
    <row r="185" spans="1:52" s="100" customFormat="1" ht="12">
      <c r="A185" s="302"/>
      <c r="B185" s="350"/>
      <c r="C185" s="351"/>
      <c r="D185" s="102"/>
      <c r="E185" s="102"/>
      <c r="F185" s="102"/>
      <c r="G185" s="102"/>
      <c r="H185" s="102"/>
      <c r="I185" s="102"/>
      <c r="J185" s="102"/>
      <c r="K185" s="102"/>
      <c r="L185" s="297"/>
      <c r="M185" s="102"/>
      <c r="N185" s="316" t="s">
        <v>822</v>
      </c>
      <c r="O185" s="313"/>
      <c r="P185" s="313"/>
      <c r="Q185" s="313"/>
      <c r="R185" s="349"/>
      <c r="S185" s="349"/>
      <c r="T185" s="349"/>
      <c r="U185" s="349"/>
      <c r="V185" s="312"/>
      <c r="W185" s="316" t="s">
        <v>1289</v>
      </c>
      <c r="X185" s="314"/>
      <c r="Y185" s="314"/>
      <c r="Z185" s="314"/>
      <c r="AA185" s="314"/>
      <c r="AB185" s="314"/>
      <c r="AC185" s="314"/>
      <c r="AD185" s="314"/>
      <c r="AE185" s="314"/>
      <c r="AF185" s="314"/>
      <c r="AG185" s="314"/>
      <c r="AH185" s="314"/>
      <c r="AI185" s="314"/>
      <c r="AJ185" s="314"/>
      <c r="AK185" s="314"/>
      <c r="AL185" s="314"/>
      <c r="AM185" s="315"/>
      <c r="AN185" s="311" t="s">
        <v>479</v>
      </c>
      <c r="AO185" s="312"/>
      <c r="AP185" s="303"/>
      <c r="AQ185" s="102"/>
      <c r="AT185" s="102"/>
      <c r="AU185" s="102"/>
      <c r="AV185" s="102"/>
      <c r="AW185" s="102"/>
      <c r="AX185" s="304"/>
    </row>
    <row r="186" spans="1:52" s="100" customFormat="1" ht="12">
      <c r="A186" s="302"/>
      <c r="B186" s="350"/>
      <c r="C186" s="351"/>
      <c r="D186" s="102"/>
      <c r="E186" s="102"/>
      <c r="F186" s="102"/>
      <c r="G186" s="102"/>
      <c r="H186" s="102"/>
      <c r="I186" s="102"/>
      <c r="J186" s="102"/>
      <c r="K186" s="102"/>
      <c r="L186" s="297"/>
      <c r="M186" s="102"/>
      <c r="N186" s="316" t="s">
        <v>824</v>
      </c>
      <c r="O186" s="313"/>
      <c r="P186" s="313"/>
      <c r="Q186" s="313"/>
      <c r="R186" s="349"/>
      <c r="S186" s="349"/>
      <c r="T186" s="349"/>
      <c r="U186" s="349"/>
      <c r="V186" s="312"/>
      <c r="W186" s="316" t="s">
        <v>1290</v>
      </c>
      <c r="X186" s="314"/>
      <c r="Y186" s="314"/>
      <c r="Z186" s="314"/>
      <c r="AA186" s="314"/>
      <c r="AB186" s="314"/>
      <c r="AC186" s="314"/>
      <c r="AD186" s="314"/>
      <c r="AE186" s="314"/>
      <c r="AF186" s="314"/>
      <c r="AG186" s="314"/>
      <c r="AH186" s="314"/>
      <c r="AI186" s="314"/>
      <c r="AJ186" s="314"/>
      <c r="AK186" s="314"/>
      <c r="AL186" s="314"/>
      <c r="AM186" s="315"/>
      <c r="AN186" s="311" t="s">
        <v>479</v>
      </c>
      <c r="AO186" s="312"/>
      <c r="AP186" s="303"/>
      <c r="AQ186" s="102"/>
      <c r="AT186" s="102"/>
      <c r="AU186" s="102"/>
      <c r="AV186" s="102"/>
      <c r="AW186" s="102"/>
      <c r="AX186" s="304"/>
    </row>
    <row r="187" spans="1:52" s="100" customFormat="1" ht="12">
      <c r="A187" s="302"/>
      <c r="B187" s="350"/>
      <c r="C187" s="351"/>
      <c r="D187" s="102"/>
      <c r="E187" s="102"/>
      <c r="F187" s="102"/>
      <c r="G187" s="102"/>
      <c r="H187" s="102"/>
      <c r="I187" s="102"/>
      <c r="J187" s="102"/>
      <c r="K187" s="102"/>
      <c r="L187" s="297"/>
      <c r="M187" s="102"/>
      <c r="N187" s="316" t="s">
        <v>826</v>
      </c>
      <c r="O187" s="313"/>
      <c r="P187" s="313"/>
      <c r="Q187" s="313"/>
      <c r="R187" s="349"/>
      <c r="S187" s="349"/>
      <c r="T187" s="349"/>
      <c r="U187" s="349"/>
      <c r="V187" s="312"/>
      <c r="W187" s="316" t="s">
        <v>1291</v>
      </c>
      <c r="X187" s="314"/>
      <c r="Y187" s="314"/>
      <c r="Z187" s="314"/>
      <c r="AA187" s="314"/>
      <c r="AB187" s="314"/>
      <c r="AC187" s="314"/>
      <c r="AD187" s="314"/>
      <c r="AE187" s="314"/>
      <c r="AF187" s="314"/>
      <c r="AG187" s="314"/>
      <c r="AH187" s="314"/>
      <c r="AI187" s="314"/>
      <c r="AJ187" s="314"/>
      <c r="AK187" s="314"/>
      <c r="AL187" s="314"/>
      <c r="AM187" s="315"/>
      <c r="AN187" s="311" t="s">
        <v>479</v>
      </c>
      <c r="AO187" s="312"/>
      <c r="AP187" s="303"/>
      <c r="AQ187" s="102"/>
      <c r="AT187" s="102"/>
      <c r="AU187" s="102"/>
      <c r="AV187" s="102"/>
      <c r="AW187" s="102"/>
      <c r="AX187" s="304"/>
    </row>
    <row r="188" spans="1:52" s="100" customFormat="1" ht="12">
      <c r="A188" s="302"/>
      <c r="B188" s="350"/>
      <c r="C188" s="351"/>
      <c r="D188" s="102"/>
      <c r="E188" s="102"/>
      <c r="F188" s="102"/>
      <c r="G188" s="102"/>
      <c r="H188" s="102"/>
      <c r="I188" s="102"/>
      <c r="J188" s="102"/>
      <c r="K188" s="102"/>
      <c r="L188" s="297"/>
      <c r="M188" s="102"/>
      <c r="N188" s="316" t="s">
        <v>828</v>
      </c>
      <c r="O188" s="313"/>
      <c r="P188" s="313"/>
      <c r="Q188" s="313"/>
      <c r="R188" s="349"/>
      <c r="S188" s="349"/>
      <c r="T188" s="349"/>
      <c r="U188" s="349"/>
      <c r="V188" s="312"/>
      <c r="W188" s="316" t="s">
        <v>1292</v>
      </c>
      <c r="X188" s="314"/>
      <c r="Y188" s="314"/>
      <c r="Z188" s="314"/>
      <c r="AA188" s="314"/>
      <c r="AB188" s="314"/>
      <c r="AC188" s="314"/>
      <c r="AD188" s="314"/>
      <c r="AE188" s="314"/>
      <c r="AF188" s="314"/>
      <c r="AG188" s="314"/>
      <c r="AH188" s="314"/>
      <c r="AI188" s="314"/>
      <c r="AJ188" s="314"/>
      <c r="AK188" s="314"/>
      <c r="AL188" s="314"/>
      <c r="AM188" s="315"/>
      <c r="AN188" s="311" t="s">
        <v>479</v>
      </c>
      <c r="AO188" s="312"/>
      <c r="AP188" s="303"/>
      <c r="AQ188" s="102"/>
      <c r="AT188" s="102"/>
      <c r="AU188" s="102"/>
      <c r="AV188" s="102"/>
      <c r="AW188" s="102"/>
      <c r="AX188" s="304"/>
    </row>
    <row r="189" spans="1:52" s="100" customFormat="1" ht="12">
      <c r="A189" s="302"/>
      <c r="B189" s="350"/>
      <c r="C189" s="351"/>
      <c r="D189" s="102"/>
      <c r="E189" s="102"/>
      <c r="F189" s="102"/>
      <c r="G189" s="102"/>
      <c r="H189" s="102"/>
      <c r="I189" s="102"/>
      <c r="J189" s="102"/>
      <c r="K189" s="102"/>
      <c r="L189" s="297"/>
      <c r="M189" s="102"/>
      <c r="N189" s="316" t="s">
        <v>830</v>
      </c>
      <c r="O189" s="313"/>
      <c r="P189" s="313"/>
      <c r="Q189" s="313"/>
      <c r="R189" s="349"/>
      <c r="S189" s="349"/>
      <c r="T189" s="349"/>
      <c r="U189" s="349"/>
      <c r="V189" s="312"/>
      <c r="W189" s="316" t="s">
        <v>1293</v>
      </c>
      <c r="X189" s="314"/>
      <c r="Y189" s="314"/>
      <c r="Z189" s="314"/>
      <c r="AA189" s="314"/>
      <c r="AB189" s="314"/>
      <c r="AC189" s="314"/>
      <c r="AD189" s="314"/>
      <c r="AE189" s="314"/>
      <c r="AF189" s="314"/>
      <c r="AG189" s="314"/>
      <c r="AH189" s="314"/>
      <c r="AI189" s="314"/>
      <c r="AJ189" s="314"/>
      <c r="AK189" s="314"/>
      <c r="AL189" s="314"/>
      <c r="AM189" s="315"/>
      <c r="AN189" s="311" t="s">
        <v>479</v>
      </c>
      <c r="AO189" s="312"/>
      <c r="AP189" s="303"/>
      <c r="AQ189" s="102"/>
      <c r="AT189" s="102"/>
      <c r="AU189" s="102"/>
      <c r="AV189" s="102"/>
      <c r="AW189" s="102"/>
      <c r="AX189" s="304"/>
    </row>
    <row r="190" spans="1:52" s="100" customFormat="1" ht="12">
      <c r="A190" s="319"/>
      <c r="B190" s="350"/>
      <c r="C190" s="351"/>
      <c r="D190" s="102"/>
      <c r="E190" s="102"/>
      <c r="F190" s="102"/>
      <c r="G190" s="102"/>
      <c r="H190" s="102"/>
      <c r="I190" s="102"/>
      <c r="J190" s="102"/>
      <c r="K190" s="102"/>
      <c r="L190" s="297"/>
      <c r="M190" s="102"/>
      <c r="N190" s="299"/>
      <c r="O190" s="299"/>
      <c r="P190" s="299"/>
      <c r="Q190" s="299"/>
      <c r="R190" s="299"/>
      <c r="S190" s="299"/>
      <c r="T190" s="97"/>
      <c r="U190" s="97"/>
      <c r="V190" s="97"/>
      <c r="W190" s="97"/>
      <c r="X190" s="299"/>
      <c r="Y190" s="299"/>
      <c r="Z190" s="321"/>
      <c r="AA190" s="321"/>
      <c r="AB190" s="321"/>
      <c r="AC190" s="321"/>
      <c r="AD190" s="321"/>
      <c r="AE190" s="321"/>
      <c r="AF190" s="321"/>
      <c r="AG190" s="321"/>
      <c r="AH190" s="321"/>
      <c r="AI190" s="321"/>
      <c r="AJ190" s="321"/>
      <c r="AK190" s="321"/>
      <c r="AL190" s="321"/>
      <c r="AM190" s="321"/>
      <c r="AN190" s="321"/>
      <c r="AO190" s="321"/>
      <c r="AP190" s="303"/>
      <c r="AQ190" s="102"/>
      <c r="AR190" s="102"/>
      <c r="AS190" s="102"/>
      <c r="AT190" s="102"/>
      <c r="AU190" s="102"/>
      <c r="AV190" s="102"/>
      <c r="AW190" s="102"/>
      <c r="AX190" s="304"/>
    </row>
    <row r="191" spans="1:52" s="100" customFormat="1" ht="12">
      <c r="A191" s="319"/>
      <c r="B191" s="350"/>
      <c r="C191" s="351"/>
      <c r="D191" s="102"/>
      <c r="E191" s="102"/>
      <c r="F191" s="102"/>
      <c r="G191" s="102"/>
      <c r="H191" s="102"/>
      <c r="I191" s="102"/>
      <c r="J191" s="102"/>
      <c r="K191" s="102"/>
      <c r="L191" s="297"/>
      <c r="M191" s="102"/>
      <c r="N191" s="299"/>
      <c r="O191" s="299"/>
      <c r="P191" s="299"/>
      <c r="Q191" s="299"/>
      <c r="R191" s="299"/>
      <c r="S191" s="299"/>
      <c r="T191" s="97"/>
      <c r="U191" s="97"/>
      <c r="V191" s="97"/>
      <c r="W191" s="97"/>
      <c r="X191" s="299"/>
      <c r="Y191" s="299"/>
      <c r="Z191" s="321"/>
      <c r="AA191" s="321"/>
      <c r="AB191" s="321"/>
      <c r="AC191" s="321"/>
      <c r="AD191" s="321"/>
      <c r="AE191" s="321"/>
      <c r="AF191" s="321"/>
      <c r="AG191" s="321"/>
      <c r="AH191" s="321"/>
      <c r="AI191" s="321"/>
      <c r="AJ191" s="321"/>
      <c r="AK191" s="321"/>
      <c r="AL191" s="321"/>
      <c r="AM191" s="321"/>
      <c r="AN191" s="321"/>
      <c r="AO191" s="321"/>
      <c r="AP191" s="303"/>
      <c r="AQ191" s="102"/>
      <c r="AR191" s="102"/>
      <c r="AS191" s="102"/>
      <c r="AT191" s="102"/>
      <c r="AU191" s="102"/>
      <c r="AV191" s="102"/>
      <c r="AW191" s="102"/>
      <c r="AX191" s="304"/>
    </row>
    <row r="192" spans="1:52" s="100" customFormat="1" ht="12">
      <c r="A192" s="319"/>
      <c r="B192" s="350"/>
      <c r="C192" s="351"/>
      <c r="D192" s="102"/>
      <c r="E192" s="102"/>
      <c r="F192" s="102"/>
      <c r="G192" s="102"/>
      <c r="H192" s="102"/>
      <c r="I192" s="102"/>
      <c r="J192" s="102"/>
      <c r="K192" s="102"/>
      <c r="L192" s="297"/>
      <c r="M192" s="293" t="s">
        <v>872</v>
      </c>
      <c r="N192" s="15" t="s">
        <v>1294</v>
      </c>
      <c r="O192" s="299"/>
      <c r="P192" s="299"/>
      <c r="Q192" s="299"/>
      <c r="R192" s="299"/>
      <c r="S192" s="299"/>
      <c r="T192" s="97"/>
      <c r="U192" s="97"/>
      <c r="V192" s="97"/>
      <c r="W192" s="97"/>
      <c r="X192" s="299"/>
      <c r="Y192" s="299"/>
      <c r="Z192" s="321"/>
      <c r="AA192" s="321"/>
      <c r="AB192" s="321"/>
      <c r="AC192" s="321"/>
      <c r="AD192" s="321"/>
      <c r="AE192" s="321"/>
      <c r="AF192" s="321"/>
      <c r="AG192" s="321"/>
      <c r="AH192" s="321"/>
      <c r="AI192" s="321"/>
      <c r="AJ192" s="321"/>
      <c r="AK192" s="321"/>
      <c r="AL192" s="321"/>
      <c r="AM192" s="321"/>
      <c r="AN192" s="321"/>
      <c r="AO192" s="321"/>
      <c r="AP192" s="303"/>
      <c r="AQ192" s="102"/>
      <c r="AR192" s="102"/>
      <c r="AS192" s="102"/>
      <c r="AT192" s="102"/>
      <c r="AU192" s="102"/>
      <c r="AV192" s="102"/>
      <c r="AW192" s="102"/>
      <c r="AX192" s="304"/>
    </row>
    <row r="193" spans="1:50" s="100" customFormat="1" ht="12">
      <c r="A193" s="319"/>
      <c r="B193" s="350"/>
      <c r="C193" s="351"/>
      <c r="D193" s="102"/>
      <c r="E193" s="102"/>
      <c r="F193" s="102"/>
      <c r="G193" s="102"/>
      <c r="H193" s="102"/>
      <c r="I193" s="102"/>
      <c r="J193" s="102"/>
      <c r="K193" s="102"/>
      <c r="L193" s="297"/>
      <c r="M193" s="102"/>
      <c r="N193" s="299"/>
      <c r="O193" s="299"/>
      <c r="P193" s="299"/>
      <c r="Q193" s="299"/>
      <c r="R193" s="299"/>
      <c r="S193" s="299"/>
      <c r="T193" s="97"/>
      <c r="U193" s="97"/>
      <c r="V193" s="97"/>
      <c r="W193" s="97"/>
      <c r="X193" s="299"/>
      <c r="Y193" s="299"/>
      <c r="Z193" s="321"/>
      <c r="AA193" s="321"/>
      <c r="AB193" s="321"/>
      <c r="AC193" s="321"/>
      <c r="AD193" s="321"/>
      <c r="AE193" s="321"/>
      <c r="AF193" s="321"/>
      <c r="AG193" s="321"/>
      <c r="AH193" s="321"/>
      <c r="AI193" s="321"/>
      <c r="AJ193" s="321"/>
      <c r="AK193" s="321"/>
      <c r="AL193" s="321"/>
      <c r="AM193" s="321"/>
      <c r="AN193" s="321"/>
      <c r="AO193" s="321"/>
      <c r="AP193" s="303"/>
      <c r="AQ193" s="102"/>
      <c r="AR193" s="102"/>
      <c r="AS193" s="102"/>
      <c r="AT193" s="102"/>
      <c r="AU193" s="102"/>
      <c r="AV193" s="102"/>
      <c r="AW193" s="102"/>
      <c r="AX193" s="304"/>
    </row>
    <row r="194" spans="1:50" s="100" customFormat="1" ht="12">
      <c r="A194" s="319"/>
      <c r="B194" s="350"/>
      <c r="C194" s="351"/>
      <c r="D194" s="102"/>
      <c r="E194" s="102"/>
      <c r="F194" s="102"/>
      <c r="G194" s="102"/>
      <c r="H194" s="102"/>
      <c r="I194" s="102"/>
      <c r="J194" s="102"/>
      <c r="K194" s="102"/>
      <c r="L194" s="297"/>
      <c r="M194" s="102"/>
      <c r="N194" s="290" t="s">
        <v>865</v>
      </c>
      <c r="O194" s="15" t="s">
        <v>848</v>
      </c>
      <c r="P194" s="299"/>
      <c r="Q194" s="299"/>
      <c r="R194" s="299"/>
      <c r="S194" s="299"/>
      <c r="T194" s="97"/>
      <c r="U194" s="97"/>
      <c r="V194" s="97"/>
      <c r="W194" s="97"/>
      <c r="X194" s="299"/>
      <c r="Y194" s="299"/>
      <c r="Z194" s="321"/>
      <c r="AA194" s="321"/>
      <c r="AB194" s="321"/>
      <c r="AC194" s="321"/>
      <c r="AD194" s="321"/>
      <c r="AE194" s="321"/>
      <c r="AF194" s="321"/>
      <c r="AG194" s="321"/>
      <c r="AH194" s="321"/>
      <c r="AI194" s="321"/>
      <c r="AJ194" s="321"/>
      <c r="AK194" s="321"/>
      <c r="AL194" s="321"/>
      <c r="AM194" s="321"/>
      <c r="AN194" s="321"/>
      <c r="AO194" s="321"/>
      <c r="AP194" s="303"/>
      <c r="AQ194" s="102"/>
      <c r="AR194" s="102"/>
      <c r="AS194" s="102"/>
      <c r="AT194" s="102"/>
      <c r="AU194" s="102"/>
      <c r="AV194" s="102"/>
      <c r="AW194" s="102"/>
      <c r="AX194" s="304"/>
    </row>
    <row r="195" spans="1:50" s="79" customFormat="1" ht="12">
      <c r="A195" s="298"/>
      <c r="B195" s="345"/>
      <c r="C195" s="346"/>
      <c r="D195" s="15"/>
      <c r="E195" s="15"/>
      <c r="F195" s="15"/>
      <c r="G195" s="15"/>
      <c r="H195" s="15"/>
      <c r="I195" s="15"/>
      <c r="J195" s="15"/>
      <c r="K195" s="15"/>
      <c r="L195" s="297"/>
      <c r="O195" s="95" t="s">
        <v>856</v>
      </c>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73"/>
      <c r="AQ195" s="15"/>
      <c r="AR195" s="15"/>
      <c r="AS195" s="15"/>
      <c r="AT195" s="15"/>
      <c r="AU195" s="15"/>
      <c r="AV195" s="15"/>
      <c r="AW195" s="15"/>
      <c r="AX195" s="74"/>
    </row>
    <row r="196" spans="1:50" s="79" customFormat="1" ht="12">
      <c r="A196" s="298"/>
      <c r="B196" s="345"/>
      <c r="C196" s="346"/>
      <c r="D196" s="15"/>
      <c r="E196" s="15"/>
      <c r="F196" s="15"/>
      <c r="G196" s="15"/>
      <c r="H196" s="15"/>
      <c r="I196" s="15"/>
      <c r="J196" s="15"/>
      <c r="K196" s="15"/>
      <c r="L196" s="297"/>
      <c r="M196" s="293"/>
      <c r="O196" s="9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73"/>
      <c r="AQ196" s="15"/>
      <c r="AR196" s="15"/>
      <c r="AS196" s="15"/>
      <c r="AT196" s="15"/>
      <c r="AU196" s="15"/>
      <c r="AV196" s="15"/>
      <c r="AW196" s="15"/>
      <c r="AX196" s="74"/>
    </row>
    <row r="197" spans="1:50" s="79" customFormat="1" ht="12">
      <c r="A197" s="298"/>
      <c r="B197" s="345"/>
      <c r="C197" s="346"/>
      <c r="D197" s="15"/>
      <c r="E197" s="15"/>
      <c r="F197" s="15"/>
      <c r="G197" s="15"/>
      <c r="H197" s="15"/>
      <c r="I197" s="15"/>
      <c r="J197" s="15"/>
      <c r="K197" s="15"/>
      <c r="L197" s="297"/>
      <c r="M197" s="293"/>
      <c r="N197" s="15"/>
      <c r="O197" s="9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73"/>
      <c r="AQ197" s="15"/>
      <c r="AR197" s="15"/>
      <c r="AS197" s="15"/>
      <c r="AT197" s="15"/>
      <c r="AU197" s="15"/>
      <c r="AV197" s="15"/>
      <c r="AW197" s="15"/>
      <c r="AX197" s="74"/>
    </row>
    <row r="198" spans="1:50" s="79" customFormat="1" ht="12">
      <c r="A198" s="298"/>
      <c r="B198" s="345"/>
      <c r="C198" s="346"/>
      <c r="D198" s="15"/>
      <c r="E198" s="15"/>
      <c r="F198" s="15"/>
      <c r="G198" s="15"/>
      <c r="H198" s="15"/>
      <c r="I198" s="15"/>
      <c r="J198" s="15"/>
      <c r="K198" s="15"/>
      <c r="L198" s="297"/>
      <c r="N198" s="293" t="s">
        <v>867</v>
      </c>
      <c r="O198" s="15" t="s">
        <v>723</v>
      </c>
      <c r="P198" s="9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73"/>
      <c r="AQ198" s="15"/>
      <c r="AR198" s="15"/>
      <c r="AS198" s="15"/>
      <c r="AT198" s="15"/>
      <c r="AU198" s="15"/>
      <c r="AV198" s="15"/>
      <c r="AW198" s="15"/>
      <c r="AX198" s="74"/>
    </row>
    <row r="199" spans="1:50" s="79" customFormat="1" ht="12">
      <c r="A199" s="298"/>
      <c r="B199" s="345"/>
      <c r="C199" s="346"/>
      <c r="D199" s="15"/>
      <c r="E199" s="15"/>
      <c r="F199" s="15"/>
      <c r="G199" s="15"/>
      <c r="H199" s="15"/>
      <c r="I199" s="15"/>
      <c r="J199" s="15"/>
      <c r="K199" s="15"/>
      <c r="L199" s="297"/>
      <c r="N199" s="293"/>
      <c r="O199" s="95" t="s">
        <v>857</v>
      </c>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73"/>
      <c r="AQ199" s="15"/>
      <c r="AR199" s="15"/>
      <c r="AS199" s="15"/>
      <c r="AT199" s="15"/>
      <c r="AU199" s="15"/>
      <c r="AV199" s="15"/>
      <c r="AW199" s="15"/>
      <c r="AX199" s="74"/>
    </row>
    <row r="200" spans="1:50" s="79" customFormat="1" ht="12">
      <c r="A200" s="298"/>
      <c r="B200" s="345"/>
      <c r="C200" s="346"/>
      <c r="D200" s="15"/>
      <c r="E200" s="15"/>
      <c r="F200" s="15"/>
      <c r="G200" s="15"/>
      <c r="H200" s="15"/>
      <c r="I200" s="15"/>
      <c r="J200" s="15"/>
      <c r="K200" s="15"/>
      <c r="L200" s="297"/>
      <c r="N200" s="293"/>
      <c r="O200" s="15"/>
      <c r="P200" s="9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73"/>
      <c r="AQ200" s="15"/>
      <c r="AR200" s="15"/>
      <c r="AS200" s="15"/>
      <c r="AT200" s="15"/>
      <c r="AU200" s="15"/>
      <c r="AV200" s="15"/>
      <c r="AW200" s="15"/>
      <c r="AX200" s="74"/>
    </row>
    <row r="201" spans="1:50" s="79" customFormat="1" ht="12">
      <c r="A201" s="298"/>
      <c r="B201" s="345"/>
      <c r="C201" s="346"/>
      <c r="D201" s="15"/>
      <c r="E201" s="15"/>
      <c r="F201" s="15"/>
      <c r="G201" s="15"/>
      <c r="H201" s="15"/>
      <c r="I201" s="15"/>
      <c r="J201" s="15"/>
      <c r="K201" s="15"/>
      <c r="L201" s="297"/>
      <c r="N201" s="293"/>
      <c r="O201" s="293" t="s">
        <v>868</v>
      </c>
      <c r="P201" s="299" t="s">
        <v>730</v>
      </c>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73"/>
      <c r="AQ201" s="15"/>
      <c r="AR201" s="15"/>
      <c r="AS201" s="15"/>
      <c r="AT201" s="15"/>
      <c r="AU201" s="15"/>
      <c r="AV201" s="15"/>
      <c r="AW201" s="15"/>
      <c r="AX201" s="74"/>
    </row>
    <row r="202" spans="1:50" s="79" customFormat="1" ht="12">
      <c r="A202" s="298"/>
      <c r="B202" s="345"/>
      <c r="C202" s="346"/>
      <c r="D202" s="15"/>
      <c r="E202" s="15"/>
      <c r="F202" s="15"/>
      <c r="G202" s="15"/>
      <c r="H202" s="15"/>
      <c r="I202" s="15"/>
      <c r="J202" s="15"/>
      <c r="K202" s="15"/>
      <c r="L202" s="297"/>
      <c r="N202" s="293"/>
      <c r="O202" s="15"/>
      <c r="P202" s="299" t="s">
        <v>731</v>
      </c>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73"/>
      <c r="AQ202" s="15"/>
      <c r="AR202" s="15"/>
      <c r="AS202" s="15"/>
      <c r="AT202" s="15"/>
      <c r="AU202" s="15"/>
      <c r="AV202" s="15"/>
      <c r="AW202" s="15"/>
      <c r="AX202" s="74"/>
    </row>
    <row r="203" spans="1:50" s="79" customFormat="1" ht="12">
      <c r="A203" s="298"/>
      <c r="B203" s="345"/>
      <c r="C203" s="346"/>
      <c r="D203" s="72"/>
      <c r="E203" s="15"/>
      <c r="F203" s="15"/>
      <c r="G203" s="15"/>
      <c r="H203" s="15"/>
      <c r="I203" s="15"/>
      <c r="J203" s="15"/>
      <c r="K203" s="73"/>
      <c r="L203" s="333"/>
      <c r="N203" s="15"/>
      <c r="P203" s="305" t="s">
        <v>732</v>
      </c>
      <c r="Q203" s="307"/>
      <c r="R203" s="307"/>
      <c r="S203" s="307"/>
      <c r="T203" s="307"/>
      <c r="U203" s="307"/>
      <c r="V203" s="307"/>
      <c r="W203" s="306"/>
      <c r="X203" s="308" t="s">
        <v>691</v>
      </c>
      <c r="Y203" s="309"/>
      <c r="Z203" s="309"/>
      <c r="AA203" s="307"/>
      <c r="AB203" s="307"/>
      <c r="AC203" s="307"/>
      <c r="AD203" s="307"/>
      <c r="AE203" s="307"/>
      <c r="AF203" s="307"/>
      <c r="AG203" s="307"/>
      <c r="AH203" s="307"/>
      <c r="AI203" s="307"/>
      <c r="AJ203" s="307"/>
      <c r="AK203" s="307"/>
      <c r="AL203" s="306"/>
      <c r="AM203" s="15"/>
      <c r="AN203" s="15"/>
      <c r="AO203" s="15"/>
      <c r="AP203" s="73"/>
      <c r="AQ203" s="15"/>
      <c r="AR203" s="15"/>
      <c r="AS203" s="15"/>
      <c r="AT203" s="15"/>
      <c r="AU203" s="15"/>
      <c r="AV203" s="15"/>
      <c r="AW203" s="15"/>
      <c r="AX203" s="74"/>
    </row>
    <row r="204" spans="1:50" s="79" customFormat="1" ht="12">
      <c r="A204" s="298"/>
      <c r="B204" s="345"/>
      <c r="C204" s="346"/>
      <c r="D204" s="72"/>
      <c r="E204" s="15"/>
      <c r="F204" s="15"/>
      <c r="G204" s="15"/>
      <c r="H204" s="15"/>
      <c r="I204" s="15"/>
      <c r="J204" s="15"/>
      <c r="K204" s="73"/>
      <c r="L204" s="333"/>
      <c r="N204" s="15"/>
      <c r="P204" s="316" t="s">
        <v>849</v>
      </c>
      <c r="Q204" s="317"/>
      <c r="R204" s="317"/>
      <c r="S204" s="317"/>
      <c r="T204" s="343"/>
      <c r="U204" s="343"/>
      <c r="V204" s="343"/>
      <c r="W204" s="344"/>
      <c r="X204" s="311" t="s">
        <v>858</v>
      </c>
      <c r="Y204" s="314"/>
      <c r="Z204" s="314"/>
      <c r="AA204" s="314"/>
      <c r="AB204" s="314"/>
      <c r="AC204" s="314"/>
      <c r="AD204" s="314"/>
      <c r="AE204" s="314"/>
      <c r="AF204" s="314"/>
      <c r="AG204" s="314"/>
      <c r="AH204" s="314"/>
      <c r="AI204" s="314"/>
      <c r="AJ204" s="314"/>
      <c r="AK204" s="314"/>
      <c r="AL204" s="315"/>
      <c r="AM204" s="15"/>
      <c r="AN204" s="15"/>
      <c r="AO204" s="15"/>
      <c r="AP204" s="73"/>
      <c r="AQ204" s="15"/>
      <c r="AR204" s="15"/>
      <c r="AS204" s="15"/>
      <c r="AT204" s="15"/>
      <c r="AU204" s="15"/>
      <c r="AV204" s="15"/>
      <c r="AW204" s="15"/>
      <c r="AX204" s="74"/>
    </row>
    <row r="205" spans="1:50" s="79" customFormat="1" ht="12">
      <c r="A205" s="298"/>
      <c r="B205" s="345"/>
      <c r="C205" s="346"/>
      <c r="D205" s="72"/>
      <c r="E205" s="15"/>
      <c r="F205" s="15"/>
      <c r="G205" s="15"/>
      <c r="H205" s="15"/>
      <c r="I205" s="15"/>
      <c r="J205" s="15"/>
      <c r="K205" s="73"/>
      <c r="L205" s="333"/>
      <c r="N205" s="15"/>
      <c r="P205" s="316" t="s">
        <v>850</v>
      </c>
      <c r="Q205" s="317"/>
      <c r="R205" s="317"/>
      <c r="S205" s="317"/>
      <c r="T205" s="343"/>
      <c r="U205" s="343"/>
      <c r="V205" s="343"/>
      <c r="W205" s="344"/>
      <c r="X205" s="311" t="s">
        <v>859</v>
      </c>
      <c r="Y205" s="314"/>
      <c r="Z205" s="314"/>
      <c r="AA205" s="314"/>
      <c r="AB205" s="314"/>
      <c r="AC205" s="314"/>
      <c r="AD205" s="314"/>
      <c r="AE205" s="314"/>
      <c r="AF205" s="314"/>
      <c r="AG205" s="314"/>
      <c r="AH205" s="314"/>
      <c r="AI205" s="314"/>
      <c r="AJ205" s="314"/>
      <c r="AK205" s="314"/>
      <c r="AL205" s="315"/>
      <c r="AM205" s="15"/>
      <c r="AN205" s="15"/>
      <c r="AO205" s="15"/>
      <c r="AP205" s="73"/>
      <c r="AQ205" s="15"/>
      <c r="AR205" s="15"/>
      <c r="AS205" s="15"/>
      <c r="AT205" s="15"/>
      <c r="AU205" s="15"/>
      <c r="AV205" s="15"/>
      <c r="AW205" s="15"/>
      <c r="AX205" s="74"/>
    </row>
    <row r="206" spans="1:50" s="79" customFormat="1" ht="12">
      <c r="A206" s="298"/>
      <c r="B206" s="345"/>
      <c r="C206" s="346"/>
      <c r="D206" s="72"/>
      <c r="E206" s="15"/>
      <c r="F206" s="15"/>
      <c r="G206" s="15"/>
      <c r="H206" s="15"/>
      <c r="I206" s="15"/>
      <c r="J206" s="15"/>
      <c r="K206" s="73"/>
      <c r="L206" s="297"/>
      <c r="N206" s="293"/>
      <c r="P206" s="316" t="s">
        <v>851</v>
      </c>
      <c r="Q206" s="317"/>
      <c r="R206" s="317"/>
      <c r="S206" s="317"/>
      <c r="T206" s="343"/>
      <c r="U206" s="343"/>
      <c r="V206" s="343"/>
      <c r="W206" s="344"/>
      <c r="X206" s="311" t="s">
        <v>860</v>
      </c>
      <c r="Y206" s="314"/>
      <c r="Z206" s="314"/>
      <c r="AA206" s="314"/>
      <c r="AB206" s="314"/>
      <c r="AC206" s="314"/>
      <c r="AD206" s="314"/>
      <c r="AE206" s="314"/>
      <c r="AF206" s="314"/>
      <c r="AG206" s="314"/>
      <c r="AH206" s="314"/>
      <c r="AI206" s="314"/>
      <c r="AJ206" s="314"/>
      <c r="AK206" s="314"/>
      <c r="AL206" s="315"/>
      <c r="AM206" s="15"/>
      <c r="AN206" s="15"/>
      <c r="AO206" s="15"/>
      <c r="AP206" s="73"/>
      <c r="AQ206" s="15"/>
      <c r="AR206" s="15"/>
      <c r="AS206" s="15"/>
      <c r="AT206" s="15"/>
      <c r="AU206" s="15"/>
      <c r="AV206" s="15"/>
      <c r="AW206" s="15"/>
      <c r="AX206" s="74"/>
    </row>
    <row r="207" spans="1:50" s="79" customFormat="1" ht="12">
      <c r="A207" s="298"/>
      <c r="B207" s="345"/>
      <c r="C207" s="346"/>
      <c r="D207" s="72"/>
      <c r="E207" s="15"/>
      <c r="F207" s="15"/>
      <c r="G207" s="15"/>
      <c r="H207" s="15"/>
      <c r="I207" s="15"/>
      <c r="J207" s="15"/>
      <c r="K207" s="73"/>
      <c r="L207" s="297"/>
      <c r="N207" s="293"/>
      <c r="P207" s="316" t="s">
        <v>852</v>
      </c>
      <c r="Q207" s="317"/>
      <c r="R207" s="317"/>
      <c r="S207" s="317"/>
      <c r="T207" s="343"/>
      <c r="U207" s="343"/>
      <c r="V207" s="343"/>
      <c r="W207" s="344"/>
      <c r="X207" s="311" t="s">
        <v>861</v>
      </c>
      <c r="Y207" s="314"/>
      <c r="Z207" s="314"/>
      <c r="AA207" s="314"/>
      <c r="AB207" s="314"/>
      <c r="AC207" s="314"/>
      <c r="AD207" s="314"/>
      <c r="AE207" s="314"/>
      <c r="AF207" s="314"/>
      <c r="AG207" s="314"/>
      <c r="AH207" s="314"/>
      <c r="AI207" s="314"/>
      <c r="AJ207" s="314"/>
      <c r="AK207" s="314"/>
      <c r="AL207" s="315"/>
      <c r="AM207" s="15"/>
      <c r="AN207" s="15"/>
      <c r="AO207" s="15"/>
      <c r="AP207" s="73"/>
      <c r="AQ207" s="15"/>
      <c r="AR207" s="15"/>
      <c r="AS207" s="15"/>
      <c r="AT207" s="15"/>
      <c r="AU207" s="15"/>
      <c r="AV207" s="15"/>
      <c r="AW207" s="15"/>
      <c r="AX207" s="74"/>
    </row>
    <row r="208" spans="1:50" s="79" customFormat="1" ht="12">
      <c r="A208" s="298"/>
      <c r="B208" s="345"/>
      <c r="C208" s="346"/>
      <c r="D208" s="72"/>
      <c r="E208" s="15"/>
      <c r="F208" s="15"/>
      <c r="G208" s="15"/>
      <c r="H208" s="15"/>
      <c r="I208" s="15"/>
      <c r="J208" s="15"/>
      <c r="K208" s="73"/>
      <c r="L208" s="297"/>
      <c r="N208" s="293"/>
      <c r="O208" s="95"/>
      <c r="P208" s="15"/>
      <c r="AN208" s="15"/>
      <c r="AO208" s="15"/>
      <c r="AP208" s="73"/>
      <c r="AQ208" s="15"/>
      <c r="AR208" s="15"/>
      <c r="AS208" s="15"/>
      <c r="AT208" s="15"/>
      <c r="AU208" s="15"/>
      <c r="AV208" s="15"/>
      <c r="AW208" s="15"/>
      <c r="AX208" s="74"/>
    </row>
    <row r="209" spans="1:50" s="79" customFormat="1" ht="12">
      <c r="A209" s="298"/>
      <c r="B209" s="345"/>
      <c r="C209" s="346"/>
      <c r="D209" s="72"/>
      <c r="E209" s="15"/>
      <c r="F209" s="15"/>
      <c r="G209" s="15"/>
      <c r="H209" s="15"/>
      <c r="I209" s="15"/>
      <c r="J209" s="15"/>
      <c r="K209" s="73"/>
      <c r="L209" s="297"/>
      <c r="O209" s="293" t="s">
        <v>869</v>
      </c>
      <c r="P209" s="15" t="s">
        <v>862</v>
      </c>
      <c r="Q209" s="15"/>
      <c r="AN209" s="15"/>
      <c r="AO209" s="15"/>
      <c r="AP209" s="73"/>
      <c r="AQ209" s="15"/>
      <c r="AR209" s="15"/>
      <c r="AS209" s="15"/>
      <c r="AT209" s="15"/>
      <c r="AU209" s="15"/>
      <c r="AV209" s="15"/>
      <c r="AW209" s="15"/>
      <c r="AX209" s="74"/>
    </row>
    <row r="210" spans="1:50" s="79" customFormat="1" ht="12">
      <c r="A210" s="298"/>
      <c r="B210" s="345"/>
      <c r="C210" s="346"/>
      <c r="D210" s="72"/>
      <c r="E210" s="15"/>
      <c r="F210" s="15"/>
      <c r="G210" s="15"/>
      <c r="H210" s="15"/>
      <c r="I210" s="15"/>
      <c r="J210" s="15"/>
      <c r="K210" s="73"/>
      <c r="L210" s="297"/>
      <c r="O210" s="293"/>
      <c r="P210" s="305" t="s">
        <v>853</v>
      </c>
      <c r="Q210" s="307"/>
      <c r="R210" s="307"/>
      <c r="S210" s="307"/>
      <c r="T210" s="307"/>
      <c r="U210" s="307"/>
      <c r="V210" s="307"/>
      <c r="W210" s="307"/>
      <c r="X210" s="308" t="s">
        <v>659</v>
      </c>
      <c r="Y210" s="309"/>
      <c r="Z210" s="309"/>
      <c r="AA210" s="307"/>
      <c r="AB210" s="307"/>
      <c r="AC210" s="307"/>
      <c r="AD210" s="307"/>
      <c r="AE210" s="307"/>
      <c r="AF210" s="307"/>
      <c r="AG210" s="307"/>
      <c r="AH210" s="307"/>
      <c r="AI210" s="307"/>
      <c r="AJ210" s="307"/>
      <c r="AK210" s="307"/>
      <c r="AL210" s="306"/>
      <c r="AN210" s="15"/>
      <c r="AO210" s="15"/>
      <c r="AP210" s="73"/>
      <c r="AQ210" s="15"/>
      <c r="AR210" s="15"/>
      <c r="AS210" s="15"/>
      <c r="AT210" s="15"/>
      <c r="AU210" s="15"/>
      <c r="AV210" s="15"/>
      <c r="AW210" s="15"/>
      <c r="AX210" s="74"/>
    </row>
    <row r="211" spans="1:50" s="79" customFormat="1" ht="12">
      <c r="A211" s="298"/>
      <c r="B211" s="345"/>
      <c r="C211" s="346"/>
      <c r="D211" s="72"/>
      <c r="E211" s="15"/>
      <c r="F211" s="15"/>
      <c r="G211" s="15"/>
      <c r="H211" s="15"/>
      <c r="I211" s="15"/>
      <c r="J211" s="15"/>
      <c r="K211" s="73"/>
      <c r="L211" s="297"/>
      <c r="O211" s="293"/>
      <c r="P211" s="316" t="s">
        <v>854</v>
      </c>
      <c r="Q211" s="334"/>
      <c r="R211" s="334"/>
      <c r="S211" s="334"/>
      <c r="T211" s="334"/>
      <c r="U211" s="334"/>
      <c r="V211" s="334"/>
      <c r="W211" s="334"/>
      <c r="X211" s="335" t="s">
        <v>746</v>
      </c>
      <c r="Y211" s="334"/>
      <c r="Z211" s="334"/>
      <c r="AA211" s="336"/>
      <c r="AB211" s="336"/>
      <c r="AC211" s="336"/>
      <c r="AD211" s="104"/>
      <c r="AE211" s="334"/>
      <c r="AF211" s="334"/>
      <c r="AG211" s="334"/>
      <c r="AH211" s="334"/>
      <c r="AI211" s="334"/>
      <c r="AJ211" s="334"/>
      <c r="AK211" s="334"/>
      <c r="AL211" s="337"/>
      <c r="AM211" s="15"/>
      <c r="AN211" s="15"/>
      <c r="AO211" s="15"/>
      <c r="AP211" s="73"/>
      <c r="AQ211" s="15"/>
      <c r="AR211" s="15"/>
      <c r="AS211" s="15"/>
      <c r="AT211" s="15"/>
      <c r="AU211" s="15"/>
      <c r="AV211" s="15"/>
      <c r="AW211" s="15"/>
      <c r="AX211" s="74"/>
    </row>
    <row r="212" spans="1:50" s="79" customFormat="1" ht="12">
      <c r="A212" s="298"/>
      <c r="B212" s="345"/>
      <c r="C212" s="346"/>
      <c r="D212" s="72"/>
      <c r="E212" s="15"/>
      <c r="F212" s="15"/>
      <c r="G212" s="15"/>
      <c r="H212" s="15"/>
      <c r="I212" s="15"/>
      <c r="J212" s="15"/>
      <c r="K212" s="73"/>
      <c r="L212" s="297"/>
      <c r="O212" s="293"/>
      <c r="P212" s="316" t="s">
        <v>431</v>
      </c>
      <c r="Q212" s="334"/>
      <c r="R212" s="334"/>
      <c r="S212" s="334"/>
      <c r="T212" s="334"/>
      <c r="U212" s="334"/>
      <c r="V212" s="334"/>
      <c r="W212" s="334"/>
      <c r="X212" s="335" t="s">
        <v>747</v>
      </c>
      <c r="Y212" s="334"/>
      <c r="Z212" s="334"/>
      <c r="AA212" s="334"/>
      <c r="AB212" s="334"/>
      <c r="AC212" s="104"/>
      <c r="AD212" s="104"/>
      <c r="AE212" s="334"/>
      <c r="AF212" s="334"/>
      <c r="AG212" s="334"/>
      <c r="AH212" s="334"/>
      <c r="AI212" s="334"/>
      <c r="AJ212" s="334"/>
      <c r="AK212" s="334"/>
      <c r="AL212" s="337"/>
      <c r="AM212" s="15"/>
      <c r="AN212" s="15"/>
      <c r="AO212" s="15"/>
      <c r="AP212" s="73"/>
      <c r="AQ212" s="15"/>
      <c r="AR212" s="15"/>
      <c r="AS212" s="15"/>
      <c r="AT212" s="15"/>
      <c r="AU212" s="15"/>
      <c r="AV212" s="15"/>
      <c r="AW212" s="15"/>
      <c r="AX212" s="74"/>
    </row>
    <row r="213" spans="1:50" s="79" customFormat="1" ht="12">
      <c r="A213" s="298"/>
      <c r="B213" s="345"/>
      <c r="C213" s="346"/>
      <c r="D213" s="15"/>
      <c r="E213" s="15"/>
      <c r="F213" s="15"/>
      <c r="G213" s="15"/>
      <c r="H213" s="15"/>
      <c r="I213" s="15"/>
      <c r="J213" s="15"/>
      <c r="K213" s="15"/>
      <c r="L213" s="297"/>
      <c r="O213" s="293"/>
      <c r="P213" s="335" t="s">
        <v>874</v>
      </c>
      <c r="Q213" s="334"/>
      <c r="R213" s="334"/>
      <c r="S213" s="334"/>
      <c r="T213" s="334"/>
      <c r="U213" s="334"/>
      <c r="V213" s="334"/>
      <c r="W213" s="334"/>
      <c r="X213" s="335" t="s">
        <v>748</v>
      </c>
      <c r="Y213" s="334"/>
      <c r="Z213" s="334"/>
      <c r="AA213" s="334"/>
      <c r="AB213" s="334"/>
      <c r="AC213" s="334"/>
      <c r="AD213" s="334"/>
      <c r="AE213" s="334"/>
      <c r="AF213" s="334"/>
      <c r="AG213" s="334"/>
      <c r="AH213" s="334"/>
      <c r="AI213" s="334"/>
      <c r="AJ213" s="334"/>
      <c r="AK213" s="334"/>
      <c r="AL213" s="337"/>
      <c r="AM213" s="15"/>
      <c r="AN213" s="15"/>
      <c r="AO213" s="15"/>
      <c r="AP213" s="73"/>
      <c r="AQ213" s="15"/>
      <c r="AR213" s="15"/>
      <c r="AS213" s="15"/>
      <c r="AT213" s="15"/>
      <c r="AU213" s="15"/>
      <c r="AV213" s="15"/>
      <c r="AW213" s="15"/>
      <c r="AX213" s="74"/>
    </row>
    <row r="214" spans="1:50" s="79" customFormat="1" ht="12">
      <c r="A214" s="298"/>
      <c r="B214" s="350"/>
      <c r="C214" s="351"/>
      <c r="D214" s="15"/>
      <c r="E214" s="15"/>
      <c r="F214" s="15"/>
      <c r="G214" s="15"/>
      <c r="H214" s="15"/>
      <c r="I214" s="15"/>
      <c r="J214" s="15"/>
      <c r="K214" s="15"/>
      <c r="L214" s="297"/>
      <c r="O214" s="293"/>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73"/>
      <c r="AQ214" s="15"/>
      <c r="AR214" s="15"/>
      <c r="AS214" s="15"/>
      <c r="AT214" s="15"/>
      <c r="AU214" s="15"/>
      <c r="AV214" s="15"/>
      <c r="AW214" s="15"/>
      <c r="AX214" s="74"/>
    </row>
    <row r="215" spans="1:50" s="79" customFormat="1" ht="12">
      <c r="A215" s="298"/>
      <c r="B215" s="345"/>
      <c r="C215" s="346"/>
      <c r="D215" s="15"/>
      <c r="E215" s="15"/>
      <c r="F215" s="15"/>
      <c r="G215" s="15"/>
      <c r="H215" s="15"/>
      <c r="I215" s="15"/>
      <c r="J215" s="15"/>
      <c r="K215" s="15"/>
      <c r="L215" s="297"/>
      <c r="N215" s="293" t="s">
        <v>870</v>
      </c>
      <c r="O215" s="15" t="s">
        <v>855</v>
      </c>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73"/>
      <c r="AQ215" s="15"/>
      <c r="AR215" s="15"/>
      <c r="AS215" s="15"/>
      <c r="AT215" s="15"/>
      <c r="AU215" s="15"/>
      <c r="AV215" s="15"/>
      <c r="AW215" s="15"/>
      <c r="AX215" s="74"/>
    </row>
    <row r="216" spans="1:50" s="79" customFormat="1" ht="12">
      <c r="A216" s="298"/>
      <c r="B216" s="345"/>
      <c r="C216" s="346"/>
      <c r="D216" s="15"/>
      <c r="E216" s="15"/>
      <c r="F216" s="15"/>
      <c r="G216" s="15"/>
      <c r="H216" s="15"/>
      <c r="I216" s="15"/>
      <c r="J216" s="15"/>
      <c r="K216" s="15"/>
      <c r="L216" s="297"/>
      <c r="N216" s="293"/>
      <c r="O216" s="95" t="s">
        <v>863</v>
      </c>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73"/>
      <c r="AQ216" s="15"/>
      <c r="AR216" s="15"/>
      <c r="AS216" s="15"/>
      <c r="AT216" s="15"/>
      <c r="AU216" s="15"/>
      <c r="AV216" s="15"/>
      <c r="AW216" s="15"/>
      <c r="AX216" s="74"/>
    </row>
    <row r="217" spans="1:50" s="79" customFormat="1" ht="12">
      <c r="A217" s="298"/>
      <c r="B217" s="345"/>
      <c r="C217" s="346"/>
      <c r="D217" s="15"/>
      <c r="E217" s="15"/>
      <c r="F217" s="15"/>
      <c r="G217" s="15"/>
      <c r="H217" s="15"/>
      <c r="I217" s="15"/>
      <c r="J217" s="15"/>
      <c r="K217" s="15"/>
      <c r="L217" s="297"/>
      <c r="O217" s="293"/>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73"/>
      <c r="AQ217" s="15"/>
      <c r="AR217" s="15"/>
      <c r="AS217" s="15"/>
      <c r="AT217" s="15"/>
      <c r="AU217" s="15"/>
      <c r="AV217" s="15"/>
      <c r="AW217" s="15"/>
      <c r="AX217" s="74"/>
    </row>
    <row r="218" spans="1:50" s="100" customFormat="1" ht="12">
      <c r="A218" s="302"/>
      <c r="B218" s="476"/>
      <c r="C218" s="477"/>
      <c r="D218" s="102"/>
      <c r="E218" s="102"/>
      <c r="F218" s="102"/>
      <c r="G218" s="102"/>
      <c r="H218" s="102"/>
      <c r="I218" s="102"/>
      <c r="J218" s="102"/>
      <c r="K218" s="102"/>
      <c r="L218" s="297"/>
      <c r="M218" s="293"/>
      <c r="N218" s="293"/>
      <c r="O218" s="293" t="s">
        <v>871</v>
      </c>
      <c r="P218" s="15" t="s">
        <v>811</v>
      </c>
      <c r="Q218" s="15"/>
      <c r="R218" s="15"/>
      <c r="S218" s="15"/>
      <c r="T218" s="15"/>
      <c r="U218" s="97"/>
      <c r="V218" s="97"/>
      <c r="W218" s="97"/>
      <c r="X218" s="320"/>
      <c r="Y218" s="299"/>
      <c r="Z218" s="321"/>
      <c r="AA218" s="321"/>
      <c r="AB218" s="321"/>
      <c r="AC218" s="321"/>
      <c r="AD218" s="321"/>
      <c r="AE218" s="321"/>
      <c r="AF218" s="321"/>
      <c r="AG218" s="321"/>
      <c r="AH218" s="321"/>
      <c r="AI218" s="321"/>
      <c r="AJ218" s="321"/>
      <c r="AK218" s="321"/>
      <c r="AL218" s="321"/>
      <c r="AM218" s="321"/>
      <c r="AN218" s="321"/>
      <c r="AO218" s="321"/>
      <c r="AP218" s="303"/>
      <c r="AQ218" s="102"/>
      <c r="AR218" s="102"/>
      <c r="AS218" s="102"/>
      <c r="AT218" s="102"/>
      <c r="AU218" s="102"/>
      <c r="AV218" s="102"/>
      <c r="AW218" s="102"/>
      <c r="AX218" s="304"/>
    </row>
    <row r="219" spans="1:50" s="100" customFormat="1" ht="12">
      <c r="A219" s="302"/>
      <c r="B219" s="476"/>
      <c r="C219" s="477"/>
      <c r="D219" s="102"/>
      <c r="E219" s="102"/>
      <c r="F219" s="102"/>
      <c r="G219" s="102"/>
      <c r="H219" s="102"/>
      <c r="I219" s="102"/>
      <c r="J219" s="102"/>
      <c r="K219" s="102"/>
      <c r="L219" s="297"/>
      <c r="M219" s="293"/>
      <c r="N219" s="293"/>
      <c r="O219" s="290"/>
      <c r="P219" s="15"/>
      <c r="Q219" s="15"/>
      <c r="R219" s="478" t="s">
        <v>369</v>
      </c>
      <c r="S219" s="479"/>
      <c r="T219" s="479"/>
      <c r="U219" s="479"/>
      <c r="V219" s="479"/>
      <c r="W219" s="479"/>
      <c r="X219" s="479"/>
      <c r="Y219" s="479"/>
      <c r="Z219" s="478" t="s">
        <v>691</v>
      </c>
      <c r="AA219" s="479"/>
      <c r="AB219" s="479"/>
      <c r="AC219" s="479"/>
      <c r="AD219" s="479"/>
      <c r="AE219" s="479"/>
      <c r="AF219" s="479"/>
      <c r="AG219" s="480"/>
      <c r="AH219" s="321"/>
      <c r="AI219" s="321"/>
      <c r="AJ219" s="321"/>
      <c r="AK219" s="321"/>
      <c r="AL219" s="321"/>
      <c r="AM219" s="321"/>
      <c r="AN219" s="321"/>
      <c r="AO219" s="321"/>
      <c r="AP219" s="303"/>
      <c r="AQ219" s="102"/>
      <c r="AR219" s="102"/>
      <c r="AS219" s="102"/>
      <c r="AT219" s="102"/>
      <c r="AU219" s="102"/>
      <c r="AV219" s="102"/>
      <c r="AW219" s="102"/>
      <c r="AX219" s="304"/>
    </row>
    <row r="220" spans="1:50" s="100" customFormat="1" ht="12">
      <c r="A220" s="302"/>
      <c r="B220" s="476"/>
      <c r="C220" s="477"/>
      <c r="D220" s="102"/>
      <c r="E220" s="102"/>
      <c r="F220" s="102"/>
      <c r="G220" s="102"/>
      <c r="H220" s="102"/>
      <c r="I220" s="102"/>
      <c r="J220" s="102"/>
      <c r="K220" s="102"/>
      <c r="L220" s="297"/>
      <c r="M220" s="293"/>
      <c r="N220" s="293"/>
      <c r="O220" s="290"/>
      <c r="P220" s="15"/>
      <c r="Q220" s="15"/>
      <c r="R220" s="481" t="s">
        <v>1084</v>
      </c>
      <c r="S220" s="482"/>
      <c r="T220" s="482"/>
      <c r="U220" s="482"/>
      <c r="V220" s="482"/>
      <c r="W220" s="482"/>
      <c r="X220" s="482"/>
      <c r="Y220" s="482"/>
      <c r="Z220" s="483" t="s">
        <v>344</v>
      </c>
      <c r="AA220" s="482"/>
      <c r="AB220" s="482"/>
      <c r="AC220" s="482"/>
      <c r="AD220" s="482"/>
      <c r="AE220" s="482"/>
      <c r="AF220" s="482"/>
      <c r="AG220" s="484"/>
      <c r="AH220" s="321"/>
      <c r="AI220" s="321"/>
      <c r="AJ220" s="321"/>
      <c r="AK220" s="321"/>
      <c r="AL220" s="321"/>
      <c r="AM220" s="321"/>
      <c r="AN220" s="321"/>
      <c r="AO220" s="321"/>
      <c r="AP220" s="303"/>
      <c r="AQ220" s="102"/>
      <c r="AR220" s="102"/>
      <c r="AS220" s="102"/>
      <c r="AT220" s="102"/>
      <c r="AU220" s="102"/>
      <c r="AV220" s="102"/>
      <c r="AW220" s="102"/>
      <c r="AX220" s="304"/>
    </row>
    <row r="221" spans="1:50" s="100" customFormat="1" ht="12">
      <c r="A221" s="302"/>
      <c r="B221" s="476"/>
      <c r="C221" s="477"/>
      <c r="D221" s="102"/>
      <c r="E221" s="102"/>
      <c r="F221" s="102"/>
      <c r="G221" s="102"/>
      <c r="H221" s="102"/>
      <c r="I221" s="102"/>
      <c r="J221" s="102"/>
      <c r="K221" s="102"/>
      <c r="L221" s="297"/>
      <c r="M221" s="293"/>
      <c r="N221" s="293"/>
      <c r="O221" s="290"/>
      <c r="P221" s="15"/>
      <c r="Q221" s="15"/>
      <c r="R221" s="15"/>
      <c r="S221" s="15"/>
      <c r="T221" s="15"/>
      <c r="U221" s="97"/>
      <c r="V221" s="97"/>
      <c r="W221" s="97"/>
      <c r="X221" s="320"/>
      <c r="Y221" s="299"/>
      <c r="Z221" s="321"/>
      <c r="AA221" s="321"/>
      <c r="AB221" s="321"/>
      <c r="AC221" s="321"/>
      <c r="AD221" s="321"/>
      <c r="AE221" s="321"/>
      <c r="AF221" s="321"/>
      <c r="AG221" s="321"/>
      <c r="AH221" s="321"/>
      <c r="AI221" s="321"/>
      <c r="AJ221" s="321"/>
      <c r="AK221" s="321"/>
      <c r="AL221" s="321"/>
      <c r="AM221" s="321"/>
      <c r="AN221" s="321"/>
      <c r="AO221" s="321"/>
      <c r="AP221" s="303"/>
      <c r="AQ221" s="102"/>
      <c r="AR221" s="102"/>
      <c r="AS221" s="102"/>
      <c r="AT221" s="102"/>
      <c r="AU221" s="102"/>
      <c r="AV221" s="102"/>
      <c r="AW221" s="102"/>
      <c r="AX221" s="304"/>
    </row>
    <row r="222" spans="1:50" s="100" customFormat="1" ht="12">
      <c r="A222" s="302"/>
      <c r="B222" s="476"/>
      <c r="C222" s="477"/>
      <c r="D222" s="102"/>
      <c r="E222" s="102"/>
      <c r="F222" s="102"/>
      <c r="G222" s="102"/>
      <c r="H222" s="102"/>
      <c r="I222" s="102"/>
      <c r="J222" s="102"/>
      <c r="K222" s="102"/>
      <c r="L222" s="297"/>
      <c r="M222" s="293"/>
      <c r="N222" s="293"/>
      <c r="P222" s="15" t="s">
        <v>812</v>
      </c>
      <c r="Q222" s="15"/>
      <c r="R222" s="15"/>
      <c r="S222" s="15"/>
      <c r="T222" s="15"/>
      <c r="U222" s="97"/>
      <c r="V222" s="97"/>
      <c r="W222" s="97"/>
      <c r="X222" s="320"/>
      <c r="Y222" s="299"/>
      <c r="Z222" s="321"/>
      <c r="AA222" s="321"/>
      <c r="AB222" s="321"/>
      <c r="AC222" s="321"/>
      <c r="AD222" s="321"/>
      <c r="AE222" s="321"/>
      <c r="AF222" s="321"/>
      <c r="AG222" s="321"/>
      <c r="AH222" s="321"/>
      <c r="AI222" s="321"/>
      <c r="AJ222" s="321"/>
      <c r="AK222" s="321"/>
      <c r="AL222" s="321"/>
      <c r="AM222" s="321"/>
      <c r="AN222" s="321"/>
      <c r="AO222" s="321"/>
      <c r="AP222" s="303"/>
      <c r="AQ222" s="102"/>
      <c r="AR222" s="102"/>
      <c r="AS222" s="102"/>
      <c r="AT222" s="102"/>
      <c r="AU222" s="102"/>
      <c r="AV222" s="102"/>
      <c r="AW222" s="102"/>
      <c r="AX222" s="304"/>
    </row>
    <row r="223" spans="1:50" s="100" customFormat="1" ht="12">
      <c r="A223" s="302"/>
      <c r="B223" s="476"/>
      <c r="C223" s="477"/>
      <c r="D223" s="102"/>
      <c r="E223" s="102"/>
      <c r="F223" s="102"/>
      <c r="G223" s="102"/>
      <c r="H223" s="102"/>
      <c r="I223" s="102"/>
      <c r="J223" s="102"/>
      <c r="K223" s="102"/>
      <c r="L223" s="297"/>
      <c r="M223" s="293"/>
      <c r="N223" s="293"/>
      <c r="O223" s="290"/>
      <c r="P223" s="15"/>
      <c r="Q223" s="15"/>
      <c r="R223" s="478" t="s">
        <v>369</v>
      </c>
      <c r="S223" s="479"/>
      <c r="T223" s="479"/>
      <c r="U223" s="479"/>
      <c r="V223" s="479"/>
      <c r="W223" s="479"/>
      <c r="X223" s="479"/>
      <c r="Y223" s="479"/>
      <c r="Z223" s="478" t="s">
        <v>691</v>
      </c>
      <c r="AA223" s="479"/>
      <c r="AB223" s="479"/>
      <c r="AC223" s="479"/>
      <c r="AD223" s="479"/>
      <c r="AE223" s="479"/>
      <c r="AF223" s="479"/>
      <c r="AG223" s="480"/>
      <c r="AH223" s="321"/>
      <c r="AI223" s="321"/>
      <c r="AJ223" s="321"/>
      <c r="AK223" s="321"/>
      <c r="AL223" s="321"/>
      <c r="AM223" s="321"/>
      <c r="AN223" s="321"/>
      <c r="AO223" s="321"/>
      <c r="AP223" s="303"/>
      <c r="AQ223" s="102"/>
      <c r="AR223" s="102"/>
      <c r="AS223" s="102"/>
      <c r="AT223" s="102"/>
      <c r="AU223" s="102"/>
      <c r="AV223" s="102"/>
      <c r="AW223" s="102"/>
      <c r="AX223" s="304"/>
    </row>
    <row r="224" spans="1:50" s="100" customFormat="1" ht="12">
      <c r="A224" s="302"/>
      <c r="B224" s="476"/>
      <c r="C224" s="477"/>
      <c r="D224" s="102"/>
      <c r="E224" s="102"/>
      <c r="F224" s="102"/>
      <c r="G224" s="102"/>
      <c r="H224" s="102"/>
      <c r="I224" s="102"/>
      <c r="J224" s="102"/>
      <c r="K224" s="102"/>
      <c r="L224" s="297"/>
      <c r="M224" s="293"/>
      <c r="N224" s="293"/>
      <c r="O224" s="290"/>
      <c r="P224" s="15"/>
      <c r="Q224" s="15"/>
      <c r="R224" s="481" t="s">
        <v>1084</v>
      </c>
      <c r="S224" s="482"/>
      <c r="T224" s="482"/>
      <c r="U224" s="482"/>
      <c r="V224" s="482"/>
      <c r="W224" s="482"/>
      <c r="X224" s="482"/>
      <c r="Y224" s="482"/>
      <c r="Z224" s="483" t="s">
        <v>445</v>
      </c>
      <c r="AA224" s="482"/>
      <c r="AB224" s="482"/>
      <c r="AC224" s="482"/>
      <c r="AD224" s="482"/>
      <c r="AE224" s="482"/>
      <c r="AF224" s="482"/>
      <c r="AG224" s="484"/>
      <c r="AH224" s="321"/>
      <c r="AI224" s="321"/>
      <c r="AJ224" s="321"/>
      <c r="AK224" s="321"/>
      <c r="AL224" s="321"/>
      <c r="AM224" s="321"/>
      <c r="AN224" s="321"/>
      <c r="AO224" s="321"/>
      <c r="AP224" s="303"/>
      <c r="AQ224" s="102"/>
      <c r="AR224" s="102"/>
      <c r="AS224" s="102"/>
      <c r="AT224" s="102"/>
      <c r="AU224" s="102"/>
      <c r="AV224" s="102"/>
      <c r="AW224" s="102"/>
      <c r="AX224" s="304"/>
    </row>
    <row r="225" spans="1:50" s="79" customFormat="1" ht="12">
      <c r="A225" s="298"/>
      <c r="B225" s="345"/>
      <c r="C225" s="346"/>
      <c r="D225" s="15"/>
      <c r="E225" s="15"/>
      <c r="F225" s="15"/>
      <c r="G225" s="15"/>
      <c r="H225" s="15"/>
      <c r="I225" s="15"/>
      <c r="J225" s="15"/>
      <c r="K225" s="15"/>
      <c r="L225" s="297"/>
      <c r="N225" s="293"/>
      <c r="O225" s="15"/>
      <c r="P225" s="9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73"/>
      <c r="AQ225" s="15"/>
      <c r="AR225" s="15"/>
      <c r="AS225" s="15"/>
      <c r="AT225" s="15"/>
      <c r="AU225" s="15"/>
      <c r="AV225" s="15"/>
      <c r="AW225" s="15"/>
      <c r="AX225" s="74"/>
    </row>
    <row r="226" spans="1:50" s="79" customFormat="1" ht="12">
      <c r="A226" s="298"/>
      <c r="B226" s="345"/>
      <c r="C226" s="346"/>
      <c r="D226" s="15"/>
      <c r="E226" s="15"/>
      <c r="F226" s="15"/>
      <c r="G226" s="15"/>
      <c r="H226" s="15"/>
      <c r="I226" s="15"/>
      <c r="J226" s="15"/>
      <c r="K226" s="15"/>
      <c r="L226" s="297"/>
      <c r="M226" s="293"/>
      <c r="N226" s="15"/>
      <c r="O226" s="95"/>
      <c r="P226" s="9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73"/>
      <c r="AQ226" s="15"/>
      <c r="AR226" s="15"/>
      <c r="AS226" s="15"/>
      <c r="AT226" s="15"/>
      <c r="AU226" s="15"/>
      <c r="AV226" s="15"/>
      <c r="AW226" s="15"/>
      <c r="AX226" s="74"/>
    </row>
    <row r="227" spans="1:50" s="79" customFormat="1" ht="12">
      <c r="A227" s="298"/>
      <c r="B227" s="347"/>
      <c r="C227" s="348"/>
      <c r="D227" s="286"/>
      <c r="E227" s="286"/>
      <c r="F227" s="286"/>
      <c r="G227" s="286"/>
      <c r="H227" s="286"/>
      <c r="I227" s="286"/>
      <c r="J227" s="286"/>
      <c r="K227" s="286"/>
      <c r="L227" s="300"/>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c r="AI227" s="286"/>
      <c r="AJ227" s="286"/>
      <c r="AK227" s="286"/>
      <c r="AL227" s="286"/>
      <c r="AM227" s="286"/>
      <c r="AN227" s="286"/>
      <c r="AO227" s="286"/>
      <c r="AP227" s="287"/>
      <c r="AQ227" s="286"/>
      <c r="AR227" s="286"/>
      <c r="AS227" s="286"/>
      <c r="AT227" s="286"/>
      <c r="AU227" s="286"/>
      <c r="AV227" s="286"/>
      <c r="AW227" s="286"/>
      <c r="AX227" s="301"/>
    </row>
    <row r="228" spans="1:50" s="79" customFormat="1" ht="12">
      <c r="A228" s="298"/>
      <c r="B228" s="1007" t="s">
        <v>710</v>
      </c>
      <c r="C228" s="1008"/>
      <c r="D228" s="15"/>
      <c r="E228" s="15"/>
      <c r="F228" s="15"/>
      <c r="G228" s="15"/>
      <c r="H228" s="15"/>
      <c r="I228" s="15"/>
      <c r="J228" s="15"/>
      <c r="K228" s="15"/>
      <c r="L228" s="297" t="s">
        <v>711</v>
      </c>
      <c r="M228" s="15" t="s">
        <v>712</v>
      </c>
      <c r="N228" s="9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73"/>
      <c r="AQ228" s="15"/>
      <c r="AR228" s="15"/>
      <c r="AS228" s="15"/>
      <c r="AT228" s="15"/>
      <c r="AU228" s="15"/>
      <c r="AV228" s="15"/>
      <c r="AW228" s="15"/>
      <c r="AX228" s="74"/>
    </row>
    <row r="229" spans="1:50" s="79" customFormat="1" ht="12">
      <c r="A229" s="298"/>
      <c r="B229" s="345"/>
      <c r="C229" s="346"/>
      <c r="D229" s="15"/>
      <c r="E229" s="15"/>
      <c r="F229" s="15"/>
      <c r="G229" s="15"/>
      <c r="H229" s="15"/>
      <c r="I229" s="15"/>
      <c r="J229" s="15"/>
      <c r="K229" s="15"/>
      <c r="L229" s="297"/>
      <c r="M229" s="15" t="s">
        <v>680</v>
      </c>
      <c r="N229" s="9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73"/>
      <c r="AQ229" s="15"/>
      <c r="AR229" s="15"/>
      <c r="AS229" s="15"/>
      <c r="AT229" s="15"/>
      <c r="AU229" s="15"/>
      <c r="AV229" s="15"/>
      <c r="AW229" s="15"/>
      <c r="AX229" s="74"/>
    </row>
    <row r="230" spans="1:50" s="283" customFormat="1" ht="12">
      <c r="A230" s="323"/>
      <c r="B230" s="1013"/>
      <c r="C230" s="1014"/>
      <c r="D230" s="324"/>
      <c r="E230" s="324"/>
      <c r="F230" s="324"/>
      <c r="G230" s="324"/>
      <c r="H230" s="324"/>
      <c r="I230" s="324"/>
      <c r="J230" s="324"/>
      <c r="K230" s="324"/>
      <c r="L230" s="325"/>
      <c r="M230" s="324"/>
      <c r="N230" s="324"/>
      <c r="O230" s="324"/>
      <c r="P230" s="324"/>
      <c r="Q230" s="324"/>
      <c r="R230" s="324"/>
      <c r="S230" s="324"/>
      <c r="T230" s="324"/>
      <c r="U230" s="324"/>
      <c r="V230" s="324"/>
      <c r="W230" s="324"/>
      <c r="X230" s="324"/>
      <c r="Y230" s="324"/>
      <c r="Z230" s="324"/>
      <c r="AA230" s="324"/>
      <c r="AB230" s="324"/>
      <c r="AC230" s="324"/>
      <c r="AD230" s="324"/>
      <c r="AE230" s="324"/>
      <c r="AF230" s="324"/>
      <c r="AG230" s="324"/>
      <c r="AH230" s="324"/>
      <c r="AI230" s="324"/>
      <c r="AJ230" s="324"/>
      <c r="AK230" s="324"/>
      <c r="AL230" s="324"/>
      <c r="AM230" s="324"/>
      <c r="AN230" s="324"/>
      <c r="AO230" s="324"/>
      <c r="AP230" s="326"/>
      <c r="AQ230" s="324"/>
      <c r="AR230" s="324"/>
      <c r="AS230" s="324"/>
      <c r="AT230" s="324"/>
      <c r="AU230" s="324"/>
      <c r="AV230" s="324"/>
      <c r="AW230" s="324"/>
      <c r="AX230" s="327"/>
    </row>
    <row r="231" spans="1:50" s="79" customFormat="1" ht="12">
      <c r="A231" s="294" t="s">
        <v>722</v>
      </c>
      <c r="B231" s="75" t="s">
        <v>713</v>
      </c>
      <c r="C231" s="76"/>
      <c r="D231" s="76"/>
      <c r="E231" s="76"/>
      <c r="F231" s="76"/>
      <c r="G231" s="76"/>
      <c r="H231" s="76"/>
      <c r="I231" s="76"/>
      <c r="J231" s="76"/>
      <c r="K231" s="76"/>
      <c r="L231" s="328"/>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7"/>
    </row>
    <row r="232" spans="1:50" s="79" customFormat="1" ht="12">
      <c r="A232" s="298"/>
      <c r="B232" s="1007" t="s">
        <v>710</v>
      </c>
      <c r="C232" s="1008"/>
      <c r="D232" s="15"/>
      <c r="E232" s="15"/>
      <c r="F232" s="15"/>
      <c r="G232" s="15"/>
      <c r="H232" s="15"/>
      <c r="I232" s="15"/>
      <c r="J232" s="15"/>
      <c r="K232" s="15"/>
      <c r="L232" s="329" t="s">
        <v>714</v>
      </c>
      <c r="M232" s="37" t="s">
        <v>679</v>
      </c>
      <c r="N232" s="37"/>
      <c r="O232" s="37"/>
      <c r="P232" s="37"/>
      <c r="Q232" s="38"/>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282"/>
      <c r="AQ232" s="15"/>
      <c r="AR232" s="15"/>
      <c r="AS232" s="15"/>
      <c r="AT232" s="15"/>
      <c r="AU232" s="15"/>
      <c r="AV232" s="15"/>
      <c r="AW232" s="15"/>
      <c r="AX232" s="74"/>
    </row>
    <row r="233" spans="1:50" s="79" customFormat="1" ht="12">
      <c r="A233" s="298"/>
      <c r="B233" s="160"/>
      <c r="C233" s="161"/>
      <c r="D233" s="15"/>
      <c r="E233" s="15"/>
      <c r="F233" s="15"/>
      <c r="G233" s="15"/>
      <c r="H233" s="15"/>
      <c r="I233" s="15"/>
      <c r="J233" s="15"/>
      <c r="K233" s="15"/>
      <c r="L233" s="297"/>
      <c r="M233" s="15" t="s">
        <v>680</v>
      </c>
      <c r="N233" s="15"/>
      <c r="O233" s="15"/>
      <c r="P233" s="15"/>
      <c r="Q233" s="9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73"/>
      <c r="AQ233" s="15"/>
      <c r="AR233" s="15"/>
      <c r="AS233" s="15"/>
      <c r="AT233" s="15"/>
      <c r="AU233" s="15"/>
      <c r="AV233" s="15"/>
      <c r="AW233" s="15"/>
      <c r="AX233" s="74"/>
    </row>
    <row r="234" spans="1:50" s="79" customFormat="1" ht="12">
      <c r="A234" s="298"/>
      <c r="B234" s="160"/>
      <c r="C234" s="161"/>
      <c r="D234" s="15"/>
      <c r="E234" s="15"/>
      <c r="F234" s="15"/>
      <c r="G234" s="15"/>
      <c r="H234" s="15"/>
      <c r="I234" s="15"/>
      <c r="J234" s="15"/>
      <c r="K234" s="15"/>
      <c r="L234" s="297"/>
      <c r="M234" s="15"/>
      <c r="N234" s="15"/>
      <c r="O234" s="15"/>
      <c r="P234" s="15"/>
      <c r="Q234" s="9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73"/>
      <c r="AQ234" s="15"/>
      <c r="AR234" s="15"/>
      <c r="AS234" s="15"/>
      <c r="AT234" s="15"/>
      <c r="AU234" s="15"/>
      <c r="AV234" s="15"/>
      <c r="AW234" s="15"/>
      <c r="AX234" s="74"/>
    </row>
    <row r="235" spans="1:50" s="79" customFormat="1" ht="12">
      <c r="A235" s="298"/>
      <c r="B235" s="160"/>
      <c r="C235" s="161"/>
      <c r="D235" s="15"/>
      <c r="E235" s="15"/>
      <c r="F235" s="15"/>
      <c r="G235" s="15"/>
      <c r="H235" s="15"/>
      <c r="I235" s="15"/>
      <c r="J235" s="15"/>
      <c r="K235" s="15"/>
      <c r="L235" s="297" t="s">
        <v>715</v>
      </c>
      <c r="M235" s="15" t="s">
        <v>716</v>
      </c>
      <c r="N235" s="15"/>
      <c r="O235" s="15"/>
      <c r="P235" s="15"/>
      <c r="Q235" s="9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73"/>
      <c r="AQ235" s="15"/>
      <c r="AR235" s="15"/>
      <c r="AS235" s="15"/>
      <c r="AT235" s="15"/>
      <c r="AU235" s="15"/>
      <c r="AV235" s="15"/>
      <c r="AW235" s="15"/>
      <c r="AX235" s="74"/>
    </row>
    <row r="236" spans="1:50" s="79" customFormat="1" ht="12">
      <c r="A236" s="298"/>
      <c r="B236" s="160"/>
      <c r="C236" s="161"/>
      <c r="D236" s="15"/>
      <c r="E236" s="15"/>
      <c r="F236" s="15"/>
      <c r="G236" s="15"/>
      <c r="H236" s="15"/>
      <c r="I236" s="15"/>
      <c r="J236" s="15"/>
      <c r="K236" s="15"/>
      <c r="L236" s="297"/>
      <c r="M236" s="15" t="s">
        <v>680</v>
      </c>
      <c r="N236" s="15"/>
      <c r="O236" s="15"/>
      <c r="P236" s="15"/>
      <c r="Q236" s="9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73"/>
      <c r="AQ236" s="15"/>
      <c r="AR236" s="15"/>
      <c r="AS236" s="15"/>
      <c r="AT236" s="15"/>
      <c r="AU236" s="15"/>
      <c r="AV236" s="15"/>
      <c r="AW236" s="15"/>
      <c r="AX236" s="74"/>
    </row>
    <row r="237" spans="1:50" s="79" customFormat="1" ht="12">
      <c r="A237" s="298"/>
      <c r="B237" s="162"/>
      <c r="C237" s="163"/>
      <c r="D237" s="286"/>
      <c r="E237" s="286"/>
      <c r="F237" s="286"/>
      <c r="G237" s="286"/>
      <c r="H237" s="286"/>
      <c r="I237" s="286"/>
      <c r="J237" s="286"/>
      <c r="K237" s="286"/>
      <c r="L237" s="300"/>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c r="AI237" s="286"/>
      <c r="AJ237" s="286"/>
      <c r="AK237" s="286"/>
      <c r="AL237" s="286"/>
      <c r="AM237" s="286"/>
      <c r="AN237" s="286"/>
      <c r="AO237" s="286"/>
      <c r="AP237" s="287"/>
      <c r="AQ237" s="286"/>
      <c r="AR237" s="286"/>
      <c r="AS237" s="286"/>
      <c r="AT237" s="286"/>
      <c r="AU237" s="286"/>
      <c r="AV237" s="286"/>
      <c r="AW237" s="286"/>
      <c r="AX237" s="301"/>
    </row>
    <row r="238" spans="1:50" s="79" customFormat="1" ht="12">
      <c r="A238" s="298"/>
      <c r="B238" s="1007" t="s">
        <v>717</v>
      </c>
      <c r="C238" s="1008"/>
      <c r="D238" s="15"/>
      <c r="E238" s="15"/>
      <c r="F238" s="15"/>
      <c r="G238" s="15"/>
      <c r="H238" s="15"/>
      <c r="I238" s="15"/>
      <c r="J238" s="15"/>
      <c r="K238" s="15"/>
      <c r="L238" s="329" t="s">
        <v>718</v>
      </c>
      <c r="M238" s="37" t="s">
        <v>716</v>
      </c>
      <c r="N238" s="38"/>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282"/>
      <c r="AQ238" s="37"/>
      <c r="AR238" s="37"/>
      <c r="AS238" s="37"/>
      <c r="AT238" s="37"/>
      <c r="AU238" s="37"/>
      <c r="AV238" s="37"/>
      <c r="AW238" s="37"/>
      <c r="AX238" s="330"/>
    </row>
    <row r="239" spans="1:50" s="79" customFormat="1" ht="12">
      <c r="A239" s="298"/>
      <c r="B239" s="160"/>
      <c r="C239" s="161"/>
      <c r="D239" s="15"/>
      <c r="E239" s="15"/>
      <c r="F239" s="15"/>
      <c r="G239" s="15"/>
      <c r="H239" s="15"/>
      <c r="I239" s="15"/>
      <c r="J239" s="15"/>
      <c r="K239" s="15"/>
      <c r="L239" s="297"/>
      <c r="M239" s="15"/>
      <c r="N239" s="95"/>
      <c r="O239" s="15"/>
      <c r="P239" s="15"/>
      <c r="Q239" s="15"/>
      <c r="R239" s="15"/>
      <c r="S239" s="15"/>
      <c r="T239" s="15"/>
      <c r="U239" s="15"/>
      <c r="V239" s="15"/>
      <c r="W239" s="15"/>
      <c r="X239" s="15"/>
      <c r="Y239" s="15"/>
      <c r="Z239" s="15"/>
      <c r="AA239" s="15"/>
      <c r="AB239" s="331"/>
      <c r="AC239" s="331"/>
      <c r="AD239" s="15"/>
      <c r="AE239" s="15"/>
      <c r="AF239" s="15"/>
      <c r="AG239" s="15"/>
      <c r="AH239" s="15"/>
      <c r="AI239" s="15"/>
      <c r="AJ239" s="15"/>
      <c r="AK239" s="15"/>
      <c r="AL239" s="15"/>
      <c r="AM239" s="15"/>
      <c r="AN239" s="15"/>
      <c r="AO239" s="15"/>
      <c r="AP239" s="73"/>
      <c r="AQ239" s="15"/>
      <c r="AR239" s="15"/>
      <c r="AS239" s="15"/>
      <c r="AT239" s="15"/>
      <c r="AU239" s="15"/>
      <c r="AV239" s="15"/>
      <c r="AW239" s="15"/>
      <c r="AX239" s="74"/>
    </row>
    <row r="240" spans="1:50" s="79" customFormat="1" ht="12">
      <c r="A240" s="298"/>
      <c r="B240" s="160"/>
      <c r="C240" s="161"/>
      <c r="D240" s="15"/>
      <c r="E240" s="15"/>
      <c r="F240" s="15"/>
      <c r="G240" s="15"/>
      <c r="H240" s="15"/>
      <c r="I240" s="15"/>
      <c r="J240" s="15"/>
      <c r="K240" s="15"/>
      <c r="L240" s="297"/>
      <c r="M240" s="293" t="s">
        <v>719</v>
      </c>
      <c r="N240" s="95" t="s">
        <v>720</v>
      </c>
      <c r="O240" s="15"/>
      <c r="P240" s="15"/>
      <c r="Q240" s="15"/>
      <c r="R240" s="15"/>
      <c r="S240" s="15"/>
      <c r="T240" s="15"/>
      <c r="U240" s="15"/>
      <c r="V240" s="15"/>
      <c r="W240" s="15"/>
      <c r="X240" s="15"/>
      <c r="Y240" s="15"/>
      <c r="Z240" s="15"/>
      <c r="AA240" s="15"/>
      <c r="AB240" s="331"/>
      <c r="AC240" s="331"/>
      <c r="AE240" s="15"/>
      <c r="AF240" s="15"/>
      <c r="AG240" s="15"/>
      <c r="AH240" s="15"/>
      <c r="AI240" s="15"/>
      <c r="AJ240" s="15"/>
      <c r="AK240" s="15"/>
      <c r="AL240" s="15"/>
      <c r="AM240" s="15"/>
      <c r="AN240" s="15"/>
      <c r="AO240" s="15"/>
      <c r="AP240" s="73"/>
      <c r="AQ240" s="15"/>
      <c r="AR240" s="15"/>
      <c r="AS240" s="15"/>
      <c r="AT240" s="15"/>
      <c r="AU240" s="15"/>
      <c r="AV240" s="15"/>
      <c r="AW240" s="15"/>
      <c r="AX240" s="74"/>
    </row>
    <row r="241" spans="1:52" s="79" customFormat="1" ht="12">
      <c r="A241" s="298"/>
      <c r="B241" s="160"/>
      <c r="C241" s="161"/>
      <c r="D241" s="15"/>
      <c r="E241" s="15"/>
      <c r="F241" s="15"/>
      <c r="G241" s="15"/>
      <c r="H241" s="15"/>
      <c r="I241" s="15"/>
      <c r="J241" s="15"/>
      <c r="K241" s="15"/>
      <c r="L241" s="297"/>
      <c r="M241" s="15"/>
      <c r="N241" s="15" t="s">
        <v>680</v>
      </c>
      <c r="O241" s="15"/>
      <c r="P241" s="15"/>
      <c r="Q241" s="15"/>
      <c r="R241" s="15"/>
      <c r="S241" s="15"/>
      <c r="T241" s="15"/>
      <c r="U241" s="15"/>
      <c r="V241" s="15"/>
      <c r="W241" s="15"/>
      <c r="X241" s="15"/>
      <c r="Y241" s="15"/>
      <c r="Z241" s="15"/>
      <c r="AA241" s="15"/>
      <c r="AB241" s="15"/>
      <c r="AE241" s="15"/>
      <c r="AF241" s="15"/>
      <c r="AG241" s="15"/>
      <c r="AH241" s="15"/>
      <c r="AI241" s="15"/>
      <c r="AJ241" s="15"/>
      <c r="AK241" s="15"/>
      <c r="AL241" s="15"/>
      <c r="AM241" s="15"/>
      <c r="AN241" s="15"/>
      <c r="AO241" s="15"/>
      <c r="AP241" s="73"/>
      <c r="AQ241" s="15"/>
      <c r="AR241" s="15"/>
      <c r="AS241" s="15"/>
      <c r="AT241" s="15"/>
      <c r="AU241" s="15"/>
      <c r="AV241" s="15"/>
      <c r="AW241" s="15"/>
      <c r="AX241" s="74"/>
    </row>
    <row r="242" spans="1:52" s="79" customFormat="1" ht="12">
      <c r="A242" s="298"/>
      <c r="B242" s="162"/>
      <c r="C242" s="163"/>
      <c r="D242" s="286"/>
      <c r="E242" s="286"/>
      <c r="F242" s="286"/>
      <c r="G242" s="286"/>
      <c r="H242" s="286"/>
      <c r="I242" s="286"/>
      <c r="J242" s="286"/>
      <c r="K242" s="286"/>
      <c r="L242" s="300"/>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7"/>
      <c r="AQ242" s="286"/>
      <c r="AR242" s="286"/>
      <c r="AS242" s="286"/>
      <c r="AT242" s="286"/>
      <c r="AU242" s="286"/>
      <c r="AV242" s="286"/>
      <c r="AW242" s="286"/>
      <c r="AX242" s="301"/>
    </row>
    <row r="243" spans="1:52" s="79" customFormat="1" ht="12">
      <c r="A243" s="298"/>
      <c r="B243" s="1007" t="s">
        <v>710</v>
      </c>
      <c r="C243" s="1008"/>
      <c r="D243" s="15"/>
      <c r="E243" s="15"/>
      <c r="F243" s="15"/>
      <c r="G243" s="15"/>
      <c r="H243" s="15"/>
      <c r="I243" s="15"/>
      <c r="J243" s="15"/>
      <c r="K243" s="15"/>
      <c r="L243" s="329" t="s">
        <v>704</v>
      </c>
      <c r="M243" s="37" t="s">
        <v>721</v>
      </c>
      <c r="N243" s="37"/>
      <c r="O243" s="37"/>
      <c r="P243" s="38"/>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282"/>
      <c r="AQ243" s="15"/>
      <c r="AR243" s="15"/>
      <c r="AS243" s="15"/>
      <c r="AT243" s="15"/>
      <c r="AU243" s="15"/>
      <c r="AV243" s="15"/>
      <c r="AW243" s="15"/>
      <c r="AX243" s="74"/>
    </row>
    <row r="244" spans="1:52" s="79" customFormat="1" ht="12">
      <c r="A244" s="298"/>
      <c r="B244" s="160"/>
      <c r="C244" s="161"/>
      <c r="D244" s="15"/>
      <c r="E244" s="15"/>
      <c r="F244" s="15"/>
      <c r="G244" s="15"/>
      <c r="H244" s="15"/>
      <c r="I244" s="15"/>
      <c r="J244" s="15"/>
      <c r="K244" s="15"/>
      <c r="L244" s="297"/>
      <c r="M244" s="15" t="s">
        <v>680</v>
      </c>
      <c r="N244" s="15"/>
      <c r="O244" s="15"/>
      <c r="P244" s="9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73"/>
      <c r="AQ244" s="15"/>
      <c r="AR244" s="15"/>
      <c r="AS244" s="15"/>
      <c r="AT244" s="15"/>
      <c r="AU244" s="15"/>
      <c r="AV244" s="15"/>
      <c r="AW244" s="15"/>
      <c r="AX244" s="74"/>
    </row>
    <row r="245" spans="1:52" s="79" customFormat="1" ht="12">
      <c r="A245" s="332"/>
      <c r="B245" s="1009"/>
      <c r="C245" s="1010"/>
      <c r="D245" s="286"/>
      <c r="E245" s="286"/>
      <c r="F245" s="286"/>
      <c r="G245" s="286"/>
      <c r="H245" s="286"/>
      <c r="I245" s="286"/>
      <c r="J245" s="286"/>
      <c r="K245" s="286"/>
      <c r="L245" s="300"/>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c r="AI245" s="286"/>
      <c r="AJ245" s="286"/>
      <c r="AK245" s="286"/>
      <c r="AL245" s="286"/>
      <c r="AM245" s="286"/>
      <c r="AN245" s="286"/>
      <c r="AO245" s="286"/>
      <c r="AP245" s="287"/>
      <c r="AQ245" s="286"/>
      <c r="AR245" s="286"/>
      <c r="AS245" s="286"/>
      <c r="AT245" s="286"/>
      <c r="AU245" s="286"/>
      <c r="AV245" s="286"/>
      <c r="AW245" s="286"/>
      <c r="AX245" s="301"/>
    </row>
    <row r="246" spans="1:52" s="79" customFormat="1" ht="12">
      <c r="A246" s="294" t="s">
        <v>881</v>
      </c>
      <c r="B246" s="75" t="s">
        <v>578</v>
      </c>
      <c r="C246" s="76"/>
      <c r="D246" s="76"/>
      <c r="E246" s="76"/>
      <c r="F246" s="76"/>
      <c r="G246" s="76"/>
      <c r="H246" s="76"/>
      <c r="I246" s="76"/>
      <c r="J246" s="76"/>
      <c r="K246" s="76"/>
      <c r="L246" s="328"/>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7"/>
    </row>
    <row r="247" spans="1:52" s="79" customFormat="1" ht="12">
      <c r="A247" s="298"/>
      <c r="B247" s="1007" t="s">
        <v>663</v>
      </c>
      <c r="C247" s="1008"/>
      <c r="D247" s="15"/>
      <c r="E247" s="15"/>
      <c r="F247" s="15"/>
      <c r="G247" s="15"/>
      <c r="H247" s="15"/>
      <c r="I247" s="15"/>
      <c r="J247" s="15"/>
      <c r="K247" s="15"/>
      <c r="L247" s="329" t="s">
        <v>664</v>
      </c>
      <c r="M247" s="37" t="s">
        <v>723</v>
      </c>
      <c r="N247" s="37"/>
      <c r="O247" s="37"/>
      <c r="P247" s="37"/>
      <c r="Q247" s="38"/>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282"/>
      <c r="AQ247" s="15"/>
      <c r="AR247" s="15"/>
      <c r="AS247" s="15"/>
      <c r="AT247" s="15"/>
      <c r="AU247" s="15"/>
      <c r="AV247" s="15"/>
      <c r="AW247" s="15"/>
      <c r="AX247" s="74"/>
    </row>
    <row r="248" spans="1:52" s="79" customFormat="1" ht="12">
      <c r="A248" s="298"/>
      <c r="B248" s="160"/>
      <c r="C248" s="161"/>
      <c r="D248" s="15"/>
      <c r="E248" s="15"/>
      <c r="F248" s="15"/>
      <c r="G248" s="15"/>
      <c r="H248" s="15"/>
      <c r="I248" s="15"/>
      <c r="J248" s="15"/>
      <c r="K248" s="15"/>
      <c r="L248" s="297"/>
      <c r="M248" s="15"/>
      <c r="N248" s="15"/>
      <c r="O248" s="15"/>
      <c r="P248" s="15"/>
      <c r="Q248" s="9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73"/>
      <c r="AQ248" s="15"/>
      <c r="AR248" s="15"/>
      <c r="AS248" s="15"/>
      <c r="AT248" s="15"/>
      <c r="AU248" s="15"/>
      <c r="AV248" s="15"/>
      <c r="AW248" s="15"/>
      <c r="AX248" s="74"/>
    </row>
    <row r="249" spans="1:52" s="79" customFormat="1" ht="12">
      <c r="A249" s="298"/>
      <c r="B249" s="160"/>
      <c r="C249" s="161"/>
      <c r="D249" s="15"/>
      <c r="E249" s="15"/>
      <c r="F249" s="15"/>
      <c r="G249" s="15"/>
      <c r="H249" s="15"/>
      <c r="I249" s="15"/>
      <c r="J249" s="15"/>
      <c r="K249" s="15"/>
      <c r="L249" s="297"/>
      <c r="M249" s="293" t="s">
        <v>666</v>
      </c>
      <c r="N249" s="15" t="s">
        <v>724</v>
      </c>
      <c r="O249" s="15"/>
      <c r="P249" s="15"/>
      <c r="Q249" s="9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73"/>
      <c r="AQ249" s="15" t="s">
        <v>725</v>
      </c>
      <c r="AR249" s="15"/>
      <c r="AS249" s="15"/>
      <c r="AT249" s="15"/>
      <c r="AU249" s="15"/>
      <c r="AV249" s="15"/>
      <c r="AW249" s="15"/>
      <c r="AX249" s="74"/>
    </row>
    <row r="250" spans="1:52" s="79" customFormat="1" ht="12">
      <c r="A250" s="298"/>
      <c r="B250" s="160"/>
      <c r="C250" s="161"/>
      <c r="D250" s="15"/>
      <c r="E250" s="15"/>
      <c r="F250" s="15"/>
      <c r="G250" s="15"/>
      <c r="H250" s="15"/>
      <c r="I250" s="15"/>
      <c r="J250" s="15"/>
      <c r="K250" s="15"/>
      <c r="L250" s="297"/>
      <c r="M250" s="15"/>
      <c r="N250" s="15"/>
      <c r="O250" s="15"/>
      <c r="P250" s="15"/>
      <c r="Q250" s="9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73"/>
      <c r="AQ250" s="15"/>
      <c r="AR250" s="15"/>
      <c r="AS250" s="15"/>
      <c r="AT250" s="15"/>
      <c r="AU250" s="15"/>
      <c r="AV250" s="15"/>
      <c r="AW250" s="15"/>
      <c r="AX250" s="74"/>
    </row>
    <row r="251" spans="1:52" s="79" customFormat="1" ht="12">
      <c r="A251" s="298"/>
      <c r="B251" s="160"/>
      <c r="C251" s="161"/>
      <c r="D251" s="15" t="s">
        <v>725</v>
      </c>
      <c r="E251" s="15"/>
      <c r="F251" s="15"/>
      <c r="G251" s="15"/>
      <c r="H251" s="15"/>
      <c r="I251" s="15"/>
      <c r="J251" s="15"/>
      <c r="K251" s="15"/>
      <c r="L251" s="297"/>
      <c r="M251" s="293" t="s">
        <v>726</v>
      </c>
      <c r="N251" s="95" t="s">
        <v>979</v>
      </c>
      <c r="O251" s="15"/>
      <c r="P251" s="15"/>
      <c r="Q251" s="9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73"/>
      <c r="AQ251" s="15"/>
      <c r="AR251" s="15"/>
      <c r="AS251" s="15"/>
      <c r="AT251" s="15"/>
      <c r="AU251" s="15"/>
      <c r="AV251" s="15"/>
      <c r="AW251" s="15"/>
      <c r="AX251" s="74"/>
    </row>
    <row r="252" spans="1:52" s="79" customFormat="1" ht="12">
      <c r="A252" s="298"/>
      <c r="B252" s="160"/>
      <c r="C252" s="161"/>
      <c r="D252" s="15"/>
      <c r="E252" s="15"/>
      <c r="F252" s="15"/>
      <c r="G252" s="15"/>
      <c r="H252" s="15"/>
      <c r="I252" s="15"/>
      <c r="J252" s="15"/>
      <c r="K252" s="15"/>
      <c r="L252" s="297"/>
      <c r="M252" s="15"/>
      <c r="N252" s="95"/>
      <c r="O252" s="15"/>
      <c r="P252" s="15"/>
      <c r="Q252" s="15"/>
      <c r="R252" s="15"/>
      <c r="S252" s="15"/>
      <c r="T252" s="15"/>
      <c r="U252" s="15"/>
      <c r="V252" s="15"/>
      <c r="W252" s="15"/>
      <c r="X252" s="15"/>
      <c r="Y252" s="15"/>
      <c r="Z252" s="15"/>
      <c r="AA252" s="15"/>
      <c r="AB252" s="331"/>
      <c r="AC252" s="331"/>
      <c r="AD252" s="15"/>
      <c r="AE252" s="15"/>
      <c r="AF252" s="15"/>
      <c r="AG252" s="15"/>
      <c r="AH252" s="15"/>
      <c r="AI252" s="15"/>
      <c r="AJ252" s="15"/>
      <c r="AK252" s="15"/>
      <c r="AL252" s="15"/>
      <c r="AM252" s="15"/>
      <c r="AN252" s="15"/>
      <c r="AO252" s="15"/>
      <c r="AP252" s="73"/>
      <c r="AQ252" s="15"/>
      <c r="AR252" s="15"/>
      <c r="AS252" s="15"/>
      <c r="AT252" s="15"/>
      <c r="AU252" s="15"/>
      <c r="AV252" s="15"/>
      <c r="AW252" s="15"/>
      <c r="AX252" s="74"/>
    </row>
    <row r="253" spans="1:52" s="79" customFormat="1" ht="12">
      <c r="A253" s="332"/>
      <c r="B253" s="1009"/>
      <c r="C253" s="1010"/>
      <c r="D253" s="286"/>
      <c r="E253" s="286"/>
      <c r="F253" s="286"/>
      <c r="G253" s="286"/>
      <c r="H253" s="286"/>
      <c r="I253" s="286"/>
      <c r="J253" s="286"/>
      <c r="K253" s="286"/>
      <c r="L253" s="300"/>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c r="AI253" s="286"/>
      <c r="AJ253" s="286"/>
      <c r="AK253" s="286"/>
      <c r="AL253" s="286"/>
      <c r="AM253" s="286"/>
      <c r="AN253" s="286"/>
      <c r="AO253" s="286"/>
      <c r="AP253" s="287"/>
      <c r="AQ253" s="286"/>
      <c r="AR253" s="286"/>
      <c r="AS253" s="286"/>
      <c r="AT253" s="286"/>
      <c r="AU253" s="286"/>
      <c r="AV253" s="286"/>
      <c r="AW253" s="286"/>
      <c r="AX253" s="301"/>
    </row>
    <row r="254" spans="1:52" s="79" customFormat="1" ht="12">
      <c r="A254" s="288">
        <v>8</v>
      </c>
      <c r="B254" s="75" t="s">
        <v>658</v>
      </c>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7"/>
    </row>
    <row r="255" spans="1:52" s="79" customFormat="1" ht="12">
      <c r="A255" s="157"/>
      <c r="B255" s="1007" t="s">
        <v>655</v>
      </c>
      <c r="C255" s="1008"/>
      <c r="D255" s="15"/>
      <c r="E255" s="15"/>
      <c r="F255" s="15"/>
      <c r="G255" s="15"/>
      <c r="H255" s="15"/>
      <c r="I255" s="15"/>
      <c r="J255" s="15"/>
      <c r="K255" s="15"/>
      <c r="L255" s="281" t="s">
        <v>656</v>
      </c>
      <c r="M255" s="15" t="s">
        <v>886</v>
      </c>
      <c r="N255" s="15"/>
      <c r="O255" s="15"/>
      <c r="P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73"/>
      <c r="AQ255" s="15"/>
      <c r="AR255" s="15"/>
      <c r="AS255" s="15"/>
      <c r="AT255" s="15"/>
      <c r="AU255" s="15"/>
      <c r="AV255" s="15"/>
      <c r="AW255" s="15"/>
      <c r="AX255" s="74"/>
      <c r="AZ255" s="283"/>
    </row>
    <row r="256" spans="1:52" s="79" customFormat="1" ht="12">
      <c r="A256" s="157"/>
      <c r="B256" s="160"/>
      <c r="C256" s="161"/>
      <c r="D256" s="15"/>
      <c r="E256" s="15"/>
      <c r="F256" s="15"/>
      <c r="G256" s="15"/>
      <c r="H256" s="15"/>
      <c r="I256" s="15"/>
      <c r="J256" s="15"/>
      <c r="K256" s="15"/>
      <c r="L256" s="289"/>
      <c r="M256" s="289" t="s">
        <v>657</v>
      </c>
      <c r="N256" s="283" t="s">
        <v>875</v>
      </c>
      <c r="O256" s="15"/>
      <c r="P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73"/>
      <c r="AQ256" s="15"/>
      <c r="AR256" s="15"/>
      <c r="AS256" s="15"/>
      <c r="AT256" s="15"/>
      <c r="AU256" s="15"/>
      <c r="AV256" s="15"/>
      <c r="AW256" s="15"/>
      <c r="AX256" s="74"/>
      <c r="AZ256" s="283"/>
    </row>
    <row r="257" spans="1:52" s="79" customFormat="1" ht="12">
      <c r="A257" s="157"/>
      <c r="B257" s="352"/>
      <c r="C257" s="353"/>
      <c r="D257" s="15"/>
      <c r="E257" s="15"/>
      <c r="F257" s="15"/>
      <c r="G257" s="15"/>
      <c r="H257" s="15"/>
      <c r="I257" s="15"/>
      <c r="J257" s="15"/>
      <c r="K257" s="15"/>
      <c r="L257" s="289"/>
      <c r="M257" s="284"/>
      <c r="N257" s="283" t="s">
        <v>876</v>
      </c>
      <c r="O257" s="15"/>
      <c r="P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73"/>
      <c r="AQ257" s="15"/>
      <c r="AR257" s="15"/>
      <c r="AS257" s="15"/>
      <c r="AT257" s="15"/>
      <c r="AU257" s="15"/>
      <c r="AV257" s="15"/>
      <c r="AW257" s="15"/>
      <c r="AX257" s="74"/>
      <c r="AZ257" s="283"/>
    </row>
    <row r="258" spans="1:52" s="79" customFormat="1" ht="12">
      <c r="A258" s="157"/>
      <c r="B258" s="476"/>
      <c r="C258" s="477"/>
      <c r="D258" s="15"/>
      <c r="E258" s="15"/>
      <c r="F258" s="15"/>
      <c r="G258" s="15"/>
      <c r="H258" s="15"/>
      <c r="I258" s="15"/>
      <c r="J258" s="15"/>
      <c r="K258" s="15"/>
      <c r="L258" s="289"/>
      <c r="M258" s="293"/>
      <c r="N258" s="15"/>
      <c r="O258" s="15"/>
      <c r="P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73"/>
      <c r="AQ258" s="15"/>
      <c r="AR258" s="15"/>
      <c r="AS258" s="15"/>
      <c r="AT258" s="15"/>
      <c r="AU258" s="15"/>
      <c r="AV258" s="15"/>
      <c r="AW258" s="15"/>
      <c r="AX258" s="74"/>
      <c r="AZ258" s="283"/>
    </row>
    <row r="259" spans="1:52" s="79" customFormat="1" ht="12">
      <c r="A259" s="157"/>
      <c r="B259" s="476"/>
      <c r="C259" s="477"/>
      <c r="D259" s="15"/>
      <c r="E259" s="15"/>
      <c r="F259" s="15"/>
      <c r="G259" s="15"/>
      <c r="H259" s="15"/>
      <c r="I259" s="15"/>
      <c r="J259" s="15"/>
      <c r="K259" s="15"/>
      <c r="L259" s="289"/>
      <c r="M259" s="293"/>
      <c r="N259" s="485" t="s">
        <v>1085</v>
      </c>
      <c r="O259" s="485"/>
      <c r="P259" s="485"/>
      <c r="Q259" s="485"/>
      <c r="R259" s="485"/>
      <c r="S259" s="485"/>
      <c r="T259" s="485"/>
      <c r="U259" s="485"/>
      <c r="V259" s="485"/>
      <c r="W259" s="485"/>
      <c r="X259" s="485"/>
      <c r="Y259" s="485"/>
      <c r="Z259" s="485"/>
      <c r="AA259" s="485"/>
      <c r="AB259" s="15"/>
      <c r="AC259" s="15"/>
      <c r="AD259" s="15"/>
      <c r="AE259" s="15"/>
      <c r="AF259" s="15"/>
      <c r="AG259" s="15"/>
      <c r="AH259" s="15"/>
      <c r="AI259" s="15"/>
      <c r="AJ259" s="15"/>
      <c r="AK259" s="15"/>
      <c r="AL259" s="15"/>
      <c r="AM259" s="15"/>
      <c r="AN259" s="15"/>
      <c r="AO259" s="15"/>
      <c r="AP259" s="73"/>
      <c r="AQ259" s="15"/>
      <c r="AR259" s="15"/>
      <c r="AS259" s="15"/>
      <c r="AT259" s="15"/>
      <c r="AU259" s="15"/>
      <c r="AV259" s="15"/>
      <c r="AW259" s="15"/>
      <c r="AX259" s="74"/>
      <c r="AZ259" s="283"/>
    </row>
    <row r="260" spans="1:52" s="79" customFormat="1" ht="12">
      <c r="A260" s="157"/>
      <c r="B260" s="476"/>
      <c r="C260" s="477"/>
      <c r="D260" s="15"/>
      <c r="E260" s="15"/>
      <c r="F260" s="15"/>
      <c r="G260" s="15"/>
      <c r="H260" s="15"/>
      <c r="I260" s="15"/>
      <c r="J260" s="15"/>
      <c r="K260" s="15"/>
      <c r="L260" s="289"/>
      <c r="M260" s="293"/>
      <c r="N260" s="478" t="s">
        <v>671</v>
      </c>
      <c r="O260" s="479"/>
      <c r="P260" s="479"/>
      <c r="Q260" s="479"/>
      <c r="R260" s="479"/>
      <c r="S260" s="479"/>
      <c r="T260" s="479"/>
      <c r="U260" s="479"/>
      <c r="V260" s="478" t="s">
        <v>691</v>
      </c>
      <c r="W260" s="479"/>
      <c r="X260" s="479"/>
      <c r="Y260" s="479"/>
      <c r="Z260" s="479"/>
      <c r="AA260" s="479"/>
      <c r="AB260" s="479"/>
      <c r="AC260" s="479"/>
      <c r="AD260" s="479"/>
      <c r="AE260" s="479"/>
      <c r="AF260" s="480"/>
      <c r="AG260" s="15"/>
      <c r="AH260" s="15"/>
      <c r="AI260" s="15"/>
      <c r="AJ260" s="15"/>
      <c r="AK260" s="15"/>
      <c r="AL260" s="15"/>
      <c r="AM260" s="15"/>
      <c r="AN260" s="15"/>
      <c r="AO260" s="15"/>
      <c r="AP260" s="73"/>
      <c r="AQ260" s="15"/>
      <c r="AR260" s="15"/>
      <c r="AS260" s="15"/>
      <c r="AT260" s="15"/>
      <c r="AU260" s="15"/>
      <c r="AV260" s="15"/>
      <c r="AW260" s="15"/>
      <c r="AX260" s="74"/>
      <c r="AZ260" s="283"/>
    </row>
    <row r="261" spans="1:52" s="79" customFormat="1" ht="12">
      <c r="A261" s="157"/>
      <c r="B261" s="476"/>
      <c r="C261" s="477"/>
      <c r="D261" s="15"/>
      <c r="E261" s="15"/>
      <c r="F261" s="15"/>
      <c r="G261" s="15"/>
      <c r="H261" s="15"/>
      <c r="I261" s="15"/>
      <c r="J261" s="15"/>
      <c r="K261" s="15"/>
      <c r="L261" s="289"/>
      <c r="M261" s="293"/>
      <c r="N261" s="481" t="s">
        <v>362</v>
      </c>
      <c r="O261" s="482"/>
      <c r="P261" s="482"/>
      <c r="Q261" s="482"/>
      <c r="R261" s="482"/>
      <c r="S261" s="482"/>
      <c r="T261" s="482"/>
      <c r="U261" s="482"/>
      <c r="V261" s="483" t="s">
        <v>1088</v>
      </c>
      <c r="W261" s="482"/>
      <c r="X261" s="482"/>
      <c r="Y261" s="482"/>
      <c r="Z261" s="482"/>
      <c r="AA261" s="482"/>
      <c r="AB261" s="482"/>
      <c r="AC261" s="482"/>
      <c r="AD261" s="482"/>
      <c r="AE261" s="482"/>
      <c r="AF261" s="484"/>
      <c r="AG261" s="15"/>
      <c r="AH261" s="15"/>
      <c r="AI261" s="15"/>
      <c r="AJ261" s="15"/>
      <c r="AK261" s="15"/>
      <c r="AL261" s="15"/>
      <c r="AM261" s="15"/>
      <c r="AN261" s="15"/>
      <c r="AO261" s="15"/>
      <c r="AP261" s="73"/>
      <c r="AQ261" s="15"/>
      <c r="AR261" s="15"/>
      <c r="AS261" s="15"/>
      <c r="AT261" s="15"/>
      <c r="AU261" s="15"/>
      <c r="AV261" s="15"/>
      <c r="AW261" s="15"/>
      <c r="AX261" s="74"/>
      <c r="AZ261" s="283"/>
    </row>
    <row r="262" spans="1:52" s="79" customFormat="1" ht="12">
      <c r="A262" s="157"/>
      <c r="B262" s="476"/>
      <c r="C262" s="477"/>
      <c r="D262" s="15"/>
      <c r="E262" s="15"/>
      <c r="F262" s="15"/>
      <c r="G262" s="15"/>
      <c r="H262" s="15"/>
      <c r="I262" s="15"/>
      <c r="J262" s="15"/>
      <c r="K262" s="15"/>
      <c r="L262" s="289"/>
      <c r="M262" s="293"/>
      <c r="N262" s="481" t="s">
        <v>1086</v>
      </c>
      <c r="O262" s="482"/>
      <c r="P262" s="482"/>
      <c r="Q262" s="482"/>
      <c r="R262" s="482"/>
      <c r="S262" s="482"/>
      <c r="T262" s="482"/>
      <c r="U262" s="482"/>
      <c r="V262" s="481" t="s">
        <v>1087</v>
      </c>
      <c r="W262" s="482"/>
      <c r="X262" s="482"/>
      <c r="Y262" s="482"/>
      <c r="Z262" s="482"/>
      <c r="AA262" s="482"/>
      <c r="AB262" s="482"/>
      <c r="AC262" s="482"/>
      <c r="AD262" s="482"/>
      <c r="AE262" s="482"/>
      <c r="AF262" s="484"/>
      <c r="AG262" s="15"/>
      <c r="AH262" s="15"/>
      <c r="AI262" s="15"/>
      <c r="AJ262" s="15"/>
      <c r="AK262" s="15"/>
      <c r="AL262" s="15"/>
      <c r="AM262" s="15"/>
      <c r="AN262" s="15"/>
      <c r="AO262" s="15"/>
      <c r="AP262" s="73"/>
      <c r="AQ262" s="15"/>
      <c r="AR262" s="15"/>
      <c r="AS262" s="15"/>
      <c r="AT262" s="15"/>
      <c r="AU262" s="15"/>
      <c r="AV262" s="15"/>
      <c r="AW262" s="15"/>
      <c r="AX262" s="74"/>
      <c r="AZ262" s="283"/>
    </row>
    <row r="263" spans="1:52" s="79" customFormat="1" ht="12">
      <c r="A263" s="157"/>
      <c r="B263" s="476"/>
      <c r="C263" s="477"/>
      <c r="D263" s="15"/>
      <c r="E263" s="15"/>
      <c r="F263" s="15"/>
      <c r="G263" s="15"/>
      <c r="H263" s="15"/>
      <c r="I263" s="15"/>
      <c r="J263" s="15"/>
      <c r="K263" s="15"/>
      <c r="L263" s="289"/>
      <c r="M263" s="293"/>
      <c r="N263" s="481" t="s">
        <v>487</v>
      </c>
      <c r="O263" s="482"/>
      <c r="P263" s="482"/>
      <c r="Q263" s="482"/>
      <c r="R263" s="482"/>
      <c r="S263" s="482"/>
      <c r="T263" s="482"/>
      <c r="U263" s="482"/>
      <c r="V263" s="483" t="s">
        <v>1078</v>
      </c>
      <c r="W263" s="482"/>
      <c r="X263" s="482"/>
      <c r="Y263" s="482"/>
      <c r="Z263" s="482"/>
      <c r="AA263" s="482"/>
      <c r="AB263" s="482"/>
      <c r="AC263" s="482"/>
      <c r="AD263" s="482"/>
      <c r="AE263" s="482"/>
      <c r="AF263" s="484"/>
      <c r="AG263" s="15"/>
      <c r="AH263" s="15"/>
      <c r="AI263" s="15"/>
      <c r="AJ263" s="15"/>
      <c r="AK263" s="15"/>
      <c r="AL263" s="15"/>
      <c r="AM263" s="15"/>
      <c r="AN263" s="15"/>
      <c r="AO263" s="15"/>
      <c r="AP263" s="73"/>
      <c r="AQ263" s="15"/>
      <c r="AR263" s="15"/>
      <c r="AS263" s="15"/>
      <c r="AT263" s="15"/>
      <c r="AU263" s="15"/>
      <c r="AV263" s="15"/>
      <c r="AW263" s="15"/>
      <c r="AX263" s="74"/>
      <c r="AZ263" s="283"/>
    </row>
    <row r="264" spans="1:52" s="79" customFormat="1" ht="12">
      <c r="A264" s="157"/>
      <c r="B264" s="476"/>
      <c r="C264" s="477"/>
      <c r="D264" s="15"/>
      <c r="E264" s="15"/>
      <c r="F264" s="15"/>
      <c r="G264" s="15"/>
      <c r="H264" s="15"/>
      <c r="I264" s="15"/>
      <c r="J264" s="15"/>
      <c r="K264" s="15"/>
      <c r="L264" s="289"/>
      <c r="M264" s="293"/>
      <c r="N264" s="486"/>
      <c r="O264" s="102"/>
      <c r="P264" s="102"/>
      <c r="Q264" s="102"/>
      <c r="R264" s="102"/>
      <c r="S264" s="102"/>
      <c r="T264" s="102"/>
      <c r="U264" s="102"/>
      <c r="V264" s="487"/>
      <c r="W264" s="102"/>
      <c r="X264" s="102"/>
      <c r="Y264" s="102"/>
      <c r="Z264" s="102"/>
      <c r="AA264" s="102"/>
      <c r="AB264" s="15"/>
      <c r="AC264" s="15"/>
      <c r="AD264" s="15"/>
      <c r="AE264" s="15"/>
      <c r="AF264" s="15"/>
      <c r="AG264" s="15"/>
      <c r="AH264" s="15"/>
      <c r="AI264" s="15"/>
      <c r="AJ264" s="15"/>
      <c r="AK264" s="15"/>
      <c r="AL264" s="15"/>
      <c r="AM264" s="15"/>
      <c r="AN264" s="15"/>
      <c r="AO264" s="15"/>
      <c r="AP264" s="73"/>
      <c r="AQ264" s="15"/>
      <c r="AR264" s="15"/>
      <c r="AS264" s="15"/>
      <c r="AT264" s="15"/>
      <c r="AU264" s="15"/>
      <c r="AV264" s="15"/>
      <c r="AW264" s="15"/>
      <c r="AX264" s="74"/>
      <c r="AZ264" s="283"/>
    </row>
    <row r="265" spans="1:52" s="79" customFormat="1" ht="12">
      <c r="A265" s="157"/>
      <c r="B265" s="476"/>
      <c r="C265" s="477"/>
      <c r="D265" s="15"/>
      <c r="E265" s="15"/>
      <c r="F265" s="15"/>
      <c r="G265" s="15"/>
      <c r="H265" s="15"/>
      <c r="I265" s="15"/>
      <c r="J265" s="15"/>
      <c r="K265" s="15"/>
      <c r="L265" s="289"/>
      <c r="M265" s="293"/>
      <c r="N265" s="488" t="s">
        <v>1073</v>
      </c>
      <c r="O265" s="489"/>
      <c r="P265" s="489"/>
      <c r="Q265" s="489"/>
      <c r="R265" s="489"/>
      <c r="S265" s="489"/>
      <c r="T265" s="489"/>
      <c r="U265" s="489"/>
      <c r="V265" s="488" t="s">
        <v>659</v>
      </c>
      <c r="W265" s="489"/>
      <c r="X265" s="489"/>
      <c r="Y265" s="489"/>
      <c r="Z265" s="489"/>
      <c r="AA265" s="489"/>
      <c r="AB265" s="489"/>
      <c r="AC265" s="490"/>
      <c r="AD265" s="15"/>
      <c r="AE265" s="15"/>
      <c r="AF265" s="15"/>
      <c r="AG265" s="15"/>
      <c r="AH265" s="15"/>
      <c r="AI265" s="15"/>
      <c r="AJ265" s="15"/>
      <c r="AK265" s="15"/>
      <c r="AL265" s="15"/>
      <c r="AM265" s="15"/>
      <c r="AN265" s="15"/>
      <c r="AO265" s="15"/>
      <c r="AP265" s="73"/>
      <c r="AQ265" s="15"/>
      <c r="AR265" s="15"/>
      <c r="AS265" s="15"/>
      <c r="AT265" s="15"/>
      <c r="AU265" s="15"/>
      <c r="AV265" s="15"/>
      <c r="AW265" s="15"/>
      <c r="AX265" s="74"/>
      <c r="AZ265" s="283"/>
    </row>
    <row r="266" spans="1:52" s="79" customFormat="1" ht="12">
      <c r="A266" s="157"/>
      <c r="B266" s="476"/>
      <c r="C266" s="477"/>
      <c r="D266" s="15"/>
      <c r="E266" s="15"/>
      <c r="F266" s="15"/>
      <c r="G266" s="15"/>
      <c r="H266" s="15"/>
      <c r="I266" s="15"/>
      <c r="J266" s="15"/>
      <c r="K266" s="15"/>
      <c r="L266" s="289"/>
      <c r="M266" s="293"/>
      <c r="N266" s="491" t="s">
        <v>1090</v>
      </c>
      <c r="O266" s="492"/>
      <c r="P266" s="492"/>
      <c r="Q266" s="492"/>
      <c r="R266" s="492"/>
      <c r="S266" s="492"/>
      <c r="T266" s="492"/>
      <c r="U266" s="492"/>
      <c r="V266" s="491" t="s">
        <v>1089</v>
      </c>
      <c r="W266" s="492"/>
      <c r="X266" s="492"/>
      <c r="Y266" s="492"/>
      <c r="Z266" s="492"/>
      <c r="AA266" s="492"/>
      <c r="AB266" s="492"/>
      <c r="AC266" s="493"/>
      <c r="AD266" s="15"/>
      <c r="AE266" s="15"/>
      <c r="AF266" s="15"/>
      <c r="AG266" s="15"/>
      <c r="AH266" s="15"/>
      <c r="AI266" s="15"/>
      <c r="AJ266" s="15"/>
      <c r="AK266" s="15"/>
      <c r="AL266" s="15"/>
      <c r="AM266" s="15"/>
      <c r="AN266" s="15"/>
      <c r="AO266" s="15"/>
      <c r="AP266" s="73"/>
      <c r="AQ266" s="15"/>
      <c r="AR266" s="15"/>
      <c r="AS266" s="15"/>
      <c r="AT266" s="15"/>
      <c r="AU266" s="15"/>
      <c r="AV266" s="15"/>
      <c r="AW266" s="15"/>
      <c r="AX266" s="74"/>
      <c r="AZ266" s="283"/>
    </row>
    <row r="267" spans="1:52" s="79" customFormat="1" ht="12">
      <c r="A267" s="157"/>
      <c r="B267" s="476"/>
      <c r="C267" s="477"/>
      <c r="D267" s="15"/>
      <c r="E267" s="15"/>
      <c r="F267" s="15"/>
      <c r="G267" s="15"/>
      <c r="H267" s="15"/>
      <c r="I267" s="15"/>
      <c r="J267" s="15"/>
      <c r="K267" s="15"/>
      <c r="L267" s="289"/>
      <c r="M267" s="293"/>
      <c r="N267" s="491" t="s">
        <v>1091</v>
      </c>
      <c r="O267" s="492"/>
      <c r="P267" s="492"/>
      <c r="Q267" s="492"/>
      <c r="R267" s="492"/>
      <c r="S267" s="492"/>
      <c r="T267" s="492"/>
      <c r="U267" s="492"/>
      <c r="V267" s="491" t="s">
        <v>1092</v>
      </c>
      <c r="W267" s="492"/>
      <c r="X267" s="492"/>
      <c r="Y267" s="492"/>
      <c r="Z267" s="492"/>
      <c r="AA267" s="492"/>
      <c r="AB267" s="492"/>
      <c r="AC267" s="493"/>
      <c r="AD267" s="15"/>
      <c r="AE267" s="15"/>
      <c r="AF267" s="15"/>
      <c r="AG267" s="15"/>
      <c r="AH267" s="15"/>
      <c r="AI267" s="15"/>
      <c r="AJ267" s="15"/>
      <c r="AK267" s="15"/>
      <c r="AL267" s="15"/>
      <c r="AM267" s="15"/>
      <c r="AN267" s="15"/>
      <c r="AO267" s="15"/>
      <c r="AP267" s="73"/>
      <c r="AQ267" s="15"/>
      <c r="AR267" s="15"/>
      <c r="AS267" s="15"/>
      <c r="AT267" s="15"/>
      <c r="AU267" s="15"/>
      <c r="AV267" s="15"/>
      <c r="AW267" s="15"/>
      <c r="AX267" s="74"/>
      <c r="AZ267" s="283"/>
    </row>
    <row r="268" spans="1:52" s="79" customFormat="1" ht="12">
      <c r="A268" s="157"/>
      <c r="B268" s="476"/>
      <c r="C268" s="477"/>
      <c r="D268" s="15"/>
      <c r="E268" s="15"/>
      <c r="F268" s="15"/>
      <c r="G268" s="15"/>
      <c r="H268" s="15"/>
      <c r="I268" s="15"/>
      <c r="J268" s="15"/>
      <c r="K268" s="15"/>
      <c r="L268" s="289"/>
      <c r="M268" s="293"/>
      <c r="N268" s="491" t="s">
        <v>1097</v>
      </c>
      <c r="O268" s="492"/>
      <c r="P268" s="492"/>
      <c r="Q268" s="492"/>
      <c r="R268" s="492"/>
      <c r="S268" s="492"/>
      <c r="T268" s="492"/>
      <c r="U268" s="492"/>
      <c r="V268" s="491" t="s">
        <v>1098</v>
      </c>
      <c r="W268" s="492"/>
      <c r="X268" s="492"/>
      <c r="Y268" s="492"/>
      <c r="Z268" s="492"/>
      <c r="AA268" s="492"/>
      <c r="AB268" s="492"/>
      <c r="AC268" s="493"/>
      <c r="AD268" s="15"/>
      <c r="AE268" s="15"/>
      <c r="AF268" s="15"/>
      <c r="AG268" s="15"/>
      <c r="AH268" s="15"/>
      <c r="AI268" s="15"/>
      <c r="AJ268" s="15"/>
      <c r="AK268" s="15"/>
      <c r="AL268" s="15"/>
      <c r="AM268" s="15"/>
      <c r="AN268" s="15"/>
      <c r="AO268" s="15"/>
      <c r="AP268" s="73"/>
      <c r="AQ268" s="15"/>
      <c r="AR268" s="15"/>
      <c r="AS268" s="15"/>
      <c r="AT268" s="15"/>
      <c r="AU268" s="15"/>
      <c r="AV268" s="15"/>
      <c r="AW268" s="15"/>
      <c r="AX268" s="74"/>
      <c r="AZ268" s="283"/>
    </row>
    <row r="269" spans="1:52" s="79" customFormat="1" ht="12">
      <c r="A269" s="157"/>
      <c r="B269" s="476"/>
      <c r="C269" s="477"/>
      <c r="D269" s="15"/>
      <c r="E269" s="15"/>
      <c r="F269" s="15"/>
      <c r="G269" s="15"/>
      <c r="H269" s="15"/>
      <c r="I269" s="15"/>
      <c r="J269" s="15"/>
      <c r="K269" s="15"/>
      <c r="L269" s="289"/>
      <c r="M269" s="293"/>
      <c r="N269" s="491" t="s">
        <v>1093</v>
      </c>
      <c r="O269" s="492"/>
      <c r="P269" s="492"/>
      <c r="Q269" s="492"/>
      <c r="R269" s="492"/>
      <c r="S269" s="492"/>
      <c r="T269" s="492"/>
      <c r="U269" s="492"/>
      <c r="V269" s="491" t="s">
        <v>1094</v>
      </c>
      <c r="W269" s="492"/>
      <c r="X269" s="492"/>
      <c r="Y269" s="492"/>
      <c r="Z269" s="492"/>
      <c r="AA269" s="492"/>
      <c r="AB269" s="492"/>
      <c r="AC269" s="493"/>
      <c r="AD269" s="15"/>
      <c r="AE269" s="15"/>
      <c r="AF269" s="15"/>
      <c r="AG269" s="15"/>
      <c r="AH269" s="15"/>
      <c r="AI269" s="15"/>
      <c r="AJ269" s="15"/>
      <c r="AK269" s="15"/>
      <c r="AL269" s="15"/>
      <c r="AM269" s="15"/>
      <c r="AN269" s="15"/>
      <c r="AO269" s="15"/>
      <c r="AP269" s="73"/>
      <c r="AQ269" s="15"/>
      <c r="AR269" s="15"/>
      <c r="AS269" s="15"/>
      <c r="AT269" s="15"/>
      <c r="AU269" s="15"/>
      <c r="AV269" s="15"/>
      <c r="AW269" s="15"/>
      <c r="AX269" s="74"/>
      <c r="AZ269" s="283"/>
    </row>
    <row r="270" spans="1:52" s="79" customFormat="1" ht="12">
      <c r="A270" s="157"/>
      <c r="B270" s="476"/>
      <c r="C270" s="477"/>
      <c r="D270" s="15"/>
      <c r="E270" s="15"/>
      <c r="F270" s="15"/>
      <c r="G270" s="15"/>
      <c r="H270" s="15"/>
      <c r="I270" s="15"/>
      <c r="J270" s="15"/>
      <c r="K270" s="15"/>
      <c r="L270" s="289"/>
      <c r="M270" s="293"/>
      <c r="N270" s="491" t="s">
        <v>1099</v>
      </c>
      <c r="O270" s="492"/>
      <c r="P270" s="492"/>
      <c r="Q270" s="492"/>
      <c r="R270" s="492"/>
      <c r="S270" s="492"/>
      <c r="T270" s="492"/>
      <c r="U270" s="492"/>
      <c r="V270" s="491" t="s">
        <v>1100</v>
      </c>
      <c r="W270" s="492"/>
      <c r="X270" s="492"/>
      <c r="Y270" s="492"/>
      <c r="Z270" s="492"/>
      <c r="AA270" s="492"/>
      <c r="AB270" s="492"/>
      <c r="AC270" s="493"/>
      <c r="AD270" s="15"/>
      <c r="AE270" s="15"/>
      <c r="AF270" s="15"/>
      <c r="AG270" s="15"/>
      <c r="AH270" s="15"/>
      <c r="AI270" s="15"/>
      <c r="AJ270" s="15"/>
      <c r="AK270" s="15"/>
      <c r="AL270" s="15"/>
      <c r="AM270" s="15"/>
      <c r="AN270" s="15"/>
      <c r="AO270" s="15"/>
      <c r="AP270" s="73"/>
      <c r="AQ270" s="15"/>
      <c r="AR270" s="15"/>
      <c r="AS270" s="15"/>
      <c r="AT270" s="15"/>
      <c r="AU270" s="15"/>
      <c r="AV270" s="15"/>
      <c r="AW270" s="15"/>
      <c r="AX270" s="74"/>
      <c r="AZ270" s="283"/>
    </row>
    <row r="271" spans="1:52" s="79" customFormat="1" ht="12">
      <c r="A271" s="157"/>
      <c r="B271" s="476"/>
      <c r="C271" s="477"/>
      <c r="D271" s="15"/>
      <c r="E271" s="15"/>
      <c r="F271" s="15"/>
      <c r="G271" s="15"/>
      <c r="H271" s="15"/>
      <c r="I271" s="15"/>
      <c r="J271" s="15"/>
      <c r="K271" s="15"/>
      <c r="L271" s="289"/>
      <c r="M271" s="293"/>
      <c r="N271" s="491" t="s">
        <v>1095</v>
      </c>
      <c r="O271" s="492"/>
      <c r="P271" s="492"/>
      <c r="Q271" s="492"/>
      <c r="R271" s="492"/>
      <c r="S271" s="492"/>
      <c r="T271" s="492"/>
      <c r="U271" s="492"/>
      <c r="V271" s="491" t="s">
        <v>1096</v>
      </c>
      <c r="W271" s="492"/>
      <c r="X271" s="492"/>
      <c r="Y271" s="492"/>
      <c r="Z271" s="492"/>
      <c r="AA271" s="492"/>
      <c r="AB271" s="492"/>
      <c r="AC271" s="493"/>
      <c r="AD271" s="15"/>
      <c r="AE271" s="15"/>
      <c r="AF271" s="15"/>
      <c r="AG271" s="15"/>
      <c r="AH271" s="15"/>
      <c r="AI271" s="15"/>
      <c r="AJ271" s="15"/>
      <c r="AK271" s="15"/>
      <c r="AL271" s="15"/>
      <c r="AM271" s="15"/>
      <c r="AN271" s="15"/>
      <c r="AO271" s="15"/>
      <c r="AP271" s="73"/>
      <c r="AQ271" s="15"/>
      <c r="AR271" s="15"/>
      <c r="AS271" s="15"/>
      <c r="AT271" s="15"/>
      <c r="AU271" s="15"/>
      <c r="AV271" s="15"/>
      <c r="AW271" s="15"/>
      <c r="AX271" s="74"/>
      <c r="AZ271" s="283"/>
    </row>
    <row r="272" spans="1:52" s="79" customFormat="1" ht="12">
      <c r="A272" s="157"/>
      <c r="B272" s="476"/>
      <c r="C272" s="477"/>
      <c r="D272" s="15"/>
      <c r="E272" s="15"/>
      <c r="F272" s="15"/>
      <c r="G272" s="15"/>
      <c r="H272" s="15"/>
      <c r="I272" s="15"/>
      <c r="J272" s="15"/>
      <c r="K272" s="15"/>
      <c r="L272" s="289"/>
      <c r="M272" s="293"/>
      <c r="N272" s="491" t="s">
        <v>1101</v>
      </c>
      <c r="O272" s="492"/>
      <c r="P272" s="492"/>
      <c r="Q272" s="492"/>
      <c r="R272" s="492"/>
      <c r="S272" s="492"/>
      <c r="T272" s="492"/>
      <c r="U272" s="492"/>
      <c r="V272" s="491" t="s">
        <v>1102</v>
      </c>
      <c r="W272" s="492"/>
      <c r="X272" s="492"/>
      <c r="Y272" s="492"/>
      <c r="Z272" s="492"/>
      <c r="AA272" s="492"/>
      <c r="AB272" s="492"/>
      <c r="AC272" s="493"/>
      <c r="AD272" s="15"/>
      <c r="AE272" s="15"/>
      <c r="AF272" s="15"/>
      <c r="AG272" s="15"/>
      <c r="AH272" s="15"/>
      <c r="AI272" s="15"/>
      <c r="AJ272" s="15"/>
      <c r="AK272" s="15"/>
      <c r="AL272" s="15"/>
      <c r="AM272" s="15"/>
      <c r="AN272" s="15"/>
      <c r="AO272" s="15"/>
      <c r="AP272" s="73"/>
      <c r="AQ272" s="15"/>
      <c r="AR272" s="15"/>
      <c r="AS272" s="15"/>
      <c r="AT272" s="15"/>
      <c r="AU272" s="15"/>
      <c r="AV272" s="15"/>
      <c r="AW272" s="15"/>
      <c r="AX272" s="74"/>
      <c r="AZ272" s="283"/>
    </row>
    <row r="273" spans="1:52" s="79" customFormat="1" ht="12">
      <c r="A273" s="157"/>
      <c r="B273" s="476"/>
      <c r="C273" s="477"/>
      <c r="D273" s="15"/>
      <c r="E273" s="15"/>
      <c r="F273" s="15"/>
      <c r="G273" s="15"/>
      <c r="H273" s="15"/>
      <c r="I273" s="15"/>
      <c r="J273" s="15"/>
      <c r="K273" s="15"/>
      <c r="L273" s="289"/>
      <c r="M273" s="293"/>
      <c r="N273" s="483" t="s">
        <v>1103</v>
      </c>
      <c r="O273" s="482"/>
      <c r="P273" s="482"/>
      <c r="Q273" s="482"/>
      <c r="R273" s="482"/>
      <c r="S273" s="482"/>
      <c r="T273" s="482"/>
      <c r="U273" s="482"/>
      <c r="V273" s="483" t="s">
        <v>1104</v>
      </c>
      <c r="W273" s="482"/>
      <c r="X273" s="482"/>
      <c r="Y273" s="482"/>
      <c r="Z273" s="482"/>
      <c r="AA273" s="482"/>
      <c r="AB273" s="482"/>
      <c r="AC273" s="484"/>
      <c r="AD273" s="15"/>
      <c r="AE273" s="15"/>
      <c r="AF273" s="15"/>
      <c r="AG273" s="15"/>
      <c r="AH273" s="15"/>
      <c r="AI273" s="15"/>
      <c r="AJ273" s="15"/>
      <c r="AK273" s="15"/>
      <c r="AL273" s="15"/>
      <c r="AM273" s="15"/>
      <c r="AN273" s="15"/>
      <c r="AO273" s="15"/>
      <c r="AP273" s="73"/>
      <c r="AQ273" s="15"/>
      <c r="AR273" s="15"/>
      <c r="AS273" s="15"/>
      <c r="AT273" s="15"/>
      <c r="AU273" s="15"/>
      <c r="AV273" s="15"/>
      <c r="AW273" s="15"/>
      <c r="AX273" s="74"/>
      <c r="AZ273" s="283"/>
    </row>
    <row r="274" spans="1:52" s="79" customFormat="1" ht="12">
      <c r="A274" s="157"/>
      <c r="B274" s="476"/>
      <c r="C274" s="477"/>
      <c r="D274" s="15"/>
      <c r="E274" s="15"/>
      <c r="F274" s="15"/>
      <c r="G274" s="15"/>
      <c r="H274" s="15"/>
      <c r="I274" s="15"/>
      <c r="J274" s="15"/>
      <c r="K274" s="15"/>
      <c r="L274" s="289"/>
      <c r="M274" s="293"/>
      <c r="N274" s="15"/>
      <c r="O274" s="15"/>
      <c r="P274" s="15"/>
      <c r="Q274" s="95"/>
      <c r="R274" s="15"/>
      <c r="S274" s="15"/>
      <c r="T274" s="15"/>
      <c r="U274" s="15"/>
      <c r="V274" s="102"/>
      <c r="W274" s="15"/>
      <c r="X274" s="15"/>
      <c r="Y274" s="15"/>
      <c r="Z274" s="15"/>
      <c r="AA274" s="15"/>
      <c r="AB274" s="15"/>
      <c r="AC274" s="15"/>
      <c r="AD274" s="15"/>
      <c r="AE274" s="15"/>
      <c r="AF274" s="15"/>
      <c r="AG274" s="15"/>
      <c r="AH274" s="15"/>
      <c r="AI274" s="15"/>
      <c r="AJ274" s="15"/>
      <c r="AK274" s="15"/>
      <c r="AL274" s="15"/>
      <c r="AM274" s="15"/>
      <c r="AN274" s="15"/>
      <c r="AO274" s="15"/>
      <c r="AP274" s="73"/>
      <c r="AQ274" s="15"/>
      <c r="AR274" s="15"/>
      <c r="AS274" s="15"/>
      <c r="AT274" s="15"/>
      <c r="AU274" s="15"/>
      <c r="AV274" s="15"/>
      <c r="AW274" s="15"/>
      <c r="AX274" s="74"/>
      <c r="AZ274" s="283"/>
    </row>
    <row r="275" spans="1:52" s="79" customFormat="1" ht="12">
      <c r="A275" s="157"/>
      <c r="B275" s="160"/>
      <c r="C275" s="161"/>
      <c r="D275" s="15"/>
      <c r="E275" s="15"/>
      <c r="F275" s="15"/>
      <c r="G275" s="15"/>
      <c r="H275" s="15"/>
      <c r="I275" s="15"/>
      <c r="J275" s="15"/>
      <c r="K275" s="15"/>
      <c r="L275" s="289"/>
      <c r="M275" s="15"/>
      <c r="N275" s="15"/>
      <c r="O275" s="15"/>
      <c r="P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73"/>
      <c r="AQ275" s="15"/>
      <c r="AR275" s="15"/>
      <c r="AS275" s="15"/>
      <c r="AT275" s="15"/>
      <c r="AU275" s="15"/>
      <c r="AV275" s="15"/>
      <c r="AW275" s="15"/>
      <c r="AX275" s="74"/>
      <c r="AZ275" s="283"/>
    </row>
    <row r="276" spans="1:52" s="79" customFormat="1" ht="12">
      <c r="A276" s="157"/>
      <c r="B276" s="160"/>
      <c r="C276" s="161"/>
      <c r="D276" s="15"/>
      <c r="E276" s="15"/>
      <c r="F276" s="15"/>
      <c r="G276" s="15"/>
      <c r="H276" s="15"/>
      <c r="I276" s="15"/>
      <c r="J276" s="15"/>
      <c r="K276" s="15"/>
      <c r="L276" s="292" t="s">
        <v>660</v>
      </c>
      <c r="M276" s="291" t="s">
        <v>887</v>
      </c>
      <c r="N276" s="290"/>
      <c r="O276" s="15"/>
      <c r="P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73"/>
      <c r="AQ276" s="15"/>
      <c r="AR276" s="15"/>
      <c r="AS276" s="15"/>
      <c r="AT276" s="15"/>
      <c r="AU276" s="15"/>
      <c r="AV276" s="15"/>
      <c r="AW276" s="15"/>
      <c r="AX276" s="74"/>
      <c r="AZ276" s="283"/>
    </row>
    <row r="277" spans="1:52" s="79" customFormat="1" ht="12">
      <c r="A277" s="157"/>
      <c r="B277" s="160"/>
      <c r="C277" s="161"/>
      <c r="D277" s="15"/>
      <c r="E277" s="15"/>
      <c r="F277" s="15"/>
      <c r="G277" s="15"/>
      <c r="H277" s="15"/>
      <c r="I277" s="15"/>
      <c r="J277" s="15"/>
      <c r="K277" s="15"/>
      <c r="L277" s="289"/>
      <c r="M277" s="289" t="s">
        <v>661</v>
      </c>
      <c r="N277" s="360" t="s">
        <v>892</v>
      </c>
      <c r="O277" s="15"/>
      <c r="P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73"/>
      <c r="AQ277" s="15"/>
      <c r="AR277" s="15"/>
      <c r="AS277" s="15"/>
      <c r="AT277" s="15"/>
      <c r="AU277" s="15"/>
      <c r="AV277" s="15"/>
      <c r="AW277" s="15"/>
      <c r="AX277" s="74"/>
      <c r="AZ277" s="283"/>
    </row>
    <row r="278" spans="1:52" s="79" customFormat="1" ht="12">
      <c r="A278" s="157"/>
      <c r="B278" s="352"/>
      <c r="C278" s="353"/>
      <c r="D278" s="15"/>
      <c r="E278" s="15"/>
      <c r="F278" s="15"/>
      <c r="G278" s="15"/>
      <c r="H278" s="15"/>
      <c r="I278" s="15"/>
      <c r="J278" s="15"/>
      <c r="K278" s="15"/>
      <c r="L278" s="289"/>
      <c r="M278" s="284"/>
      <c r="N278" s="360" t="s">
        <v>893</v>
      </c>
      <c r="O278" s="15"/>
      <c r="P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73"/>
      <c r="AQ278" s="15"/>
      <c r="AR278" s="15"/>
      <c r="AS278" s="15"/>
      <c r="AT278" s="15"/>
      <c r="AU278" s="15"/>
      <c r="AV278" s="15"/>
      <c r="AW278" s="15"/>
      <c r="AX278" s="74"/>
      <c r="AZ278" s="283"/>
    </row>
    <row r="279" spans="1:52" s="79" customFormat="1" ht="12">
      <c r="A279" s="157"/>
      <c r="B279" s="476"/>
      <c r="C279" s="477"/>
      <c r="D279" s="15"/>
      <c r="E279" s="15"/>
      <c r="F279" s="15"/>
      <c r="G279" s="15"/>
      <c r="H279" s="15"/>
      <c r="I279" s="15"/>
      <c r="J279" s="15"/>
      <c r="K279" s="15"/>
      <c r="L279" s="289"/>
      <c r="M279" s="293"/>
      <c r="N279" s="15"/>
      <c r="O279" s="15"/>
      <c r="P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73"/>
      <c r="AQ279" s="15"/>
      <c r="AR279" s="15"/>
      <c r="AS279" s="15"/>
      <c r="AT279" s="15"/>
      <c r="AU279" s="15"/>
      <c r="AV279" s="15"/>
      <c r="AW279" s="15"/>
      <c r="AX279" s="74"/>
      <c r="AZ279" s="283"/>
    </row>
    <row r="280" spans="1:52" s="79" customFormat="1" ht="12">
      <c r="A280" s="157"/>
      <c r="B280" s="476"/>
      <c r="C280" s="477"/>
      <c r="D280" s="15"/>
      <c r="E280" s="15"/>
      <c r="F280" s="15"/>
      <c r="G280" s="15"/>
      <c r="H280" s="15"/>
      <c r="I280" s="15"/>
      <c r="J280" s="15"/>
      <c r="K280" s="15"/>
      <c r="L280" s="289"/>
      <c r="M280" s="293"/>
      <c r="N280" s="485" t="s">
        <v>1105</v>
      </c>
      <c r="O280" s="485"/>
      <c r="P280" s="485"/>
      <c r="Q280" s="485"/>
      <c r="R280" s="485"/>
      <c r="S280" s="485"/>
      <c r="T280" s="485"/>
      <c r="U280" s="485"/>
      <c r="V280" s="485"/>
      <c r="W280" s="485"/>
      <c r="X280" s="485"/>
      <c r="Y280" s="485"/>
      <c r="Z280" s="485"/>
      <c r="AA280" s="485"/>
      <c r="AB280" s="15"/>
      <c r="AC280" s="15"/>
      <c r="AD280" s="15"/>
      <c r="AE280" s="15"/>
      <c r="AF280" s="15"/>
      <c r="AG280" s="15"/>
      <c r="AH280" s="15"/>
      <c r="AI280" s="15"/>
      <c r="AJ280" s="15"/>
      <c r="AK280" s="15"/>
      <c r="AL280" s="15"/>
      <c r="AM280" s="15"/>
      <c r="AN280" s="15"/>
      <c r="AO280" s="15"/>
      <c r="AP280" s="73"/>
      <c r="AQ280" s="15"/>
      <c r="AR280" s="15"/>
      <c r="AS280" s="15"/>
      <c r="AT280" s="15"/>
      <c r="AU280" s="15"/>
      <c r="AV280" s="15"/>
      <c r="AW280" s="15"/>
      <c r="AX280" s="74"/>
      <c r="AZ280" s="283"/>
    </row>
    <row r="281" spans="1:52" s="79" customFormat="1" ht="12">
      <c r="A281" s="157"/>
      <c r="B281" s="476"/>
      <c r="C281" s="477"/>
      <c r="D281" s="15"/>
      <c r="E281" s="15"/>
      <c r="F281" s="15"/>
      <c r="G281" s="15"/>
      <c r="H281" s="15"/>
      <c r="I281" s="15"/>
      <c r="J281" s="15"/>
      <c r="K281" s="15"/>
      <c r="L281" s="289"/>
      <c r="M281" s="293"/>
      <c r="N281" s="478" t="s">
        <v>671</v>
      </c>
      <c r="O281" s="479"/>
      <c r="P281" s="479"/>
      <c r="Q281" s="479"/>
      <c r="R281" s="479"/>
      <c r="S281" s="479"/>
      <c r="T281" s="479"/>
      <c r="U281" s="479"/>
      <c r="V281" s="478" t="s">
        <v>691</v>
      </c>
      <c r="W281" s="479"/>
      <c r="X281" s="479"/>
      <c r="Y281" s="479"/>
      <c r="Z281" s="479"/>
      <c r="AA281" s="479"/>
      <c r="AB281" s="479"/>
      <c r="AC281" s="480"/>
      <c r="AD281" s="15"/>
      <c r="AE281" s="15"/>
      <c r="AF281" s="15"/>
      <c r="AG281" s="15"/>
      <c r="AH281" s="15"/>
      <c r="AI281" s="15"/>
      <c r="AJ281" s="15"/>
      <c r="AK281" s="15"/>
      <c r="AL281" s="15"/>
      <c r="AM281" s="15"/>
      <c r="AN281" s="15"/>
      <c r="AO281" s="15"/>
      <c r="AP281" s="73"/>
      <c r="AQ281" s="15"/>
      <c r="AR281" s="15"/>
      <c r="AS281" s="15"/>
      <c r="AT281" s="15"/>
      <c r="AU281" s="15"/>
      <c r="AV281" s="15"/>
      <c r="AW281" s="15"/>
      <c r="AX281" s="74"/>
      <c r="AZ281" s="283"/>
    </row>
    <row r="282" spans="1:52" s="79" customFormat="1" ht="12">
      <c r="A282" s="157"/>
      <c r="B282" s="476"/>
      <c r="C282" s="477"/>
      <c r="D282" s="15"/>
      <c r="E282" s="15"/>
      <c r="F282" s="15"/>
      <c r="G282" s="15"/>
      <c r="H282" s="15"/>
      <c r="I282" s="15"/>
      <c r="J282" s="15"/>
      <c r="K282" s="15"/>
      <c r="L282" s="289"/>
      <c r="M282" s="293"/>
      <c r="N282" s="481" t="s">
        <v>1106</v>
      </c>
      <c r="O282" s="482"/>
      <c r="P282" s="482"/>
      <c r="Q282" s="482"/>
      <c r="R282" s="482"/>
      <c r="S282" s="482"/>
      <c r="T282" s="482"/>
      <c r="U282" s="482"/>
      <c r="V282" s="483" t="s">
        <v>1107</v>
      </c>
      <c r="W282" s="482"/>
      <c r="X282" s="482"/>
      <c r="Y282" s="482"/>
      <c r="Z282" s="482"/>
      <c r="AA282" s="482"/>
      <c r="AB282" s="482"/>
      <c r="AC282" s="484"/>
      <c r="AD282" s="15"/>
      <c r="AE282" s="15"/>
      <c r="AF282" s="15"/>
      <c r="AG282" s="15"/>
      <c r="AH282" s="15"/>
      <c r="AI282" s="15"/>
      <c r="AJ282" s="15"/>
      <c r="AK282" s="15"/>
      <c r="AL282" s="15"/>
      <c r="AM282" s="15"/>
      <c r="AN282" s="15"/>
      <c r="AO282" s="15"/>
      <c r="AP282" s="73"/>
      <c r="AQ282" s="15"/>
      <c r="AR282" s="15"/>
      <c r="AS282" s="15"/>
      <c r="AT282" s="15"/>
      <c r="AU282" s="15"/>
      <c r="AV282" s="15"/>
      <c r="AW282" s="15"/>
      <c r="AX282" s="74"/>
      <c r="AZ282" s="283"/>
    </row>
    <row r="283" spans="1:52" s="79" customFormat="1" ht="12">
      <c r="A283" s="157"/>
      <c r="B283" s="476"/>
      <c r="C283" s="477"/>
      <c r="D283" s="15"/>
      <c r="E283" s="15"/>
      <c r="F283" s="15"/>
      <c r="G283" s="15"/>
      <c r="H283" s="15"/>
      <c r="I283" s="15"/>
      <c r="J283" s="15"/>
      <c r="K283" s="15"/>
      <c r="L283" s="289"/>
      <c r="M283" s="293"/>
      <c r="N283" s="486"/>
      <c r="O283" s="102"/>
      <c r="P283" s="102"/>
      <c r="Q283" s="102"/>
      <c r="R283" s="102"/>
      <c r="S283" s="102"/>
      <c r="T283" s="102"/>
      <c r="U283" s="102"/>
      <c r="V283" s="487"/>
      <c r="W283" s="102"/>
      <c r="X283" s="102"/>
      <c r="Y283" s="102"/>
      <c r="Z283" s="102"/>
      <c r="AA283" s="102"/>
      <c r="AB283" s="15"/>
      <c r="AC283" s="15"/>
      <c r="AD283" s="15"/>
      <c r="AE283" s="15"/>
      <c r="AF283" s="15"/>
      <c r="AG283" s="15"/>
      <c r="AH283" s="15"/>
      <c r="AI283" s="15"/>
      <c r="AJ283" s="15"/>
      <c r="AK283" s="15"/>
      <c r="AL283" s="15"/>
      <c r="AM283" s="15"/>
      <c r="AN283" s="15"/>
      <c r="AO283" s="15"/>
      <c r="AP283" s="73"/>
      <c r="AQ283" s="15"/>
      <c r="AR283" s="15"/>
      <c r="AS283" s="15"/>
      <c r="AT283" s="15"/>
      <c r="AU283" s="15"/>
      <c r="AV283" s="15"/>
      <c r="AW283" s="15"/>
      <c r="AX283" s="74"/>
      <c r="AZ283" s="283"/>
    </row>
    <row r="284" spans="1:52" s="79" customFormat="1" ht="12">
      <c r="A284" s="157"/>
      <c r="B284" s="476"/>
      <c r="C284" s="477"/>
      <c r="D284" s="15"/>
      <c r="E284" s="15"/>
      <c r="F284" s="15"/>
      <c r="G284" s="15"/>
      <c r="H284" s="15"/>
      <c r="I284" s="15"/>
      <c r="J284" s="15"/>
      <c r="K284" s="15"/>
      <c r="L284" s="289"/>
      <c r="M284" s="293"/>
      <c r="N284" s="488" t="s">
        <v>1073</v>
      </c>
      <c r="O284" s="489"/>
      <c r="P284" s="489"/>
      <c r="Q284" s="489"/>
      <c r="R284" s="489"/>
      <c r="S284" s="489"/>
      <c r="T284" s="489"/>
      <c r="U284" s="489"/>
      <c r="V284" s="488" t="s">
        <v>659</v>
      </c>
      <c r="W284" s="489"/>
      <c r="X284" s="489"/>
      <c r="Y284" s="489"/>
      <c r="Z284" s="489"/>
      <c r="AA284" s="489"/>
      <c r="AB284" s="489"/>
      <c r="AC284" s="490"/>
      <c r="AD284" s="15"/>
      <c r="AE284" s="15"/>
      <c r="AF284" s="15"/>
      <c r="AG284" s="15"/>
      <c r="AH284" s="15"/>
      <c r="AI284" s="15"/>
      <c r="AJ284" s="15"/>
      <c r="AK284" s="15"/>
      <c r="AL284" s="15"/>
      <c r="AM284" s="15"/>
      <c r="AN284" s="15"/>
      <c r="AO284" s="15"/>
      <c r="AP284" s="73"/>
      <c r="AQ284" s="15"/>
      <c r="AR284" s="15"/>
      <c r="AS284" s="15"/>
      <c r="AT284" s="15"/>
      <c r="AU284" s="15"/>
      <c r="AV284" s="15"/>
      <c r="AW284" s="15"/>
      <c r="AX284" s="74"/>
      <c r="AZ284" s="283"/>
    </row>
    <row r="285" spans="1:52" s="79" customFormat="1" ht="12">
      <c r="A285" s="157"/>
      <c r="B285" s="476"/>
      <c r="C285" s="477"/>
      <c r="D285" s="15"/>
      <c r="E285" s="15"/>
      <c r="F285" s="15"/>
      <c r="G285" s="15"/>
      <c r="H285" s="15"/>
      <c r="I285" s="15"/>
      <c r="J285" s="15"/>
      <c r="K285" s="15"/>
      <c r="L285" s="289"/>
      <c r="M285" s="293"/>
      <c r="N285" s="491" t="s">
        <v>1108</v>
      </c>
      <c r="O285" s="492"/>
      <c r="P285" s="492"/>
      <c r="Q285" s="492"/>
      <c r="R285" s="492"/>
      <c r="S285" s="492"/>
      <c r="T285" s="492"/>
      <c r="U285" s="492"/>
      <c r="V285" s="491" t="s">
        <v>1110</v>
      </c>
      <c r="W285" s="492"/>
      <c r="X285" s="492"/>
      <c r="Y285" s="492"/>
      <c r="Z285" s="492"/>
      <c r="AA285" s="492"/>
      <c r="AB285" s="492"/>
      <c r="AC285" s="493"/>
      <c r="AD285" s="15"/>
      <c r="AE285" s="15"/>
      <c r="AF285" s="15"/>
      <c r="AG285" s="15"/>
      <c r="AH285" s="15"/>
      <c r="AI285" s="15"/>
      <c r="AJ285" s="15"/>
      <c r="AK285" s="15"/>
      <c r="AL285" s="15"/>
      <c r="AM285" s="15"/>
      <c r="AN285" s="15"/>
      <c r="AO285" s="15"/>
      <c r="AP285" s="73"/>
      <c r="AQ285" s="15"/>
      <c r="AR285" s="15"/>
      <c r="AS285" s="15"/>
      <c r="AT285" s="15"/>
      <c r="AU285" s="15"/>
      <c r="AV285" s="15"/>
      <c r="AW285" s="15"/>
      <c r="AX285" s="74"/>
      <c r="AZ285" s="283"/>
    </row>
    <row r="286" spans="1:52" s="79" customFormat="1" ht="12">
      <c r="A286" s="157"/>
      <c r="B286" s="476"/>
      <c r="C286" s="477"/>
      <c r="D286" s="15"/>
      <c r="E286" s="15"/>
      <c r="F286" s="15"/>
      <c r="G286" s="15"/>
      <c r="H286" s="15"/>
      <c r="I286" s="15"/>
      <c r="J286" s="15"/>
      <c r="K286" s="15"/>
      <c r="L286" s="289"/>
      <c r="M286" s="293"/>
      <c r="N286" s="483" t="s">
        <v>1109</v>
      </c>
      <c r="O286" s="482"/>
      <c r="P286" s="482"/>
      <c r="Q286" s="482"/>
      <c r="R286" s="482"/>
      <c r="S286" s="482"/>
      <c r="T286" s="482"/>
      <c r="U286" s="482"/>
      <c r="V286" s="483" t="s">
        <v>1111</v>
      </c>
      <c r="W286" s="482"/>
      <c r="X286" s="482"/>
      <c r="Y286" s="482"/>
      <c r="Z286" s="482"/>
      <c r="AA286" s="482"/>
      <c r="AB286" s="482"/>
      <c r="AC286" s="484"/>
      <c r="AD286" s="15"/>
      <c r="AE286" s="15"/>
      <c r="AF286" s="15"/>
      <c r="AG286" s="15"/>
      <c r="AH286" s="15"/>
      <c r="AI286" s="15"/>
      <c r="AJ286" s="15"/>
      <c r="AK286" s="15"/>
      <c r="AL286" s="15"/>
      <c r="AM286" s="15"/>
      <c r="AN286" s="15"/>
      <c r="AO286" s="15"/>
      <c r="AP286" s="73"/>
      <c r="AQ286" s="15"/>
      <c r="AR286" s="15"/>
      <c r="AS286" s="15"/>
      <c r="AT286" s="15"/>
      <c r="AU286" s="15"/>
      <c r="AV286" s="15"/>
      <c r="AW286" s="15"/>
      <c r="AX286" s="74"/>
      <c r="AZ286" s="283"/>
    </row>
    <row r="287" spans="1:52" s="79" customFormat="1" ht="12">
      <c r="A287" s="157"/>
      <c r="B287" s="160"/>
      <c r="C287" s="161"/>
      <c r="D287" s="15"/>
      <c r="E287" s="15"/>
      <c r="F287" s="15"/>
      <c r="G287" s="15"/>
      <c r="H287" s="15"/>
      <c r="I287" s="15"/>
      <c r="J287" s="15"/>
      <c r="K287" s="15"/>
      <c r="L287" s="289"/>
      <c r="O287" s="15"/>
      <c r="P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73"/>
      <c r="AQ287" s="15"/>
      <c r="AR287" s="15"/>
      <c r="AS287" s="15"/>
      <c r="AT287" s="15"/>
      <c r="AU287" s="15"/>
      <c r="AV287" s="15"/>
      <c r="AW287" s="15"/>
      <c r="AX287" s="74"/>
      <c r="AZ287" s="283"/>
    </row>
    <row r="288" spans="1:52" s="79" customFormat="1" ht="12">
      <c r="A288" s="157"/>
      <c r="B288" s="160"/>
      <c r="C288" s="161"/>
      <c r="D288" s="15"/>
      <c r="E288" s="15"/>
      <c r="F288" s="15"/>
      <c r="G288" s="15"/>
      <c r="H288" s="15"/>
      <c r="I288" s="15"/>
      <c r="J288" s="15"/>
      <c r="K288" s="15"/>
      <c r="L288" s="289"/>
      <c r="M288" s="293"/>
      <c r="N288" s="15"/>
      <c r="O288" s="15"/>
      <c r="P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73"/>
      <c r="AQ288" s="15"/>
      <c r="AR288" s="15"/>
      <c r="AS288" s="15"/>
      <c r="AT288" s="15"/>
      <c r="AU288" s="15"/>
      <c r="AV288" s="15"/>
      <c r="AW288" s="15"/>
      <c r="AX288" s="74"/>
      <c r="AZ288" s="283"/>
    </row>
    <row r="289" spans="1:50" s="79" customFormat="1" ht="12">
      <c r="A289" s="294" t="s">
        <v>882</v>
      </c>
      <c r="B289" s="75" t="s">
        <v>727</v>
      </c>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7"/>
    </row>
    <row r="290" spans="1:50" s="79" customFormat="1" ht="12">
      <c r="A290" s="298"/>
      <c r="B290" s="1007" t="s">
        <v>663</v>
      </c>
      <c r="C290" s="1008"/>
      <c r="D290" s="296"/>
      <c r="E290" s="37"/>
      <c r="F290" s="37"/>
      <c r="G290" s="37"/>
      <c r="H290" s="37"/>
      <c r="I290" s="37"/>
      <c r="J290" s="37"/>
      <c r="K290" s="282"/>
      <c r="L290" s="329" t="s">
        <v>664</v>
      </c>
      <c r="M290" s="15" t="s">
        <v>402</v>
      </c>
      <c r="N290" s="15"/>
      <c r="O290" s="15"/>
      <c r="P290" s="15"/>
      <c r="Q290" s="15"/>
      <c r="R290" s="15"/>
      <c r="S290" s="15"/>
      <c r="T290" s="15"/>
      <c r="U290" s="15"/>
      <c r="V290" s="15"/>
      <c r="W290" s="15"/>
      <c r="X290" s="15"/>
      <c r="Y290" s="15"/>
      <c r="Z290" s="37"/>
      <c r="AA290" s="37"/>
      <c r="AB290" s="37"/>
      <c r="AC290" s="37"/>
      <c r="AD290" s="37"/>
      <c r="AE290" s="37"/>
      <c r="AF290" s="37"/>
      <c r="AG290" s="37"/>
      <c r="AH290" s="37"/>
      <c r="AI290" s="37"/>
      <c r="AJ290" s="37"/>
      <c r="AK290" s="37"/>
      <c r="AL290" s="37"/>
      <c r="AM290" s="37"/>
      <c r="AN290" s="37"/>
      <c r="AO290" s="37"/>
      <c r="AP290" s="282"/>
      <c r="AQ290" s="37"/>
      <c r="AR290" s="37"/>
      <c r="AS290" s="37"/>
      <c r="AT290" s="37"/>
      <c r="AU290" s="37"/>
      <c r="AV290" s="37"/>
      <c r="AW290" s="37"/>
      <c r="AX290" s="330"/>
    </row>
    <row r="291" spans="1:50" s="79" customFormat="1" ht="12">
      <c r="A291" s="298"/>
      <c r="B291" s="160"/>
      <c r="C291" s="161"/>
      <c r="D291" s="72"/>
      <c r="E291" s="15"/>
      <c r="F291" s="15"/>
      <c r="G291" s="15"/>
      <c r="H291" s="15"/>
      <c r="I291" s="15"/>
      <c r="J291" s="15"/>
      <c r="K291" s="73"/>
      <c r="L291" s="333"/>
      <c r="M291" s="15" t="s">
        <v>728</v>
      </c>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73"/>
      <c r="AQ291" s="15"/>
      <c r="AR291" s="15"/>
      <c r="AS291" s="15"/>
      <c r="AT291" s="15"/>
      <c r="AU291" s="15"/>
      <c r="AV291" s="15"/>
      <c r="AW291" s="15"/>
      <c r="AX291" s="74"/>
    </row>
    <row r="292" spans="1:50" s="79" customFormat="1" ht="12">
      <c r="A292" s="298"/>
      <c r="B292" s="160"/>
      <c r="C292" s="161"/>
      <c r="D292" s="72"/>
      <c r="E292" s="15"/>
      <c r="F292" s="15"/>
      <c r="G292" s="15"/>
      <c r="H292" s="15"/>
      <c r="I292" s="15"/>
      <c r="J292" s="15"/>
      <c r="K292" s="73"/>
      <c r="L292" s="333"/>
      <c r="M292" s="15" t="s">
        <v>729</v>
      </c>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73"/>
      <c r="AQ292" s="15"/>
      <c r="AR292" s="15"/>
      <c r="AS292" s="15"/>
      <c r="AT292" s="15"/>
      <c r="AU292" s="15"/>
      <c r="AV292" s="15"/>
      <c r="AW292" s="15"/>
      <c r="AX292" s="74"/>
    </row>
    <row r="293" spans="1:50" s="79" customFormat="1" ht="12">
      <c r="A293" s="298"/>
      <c r="B293" s="160"/>
      <c r="C293" s="161"/>
      <c r="D293" s="72"/>
      <c r="E293" s="15"/>
      <c r="F293" s="15"/>
      <c r="G293" s="15"/>
      <c r="H293" s="15"/>
      <c r="I293" s="15"/>
      <c r="J293" s="15"/>
      <c r="K293" s="73"/>
      <c r="L293" s="333"/>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73"/>
      <c r="AQ293" s="15"/>
      <c r="AR293" s="15"/>
      <c r="AS293" s="15"/>
      <c r="AT293" s="15"/>
      <c r="AU293" s="15"/>
      <c r="AV293" s="15"/>
      <c r="AW293" s="15"/>
      <c r="AX293" s="74"/>
    </row>
    <row r="294" spans="1:50" s="79" customFormat="1" ht="12">
      <c r="A294" s="298"/>
      <c r="B294" s="160"/>
      <c r="C294" s="161"/>
      <c r="D294" s="72"/>
      <c r="E294" s="15"/>
      <c r="F294" s="15"/>
      <c r="G294" s="15"/>
      <c r="H294" s="15"/>
      <c r="I294" s="15"/>
      <c r="J294" s="15"/>
      <c r="K294" s="73"/>
      <c r="L294" s="333"/>
      <c r="M294" s="293" t="s">
        <v>666</v>
      </c>
      <c r="N294" s="299" t="s">
        <v>730</v>
      </c>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73"/>
      <c r="AQ294" s="15"/>
      <c r="AR294" s="15"/>
      <c r="AS294" s="15"/>
      <c r="AT294" s="15"/>
      <c r="AU294" s="15"/>
      <c r="AV294" s="15"/>
      <c r="AW294" s="15"/>
      <c r="AX294" s="74"/>
    </row>
    <row r="295" spans="1:50" s="79" customFormat="1" ht="12">
      <c r="A295" s="298"/>
      <c r="B295" s="160"/>
      <c r="C295" s="161"/>
      <c r="D295" s="72"/>
      <c r="E295" s="15"/>
      <c r="F295" s="15"/>
      <c r="G295" s="15"/>
      <c r="H295" s="15"/>
      <c r="I295" s="15"/>
      <c r="J295" s="15"/>
      <c r="K295" s="73"/>
      <c r="L295" s="333"/>
      <c r="M295" s="15"/>
      <c r="N295" s="299" t="s">
        <v>731</v>
      </c>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73"/>
      <c r="AQ295" s="15"/>
      <c r="AR295" s="15"/>
      <c r="AS295" s="15"/>
      <c r="AT295" s="15"/>
      <c r="AU295" s="15"/>
      <c r="AV295" s="15"/>
      <c r="AW295" s="15"/>
      <c r="AX295" s="74"/>
    </row>
    <row r="296" spans="1:50" s="79" customFormat="1" ht="12">
      <c r="A296" s="298"/>
      <c r="B296" s="160"/>
      <c r="C296" s="161"/>
      <c r="D296" s="72"/>
      <c r="E296" s="15"/>
      <c r="F296" s="15"/>
      <c r="G296" s="15"/>
      <c r="H296" s="15"/>
      <c r="I296" s="15"/>
      <c r="J296" s="15"/>
      <c r="K296" s="73"/>
      <c r="L296" s="333"/>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73"/>
      <c r="AQ296" s="15"/>
      <c r="AR296" s="15"/>
      <c r="AS296" s="15"/>
      <c r="AT296" s="15"/>
      <c r="AU296" s="15"/>
      <c r="AV296" s="15"/>
      <c r="AW296" s="15"/>
      <c r="AX296" s="74"/>
    </row>
    <row r="297" spans="1:50" s="79" customFormat="1" ht="12">
      <c r="A297" s="298"/>
      <c r="B297" s="160"/>
      <c r="C297" s="161"/>
      <c r="D297" s="72"/>
      <c r="E297" s="15"/>
      <c r="F297" s="15"/>
      <c r="G297" s="15"/>
      <c r="H297" s="15"/>
      <c r="I297" s="15"/>
      <c r="J297" s="15"/>
      <c r="K297" s="73"/>
      <c r="L297" s="333"/>
      <c r="M297" s="15"/>
      <c r="N297" s="305" t="s">
        <v>732</v>
      </c>
      <c r="O297" s="307"/>
      <c r="P297" s="307"/>
      <c r="Q297" s="307"/>
      <c r="R297" s="307"/>
      <c r="S297" s="307"/>
      <c r="T297" s="307"/>
      <c r="U297" s="306"/>
      <c r="V297" s="308" t="s">
        <v>691</v>
      </c>
      <c r="W297" s="309"/>
      <c r="X297" s="309"/>
      <c r="Y297" s="307"/>
      <c r="Z297" s="307"/>
      <c r="AA297" s="307"/>
      <c r="AB297" s="307"/>
      <c r="AC297" s="307"/>
      <c r="AD297" s="307"/>
      <c r="AE297" s="307"/>
      <c r="AF297" s="307"/>
      <c r="AG297" s="307"/>
      <c r="AH297" s="307"/>
      <c r="AI297" s="307"/>
      <c r="AJ297" s="306"/>
      <c r="AK297" s="15"/>
      <c r="AL297" s="15"/>
      <c r="AM297" s="15"/>
      <c r="AN297" s="15"/>
      <c r="AO297" s="15"/>
      <c r="AP297" s="73"/>
      <c r="AQ297" s="15"/>
      <c r="AR297" s="15"/>
      <c r="AS297" s="15"/>
      <c r="AT297" s="15"/>
      <c r="AU297" s="15"/>
      <c r="AV297" s="15"/>
      <c r="AW297" s="15"/>
      <c r="AX297" s="74"/>
    </row>
    <row r="298" spans="1:50" s="79" customFormat="1" ht="12">
      <c r="A298" s="298"/>
      <c r="B298" s="160"/>
      <c r="C298" s="161"/>
      <c r="D298" s="72"/>
      <c r="E298" s="15"/>
      <c r="F298" s="15"/>
      <c r="G298" s="15"/>
      <c r="H298" s="15"/>
      <c r="I298" s="15"/>
      <c r="J298" s="15"/>
      <c r="K298" s="73"/>
      <c r="L298" s="333"/>
      <c r="M298" s="15"/>
      <c r="N298" s="316" t="s">
        <v>733</v>
      </c>
      <c r="O298" s="317"/>
      <c r="P298" s="317"/>
      <c r="Q298" s="317"/>
      <c r="R298" s="158"/>
      <c r="S298" s="158"/>
      <c r="T298" s="158"/>
      <c r="U298" s="159"/>
      <c r="V298" s="311" t="s">
        <v>734</v>
      </c>
      <c r="W298" s="314"/>
      <c r="X298" s="314"/>
      <c r="Y298" s="314"/>
      <c r="Z298" s="314"/>
      <c r="AA298" s="314"/>
      <c r="AB298" s="314"/>
      <c r="AC298" s="314"/>
      <c r="AD298" s="314"/>
      <c r="AE298" s="314"/>
      <c r="AF298" s="314"/>
      <c r="AG298" s="314"/>
      <c r="AH298" s="314"/>
      <c r="AI298" s="314"/>
      <c r="AJ298" s="315"/>
      <c r="AK298" s="15"/>
      <c r="AL298" s="15"/>
      <c r="AM298" s="15"/>
      <c r="AN298" s="15"/>
      <c r="AO298" s="15"/>
      <c r="AP298" s="73"/>
      <c r="AQ298" s="15"/>
      <c r="AR298" s="15"/>
      <c r="AS298" s="15"/>
      <c r="AT298" s="15"/>
      <c r="AU298" s="15"/>
      <c r="AV298" s="15"/>
      <c r="AW298" s="15"/>
      <c r="AX298" s="74"/>
    </row>
    <row r="299" spans="1:50" s="79" customFormat="1" ht="12">
      <c r="A299" s="298"/>
      <c r="B299" s="160"/>
      <c r="C299" s="161"/>
      <c r="D299" s="72"/>
      <c r="E299" s="15"/>
      <c r="F299" s="15"/>
      <c r="G299" s="15"/>
      <c r="H299" s="15"/>
      <c r="I299" s="15"/>
      <c r="J299" s="15"/>
      <c r="K299" s="73"/>
      <c r="L299" s="333"/>
      <c r="M299" s="15"/>
      <c r="N299" s="316" t="s">
        <v>735</v>
      </c>
      <c r="O299" s="317"/>
      <c r="P299" s="317"/>
      <c r="Q299" s="317"/>
      <c r="R299" s="158"/>
      <c r="S299" s="158"/>
      <c r="T299" s="158"/>
      <c r="U299" s="159"/>
      <c r="V299" s="311" t="s">
        <v>736</v>
      </c>
      <c r="W299" s="314"/>
      <c r="X299" s="314"/>
      <c r="Y299" s="314"/>
      <c r="Z299" s="314"/>
      <c r="AA299" s="314"/>
      <c r="AB299" s="314"/>
      <c r="AC299" s="314"/>
      <c r="AD299" s="314"/>
      <c r="AE299" s="314"/>
      <c r="AF299" s="314"/>
      <c r="AG299" s="314"/>
      <c r="AH299" s="314"/>
      <c r="AI299" s="314"/>
      <c r="AJ299" s="315"/>
      <c r="AK299" s="15"/>
      <c r="AL299" s="15"/>
      <c r="AM299" s="15"/>
      <c r="AN299" s="15"/>
      <c r="AO299" s="15"/>
      <c r="AP299" s="73"/>
      <c r="AQ299" s="15"/>
      <c r="AR299" s="15"/>
      <c r="AS299" s="15"/>
      <c r="AT299" s="15"/>
      <c r="AU299" s="15"/>
      <c r="AV299" s="15"/>
      <c r="AW299" s="15"/>
      <c r="AX299" s="74"/>
    </row>
    <row r="300" spans="1:50" s="79" customFormat="1" ht="12">
      <c r="A300" s="298"/>
      <c r="B300" s="160"/>
      <c r="C300" s="161"/>
      <c r="D300" s="72"/>
      <c r="E300" s="15"/>
      <c r="F300" s="15"/>
      <c r="G300" s="15"/>
      <c r="H300" s="15"/>
      <c r="I300" s="15"/>
      <c r="J300" s="15"/>
      <c r="K300" s="73"/>
      <c r="L300" s="297"/>
      <c r="M300" s="293"/>
      <c r="N300" s="316" t="s">
        <v>737</v>
      </c>
      <c r="O300" s="317"/>
      <c r="P300" s="317"/>
      <c r="Q300" s="317"/>
      <c r="R300" s="158"/>
      <c r="S300" s="158"/>
      <c r="T300" s="158"/>
      <c r="U300" s="159"/>
      <c r="V300" s="311" t="s">
        <v>738</v>
      </c>
      <c r="W300" s="314"/>
      <c r="X300" s="314"/>
      <c r="Y300" s="314"/>
      <c r="Z300" s="314"/>
      <c r="AA300" s="314"/>
      <c r="AB300" s="314"/>
      <c r="AC300" s="314"/>
      <c r="AD300" s="314"/>
      <c r="AE300" s="314"/>
      <c r="AF300" s="314"/>
      <c r="AG300" s="314"/>
      <c r="AH300" s="314"/>
      <c r="AI300" s="314"/>
      <c r="AJ300" s="315"/>
      <c r="AK300" s="15"/>
      <c r="AL300" s="15"/>
      <c r="AM300" s="15"/>
      <c r="AN300" s="15"/>
      <c r="AO300" s="15"/>
      <c r="AP300" s="73"/>
      <c r="AQ300" s="15"/>
      <c r="AR300" s="15"/>
      <c r="AS300" s="15"/>
      <c r="AT300" s="15"/>
      <c r="AU300" s="15"/>
      <c r="AV300" s="15"/>
      <c r="AW300" s="15"/>
      <c r="AX300" s="74"/>
    </row>
    <row r="301" spans="1:50" s="79" customFormat="1" ht="12">
      <c r="A301" s="298"/>
      <c r="B301" s="160"/>
      <c r="C301" s="161"/>
      <c r="D301" s="72"/>
      <c r="E301" s="15"/>
      <c r="F301" s="15"/>
      <c r="G301" s="15"/>
      <c r="H301" s="15"/>
      <c r="I301" s="15"/>
      <c r="J301" s="15"/>
      <c r="K301" s="73"/>
      <c r="L301" s="297"/>
      <c r="M301" s="293"/>
      <c r="N301" s="316" t="s">
        <v>739</v>
      </c>
      <c r="O301" s="317"/>
      <c r="P301" s="317"/>
      <c r="Q301" s="317"/>
      <c r="R301" s="158"/>
      <c r="S301" s="158"/>
      <c r="T301" s="158"/>
      <c r="U301" s="159"/>
      <c r="V301" s="311" t="s">
        <v>740</v>
      </c>
      <c r="W301" s="314"/>
      <c r="X301" s="314"/>
      <c r="Y301" s="314"/>
      <c r="Z301" s="314"/>
      <c r="AA301" s="314"/>
      <c r="AB301" s="314"/>
      <c r="AC301" s="314"/>
      <c r="AD301" s="314"/>
      <c r="AE301" s="314"/>
      <c r="AF301" s="314"/>
      <c r="AG301" s="314"/>
      <c r="AH301" s="314"/>
      <c r="AI301" s="314"/>
      <c r="AJ301" s="315"/>
      <c r="AK301" s="15"/>
      <c r="AL301" s="15"/>
      <c r="AM301" s="15"/>
      <c r="AN301" s="15"/>
      <c r="AO301" s="15"/>
      <c r="AP301" s="73"/>
      <c r="AQ301" s="15"/>
      <c r="AR301" s="15"/>
      <c r="AS301" s="15"/>
      <c r="AT301" s="15"/>
      <c r="AU301" s="15"/>
      <c r="AV301" s="15"/>
      <c r="AW301" s="15"/>
      <c r="AX301" s="74"/>
    </row>
    <row r="302" spans="1:50" s="79" customFormat="1" ht="12">
      <c r="A302" s="298"/>
      <c r="B302" s="160"/>
      <c r="C302" s="161"/>
      <c r="D302" s="72"/>
      <c r="E302" s="15"/>
      <c r="F302" s="15"/>
      <c r="G302" s="15"/>
      <c r="H302" s="15"/>
      <c r="I302" s="15"/>
      <c r="J302" s="15"/>
      <c r="K302" s="73"/>
      <c r="L302" s="297"/>
      <c r="M302" s="293"/>
      <c r="N302" s="95"/>
      <c r="O302" s="15"/>
      <c r="AM302" s="15"/>
      <c r="AN302" s="15"/>
      <c r="AO302" s="15"/>
      <c r="AP302" s="73"/>
      <c r="AQ302" s="15"/>
      <c r="AR302" s="15"/>
      <c r="AS302" s="15"/>
      <c r="AT302" s="15"/>
      <c r="AU302" s="15"/>
      <c r="AV302" s="15"/>
      <c r="AW302" s="15"/>
      <c r="AX302" s="74"/>
    </row>
    <row r="303" spans="1:50" s="79" customFormat="1" ht="12">
      <c r="A303" s="298"/>
      <c r="B303" s="160"/>
      <c r="C303" s="161"/>
      <c r="D303" s="72"/>
      <c r="E303" s="15"/>
      <c r="F303" s="15"/>
      <c r="G303" s="15"/>
      <c r="H303" s="15"/>
      <c r="I303" s="15"/>
      <c r="J303" s="15"/>
      <c r="K303" s="73"/>
      <c r="L303" s="297"/>
      <c r="M303" s="293" t="s">
        <v>667</v>
      </c>
      <c r="N303" s="15" t="s">
        <v>741</v>
      </c>
      <c r="O303" s="15"/>
      <c r="AM303" s="15"/>
      <c r="AN303" s="15"/>
      <c r="AO303" s="15"/>
      <c r="AP303" s="73"/>
      <c r="AQ303" s="15"/>
      <c r="AR303" s="15"/>
      <c r="AS303" s="15"/>
      <c r="AT303" s="15"/>
      <c r="AU303" s="15"/>
      <c r="AV303" s="15"/>
      <c r="AW303" s="15"/>
      <c r="AX303" s="74"/>
    </row>
    <row r="304" spans="1:50" s="79" customFormat="1" ht="12">
      <c r="A304" s="298"/>
      <c r="B304" s="160"/>
      <c r="C304" s="161"/>
      <c r="D304" s="72"/>
      <c r="E304" s="15"/>
      <c r="F304" s="15"/>
      <c r="G304" s="15"/>
      <c r="H304" s="15"/>
      <c r="I304" s="15"/>
      <c r="J304" s="15"/>
      <c r="K304" s="73"/>
      <c r="L304" s="297"/>
      <c r="M304" s="293"/>
      <c r="N304" s="95" t="s">
        <v>884</v>
      </c>
      <c r="O304" s="15"/>
      <c r="AM304" s="15"/>
      <c r="AN304" s="15"/>
      <c r="AO304" s="15"/>
      <c r="AP304" s="73"/>
      <c r="AQ304" s="15"/>
      <c r="AR304" s="15"/>
      <c r="AS304" s="15"/>
      <c r="AT304" s="15"/>
      <c r="AU304" s="15"/>
      <c r="AV304" s="15"/>
      <c r="AW304" s="15"/>
      <c r="AX304" s="74"/>
    </row>
    <row r="305" spans="1:54" s="79" customFormat="1" ht="12">
      <c r="A305" s="298"/>
      <c r="B305" s="352"/>
      <c r="C305" s="353"/>
      <c r="D305" s="72"/>
      <c r="E305" s="15"/>
      <c r="F305" s="15"/>
      <c r="G305" s="15"/>
      <c r="H305" s="15"/>
      <c r="I305" s="15"/>
      <c r="J305" s="15"/>
      <c r="K305" s="73"/>
      <c r="L305" s="297"/>
      <c r="M305" s="293"/>
      <c r="N305" s="95"/>
      <c r="O305" s="15" t="s">
        <v>885</v>
      </c>
      <c r="AM305" s="15"/>
      <c r="AN305" s="15"/>
      <c r="AO305" s="15"/>
      <c r="AP305" s="73"/>
      <c r="AQ305" s="15"/>
      <c r="AR305" s="15"/>
      <c r="AS305" s="15"/>
      <c r="AT305" s="15"/>
      <c r="AU305" s="15"/>
      <c r="AV305" s="15"/>
      <c r="AW305" s="15"/>
      <c r="AX305" s="74"/>
    </row>
    <row r="306" spans="1:54" s="79" customFormat="1" ht="12">
      <c r="A306" s="298"/>
      <c r="B306" s="160"/>
      <c r="C306" s="161"/>
      <c r="D306" s="72"/>
      <c r="E306" s="15"/>
      <c r="F306" s="15"/>
      <c r="G306" s="15"/>
      <c r="H306" s="15"/>
      <c r="I306" s="15"/>
      <c r="J306" s="15"/>
      <c r="K306" s="73"/>
      <c r="L306" s="297"/>
      <c r="M306" s="293"/>
      <c r="N306" s="305" t="s">
        <v>742</v>
      </c>
      <c r="O306" s="307"/>
      <c r="P306" s="307"/>
      <c r="Q306" s="307"/>
      <c r="R306" s="307"/>
      <c r="S306" s="307"/>
      <c r="T306" s="307"/>
      <c r="U306" s="307"/>
      <c r="V306" s="308" t="s">
        <v>659</v>
      </c>
      <c r="W306" s="309"/>
      <c r="X306" s="309"/>
      <c r="Y306" s="307"/>
      <c r="Z306" s="307"/>
      <c r="AA306" s="307"/>
      <c r="AB306" s="307"/>
      <c r="AC306" s="307"/>
      <c r="AD306" s="307"/>
      <c r="AE306" s="307"/>
      <c r="AF306" s="307"/>
      <c r="AG306" s="307"/>
      <c r="AH306" s="307"/>
      <c r="AI306" s="307"/>
      <c r="AJ306" s="306"/>
      <c r="AM306" s="15"/>
      <c r="AN306" s="15"/>
      <c r="AO306" s="15"/>
      <c r="AP306" s="73"/>
      <c r="AQ306" s="15"/>
      <c r="AR306" s="15"/>
      <c r="AS306" s="15"/>
      <c r="AT306" s="15"/>
      <c r="AU306" s="15"/>
      <c r="AV306" s="15"/>
      <c r="AW306" s="15"/>
      <c r="AX306" s="74"/>
    </row>
    <row r="307" spans="1:54" s="79" customFormat="1" ht="12">
      <c r="A307" s="298"/>
      <c r="B307" s="160"/>
      <c r="C307" s="161"/>
      <c r="D307" s="72"/>
      <c r="E307" s="15"/>
      <c r="F307" s="15"/>
      <c r="G307" s="15"/>
      <c r="H307" s="15"/>
      <c r="I307" s="15"/>
      <c r="J307" s="15"/>
      <c r="K307" s="73"/>
      <c r="L307" s="297"/>
      <c r="M307" s="293"/>
      <c r="N307" s="316" t="s">
        <v>743</v>
      </c>
      <c r="O307" s="317"/>
      <c r="P307" s="317"/>
      <c r="Q307" s="317"/>
      <c r="R307" s="158"/>
      <c r="S307" s="158"/>
      <c r="T307" s="158"/>
      <c r="U307" s="158"/>
      <c r="V307" s="311" t="s">
        <v>744</v>
      </c>
      <c r="W307" s="314"/>
      <c r="X307" s="314"/>
      <c r="Y307" s="314"/>
      <c r="Z307" s="314"/>
      <c r="AA307" s="314"/>
      <c r="AB307" s="314"/>
      <c r="AC307" s="314"/>
      <c r="AD307" s="314"/>
      <c r="AE307" s="314"/>
      <c r="AF307" s="314"/>
      <c r="AG307" s="314"/>
      <c r="AH307" s="314"/>
      <c r="AI307" s="314"/>
      <c r="AJ307" s="315"/>
      <c r="AM307" s="15"/>
      <c r="AN307" s="15"/>
      <c r="AO307" s="15"/>
      <c r="AP307" s="73"/>
      <c r="AQ307" s="15"/>
      <c r="AR307" s="15"/>
      <c r="AS307" s="15"/>
      <c r="AT307" s="15"/>
      <c r="AU307" s="15"/>
      <c r="AV307" s="15"/>
      <c r="AW307" s="15"/>
      <c r="AX307" s="74"/>
    </row>
    <row r="308" spans="1:54" s="79" customFormat="1" ht="12">
      <c r="A308" s="298"/>
      <c r="B308" s="160"/>
      <c r="C308" s="161"/>
      <c r="D308" s="72"/>
      <c r="E308" s="15"/>
      <c r="F308" s="15"/>
      <c r="G308" s="15"/>
      <c r="H308" s="15"/>
      <c r="I308" s="15"/>
      <c r="J308" s="15"/>
      <c r="K308" s="73"/>
      <c r="L308" s="297"/>
      <c r="M308" s="293"/>
      <c r="N308" s="316" t="s">
        <v>745</v>
      </c>
      <c r="O308" s="334"/>
      <c r="P308" s="334"/>
      <c r="Q308" s="334"/>
      <c r="R308" s="334"/>
      <c r="S308" s="334"/>
      <c r="T308" s="334"/>
      <c r="U308" s="334"/>
      <c r="V308" s="335" t="s">
        <v>746</v>
      </c>
      <c r="W308" s="334"/>
      <c r="X308" s="334"/>
      <c r="Y308" s="336"/>
      <c r="Z308" s="336"/>
      <c r="AA308" s="336"/>
      <c r="AB308" s="104"/>
      <c r="AC308" s="334"/>
      <c r="AD308" s="334"/>
      <c r="AE308" s="334"/>
      <c r="AF308" s="334"/>
      <c r="AG308" s="334"/>
      <c r="AH308" s="334"/>
      <c r="AI308" s="334"/>
      <c r="AJ308" s="337"/>
      <c r="AK308" s="15"/>
      <c r="AL308" s="15"/>
      <c r="AM308" s="15"/>
      <c r="AN308" s="15"/>
      <c r="AO308" s="15"/>
      <c r="AP308" s="73"/>
      <c r="AQ308" s="15"/>
      <c r="AR308" s="15"/>
      <c r="AS308" s="15"/>
      <c r="AT308" s="15"/>
      <c r="AU308" s="15"/>
      <c r="AV308" s="15"/>
      <c r="AW308" s="15"/>
      <c r="AX308" s="74"/>
    </row>
    <row r="309" spans="1:54" s="79" customFormat="1" ht="12">
      <c r="A309" s="298"/>
      <c r="B309" s="160"/>
      <c r="C309" s="161"/>
      <c r="D309" s="72"/>
      <c r="E309" s="15"/>
      <c r="F309" s="15"/>
      <c r="G309" s="15"/>
      <c r="H309" s="15"/>
      <c r="I309" s="15"/>
      <c r="J309" s="15"/>
      <c r="K309" s="73"/>
      <c r="L309" s="297"/>
      <c r="M309" s="293"/>
      <c r="N309" s="316" t="s">
        <v>431</v>
      </c>
      <c r="O309" s="334"/>
      <c r="P309" s="334"/>
      <c r="Q309" s="334"/>
      <c r="R309" s="334"/>
      <c r="S309" s="334"/>
      <c r="T309" s="334"/>
      <c r="U309" s="334"/>
      <c r="V309" s="335" t="s">
        <v>747</v>
      </c>
      <c r="W309" s="334"/>
      <c r="X309" s="334"/>
      <c r="Y309" s="334"/>
      <c r="Z309" s="334"/>
      <c r="AA309" s="104"/>
      <c r="AB309" s="104"/>
      <c r="AC309" s="334"/>
      <c r="AD309" s="334"/>
      <c r="AE309" s="334"/>
      <c r="AF309" s="334"/>
      <c r="AG309" s="334"/>
      <c r="AH309" s="334"/>
      <c r="AI309" s="334"/>
      <c r="AJ309" s="337"/>
      <c r="AK309" s="15"/>
      <c r="AL309" s="15"/>
      <c r="AM309" s="15"/>
      <c r="AN309" s="15"/>
      <c r="AO309" s="15"/>
      <c r="AP309" s="73"/>
      <c r="AQ309" s="15"/>
      <c r="AR309" s="15"/>
      <c r="AS309" s="15"/>
      <c r="AT309" s="15"/>
      <c r="AU309" s="15"/>
      <c r="AV309" s="15"/>
      <c r="AW309" s="15"/>
      <c r="AX309" s="74"/>
    </row>
    <row r="310" spans="1:54" s="79" customFormat="1" ht="12">
      <c r="A310" s="298"/>
      <c r="B310" s="160"/>
      <c r="C310" s="161"/>
      <c r="D310" s="72"/>
      <c r="E310" s="15"/>
      <c r="F310" s="15"/>
      <c r="G310" s="15"/>
      <c r="H310" s="15"/>
      <c r="I310" s="15"/>
      <c r="J310" s="15"/>
      <c r="K310" s="73"/>
      <c r="L310" s="297"/>
      <c r="M310" s="293"/>
      <c r="N310" s="335" t="s">
        <v>873</v>
      </c>
      <c r="O310" s="334"/>
      <c r="P310" s="334"/>
      <c r="Q310" s="334"/>
      <c r="R310" s="334"/>
      <c r="S310" s="334"/>
      <c r="T310" s="334"/>
      <c r="U310" s="334"/>
      <c r="V310" s="335" t="s">
        <v>748</v>
      </c>
      <c r="W310" s="334"/>
      <c r="X310" s="334"/>
      <c r="Y310" s="334"/>
      <c r="Z310" s="334"/>
      <c r="AA310" s="334"/>
      <c r="AB310" s="334"/>
      <c r="AC310" s="334"/>
      <c r="AD310" s="334"/>
      <c r="AE310" s="334"/>
      <c r="AF310" s="334"/>
      <c r="AG310" s="334"/>
      <c r="AH310" s="334"/>
      <c r="AI310" s="334"/>
      <c r="AJ310" s="337"/>
      <c r="AK310" s="15"/>
      <c r="AL310" s="15"/>
      <c r="AM310" s="15"/>
      <c r="AN310" s="15"/>
      <c r="AO310" s="15"/>
      <c r="AP310" s="73"/>
      <c r="AQ310" s="15"/>
      <c r="AR310" s="15"/>
      <c r="AS310" s="15"/>
      <c r="AT310" s="15"/>
      <c r="AU310" s="15"/>
      <c r="AV310" s="15"/>
      <c r="AW310" s="15"/>
      <c r="AX310" s="74"/>
    </row>
    <row r="311" spans="1:54" s="79" customFormat="1" ht="12">
      <c r="A311" s="298"/>
      <c r="B311" s="160"/>
      <c r="C311" s="161"/>
      <c r="D311" s="72"/>
      <c r="E311" s="15"/>
      <c r="F311" s="15"/>
      <c r="G311" s="15"/>
      <c r="H311" s="15"/>
      <c r="I311" s="15"/>
      <c r="J311" s="15"/>
      <c r="K311" s="73"/>
      <c r="L311" s="297"/>
      <c r="M311" s="293"/>
      <c r="N311" s="95"/>
      <c r="O311" s="15"/>
      <c r="AM311" s="15"/>
      <c r="AN311" s="15"/>
      <c r="AO311" s="15"/>
      <c r="AP311" s="73"/>
      <c r="AQ311" s="15"/>
      <c r="AR311" s="15"/>
      <c r="AS311" s="15"/>
      <c r="AT311" s="15"/>
      <c r="AU311" s="15"/>
      <c r="AV311" s="15"/>
      <c r="AW311" s="15"/>
      <c r="AX311" s="74"/>
    </row>
    <row r="312" spans="1:54" s="79" customFormat="1" ht="12">
      <c r="A312" s="298"/>
      <c r="B312" s="160"/>
      <c r="C312" s="161"/>
      <c r="D312" s="15"/>
      <c r="E312" s="15"/>
      <c r="F312" s="15"/>
      <c r="G312" s="15"/>
      <c r="H312" s="15"/>
      <c r="I312" s="15"/>
      <c r="J312" s="15"/>
      <c r="K312" s="15"/>
      <c r="L312" s="72"/>
      <c r="M312" s="15"/>
      <c r="N312" s="15"/>
      <c r="O312" s="15"/>
      <c r="P312" s="15"/>
      <c r="Q312" s="9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73"/>
      <c r="AQ312" s="15"/>
      <c r="AR312" s="15"/>
      <c r="AS312" s="15"/>
      <c r="AT312" s="15"/>
      <c r="AU312" s="15"/>
      <c r="AV312" s="15"/>
      <c r="AW312" s="15"/>
      <c r="AX312" s="74"/>
    </row>
    <row r="313" spans="1:54" s="79" customFormat="1" ht="12">
      <c r="A313" s="294" t="s">
        <v>974</v>
      </c>
      <c r="B313" s="75" t="s">
        <v>749</v>
      </c>
      <c r="C313" s="76"/>
      <c r="D313" s="76"/>
      <c r="E313" s="76"/>
      <c r="F313" s="76"/>
      <c r="G313" s="76"/>
      <c r="H313" s="76"/>
      <c r="I313" s="76"/>
      <c r="J313" s="76"/>
      <c r="K313" s="76"/>
      <c r="L313" s="328"/>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7"/>
    </row>
    <row r="314" spans="1:54" s="79" customFormat="1" ht="12">
      <c r="A314" s="298"/>
      <c r="B314" s="1007" t="s">
        <v>750</v>
      </c>
      <c r="C314" s="1008"/>
      <c r="D314" s="15"/>
      <c r="E314" s="15"/>
      <c r="F314" s="15"/>
      <c r="G314" s="15"/>
      <c r="H314" s="15"/>
      <c r="I314" s="15"/>
      <c r="J314" s="15"/>
      <c r="K314" s="15"/>
      <c r="L314" s="329" t="s">
        <v>751</v>
      </c>
      <c r="M314" s="37" t="s">
        <v>679</v>
      </c>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282"/>
      <c r="AQ314" s="15"/>
      <c r="AR314" s="15"/>
      <c r="AS314" s="15"/>
      <c r="AT314" s="15"/>
      <c r="AU314" s="15"/>
      <c r="AV314" s="15"/>
      <c r="AW314" s="15"/>
      <c r="AX314" s="74"/>
    </row>
    <row r="315" spans="1:54" s="79" customFormat="1" ht="12">
      <c r="A315" s="298"/>
      <c r="B315" s="160"/>
      <c r="C315" s="161"/>
      <c r="D315" s="15"/>
      <c r="E315" s="15"/>
      <c r="F315" s="15"/>
      <c r="G315" s="15"/>
      <c r="H315" s="15"/>
      <c r="I315" s="15"/>
      <c r="J315" s="15"/>
      <c r="K315" s="15"/>
      <c r="L315" s="297"/>
      <c r="M315" s="15" t="s">
        <v>680</v>
      </c>
      <c r="N315" s="15"/>
      <c r="O315" s="15"/>
      <c r="P315" s="15"/>
      <c r="Q315" s="15"/>
      <c r="R315" s="15"/>
      <c r="S315" s="15"/>
      <c r="T315" s="95"/>
      <c r="U315" s="15"/>
      <c r="V315" s="15"/>
      <c r="W315" s="15"/>
      <c r="X315" s="15"/>
      <c r="Y315" s="15"/>
      <c r="Z315" s="15"/>
      <c r="AA315" s="15"/>
      <c r="AB315" s="15"/>
      <c r="AC315" s="15"/>
      <c r="AD315" s="15"/>
      <c r="AE315" s="15"/>
      <c r="AF315" s="15"/>
      <c r="AG315" s="15"/>
      <c r="AH315" s="15"/>
      <c r="AI315" s="15"/>
      <c r="AJ315" s="15"/>
      <c r="AK315" s="15"/>
      <c r="AL315" s="15"/>
      <c r="AM315" s="15"/>
      <c r="AN315" s="15"/>
      <c r="AO315" s="15"/>
      <c r="AP315" s="73"/>
      <c r="AQ315" s="15"/>
      <c r="AR315" s="15"/>
      <c r="AS315" s="15"/>
      <c r="AT315" s="15"/>
      <c r="AU315" s="15"/>
      <c r="AV315" s="15"/>
      <c r="AW315" s="15"/>
      <c r="AX315" s="74"/>
    </row>
    <row r="316" spans="1:54" s="79" customFormat="1" ht="12">
      <c r="A316" s="298"/>
      <c r="B316" s="160"/>
      <c r="C316" s="161"/>
      <c r="D316" s="15"/>
      <c r="E316" s="15"/>
      <c r="F316" s="15"/>
      <c r="G316" s="15"/>
      <c r="H316" s="15"/>
      <c r="I316" s="15"/>
      <c r="J316" s="15"/>
      <c r="K316" s="15"/>
      <c r="L316" s="297"/>
      <c r="M316" s="15"/>
      <c r="N316" s="15"/>
      <c r="O316" s="15"/>
      <c r="P316" s="15"/>
      <c r="Q316" s="15"/>
      <c r="R316" s="15"/>
      <c r="S316" s="15"/>
      <c r="T316" s="95"/>
      <c r="U316" s="15"/>
      <c r="V316" s="15"/>
      <c r="W316" s="15"/>
      <c r="X316" s="15"/>
      <c r="Y316" s="15"/>
      <c r="Z316" s="15"/>
      <c r="AA316" s="15"/>
      <c r="AB316" s="15"/>
      <c r="AC316" s="15"/>
      <c r="AD316" s="15"/>
      <c r="AE316" s="15"/>
      <c r="AF316" s="15"/>
      <c r="AG316" s="15"/>
      <c r="AH316" s="15"/>
      <c r="AI316" s="15"/>
      <c r="AJ316" s="15"/>
      <c r="AK316" s="15"/>
      <c r="AL316" s="15"/>
      <c r="AM316" s="15"/>
      <c r="AN316" s="15"/>
      <c r="AO316" s="15"/>
      <c r="AP316" s="73"/>
      <c r="AQ316" s="15"/>
      <c r="AR316" s="15"/>
      <c r="AS316" s="15"/>
      <c r="AT316" s="15"/>
      <c r="AU316" s="15"/>
      <c r="AV316" s="15"/>
      <c r="AW316" s="15"/>
      <c r="AX316" s="74"/>
    </row>
    <row r="317" spans="1:54" s="79" customFormat="1" ht="12">
      <c r="A317" s="298"/>
      <c r="B317" s="160"/>
      <c r="C317" s="161"/>
      <c r="D317" s="15"/>
      <c r="E317" s="15"/>
      <c r="F317" s="15"/>
      <c r="G317" s="15"/>
      <c r="H317" s="15"/>
      <c r="I317" s="15"/>
      <c r="J317" s="15"/>
      <c r="K317" s="15"/>
      <c r="L317" s="297" t="s">
        <v>752</v>
      </c>
      <c r="M317" s="15" t="s">
        <v>753</v>
      </c>
      <c r="N317" s="15"/>
      <c r="O317" s="15"/>
      <c r="P317" s="15"/>
      <c r="Q317" s="15"/>
      <c r="R317" s="15"/>
      <c r="S317" s="15"/>
      <c r="T317" s="95"/>
      <c r="U317" s="15"/>
      <c r="V317" s="15"/>
      <c r="W317" s="15"/>
      <c r="X317" s="15"/>
      <c r="Y317" s="15"/>
      <c r="Z317" s="15"/>
      <c r="AA317" s="15"/>
      <c r="AB317" s="15"/>
      <c r="AC317" s="15"/>
      <c r="AD317" s="15"/>
      <c r="AE317" s="15"/>
      <c r="AF317" s="15"/>
      <c r="AG317" s="15"/>
      <c r="AH317" s="15"/>
      <c r="AI317" s="15"/>
      <c r="AJ317" s="15"/>
      <c r="AK317" s="15"/>
      <c r="AL317" s="15"/>
      <c r="AM317" s="15"/>
      <c r="AN317" s="15"/>
      <c r="AO317" s="15"/>
      <c r="AP317" s="73"/>
      <c r="AQ317" s="15"/>
      <c r="AR317" s="15"/>
      <c r="AS317" s="15"/>
      <c r="AT317" s="15"/>
      <c r="AU317" s="15"/>
      <c r="AV317" s="15"/>
      <c r="AW317" s="15"/>
      <c r="AX317" s="74"/>
      <c r="AZ317" s="15"/>
      <c r="BA317" s="15"/>
      <c r="BB317" s="15"/>
    </row>
    <row r="318" spans="1:54" s="79" customFormat="1" ht="12">
      <c r="A318" s="298"/>
      <c r="B318" s="160"/>
      <c r="C318" s="161"/>
      <c r="D318" s="15"/>
      <c r="E318" s="15"/>
      <c r="F318" s="15"/>
      <c r="G318" s="15"/>
      <c r="H318" s="15"/>
      <c r="I318" s="15"/>
      <c r="J318" s="15"/>
      <c r="K318" s="15"/>
      <c r="L318" s="297"/>
      <c r="M318" s="15" t="s">
        <v>680</v>
      </c>
      <c r="N318" s="15"/>
      <c r="O318" s="15"/>
      <c r="P318" s="15"/>
      <c r="Q318" s="15"/>
      <c r="R318" s="15"/>
      <c r="S318" s="15"/>
      <c r="T318" s="95"/>
      <c r="U318" s="15"/>
      <c r="V318" s="15"/>
      <c r="W318" s="15"/>
      <c r="X318" s="15"/>
      <c r="Y318" s="15"/>
      <c r="Z318" s="15"/>
      <c r="AA318" s="15"/>
      <c r="AB318" s="15"/>
      <c r="AC318" s="15"/>
      <c r="AD318" s="15"/>
      <c r="AE318" s="15"/>
      <c r="AF318" s="15"/>
      <c r="AG318" s="15"/>
      <c r="AH318" s="15"/>
      <c r="AI318" s="15"/>
      <c r="AJ318" s="15"/>
      <c r="AK318" s="15"/>
      <c r="AL318" s="15"/>
      <c r="AM318" s="15"/>
      <c r="AN318" s="15"/>
      <c r="AO318" s="15"/>
      <c r="AP318" s="73"/>
      <c r="AQ318" s="15"/>
      <c r="AR318" s="15"/>
      <c r="AS318" s="15"/>
      <c r="AT318" s="15"/>
      <c r="AU318" s="15"/>
      <c r="AV318" s="15"/>
      <c r="AW318" s="15"/>
      <c r="AX318" s="74"/>
      <c r="AZ318" s="15"/>
      <c r="BA318" s="15"/>
      <c r="BB318" s="15"/>
    </row>
    <row r="319" spans="1:54" s="79" customFormat="1" ht="12">
      <c r="A319" s="298"/>
      <c r="B319" s="160"/>
      <c r="C319" s="161"/>
      <c r="D319" s="15"/>
      <c r="E319" s="15"/>
      <c r="F319" s="15"/>
      <c r="G319" s="15"/>
      <c r="H319" s="15"/>
      <c r="I319" s="15"/>
      <c r="J319" s="15"/>
      <c r="K319" s="15"/>
      <c r="L319" s="297"/>
      <c r="M319" s="15"/>
      <c r="N319" s="15"/>
      <c r="O319" s="15"/>
      <c r="P319" s="15"/>
      <c r="Q319" s="15"/>
      <c r="R319" s="15"/>
      <c r="S319" s="15"/>
      <c r="T319" s="95"/>
      <c r="U319" s="15"/>
      <c r="V319" s="15"/>
      <c r="W319" s="15"/>
      <c r="X319" s="15"/>
      <c r="Y319" s="15"/>
      <c r="Z319" s="15"/>
      <c r="AA319" s="15"/>
      <c r="AB319" s="15"/>
      <c r="AC319" s="15"/>
      <c r="AD319" s="15"/>
      <c r="AE319" s="15"/>
      <c r="AF319" s="15"/>
      <c r="AG319" s="15"/>
      <c r="AH319" s="15"/>
      <c r="AI319" s="15"/>
      <c r="AJ319" s="15"/>
      <c r="AK319" s="15"/>
      <c r="AL319" s="15"/>
      <c r="AM319" s="15"/>
      <c r="AN319" s="15"/>
      <c r="AO319" s="15"/>
      <c r="AP319" s="73"/>
      <c r="AQ319" s="15"/>
      <c r="AR319" s="15"/>
      <c r="AS319" s="15"/>
      <c r="AT319" s="15"/>
      <c r="AU319" s="15"/>
      <c r="AV319" s="15"/>
      <c r="AW319" s="15"/>
      <c r="AX319" s="74"/>
      <c r="AZ319" s="15"/>
      <c r="BA319" s="15"/>
      <c r="BB319" s="15"/>
    </row>
    <row r="320" spans="1:54" s="79" customFormat="1" ht="12">
      <c r="A320" s="298"/>
      <c r="B320" s="1007" t="s">
        <v>754</v>
      </c>
      <c r="C320" s="1008"/>
      <c r="D320" s="37"/>
      <c r="E320" s="37"/>
      <c r="F320" s="37"/>
      <c r="G320" s="37"/>
      <c r="H320" s="37"/>
      <c r="I320" s="37"/>
      <c r="J320" s="37"/>
      <c r="K320" s="37"/>
      <c r="L320" s="329" t="s">
        <v>755</v>
      </c>
      <c r="M320" s="37" t="s">
        <v>753</v>
      </c>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282"/>
      <c r="AQ320" s="37"/>
      <c r="AR320" s="37"/>
      <c r="AS320" s="37"/>
      <c r="AT320" s="37"/>
      <c r="AU320" s="37"/>
      <c r="AV320" s="37"/>
      <c r="AW320" s="37"/>
      <c r="AX320" s="330"/>
      <c r="AZ320" s="15"/>
      <c r="BA320" s="15"/>
      <c r="BB320" s="15"/>
    </row>
    <row r="321" spans="1:54" s="79" customFormat="1" ht="12">
      <c r="A321" s="298"/>
      <c r="B321" s="160"/>
      <c r="C321" s="161"/>
      <c r="D321" s="15"/>
      <c r="E321" s="15"/>
      <c r="F321" s="15"/>
      <c r="G321" s="15"/>
      <c r="H321" s="15"/>
      <c r="I321" s="15"/>
      <c r="J321" s="15"/>
      <c r="K321" s="15"/>
      <c r="L321" s="297"/>
      <c r="M321" s="293" t="s">
        <v>684</v>
      </c>
      <c r="N321" s="15" t="s">
        <v>756</v>
      </c>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73"/>
      <c r="AQ321" s="15"/>
      <c r="AR321" s="15"/>
      <c r="AS321" s="15"/>
      <c r="AT321" s="15"/>
      <c r="AU321" s="15"/>
      <c r="AV321" s="15"/>
      <c r="AW321" s="15"/>
      <c r="AX321" s="74"/>
      <c r="AZ321" s="15"/>
      <c r="BA321" s="15"/>
      <c r="BB321" s="15"/>
    </row>
    <row r="322" spans="1:54" s="79" customFormat="1" ht="12">
      <c r="A322" s="298"/>
      <c r="B322" s="160"/>
      <c r="C322" s="161"/>
      <c r="D322" s="15"/>
      <c r="E322" s="15"/>
      <c r="F322" s="15"/>
      <c r="G322" s="15"/>
      <c r="H322" s="15"/>
      <c r="I322" s="15"/>
      <c r="J322" s="15"/>
      <c r="K322" s="15"/>
      <c r="L322" s="297"/>
      <c r="M322" s="95"/>
      <c r="N322" s="299" t="s">
        <v>757</v>
      </c>
      <c r="O322" s="15"/>
      <c r="P322" s="15"/>
      <c r="Q322" s="95"/>
      <c r="R322" s="15"/>
      <c r="T322" s="15"/>
      <c r="U322" s="15"/>
      <c r="V322" s="15"/>
      <c r="W322" s="15"/>
      <c r="X322" s="15"/>
      <c r="Y322" s="15"/>
      <c r="Z322" s="15"/>
      <c r="AA322" s="15"/>
      <c r="AB322" s="15"/>
      <c r="AD322" s="322"/>
      <c r="AF322" s="15"/>
      <c r="AG322" s="15"/>
      <c r="AH322" s="15"/>
      <c r="AI322" s="15"/>
      <c r="AJ322" s="15"/>
      <c r="AK322" s="15"/>
      <c r="AL322" s="15"/>
      <c r="AM322" s="15"/>
      <c r="AN322" s="15"/>
      <c r="AO322" s="15"/>
      <c r="AP322" s="73"/>
      <c r="AQ322" s="15"/>
      <c r="AR322" s="15"/>
      <c r="AS322" s="15"/>
      <c r="AT322" s="15"/>
      <c r="AU322" s="15"/>
      <c r="AV322" s="15"/>
      <c r="AW322" s="15"/>
      <c r="AX322" s="74"/>
      <c r="AZ322" s="15"/>
      <c r="BA322" s="15"/>
      <c r="BB322" s="15"/>
    </row>
    <row r="323" spans="1:54" s="79" customFormat="1" ht="12">
      <c r="A323" s="298"/>
      <c r="B323" s="160"/>
      <c r="C323" s="161"/>
      <c r="D323" s="15"/>
      <c r="E323" s="15"/>
      <c r="F323" s="15"/>
      <c r="G323" s="15"/>
      <c r="H323" s="15"/>
      <c r="I323" s="15"/>
      <c r="J323" s="15"/>
      <c r="K323" s="15"/>
      <c r="L323" s="297"/>
      <c r="M323" s="15"/>
      <c r="N323" s="15"/>
      <c r="O323" s="15"/>
      <c r="P323" s="15"/>
      <c r="Q323" s="15"/>
      <c r="R323" s="15"/>
      <c r="S323" s="15"/>
      <c r="T323" s="15"/>
      <c r="U323" s="15"/>
      <c r="V323" s="15"/>
      <c r="W323" s="15"/>
      <c r="X323" s="15"/>
      <c r="Y323" s="15"/>
      <c r="Z323" s="15"/>
      <c r="AA323" s="15"/>
      <c r="AB323" s="15"/>
      <c r="AF323" s="15"/>
      <c r="AG323" s="15"/>
      <c r="AH323" s="15"/>
      <c r="AI323" s="15"/>
      <c r="AJ323" s="15"/>
      <c r="AK323" s="15"/>
      <c r="AL323" s="15"/>
      <c r="AM323" s="15"/>
      <c r="AN323" s="15"/>
      <c r="AO323" s="15"/>
      <c r="AP323" s="73"/>
      <c r="AQ323" s="15"/>
      <c r="AR323" s="15"/>
      <c r="AS323" s="15"/>
      <c r="AT323" s="15"/>
      <c r="AU323" s="15"/>
      <c r="AV323" s="15"/>
      <c r="AW323" s="15"/>
      <c r="AX323" s="74"/>
    </row>
    <row r="324" spans="1:54" s="79" customFormat="1" ht="12">
      <c r="A324" s="298"/>
      <c r="B324" s="160"/>
      <c r="C324" s="161"/>
      <c r="D324" s="15"/>
      <c r="E324" s="15"/>
      <c r="F324" s="15"/>
      <c r="G324" s="15"/>
      <c r="H324" s="15"/>
      <c r="I324" s="15"/>
      <c r="J324" s="15"/>
      <c r="K324" s="15"/>
      <c r="L324" s="297" t="s">
        <v>758</v>
      </c>
      <c r="M324" s="15" t="s">
        <v>759</v>
      </c>
      <c r="N324" s="15"/>
      <c r="O324" s="95"/>
      <c r="P324" s="15"/>
      <c r="Q324" s="15"/>
      <c r="R324" s="15"/>
      <c r="S324" s="15"/>
      <c r="T324" s="15"/>
      <c r="U324" s="15"/>
      <c r="V324" s="15"/>
      <c r="W324" s="15"/>
      <c r="X324" s="15"/>
      <c r="Y324" s="15"/>
      <c r="Z324" s="15"/>
      <c r="AA324" s="15"/>
      <c r="AB324" s="15"/>
      <c r="AF324" s="15"/>
      <c r="AG324" s="15"/>
      <c r="AH324" s="15"/>
      <c r="AI324" s="15"/>
      <c r="AJ324" s="15"/>
      <c r="AK324" s="15"/>
      <c r="AL324" s="15"/>
      <c r="AM324" s="15"/>
      <c r="AN324" s="15"/>
      <c r="AO324" s="15"/>
      <c r="AP324" s="73"/>
      <c r="AQ324" s="15"/>
      <c r="AR324" s="15"/>
      <c r="AS324" s="15"/>
      <c r="AT324" s="15"/>
      <c r="AU324" s="15"/>
      <c r="AV324" s="15"/>
      <c r="AW324" s="15"/>
      <c r="AX324" s="74"/>
    </row>
    <row r="325" spans="1:54" s="79" customFormat="1" ht="12">
      <c r="A325" s="298"/>
      <c r="B325" s="160"/>
      <c r="C325" s="161"/>
      <c r="D325" s="15"/>
      <c r="E325" s="15"/>
      <c r="F325" s="15"/>
      <c r="G325" s="15"/>
      <c r="H325" s="15"/>
      <c r="I325" s="15"/>
      <c r="J325" s="15"/>
      <c r="K325" s="15"/>
      <c r="L325" s="297"/>
      <c r="M325" s="293" t="s">
        <v>760</v>
      </c>
      <c r="N325" s="79" t="s">
        <v>1295</v>
      </c>
      <c r="O325" s="95"/>
      <c r="P325" s="15"/>
      <c r="Q325" s="15"/>
      <c r="R325" s="15"/>
      <c r="S325" s="15"/>
      <c r="T325" s="15"/>
      <c r="U325" s="15"/>
      <c r="V325" s="15"/>
      <c r="W325" s="15"/>
      <c r="X325" s="15"/>
      <c r="Y325" s="15"/>
      <c r="Z325" s="15"/>
      <c r="AA325" s="15"/>
      <c r="AB325" s="15"/>
      <c r="AF325" s="15"/>
      <c r="AG325" s="15"/>
      <c r="AH325" s="15"/>
      <c r="AI325" s="15"/>
      <c r="AJ325" s="15"/>
      <c r="AK325" s="15"/>
      <c r="AL325" s="15"/>
      <c r="AM325" s="15"/>
      <c r="AN325" s="15"/>
      <c r="AO325" s="15"/>
      <c r="AP325" s="73"/>
      <c r="AQ325" s="15"/>
      <c r="AR325" s="15"/>
      <c r="AS325" s="15"/>
      <c r="AT325" s="15"/>
      <c r="AU325" s="15"/>
      <c r="AV325" s="15"/>
      <c r="AW325" s="15"/>
      <c r="AX325" s="74"/>
    </row>
    <row r="326" spans="1:54" s="79" customFormat="1" ht="12">
      <c r="A326" s="298"/>
      <c r="B326" s="160"/>
      <c r="C326" s="161"/>
      <c r="D326" s="15"/>
      <c r="E326" s="15"/>
      <c r="F326" s="15"/>
      <c r="G326" s="15"/>
      <c r="H326" s="15"/>
      <c r="I326" s="15"/>
      <c r="J326" s="15"/>
      <c r="K326" s="15"/>
      <c r="L326" s="297"/>
      <c r="M326" s="293"/>
      <c r="O326" s="95"/>
      <c r="P326" s="15"/>
      <c r="Q326" s="15"/>
      <c r="R326" s="15"/>
      <c r="S326" s="15"/>
      <c r="T326" s="15"/>
      <c r="U326" s="15"/>
      <c r="V326" s="15"/>
      <c r="W326" s="15"/>
      <c r="X326" s="15"/>
      <c r="Y326" s="15"/>
      <c r="Z326" s="15"/>
      <c r="AA326" s="15"/>
      <c r="AB326" s="15"/>
      <c r="AF326" s="15"/>
      <c r="AG326" s="15"/>
      <c r="AH326" s="15"/>
      <c r="AI326" s="15"/>
      <c r="AJ326" s="15"/>
      <c r="AK326" s="15"/>
      <c r="AL326" s="15"/>
      <c r="AM326" s="15"/>
      <c r="AN326" s="15"/>
      <c r="AO326" s="15"/>
      <c r="AP326" s="73"/>
      <c r="AQ326" s="15"/>
      <c r="AR326" s="15"/>
      <c r="AS326" s="15"/>
      <c r="AT326" s="15"/>
      <c r="AU326" s="15"/>
      <c r="AV326" s="15"/>
      <c r="AW326" s="15"/>
      <c r="AX326" s="74"/>
    </row>
    <row r="327" spans="1:54" s="79" customFormat="1" ht="12">
      <c r="A327" s="298"/>
      <c r="B327" s="160"/>
      <c r="C327" s="161"/>
      <c r="D327" s="15"/>
      <c r="E327" s="15"/>
      <c r="F327" s="15"/>
      <c r="G327" s="15"/>
      <c r="H327" s="15"/>
      <c r="I327" s="15"/>
      <c r="J327" s="15"/>
      <c r="K327" s="15"/>
      <c r="L327" s="297"/>
      <c r="M327" s="293"/>
      <c r="N327" s="293" t="s">
        <v>761</v>
      </c>
      <c r="O327" s="15" t="s">
        <v>1296</v>
      </c>
      <c r="P327" s="95"/>
      <c r="Q327" s="15"/>
      <c r="R327" s="15"/>
      <c r="S327" s="15"/>
      <c r="T327" s="15"/>
      <c r="U327" s="15"/>
      <c r="V327" s="15"/>
      <c r="W327" s="15"/>
      <c r="X327" s="15"/>
      <c r="Y327" s="15"/>
      <c r="Z327" s="15"/>
      <c r="AA327" s="15"/>
      <c r="AB327" s="15"/>
      <c r="AF327" s="15"/>
      <c r="AG327" s="15"/>
      <c r="AH327" s="15"/>
      <c r="AI327" s="15"/>
      <c r="AJ327" s="15"/>
      <c r="AK327" s="15"/>
      <c r="AL327" s="15"/>
      <c r="AM327" s="15"/>
      <c r="AN327" s="15"/>
      <c r="AO327" s="15"/>
      <c r="AP327" s="73"/>
      <c r="AQ327" s="15"/>
      <c r="AR327" s="15"/>
      <c r="AS327" s="15"/>
      <c r="AT327" s="15"/>
      <c r="AU327" s="15"/>
      <c r="AV327" s="15"/>
      <c r="AW327" s="15"/>
      <c r="AX327" s="74"/>
    </row>
    <row r="328" spans="1:54" s="79" customFormat="1" ht="12">
      <c r="A328" s="298"/>
      <c r="B328" s="160"/>
      <c r="C328" s="161"/>
      <c r="D328" s="15" t="s">
        <v>1297</v>
      </c>
      <c r="E328" s="15"/>
      <c r="F328" s="15"/>
      <c r="G328" s="15"/>
      <c r="H328" s="15"/>
      <c r="I328" s="15"/>
      <c r="J328" s="15"/>
      <c r="K328" s="15"/>
      <c r="L328" s="297"/>
      <c r="N328" s="293"/>
      <c r="O328" s="102" t="s">
        <v>762</v>
      </c>
      <c r="P328" s="95"/>
      <c r="Q328" s="322"/>
      <c r="R328" s="322"/>
      <c r="S328" s="322"/>
      <c r="T328" s="322"/>
      <c r="U328" s="322"/>
      <c r="V328" s="322"/>
      <c r="W328" s="322"/>
      <c r="X328" s="322"/>
      <c r="Y328" s="322"/>
      <c r="Z328" s="322"/>
      <c r="AA328" s="322"/>
      <c r="AB328" s="15"/>
      <c r="AF328" s="15"/>
      <c r="AG328" s="15"/>
      <c r="AH328" s="15"/>
      <c r="AI328" s="15"/>
      <c r="AJ328" s="15"/>
      <c r="AK328" s="15"/>
      <c r="AL328" s="15"/>
      <c r="AM328" s="15"/>
      <c r="AN328" s="15"/>
      <c r="AO328" s="15"/>
      <c r="AP328" s="73"/>
      <c r="AQ328" s="15"/>
      <c r="AR328" s="15"/>
      <c r="AS328" s="15"/>
      <c r="AT328" s="15"/>
      <c r="AU328" s="15"/>
      <c r="AV328" s="15"/>
      <c r="AW328" s="15"/>
      <c r="AX328" s="74"/>
    </row>
    <row r="329" spans="1:54" s="79" customFormat="1" ht="12">
      <c r="A329" s="298"/>
      <c r="B329" s="160"/>
      <c r="C329" s="161"/>
      <c r="D329" s="15"/>
      <c r="E329" s="15"/>
      <c r="F329" s="15"/>
      <c r="G329" s="15"/>
      <c r="H329" s="15"/>
      <c r="I329" s="15"/>
      <c r="J329" s="15"/>
      <c r="K329" s="15"/>
      <c r="L329" s="297"/>
      <c r="N329" s="293"/>
      <c r="O329" s="102" t="s">
        <v>763</v>
      </c>
      <c r="P329" s="95"/>
      <c r="Q329" s="322"/>
      <c r="R329" s="322"/>
      <c r="S329" s="322"/>
      <c r="T329" s="322"/>
      <c r="U329" s="322"/>
      <c r="V329" s="322"/>
      <c r="W329" s="322"/>
      <c r="X329" s="322"/>
      <c r="Y329" s="322"/>
      <c r="Z329" s="322"/>
      <c r="AA329" s="322"/>
      <c r="AB329" s="15"/>
      <c r="AC329" s="15"/>
      <c r="AD329" s="15"/>
      <c r="AE329" s="15"/>
      <c r="AF329" s="15"/>
      <c r="AG329" s="15"/>
      <c r="AH329" s="15"/>
      <c r="AI329" s="15"/>
      <c r="AJ329" s="15"/>
      <c r="AK329" s="15"/>
      <c r="AL329" s="15"/>
      <c r="AM329" s="15"/>
      <c r="AN329" s="15"/>
      <c r="AO329" s="15"/>
      <c r="AP329" s="73"/>
      <c r="AQ329" s="15"/>
      <c r="AR329" s="15"/>
      <c r="AS329" s="15"/>
      <c r="AT329" s="15"/>
      <c r="AU329" s="15"/>
      <c r="AV329" s="15"/>
      <c r="AW329" s="15"/>
      <c r="AX329" s="74"/>
    </row>
    <row r="330" spans="1:54" s="79" customFormat="1" ht="12">
      <c r="A330" s="298"/>
      <c r="B330" s="160"/>
      <c r="C330" s="161"/>
      <c r="D330" s="15"/>
      <c r="E330" s="15"/>
      <c r="F330" s="15"/>
      <c r="G330" s="15"/>
      <c r="H330" s="15"/>
      <c r="I330" s="15"/>
      <c r="J330" s="15"/>
      <c r="K330" s="15"/>
      <c r="L330" s="297"/>
      <c r="N330" s="293"/>
      <c r="O330" s="95"/>
      <c r="P330" s="99"/>
      <c r="Q330" s="322"/>
      <c r="R330" s="322"/>
      <c r="S330" s="322"/>
      <c r="T330" s="322"/>
      <c r="U330" s="322"/>
      <c r="V330" s="322"/>
      <c r="W330" s="322"/>
      <c r="X330" s="322"/>
      <c r="Y330" s="322"/>
      <c r="Z330" s="322"/>
      <c r="AA330" s="322"/>
      <c r="AB330" s="15"/>
      <c r="AC330" s="15"/>
      <c r="AD330" s="15"/>
      <c r="AE330" s="15"/>
      <c r="AF330" s="15"/>
      <c r="AG330" s="15"/>
      <c r="AH330" s="15"/>
      <c r="AI330" s="15"/>
      <c r="AJ330" s="15"/>
      <c r="AK330" s="15"/>
      <c r="AL330" s="15"/>
      <c r="AM330" s="15"/>
      <c r="AN330" s="15"/>
      <c r="AO330" s="15"/>
      <c r="AP330" s="73"/>
      <c r="AQ330" s="15"/>
      <c r="AR330" s="15"/>
      <c r="AS330" s="15"/>
      <c r="AT330" s="15"/>
      <c r="AU330" s="15"/>
      <c r="AV330" s="15"/>
      <c r="AW330" s="15"/>
      <c r="AX330" s="74"/>
    </row>
    <row r="331" spans="1:54" s="100" customFormat="1" ht="12">
      <c r="A331" s="302"/>
      <c r="B331" s="160"/>
      <c r="C331" s="161"/>
      <c r="D331" s="102"/>
      <c r="E331" s="102"/>
      <c r="F331" s="102"/>
      <c r="G331" s="102"/>
      <c r="H331" s="102"/>
      <c r="I331" s="102"/>
      <c r="J331" s="102"/>
      <c r="K331" s="102"/>
      <c r="L331" s="297"/>
      <c r="M331" s="102"/>
      <c r="O331" s="305" t="s">
        <v>732</v>
      </c>
      <c r="P331" s="307"/>
      <c r="Q331" s="307"/>
      <c r="R331" s="307"/>
      <c r="S331" s="307"/>
      <c r="T331" s="307"/>
      <c r="U331" s="307"/>
      <c r="V331" s="307"/>
      <c r="W331" s="308" t="s">
        <v>691</v>
      </c>
      <c r="X331" s="309"/>
      <c r="Y331" s="309"/>
      <c r="Z331" s="307"/>
      <c r="AA331" s="307"/>
      <c r="AB331" s="307"/>
      <c r="AC331" s="307"/>
      <c r="AD331" s="307"/>
      <c r="AE331" s="307"/>
      <c r="AF331" s="307"/>
      <c r="AG331" s="307"/>
      <c r="AH331" s="307"/>
      <c r="AI331" s="307"/>
      <c r="AJ331" s="307"/>
      <c r="AK331" s="307"/>
      <c r="AL331" s="307"/>
      <c r="AM331" s="306"/>
      <c r="AN331" s="305" t="s">
        <v>603</v>
      </c>
      <c r="AO331" s="306"/>
      <c r="AP331" s="303"/>
      <c r="AQ331" s="102"/>
      <c r="AT331" s="102"/>
      <c r="AU331" s="102"/>
      <c r="AV331" s="102"/>
      <c r="AW331" s="102"/>
      <c r="AX331" s="304"/>
    </row>
    <row r="332" spans="1:54" s="79" customFormat="1" ht="12">
      <c r="A332" s="298"/>
      <c r="B332" s="160"/>
      <c r="C332" s="161"/>
      <c r="D332" s="15"/>
      <c r="E332" s="15"/>
      <c r="F332" s="15"/>
      <c r="G332" s="15"/>
      <c r="H332" s="15"/>
      <c r="I332" s="15"/>
      <c r="J332" s="15"/>
      <c r="K332" s="15"/>
      <c r="L332" s="297"/>
      <c r="O332" s="311" t="s">
        <v>428</v>
      </c>
      <c r="P332" s="313"/>
      <c r="Q332" s="313"/>
      <c r="R332" s="313"/>
      <c r="S332" s="158"/>
      <c r="T332" s="158"/>
      <c r="U332" s="158"/>
      <c r="V332" s="158"/>
      <c r="W332" s="311" t="s">
        <v>1298</v>
      </c>
      <c r="X332" s="314"/>
      <c r="Y332" s="314"/>
      <c r="Z332" s="314"/>
      <c r="AA332" s="314"/>
      <c r="AB332" s="314"/>
      <c r="AC332" s="314"/>
      <c r="AD332" s="314"/>
      <c r="AE332" s="314"/>
      <c r="AF332" s="314"/>
      <c r="AG332" s="314"/>
      <c r="AH332" s="314"/>
      <c r="AI332" s="314"/>
      <c r="AJ332" s="314"/>
      <c r="AK332" s="314"/>
      <c r="AL332" s="314"/>
      <c r="AM332" s="315"/>
      <c r="AN332" s="311" t="s">
        <v>479</v>
      </c>
      <c r="AO332" s="312"/>
      <c r="AP332" s="73"/>
      <c r="AQ332" s="15"/>
      <c r="AT332" s="15"/>
      <c r="AU332" s="15"/>
      <c r="AV332" s="15"/>
      <c r="AW332" s="15"/>
      <c r="AX332" s="74"/>
    </row>
    <row r="333" spans="1:54" s="79" customFormat="1" ht="12">
      <c r="A333" s="298"/>
      <c r="B333" s="160"/>
      <c r="C333" s="161"/>
      <c r="D333" s="15"/>
      <c r="E333" s="15"/>
      <c r="F333" s="15"/>
      <c r="G333" s="15"/>
      <c r="H333" s="15"/>
      <c r="I333" s="15"/>
      <c r="J333" s="15"/>
      <c r="K333" s="15"/>
      <c r="L333" s="297"/>
      <c r="N333" s="322"/>
      <c r="O333" s="338"/>
      <c r="P333" s="322"/>
      <c r="Q333" s="322"/>
      <c r="R333" s="322"/>
      <c r="S333" s="322"/>
      <c r="T333" s="322"/>
      <c r="U333" s="322"/>
      <c r="V333" s="322"/>
      <c r="W333" s="322"/>
      <c r="X333" s="322"/>
      <c r="Y333" s="322"/>
      <c r="Z333" s="322"/>
      <c r="AA333" s="322"/>
      <c r="AB333" s="15"/>
      <c r="AC333" s="15"/>
      <c r="AD333" s="15"/>
      <c r="AE333" s="15"/>
      <c r="AF333" s="15"/>
      <c r="AG333" s="15"/>
      <c r="AH333" s="15"/>
      <c r="AI333" s="15"/>
      <c r="AJ333" s="15"/>
      <c r="AK333" s="15"/>
      <c r="AL333" s="15"/>
      <c r="AM333" s="15"/>
      <c r="AN333" s="15"/>
      <c r="AO333" s="15"/>
      <c r="AP333" s="73"/>
      <c r="AQ333" s="15"/>
      <c r="AR333" s="15"/>
      <c r="AS333" s="15"/>
      <c r="AT333" s="15"/>
      <c r="AU333" s="15"/>
      <c r="AV333" s="15"/>
      <c r="AW333" s="15"/>
      <c r="AX333" s="74"/>
    </row>
    <row r="334" spans="1:54" s="79" customFormat="1" ht="12">
      <c r="A334" s="298"/>
      <c r="B334" s="160"/>
      <c r="C334" s="161"/>
      <c r="D334" s="15" t="s">
        <v>1299</v>
      </c>
      <c r="E334" s="15"/>
      <c r="F334" s="15"/>
      <c r="G334" s="15"/>
      <c r="H334" s="15"/>
      <c r="I334" s="15"/>
      <c r="J334" s="15"/>
      <c r="K334" s="15"/>
      <c r="L334" s="297"/>
      <c r="N334" s="293" t="s">
        <v>764</v>
      </c>
      <c r="O334" s="15" t="s">
        <v>1300</v>
      </c>
      <c r="P334" s="95"/>
      <c r="Q334" s="322"/>
      <c r="R334" s="322"/>
      <c r="S334" s="322"/>
      <c r="T334" s="322"/>
      <c r="U334" s="322"/>
      <c r="V334" s="322"/>
      <c r="W334" s="322"/>
      <c r="X334" s="322"/>
      <c r="Y334" s="322"/>
      <c r="Z334" s="322"/>
      <c r="AA334" s="322"/>
      <c r="AB334" s="15"/>
      <c r="AF334" s="15"/>
      <c r="AG334" s="15"/>
      <c r="AH334" s="15"/>
      <c r="AI334" s="15"/>
      <c r="AJ334" s="15"/>
      <c r="AK334" s="15"/>
      <c r="AL334" s="15"/>
      <c r="AM334" s="15"/>
      <c r="AN334" s="15"/>
      <c r="AO334" s="15"/>
      <c r="AP334" s="73"/>
      <c r="AQ334" s="15"/>
      <c r="AR334" s="15"/>
      <c r="AS334" s="15"/>
      <c r="AT334" s="15"/>
      <c r="AU334" s="15"/>
      <c r="AV334" s="15"/>
      <c r="AW334" s="15"/>
      <c r="AX334" s="74"/>
    </row>
    <row r="335" spans="1:54" s="79" customFormat="1" ht="12">
      <c r="A335" s="298"/>
      <c r="B335" s="160"/>
      <c r="C335" s="161"/>
      <c r="D335" s="15"/>
      <c r="E335" s="15"/>
      <c r="F335" s="15"/>
      <c r="G335" s="15"/>
      <c r="H335" s="15"/>
      <c r="I335" s="15"/>
      <c r="J335" s="15"/>
      <c r="K335" s="15"/>
      <c r="L335" s="297"/>
      <c r="N335" s="293"/>
      <c r="O335" s="102" t="s">
        <v>765</v>
      </c>
      <c r="P335" s="95"/>
      <c r="Q335" s="322"/>
      <c r="R335" s="322"/>
      <c r="S335" s="322"/>
      <c r="T335" s="322"/>
      <c r="U335" s="322"/>
      <c r="V335" s="322"/>
      <c r="W335" s="322"/>
      <c r="X335" s="322"/>
      <c r="Y335" s="322"/>
      <c r="Z335" s="322"/>
      <c r="AA335" s="322"/>
      <c r="AB335" s="15"/>
      <c r="AC335" s="15"/>
      <c r="AD335" s="15"/>
      <c r="AE335" s="15"/>
      <c r="AF335" s="15"/>
      <c r="AG335" s="15"/>
      <c r="AH335" s="15"/>
      <c r="AI335" s="15"/>
      <c r="AJ335" s="15"/>
      <c r="AK335" s="15"/>
      <c r="AL335" s="15"/>
      <c r="AM335" s="15"/>
      <c r="AN335" s="15"/>
      <c r="AO335" s="15"/>
      <c r="AP335" s="73"/>
      <c r="AQ335" s="15"/>
      <c r="AR335" s="15"/>
      <c r="AS335" s="15"/>
      <c r="AT335" s="15"/>
      <c r="AU335" s="15"/>
      <c r="AV335" s="15"/>
      <c r="AW335" s="15"/>
      <c r="AX335" s="74"/>
    </row>
    <row r="336" spans="1:54" s="79" customFormat="1" ht="12">
      <c r="A336" s="298"/>
      <c r="B336" s="160"/>
      <c r="C336" s="161"/>
      <c r="D336" s="15"/>
      <c r="E336" s="15"/>
      <c r="F336" s="15"/>
      <c r="G336" s="15"/>
      <c r="H336" s="15"/>
      <c r="I336" s="15"/>
      <c r="J336" s="15"/>
      <c r="K336" s="15"/>
      <c r="L336" s="297"/>
      <c r="N336" s="293"/>
      <c r="O336" s="102" t="s">
        <v>763</v>
      </c>
      <c r="P336" s="95"/>
      <c r="Q336" s="322"/>
      <c r="R336" s="322"/>
      <c r="S336" s="322"/>
      <c r="T336" s="322"/>
      <c r="U336" s="322"/>
      <c r="V336" s="322"/>
      <c r="W336" s="322"/>
      <c r="X336" s="322"/>
      <c r="Y336" s="322"/>
      <c r="Z336" s="322"/>
      <c r="AA336" s="322"/>
      <c r="AB336" s="15"/>
      <c r="AC336" s="15"/>
      <c r="AD336" s="15"/>
      <c r="AE336" s="15"/>
      <c r="AF336" s="15"/>
      <c r="AG336" s="15"/>
      <c r="AH336" s="15"/>
      <c r="AI336" s="15"/>
      <c r="AJ336" s="15"/>
      <c r="AK336" s="15"/>
      <c r="AL336" s="15"/>
      <c r="AM336" s="15"/>
      <c r="AN336" s="15"/>
      <c r="AO336" s="15"/>
      <c r="AP336" s="73"/>
      <c r="AQ336" s="15"/>
      <c r="AR336" s="15"/>
      <c r="AS336" s="15"/>
      <c r="AT336" s="15"/>
      <c r="AU336" s="15"/>
      <c r="AV336" s="15"/>
      <c r="AW336" s="15"/>
      <c r="AX336" s="74"/>
    </row>
    <row r="337" spans="1:50" s="79" customFormat="1" ht="12">
      <c r="A337" s="298"/>
      <c r="B337" s="160"/>
      <c r="C337" s="161"/>
      <c r="D337" s="15"/>
      <c r="E337" s="15"/>
      <c r="F337" s="15"/>
      <c r="G337" s="15"/>
      <c r="H337" s="15"/>
      <c r="I337" s="15"/>
      <c r="J337" s="15"/>
      <c r="K337" s="15"/>
      <c r="L337" s="297"/>
      <c r="N337" s="293"/>
      <c r="O337" s="95"/>
      <c r="P337" s="99"/>
      <c r="Q337" s="322"/>
      <c r="R337" s="322"/>
      <c r="S337" s="322"/>
      <c r="T337" s="322"/>
      <c r="U337" s="322"/>
      <c r="V337" s="322"/>
      <c r="W337" s="322"/>
      <c r="X337" s="322"/>
      <c r="Y337" s="322"/>
      <c r="Z337" s="322"/>
      <c r="AA337" s="322"/>
      <c r="AB337" s="15"/>
      <c r="AC337" s="15"/>
      <c r="AD337" s="15"/>
      <c r="AE337" s="15"/>
      <c r="AF337" s="15"/>
      <c r="AG337" s="15"/>
      <c r="AH337" s="15"/>
      <c r="AI337" s="15"/>
      <c r="AJ337" s="15"/>
      <c r="AK337" s="15"/>
      <c r="AL337" s="15"/>
      <c r="AM337" s="15"/>
      <c r="AN337" s="15"/>
      <c r="AO337" s="15"/>
      <c r="AP337" s="73"/>
      <c r="AQ337" s="15"/>
      <c r="AR337" s="15"/>
      <c r="AS337" s="15"/>
      <c r="AT337" s="15"/>
      <c r="AU337" s="15"/>
      <c r="AV337" s="15"/>
      <c r="AW337" s="15"/>
      <c r="AX337" s="74"/>
    </row>
    <row r="338" spans="1:50" s="100" customFormat="1" ht="12">
      <c r="A338" s="302"/>
      <c r="B338" s="160"/>
      <c r="C338" s="161"/>
      <c r="D338" s="102"/>
      <c r="E338" s="102"/>
      <c r="F338" s="102"/>
      <c r="G338" s="102"/>
      <c r="H338" s="102"/>
      <c r="I338" s="102"/>
      <c r="J338" s="102"/>
      <c r="K338" s="102"/>
      <c r="L338" s="297"/>
      <c r="M338" s="102"/>
      <c r="O338" s="305" t="s">
        <v>732</v>
      </c>
      <c r="P338" s="307"/>
      <c r="Q338" s="307"/>
      <c r="R338" s="307"/>
      <c r="S338" s="307"/>
      <c r="T338" s="307"/>
      <c r="U338" s="307"/>
      <c r="V338" s="307"/>
      <c r="W338" s="308" t="s">
        <v>691</v>
      </c>
      <c r="X338" s="309"/>
      <c r="Y338" s="309"/>
      <c r="Z338" s="307"/>
      <c r="AA338" s="307"/>
      <c r="AB338" s="307"/>
      <c r="AC338" s="307"/>
      <c r="AD338" s="307"/>
      <c r="AE338" s="307"/>
      <c r="AF338" s="307"/>
      <c r="AG338" s="307"/>
      <c r="AH338" s="307"/>
      <c r="AI338" s="307"/>
      <c r="AJ338" s="307"/>
      <c r="AK338" s="307"/>
      <c r="AL338" s="307"/>
      <c r="AM338" s="306"/>
      <c r="AN338" s="305" t="s">
        <v>603</v>
      </c>
      <c r="AO338" s="306"/>
      <c r="AP338" s="303"/>
      <c r="AQ338" s="102"/>
      <c r="AT338" s="102"/>
      <c r="AU338" s="102"/>
      <c r="AV338" s="102"/>
      <c r="AW338" s="102"/>
      <c r="AX338" s="304"/>
    </row>
    <row r="339" spans="1:50" s="79" customFormat="1" ht="12">
      <c r="A339" s="298"/>
      <c r="B339" s="160"/>
      <c r="C339" s="161"/>
      <c r="D339" s="15"/>
      <c r="E339" s="15"/>
      <c r="F339" s="15"/>
      <c r="G339" s="15"/>
      <c r="H339" s="15"/>
      <c r="I339" s="15"/>
      <c r="J339" s="15"/>
      <c r="K339" s="15"/>
      <c r="L339" s="297"/>
      <c r="O339" s="316" t="s">
        <v>532</v>
      </c>
      <c r="P339" s="317"/>
      <c r="Q339" s="317"/>
      <c r="R339" s="317"/>
      <c r="S339" s="158"/>
      <c r="T339" s="158"/>
      <c r="U339" s="158"/>
      <c r="V339" s="158"/>
      <c r="W339" s="311" t="s">
        <v>1301</v>
      </c>
      <c r="X339" s="314"/>
      <c r="Y339" s="314"/>
      <c r="Z339" s="314"/>
      <c r="AA339" s="314"/>
      <c r="AB339" s="314"/>
      <c r="AC339" s="314"/>
      <c r="AD339" s="314"/>
      <c r="AE339" s="314"/>
      <c r="AF339" s="314"/>
      <c r="AG339" s="314"/>
      <c r="AH339" s="314"/>
      <c r="AI339" s="314"/>
      <c r="AJ339" s="314"/>
      <c r="AK339" s="314"/>
      <c r="AL339" s="314"/>
      <c r="AM339" s="315"/>
      <c r="AN339" s="311" t="s">
        <v>695</v>
      </c>
      <c r="AO339" s="312"/>
      <c r="AP339" s="73"/>
      <c r="AQ339" s="15"/>
      <c r="AT339" s="15"/>
      <c r="AU339" s="15"/>
      <c r="AV339" s="15"/>
      <c r="AW339" s="15"/>
      <c r="AX339" s="74"/>
    </row>
    <row r="340" spans="1:50" s="79" customFormat="1" ht="12">
      <c r="A340" s="298"/>
      <c r="B340" s="160"/>
      <c r="C340" s="161"/>
      <c r="D340" s="15"/>
      <c r="E340" s="15"/>
      <c r="F340" s="15"/>
      <c r="G340" s="15"/>
      <c r="H340" s="15"/>
      <c r="I340" s="15"/>
      <c r="J340" s="15"/>
      <c r="K340" s="15"/>
      <c r="L340" s="297"/>
      <c r="O340" s="316" t="s">
        <v>531</v>
      </c>
      <c r="P340" s="317"/>
      <c r="Q340" s="317"/>
      <c r="R340" s="317"/>
      <c r="S340" s="158"/>
      <c r="T340" s="158"/>
      <c r="U340" s="158"/>
      <c r="V340" s="158"/>
      <c r="W340" s="311" t="s">
        <v>1302</v>
      </c>
      <c r="X340" s="314"/>
      <c r="Y340" s="314"/>
      <c r="Z340" s="314"/>
      <c r="AA340" s="314"/>
      <c r="AB340" s="314"/>
      <c r="AC340" s="314"/>
      <c r="AD340" s="314"/>
      <c r="AE340" s="314"/>
      <c r="AF340" s="314"/>
      <c r="AG340" s="314"/>
      <c r="AH340" s="314"/>
      <c r="AI340" s="314"/>
      <c r="AJ340" s="314"/>
      <c r="AK340" s="314"/>
      <c r="AL340" s="314"/>
      <c r="AM340" s="315"/>
      <c r="AN340" s="311" t="s">
        <v>695</v>
      </c>
      <c r="AO340" s="312"/>
      <c r="AP340" s="73"/>
      <c r="AQ340" s="15"/>
      <c r="AT340" s="15"/>
      <c r="AU340" s="15"/>
      <c r="AV340" s="15"/>
      <c r="AW340" s="15"/>
      <c r="AX340" s="74"/>
    </row>
    <row r="341" spans="1:50" s="79" customFormat="1" ht="12">
      <c r="A341" s="298"/>
      <c r="B341" s="160"/>
      <c r="C341" s="161"/>
      <c r="D341" s="15"/>
      <c r="E341" s="15"/>
      <c r="F341" s="15"/>
      <c r="G341" s="15"/>
      <c r="H341" s="15"/>
      <c r="I341" s="15"/>
      <c r="J341" s="15"/>
      <c r="K341" s="15"/>
      <c r="L341" s="297"/>
      <c r="O341" s="316" t="s">
        <v>431</v>
      </c>
      <c r="P341" s="317"/>
      <c r="Q341" s="317"/>
      <c r="R341" s="317"/>
      <c r="S341" s="158"/>
      <c r="T341" s="158"/>
      <c r="U341" s="158"/>
      <c r="V341" s="158"/>
      <c r="W341" s="311" t="s">
        <v>1303</v>
      </c>
      <c r="X341" s="314"/>
      <c r="Y341" s="314"/>
      <c r="Z341" s="314"/>
      <c r="AA341" s="314"/>
      <c r="AB341" s="314"/>
      <c r="AC341" s="314"/>
      <c r="AD341" s="314"/>
      <c r="AE341" s="314"/>
      <c r="AF341" s="314"/>
      <c r="AG341" s="314"/>
      <c r="AH341" s="314"/>
      <c r="AI341" s="314"/>
      <c r="AJ341" s="314"/>
      <c r="AK341" s="314"/>
      <c r="AL341" s="314"/>
      <c r="AM341" s="315"/>
      <c r="AN341" s="311" t="s">
        <v>695</v>
      </c>
      <c r="AO341" s="312"/>
      <c r="AP341" s="73"/>
      <c r="AQ341" s="15"/>
      <c r="AT341" s="15"/>
      <c r="AU341" s="15"/>
      <c r="AV341" s="15"/>
      <c r="AW341" s="15"/>
      <c r="AX341" s="74"/>
    </row>
    <row r="342" spans="1:50" s="79" customFormat="1" ht="12">
      <c r="A342" s="298"/>
      <c r="B342" s="160"/>
      <c r="C342" s="161"/>
      <c r="D342" s="15"/>
      <c r="E342" s="15"/>
      <c r="F342" s="15"/>
      <c r="G342" s="15"/>
      <c r="H342" s="15"/>
      <c r="I342" s="15"/>
      <c r="J342" s="15"/>
      <c r="K342" s="15"/>
      <c r="L342" s="297"/>
      <c r="O342" s="316" t="s">
        <v>430</v>
      </c>
      <c r="P342" s="317"/>
      <c r="Q342" s="317"/>
      <c r="R342" s="317"/>
      <c r="S342" s="158"/>
      <c r="T342" s="158"/>
      <c r="U342" s="158"/>
      <c r="V342" s="158"/>
      <c r="W342" s="311" t="s">
        <v>1304</v>
      </c>
      <c r="X342" s="314"/>
      <c r="Y342" s="314"/>
      <c r="Z342" s="314"/>
      <c r="AA342" s="314"/>
      <c r="AB342" s="314"/>
      <c r="AC342" s="314"/>
      <c r="AD342" s="314"/>
      <c r="AE342" s="314"/>
      <c r="AF342" s="314"/>
      <c r="AG342" s="314"/>
      <c r="AH342" s="314"/>
      <c r="AI342" s="314"/>
      <c r="AJ342" s="314"/>
      <c r="AK342" s="314"/>
      <c r="AL342" s="314"/>
      <c r="AM342" s="315"/>
      <c r="AN342" s="311" t="s">
        <v>695</v>
      </c>
      <c r="AO342" s="312"/>
      <c r="AP342" s="73"/>
      <c r="AQ342" s="15"/>
      <c r="AT342" s="15"/>
      <c r="AU342" s="15"/>
      <c r="AV342" s="15"/>
      <c r="AW342" s="15"/>
      <c r="AX342" s="74"/>
    </row>
    <row r="343" spans="1:50" s="79" customFormat="1" ht="12">
      <c r="A343" s="298"/>
      <c r="B343" s="160"/>
      <c r="C343" s="161"/>
      <c r="D343" s="15"/>
      <c r="E343" s="15"/>
      <c r="F343" s="15"/>
      <c r="G343" s="15"/>
      <c r="H343" s="15"/>
      <c r="I343" s="15"/>
      <c r="J343" s="15"/>
      <c r="K343" s="15"/>
      <c r="L343" s="297"/>
      <c r="O343" s="316" t="s">
        <v>438</v>
      </c>
      <c r="P343" s="317"/>
      <c r="Q343" s="317"/>
      <c r="R343" s="317"/>
      <c r="S343" s="158"/>
      <c r="T343" s="158"/>
      <c r="U343" s="158"/>
      <c r="V343" s="158"/>
      <c r="W343" s="311" t="s">
        <v>1305</v>
      </c>
      <c r="X343" s="314"/>
      <c r="Y343" s="314"/>
      <c r="Z343" s="314"/>
      <c r="AA343" s="314"/>
      <c r="AB343" s="314"/>
      <c r="AC343" s="314"/>
      <c r="AD343" s="314"/>
      <c r="AE343" s="314"/>
      <c r="AF343" s="314"/>
      <c r="AG343" s="314"/>
      <c r="AH343" s="314"/>
      <c r="AI343" s="314"/>
      <c r="AJ343" s="314"/>
      <c r="AK343" s="314"/>
      <c r="AL343" s="314"/>
      <c r="AM343" s="315"/>
      <c r="AN343" s="311" t="s">
        <v>695</v>
      </c>
      <c r="AO343" s="312"/>
      <c r="AP343" s="73"/>
      <c r="AQ343" s="15"/>
      <c r="AT343" s="15"/>
      <c r="AU343" s="15"/>
      <c r="AV343" s="15"/>
      <c r="AW343" s="15"/>
      <c r="AX343" s="74"/>
    </row>
    <row r="344" spans="1:50" s="79" customFormat="1" ht="12">
      <c r="A344" s="298"/>
      <c r="B344" s="160"/>
      <c r="C344" s="161"/>
      <c r="D344" s="15"/>
      <c r="E344" s="15"/>
      <c r="F344" s="15"/>
      <c r="G344" s="15"/>
      <c r="H344" s="15"/>
      <c r="I344" s="15"/>
      <c r="J344" s="15"/>
      <c r="K344" s="15"/>
      <c r="L344" s="297"/>
      <c r="O344" s="299"/>
      <c r="P344" s="299"/>
      <c r="Q344" s="102"/>
      <c r="R344" s="320"/>
      <c r="S344" s="320"/>
      <c r="T344" s="320"/>
      <c r="U344" s="97"/>
      <c r="V344" s="97"/>
      <c r="W344" s="97"/>
      <c r="X344" s="97"/>
      <c r="Y344" s="299"/>
      <c r="Z344" s="321"/>
      <c r="AA344" s="321"/>
      <c r="AB344" s="321"/>
      <c r="AC344" s="321"/>
      <c r="AD344" s="321"/>
      <c r="AE344" s="321"/>
      <c r="AF344" s="321"/>
      <c r="AG344" s="321"/>
      <c r="AH344" s="321"/>
      <c r="AI344" s="321"/>
      <c r="AJ344" s="321"/>
      <c r="AK344" s="321"/>
      <c r="AL344" s="321"/>
      <c r="AM344" s="321"/>
      <c r="AN344" s="321"/>
      <c r="AO344" s="321"/>
      <c r="AP344" s="73"/>
      <c r="AQ344" s="15"/>
      <c r="AR344" s="15"/>
      <c r="AS344" s="15"/>
      <c r="AT344" s="15"/>
      <c r="AU344" s="15"/>
      <c r="AV344" s="15"/>
      <c r="AW344" s="15"/>
      <c r="AX344" s="74"/>
    </row>
    <row r="345" spans="1:50" s="79" customFormat="1" ht="12">
      <c r="A345" s="298"/>
      <c r="B345" s="354"/>
      <c r="C345" s="355"/>
      <c r="D345" s="15"/>
      <c r="E345" s="15"/>
      <c r="F345" s="15"/>
      <c r="G345" s="15"/>
      <c r="H345" s="15"/>
      <c r="I345" s="15"/>
      <c r="J345" s="15"/>
      <c r="K345" s="15"/>
      <c r="L345" s="297"/>
      <c r="N345" s="293" t="s">
        <v>923</v>
      </c>
      <c r="O345" s="299" t="s">
        <v>936</v>
      </c>
      <c r="P345" s="299"/>
      <c r="Q345" s="102"/>
      <c r="R345" s="320"/>
      <c r="S345" s="320"/>
      <c r="T345" s="320"/>
      <c r="U345" s="97"/>
      <c r="V345" s="97"/>
      <c r="W345" s="97"/>
      <c r="X345" s="97"/>
      <c r="Y345" s="299"/>
      <c r="Z345" s="321"/>
      <c r="AA345" s="321"/>
      <c r="AB345" s="321"/>
      <c r="AC345" s="321"/>
      <c r="AD345" s="321"/>
      <c r="AE345" s="321"/>
      <c r="AF345" s="321"/>
      <c r="AG345" s="321"/>
      <c r="AH345" s="321"/>
      <c r="AI345" s="321"/>
      <c r="AJ345" s="321"/>
      <c r="AK345" s="321"/>
      <c r="AL345" s="321"/>
      <c r="AM345" s="321"/>
      <c r="AN345" s="321"/>
      <c r="AO345" s="321"/>
      <c r="AP345" s="73"/>
      <c r="AQ345" s="15"/>
      <c r="AR345" s="15"/>
      <c r="AS345" s="15"/>
      <c r="AT345" s="15"/>
      <c r="AU345" s="15"/>
      <c r="AV345" s="15"/>
      <c r="AW345" s="15"/>
      <c r="AX345" s="74"/>
    </row>
    <row r="346" spans="1:50" s="79" customFormat="1" ht="12">
      <c r="A346" s="298"/>
      <c r="B346" s="354"/>
      <c r="C346" s="355"/>
      <c r="D346" s="15"/>
      <c r="E346" s="15"/>
      <c r="F346" s="15"/>
      <c r="G346" s="15"/>
      <c r="H346" s="15"/>
      <c r="I346" s="15"/>
      <c r="J346" s="15"/>
      <c r="K346" s="15"/>
      <c r="L346" s="297"/>
      <c r="N346" s="293"/>
      <c r="O346" s="299" t="s">
        <v>935</v>
      </c>
      <c r="P346" s="299"/>
      <c r="Q346" s="102"/>
      <c r="R346" s="320"/>
      <c r="S346" s="320"/>
      <c r="T346" s="320"/>
      <c r="U346" s="97"/>
      <c r="V346" s="97"/>
      <c r="W346" s="97"/>
      <c r="X346" s="97"/>
      <c r="Y346" s="299"/>
      <c r="Z346" s="321"/>
      <c r="AA346" s="321"/>
      <c r="AB346" s="321"/>
      <c r="AC346" s="321"/>
      <c r="AD346" s="321"/>
      <c r="AE346" s="321"/>
      <c r="AF346" s="321"/>
      <c r="AG346" s="321"/>
      <c r="AH346" s="321"/>
      <c r="AI346" s="321"/>
      <c r="AJ346" s="321"/>
      <c r="AK346" s="321"/>
      <c r="AL346" s="321"/>
      <c r="AM346" s="321"/>
      <c r="AN346" s="321"/>
      <c r="AO346" s="321"/>
      <c r="AP346" s="73"/>
      <c r="AQ346" s="15"/>
      <c r="AR346" s="15"/>
      <c r="AS346" s="15"/>
      <c r="AT346" s="15"/>
      <c r="AU346" s="15"/>
      <c r="AV346" s="15"/>
      <c r="AW346" s="15"/>
      <c r="AX346" s="74"/>
    </row>
    <row r="347" spans="1:50" s="79" customFormat="1" ht="12">
      <c r="A347" s="298"/>
      <c r="B347" s="354"/>
      <c r="C347" s="355"/>
      <c r="D347" s="15"/>
      <c r="E347" s="15"/>
      <c r="F347" s="15"/>
      <c r="G347" s="15"/>
      <c r="H347" s="15"/>
      <c r="I347" s="15"/>
      <c r="J347" s="15"/>
      <c r="K347" s="15"/>
      <c r="L347" s="297"/>
      <c r="N347" s="293"/>
      <c r="O347" s="299" t="s">
        <v>932</v>
      </c>
      <c r="P347" s="299" t="s">
        <v>1306</v>
      </c>
      <c r="Q347" s="102"/>
      <c r="R347" s="320"/>
      <c r="S347" s="320"/>
      <c r="T347" s="320"/>
      <c r="U347" s="97"/>
      <c r="V347" s="97"/>
      <c r="W347" s="97"/>
      <c r="X347" s="97"/>
      <c r="Y347" s="299"/>
      <c r="Z347" s="321"/>
      <c r="AA347" s="321"/>
      <c r="AB347" s="321"/>
      <c r="AC347" s="321"/>
      <c r="AD347" s="321"/>
      <c r="AE347" s="321"/>
      <c r="AF347" s="321"/>
      <c r="AG347" s="321"/>
      <c r="AH347" s="321"/>
      <c r="AI347" s="321"/>
      <c r="AJ347" s="321"/>
      <c r="AK347" s="321"/>
      <c r="AL347" s="321"/>
      <c r="AM347" s="321"/>
      <c r="AN347" s="321"/>
      <c r="AO347" s="321"/>
      <c r="AP347" s="73"/>
      <c r="AQ347" s="15"/>
      <c r="AR347" s="15"/>
      <c r="AS347" s="15"/>
      <c r="AT347" s="15"/>
      <c r="AU347" s="15"/>
      <c r="AV347" s="15"/>
      <c r="AW347" s="15"/>
      <c r="AX347" s="74"/>
    </row>
    <row r="348" spans="1:50" s="79" customFormat="1" ht="12">
      <c r="A348" s="298"/>
      <c r="B348" s="354"/>
      <c r="C348" s="355"/>
      <c r="D348" s="15"/>
      <c r="E348" s="15"/>
      <c r="F348" s="15"/>
      <c r="G348" s="15"/>
      <c r="H348" s="15"/>
      <c r="I348" s="15"/>
      <c r="J348" s="15"/>
      <c r="K348" s="15"/>
      <c r="L348" s="297"/>
      <c r="N348" s="293"/>
      <c r="O348" s="299"/>
      <c r="P348" s="299"/>
      <c r="Q348" s="102"/>
      <c r="R348" s="320"/>
      <c r="S348" s="320"/>
      <c r="T348" s="320"/>
      <c r="U348" s="97"/>
      <c r="V348" s="97"/>
      <c r="W348" s="97"/>
      <c r="X348" s="97"/>
      <c r="Y348" s="299"/>
      <c r="Z348" s="321"/>
      <c r="AA348" s="321"/>
      <c r="AB348" s="321"/>
      <c r="AC348" s="321"/>
      <c r="AD348" s="321"/>
      <c r="AE348" s="321"/>
      <c r="AF348" s="321"/>
      <c r="AG348" s="321"/>
      <c r="AH348" s="321"/>
      <c r="AI348" s="321"/>
      <c r="AJ348" s="321"/>
      <c r="AK348" s="321"/>
      <c r="AL348" s="321"/>
      <c r="AM348" s="321"/>
      <c r="AN348" s="321"/>
      <c r="AO348" s="321"/>
      <c r="AP348" s="73"/>
      <c r="AQ348" s="15"/>
      <c r="AR348" s="15"/>
      <c r="AS348" s="15"/>
      <c r="AT348" s="15"/>
      <c r="AU348" s="15"/>
      <c r="AV348" s="15"/>
      <c r="AW348" s="15"/>
      <c r="AX348" s="74"/>
    </row>
    <row r="349" spans="1:50" s="79" customFormat="1" ht="12">
      <c r="A349" s="298"/>
      <c r="B349" s="354"/>
      <c r="C349" s="355"/>
      <c r="D349" s="15"/>
      <c r="E349" s="15"/>
      <c r="F349" s="15"/>
      <c r="G349" s="15"/>
      <c r="H349" s="15"/>
      <c r="I349" s="15"/>
      <c r="J349" s="15"/>
      <c r="K349" s="15"/>
      <c r="L349" s="297"/>
      <c r="N349" s="293"/>
      <c r="O349" s="293" t="s">
        <v>924</v>
      </c>
      <c r="P349" s="299" t="s">
        <v>925</v>
      </c>
      <c r="Q349" s="102"/>
      <c r="R349" s="320"/>
      <c r="S349" s="320"/>
      <c r="T349" s="320"/>
      <c r="U349" s="97"/>
      <c r="V349" s="97"/>
      <c r="W349" s="97"/>
      <c r="X349" s="97"/>
      <c r="Y349" s="299"/>
      <c r="Z349" s="321"/>
      <c r="AA349" s="321"/>
      <c r="AB349" s="321"/>
      <c r="AC349" s="321"/>
      <c r="AD349" s="321"/>
      <c r="AE349" s="321"/>
      <c r="AF349" s="321"/>
      <c r="AG349" s="321"/>
      <c r="AH349" s="321"/>
      <c r="AI349" s="321"/>
      <c r="AJ349" s="321"/>
      <c r="AK349" s="321"/>
      <c r="AL349" s="321"/>
      <c r="AM349" s="321"/>
      <c r="AN349" s="321"/>
      <c r="AO349" s="321"/>
      <c r="AP349" s="73"/>
      <c r="AQ349" s="15"/>
      <c r="AR349" s="15"/>
      <c r="AS349" s="15"/>
      <c r="AT349" s="15"/>
      <c r="AU349" s="15"/>
      <c r="AV349" s="15"/>
      <c r="AW349" s="15"/>
      <c r="AX349" s="74"/>
    </row>
    <row r="350" spans="1:50" s="79" customFormat="1" ht="12">
      <c r="A350" s="298"/>
      <c r="B350" s="354"/>
      <c r="C350" s="355"/>
      <c r="D350" s="15"/>
      <c r="E350" s="15"/>
      <c r="F350" s="15"/>
      <c r="G350" s="15"/>
      <c r="H350" s="15"/>
      <c r="I350" s="15"/>
      <c r="J350" s="15"/>
      <c r="K350" s="15"/>
      <c r="L350" s="297"/>
      <c r="N350" s="293"/>
      <c r="P350" s="293" t="s">
        <v>913</v>
      </c>
      <c r="Q350" s="102" t="s">
        <v>926</v>
      </c>
      <c r="R350" s="320"/>
      <c r="S350" s="320"/>
      <c r="T350" s="320"/>
      <c r="U350" s="97"/>
      <c r="V350" s="97"/>
      <c r="W350" s="97"/>
      <c r="X350" s="97"/>
      <c r="Y350" s="299"/>
      <c r="Z350" s="321"/>
      <c r="AA350" s="321"/>
      <c r="AB350" s="321"/>
      <c r="AC350" s="321"/>
      <c r="AD350" s="321"/>
      <c r="AE350" s="321"/>
      <c r="AF350" s="321"/>
      <c r="AG350" s="321"/>
      <c r="AH350" s="321"/>
      <c r="AI350" s="321"/>
      <c r="AJ350" s="321"/>
      <c r="AK350" s="321"/>
      <c r="AL350" s="321"/>
      <c r="AM350" s="321"/>
      <c r="AN350" s="321"/>
      <c r="AO350" s="321"/>
      <c r="AP350" s="73"/>
      <c r="AQ350" s="15"/>
      <c r="AR350" s="15"/>
      <c r="AS350" s="15"/>
      <c r="AT350" s="15"/>
      <c r="AU350" s="15"/>
      <c r="AV350" s="15"/>
      <c r="AW350" s="15"/>
      <c r="AX350" s="74"/>
    </row>
    <row r="351" spans="1:50" s="79" customFormat="1" ht="12">
      <c r="A351" s="298"/>
      <c r="B351" s="354"/>
      <c r="C351" s="355"/>
      <c r="D351" s="15" t="s">
        <v>919</v>
      </c>
      <c r="E351" s="15"/>
      <c r="F351" s="15"/>
      <c r="G351" s="15"/>
      <c r="H351" s="15"/>
      <c r="I351" s="15"/>
      <c r="J351" s="15"/>
      <c r="K351" s="15"/>
      <c r="L351" s="297"/>
      <c r="N351" s="293"/>
      <c r="O351" s="299"/>
      <c r="P351" s="299"/>
      <c r="Q351" s="293" t="s">
        <v>913</v>
      </c>
      <c r="R351" s="321" t="s">
        <v>929</v>
      </c>
      <c r="T351" s="320"/>
      <c r="U351" s="97"/>
      <c r="V351" s="97"/>
      <c r="W351" s="97"/>
      <c r="X351" s="97"/>
      <c r="Y351" s="299"/>
      <c r="Z351" s="321"/>
      <c r="AA351" s="321"/>
      <c r="AB351" s="321"/>
      <c r="AC351" s="321"/>
      <c r="AD351" s="321"/>
      <c r="AE351" s="321"/>
      <c r="AF351" s="321"/>
      <c r="AG351" s="321"/>
      <c r="AH351" s="321"/>
      <c r="AI351" s="321"/>
      <c r="AJ351" s="321"/>
      <c r="AK351" s="321"/>
      <c r="AL351" s="321"/>
      <c r="AM351" s="321"/>
      <c r="AN351" s="321"/>
      <c r="AO351" s="321"/>
      <c r="AP351" s="73"/>
      <c r="AQ351" s="15"/>
      <c r="AR351" s="15"/>
      <c r="AS351" s="15"/>
      <c r="AT351" s="15"/>
      <c r="AU351" s="15"/>
      <c r="AV351" s="15"/>
      <c r="AW351" s="15"/>
      <c r="AX351" s="74"/>
    </row>
    <row r="352" spans="1:50" s="79" customFormat="1" ht="12">
      <c r="A352" s="298"/>
      <c r="B352" s="354"/>
      <c r="C352" s="355"/>
      <c r="D352" s="15"/>
      <c r="E352" s="15"/>
      <c r="F352" s="15"/>
      <c r="G352" s="15"/>
      <c r="H352" s="15"/>
      <c r="I352" s="15"/>
      <c r="J352" s="15"/>
      <c r="K352" s="15"/>
      <c r="L352" s="297"/>
      <c r="N352" s="293"/>
      <c r="O352" s="299"/>
      <c r="P352" s="299"/>
      <c r="Q352" s="320"/>
      <c r="R352" s="299" t="s">
        <v>928</v>
      </c>
      <c r="T352" s="320"/>
      <c r="U352" s="97"/>
      <c r="V352" s="97"/>
      <c r="W352" s="97"/>
      <c r="X352" s="97"/>
      <c r="Y352" s="299"/>
      <c r="Z352" s="321"/>
      <c r="AA352" s="321"/>
      <c r="AB352" s="321"/>
      <c r="AC352" s="321"/>
      <c r="AD352" s="321"/>
      <c r="AE352" s="321"/>
      <c r="AF352" s="321"/>
      <c r="AG352" s="321"/>
      <c r="AH352" s="321"/>
      <c r="AI352" s="321"/>
      <c r="AJ352" s="321"/>
      <c r="AK352" s="321"/>
      <c r="AL352" s="321"/>
      <c r="AM352" s="321"/>
      <c r="AN352" s="321"/>
      <c r="AO352" s="321"/>
      <c r="AP352" s="73"/>
      <c r="AQ352" s="15"/>
      <c r="AR352" s="15"/>
      <c r="AS352" s="15"/>
      <c r="AT352" s="15"/>
      <c r="AU352" s="15"/>
      <c r="AV352" s="15"/>
      <c r="AW352" s="15"/>
      <c r="AX352" s="74"/>
    </row>
    <row r="353" spans="1:50" s="79" customFormat="1" ht="12">
      <c r="A353" s="298"/>
      <c r="B353" s="354"/>
      <c r="C353" s="355"/>
      <c r="D353" s="15"/>
      <c r="E353" s="15"/>
      <c r="F353" s="15"/>
      <c r="G353" s="15"/>
      <c r="H353" s="15"/>
      <c r="I353" s="15"/>
      <c r="J353" s="15"/>
      <c r="K353" s="15"/>
      <c r="L353" s="297"/>
      <c r="N353" s="293"/>
      <c r="O353" s="299"/>
      <c r="P353" s="299"/>
      <c r="Q353" s="293" t="s">
        <v>913</v>
      </c>
      <c r="R353" s="299" t="s">
        <v>930</v>
      </c>
      <c r="T353" s="320"/>
      <c r="U353" s="97"/>
      <c r="V353" s="97"/>
      <c r="W353" s="97"/>
      <c r="X353" s="97"/>
      <c r="Y353" s="299"/>
      <c r="Z353" s="321"/>
      <c r="AB353" s="321"/>
      <c r="AC353" s="321"/>
      <c r="AD353" s="321"/>
      <c r="AE353" s="321"/>
      <c r="AF353" s="321"/>
      <c r="AG353" s="321"/>
      <c r="AH353" s="321"/>
      <c r="AI353" s="321"/>
      <c r="AJ353" s="321"/>
      <c r="AK353" s="321"/>
      <c r="AL353" s="321"/>
      <c r="AM353" s="321"/>
      <c r="AN353" s="321"/>
      <c r="AO353" s="321"/>
      <c r="AP353" s="73"/>
      <c r="AQ353" s="15"/>
      <c r="AR353" s="15"/>
      <c r="AS353" s="15"/>
      <c r="AT353" s="15"/>
      <c r="AU353" s="15"/>
      <c r="AV353" s="15"/>
      <c r="AW353" s="15"/>
      <c r="AX353" s="74"/>
    </row>
    <row r="354" spans="1:50" s="79" customFormat="1" ht="12">
      <c r="A354" s="298"/>
      <c r="B354" s="354"/>
      <c r="C354" s="355"/>
      <c r="D354" s="15"/>
      <c r="E354" s="15"/>
      <c r="F354" s="15"/>
      <c r="G354" s="15"/>
      <c r="H354" s="15"/>
      <c r="I354" s="15"/>
      <c r="J354" s="15"/>
      <c r="K354" s="15"/>
      <c r="L354" s="297"/>
      <c r="O354" s="299"/>
      <c r="P354" s="299"/>
      <c r="Q354" s="102"/>
      <c r="R354" s="320"/>
      <c r="S354" s="299"/>
      <c r="T354" s="320"/>
      <c r="U354" s="97"/>
      <c r="V354" s="97"/>
      <c r="W354" s="97"/>
      <c r="X354" s="97"/>
      <c r="Y354" s="299"/>
      <c r="Z354" s="321"/>
      <c r="AA354" s="321"/>
      <c r="AB354" s="321"/>
      <c r="AC354" s="321"/>
      <c r="AD354" s="321"/>
      <c r="AE354" s="321"/>
      <c r="AF354" s="321"/>
      <c r="AG354" s="321"/>
      <c r="AH354" s="321"/>
      <c r="AI354" s="321"/>
      <c r="AJ354" s="321"/>
      <c r="AK354" s="321"/>
      <c r="AL354" s="321"/>
      <c r="AM354" s="321"/>
      <c r="AN354" s="321"/>
      <c r="AO354" s="321"/>
      <c r="AP354" s="73"/>
      <c r="AQ354" s="15"/>
      <c r="AR354" s="15"/>
      <c r="AS354" s="15"/>
      <c r="AT354" s="15"/>
      <c r="AU354" s="15"/>
      <c r="AV354" s="15"/>
      <c r="AW354" s="15"/>
      <c r="AX354" s="74"/>
    </row>
    <row r="355" spans="1:50" s="79" customFormat="1" ht="12">
      <c r="A355" s="298"/>
      <c r="B355" s="354"/>
      <c r="C355" s="355"/>
      <c r="D355" s="15" t="s">
        <v>934</v>
      </c>
      <c r="E355" s="15"/>
      <c r="F355" s="15"/>
      <c r="G355" s="15"/>
      <c r="H355" s="15"/>
      <c r="I355" s="15"/>
      <c r="J355" s="15"/>
      <c r="K355" s="15"/>
      <c r="L355" s="297"/>
      <c r="O355" s="293" t="s">
        <v>931</v>
      </c>
      <c r="P355" s="15" t="s">
        <v>956</v>
      </c>
      <c r="Q355" s="102"/>
      <c r="R355" s="320"/>
      <c r="S355" s="299"/>
      <c r="T355" s="320"/>
      <c r="U355" s="97"/>
      <c r="V355" s="97"/>
      <c r="W355" s="97"/>
      <c r="X355" s="97"/>
      <c r="Y355" s="299"/>
      <c r="Z355" s="321"/>
      <c r="AA355" s="321"/>
      <c r="AB355" s="321"/>
      <c r="AC355" s="321"/>
      <c r="AD355" s="321"/>
      <c r="AE355" s="321"/>
      <c r="AF355" s="321"/>
      <c r="AG355" s="321"/>
      <c r="AH355" s="321"/>
      <c r="AI355" s="321"/>
      <c r="AJ355" s="321"/>
      <c r="AK355" s="321"/>
      <c r="AL355" s="321"/>
      <c r="AM355" s="321"/>
      <c r="AN355" s="321"/>
      <c r="AO355" s="321"/>
      <c r="AP355" s="73"/>
      <c r="AQ355" s="15"/>
      <c r="AR355" s="15"/>
      <c r="AS355" s="15"/>
      <c r="AT355" s="15"/>
      <c r="AU355" s="15"/>
      <c r="AV355" s="15"/>
      <c r="AW355" s="15"/>
      <c r="AX355" s="74"/>
    </row>
    <row r="356" spans="1:50" s="79" customFormat="1" ht="12">
      <c r="A356" s="298"/>
      <c r="B356" s="354"/>
      <c r="C356" s="355"/>
      <c r="D356" s="15" t="s">
        <v>919</v>
      </c>
      <c r="E356" s="15"/>
      <c r="F356" s="15"/>
      <c r="G356" s="15"/>
      <c r="H356" s="15"/>
      <c r="I356" s="15"/>
      <c r="J356" s="15"/>
      <c r="K356" s="15"/>
      <c r="L356" s="297"/>
      <c r="O356" s="293" t="s">
        <v>933</v>
      </c>
      <c r="P356" s="15" t="s">
        <v>957</v>
      </c>
      <c r="Q356" s="102"/>
      <c r="R356" s="320"/>
      <c r="S356" s="299"/>
      <c r="T356" s="320"/>
      <c r="U356" s="97"/>
      <c r="V356" s="97"/>
      <c r="W356" s="97"/>
      <c r="X356" s="97"/>
      <c r="Y356" s="299"/>
      <c r="Z356" s="321"/>
      <c r="AA356" s="321"/>
      <c r="AB356" s="321"/>
      <c r="AC356" s="321"/>
      <c r="AD356" s="321"/>
      <c r="AE356" s="321"/>
      <c r="AF356" s="321"/>
      <c r="AG356" s="321"/>
      <c r="AH356" s="321"/>
      <c r="AI356" s="321"/>
      <c r="AJ356" s="321"/>
      <c r="AK356" s="321"/>
      <c r="AL356" s="321"/>
      <c r="AM356" s="321"/>
      <c r="AN356" s="321"/>
      <c r="AO356" s="321"/>
      <c r="AP356" s="73"/>
      <c r="AQ356" s="15"/>
      <c r="AR356" s="15"/>
      <c r="AS356" s="15"/>
      <c r="AT356" s="15"/>
      <c r="AU356" s="15"/>
      <c r="AV356" s="15"/>
      <c r="AW356" s="15"/>
      <c r="AX356" s="74"/>
    </row>
    <row r="357" spans="1:50" s="79" customFormat="1" ht="12">
      <c r="A357" s="298"/>
      <c r="B357" s="160"/>
      <c r="C357" s="161"/>
      <c r="D357" s="15"/>
      <c r="E357" s="15"/>
      <c r="F357" s="15"/>
      <c r="G357" s="15"/>
      <c r="H357" s="15"/>
      <c r="I357" s="15"/>
      <c r="J357" s="15"/>
      <c r="K357" s="15"/>
      <c r="L357" s="297"/>
      <c r="O357" s="299"/>
      <c r="P357" s="299"/>
      <c r="Q357" s="102"/>
      <c r="R357" s="320"/>
      <c r="S357" s="320"/>
      <c r="T357" s="320"/>
      <c r="U357" s="97"/>
      <c r="V357" s="97"/>
      <c r="W357" s="97"/>
      <c r="X357" s="97"/>
      <c r="Y357" s="299"/>
      <c r="Z357" s="321"/>
      <c r="AA357" s="321"/>
      <c r="AB357" s="321"/>
      <c r="AC357" s="321"/>
      <c r="AD357" s="321"/>
      <c r="AE357" s="321"/>
      <c r="AF357" s="321"/>
      <c r="AG357" s="321"/>
      <c r="AH357" s="321"/>
      <c r="AI357" s="321"/>
      <c r="AJ357" s="321"/>
      <c r="AK357" s="321"/>
      <c r="AL357" s="321"/>
      <c r="AM357" s="321"/>
      <c r="AN357" s="321"/>
      <c r="AO357" s="321"/>
      <c r="AP357" s="73"/>
      <c r="AQ357" s="15"/>
      <c r="AR357" s="15"/>
      <c r="AS357" s="15"/>
      <c r="AT357" s="15"/>
      <c r="AU357" s="15"/>
      <c r="AV357" s="15"/>
      <c r="AW357" s="15"/>
      <c r="AX357" s="74"/>
    </row>
    <row r="358" spans="1:50" s="79" customFormat="1" ht="12">
      <c r="A358" s="298"/>
      <c r="B358" s="160"/>
      <c r="C358" s="161"/>
      <c r="D358" s="15"/>
      <c r="E358" s="15"/>
      <c r="F358" s="15"/>
      <c r="G358" s="15"/>
      <c r="H358" s="15"/>
      <c r="I358" s="15"/>
      <c r="J358" s="15"/>
      <c r="K358" s="15"/>
      <c r="L358" s="297"/>
      <c r="N358" s="293" t="s">
        <v>937</v>
      </c>
      <c r="O358" s="299" t="s">
        <v>766</v>
      </c>
      <c r="P358" s="102"/>
      <c r="Q358" s="320"/>
      <c r="R358" s="320"/>
      <c r="S358" s="320"/>
      <c r="T358" s="97"/>
      <c r="U358" s="97"/>
      <c r="V358" s="97"/>
      <c r="W358" s="97"/>
      <c r="X358" s="320"/>
      <c r="Y358" s="299"/>
      <c r="Z358" s="321"/>
      <c r="AA358" s="321"/>
      <c r="AB358" s="321"/>
      <c r="AC358" s="321"/>
      <c r="AD358" s="321"/>
      <c r="AE358" s="321"/>
      <c r="AF358" s="321"/>
      <c r="AG358" s="321"/>
      <c r="AH358" s="321"/>
      <c r="AI358" s="321"/>
      <c r="AJ358" s="321"/>
      <c r="AK358" s="321"/>
      <c r="AL358" s="321"/>
      <c r="AM358" s="321"/>
      <c r="AN358" s="321"/>
      <c r="AO358" s="321"/>
      <c r="AP358" s="73"/>
      <c r="AQ358" s="15"/>
      <c r="AR358" s="15"/>
      <c r="AS358" s="15"/>
      <c r="AT358" s="15"/>
      <c r="AU358" s="15"/>
      <c r="AV358" s="15"/>
      <c r="AW358" s="15"/>
      <c r="AX358" s="74"/>
    </row>
    <row r="359" spans="1:50" s="79" customFormat="1" ht="12">
      <c r="A359" s="298"/>
      <c r="B359" s="160"/>
      <c r="C359" s="161"/>
      <c r="D359" s="15"/>
      <c r="E359" s="15"/>
      <c r="F359" s="15"/>
      <c r="G359" s="15"/>
      <c r="H359" s="15"/>
      <c r="I359" s="15"/>
      <c r="J359" s="15"/>
      <c r="K359" s="15"/>
      <c r="L359" s="297"/>
      <c r="N359" s="299"/>
      <c r="O359" s="299" t="s">
        <v>680</v>
      </c>
      <c r="P359" s="102"/>
      <c r="Q359" s="320"/>
      <c r="R359" s="320"/>
      <c r="S359" s="320"/>
      <c r="T359" s="97"/>
      <c r="U359" s="97"/>
      <c r="V359" s="97"/>
      <c r="W359" s="97"/>
      <c r="X359" s="320"/>
      <c r="Y359" s="299"/>
      <c r="Z359" s="321"/>
      <c r="AA359" s="321"/>
      <c r="AB359" s="321"/>
      <c r="AC359" s="321"/>
      <c r="AD359" s="321"/>
      <c r="AE359" s="321"/>
      <c r="AF359" s="321"/>
      <c r="AG359" s="321"/>
      <c r="AH359" s="321"/>
      <c r="AI359" s="321"/>
      <c r="AJ359" s="321"/>
      <c r="AK359" s="321"/>
      <c r="AL359" s="321"/>
      <c r="AM359" s="321"/>
      <c r="AN359" s="321"/>
      <c r="AO359" s="321"/>
      <c r="AP359" s="73"/>
      <c r="AQ359" s="15"/>
      <c r="AR359" s="15"/>
      <c r="AS359" s="15"/>
      <c r="AT359" s="15"/>
      <c r="AU359" s="15"/>
      <c r="AV359" s="15"/>
      <c r="AW359" s="15"/>
      <c r="AX359" s="74"/>
    </row>
    <row r="360" spans="1:50" s="79" customFormat="1" ht="12">
      <c r="A360" s="298"/>
      <c r="B360" s="160"/>
      <c r="C360" s="161"/>
      <c r="D360" s="15"/>
      <c r="E360" s="15"/>
      <c r="F360" s="15"/>
      <c r="G360" s="15"/>
      <c r="H360" s="15"/>
      <c r="I360" s="15"/>
      <c r="J360" s="15"/>
      <c r="K360" s="15"/>
      <c r="L360" s="297"/>
      <c r="N360" s="299"/>
      <c r="O360" s="299"/>
      <c r="P360" s="102"/>
      <c r="Q360" s="320"/>
      <c r="R360" s="320"/>
      <c r="S360" s="320"/>
      <c r="T360" s="97"/>
      <c r="U360" s="97"/>
      <c r="V360" s="97"/>
      <c r="W360" s="97"/>
      <c r="X360" s="320"/>
      <c r="Y360" s="299"/>
      <c r="Z360" s="321"/>
      <c r="AA360" s="321"/>
      <c r="AB360" s="321"/>
      <c r="AC360" s="321"/>
      <c r="AD360" s="321"/>
      <c r="AE360" s="321"/>
      <c r="AF360" s="321"/>
      <c r="AG360" s="321"/>
      <c r="AH360" s="321"/>
      <c r="AI360" s="321"/>
      <c r="AJ360" s="321"/>
      <c r="AK360" s="321"/>
      <c r="AL360" s="321"/>
      <c r="AM360" s="321"/>
      <c r="AN360" s="321"/>
      <c r="AO360" s="321"/>
      <c r="AP360" s="73"/>
      <c r="AQ360" s="15"/>
      <c r="AR360" s="15"/>
      <c r="AS360" s="15"/>
      <c r="AT360" s="15"/>
      <c r="AU360" s="15"/>
      <c r="AV360" s="15"/>
      <c r="AW360" s="15"/>
      <c r="AX360" s="74"/>
    </row>
    <row r="361" spans="1:50" s="79" customFormat="1" ht="12">
      <c r="A361" s="298"/>
      <c r="B361" s="160"/>
      <c r="C361" s="161"/>
      <c r="D361" s="15"/>
      <c r="E361" s="15"/>
      <c r="F361" s="15"/>
      <c r="G361" s="15"/>
      <c r="H361" s="15"/>
      <c r="I361" s="15"/>
      <c r="J361" s="15"/>
      <c r="K361" s="15"/>
      <c r="L361" s="297"/>
      <c r="N361" s="102" t="s">
        <v>767</v>
      </c>
      <c r="O361" s="299"/>
      <c r="P361" s="322"/>
      <c r="Q361" s="322"/>
      <c r="R361" s="322"/>
      <c r="S361" s="322"/>
      <c r="T361" s="322"/>
      <c r="U361" s="322"/>
      <c r="V361" s="322"/>
      <c r="W361" s="322"/>
      <c r="X361" s="322"/>
      <c r="Y361" s="322"/>
      <c r="Z361" s="322"/>
      <c r="AA361" s="322"/>
      <c r="AB361" s="15"/>
      <c r="AC361" s="15"/>
      <c r="AD361" s="15"/>
      <c r="AE361" s="15"/>
      <c r="AF361" s="15"/>
      <c r="AG361" s="15"/>
      <c r="AH361" s="15"/>
      <c r="AI361" s="15"/>
      <c r="AJ361" s="15"/>
      <c r="AK361" s="15"/>
      <c r="AL361" s="15"/>
      <c r="AM361" s="15"/>
      <c r="AN361" s="15"/>
      <c r="AO361" s="15"/>
      <c r="AP361" s="73"/>
      <c r="AQ361" s="15"/>
      <c r="AR361" s="15"/>
      <c r="AS361" s="15"/>
      <c r="AT361" s="15"/>
      <c r="AU361" s="15"/>
      <c r="AV361" s="15"/>
      <c r="AW361" s="15"/>
      <c r="AX361" s="74"/>
    </row>
    <row r="362" spans="1:50" s="79" customFormat="1" ht="12">
      <c r="A362" s="298"/>
      <c r="B362" s="160"/>
      <c r="C362" s="161"/>
      <c r="D362" s="15"/>
      <c r="E362" s="15"/>
      <c r="F362" s="15"/>
      <c r="G362" s="15"/>
      <c r="H362" s="15"/>
      <c r="I362" s="15"/>
      <c r="J362" s="15"/>
      <c r="K362" s="15"/>
      <c r="L362" s="297"/>
      <c r="M362" s="15"/>
      <c r="N362" s="322"/>
      <c r="O362" s="99"/>
      <c r="P362" s="322"/>
      <c r="Q362" s="322"/>
      <c r="R362" s="322"/>
      <c r="S362" s="322"/>
      <c r="T362" s="322"/>
      <c r="U362" s="322"/>
      <c r="V362" s="322"/>
      <c r="W362" s="322"/>
      <c r="X362" s="322"/>
      <c r="Y362" s="322"/>
      <c r="Z362" s="322"/>
      <c r="AA362" s="322"/>
      <c r="AB362" s="15"/>
      <c r="AC362" s="15"/>
      <c r="AD362" s="15"/>
      <c r="AE362" s="15"/>
      <c r="AF362" s="15"/>
      <c r="AG362" s="15"/>
      <c r="AH362" s="15"/>
      <c r="AI362" s="15"/>
      <c r="AJ362" s="15"/>
      <c r="AK362" s="15"/>
      <c r="AL362" s="15"/>
      <c r="AM362" s="15"/>
      <c r="AN362" s="15"/>
      <c r="AO362" s="15"/>
      <c r="AP362" s="73"/>
      <c r="AQ362" s="15"/>
      <c r="AR362" s="15"/>
      <c r="AS362" s="15"/>
      <c r="AT362" s="15"/>
      <c r="AU362" s="15"/>
      <c r="AV362" s="15"/>
      <c r="AW362" s="15"/>
      <c r="AX362" s="74"/>
    </row>
    <row r="363" spans="1:50" s="79" customFormat="1" ht="12">
      <c r="A363" s="298"/>
      <c r="B363" s="162"/>
      <c r="C363" s="163"/>
      <c r="D363" s="286"/>
      <c r="E363" s="286"/>
      <c r="F363" s="286"/>
      <c r="G363" s="286"/>
      <c r="H363" s="286"/>
      <c r="I363" s="286"/>
      <c r="J363" s="286"/>
      <c r="K363" s="286"/>
      <c r="L363" s="300"/>
      <c r="M363" s="286"/>
      <c r="N363" s="286"/>
      <c r="O363" s="44"/>
      <c r="P363" s="286"/>
      <c r="Q363" s="286"/>
      <c r="R363" s="286"/>
      <c r="S363" s="286"/>
      <c r="T363" s="286"/>
      <c r="U363" s="286"/>
      <c r="V363" s="286"/>
      <c r="W363" s="286"/>
      <c r="X363" s="286"/>
      <c r="Y363" s="286"/>
      <c r="Z363" s="286"/>
      <c r="AA363" s="286"/>
      <c r="AB363" s="286"/>
      <c r="AC363" s="286"/>
      <c r="AD363" s="286"/>
      <c r="AE363" s="286"/>
      <c r="AF363" s="286"/>
      <c r="AG363" s="286"/>
      <c r="AH363" s="286"/>
      <c r="AI363" s="286"/>
      <c r="AJ363" s="286"/>
      <c r="AK363" s="286"/>
      <c r="AL363" s="286"/>
      <c r="AM363" s="286"/>
      <c r="AN363" s="286"/>
      <c r="AO363" s="286"/>
      <c r="AP363" s="287"/>
      <c r="AQ363" s="286"/>
      <c r="AR363" s="286"/>
      <c r="AS363" s="286"/>
      <c r="AT363" s="286"/>
      <c r="AU363" s="286"/>
      <c r="AV363" s="286"/>
      <c r="AW363" s="286"/>
      <c r="AX363" s="301"/>
    </row>
    <row r="364" spans="1:50" s="79" customFormat="1" ht="12">
      <c r="A364" s="298"/>
      <c r="B364" s="1007" t="s">
        <v>769</v>
      </c>
      <c r="C364" s="1008"/>
      <c r="D364" s="15"/>
      <c r="E364" s="15"/>
      <c r="F364" s="15"/>
      <c r="G364" s="15"/>
      <c r="H364" s="15"/>
      <c r="I364" s="15"/>
      <c r="J364" s="15"/>
      <c r="K364" s="15"/>
      <c r="L364" s="329" t="s">
        <v>895</v>
      </c>
      <c r="M364" s="37" t="s">
        <v>768</v>
      </c>
      <c r="N364" s="37"/>
      <c r="O364" s="38"/>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282"/>
      <c r="AQ364" s="15"/>
      <c r="AR364" s="15"/>
      <c r="AS364" s="15"/>
      <c r="AT364" s="15"/>
      <c r="AU364" s="15"/>
      <c r="AV364" s="15"/>
      <c r="AW364" s="15"/>
      <c r="AX364" s="74"/>
    </row>
    <row r="365" spans="1:50" s="79" customFormat="1" ht="12">
      <c r="A365" s="298"/>
      <c r="B365" s="160"/>
      <c r="C365" s="161"/>
      <c r="D365" s="15"/>
      <c r="E365" s="15"/>
      <c r="F365" s="15"/>
      <c r="G365" s="15"/>
      <c r="H365" s="15"/>
      <c r="I365" s="15"/>
      <c r="J365" s="15"/>
      <c r="K365" s="15"/>
      <c r="L365" s="297"/>
      <c r="M365" s="299" t="s">
        <v>680</v>
      </c>
      <c r="N365" s="9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73"/>
      <c r="AQ365" s="15"/>
      <c r="AR365" s="15"/>
      <c r="AS365" s="15"/>
      <c r="AT365" s="15"/>
      <c r="AU365" s="15"/>
      <c r="AV365" s="15"/>
      <c r="AW365" s="15"/>
      <c r="AX365" s="74"/>
    </row>
    <row r="366" spans="1:50" s="79" customFormat="1" ht="12">
      <c r="A366" s="298"/>
      <c r="B366" s="160"/>
      <c r="C366" s="161"/>
      <c r="D366" s="15"/>
      <c r="E366" s="15"/>
      <c r="F366" s="15"/>
      <c r="G366" s="15"/>
      <c r="H366" s="15"/>
      <c r="I366" s="15"/>
      <c r="J366" s="15"/>
      <c r="K366" s="15"/>
      <c r="L366" s="297"/>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73"/>
      <c r="AQ366" s="15"/>
      <c r="AR366" s="15"/>
      <c r="AS366" s="15"/>
      <c r="AT366" s="15"/>
      <c r="AU366" s="15"/>
      <c r="AV366" s="15"/>
      <c r="AW366" s="15"/>
      <c r="AX366" s="74"/>
    </row>
    <row r="367" spans="1:50" s="79" customFormat="1" ht="12">
      <c r="A367" s="298"/>
      <c r="B367" s="160"/>
      <c r="C367" s="161"/>
      <c r="D367" s="15"/>
      <c r="E367" s="15"/>
      <c r="F367" s="15"/>
      <c r="G367" s="15"/>
      <c r="H367" s="15"/>
      <c r="I367" s="15"/>
      <c r="J367" s="15"/>
      <c r="K367" s="15"/>
      <c r="L367" s="297"/>
      <c r="M367" s="15"/>
      <c r="N367" s="9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73"/>
      <c r="AQ367" s="15"/>
      <c r="AR367" s="15"/>
      <c r="AS367" s="15"/>
      <c r="AT367" s="15"/>
      <c r="AU367" s="15"/>
      <c r="AV367" s="15"/>
      <c r="AW367" s="15"/>
      <c r="AX367" s="74"/>
    </row>
    <row r="368" spans="1:50" s="283" customFormat="1" ht="12">
      <c r="A368" s="339"/>
      <c r="B368" s="1011"/>
      <c r="C368" s="1012"/>
      <c r="D368" s="322"/>
      <c r="E368" s="322"/>
      <c r="F368" s="322"/>
      <c r="G368" s="322"/>
      <c r="H368" s="322"/>
      <c r="I368" s="322"/>
      <c r="J368" s="322"/>
      <c r="K368" s="322"/>
      <c r="L368" s="325"/>
      <c r="M368" s="324"/>
      <c r="N368" s="324"/>
      <c r="O368" s="324"/>
      <c r="P368" s="324"/>
      <c r="Q368" s="324"/>
      <c r="R368" s="324"/>
      <c r="S368" s="324"/>
      <c r="T368" s="324"/>
      <c r="U368" s="324"/>
      <c r="V368" s="324"/>
      <c r="W368" s="324"/>
      <c r="X368" s="324"/>
      <c r="Y368" s="324"/>
      <c r="Z368" s="324"/>
      <c r="AA368" s="324"/>
      <c r="AB368" s="324"/>
      <c r="AC368" s="324"/>
      <c r="AD368" s="324"/>
      <c r="AE368" s="324"/>
      <c r="AF368" s="324"/>
      <c r="AG368" s="324"/>
      <c r="AH368" s="324"/>
      <c r="AI368" s="324"/>
      <c r="AJ368" s="324"/>
      <c r="AK368" s="324"/>
      <c r="AL368" s="324"/>
      <c r="AM368" s="324"/>
      <c r="AN368" s="324"/>
      <c r="AO368" s="324"/>
      <c r="AP368" s="326"/>
      <c r="AQ368" s="322"/>
      <c r="AR368" s="322"/>
      <c r="AS368" s="322"/>
      <c r="AT368" s="322"/>
      <c r="AU368" s="322"/>
      <c r="AV368" s="322"/>
      <c r="AW368" s="322"/>
      <c r="AX368" s="340"/>
    </row>
    <row r="369" spans="1:52" s="79" customFormat="1" ht="12">
      <c r="A369" s="294" t="s">
        <v>975</v>
      </c>
      <c r="B369" s="75" t="s">
        <v>899</v>
      </c>
      <c r="C369" s="76"/>
      <c r="D369" s="76"/>
      <c r="E369" s="76"/>
      <c r="F369" s="76"/>
      <c r="G369" s="76"/>
      <c r="H369" s="76"/>
      <c r="I369" s="76"/>
      <c r="J369" s="76"/>
      <c r="K369" s="76"/>
      <c r="L369" s="328"/>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7"/>
      <c r="AZ369" s="283"/>
    </row>
    <row r="370" spans="1:52" s="79" customFormat="1" ht="12">
      <c r="A370" s="298"/>
      <c r="B370" s="1007" t="s">
        <v>769</v>
      </c>
      <c r="C370" s="1008"/>
      <c r="D370" s="15"/>
      <c r="E370" s="15"/>
      <c r="F370" s="15"/>
      <c r="G370" s="15"/>
      <c r="H370" s="15"/>
      <c r="I370" s="15"/>
      <c r="J370" s="15"/>
      <c r="K370" s="15"/>
      <c r="L370" s="329" t="s">
        <v>770</v>
      </c>
      <c r="M370" s="37" t="s">
        <v>679</v>
      </c>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282"/>
      <c r="AQ370" s="15"/>
      <c r="AR370" s="15"/>
      <c r="AS370" s="15"/>
      <c r="AT370" s="15"/>
      <c r="AU370" s="15"/>
      <c r="AV370" s="15"/>
      <c r="AW370" s="15"/>
      <c r="AX370" s="74"/>
    </row>
    <row r="371" spans="1:52" s="79" customFormat="1" ht="12">
      <c r="A371" s="298"/>
      <c r="B371" s="160"/>
      <c r="C371" s="161"/>
      <c r="D371" s="15"/>
      <c r="E371" s="15"/>
      <c r="F371" s="15"/>
      <c r="G371" s="15"/>
      <c r="H371" s="15"/>
      <c r="I371" s="15"/>
      <c r="J371" s="15"/>
      <c r="K371" s="15"/>
      <c r="L371" s="297"/>
      <c r="M371" s="299" t="s">
        <v>680</v>
      </c>
      <c r="N371" s="15"/>
      <c r="O371" s="15"/>
      <c r="P371" s="15"/>
      <c r="Q371" s="15"/>
      <c r="R371" s="15"/>
      <c r="S371" s="15"/>
      <c r="T371" s="95"/>
      <c r="U371" s="15"/>
      <c r="V371" s="15"/>
      <c r="W371" s="15"/>
      <c r="X371" s="15"/>
      <c r="Y371" s="15"/>
      <c r="Z371" s="15"/>
      <c r="AA371" s="15"/>
      <c r="AB371" s="15"/>
      <c r="AC371" s="15"/>
      <c r="AD371" s="15"/>
      <c r="AE371" s="15"/>
      <c r="AF371" s="15"/>
      <c r="AG371" s="15"/>
      <c r="AH371" s="15"/>
      <c r="AI371" s="15"/>
      <c r="AJ371" s="15"/>
      <c r="AK371" s="15"/>
      <c r="AL371" s="15"/>
      <c r="AM371" s="15"/>
      <c r="AN371" s="15"/>
      <c r="AO371" s="15"/>
      <c r="AP371" s="73"/>
      <c r="AQ371" s="15"/>
      <c r="AR371" s="15"/>
      <c r="AS371" s="15"/>
      <c r="AT371" s="15"/>
      <c r="AU371" s="15"/>
      <c r="AV371" s="15"/>
      <c r="AW371" s="15"/>
      <c r="AX371" s="74"/>
    </row>
    <row r="372" spans="1:52" s="79" customFormat="1" ht="12">
      <c r="A372" s="298"/>
      <c r="B372" s="160"/>
      <c r="C372" s="161"/>
      <c r="D372" s="15"/>
      <c r="E372" s="15"/>
      <c r="F372" s="15"/>
      <c r="G372" s="15"/>
      <c r="H372" s="15"/>
      <c r="I372" s="15"/>
      <c r="J372" s="15"/>
      <c r="K372" s="15"/>
      <c r="L372" s="297"/>
      <c r="M372" s="15"/>
      <c r="N372" s="15"/>
      <c r="O372" s="15"/>
      <c r="P372" s="15"/>
      <c r="Q372" s="15"/>
      <c r="R372" s="15"/>
      <c r="S372" s="15"/>
      <c r="T372" s="95"/>
      <c r="U372" s="15"/>
      <c r="V372" s="15"/>
      <c r="W372" s="15"/>
      <c r="X372" s="15"/>
      <c r="Y372" s="15"/>
      <c r="Z372" s="15"/>
      <c r="AA372" s="15"/>
      <c r="AB372" s="15"/>
      <c r="AC372" s="15"/>
      <c r="AD372" s="15"/>
      <c r="AE372" s="15"/>
      <c r="AF372" s="15"/>
      <c r="AG372" s="15"/>
      <c r="AH372" s="15"/>
      <c r="AI372" s="15"/>
      <c r="AJ372" s="15"/>
      <c r="AK372" s="15"/>
      <c r="AL372" s="15"/>
      <c r="AM372" s="15"/>
      <c r="AN372" s="15"/>
      <c r="AO372" s="15"/>
      <c r="AP372" s="73"/>
      <c r="AQ372" s="15"/>
      <c r="AR372" s="15"/>
      <c r="AS372" s="15"/>
      <c r="AT372" s="15"/>
      <c r="AU372" s="15"/>
      <c r="AV372" s="15"/>
      <c r="AW372" s="15"/>
      <c r="AX372" s="74"/>
    </row>
    <row r="373" spans="1:52" s="79" customFormat="1" ht="12">
      <c r="A373" s="298"/>
      <c r="B373" s="160"/>
      <c r="C373" s="161"/>
      <c r="D373" s="15"/>
      <c r="E373" s="15"/>
      <c r="F373" s="15"/>
      <c r="G373" s="15"/>
      <c r="H373" s="15"/>
      <c r="I373" s="15"/>
      <c r="J373" s="15"/>
      <c r="K373" s="15"/>
      <c r="L373" s="297" t="s">
        <v>771</v>
      </c>
      <c r="M373" s="15" t="s">
        <v>753</v>
      </c>
      <c r="N373" s="15"/>
      <c r="O373" s="15"/>
      <c r="P373" s="15"/>
      <c r="Q373" s="15"/>
      <c r="R373" s="15"/>
      <c r="S373" s="15"/>
      <c r="T373" s="95"/>
      <c r="U373" s="15"/>
      <c r="V373" s="15"/>
      <c r="W373" s="15"/>
      <c r="X373" s="15"/>
      <c r="Y373" s="15"/>
      <c r="Z373" s="15"/>
      <c r="AA373" s="15"/>
      <c r="AB373" s="15"/>
      <c r="AC373" s="15"/>
      <c r="AD373" s="15"/>
      <c r="AE373" s="15"/>
      <c r="AF373" s="15"/>
      <c r="AG373" s="15"/>
      <c r="AH373" s="15"/>
      <c r="AI373" s="15"/>
      <c r="AJ373" s="15"/>
      <c r="AK373" s="15"/>
      <c r="AL373" s="15"/>
      <c r="AM373" s="15"/>
      <c r="AN373" s="15"/>
      <c r="AO373" s="15"/>
      <c r="AP373" s="73"/>
      <c r="AQ373" s="15"/>
      <c r="AR373" s="15"/>
      <c r="AS373" s="15"/>
      <c r="AT373" s="15"/>
      <c r="AU373" s="15"/>
      <c r="AV373" s="15"/>
      <c r="AW373" s="15"/>
      <c r="AX373" s="74"/>
    </row>
    <row r="374" spans="1:52" s="79" customFormat="1" ht="12">
      <c r="A374" s="298"/>
      <c r="B374" s="160"/>
      <c r="C374" s="161"/>
      <c r="D374" s="15"/>
      <c r="E374" s="15"/>
      <c r="F374" s="15"/>
      <c r="G374" s="15"/>
      <c r="H374" s="15"/>
      <c r="I374" s="15"/>
      <c r="J374" s="15"/>
      <c r="K374" s="15"/>
      <c r="L374" s="297"/>
      <c r="M374" s="299" t="s">
        <v>680</v>
      </c>
      <c r="N374" s="15"/>
      <c r="O374" s="15"/>
      <c r="P374" s="15"/>
      <c r="Q374" s="15"/>
      <c r="R374" s="15"/>
      <c r="S374" s="15"/>
      <c r="T374" s="95"/>
      <c r="U374" s="15"/>
      <c r="V374" s="15"/>
      <c r="W374" s="15"/>
      <c r="X374" s="15"/>
      <c r="Y374" s="15"/>
      <c r="Z374" s="15"/>
      <c r="AA374" s="15"/>
      <c r="AB374" s="15"/>
      <c r="AC374" s="15"/>
      <c r="AD374" s="15"/>
      <c r="AE374" s="15"/>
      <c r="AF374" s="15"/>
      <c r="AG374" s="15"/>
      <c r="AH374" s="15"/>
      <c r="AI374" s="15"/>
      <c r="AJ374" s="15"/>
      <c r="AK374" s="15"/>
      <c r="AL374" s="15"/>
      <c r="AM374" s="15"/>
      <c r="AN374" s="15"/>
      <c r="AO374" s="15"/>
      <c r="AP374" s="73"/>
      <c r="AQ374" s="15"/>
      <c r="AR374" s="15"/>
      <c r="AS374" s="15"/>
      <c r="AT374" s="15"/>
      <c r="AU374" s="15"/>
      <c r="AV374" s="15"/>
      <c r="AW374" s="15"/>
      <c r="AX374" s="74"/>
    </row>
    <row r="375" spans="1:52" s="79" customFormat="1" ht="12">
      <c r="A375" s="298"/>
      <c r="B375" s="160"/>
      <c r="C375" s="161"/>
      <c r="D375" s="15"/>
      <c r="E375" s="15"/>
      <c r="F375" s="15"/>
      <c r="G375" s="15"/>
      <c r="H375" s="15"/>
      <c r="I375" s="15"/>
      <c r="J375" s="15"/>
      <c r="K375" s="15"/>
      <c r="L375" s="297"/>
      <c r="M375" s="15"/>
      <c r="N375" s="15"/>
      <c r="O375" s="15"/>
      <c r="P375" s="15"/>
      <c r="Q375" s="15"/>
      <c r="R375" s="15"/>
      <c r="S375" s="15"/>
      <c r="T375" s="95"/>
      <c r="U375" s="15"/>
      <c r="V375" s="15"/>
      <c r="W375" s="15"/>
      <c r="X375" s="15"/>
      <c r="Y375" s="15"/>
      <c r="Z375" s="15"/>
      <c r="AA375" s="15"/>
      <c r="AB375" s="15"/>
      <c r="AC375" s="15"/>
      <c r="AD375" s="15"/>
      <c r="AE375" s="15"/>
      <c r="AF375" s="15"/>
      <c r="AG375" s="15"/>
      <c r="AH375" s="15"/>
      <c r="AI375" s="15"/>
      <c r="AJ375" s="15"/>
      <c r="AK375" s="15"/>
      <c r="AL375" s="15"/>
      <c r="AM375" s="15"/>
      <c r="AN375" s="15"/>
      <c r="AO375" s="15"/>
      <c r="AP375" s="73"/>
      <c r="AQ375" s="15"/>
      <c r="AR375" s="15"/>
      <c r="AS375" s="15"/>
      <c r="AT375" s="15"/>
      <c r="AU375" s="15"/>
      <c r="AV375" s="15"/>
      <c r="AW375" s="15"/>
      <c r="AX375" s="74"/>
    </row>
    <row r="376" spans="1:52" s="79" customFormat="1" ht="12">
      <c r="A376" s="298"/>
      <c r="B376" s="1007" t="s">
        <v>772</v>
      </c>
      <c r="C376" s="1008"/>
      <c r="D376" s="37"/>
      <c r="E376" s="37"/>
      <c r="F376" s="37"/>
      <c r="G376" s="37"/>
      <c r="H376" s="37"/>
      <c r="I376" s="37"/>
      <c r="J376" s="37"/>
      <c r="K376" s="37"/>
      <c r="L376" s="329" t="s">
        <v>773</v>
      </c>
      <c r="M376" s="37" t="s">
        <v>681</v>
      </c>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282"/>
      <c r="AQ376" s="37"/>
      <c r="AR376" s="37"/>
      <c r="AS376" s="37"/>
      <c r="AT376" s="37"/>
      <c r="AU376" s="37"/>
      <c r="AV376" s="37"/>
      <c r="AW376" s="37"/>
      <c r="AX376" s="330"/>
    </row>
    <row r="377" spans="1:52" s="79" customFormat="1" ht="12">
      <c r="A377" s="298"/>
      <c r="B377" s="160"/>
      <c r="C377" s="161"/>
      <c r="D377" s="15"/>
      <c r="E377" s="15"/>
      <c r="F377" s="15"/>
      <c r="G377" s="15"/>
      <c r="H377" s="15"/>
      <c r="I377" s="15"/>
      <c r="J377" s="15"/>
      <c r="K377" s="15"/>
      <c r="L377" s="297"/>
      <c r="M377" s="293" t="s">
        <v>774</v>
      </c>
      <c r="N377" s="15" t="s">
        <v>756</v>
      </c>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73"/>
      <c r="AQ377" s="15"/>
      <c r="AR377" s="15"/>
      <c r="AS377" s="15"/>
      <c r="AT377" s="15"/>
      <c r="AU377" s="15"/>
      <c r="AV377" s="15"/>
      <c r="AW377" s="15"/>
      <c r="AX377" s="74"/>
    </row>
    <row r="378" spans="1:52" s="79" customFormat="1" ht="12">
      <c r="A378" s="298"/>
      <c r="B378" s="160"/>
      <c r="C378" s="161"/>
      <c r="D378" s="15"/>
      <c r="E378" s="15"/>
      <c r="F378" s="15"/>
      <c r="G378" s="15"/>
      <c r="H378" s="15"/>
      <c r="I378" s="15"/>
      <c r="J378" s="15"/>
      <c r="K378" s="15"/>
      <c r="L378" s="297"/>
      <c r="M378" s="95"/>
      <c r="N378" s="299" t="s">
        <v>680</v>
      </c>
      <c r="O378" s="15"/>
      <c r="P378" s="15"/>
      <c r="Q378" s="9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73"/>
      <c r="AQ378" s="15"/>
      <c r="AR378" s="15"/>
      <c r="AS378" s="15"/>
      <c r="AT378" s="15"/>
      <c r="AU378" s="15"/>
      <c r="AV378" s="15"/>
      <c r="AW378" s="15"/>
      <c r="AX378" s="74"/>
    </row>
    <row r="379" spans="1:52" s="79" customFormat="1" ht="12">
      <c r="A379" s="298"/>
      <c r="B379" s="160"/>
      <c r="C379" s="161"/>
      <c r="D379" s="15"/>
      <c r="E379" s="15"/>
      <c r="F379" s="15"/>
      <c r="G379" s="15"/>
      <c r="H379" s="15"/>
      <c r="I379" s="15"/>
      <c r="J379" s="15"/>
      <c r="K379" s="15"/>
      <c r="L379" s="297"/>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73"/>
      <c r="AQ379" s="15"/>
      <c r="AR379" s="15"/>
      <c r="AS379" s="15"/>
      <c r="AT379" s="15"/>
      <c r="AU379" s="15"/>
      <c r="AV379" s="15"/>
      <c r="AW379" s="15"/>
      <c r="AX379" s="74"/>
    </row>
    <row r="380" spans="1:52" s="79" customFormat="1" ht="12">
      <c r="A380" s="298"/>
      <c r="B380" s="160"/>
      <c r="C380" s="161"/>
      <c r="D380" s="15"/>
      <c r="E380" s="15"/>
      <c r="F380" s="15"/>
      <c r="G380" s="15"/>
      <c r="H380" s="15"/>
      <c r="I380" s="15"/>
      <c r="J380" s="15"/>
      <c r="K380" s="15"/>
      <c r="L380" s="297" t="s">
        <v>775</v>
      </c>
      <c r="M380" s="15" t="s">
        <v>759</v>
      </c>
      <c r="N380" s="15"/>
      <c r="O380" s="95"/>
      <c r="P380" s="15"/>
      <c r="Q380" s="15"/>
      <c r="R380" s="15"/>
      <c r="S380" s="15"/>
      <c r="T380" s="15"/>
      <c r="U380" s="15"/>
      <c r="V380" s="15"/>
      <c r="W380" s="15"/>
      <c r="X380" s="15"/>
      <c r="Y380" s="15"/>
      <c r="Z380" s="15"/>
      <c r="AA380" s="15"/>
      <c r="AB380" s="15"/>
      <c r="AF380" s="15"/>
      <c r="AG380" s="15"/>
      <c r="AH380" s="15"/>
      <c r="AI380" s="15"/>
      <c r="AJ380" s="15"/>
      <c r="AK380" s="15"/>
      <c r="AL380" s="15"/>
      <c r="AM380" s="15"/>
      <c r="AN380" s="15"/>
      <c r="AO380" s="15"/>
      <c r="AP380" s="73"/>
      <c r="AQ380" s="15"/>
      <c r="AR380" s="15"/>
      <c r="AS380" s="15"/>
      <c r="AT380" s="15"/>
      <c r="AU380" s="15"/>
      <c r="AV380" s="15"/>
      <c r="AW380" s="15"/>
      <c r="AX380" s="74"/>
    </row>
    <row r="381" spans="1:52" s="79" customFormat="1" ht="12">
      <c r="A381" s="298"/>
      <c r="B381" s="160"/>
      <c r="C381" s="161"/>
      <c r="D381" s="15"/>
      <c r="E381" s="15"/>
      <c r="F381" s="15"/>
      <c r="G381" s="15"/>
      <c r="H381" s="15"/>
      <c r="I381" s="15"/>
      <c r="J381" s="15"/>
      <c r="K381" s="15"/>
      <c r="L381" s="297"/>
      <c r="M381" s="293" t="s">
        <v>776</v>
      </c>
      <c r="N381" s="79" t="s">
        <v>1307</v>
      </c>
      <c r="O381" s="95"/>
      <c r="P381" s="15"/>
      <c r="Q381" s="15"/>
      <c r="R381" s="15"/>
      <c r="S381" s="15"/>
      <c r="T381" s="15"/>
      <c r="U381" s="15"/>
      <c r="V381" s="15"/>
      <c r="W381" s="15"/>
      <c r="X381" s="15"/>
      <c r="Y381" s="15"/>
      <c r="Z381" s="15"/>
      <c r="AA381" s="15"/>
      <c r="AB381" s="15"/>
      <c r="AF381" s="15"/>
      <c r="AG381" s="15"/>
      <c r="AH381" s="15"/>
      <c r="AI381" s="15"/>
      <c r="AJ381" s="15"/>
      <c r="AK381" s="15"/>
      <c r="AL381" s="15"/>
      <c r="AM381" s="15"/>
      <c r="AN381" s="15"/>
      <c r="AO381" s="15"/>
      <c r="AP381" s="73"/>
      <c r="AQ381" s="15"/>
      <c r="AR381" s="15"/>
      <c r="AS381" s="15"/>
      <c r="AT381" s="15"/>
      <c r="AU381" s="15"/>
      <c r="AV381" s="15"/>
      <c r="AW381" s="15"/>
      <c r="AX381" s="74"/>
    </row>
    <row r="382" spans="1:52" s="79" customFormat="1" ht="12">
      <c r="A382" s="298"/>
      <c r="B382" s="160"/>
      <c r="C382" s="161"/>
      <c r="D382" s="15"/>
      <c r="E382" s="15"/>
      <c r="F382" s="15"/>
      <c r="G382" s="15"/>
      <c r="H382" s="15"/>
      <c r="I382" s="15"/>
      <c r="J382" s="15"/>
      <c r="K382" s="15"/>
      <c r="L382" s="297"/>
      <c r="M382" s="293"/>
      <c r="N382" s="79" t="s">
        <v>680</v>
      </c>
      <c r="O382" s="95"/>
      <c r="P382" s="15"/>
      <c r="Q382" s="15"/>
      <c r="R382" s="15"/>
      <c r="S382" s="15"/>
      <c r="T382" s="15"/>
      <c r="U382" s="15"/>
      <c r="V382" s="15"/>
      <c r="W382" s="15"/>
      <c r="X382" s="15"/>
      <c r="Y382" s="15"/>
      <c r="Z382" s="15"/>
      <c r="AA382" s="15"/>
      <c r="AB382" s="15"/>
      <c r="AF382" s="15"/>
      <c r="AG382" s="15"/>
      <c r="AH382" s="15"/>
      <c r="AI382" s="15"/>
      <c r="AJ382" s="15"/>
      <c r="AK382" s="15"/>
      <c r="AL382" s="15"/>
      <c r="AM382" s="15"/>
      <c r="AN382" s="15"/>
      <c r="AO382" s="15"/>
      <c r="AP382" s="73"/>
      <c r="AQ382" s="15"/>
      <c r="AR382" s="15"/>
      <c r="AS382" s="15"/>
      <c r="AT382" s="15"/>
      <c r="AU382" s="15"/>
      <c r="AV382" s="15"/>
      <c r="AW382" s="15"/>
      <c r="AX382" s="74"/>
    </row>
    <row r="383" spans="1:52" s="79" customFormat="1" ht="12">
      <c r="A383" s="298"/>
      <c r="B383" s="160"/>
      <c r="C383" s="161"/>
      <c r="D383" s="15"/>
      <c r="E383" s="15"/>
      <c r="F383" s="15"/>
      <c r="G383" s="15"/>
      <c r="H383" s="15"/>
      <c r="I383" s="15"/>
      <c r="J383" s="15"/>
      <c r="K383" s="15"/>
      <c r="L383" s="297"/>
      <c r="M383" s="293"/>
      <c r="O383" s="95"/>
      <c r="P383" s="15"/>
      <c r="Q383" s="15"/>
      <c r="R383" s="15"/>
      <c r="S383" s="15"/>
      <c r="T383" s="15"/>
      <c r="U383" s="15"/>
      <c r="V383" s="15"/>
      <c r="W383" s="15"/>
      <c r="X383" s="15"/>
      <c r="Y383" s="15"/>
      <c r="Z383" s="15"/>
      <c r="AA383" s="15"/>
      <c r="AB383" s="15"/>
      <c r="AF383" s="15"/>
      <c r="AG383" s="15"/>
      <c r="AH383" s="15"/>
      <c r="AI383" s="15"/>
      <c r="AJ383" s="15"/>
      <c r="AK383" s="15"/>
      <c r="AL383" s="15"/>
      <c r="AM383" s="15"/>
      <c r="AN383" s="15"/>
      <c r="AO383" s="15"/>
      <c r="AP383" s="73"/>
      <c r="AQ383" s="15"/>
      <c r="AR383" s="15"/>
      <c r="AS383" s="15"/>
      <c r="AT383" s="15"/>
      <c r="AU383" s="15"/>
      <c r="AV383" s="15"/>
      <c r="AW383" s="15"/>
      <c r="AX383" s="74"/>
    </row>
    <row r="384" spans="1:52" s="79" customFormat="1" ht="12">
      <c r="A384" s="298"/>
      <c r="B384" s="160"/>
      <c r="C384" s="161"/>
      <c r="D384" s="15"/>
      <c r="E384" s="15"/>
      <c r="F384" s="15"/>
      <c r="G384" s="15"/>
      <c r="H384" s="15"/>
      <c r="I384" s="15"/>
      <c r="J384" s="15"/>
      <c r="K384" s="15"/>
      <c r="L384" s="297"/>
      <c r="M384" s="293"/>
      <c r="N384" s="293" t="s">
        <v>777</v>
      </c>
      <c r="O384" s="15" t="s">
        <v>1296</v>
      </c>
      <c r="P384" s="95"/>
      <c r="Q384" s="15"/>
      <c r="R384" s="15"/>
      <c r="S384" s="15"/>
      <c r="T384" s="15"/>
      <c r="U384" s="15"/>
      <c r="V384" s="15"/>
      <c r="W384" s="15"/>
      <c r="X384" s="15"/>
      <c r="Y384" s="15"/>
      <c r="Z384" s="15"/>
      <c r="AA384" s="15"/>
      <c r="AB384" s="15"/>
      <c r="AF384" s="15"/>
      <c r="AG384" s="15"/>
      <c r="AH384" s="15"/>
      <c r="AI384" s="15"/>
      <c r="AJ384" s="15"/>
      <c r="AK384" s="15"/>
      <c r="AL384" s="15"/>
      <c r="AM384" s="15"/>
      <c r="AN384" s="15"/>
      <c r="AO384" s="15"/>
      <c r="AP384" s="73"/>
      <c r="AQ384" s="15"/>
      <c r="AR384" s="15"/>
      <c r="AS384" s="15"/>
      <c r="AT384" s="15"/>
      <c r="AU384" s="15"/>
      <c r="AV384" s="15"/>
      <c r="AW384" s="15"/>
      <c r="AX384" s="74"/>
    </row>
    <row r="385" spans="1:50" s="79" customFormat="1" ht="12">
      <c r="A385" s="298"/>
      <c r="B385" s="160"/>
      <c r="C385" s="161"/>
      <c r="D385" s="15" t="s">
        <v>1297</v>
      </c>
      <c r="E385" s="15"/>
      <c r="F385" s="15"/>
      <c r="G385" s="15"/>
      <c r="H385" s="15"/>
      <c r="I385" s="15"/>
      <c r="J385" s="15"/>
      <c r="K385" s="15"/>
      <c r="L385" s="297"/>
      <c r="N385" s="293"/>
      <c r="O385" s="102" t="s">
        <v>762</v>
      </c>
      <c r="P385" s="95"/>
      <c r="Q385" s="322"/>
      <c r="R385" s="322"/>
      <c r="S385" s="322"/>
      <c r="T385" s="322"/>
      <c r="U385" s="322"/>
      <c r="V385" s="322"/>
      <c r="W385" s="322"/>
      <c r="X385" s="322"/>
      <c r="Y385" s="322"/>
      <c r="Z385" s="322"/>
      <c r="AA385" s="322"/>
      <c r="AB385" s="15"/>
      <c r="AF385" s="15"/>
      <c r="AG385" s="15"/>
      <c r="AH385" s="15"/>
      <c r="AI385" s="15"/>
      <c r="AJ385" s="15"/>
      <c r="AK385" s="15"/>
      <c r="AL385" s="15"/>
      <c r="AM385" s="15"/>
      <c r="AN385" s="15"/>
      <c r="AO385" s="15"/>
      <c r="AP385" s="73"/>
      <c r="AQ385" s="15"/>
      <c r="AR385" s="15"/>
      <c r="AS385" s="15"/>
      <c r="AT385" s="15"/>
      <c r="AU385" s="15"/>
      <c r="AV385" s="15"/>
      <c r="AW385" s="15"/>
      <c r="AX385" s="74"/>
    </row>
    <row r="386" spans="1:50" s="79" customFormat="1" ht="12">
      <c r="A386" s="298"/>
      <c r="B386" s="160"/>
      <c r="C386" s="161"/>
      <c r="D386" s="15"/>
      <c r="E386" s="15"/>
      <c r="F386" s="15"/>
      <c r="G386" s="15"/>
      <c r="H386" s="15"/>
      <c r="I386" s="15"/>
      <c r="J386" s="15"/>
      <c r="K386" s="15"/>
      <c r="L386" s="297"/>
      <c r="N386" s="293"/>
      <c r="O386" s="102" t="s">
        <v>778</v>
      </c>
      <c r="P386" s="95"/>
      <c r="Q386" s="322"/>
      <c r="R386" s="322"/>
      <c r="S386" s="322"/>
      <c r="T386" s="322"/>
      <c r="U386" s="322"/>
      <c r="V386" s="322"/>
      <c r="W386" s="322"/>
      <c r="X386" s="322"/>
      <c r="Y386" s="322"/>
      <c r="Z386" s="322"/>
      <c r="AA386" s="322"/>
      <c r="AB386" s="15"/>
      <c r="AC386" s="15"/>
      <c r="AD386" s="15"/>
      <c r="AE386" s="15"/>
      <c r="AF386" s="15"/>
      <c r="AG386" s="15"/>
      <c r="AH386" s="15"/>
      <c r="AI386" s="15"/>
      <c r="AJ386" s="15"/>
      <c r="AK386" s="15"/>
      <c r="AL386" s="15"/>
      <c r="AM386" s="15"/>
      <c r="AN386" s="15"/>
      <c r="AO386" s="15"/>
      <c r="AP386" s="73"/>
      <c r="AQ386" s="15"/>
      <c r="AR386" s="15"/>
      <c r="AS386" s="15"/>
      <c r="AT386" s="15"/>
      <c r="AU386" s="15"/>
      <c r="AV386" s="15"/>
      <c r="AW386" s="15"/>
      <c r="AX386" s="74"/>
    </row>
    <row r="387" spans="1:50" s="79" customFormat="1" ht="12">
      <c r="A387" s="298"/>
      <c r="B387" s="160"/>
      <c r="C387" s="161"/>
      <c r="D387" s="15"/>
      <c r="E387" s="15"/>
      <c r="F387" s="15"/>
      <c r="G387" s="15"/>
      <c r="H387" s="15"/>
      <c r="I387" s="15"/>
      <c r="J387" s="15"/>
      <c r="K387" s="15"/>
      <c r="L387" s="297"/>
      <c r="N387" s="293"/>
      <c r="O387" s="102"/>
      <c r="P387" s="95"/>
      <c r="Q387" s="322"/>
      <c r="R387" s="322"/>
      <c r="S387" s="322"/>
      <c r="T387" s="322"/>
      <c r="U387" s="322"/>
      <c r="V387" s="322"/>
      <c r="W387" s="322"/>
      <c r="X387" s="322"/>
      <c r="Y387" s="322"/>
      <c r="Z387" s="322"/>
      <c r="AA387" s="322"/>
      <c r="AB387" s="15"/>
      <c r="AC387" s="15"/>
      <c r="AD387" s="15"/>
      <c r="AE387" s="15"/>
      <c r="AF387" s="15"/>
      <c r="AG387" s="15"/>
      <c r="AH387" s="15"/>
      <c r="AI387" s="15"/>
      <c r="AJ387" s="15"/>
      <c r="AK387" s="15"/>
      <c r="AL387" s="15"/>
      <c r="AM387" s="15"/>
      <c r="AN387" s="15"/>
      <c r="AO387" s="15"/>
      <c r="AP387" s="73"/>
      <c r="AQ387" s="15"/>
      <c r="AR387" s="15"/>
      <c r="AS387" s="15"/>
      <c r="AT387" s="15"/>
      <c r="AU387" s="15"/>
      <c r="AV387" s="15"/>
      <c r="AW387" s="15"/>
      <c r="AX387" s="74"/>
    </row>
    <row r="388" spans="1:50" s="79" customFormat="1" ht="12">
      <c r="A388" s="298"/>
      <c r="B388" s="160"/>
      <c r="C388" s="161"/>
      <c r="D388" s="15"/>
      <c r="E388" s="15"/>
      <c r="F388" s="15"/>
      <c r="G388" s="15"/>
      <c r="H388" s="15"/>
      <c r="I388" s="15"/>
      <c r="J388" s="15"/>
      <c r="K388" s="15"/>
      <c r="L388" s="297"/>
      <c r="N388" s="322"/>
      <c r="O388" s="338"/>
      <c r="P388" s="322"/>
      <c r="Q388" s="322"/>
      <c r="R388" s="322"/>
      <c r="S388" s="322"/>
      <c r="T388" s="322"/>
      <c r="U388" s="322"/>
      <c r="V388" s="322"/>
      <c r="W388" s="322"/>
      <c r="X388" s="322"/>
      <c r="Y388" s="322"/>
      <c r="Z388" s="322"/>
      <c r="AA388" s="322"/>
      <c r="AB388" s="15"/>
      <c r="AC388" s="15"/>
      <c r="AD388" s="15"/>
      <c r="AE388" s="15"/>
      <c r="AF388" s="15"/>
      <c r="AG388" s="15"/>
      <c r="AH388" s="15"/>
      <c r="AI388" s="15"/>
      <c r="AJ388" s="15"/>
      <c r="AK388" s="15"/>
      <c r="AL388" s="15"/>
      <c r="AM388" s="15"/>
      <c r="AN388" s="15"/>
      <c r="AO388" s="15"/>
      <c r="AP388" s="73"/>
      <c r="AQ388" s="15"/>
      <c r="AR388" s="15"/>
      <c r="AS388" s="15"/>
      <c r="AT388" s="15"/>
      <c r="AU388" s="15"/>
      <c r="AV388" s="15"/>
      <c r="AW388" s="15"/>
      <c r="AX388" s="74"/>
    </row>
    <row r="389" spans="1:50" s="79" customFormat="1" ht="12">
      <c r="A389" s="298"/>
      <c r="B389" s="160"/>
      <c r="C389" s="161"/>
      <c r="D389" s="15" t="s">
        <v>1299</v>
      </c>
      <c r="E389" s="15"/>
      <c r="F389" s="15"/>
      <c r="G389" s="15"/>
      <c r="H389" s="15"/>
      <c r="I389" s="15"/>
      <c r="J389" s="15"/>
      <c r="K389" s="15"/>
      <c r="L389" s="297"/>
      <c r="N389" s="293" t="s">
        <v>779</v>
      </c>
      <c r="O389" s="15" t="s">
        <v>1300</v>
      </c>
      <c r="P389" s="95"/>
      <c r="Q389" s="322"/>
      <c r="R389" s="322"/>
      <c r="S389" s="322"/>
      <c r="T389" s="322"/>
      <c r="U389" s="322"/>
      <c r="V389" s="322"/>
      <c r="W389" s="322"/>
      <c r="X389" s="322"/>
      <c r="Y389" s="322"/>
      <c r="Z389" s="322"/>
      <c r="AA389" s="322"/>
      <c r="AB389" s="15"/>
      <c r="AF389" s="15"/>
      <c r="AG389" s="15"/>
      <c r="AH389" s="15"/>
      <c r="AI389" s="15"/>
      <c r="AJ389" s="15"/>
      <c r="AK389" s="15"/>
      <c r="AL389" s="15"/>
      <c r="AM389" s="15"/>
      <c r="AN389" s="15"/>
      <c r="AO389" s="15"/>
      <c r="AP389" s="73"/>
      <c r="AQ389" s="15"/>
      <c r="AR389" s="15"/>
      <c r="AS389" s="15"/>
      <c r="AT389" s="15"/>
      <c r="AU389" s="15"/>
      <c r="AV389" s="15"/>
      <c r="AW389" s="15"/>
      <c r="AX389" s="74"/>
    </row>
    <row r="390" spans="1:50" s="79" customFormat="1" ht="12">
      <c r="A390" s="298"/>
      <c r="B390" s="160"/>
      <c r="C390" s="161"/>
      <c r="D390" s="15"/>
      <c r="E390" s="15"/>
      <c r="F390" s="15"/>
      <c r="G390" s="15"/>
      <c r="H390" s="15"/>
      <c r="I390" s="15"/>
      <c r="J390" s="15"/>
      <c r="K390" s="15"/>
      <c r="L390" s="297"/>
      <c r="O390" s="102" t="s">
        <v>765</v>
      </c>
      <c r="P390" s="95"/>
      <c r="Q390" s="322"/>
      <c r="R390" s="322"/>
      <c r="S390" s="322"/>
      <c r="T390" s="322"/>
      <c r="U390" s="322"/>
      <c r="V390" s="322"/>
      <c r="W390" s="322"/>
      <c r="X390" s="322"/>
      <c r="Y390" s="322"/>
      <c r="Z390" s="322"/>
      <c r="AA390" s="322"/>
      <c r="AB390" s="15"/>
      <c r="AC390" s="15"/>
      <c r="AD390" s="15"/>
      <c r="AE390" s="15"/>
      <c r="AF390" s="15"/>
      <c r="AG390" s="15"/>
      <c r="AH390" s="15"/>
      <c r="AI390" s="15"/>
      <c r="AJ390" s="15"/>
      <c r="AK390" s="15"/>
      <c r="AL390" s="15"/>
      <c r="AM390" s="15"/>
      <c r="AN390" s="15"/>
      <c r="AO390" s="15"/>
      <c r="AP390" s="73"/>
      <c r="AQ390" s="15"/>
      <c r="AR390" s="15"/>
      <c r="AS390" s="15"/>
      <c r="AT390" s="15"/>
      <c r="AU390" s="15"/>
      <c r="AV390" s="15"/>
      <c r="AW390" s="15"/>
      <c r="AX390" s="74"/>
    </row>
    <row r="391" spans="1:50" s="79" customFormat="1" ht="12">
      <c r="A391" s="298"/>
      <c r="B391" s="160"/>
      <c r="C391" s="161"/>
      <c r="D391" s="15"/>
      <c r="E391" s="15"/>
      <c r="F391" s="15"/>
      <c r="G391" s="15"/>
      <c r="H391" s="15"/>
      <c r="I391" s="15"/>
      <c r="J391" s="15"/>
      <c r="K391" s="15"/>
      <c r="L391" s="297"/>
      <c r="N391" s="293"/>
      <c r="O391" s="102" t="s">
        <v>778</v>
      </c>
      <c r="P391" s="95"/>
      <c r="Q391" s="322"/>
      <c r="R391" s="322"/>
      <c r="S391" s="322"/>
      <c r="T391" s="322"/>
      <c r="U391" s="322"/>
      <c r="V391" s="322"/>
      <c r="W391" s="322"/>
      <c r="X391" s="322"/>
      <c r="Y391" s="322"/>
      <c r="Z391" s="322"/>
      <c r="AA391" s="322"/>
      <c r="AB391" s="15"/>
      <c r="AC391" s="15"/>
      <c r="AD391" s="15"/>
      <c r="AE391" s="15"/>
      <c r="AF391" s="15"/>
      <c r="AG391" s="15"/>
      <c r="AH391" s="15"/>
      <c r="AI391" s="15"/>
      <c r="AJ391" s="15"/>
      <c r="AK391" s="15"/>
      <c r="AL391" s="15"/>
      <c r="AM391" s="15"/>
      <c r="AN391" s="15"/>
      <c r="AO391" s="15"/>
      <c r="AP391" s="73"/>
      <c r="AQ391" s="15"/>
      <c r="AR391" s="15"/>
      <c r="AS391" s="15"/>
      <c r="AT391" s="15"/>
      <c r="AU391" s="15"/>
      <c r="AV391" s="15"/>
      <c r="AW391" s="15"/>
      <c r="AX391" s="74"/>
    </row>
    <row r="392" spans="1:50" s="79" customFormat="1" ht="12">
      <c r="A392" s="298"/>
      <c r="B392" s="354"/>
      <c r="C392" s="355"/>
      <c r="D392" s="15"/>
      <c r="E392" s="15"/>
      <c r="F392" s="15"/>
      <c r="G392" s="15"/>
      <c r="H392" s="15"/>
      <c r="I392" s="15"/>
      <c r="J392" s="15"/>
      <c r="K392" s="15"/>
      <c r="L392" s="297"/>
      <c r="O392" s="299"/>
      <c r="P392" s="299"/>
      <c r="Q392" s="102"/>
      <c r="R392" s="320"/>
      <c r="S392" s="320"/>
      <c r="T392" s="320"/>
      <c r="U392" s="97"/>
      <c r="V392" s="97"/>
      <c r="W392" s="97"/>
      <c r="X392" s="97"/>
      <c r="Y392" s="299"/>
      <c r="Z392" s="321"/>
      <c r="AA392" s="321"/>
      <c r="AB392" s="321"/>
      <c r="AC392" s="321"/>
      <c r="AD392" s="321"/>
      <c r="AE392" s="321"/>
      <c r="AF392" s="321"/>
      <c r="AG392" s="321"/>
      <c r="AH392" s="321"/>
      <c r="AI392" s="321"/>
      <c r="AJ392" s="321"/>
      <c r="AK392" s="321"/>
      <c r="AL392" s="321"/>
      <c r="AM392" s="321"/>
      <c r="AN392" s="321"/>
      <c r="AO392" s="321"/>
      <c r="AP392" s="73"/>
      <c r="AQ392" s="15"/>
      <c r="AR392" s="15"/>
      <c r="AS392" s="15"/>
      <c r="AT392" s="15"/>
      <c r="AU392" s="15"/>
      <c r="AV392" s="15"/>
      <c r="AW392" s="15"/>
      <c r="AX392" s="74"/>
    </row>
    <row r="393" spans="1:50" s="79" customFormat="1" ht="12">
      <c r="A393" s="298"/>
      <c r="B393" s="160"/>
      <c r="C393" s="161"/>
      <c r="D393" s="15"/>
      <c r="E393" s="15"/>
      <c r="F393" s="15"/>
      <c r="G393" s="15"/>
      <c r="H393" s="15"/>
      <c r="I393" s="15"/>
      <c r="J393" s="15"/>
      <c r="K393" s="15"/>
      <c r="L393" s="297"/>
      <c r="N393" s="293" t="s">
        <v>780</v>
      </c>
      <c r="O393" s="299" t="s">
        <v>766</v>
      </c>
      <c r="P393" s="102"/>
      <c r="Q393" s="320"/>
      <c r="R393" s="320"/>
      <c r="S393" s="320"/>
      <c r="T393" s="97"/>
      <c r="U393" s="97"/>
      <c r="V393" s="97"/>
      <c r="W393" s="97"/>
      <c r="X393" s="320"/>
      <c r="Y393" s="299"/>
      <c r="Z393" s="321"/>
      <c r="AA393" s="321"/>
      <c r="AB393" s="321"/>
      <c r="AC393" s="321"/>
      <c r="AD393" s="321"/>
      <c r="AE393" s="321"/>
      <c r="AF393" s="321"/>
      <c r="AG393" s="321"/>
      <c r="AH393" s="321"/>
      <c r="AI393" s="321"/>
      <c r="AJ393" s="321"/>
      <c r="AK393" s="321"/>
      <c r="AL393" s="321"/>
      <c r="AM393" s="321"/>
      <c r="AN393" s="321"/>
      <c r="AO393" s="321"/>
      <c r="AP393" s="73"/>
      <c r="AQ393" s="15"/>
      <c r="AR393" s="15"/>
      <c r="AS393" s="15"/>
      <c r="AT393" s="15"/>
      <c r="AU393" s="15"/>
      <c r="AV393" s="15"/>
      <c r="AW393" s="15"/>
      <c r="AX393" s="74"/>
    </row>
    <row r="394" spans="1:50" s="79" customFormat="1" ht="12">
      <c r="A394" s="298"/>
      <c r="B394" s="160"/>
      <c r="C394" s="161"/>
      <c r="D394" s="15"/>
      <c r="E394" s="15"/>
      <c r="F394" s="15"/>
      <c r="G394" s="15"/>
      <c r="H394" s="15"/>
      <c r="I394" s="15"/>
      <c r="J394" s="15"/>
      <c r="K394" s="15"/>
      <c r="L394" s="297"/>
      <c r="N394" s="299"/>
      <c r="O394" s="299" t="s">
        <v>680</v>
      </c>
      <c r="P394" s="102"/>
      <c r="Q394" s="320"/>
      <c r="R394" s="320"/>
      <c r="S394" s="320"/>
      <c r="T394" s="97"/>
      <c r="U394" s="97"/>
      <c r="V394" s="97"/>
      <c r="W394" s="97"/>
      <c r="X394" s="320"/>
      <c r="Y394" s="299"/>
      <c r="Z394" s="321"/>
      <c r="AA394" s="321"/>
      <c r="AB394" s="321"/>
      <c r="AC394" s="321"/>
      <c r="AD394" s="321"/>
      <c r="AE394" s="321"/>
      <c r="AF394" s="321"/>
      <c r="AG394" s="321"/>
      <c r="AH394" s="321"/>
      <c r="AI394" s="321"/>
      <c r="AJ394" s="321"/>
      <c r="AK394" s="321"/>
      <c r="AL394" s="321"/>
      <c r="AM394" s="321"/>
      <c r="AN394" s="321"/>
      <c r="AO394" s="321"/>
      <c r="AP394" s="73"/>
      <c r="AQ394" s="15"/>
      <c r="AR394" s="15"/>
      <c r="AS394" s="15"/>
      <c r="AT394" s="15"/>
      <c r="AU394" s="15"/>
      <c r="AV394" s="15"/>
      <c r="AW394" s="15"/>
      <c r="AX394" s="74"/>
    </row>
    <row r="395" spans="1:50" s="79" customFormat="1" ht="12">
      <c r="A395" s="298"/>
      <c r="B395" s="160"/>
      <c r="C395" s="161"/>
      <c r="D395" s="15"/>
      <c r="E395" s="15"/>
      <c r="F395" s="15"/>
      <c r="G395" s="15"/>
      <c r="H395" s="15"/>
      <c r="I395" s="15"/>
      <c r="J395" s="15"/>
      <c r="K395" s="15"/>
      <c r="L395" s="297"/>
      <c r="N395" s="299"/>
      <c r="O395" s="299"/>
      <c r="P395" s="102"/>
      <c r="Q395" s="320"/>
      <c r="R395" s="320"/>
      <c r="S395" s="320"/>
      <c r="T395" s="97"/>
      <c r="U395" s="97"/>
      <c r="V395" s="97"/>
      <c r="W395" s="97"/>
      <c r="X395" s="320"/>
      <c r="Y395" s="299"/>
      <c r="Z395" s="321"/>
      <c r="AA395" s="321"/>
      <c r="AB395" s="321"/>
      <c r="AC395" s="321"/>
      <c r="AD395" s="321"/>
      <c r="AE395" s="321"/>
      <c r="AF395" s="321"/>
      <c r="AG395" s="321"/>
      <c r="AH395" s="321"/>
      <c r="AI395" s="321"/>
      <c r="AJ395" s="321"/>
      <c r="AK395" s="321"/>
      <c r="AL395" s="321"/>
      <c r="AM395" s="321"/>
      <c r="AN395" s="321"/>
      <c r="AO395" s="321"/>
      <c r="AP395" s="73"/>
      <c r="AQ395" s="15"/>
      <c r="AR395" s="15"/>
      <c r="AS395" s="15"/>
      <c r="AT395" s="15"/>
      <c r="AU395" s="15"/>
      <c r="AV395" s="15"/>
      <c r="AW395" s="15"/>
      <c r="AX395" s="74"/>
    </row>
    <row r="396" spans="1:50" s="79" customFormat="1" ht="12">
      <c r="A396" s="298"/>
      <c r="B396" s="160"/>
      <c r="C396" s="161"/>
      <c r="D396" s="15"/>
      <c r="E396" s="15"/>
      <c r="F396" s="15"/>
      <c r="G396" s="15"/>
      <c r="H396" s="15"/>
      <c r="I396" s="15"/>
      <c r="J396" s="15"/>
      <c r="K396" s="15"/>
      <c r="L396" s="297"/>
      <c r="N396" s="102" t="s">
        <v>767</v>
      </c>
      <c r="O396" s="299"/>
      <c r="P396" s="322"/>
      <c r="Q396" s="322"/>
      <c r="R396" s="322"/>
      <c r="S396" s="322"/>
      <c r="T396" s="322"/>
      <c r="U396" s="322"/>
      <c r="V396" s="322"/>
      <c r="W396" s="322"/>
      <c r="X396" s="322"/>
      <c r="Y396" s="322"/>
      <c r="Z396" s="322"/>
      <c r="AA396" s="322"/>
      <c r="AB396" s="15"/>
      <c r="AC396" s="15"/>
      <c r="AD396" s="15"/>
      <c r="AE396" s="15"/>
      <c r="AF396" s="15"/>
      <c r="AG396" s="15"/>
      <c r="AH396" s="15"/>
      <c r="AI396" s="15"/>
      <c r="AJ396" s="15"/>
      <c r="AK396" s="15"/>
      <c r="AL396" s="15"/>
      <c r="AM396" s="15"/>
      <c r="AN396" s="15"/>
      <c r="AO396" s="15"/>
      <c r="AP396" s="73"/>
      <c r="AQ396" s="15"/>
      <c r="AR396" s="15"/>
      <c r="AS396" s="15"/>
      <c r="AT396" s="15"/>
      <c r="AU396" s="15"/>
      <c r="AV396" s="15"/>
      <c r="AW396" s="15"/>
      <c r="AX396" s="74"/>
    </row>
    <row r="397" spans="1:50" s="79" customFormat="1" ht="12">
      <c r="A397" s="298"/>
      <c r="B397" s="160"/>
      <c r="C397" s="161"/>
      <c r="D397" s="15"/>
      <c r="E397" s="15"/>
      <c r="F397" s="15"/>
      <c r="G397" s="15"/>
      <c r="H397" s="15"/>
      <c r="I397" s="15"/>
      <c r="J397" s="15"/>
      <c r="K397" s="15"/>
      <c r="L397" s="297"/>
      <c r="M397" s="299"/>
      <c r="N397" s="15"/>
      <c r="O397" s="9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73"/>
      <c r="AQ397" s="15"/>
      <c r="AR397" s="15"/>
      <c r="AS397" s="15"/>
      <c r="AT397" s="15"/>
      <c r="AU397" s="15"/>
      <c r="AV397" s="15"/>
      <c r="AW397" s="15"/>
      <c r="AX397" s="74"/>
    </row>
    <row r="398" spans="1:50" s="79" customFormat="1" ht="12">
      <c r="A398" s="298"/>
      <c r="B398" s="162"/>
      <c r="C398" s="163"/>
      <c r="D398" s="286"/>
      <c r="E398" s="286"/>
      <c r="F398" s="286"/>
      <c r="G398" s="286"/>
      <c r="H398" s="286"/>
      <c r="I398" s="286"/>
      <c r="J398" s="286"/>
      <c r="K398" s="286"/>
      <c r="L398" s="300"/>
      <c r="M398" s="286"/>
      <c r="N398" s="286"/>
      <c r="O398" s="95"/>
      <c r="P398" s="286"/>
      <c r="Q398" s="286"/>
      <c r="R398" s="286"/>
      <c r="S398" s="286"/>
      <c r="T398" s="286"/>
      <c r="U398" s="286"/>
      <c r="V398" s="286"/>
      <c r="W398" s="286"/>
      <c r="X398" s="286"/>
      <c r="Y398" s="286"/>
      <c r="Z398" s="286"/>
      <c r="AA398" s="286"/>
      <c r="AB398" s="286"/>
      <c r="AC398" s="286"/>
      <c r="AD398" s="286"/>
      <c r="AE398" s="286"/>
      <c r="AF398" s="286"/>
      <c r="AG398" s="286"/>
      <c r="AH398" s="286"/>
      <c r="AI398" s="286"/>
      <c r="AJ398" s="286"/>
      <c r="AK398" s="286"/>
      <c r="AL398" s="286"/>
      <c r="AM398" s="286"/>
      <c r="AN398" s="286"/>
      <c r="AO398" s="286"/>
      <c r="AP398" s="287"/>
      <c r="AQ398" s="286"/>
      <c r="AR398" s="286"/>
      <c r="AS398" s="286"/>
      <c r="AT398" s="286"/>
      <c r="AU398" s="286"/>
      <c r="AV398" s="286"/>
      <c r="AW398" s="286"/>
      <c r="AX398" s="301"/>
    </row>
    <row r="399" spans="1:50" s="79" customFormat="1" ht="12">
      <c r="A399" s="298"/>
      <c r="B399" s="1007" t="s">
        <v>769</v>
      </c>
      <c r="C399" s="1008"/>
      <c r="D399" s="15"/>
      <c r="E399" s="15"/>
      <c r="F399" s="15"/>
      <c r="G399" s="15"/>
      <c r="H399" s="15"/>
      <c r="I399" s="15"/>
      <c r="J399" s="15"/>
      <c r="K399" s="15"/>
      <c r="L399" s="329" t="s">
        <v>895</v>
      </c>
      <c r="M399" s="37" t="s">
        <v>768</v>
      </c>
      <c r="N399" s="37"/>
      <c r="O399" s="38"/>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282"/>
      <c r="AQ399" s="15"/>
      <c r="AR399" s="15"/>
      <c r="AS399" s="15"/>
      <c r="AT399" s="15"/>
      <c r="AU399" s="15"/>
      <c r="AV399" s="15"/>
      <c r="AW399" s="15"/>
      <c r="AX399" s="74"/>
    </row>
    <row r="400" spans="1:50" s="79" customFormat="1" ht="12">
      <c r="A400" s="298"/>
      <c r="B400" s="160"/>
      <c r="C400" s="161"/>
      <c r="D400" s="15"/>
      <c r="E400" s="15"/>
      <c r="F400" s="15"/>
      <c r="G400" s="15"/>
      <c r="H400" s="15"/>
      <c r="I400" s="15"/>
      <c r="J400" s="15"/>
      <c r="K400" s="15"/>
      <c r="L400" s="297"/>
      <c r="M400" s="299" t="s">
        <v>680</v>
      </c>
      <c r="N400" s="9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73"/>
      <c r="AQ400" s="15"/>
      <c r="AR400" s="15"/>
      <c r="AS400" s="15"/>
      <c r="AT400" s="15"/>
      <c r="AU400" s="15"/>
      <c r="AV400" s="15"/>
      <c r="AW400" s="15"/>
      <c r="AX400" s="74"/>
    </row>
    <row r="401" spans="1:50" s="79" customFormat="1" ht="12">
      <c r="A401" s="298"/>
      <c r="B401" s="160"/>
      <c r="C401" s="161"/>
      <c r="D401" s="15"/>
      <c r="E401" s="15"/>
      <c r="F401" s="15"/>
      <c r="G401" s="15"/>
      <c r="H401" s="15"/>
      <c r="I401" s="15"/>
      <c r="J401" s="15"/>
      <c r="K401" s="15"/>
      <c r="L401" s="297"/>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73"/>
      <c r="AQ401" s="15"/>
      <c r="AR401" s="15"/>
      <c r="AS401" s="15"/>
      <c r="AT401" s="15"/>
      <c r="AU401" s="15"/>
      <c r="AV401" s="15"/>
      <c r="AW401" s="15"/>
      <c r="AX401" s="74"/>
    </row>
    <row r="402" spans="1:50" s="79" customFormat="1" ht="12">
      <c r="A402" s="298"/>
      <c r="B402" s="160"/>
      <c r="C402" s="161"/>
      <c r="D402" s="15"/>
      <c r="E402" s="15"/>
      <c r="F402" s="15"/>
      <c r="G402" s="15"/>
      <c r="H402" s="15"/>
      <c r="I402" s="15"/>
      <c r="J402" s="15"/>
      <c r="K402" s="15"/>
      <c r="L402" s="297"/>
      <c r="M402" s="15"/>
      <c r="N402" s="9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73"/>
      <c r="AQ402" s="15"/>
      <c r="AR402" s="15"/>
      <c r="AS402" s="15"/>
      <c r="AT402" s="15"/>
      <c r="AU402" s="15"/>
      <c r="AV402" s="15"/>
      <c r="AW402" s="15"/>
      <c r="AX402" s="74"/>
    </row>
    <row r="403" spans="1:50" s="283" customFormat="1" ht="12">
      <c r="A403" s="339"/>
      <c r="B403" s="1011"/>
      <c r="C403" s="1012"/>
      <c r="D403" s="322"/>
      <c r="E403" s="322"/>
      <c r="F403" s="322"/>
      <c r="G403" s="322"/>
      <c r="H403" s="322"/>
      <c r="I403" s="322"/>
      <c r="J403" s="322"/>
      <c r="K403" s="322"/>
      <c r="L403" s="325"/>
      <c r="M403" s="324"/>
      <c r="N403" s="324"/>
      <c r="O403" s="324"/>
      <c r="P403" s="324"/>
      <c r="Q403" s="324"/>
      <c r="R403" s="324"/>
      <c r="S403" s="324"/>
      <c r="T403" s="324"/>
      <c r="U403" s="324"/>
      <c r="V403" s="324"/>
      <c r="W403" s="324"/>
      <c r="X403" s="324"/>
      <c r="Y403" s="324"/>
      <c r="Z403" s="324"/>
      <c r="AA403" s="324"/>
      <c r="AB403" s="324"/>
      <c r="AC403" s="324"/>
      <c r="AD403" s="324"/>
      <c r="AE403" s="324"/>
      <c r="AF403" s="324"/>
      <c r="AG403" s="324"/>
      <c r="AH403" s="324"/>
      <c r="AI403" s="324"/>
      <c r="AJ403" s="324"/>
      <c r="AK403" s="324"/>
      <c r="AL403" s="324"/>
      <c r="AM403" s="324"/>
      <c r="AN403" s="324"/>
      <c r="AO403" s="324"/>
      <c r="AP403" s="326"/>
      <c r="AQ403" s="322"/>
      <c r="AR403" s="322"/>
      <c r="AS403" s="322"/>
      <c r="AT403" s="322"/>
      <c r="AU403" s="322"/>
      <c r="AV403" s="322"/>
      <c r="AW403" s="322"/>
      <c r="AX403" s="340"/>
    </row>
    <row r="404" spans="1:50" s="79" customFormat="1" ht="12">
      <c r="A404" s="294" t="s">
        <v>896</v>
      </c>
      <c r="B404" s="75" t="s">
        <v>897</v>
      </c>
      <c r="C404" s="76"/>
      <c r="D404" s="76"/>
      <c r="E404" s="76"/>
      <c r="F404" s="76"/>
      <c r="G404" s="76"/>
      <c r="H404" s="76"/>
      <c r="I404" s="76"/>
      <c r="J404" s="76"/>
      <c r="K404" s="76"/>
      <c r="L404" s="328"/>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7"/>
    </row>
    <row r="405" spans="1:50" s="79" customFormat="1" ht="12">
      <c r="A405" s="298"/>
      <c r="B405" s="1007" t="s">
        <v>772</v>
      </c>
      <c r="C405" s="1008"/>
      <c r="D405" s="15"/>
      <c r="E405" s="15"/>
      <c r="F405" s="15"/>
      <c r="G405" s="15"/>
      <c r="H405" s="15"/>
      <c r="I405" s="15"/>
      <c r="J405" s="15"/>
      <c r="K405" s="15"/>
      <c r="L405" s="329" t="s">
        <v>900</v>
      </c>
      <c r="M405" t="s">
        <v>1308</v>
      </c>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282"/>
      <c r="AQ405" s="15"/>
      <c r="AR405" s="15"/>
      <c r="AS405" s="15"/>
      <c r="AT405" s="15"/>
      <c r="AU405" s="15"/>
      <c r="AV405" s="15"/>
      <c r="AW405" s="15"/>
      <c r="AX405" s="74"/>
    </row>
    <row r="406" spans="1:50" s="79" customFormat="1" ht="12">
      <c r="A406" s="298"/>
      <c r="B406" s="354"/>
      <c r="C406" s="355"/>
      <c r="D406" s="15"/>
      <c r="E406" s="15"/>
      <c r="F406" s="15"/>
      <c r="G406" s="15"/>
      <c r="H406" s="15"/>
      <c r="I406" s="15"/>
      <c r="J406" s="15"/>
      <c r="K406" s="15"/>
      <c r="L406" s="297"/>
      <c r="M406" s="299" t="s">
        <v>901</v>
      </c>
      <c r="N406" s="15"/>
      <c r="O406" s="15"/>
      <c r="P406" s="15"/>
      <c r="Q406" s="15"/>
      <c r="R406" s="15"/>
      <c r="S406" s="15"/>
      <c r="T406" s="95"/>
      <c r="U406" s="15"/>
      <c r="V406" s="15"/>
      <c r="W406" s="15"/>
      <c r="X406" s="15"/>
      <c r="Y406" s="15"/>
      <c r="Z406" s="15"/>
      <c r="AA406" s="15"/>
      <c r="AB406" s="15"/>
      <c r="AC406" s="15"/>
      <c r="AD406" s="15"/>
      <c r="AE406" s="15"/>
      <c r="AF406" s="15"/>
      <c r="AG406" s="15"/>
      <c r="AH406" s="15"/>
      <c r="AI406" s="15"/>
      <c r="AJ406" s="15"/>
      <c r="AK406" s="15"/>
      <c r="AL406" s="15"/>
      <c r="AM406" s="15"/>
      <c r="AN406" s="15"/>
      <c r="AO406" s="15"/>
      <c r="AP406" s="73"/>
      <c r="AQ406" s="15"/>
      <c r="AR406" s="15"/>
      <c r="AS406" s="15"/>
      <c r="AT406" s="15"/>
      <c r="AU406" s="15"/>
      <c r="AV406" s="15"/>
      <c r="AW406" s="15"/>
      <c r="AX406" s="74"/>
    </row>
    <row r="407" spans="1:50" s="79" customFormat="1" ht="12">
      <c r="A407" s="298"/>
      <c r="B407" s="354"/>
      <c r="C407" s="355"/>
      <c r="D407" s="15"/>
      <c r="E407" s="15"/>
      <c r="F407" s="15"/>
      <c r="G407" s="15"/>
      <c r="H407" s="15"/>
      <c r="I407" s="15"/>
      <c r="J407" s="15"/>
      <c r="K407" s="15"/>
      <c r="L407" s="297"/>
      <c r="M407"/>
      <c r="N407" s="15"/>
      <c r="O407" s="15"/>
      <c r="P407" s="15"/>
      <c r="Q407" s="15"/>
      <c r="R407" s="15"/>
      <c r="S407" s="15"/>
      <c r="T407" s="95"/>
      <c r="U407" s="15"/>
      <c r="V407" s="15"/>
      <c r="W407" s="15"/>
      <c r="X407" s="15"/>
      <c r="Y407" s="15"/>
      <c r="Z407" s="15"/>
      <c r="AA407" s="15"/>
      <c r="AB407" s="15"/>
      <c r="AC407" s="15"/>
      <c r="AD407" s="15"/>
      <c r="AE407" s="15"/>
      <c r="AF407" s="15"/>
      <c r="AG407" s="15"/>
      <c r="AH407" s="15"/>
      <c r="AI407" s="15"/>
      <c r="AJ407" s="15"/>
      <c r="AK407" s="15"/>
      <c r="AL407" s="15"/>
      <c r="AM407" s="15"/>
      <c r="AN407" s="15"/>
      <c r="AO407" s="15"/>
      <c r="AP407" s="73"/>
      <c r="AQ407" s="15"/>
      <c r="AR407" s="15"/>
      <c r="AS407" s="15"/>
      <c r="AT407" s="15"/>
      <c r="AU407" s="15"/>
      <c r="AV407" s="15"/>
      <c r="AW407" s="15"/>
      <c r="AX407" s="74"/>
    </row>
    <row r="408" spans="1:50" s="79" customFormat="1" ht="12">
      <c r="A408" s="298"/>
      <c r="B408" s="354"/>
      <c r="C408" s="355"/>
      <c r="D408" s="15"/>
      <c r="E408" s="15"/>
      <c r="F408" s="15"/>
      <c r="G408" s="15"/>
      <c r="H408" s="15"/>
      <c r="I408" s="15"/>
      <c r="J408" s="15"/>
      <c r="K408" s="15"/>
      <c r="L408" s="297" t="s">
        <v>902</v>
      </c>
      <c r="M408" t="s">
        <v>1309</v>
      </c>
      <c r="N408" s="15"/>
      <c r="O408" s="15"/>
      <c r="P408" s="15"/>
      <c r="Q408" s="15"/>
      <c r="R408" s="15"/>
      <c r="S408" s="15"/>
      <c r="T408" s="95"/>
      <c r="U408" s="15"/>
      <c r="V408" s="15"/>
      <c r="W408" s="15"/>
      <c r="X408" s="15"/>
      <c r="Y408" s="15"/>
      <c r="Z408" s="15"/>
      <c r="AA408" s="15"/>
      <c r="AB408" s="15"/>
      <c r="AC408" s="15"/>
      <c r="AD408" s="15"/>
      <c r="AE408" s="15"/>
      <c r="AF408" s="15"/>
      <c r="AG408" s="15"/>
      <c r="AH408" s="15"/>
      <c r="AI408" s="15"/>
      <c r="AJ408" s="15"/>
      <c r="AK408" s="15"/>
      <c r="AL408" s="15"/>
      <c r="AM408" s="15"/>
      <c r="AN408" s="15"/>
      <c r="AO408" s="15"/>
      <c r="AP408" s="73"/>
      <c r="AQ408" s="15"/>
      <c r="AR408" s="15"/>
      <c r="AS408" s="15"/>
      <c r="AT408" s="15"/>
      <c r="AU408" s="15"/>
      <c r="AV408" s="15"/>
      <c r="AW408" s="15"/>
      <c r="AX408" s="74"/>
    </row>
    <row r="409" spans="1:50" s="79" customFormat="1" ht="12">
      <c r="A409" s="298"/>
      <c r="B409" s="354"/>
      <c r="C409" s="355"/>
      <c r="D409" s="15"/>
      <c r="E409" s="15"/>
      <c r="F409" s="15"/>
      <c r="G409" s="15"/>
      <c r="H409" s="15"/>
      <c r="I409" s="15"/>
      <c r="J409" s="15"/>
      <c r="K409" s="15"/>
      <c r="L409" s="297"/>
      <c r="M409" s="299"/>
      <c r="N409" s="15"/>
      <c r="O409" s="15"/>
      <c r="P409" s="15"/>
      <c r="Q409" s="15"/>
      <c r="R409" s="15"/>
      <c r="S409" s="15"/>
      <c r="T409" s="95"/>
      <c r="U409" s="15"/>
      <c r="V409" s="15"/>
      <c r="W409" s="15"/>
      <c r="X409" s="15"/>
      <c r="Y409" s="15"/>
      <c r="Z409" s="15"/>
      <c r="AA409" s="15"/>
      <c r="AB409" s="15"/>
      <c r="AC409" s="15"/>
      <c r="AD409" s="15"/>
      <c r="AE409" s="15"/>
      <c r="AF409" s="15"/>
      <c r="AG409" s="15"/>
      <c r="AH409" s="15"/>
      <c r="AI409" s="15"/>
      <c r="AJ409" s="15"/>
      <c r="AK409" s="15"/>
      <c r="AL409" s="15"/>
      <c r="AM409" s="15"/>
      <c r="AN409" s="15"/>
      <c r="AO409" s="15"/>
      <c r="AP409" s="73"/>
      <c r="AQ409" s="15"/>
      <c r="AR409" s="15"/>
      <c r="AS409" s="15"/>
      <c r="AT409" s="15"/>
      <c r="AU409" s="15"/>
      <c r="AV409" s="15"/>
      <c r="AW409" s="15"/>
      <c r="AX409" s="74"/>
    </row>
    <row r="410" spans="1:50" s="79" customFormat="1" ht="12">
      <c r="A410" s="298"/>
      <c r="B410" s="354"/>
      <c r="C410" s="355"/>
      <c r="D410" s="72"/>
      <c r="E410" s="15"/>
      <c r="F410" s="15"/>
      <c r="G410" s="15"/>
      <c r="H410" s="15"/>
      <c r="I410" s="15"/>
      <c r="J410" s="15"/>
      <c r="K410" s="73"/>
      <c r="L410" s="299"/>
      <c r="M410" s="293" t="s">
        <v>903</v>
      </c>
      <c r="N410" s="15" t="s">
        <v>904</v>
      </c>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73"/>
      <c r="AQ410" s="15"/>
      <c r="AR410" s="15"/>
      <c r="AS410" s="15"/>
      <c r="AT410" s="15"/>
      <c r="AU410" s="15"/>
      <c r="AV410" s="15"/>
      <c r="AW410" s="15"/>
      <c r="AX410" s="74"/>
    </row>
    <row r="411" spans="1:50" s="79" customFormat="1" ht="12">
      <c r="A411" s="298"/>
      <c r="B411" s="354"/>
      <c r="C411" s="355"/>
      <c r="D411" s="72"/>
      <c r="E411" s="15"/>
      <c r="F411" s="15"/>
      <c r="G411" s="15"/>
      <c r="H411" s="15"/>
      <c r="I411" s="15"/>
      <c r="J411" s="15"/>
      <c r="K411" s="73"/>
      <c r="L411" s="299"/>
      <c r="M411" s="15"/>
      <c r="N411" s="15" t="s">
        <v>901</v>
      </c>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73"/>
      <c r="AQ411" s="15"/>
      <c r="AR411" s="15"/>
      <c r="AS411" s="15"/>
      <c r="AT411" s="15"/>
      <c r="AU411" s="15"/>
      <c r="AV411" s="15"/>
      <c r="AW411" s="15"/>
      <c r="AX411" s="74"/>
    </row>
    <row r="412" spans="1:50" s="79" customFormat="1" ht="12">
      <c r="A412" s="298"/>
      <c r="B412" s="354"/>
      <c r="C412" s="355"/>
      <c r="D412" s="72"/>
      <c r="E412" s="15"/>
      <c r="F412" s="15"/>
      <c r="G412" s="15"/>
      <c r="H412" s="15"/>
      <c r="I412" s="15"/>
      <c r="J412" s="15"/>
      <c r="K412" s="73"/>
      <c r="L412" s="299"/>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95"/>
      <c r="AP412" s="73"/>
      <c r="AQ412" s="15"/>
      <c r="AR412" s="15"/>
      <c r="AS412" s="15"/>
      <c r="AT412" s="15"/>
      <c r="AU412" s="15"/>
      <c r="AV412" s="15"/>
      <c r="AW412" s="15"/>
      <c r="AX412" s="74"/>
    </row>
    <row r="413" spans="1:50" s="79" customFormat="1" ht="12">
      <c r="A413" s="298"/>
      <c r="B413" s="354"/>
      <c r="C413" s="355"/>
      <c r="D413" s="15"/>
      <c r="E413" s="15"/>
      <c r="F413" s="15"/>
      <c r="G413" s="15"/>
      <c r="H413" s="15"/>
      <c r="I413" s="15"/>
      <c r="J413" s="15"/>
      <c r="K413" s="15"/>
      <c r="L413" s="297"/>
      <c r="M413" s="293" t="s">
        <v>905</v>
      </c>
      <c r="N413" s="15" t="s">
        <v>906</v>
      </c>
      <c r="O413" s="9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73"/>
      <c r="AQ413" s="15"/>
      <c r="AR413" s="15"/>
      <c r="AS413" s="15"/>
      <c r="AT413" s="15"/>
      <c r="AU413" s="15"/>
      <c r="AV413" s="15"/>
      <c r="AW413" s="15"/>
      <c r="AX413" s="74"/>
    </row>
    <row r="414" spans="1:50" s="79" customFormat="1" ht="12">
      <c r="A414" s="298"/>
      <c r="B414" s="354"/>
      <c r="C414" s="355"/>
      <c r="D414" s="72"/>
      <c r="E414" s="15"/>
      <c r="F414" s="15"/>
      <c r="G414" s="15"/>
      <c r="H414" s="15"/>
      <c r="I414" s="15"/>
      <c r="J414" s="15"/>
      <c r="K414" s="73"/>
      <c r="L414" s="299"/>
      <c r="M414" s="15"/>
      <c r="N414" s="15" t="s">
        <v>901</v>
      </c>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95"/>
      <c r="AP414" s="73"/>
      <c r="AQ414" s="15"/>
      <c r="AR414" s="15"/>
      <c r="AS414" s="15"/>
      <c r="AT414" s="15"/>
      <c r="AU414" s="15"/>
      <c r="AV414" s="15"/>
      <c r="AW414" s="15"/>
      <c r="AX414" s="74"/>
    </row>
    <row r="415" spans="1:50" s="79" customFormat="1" ht="12">
      <c r="A415" s="298"/>
      <c r="B415" s="354"/>
      <c r="C415" s="355"/>
      <c r="D415" s="72"/>
      <c r="E415" s="15"/>
      <c r="F415" s="15"/>
      <c r="G415" s="15"/>
      <c r="H415" s="15"/>
      <c r="I415" s="15"/>
      <c r="J415" s="15"/>
      <c r="K415" s="73"/>
      <c r="L415" s="299"/>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95"/>
      <c r="AP415" s="73"/>
      <c r="AQ415" s="15"/>
      <c r="AR415" s="15"/>
      <c r="AS415" s="15"/>
      <c r="AT415" s="15"/>
      <c r="AU415" s="15"/>
      <c r="AV415" s="15"/>
      <c r="AW415" s="15"/>
      <c r="AX415" s="74"/>
    </row>
    <row r="416" spans="1:50" s="79" customFormat="1" ht="12">
      <c r="A416" s="298"/>
      <c r="B416" s="354"/>
      <c r="C416" s="355"/>
      <c r="D416" s="15"/>
      <c r="E416" s="15"/>
      <c r="F416" s="15"/>
      <c r="G416" s="15"/>
      <c r="H416" s="15"/>
      <c r="I416" s="15"/>
      <c r="J416" s="15"/>
      <c r="K416" s="15"/>
      <c r="L416" s="297"/>
      <c r="M416" s="293" t="s">
        <v>907</v>
      </c>
      <c r="N416" s="15" t="s">
        <v>908</v>
      </c>
      <c r="O416" s="9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73"/>
      <c r="AQ416" s="15"/>
      <c r="AR416" s="15"/>
      <c r="AS416" s="15"/>
      <c r="AT416" s="15"/>
      <c r="AU416" s="15"/>
      <c r="AV416" s="15"/>
      <c r="AW416" s="15"/>
      <c r="AX416" s="74"/>
    </row>
    <row r="417" spans="1:50" s="79" customFormat="1" ht="12">
      <c r="A417" s="298"/>
      <c r="B417" s="354"/>
      <c r="C417" s="355"/>
      <c r="D417" s="15"/>
      <c r="E417" s="15"/>
      <c r="F417" s="15"/>
      <c r="G417" s="15"/>
      <c r="H417" s="15"/>
      <c r="I417" s="15"/>
      <c r="J417" s="15"/>
      <c r="K417" s="15"/>
      <c r="L417" s="297"/>
      <c r="M417" s="293"/>
      <c r="N417" s="15" t="s">
        <v>901</v>
      </c>
      <c r="O417" s="9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73"/>
      <c r="AQ417" s="15"/>
      <c r="AR417" s="15"/>
      <c r="AS417" s="15"/>
      <c r="AT417" s="15"/>
      <c r="AU417" s="15"/>
      <c r="AV417" s="15"/>
      <c r="AW417" s="15"/>
      <c r="AX417" s="74"/>
    </row>
    <row r="418" spans="1:50" s="79" customFormat="1" ht="12">
      <c r="A418" s="298"/>
      <c r="B418" s="354"/>
      <c r="C418" s="355"/>
      <c r="D418" s="15"/>
      <c r="E418" s="15"/>
      <c r="F418" s="15"/>
      <c r="G418" s="15"/>
      <c r="H418" s="15"/>
      <c r="I418" s="15"/>
      <c r="J418" s="15"/>
      <c r="K418" s="15"/>
      <c r="L418" s="297"/>
      <c r="M418" s="293"/>
      <c r="N418" s="15"/>
      <c r="O418" s="9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73"/>
      <c r="AQ418" s="15"/>
      <c r="AR418" s="15"/>
      <c r="AS418" s="15"/>
      <c r="AT418" s="15"/>
      <c r="AU418" s="15"/>
      <c r="AV418" s="15"/>
      <c r="AW418" s="15"/>
      <c r="AX418" s="74"/>
    </row>
    <row r="419" spans="1:50" s="79" customFormat="1" ht="12">
      <c r="A419" s="298"/>
      <c r="B419" s="354"/>
      <c r="C419" s="355"/>
      <c r="D419" s="15"/>
      <c r="E419" s="15"/>
      <c r="F419" s="15"/>
      <c r="G419" s="15"/>
      <c r="H419" s="15"/>
      <c r="I419" s="15"/>
      <c r="J419" s="15"/>
      <c r="K419" s="15"/>
      <c r="L419" s="297"/>
      <c r="M419" s="293" t="s">
        <v>909</v>
      </c>
      <c r="N419" s="15" t="s">
        <v>910</v>
      </c>
      <c r="O419" s="9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73"/>
      <c r="AQ419" s="15"/>
      <c r="AR419" s="15"/>
      <c r="AS419" s="15"/>
      <c r="AT419" s="15"/>
      <c r="AU419" s="15"/>
      <c r="AV419" s="15"/>
      <c r="AW419" s="15"/>
      <c r="AX419" s="74"/>
    </row>
    <row r="420" spans="1:50" s="79" customFormat="1" ht="12">
      <c r="A420" s="298"/>
      <c r="B420" s="354"/>
      <c r="C420" s="355"/>
      <c r="D420" s="15"/>
      <c r="E420" s="15"/>
      <c r="F420" s="15"/>
      <c r="G420" s="15"/>
      <c r="H420" s="15"/>
      <c r="I420" s="15"/>
      <c r="J420" s="15"/>
      <c r="K420" s="15"/>
      <c r="L420" s="297"/>
      <c r="M420" s="293"/>
      <c r="N420" s="15" t="s">
        <v>920</v>
      </c>
      <c r="O420" s="9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73"/>
      <c r="AQ420" s="15"/>
      <c r="AR420" s="15"/>
      <c r="AS420" s="15"/>
      <c r="AT420" s="15"/>
      <c r="AU420" s="15"/>
      <c r="AV420" s="15"/>
      <c r="AW420" s="15"/>
      <c r="AX420" s="74"/>
    </row>
    <row r="421" spans="1:50" s="79" customFormat="1" ht="12">
      <c r="A421" s="298"/>
      <c r="B421" s="354"/>
      <c r="C421" s="355"/>
      <c r="D421" s="15"/>
      <c r="E421" s="15"/>
      <c r="F421" s="15"/>
      <c r="G421" s="15"/>
      <c r="H421" s="15"/>
      <c r="I421" s="15"/>
      <c r="J421" s="15"/>
      <c r="K421" s="15"/>
      <c r="L421" s="297"/>
      <c r="M421" s="293"/>
      <c r="N421" s="290" t="s">
        <v>913</v>
      </c>
      <c r="O421" s="15" t="s">
        <v>914</v>
      </c>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73"/>
      <c r="AQ421" s="15" t="s">
        <v>916</v>
      </c>
      <c r="AR421" s="15"/>
      <c r="AS421" s="15"/>
      <c r="AT421" s="15"/>
      <c r="AU421" s="15"/>
      <c r="AV421" s="15"/>
      <c r="AW421" s="15"/>
      <c r="AX421" s="74"/>
    </row>
    <row r="422" spans="1:50" s="79" customFormat="1" ht="12">
      <c r="A422" s="298"/>
      <c r="B422" s="354"/>
      <c r="C422" s="355"/>
      <c r="D422" s="15"/>
      <c r="E422" s="15"/>
      <c r="F422" s="15"/>
      <c r="G422" s="15"/>
      <c r="H422" s="15"/>
      <c r="I422" s="15"/>
      <c r="J422" s="15"/>
      <c r="K422" s="15"/>
      <c r="L422" s="297"/>
      <c r="M422" s="293"/>
      <c r="O422" s="15" t="s">
        <v>915</v>
      </c>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73"/>
      <c r="AQ422" s="15"/>
      <c r="AR422" s="15"/>
      <c r="AS422" s="15"/>
      <c r="AT422" s="15"/>
      <c r="AU422" s="15"/>
      <c r="AV422" s="15"/>
      <c r="AW422" s="15"/>
      <c r="AX422" s="74"/>
    </row>
    <row r="423" spans="1:50" s="79" customFormat="1" ht="12">
      <c r="A423" s="298"/>
      <c r="B423" s="354"/>
      <c r="C423" s="355"/>
      <c r="D423" s="15"/>
      <c r="E423" s="15"/>
      <c r="F423" s="15"/>
      <c r="G423" s="15"/>
      <c r="H423" s="15"/>
      <c r="I423" s="15"/>
      <c r="J423" s="15"/>
      <c r="K423" s="15"/>
      <c r="L423" s="297"/>
      <c r="M423" s="293"/>
      <c r="N423" s="290" t="s">
        <v>913</v>
      </c>
      <c r="O423" s="15" t="s">
        <v>917</v>
      </c>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73"/>
      <c r="AQ423" s="15" t="s">
        <v>927</v>
      </c>
      <c r="AR423" s="15"/>
      <c r="AS423" s="15"/>
      <c r="AT423" s="15"/>
      <c r="AU423" s="15"/>
      <c r="AV423" s="15"/>
      <c r="AW423" s="15"/>
      <c r="AX423" s="74"/>
    </row>
    <row r="424" spans="1:50" s="79" customFormat="1" ht="12">
      <c r="A424" s="298"/>
      <c r="B424" s="354"/>
      <c r="C424" s="355"/>
      <c r="D424" s="15"/>
      <c r="E424" s="15"/>
      <c r="F424" s="15"/>
      <c r="G424" s="15"/>
      <c r="H424" s="15"/>
      <c r="I424" s="15"/>
      <c r="J424" s="15"/>
      <c r="K424" s="15"/>
      <c r="L424" s="297"/>
      <c r="M424" s="293"/>
      <c r="O424" s="15" t="s">
        <v>918</v>
      </c>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73"/>
      <c r="AQ424" s="15"/>
      <c r="AR424" s="15"/>
      <c r="AS424" s="15"/>
      <c r="AT424" s="15"/>
      <c r="AU424" s="15"/>
      <c r="AV424" s="15"/>
      <c r="AW424" s="15"/>
      <c r="AX424" s="74"/>
    </row>
    <row r="425" spans="1:50" s="79" customFormat="1" ht="12">
      <c r="A425" s="298"/>
      <c r="B425" s="354"/>
      <c r="C425" s="355"/>
      <c r="D425" s="15"/>
      <c r="E425" s="15"/>
      <c r="F425" s="15"/>
      <c r="G425" s="15"/>
      <c r="H425" s="15"/>
      <c r="I425" s="15"/>
      <c r="J425" s="15"/>
      <c r="K425" s="15"/>
      <c r="L425" s="297"/>
      <c r="M425" s="293"/>
      <c r="N425" s="15"/>
      <c r="O425" s="9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73"/>
      <c r="AQ425" s="15"/>
      <c r="AR425" s="15"/>
      <c r="AS425" s="15"/>
      <c r="AT425" s="15"/>
      <c r="AU425" s="15"/>
      <c r="AV425" s="15"/>
      <c r="AW425" s="15"/>
      <c r="AX425" s="74"/>
    </row>
    <row r="426" spans="1:50" s="79" customFormat="1" ht="12">
      <c r="A426" s="298"/>
      <c r="B426" s="354"/>
      <c r="C426" s="355"/>
      <c r="D426" s="15"/>
      <c r="E426" s="15"/>
      <c r="F426" s="15"/>
      <c r="G426" s="15"/>
      <c r="H426" s="15"/>
      <c r="I426" s="15"/>
      <c r="J426" s="15"/>
      <c r="K426" s="15"/>
      <c r="L426" s="297"/>
      <c r="M426" s="293"/>
      <c r="N426" s="15"/>
      <c r="O426" s="9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73"/>
      <c r="AQ426" s="15"/>
      <c r="AR426" s="15"/>
      <c r="AS426" s="15"/>
      <c r="AT426" s="15"/>
      <c r="AU426" s="15"/>
      <c r="AV426" s="15"/>
      <c r="AW426" s="15"/>
      <c r="AX426" s="74"/>
    </row>
    <row r="427" spans="1:50" s="79" customFormat="1" ht="12">
      <c r="A427" s="298"/>
      <c r="B427" s="354"/>
      <c r="C427" s="355"/>
      <c r="D427" s="15"/>
      <c r="E427" s="15"/>
      <c r="F427" s="15"/>
      <c r="G427" s="15"/>
      <c r="H427" s="15"/>
      <c r="I427" s="15"/>
      <c r="J427" s="15"/>
      <c r="K427" s="15"/>
      <c r="L427" s="297"/>
      <c r="M427" s="293"/>
      <c r="N427" s="293" t="s">
        <v>911</v>
      </c>
      <c r="O427" s="95" t="s">
        <v>912</v>
      </c>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73"/>
      <c r="AQ427" s="15"/>
      <c r="AR427" s="15"/>
      <c r="AS427" s="15"/>
      <c r="AT427" s="15"/>
      <c r="AU427" s="15"/>
      <c r="AV427" s="15"/>
      <c r="AW427" s="15"/>
      <c r="AX427" s="74"/>
    </row>
    <row r="428" spans="1:50" s="79" customFormat="1" ht="12">
      <c r="A428" s="298"/>
      <c r="B428" s="354"/>
      <c r="C428" s="355"/>
      <c r="D428" s="15"/>
      <c r="E428" s="15"/>
      <c r="F428" s="15"/>
      <c r="G428" s="15"/>
      <c r="H428" s="15"/>
      <c r="I428" s="15"/>
      <c r="J428" s="15"/>
      <c r="K428" s="15"/>
      <c r="L428" s="297"/>
      <c r="M428" s="293"/>
      <c r="N428" s="15"/>
      <c r="O428" s="293" t="s">
        <v>913</v>
      </c>
      <c r="P428" s="15" t="s">
        <v>921</v>
      </c>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73"/>
      <c r="AQ428" s="15"/>
      <c r="AR428" s="15"/>
      <c r="AS428" s="15"/>
      <c r="AT428" s="15"/>
      <c r="AU428" s="15"/>
      <c r="AV428" s="15"/>
      <c r="AW428" s="15"/>
      <c r="AX428" s="74"/>
    </row>
    <row r="429" spans="1:50" s="79" customFormat="1" ht="12">
      <c r="A429" s="298"/>
      <c r="B429" s="354"/>
      <c r="C429" s="355"/>
      <c r="D429" s="15"/>
      <c r="E429" s="15"/>
      <c r="F429" s="15"/>
      <c r="G429" s="15"/>
      <c r="H429" s="15"/>
      <c r="I429" s="15"/>
      <c r="J429" s="15"/>
      <c r="K429" s="15"/>
      <c r="L429" s="297"/>
      <c r="M429" s="293"/>
      <c r="N429" s="15"/>
      <c r="O429" s="293" t="s">
        <v>913</v>
      </c>
      <c r="P429" s="15" t="s">
        <v>922</v>
      </c>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73"/>
      <c r="AQ429" s="15"/>
      <c r="AR429" s="15"/>
      <c r="AS429" s="15"/>
      <c r="AT429" s="15"/>
      <c r="AU429" s="15"/>
      <c r="AV429" s="15"/>
      <c r="AW429" s="15"/>
      <c r="AX429" s="74"/>
    </row>
    <row r="430" spans="1:50" s="79" customFormat="1" ht="12">
      <c r="A430" s="298"/>
      <c r="B430" s="354"/>
      <c r="C430" s="355"/>
      <c r="D430" s="15"/>
      <c r="E430" s="15"/>
      <c r="F430" s="15"/>
      <c r="G430" s="15"/>
      <c r="H430" s="15"/>
      <c r="I430" s="15"/>
      <c r="J430" s="15"/>
      <c r="K430" s="15"/>
      <c r="L430" s="297"/>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73"/>
      <c r="AQ430" s="15"/>
      <c r="AR430" s="15"/>
      <c r="AS430" s="15"/>
      <c r="AT430" s="15"/>
      <c r="AU430" s="15"/>
      <c r="AV430" s="15"/>
      <c r="AW430" s="15"/>
      <c r="AX430" s="74"/>
    </row>
    <row r="431" spans="1:50" s="79" customFormat="1" ht="12">
      <c r="A431" s="298"/>
      <c r="B431" s="354"/>
      <c r="C431" s="355"/>
      <c r="D431" s="15"/>
      <c r="E431" s="15"/>
      <c r="F431" s="15"/>
      <c r="G431" s="15"/>
      <c r="H431" s="15"/>
      <c r="I431" s="15"/>
      <c r="J431" s="15"/>
      <c r="K431" s="15"/>
      <c r="L431" s="297"/>
      <c r="M431" s="15"/>
      <c r="N431" s="9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73"/>
      <c r="AQ431" s="15"/>
      <c r="AR431" s="15"/>
      <c r="AS431" s="15"/>
      <c r="AT431" s="15"/>
      <c r="AU431" s="15"/>
      <c r="AV431" s="15"/>
      <c r="AW431" s="15"/>
      <c r="AX431" s="74"/>
    </row>
    <row r="432" spans="1:50" s="79" customFormat="1" ht="12">
      <c r="A432" s="294" t="s">
        <v>976</v>
      </c>
      <c r="B432" s="75" t="s">
        <v>898</v>
      </c>
      <c r="C432" s="76"/>
      <c r="D432" s="76"/>
      <c r="E432" s="76"/>
      <c r="F432" s="76"/>
      <c r="G432" s="76"/>
      <c r="H432" s="76"/>
      <c r="I432" s="76"/>
      <c r="J432" s="76"/>
      <c r="K432" s="76"/>
      <c r="L432" s="328"/>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7"/>
    </row>
    <row r="433" spans="1:50" s="79" customFormat="1" ht="12">
      <c r="A433" s="298"/>
      <c r="B433" s="1007" t="s">
        <v>769</v>
      </c>
      <c r="C433" s="1008"/>
      <c r="D433" s="15"/>
      <c r="E433" s="15"/>
      <c r="F433" s="15"/>
      <c r="G433" s="15"/>
      <c r="H433" s="15"/>
      <c r="I433" s="15"/>
      <c r="J433" s="15"/>
      <c r="K433" s="15"/>
      <c r="L433" s="329" t="s">
        <v>770</v>
      </c>
      <c r="M433" s="37" t="s">
        <v>679</v>
      </c>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282"/>
      <c r="AQ433" s="15"/>
      <c r="AR433" s="15"/>
      <c r="AS433" s="15"/>
      <c r="AT433" s="15"/>
      <c r="AU433" s="15"/>
      <c r="AV433" s="15"/>
      <c r="AW433" s="15"/>
      <c r="AX433" s="74"/>
    </row>
    <row r="434" spans="1:50" s="79" customFormat="1" ht="12">
      <c r="A434" s="298"/>
      <c r="B434" s="160"/>
      <c r="C434" s="161"/>
      <c r="D434" s="15"/>
      <c r="E434" s="15"/>
      <c r="F434" s="15"/>
      <c r="G434" s="15"/>
      <c r="H434" s="15"/>
      <c r="I434" s="15"/>
      <c r="J434" s="15"/>
      <c r="K434" s="15"/>
      <c r="L434" s="297"/>
      <c r="M434" s="299" t="s">
        <v>680</v>
      </c>
      <c r="N434" s="15"/>
      <c r="O434" s="15"/>
      <c r="P434" s="15"/>
      <c r="Q434" s="15"/>
      <c r="R434" s="15"/>
      <c r="S434" s="15"/>
      <c r="T434" s="95"/>
      <c r="U434" s="15"/>
      <c r="V434" s="15"/>
      <c r="W434" s="15"/>
      <c r="X434" s="15"/>
      <c r="Y434" s="15"/>
      <c r="Z434" s="15"/>
      <c r="AA434" s="15"/>
      <c r="AB434" s="15"/>
      <c r="AC434" s="15"/>
      <c r="AD434" s="15"/>
      <c r="AE434" s="15"/>
      <c r="AF434" s="15"/>
      <c r="AG434" s="15"/>
      <c r="AH434" s="15"/>
      <c r="AI434" s="15"/>
      <c r="AJ434" s="15"/>
      <c r="AK434" s="15"/>
      <c r="AL434" s="15"/>
      <c r="AM434" s="15"/>
      <c r="AN434" s="15"/>
      <c r="AO434" s="15"/>
      <c r="AP434" s="73"/>
      <c r="AQ434" s="15"/>
      <c r="AR434" s="15"/>
      <c r="AS434" s="15"/>
      <c r="AT434" s="15"/>
      <c r="AU434" s="15"/>
      <c r="AV434" s="15"/>
      <c r="AW434" s="15"/>
      <c r="AX434" s="74"/>
    </row>
    <row r="435" spans="1:50" s="79" customFormat="1" ht="12">
      <c r="A435" s="298"/>
      <c r="B435" s="160"/>
      <c r="C435" s="161"/>
      <c r="D435" s="15"/>
      <c r="E435" s="15"/>
      <c r="F435" s="15"/>
      <c r="G435" s="15"/>
      <c r="H435" s="15"/>
      <c r="I435" s="15"/>
      <c r="J435" s="15"/>
      <c r="K435" s="15"/>
      <c r="L435" s="297"/>
      <c r="M435" s="15"/>
      <c r="N435" s="15"/>
      <c r="O435" s="15"/>
      <c r="P435" s="15"/>
      <c r="Q435" s="15"/>
      <c r="R435" s="15"/>
      <c r="S435" s="15"/>
      <c r="T435" s="95"/>
      <c r="U435" s="15"/>
      <c r="V435" s="15"/>
      <c r="W435" s="15"/>
      <c r="X435" s="15"/>
      <c r="Y435" s="15"/>
      <c r="Z435" s="15"/>
      <c r="AA435" s="15"/>
      <c r="AB435" s="15"/>
      <c r="AC435" s="15"/>
      <c r="AD435" s="15"/>
      <c r="AE435" s="15"/>
      <c r="AF435" s="15"/>
      <c r="AG435" s="15"/>
      <c r="AH435" s="15"/>
      <c r="AI435" s="15"/>
      <c r="AJ435" s="15"/>
      <c r="AK435" s="15"/>
      <c r="AL435" s="15"/>
      <c r="AM435" s="15"/>
      <c r="AN435" s="15"/>
      <c r="AO435" s="15"/>
      <c r="AP435" s="73"/>
      <c r="AQ435" s="15"/>
      <c r="AR435" s="15"/>
      <c r="AS435" s="15"/>
      <c r="AT435" s="15"/>
      <c r="AU435" s="15"/>
      <c r="AV435" s="15"/>
      <c r="AW435" s="15"/>
      <c r="AX435" s="74"/>
    </row>
    <row r="436" spans="1:50" s="79" customFormat="1" ht="12">
      <c r="A436" s="298"/>
      <c r="B436" s="160"/>
      <c r="C436" s="161"/>
      <c r="D436" s="15"/>
      <c r="E436" s="15"/>
      <c r="F436" s="15"/>
      <c r="G436" s="15"/>
      <c r="H436" s="15"/>
      <c r="I436" s="15"/>
      <c r="J436" s="15"/>
      <c r="K436" s="15"/>
      <c r="L436" s="297" t="s">
        <v>771</v>
      </c>
      <c r="M436" s="15" t="s">
        <v>753</v>
      </c>
      <c r="N436" s="15"/>
      <c r="O436" s="15"/>
      <c r="P436" s="15"/>
      <c r="Q436" s="15"/>
      <c r="R436" s="15"/>
      <c r="S436" s="15"/>
      <c r="T436" s="95"/>
      <c r="U436" s="15"/>
      <c r="V436" s="15"/>
      <c r="W436" s="15"/>
      <c r="X436" s="15"/>
      <c r="Y436" s="15"/>
      <c r="Z436" s="15"/>
      <c r="AA436" s="15"/>
      <c r="AB436" s="15"/>
      <c r="AC436" s="15"/>
      <c r="AD436" s="15"/>
      <c r="AE436" s="15"/>
      <c r="AF436" s="15"/>
      <c r="AG436" s="15"/>
      <c r="AH436" s="15"/>
      <c r="AI436" s="15"/>
      <c r="AJ436" s="15"/>
      <c r="AK436" s="15"/>
      <c r="AL436" s="15"/>
      <c r="AM436" s="15"/>
      <c r="AN436" s="15"/>
      <c r="AO436" s="15"/>
      <c r="AP436" s="73"/>
      <c r="AQ436" s="15"/>
      <c r="AR436" s="15"/>
      <c r="AS436" s="15"/>
      <c r="AT436" s="15"/>
      <c r="AU436" s="15"/>
      <c r="AV436" s="15"/>
      <c r="AW436" s="15"/>
      <c r="AX436" s="74"/>
    </row>
    <row r="437" spans="1:50" s="79" customFormat="1" ht="12">
      <c r="A437" s="298"/>
      <c r="B437" s="160"/>
      <c r="C437" s="161"/>
      <c r="D437" s="15"/>
      <c r="E437" s="15"/>
      <c r="F437" s="15"/>
      <c r="G437" s="15"/>
      <c r="H437" s="15"/>
      <c r="I437" s="15"/>
      <c r="J437" s="15"/>
      <c r="K437" s="15"/>
      <c r="L437" s="297"/>
      <c r="M437" s="299" t="s">
        <v>680</v>
      </c>
      <c r="N437" s="15"/>
      <c r="O437" s="15"/>
      <c r="P437" s="15"/>
      <c r="Q437" s="15"/>
      <c r="R437" s="15"/>
      <c r="S437" s="15"/>
      <c r="T437" s="95"/>
      <c r="U437" s="15"/>
      <c r="V437" s="15"/>
      <c r="W437" s="15"/>
      <c r="X437" s="15"/>
      <c r="Y437" s="15"/>
      <c r="Z437" s="15"/>
      <c r="AA437" s="15"/>
      <c r="AB437" s="15"/>
      <c r="AC437" s="15"/>
      <c r="AD437" s="15"/>
      <c r="AE437" s="15"/>
      <c r="AF437" s="15"/>
      <c r="AG437" s="15"/>
      <c r="AH437" s="15"/>
      <c r="AI437" s="15"/>
      <c r="AJ437" s="15"/>
      <c r="AK437" s="15"/>
      <c r="AL437" s="15"/>
      <c r="AM437" s="15"/>
      <c r="AN437" s="15"/>
      <c r="AO437" s="15"/>
      <c r="AP437" s="73"/>
      <c r="AQ437" s="15"/>
      <c r="AR437" s="15"/>
      <c r="AS437" s="15"/>
      <c r="AT437" s="15"/>
      <c r="AU437" s="15"/>
      <c r="AV437" s="15"/>
      <c r="AW437" s="15"/>
      <c r="AX437" s="74"/>
    </row>
    <row r="438" spans="1:50" s="79" customFormat="1" ht="12">
      <c r="A438" s="298"/>
      <c r="B438" s="160"/>
      <c r="C438" s="161"/>
      <c r="D438" s="15"/>
      <c r="E438" s="15"/>
      <c r="F438" s="15"/>
      <c r="G438" s="15"/>
      <c r="H438" s="15"/>
      <c r="I438" s="15"/>
      <c r="J438" s="15"/>
      <c r="K438" s="15"/>
      <c r="L438" s="297"/>
      <c r="M438" s="15"/>
      <c r="N438" s="15"/>
      <c r="O438" s="15"/>
      <c r="P438" s="15"/>
      <c r="Q438" s="15"/>
      <c r="R438" s="15"/>
      <c r="S438" s="15"/>
      <c r="T438" s="95"/>
      <c r="U438" s="15"/>
      <c r="V438" s="15"/>
      <c r="W438" s="15"/>
      <c r="X438" s="15"/>
      <c r="Y438" s="15"/>
      <c r="Z438" s="15"/>
      <c r="AA438" s="15"/>
      <c r="AB438" s="15"/>
      <c r="AC438" s="15"/>
      <c r="AD438" s="15"/>
      <c r="AE438" s="15"/>
      <c r="AF438" s="15"/>
      <c r="AG438" s="15"/>
      <c r="AH438" s="15"/>
      <c r="AI438" s="15"/>
      <c r="AJ438" s="15"/>
      <c r="AK438" s="15"/>
      <c r="AL438" s="15"/>
      <c r="AM438" s="15"/>
      <c r="AN438" s="15"/>
      <c r="AO438" s="15"/>
      <c r="AP438" s="73"/>
      <c r="AQ438" s="15"/>
      <c r="AR438" s="15"/>
      <c r="AS438" s="15"/>
      <c r="AT438" s="15"/>
      <c r="AU438" s="15"/>
      <c r="AV438" s="15"/>
      <c r="AW438" s="15"/>
      <c r="AX438" s="74"/>
    </row>
    <row r="439" spans="1:50" s="79" customFormat="1" ht="12">
      <c r="A439" s="298"/>
      <c r="B439" s="1007" t="s">
        <v>772</v>
      </c>
      <c r="C439" s="1008"/>
      <c r="D439" s="296"/>
      <c r="E439" s="37"/>
      <c r="F439" s="37"/>
      <c r="G439" s="37"/>
      <c r="H439" s="37"/>
      <c r="I439" s="37"/>
      <c r="J439" s="37"/>
      <c r="K439" s="282"/>
      <c r="L439" s="341" t="s">
        <v>773</v>
      </c>
      <c r="M439" s="37" t="s">
        <v>756</v>
      </c>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282"/>
      <c r="AQ439" s="37"/>
      <c r="AR439" s="37"/>
      <c r="AS439" s="37"/>
      <c r="AT439" s="37"/>
      <c r="AU439" s="37"/>
      <c r="AV439" s="37"/>
      <c r="AW439" s="37"/>
      <c r="AX439" s="330"/>
    </row>
    <row r="440" spans="1:50" s="79" customFormat="1" ht="12">
      <c r="A440" s="298"/>
      <c r="B440" s="160"/>
      <c r="C440" s="161"/>
      <c r="D440" s="72"/>
      <c r="E440" s="15"/>
      <c r="F440" s="15"/>
      <c r="G440" s="15"/>
      <c r="H440" s="15"/>
      <c r="I440" s="15"/>
      <c r="J440" s="15"/>
      <c r="K440" s="73"/>
      <c r="L440" s="299"/>
      <c r="M440" s="299" t="s">
        <v>680</v>
      </c>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73"/>
      <c r="AQ440" s="15"/>
      <c r="AR440" s="15"/>
      <c r="AS440" s="15"/>
      <c r="AT440" s="15"/>
      <c r="AU440" s="15"/>
      <c r="AV440" s="15"/>
      <c r="AW440" s="15"/>
      <c r="AX440" s="74"/>
    </row>
    <row r="441" spans="1:50" s="79" customFormat="1" ht="12">
      <c r="A441" s="298"/>
      <c r="B441" s="160"/>
      <c r="C441" s="161"/>
      <c r="D441" s="72"/>
      <c r="E441" s="15"/>
      <c r="F441" s="15"/>
      <c r="G441" s="15"/>
      <c r="H441" s="15"/>
      <c r="I441" s="15"/>
      <c r="J441" s="15"/>
      <c r="K441" s="73"/>
      <c r="L441" s="299"/>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73"/>
      <c r="AQ441" s="15"/>
      <c r="AR441" s="15"/>
      <c r="AS441" s="15"/>
      <c r="AT441" s="15"/>
      <c r="AU441" s="15"/>
      <c r="AV441" s="15"/>
      <c r="AW441" s="15"/>
      <c r="AX441" s="74"/>
    </row>
    <row r="442" spans="1:50" s="79" customFormat="1" ht="12">
      <c r="A442" s="298"/>
      <c r="B442" s="160"/>
      <c r="C442" s="161"/>
      <c r="D442" s="72"/>
      <c r="E442" s="15"/>
      <c r="F442" s="15"/>
      <c r="G442" s="15"/>
      <c r="H442" s="15"/>
      <c r="I442" s="15"/>
      <c r="J442" s="15"/>
      <c r="K442" s="73"/>
      <c r="L442" s="299" t="s">
        <v>775</v>
      </c>
      <c r="M442" s="15" t="s">
        <v>783</v>
      </c>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95"/>
      <c r="AP442" s="73"/>
      <c r="AQ442" s="15"/>
      <c r="AR442" s="15"/>
      <c r="AS442" s="15"/>
      <c r="AT442" s="15"/>
      <c r="AU442" s="15"/>
      <c r="AV442" s="15"/>
      <c r="AW442" s="15"/>
      <c r="AX442" s="74"/>
    </row>
    <row r="443" spans="1:50" s="79" customFormat="1" ht="12">
      <c r="A443" s="298"/>
      <c r="B443" s="160"/>
      <c r="C443" s="161"/>
      <c r="D443" s="15"/>
      <c r="E443" s="15"/>
      <c r="F443" s="15"/>
      <c r="G443" s="15"/>
      <c r="H443" s="15"/>
      <c r="I443" s="15"/>
      <c r="J443" s="15"/>
      <c r="K443" s="15"/>
      <c r="L443" s="297"/>
      <c r="M443" s="299" t="s">
        <v>680</v>
      </c>
      <c r="N443" s="15"/>
      <c r="O443" s="9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73"/>
      <c r="AQ443" s="15"/>
      <c r="AR443" s="15"/>
      <c r="AS443" s="15"/>
      <c r="AT443" s="15"/>
      <c r="AU443" s="15"/>
      <c r="AV443" s="15"/>
      <c r="AW443" s="15"/>
      <c r="AX443" s="74"/>
    </row>
    <row r="444" spans="1:50" s="79" customFormat="1" ht="12">
      <c r="A444" s="298"/>
      <c r="B444" s="160"/>
      <c r="C444" s="161"/>
      <c r="D444" s="72"/>
      <c r="E444" s="15"/>
      <c r="F444" s="15"/>
      <c r="G444" s="15"/>
      <c r="H444" s="15"/>
      <c r="I444" s="15"/>
      <c r="J444" s="15"/>
      <c r="K444" s="73"/>
      <c r="L444" s="299"/>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95"/>
      <c r="AP444" s="73"/>
      <c r="AQ444" s="15"/>
      <c r="AR444" s="15"/>
      <c r="AS444" s="15"/>
      <c r="AT444" s="15"/>
      <c r="AU444" s="15"/>
      <c r="AV444" s="15"/>
      <c r="AW444" s="15"/>
      <c r="AX444" s="74"/>
    </row>
    <row r="445" spans="1:50" s="79" customFormat="1" ht="12">
      <c r="A445" s="298"/>
      <c r="B445" s="160"/>
      <c r="C445" s="161"/>
      <c r="D445" s="72"/>
      <c r="E445" s="15"/>
      <c r="F445" s="15"/>
      <c r="G445" s="15"/>
      <c r="H445" s="15"/>
      <c r="I445" s="15"/>
      <c r="J445" s="15"/>
      <c r="K445" s="73"/>
      <c r="L445" s="299" t="s">
        <v>781</v>
      </c>
      <c r="M445" s="15" t="s">
        <v>784</v>
      </c>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95"/>
      <c r="AP445" s="73"/>
      <c r="AQ445" s="15"/>
      <c r="AR445" s="15"/>
      <c r="AS445" s="15"/>
      <c r="AT445" s="15"/>
      <c r="AU445" s="15"/>
      <c r="AV445" s="15"/>
      <c r="AW445" s="15"/>
      <c r="AX445" s="74"/>
    </row>
    <row r="446" spans="1:50" s="79" customFormat="1" ht="12">
      <c r="A446" s="298"/>
      <c r="B446" s="160"/>
      <c r="C446" s="161"/>
      <c r="D446" s="15"/>
      <c r="E446" s="15"/>
      <c r="F446" s="15"/>
      <c r="G446" s="15"/>
      <c r="H446" s="15"/>
      <c r="I446" s="15"/>
      <c r="J446" s="15"/>
      <c r="K446" s="15"/>
      <c r="L446" s="297"/>
      <c r="M446" s="299" t="s">
        <v>785</v>
      </c>
      <c r="N446" s="15"/>
      <c r="O446" s="9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73"/>
      <c r="AQ446" s="15"/>
      <c r="AR446" s="15"/>
      <c r="AS446" s="15"/>
      <c r="AT446" s="15"/>
      <c r="AU446" s="15"/>
      <c r="AV446" s="15"/>
      <c r="AW446" s="15"/>
      <c r="AX446" s="74"/>
    </row>
    <row r="447" spans="1:50" s="79" customFormat="1" ht="12">
      <c r="A447" s="298"/>
      <c r="B447" s="162"/>
      <c r="C447" s="163"/>
      <c r="D447" s="286"/>
      <c r="E447" s="286"/>
      <c r="F447" s="286"/>
      <c r="G447" s="286"/>
      <c r="H447" s="286"/>
      <c r="I447" s="286"/>
      <c r="J447" s="286"/>
      <c r="K447" s="286"/>
      <c r="L447" s="300"/>
      <c r="M447" s="286"/>
      <c r="N447" s="286"/>
      <c r="O447" s="95"/>
      <c r="P447" s="286"/>
      <c r="Q447" s="286"/>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286"/>
      <c r="AP447" s="287"/>
      <c r="AQ447" s="286"/>
      <c r="AR447" s="286"/>
      <c r="AS447" s="286"/>
      <c r="AT447" s="286"/>
      <c r="AU447" s="286"/>
      <c r="AV447" s="286"/>
      <c r="AW447" s="286"/>
      <c r="AX447" s="301"/>
    </row>
    <row r="448" spans="1:50" s="79" customFormat="1" ht="12">
      <c r="A448" s="298"/>
      <c r="B448" s="1007" t="s">
        <v>769</v>
      </c>
      <c r="C448" s="1008"/>
      <c r="D448" s="15"/>
      <c r="E448" s="15"/>
      <c r="F448" s="15"/>
      <c r="G448" s="15"/>
      <c r="H448" s="15"/>
      <c r="I448" s="15"/>
      <c r="J448" s="15"/>
      <c r="K448" s="15"/>
      <c r="L448" s="329" t="s">
        <v>782</v>
      </c>
      <c r="M448" s="37" t="s">
        <v>768</v>
      </c>
      <c r="N448" s="37"/>
      <c r="O448" s="38"/>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282"/>
      <c r="AQ448" s="15"/>
      <c r="AR448" s="15"/>
      <c r="AS448" s="15"/>
      <c r="AT448" s="15"/>
      <c r="AU448" s="15"/>
      <c r="AV448" s="15"/>
      <c r="AW448" s="15"/>
      <c r="AX448" s="74"/>
    </row>
    <row r="449" spans="1:50" s="79" customFormat="1" ht="12">
      <c r="A449" s="298"/>
      <c r="B449" s="160"/>
      <c r="C449" s="161"/>
      <c r="D449" s="15"/>
      <c r="E449" s="15"/>
      <c r="F449" s="15"/>
      <c r="G449" s="15"/>
      <c r="H449" s="15"/>
      <c r="I449" s="15"/>
      <c r="J449" s="15"/>
      <c r="K449" s="15"/>
      <c r="L449" s="297"/>
      <c r="M449" s="299" t="s">
        <v>680</v>
      </c>
      <c r="N449" s="9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73"/>
      <c r="AQ449" s="15"/>
      <c r="AR449" s="15"/>
      <c r="AS449" s="15"/>
      <c r="AT449" s="15"/>
      <c r="AU449" s="15"/>
      <c r="AV449" s="15"/>
      <c r="AW449" s="15"/>
      <c r="AX449" s="74"/>
    </row>
    <row r="450" spans="1:50" s="79" customFormat="1" ht="12">
      <c r="A450" s="298"/>
      <c r="B450" s="160"/>
      <c r="C450" s="161"/>
      <c r="D450" s="15"/>
      <c r="E450" s="15"/>
      <c r="F450" s="15"/>
      <c r="G450" s="15"/>
      <c r="H450" s="15"/>
      <c r="I450" s="15"/>
      <c r="J450" s="15"/>
      <c r="K450" s="15"/>
      <c r="L450" s="297"/>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73"/>
      <c r="AQ450" s="15"/>
      <c r="AR450" s="15"/>
      <c r="AS450" s="15"/>
      <c r="AT450" s="15"/>
      <c r="AU450" s="15"/>
      <c r="AV450" s="15"/>
      <c r="AW450" s="15"/>
      <c r="AX450" s="74"/>
    </row>
    <row r="451" spans="1:50" s="79" customFormat="1" ht="12">
      <c r="A451" s="298"/>
      <c r="B451" s="160"/>
      <c r="C451" s="161"/>
      <c r="D451" s="15"/>
      <c r="E451" s="15"/>
      <c r="F451" s="15"/>
      <c r="G451" s="15"/>
      <c r="H451" s="15"/>
      <c r="I451" s="15"/>
      <c r="J451" s="15"/>
      <c r="K451" s="15"/>
      <c r="L451" s="297"/>
      <c r="M451" s="15"/>
      <c r="N451" s="9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73"/>
      <c r="AQ451" s="15"/>
      <c r="AR451" s="15"/>
      <c r="AS451" s="15"/>
      <c r="AT451" s="15"/>
      <c r="AU451" s="15"/>
      <c r="AV451" s="15"/>
      <c r="AW451" s="15"/>
      <c r="AX451" s="74"/>
    </row>
    <row r="452" spans="1:50" s="79" customFormat="1" ht="12">
      <c r="A452" s="298"/>
      <c r="B452" s="162"/>
      <c r="C452" s="163"/>
      <c r="D452" s="286"/>
      <c r="E452" s="286"/>
      <c r="F452" s="286"/>
      <c r="G452" s="286"/>
      <c r="H452" s="286"/>
      <c r="I452" s="286"/>
      <c r="J452" s="286"/>
      <c r="K452" s="286"/>
      <c r="L452" s="300"/>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286"/>
      <c r="AP452" s="287"/>
      <c r="AQ452" s="286"/>
      <c r="AR452" s="286"/>
      <c r="AS452" s="286"/>
      <c r="AT452" s="286"/>
      <c r="AU452" s="286"/>
      <c r="AV452" s="286"/>
      <c r="AW452" s="286"/>
      <c r="AX452" s="301"/>
    </row>
  </sheetData>
  <mergeCells count="63">
    <mergeCell ref="AU1:AX1"/>
    <mergeCell ref="AH2:AL2"/>
    <mergeCell ref="AD1:AG1"/>
    <mergeCell ref="AM2:AP2"/>
    <mergeCell ref="AQ2:AT2"/>
    <mergeCell ref="AU2:AX3"/>
    <mergeCell ref="AQ3:AT3"/>
    <mergeCell ref="H3:K3"/>
    <mergeCell ref="L3:R3"/>
    <mergeCell ref="AM3:AP3"/>
    <mergeCell ref="L1:R1"/>
    <mergeCell ref="S1:V1"/>
    <mergeCell ref="H2:K2"/>
    <mergeCell ref="L2:R2"/>
    <mergeCell ref="S2:V2"/>
    <mergeCell ref="W2:AC2"/>
    <mergeCell ref="AD2:AG2"/>
    <mergeCell ref="W1:AC1"/>
    <mergeCell ref="S3:V3"/>
    <mergeCell ref="W3:AL3"/>
    <mergeCell ref="AH1:AL1"/>
    <mergeCell ref="A1:G3"/>
    <mergeCell ref="H1:K1"/>
    <mergeCell ref="AM1:AP1"/>
    <mergeCell ref="AQ1:AT1"/>
    <mergeCell ref="B134:C134"/>
    <mergeCell ref="B75:C75"/>
    <mergeCell ref="B5:C5"/>
    <mergeCell ref="B7:C7"/>
    <mergeCell ref="B9:C9"/>
    <mergeCell ref="B11:C11"/>
    <mergeCell ref="B20:C20"/>
    <mergeCell ref="B54:C54"/>
    <mergeCell ref="B56:C56"/>
    <mergeCell ref="B66:C66"/>
    <mergeCell ref="B68:C68"/>
    <mergeCell ref="B73:C73"/>
    <mergeCell ref="B136:C136"/>
    <mergeCell ref="B232:C232"/>
    <mergeCell ref="B238:C238"/>
    <mergeCell ref="B243:C243"/>
    <mergeCell ref="B138:C138"/>
    <mergeCell ref="B143:C143"/>
    <mergeCell ref="B145:C145"/>
    <mergeCell ref="B228:C228"/>
    <mergeCell ref="B230:C230"/>
    <mergeCell ref="B439:C439"/>
    <mergeCell ref="B448:C448"/>
    <mergeCell ref="B368:C368"/>
    <mergeCell ref="B370:C370"/>
    <mergeCell ref="B376:C376"/>
    <mergeCell ref="B399:C399"/>
    <mergeCell ref="B403:C403"/>
    <mergeCell ref="B433:C433"/>
    <mergeCell ref="B405:C405"/>
    <mergeCell ref="B364:C364"/>
    <mergeCell ref="B245:C245"/>
    <mergeCell ref="B247:C247"/>
    <mergeCell ref="B253:C253"/>
    <mergeCell ref="B290:C290"/>
    <mergeCell ref="B314:C314"/>
    <mergeCell ref="B320:C320"/>
    <mergeCell ref="B255:C255"/>
  </mergeCells>
  <phoneticPr fontId="3"/>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rowBreaks count="5" manualBreakCount="5">
    <brk id="66" max="49" man="1"/>
    <brk id="230" max="49" man="1"/>
    <brk id="312" max="49" man="1"/>
    <brk id="394" max="49" man="1"/>
    <brk id="452" max="49" man="1"/>
  </rowBreaks>
  <drawing r:id="rId2"/>
  <legacyDrawing r:id="rId3"/>
  <extLst>
    <ext xmlns:x14="http://schemas.microsoft.com/office/spreadsheetml/2009/9/main" uri="{CCE6A557-97BC-4b89-ADB6-D9C93CAAB3DF}">
      <x14:dataValidations xmlns:xm="http://schemas.microsoft.com/office/excel/2006/main" disablePrompts="1" count="1">
        <x14:dataValidation imeMode="off" allowBlank="1" showInputMessage="1" showErrorMessage="1">
          <xm:sqref>KS983138:KT983138 UO983138:UP983138 AEK983138:AEL983138 AOG983138:AOH983138 AYC983138:AYD983138 BHY983138:BHZ983138 BRU983138:BRV983138 CBQ983138:CBR983138 CLM983138:CLN983138 CVI983138:CVJ983138 DFE983138:DFF983138 DPA983138:DPB983138 DYW983138:DYX983138 EIS983138:EIT983138 ESO983138:ESP983138 FCK983138:FCL983138 FMG983138:FMH983138 FWC983138:FWD983138 GFY983138:GFZ983138 GPU983138:GPV983138 GZQ983138:GZR983138 HJM983138:HJN983138 HTI983138:HTJ983138 IDE983138:IDF983138 INA983138:INB983138 IWW983138:IWX983138 JGS983138:JGT983138 JQO983138:JQP983138 KAK983138:KAL983138 KKG983138:KKH983138 KUC983138:KUD983138 LDY983138:LDZ983138 LNU983138:LNV983138 LXQ983138:LXR983138 MHM983138:MHN983138 MRI983138:MRJ983138 NBE983138:NBF983138 NLA983138:NLB983138 NUW983138:NUX983138 OES983138:OET983138 OOO983138:OOP983138 OYK983138:OYL983138 PIG983138:PIH983138 PSC983138:PSD983138 QBY983138:QBZ983138 QLU983138:QLV983138 QVQ983138:QVR983138 RFM983138:RFN983138 RPI983138:RPJ983138 RZE983138:RZF983138 SJA983138:SJB983138 SSW983138:SSX983138 TCS983138:TCT983138 TMO983138:TMP983138 TWK983138:TWL983138 UGG983138:UGH983138 UQC983138:UQD983138 UZY983138:UZZ983138 VJU983138:VJV983138 VTQ983138:VTR983138 WDM983138:WDN983138 WNI983138:WNJ983138 WXE983138:WXF983138 KS65734:KT65762 UO65734:UP65762 AEK65734:AEL65762 AOG65734:AOH65762 AYC65734:AYD65762 BHY65734:BHZ65762 BRU65734:BRV65762 CBQ65734:CBR65762 CLM65734:CLN65762 CVI65734:CVJ65762 DFE65734:DFF65762 DPA65734:DPB65762 DYW65734:DYX65762 EIS65734:EIT65762 ESO65734:ESP65762 FCK65734:FCL65762 FMG65734:FMH65762 FWC65734:FWD65762 GFY65734:GFZ65762 GPU65734:GPV65762 GZQ65734:GZR65762 HJM65734:HJN65762 HTI65734:HTJ65762 IDE65734:IDF65762 INA65734:INB65762 IWW65734:IWX65762 JGS65734:JGT65762 JQO65734:JQP65762 KAK65734:KAL65762 KKG65734:KKH65762 KUC65734:KUD65762 LDY65734:LDZ65762 LNU65734:LNV65762 LXQ65734:LXR65762 MHM65734:MHN65762 MRI65734:MRJ65762 NBE65734:NBF65762 NLA65734:NLB65762 NUW65734:NUX65762 OES65734:OET65762 OOO65734:OOP65762 OYK65734:OYL65762 PIG65734:PIH65762 PSC65734:PSD65762 QBY65734:QBZ65762 QLU65734:QLV65762 QVQ65734:QVR65762 RFM65734:RFN65762 RPI65734:RPJ65762 RZE65734:RZF65762 SJA65734:SJB65762 SSW65734:SSX65762 TCS65734:TCT65762 TMO65734:TMP65762 TWK65734:TWL65762 UGG65734:UGH65762 UQC65734:UQD65762 UZY65734:UZZ65762 VJU65734:VJV65762 VTQ65734:VTR65762 WDM65734:WDN65762 WNI65734:WNJ65762 WXE65734:WXF65762 KS131270:KT131298 UO131270:UP131298 AEK131270:AEL131298 AOG131270:AOH131298 AYC131270:AYD131298 BHY131270:BHZ131298 BRU131270:BRV131298 CBQ131270:CBR131298 CLM131270:CLN131298 CVI131270:CVJ131298 DFE131270:DFF131298 DPA131270:DPB131298 DYW131270:DYX131298 EIS131270:EIT131298 ESO131270:ESP131298 FCK131270:FCL131298 FMG131270:FMH131298 FWC131270:FWD131298 GFY131270:GFZ131298 GPU131270:GPV131298 GZQ131270:GZR131298 HJM131270:HJN131298 HTI131270:HTJ131298 IDE131270:IDF131298 INA131270:INB131298 IWW131270:IWX131298 JGS131270:JGT131298 JQO131270:JQP131298 KAK131270:KAL131298 KKG131270:KKH131298 KUC131270:KUD131298 LDY131270:LDZ131298 LNU131270:LNV131298 LXQ131270:LXR131298 MHM131270:MHN131298 MRI131270:MRJ131298 NBE131270:NBF131298 NLA131270:NLB131298 NUW131270:NUX131298 OES131270:OET131298 OOO131270:OOP131298 OYK131270:OYL131298 PIG131270:PIH131298 PSC131270:PSD131298 QBY131270:QBZ131298 QLU131270:QLV131298 QVQ131270:QVR131298 RFM131270:RFN131298 RPI131270:RPJ131298 RZE131270:RZF131298 SJA131270:SJB131298 SSW131270:SSX131298 TCS131270:TCT131298 TMO131270:TMP131298 TWK131270:TWL131298 UGG131270:UGH131298 UQC131270:UQD131298 UZY131270:UZZ131298 VJU131270:VJV131298 VTQ131270:VTR131298 WDM131270:WDN131298 WNI131270:WNJ131298 WXE131270:WXF131298 KS196806:KT196834 UO196806:UP196834 AEK196806:AEL196834 AOG196806:AOH196834 AYC196806:AYD196834 BHY196806:BHZ196834 BRU196806:BRV196834 CBQ196806:CBR196834 CLM196806:CLN196834 CVI196806:CVJ196834 DFE196806:DFF196834 DPA196806:DPB196834 DYW196806:DYX196834 EIS196806:EIT196834 ESO196806:ESP196834 FCK196806:FCL196834 FMG196806:FMH196834 FWC196806:FWD196834 GFY196806:GFZ196834 GPU196806:GPV196834 GZQ196806:GZR196834 HJM196806:HJN196834 HTI196806:HTJ196834 IDE196806:IDF196834 INA196806:INB196834 IWW196806:IWX196834 JGS196806:JGT196834 JQO196806:JQP196834 KAK196806:KAL196834 KKG196806:KKH196834 KUC196806:KUD196834 LDY196806:LDZ196834 LNU196806:LNV196834 LXQ196806:LXR196834 MHM196806:MHN196834 MRI196806:MRJ196834 NBE196806:NBF196834 NLA196806:NLB196834 NUW196806:NUX196834 OES196806:OET196834 OOO196806:OOP196834 OYK196806:OYL196834 PIG196806:PIH196834 PSC196806:PSD196834 QBY196806:QBZ196834 QLU196806:QLV196834 QVQ196806:QVR196834 RFM196806:RFN196834 RPI196806:RPJ196834 RZE196806:RZF196834 SJA196806:SJB196834 SSW196806:SSX196834 TCS196806:TCT196834 TMO196806:TMP196834 TWK196806:TWL196834 UGG196806:UGH196834 UQC196806:UQD196834 UZY196806:UZZ196834 VJU196806:VJV196834 VTQ196806:VTR196834 WDM196806:WDN196834 WNI196806:WNJ196834 WXE196806:WXF196834 KS262342:KT262370 UO262342:UP262370 AEK262342:AEL262370 AOG262342:AOH262370 AYC262342:AYD262370 BHY262342:BHZ262370 BRU262342:BRV262370 CBQ262342:CBR262370 CLM262342:CLN262370 CVI262342:CVJ262370 DFE262342:DFF262370 DPA262342:DPB262370 DYW262342:DYX262370 EIS262342:EIT262370 ESO262342:ESP262370 FCK262342:FCL262370 FMG262342:FMH262370 FWC262342:FWD262370 GFY262342:GFZ262370 GPU262342:GPV262370 GZQ262342:GZR262370 HJM262342:HJN262370 HTI262342:HTJ262370 IDE262342:IDF262370 INA262342:INB262370 IWW262342:IWX262370 JGS262342:JGT262370 JQO262342:JQP262370 KAK262342:KAL262370 KKG262342:KKH262370 KUC262342:KUD262370 LDY262342:LDZ262370 LNU262342:LNV262370 LXQ262342:LXR262370 MHM262342:MHN262370 MRI262342:MRJ262370 NBE262342:NBF262370 NLA262342:NLB262370 NUW262342:NUX262370 OES262342:OET262370 OOO262342:OOP262370 OYK262342:OYL262370 PIG262342:PIH262370 PSC262342:PSD262370 QBY262342:QBZ262370 QLU262342:QLV262370 QVQ262342:QVR262370 RFM262342:RFN262370 RPI262342:RPJ262370 RZE262342:RZF262370 SJA262342:SJB262370 SSW262342:SSX262370 TCS262342:TCT262370 TMO262342:TMP262370 TWK262342:TWL262370 UGG262342:UGH262370 UQC262342:UQD262370 UZY262342:UZZ262370 VJU262342:VJV262370 VTQ262342:VTR262370 WDM262342:WDN262370 WNI262342:WNJ262370 WXE262342:WXF262370 KS327878:KT327906 UO327878:UP327906 AEK327878:AEL327906 AOG327878:AOH327906 AYC327878:AYD327906 BHY327878:BHZ327906 BRU327878:BRV327906 CBQ327878:CBR327906 CLM327878:CLN327906 CVI327878:CVJ327906 DFE327878:DFF327906 DPA327878:DPB327906 DYW327878:DYX327906 EIS327878:EIT327906 ESO327878:ESP327906 FCK327878:FCL327906 FMG327878:FMH327906 FWC327878:FWD327906 GFY327878:GFZ327906 GPU327878:GPV327906 GZQ327878:GZR327906 HJM327878:HJN327906 HTI327878:HTJ327906 IDE327878:IDF327906 INA327878:INB327906 IWW327878:IWX327906 JGS327878:JGT327906 JQO327878:JQP327906 KAK327878:KAL327906 KKG327878:KKH327906 KUC327878:KUD327906 LDY327878:LDZ327906 LNU327878:LNV327906 LXQ327878:LXR327906 MHM327878:MHN327906 MRI327878:MRJ327906 NBE327878:NBF327906 NLA327878:NLB327906 NUW327878:NUX327906 OES327878:OET327906 OOO327878:OOP327906 OYK327878:OYL327906 PIG327878:PIH327906 PSC327878:PSD327906 QBY327878:QBZ327906 QLU327878:QLV327906 QVQ327878:QVR327906 RFM327878:RFN327906 RPI327878:RPJ327906 RZE327878:RZF327906 SJA327878:SJB327906 SSW327878:SSX327906 TCS327878:TCT327906 TMO327878:TMP327906 TWK327878:TWL327906 UGG327878:UGH327906 UQC327878:UQD327906 UZY327878:UZZ327906 VJU327878:VJV327906 VTQ327878:VTR327906 WDM327878:WDN327906 WNI327878:WNJ327906 WXE327878:WXF327906 KS393414:KT393442 UO393414:UP393442 AEK393414:AEL393442 AOG393414:AOH393442 AYC393414:AYD393442 BHY393414:BHZ393442 BRU393414:BRV393442 CBQ393414:CBR393442 CLM393414:CLN393442 CVI393414:CVJ393442 DFE393414:DFF393442 DPA393414:DPB393442 DYW393414:DYX393442 EIS393414:EIT393442 ESO393414:ESP393442 FCK393414:FCL393442 FMG393414:FMH393442 FWC393414:FWD393442 GFY393414:GFZ393442 GPU393414:GPV393442 GZQ393414:GZR393442 HJM393414:HJN393442 HTI393414:HTJ393442 IDE393414:IDF393442 INA393414:INB393442 IWW393414:IWX393442 JGS393414:JGT393442 JQO393414:JQP393442 KAK393414:KAL393442 KKG393414:KKH393442 KUC393414:KUD393442 LDY393414:LDZ393442 LNU393414:LNV393442 LXQ393414:LXR393442 MHM393414:MHN393442 MRI393414:MRJ393442 NBE393414:NBF393442 NLA393414:NLB393442 NUW393414:NUX393442 OES393414:OET393442 OOO393414:OOP393442 OYK393414:OYL393442 PIG393414:PIH393442 PSC393414:PSD393442 QBY393414:QBZ393442 QLU393414:QLV393442 QVQ393414:QVR393442 RFM393414:RFN393442 RPI393414:RPJ393442 RZE393414:RZF393442 SJA393414:SJB393442 SSW393414:SSX393442 TCS393414:TCT393442 TMO393414:TMP393442 TWK393414:TWL393442 UGG393414:UGH393442 UQC393414:UQD393442 UZY393414:UZZ393442 VJU393414:VJV393442 VTQ393414:VTR393442 WDM393414:WDN393442 WNI393414:WNJ393442 WXE393414:WXF393442 KS458950:KT458978 UO458950:UP458978 AEK458950:AEL458978 AOG458950:AOH458978 AYC458950:AYD458978 BHY458950:BHZ458978 BRU458950:BRV458978 CBQ458950:CBR458978 CLM458950:CLN458978 CVI458950:CVJ458978 DFE458950:DFF458978 DPA458950:DPB458978 DYW458950:DYX458978 EIS458950:EIT458978 ESO458950:ESP458978 FCK458950:FCL458978 FMG458950:FMH458978 FWC458950:FWD458978 GFY458950:GFZ458978 GPU458950:GPV458978 GZQ458950:GZR458978 HJM458950:HJN458978 HTI458950:HTJ458978 IDE458950:IDF458978 INA458950:INB458978 IWW458950:IWX458978 JGS458950:JGT458978 JQO458950:JQP458978 KAK458950:KAL458978 KKG458950:KKH458978 KUC458950:KUD458978 LDY458950:LDZ458978 LNU458950:LNV458978 LXQ458950:LXR458978 MHM458950:MHN458978 MRI458950:MRJ458978 NBE458950:NBF458978 NLA458950:NLB458978 NUW458950:NUX458978 OES458950:OET458978 OOO458950:OOP458978 OYK458950:OYL458978 PIG458950:PIH458978 PSC458950:PSD458978 QBY458950:QBZ458978 QLU458950:QLV458978 QVQ458950:QVR458978 RFM458950:RFN458978 RPI458950:RPJ458978 RZE458950:RZF458978 SJA458950:SJB458978 SSW458950:SSX458978 TCS458950:TCT458978 TMO458950:TMP458978 TWK458950:TWL458978 UGG458950:UGH458978 UQC458950:UQD458978 UZY458950:UZZ458978 VJU458950:VJV458978 VTQ458950:VTR458978 WDM458950:WDN458978 WNI458950:WNJ458978 WXE458950:WXF458978 KS524486:KT524514 UO524486:UP524514 AEK524486:AEL524514 AOG524486:AOH524514 AYC524486:AYD524514 BHY524486:BHZ524514 BRU524486:BRV524514 CBQ524486:CBR524514 CLM524486:CLN524514 CVI524486:CVJ524514 DFE524486:DFF524514 DPA524486:DPB524514 DYW524486:DYX524514 EIS524486:EIT524514 ESO524486:ESP524514 FCK524486:FCL524514 FMG524486:FMH524514 FWC524486:FWD524514 GFY524486:GFZ524514 GPU524486:GPV524514 GZQ524486:GZR524514 HJM524486:HJN524514 HTI524486:HTJ524514 IDE524486:IDF524514 INA524486:INB524514 IWW524486:IWX524514 JGS524486:JGT524514 JQO524486:JQP524514 KAK524486:KAL524514 KKG524486:KKH524514 KUC524486:KUD524514 LDY524486:LDZ524514 LNU524486:LNV524514 LXQ524486:LXR524514 MHM524486:MHN524514 MRI524486:MRJ524514 NBE524486:NBF524514 NLA524486:NLB524514 NUW524486:NUX524514 OES524486:OET524514 OOO524486:OOP524514 OYK524486:OYL524514 PIG524486:PIH524514 PSC524486:PSD524514 QBY524486:QBZ524514 QLU524486:QLV524514 QVQ524486:QVR524514 RFM524486:RFN524514 RPI524486:RPJ524514 RZE524486:RZF524514 SJA524486:SJB524514 SSW524486:SSX524514 TCS524486:TCT524514 TMO524486:TMP524514 TWK524486:TWL524514 UGG524486:UGH524514 UQC524486:UQD524514 UZY524486:UZZ524514 VJU524486:VJV524514 VTQ524486:VTR524514 WDM524486:WDN524514 WNI524486:WNJ524514 WXE524486:WXF524514 KS590022:KT590050 UO590022:UP590050 AEK590022:AEL590050 AOG590022:AOH590050 AYC590022:AYD590050 BHY590022:BHZ590050 BRU590022:BRV590050 CBQ590022:CBR590050 CLM590022:CLN590050 CVI590022:CVJ590050 DFE590022:DFF590050 DPA590022:DPB590050 DYW590022:DYX590050 EIS590022:EIT590050 ESO590022:ESP590050 FCK590022:FCL590050 FMG590022:FMH590050 FWC590022:FWD590050 GFY590022:GFZ590050 GPU590022:GPV590050 GZQ590022:GZR590050 HJM590022:HJN590050 HTI590022:HTJ590050 IDE590022:IDF590050 INA590022:INB590050 IWW590022:IWX590050 JGS590022:JGT590050 JQO590022:JQP590050 KAK590022:KAL590050 KKG590022:KKH590050 KUC590022:KUD590050 LDY590022:LDZ590050 LNU590022:LNV590050 LXQ590022:LXR590050 MHM590022:MHN590050 MRI590022:MRJ590050 NBE590022:NBF590050 NLA590022:NLB590050 NUW590022:NUX590050 OES590022:OET590050 OOO590022:OOP590050 OYK590022:OYL590050 PIG590022:PIH590050 PSC590022:PSD590050 QBY590022:QBZ590050 QLU590022:QLV590050 QVQ590022:QVR590050 RFM590022:RFN590050 RPI590022:RPJ590050 RZE590022:RZF590050 SJA590022:SJB590050 SSW590022:SSX590050 TCS590022:TCT590050 TMO590022:TMP590050 TWK590022:TWL590050 UGG590022:UGH590050 UQC590022:UQD590050 UZY590022:UZZ590050 VJU590022:VJV590050 VTQ590022:VTR590050 WDM590022:WDN590050 WNI590022:WNJ590050 WXE590022:WXF590050 KS655558:KT655586 UO655558:UP655586 AEK655558:AEL655586 AOG655558:AOH655586 AYC655558:AYD655586 BHY655558:BHZ655586 BRU655558:BRV655586 CBQ655558:CBR655586 CLM655558:CLN655586 CVI655558:CVJ655586 DFE655558:DFF655586 DPA655558:DPB655586 DYW655558:DYX655586 EIS655558:EIT655586 ESO655558:ESP655586 FCK655558:FCL655586 FMG655558:FMH655586 FWC655558:FWD655586 GFY655558:GFZ655586 GPU655558:GPV655586 GZQ655558:GZR655586 HJM655558:HJN655586 HTI655558:HTJ655586 IDE655558:IDF655586 INA655558:INB655586 IWW655558:IWX655586 JGS655558:JGT655586 JQO655558:JQP655586 KAK655558:KAL655586 KKG655558:KKH655586 KUC655558:KUD655586 LDY655558:LDZ655586 LNU655558:LNV655586 LXQ655558:LXR655586 MHM655558:MHN655586 MRI655558:MRJ655586 NBE655558:NBF655586 NLA655558:NLB655586 NUW655558:NUX655586 OES655558:OET655586 OOO655558:OOP655586 OYK655558:OYL655586 PIG655558:PIH655586 PSC655558:PSD655586 QBY655558:QBZ655586 QLU655558:QLV655586 QVQ655558:QVR655586 RFM655558:RFN655586 RPI655558:RPJ655586 RZE655558:RZF655586 SJA655558:SJB655586 SSW655558:SSX655586 TCS655558:TCT655586 TMO655558:TMP655586 TWK655558:TWL655586 UGG655558:UGH655586 UQC655558:UQD655586 UZY655558:UZZ655586 VJU655558:VJV655586 VTQ655558:VTR655586 WDM655558:WDN655586 WNI655558:WNJ655586 WXE655558:WXF655586 KS721094:KT721122 UO721094:UP721122 AEK721094:AEL721122 AOG721094:AOH721122 AYC721094:AYD721122 BHY721094:BHZ721122 BRU721094:BRV721122 CBQ721094:CBR721122 CLM721094:CLN721122 CVI721094:CVJ721122 DFE721094:DFF721122 DPA721094:DPB721122 DYW721094:DYX721122 EIS721094:EIT721122 ESO721094:ESP721122 FCK721094:FCL721122 FMG721094:FMH721122 FWC721094:FWD721122 GFY721094:GFZ721122 GPU721094:GPV721122 GZQ721094:GZR721122 HJM721094:HJN721122 HTI721094:HTJ721122 IDE721094:IDF721122 INA721094:INB721122 IWW721094:IWX721122 JGS721094:JGT721122 JQO721094:JQP721122 KAK721094:KAL721122 KKG721094:KKH721122 KUC721094:KUD721122 LDY721094:LDZ721122 LNU721094:LNV721122 LXQ721094:LXR721122 MHM721094:MHN721122 MRI721094:MRJ721122 NBE721094:NBF721122 NLA721094:NLB721122 NUW721094:NUX721122 OES721094:OET721122 OOO721094:OOP721122 OYK721094:OYL721122 PIG721094:PIH721122 PSC721094:PSD721122 QBY721094:QBZ721122 QLU721094:QLV721122 QVQ721094:QVR721122 RFM721094:RFN721122 RPI721094:RPJ721122 RZE721094:RZF721122 SJA721094:SJB721122 SSW721094:SSX721122 TCS721094:TCT721122 TMO721094:TMP721122 TWK721094:TWL721122 UGG721094:UGH721122 UQC721094:UQD721122 UZY721094:UZZ721122 VJU721094:VJV721122 VTQ721094:VTR721122 WDM721094:WDN721122 WNI721094:WNJ721122 WXE721094:WXF721122 KS786630:KT786658 UO786630:UP786658 AEK786630:AEL786658 AOG786630:AOH786658 AYC786630:AYD786658 BHY786630:BHZ786658 BRU786630:BRV786658 CBQ786630:CBR786658 CLM786630:CLN786658 CVI786630:CVJ786658 DFE786630:DFF786658 DPA786630:DPB786658 DYW786630:DYX786658 EIS786630:EIT786658 ESO786630:ESP786658 FCK786630:FCL786658 FMG786630:FMH786658 FWC786630:FWD786658 GFY786630:GFZ786658 GPU786630:GPV786658 GZQ786630:GZR786658 HJM786630:HJN786658 HTI786630:HTJ786658 IDE786630:IDF786658 INA786630:INB786658 IWW786630:IWX786658 JGS786630:JGT786658 JQO786630:JQP786658 KAK786630:KAL786658 KKG786630:KKH786658 KUC786630:KUD786658 LDY786630:LDZ786658 LNU786630:LNV786658 LXQ786630:LXR786658 MHM786630:MHN786658 MRI786630:MRJ786658 NBE786630:NBF786658 NLA786630:NLB786658 NUW786630:NUX786658 OES786630:OET786658 OOO786630:OOP786658 OYK786630:OYL786658 PIG786630:PIH786658 PSC786630:PSD786658 QBY786630:QBZ786658 QLU786630:QLV786658 QVQ786630:QVR786658 RFM786630:RFN786658 RPI786630:RPJ786658 RZE786630:RZF786658 SJA786630:SJB786658 SSW786630:SSX786658 TCS786630:TCT786658 TMO786630:TMP786658 TWK786630:TWL786658 UGG786630:UGH786658 UQC786630:UQD786658 UZY786630:UZZ786658 VJU786630:VJV786658 VTQ786630:VTR786658 WDM786630:WDN786658 WNI786630:WNJ786658 WXE786630:WXF786658 KS852166:KT852194 UO852166:UP852194 AEK852166:AEL852194 AOG852166:AOH852194 AYC852166:AYD852194 BHY852166:BHZ852194 BRU852166:BRV852194 CBQ852166:CBR852194 CLM852166:CLN852194 CVI852166:CVJ852194 DFE852166:DFF852194 DPA852166:DPB852194 DYW852166:DYX852194 EIS852166:EIT852194 ESO852166:ESP852194 FCK852166:FCL852194 FMG852166:FMH852194 FWC852166:FWD852194 GFY852166:GFZ852194 GPU852166:GPV852194 GZQ852166:GZR852194 HJM852166:HJN852194 HTI852166:HTJ852194 IDE852166:IDF852194 INA852166:INB852194 IWW852166:IWX852194 JGS852166:JGT852194 JQO852166:JQP852194 KAK852166:KAL852194 KKG852166:KKH852194 KUC852166:KUD852194 LDY852166:LDZ852194 LNU852166:LNV852194 LXQ852166:LXR852194 MHM852166:MHN852194 MRI852166:MRJ852194 NBE852166:NBF852194 NLA852166:NLB852194 NUW852166:NUX852194 OES852166:OET852194 OOO852166:OOP852194 OYK852166:OYL852194 PIG852166:PIH852194 PSC852166:PSD852194 QBY852166:QBZ852194 QLU852166:QLV852194 QVQ852166:QVR852194 RFM852166:RFN852194 RPI852166:RPJ852194 RZE852166:RZF852194 SJA852166:SJB852194 SSW852166:SSX852194 TCS852166:TCT852194 TMO852166:TMP852194 TWK852166:TWL852194 UGG852166:UGH852194 UQC852166:UQD852194 UZY852166:UZZ852194 VJU852166:VJV852194 VTQ852166:VTR852194 WDM852166:WDN852194 WNI852166:WNJ852194 WXE852166:WXF852194 KS917702:KT917730 UO917702:UP917730 AEK917702:AEL917730 AOG917702:AOH917730 AYC917702:AYD917730 BHY917702:BHZ917730 BRU917702:BRV917730 CBQ917702:CBR917730 CLM917702:CLN917730 CVI917702:CVJ917730 DFE917702:DFF917730 DPA917702:DPB917730 DYW917702:DYX917730 EIS917702:EIT917730 ESO917702:ESP917730 FCK917702:FCL917730 FMG917702:FMH917730 FWC917702:FWD917730 GFY917702:GFZ917730 GPU917702:GPV917730 GZQ917702:GZR917730 HJM917702:HJN917730 HTI917702:HTJ917730 IDE917702:IDF917730 INA917702:INB917730 IWW917702:IWX917730 JGS917702:JGT917730 JQO917702:JQP917730 KAK917702:KAL917730 KKG917702:KKH917730 KUC917702:KUD917730 LDY917702:LDZ917730 LNU917702:LNV917730 LXQ917702:LXR917730 MHM917702:MHN917730 MRI917702:MRJ917730 NBE917702:NBF917730 NLA917702:NLB917730 NUW917702:NUX917730 OES917702:OET917730 OOO917702:OOP917730 OYK917702:OYL917730 PIG917702:PIH917730 PSC917702:PSD917730 QBY917702:QBZ917730 QLU917702:QLV917730 QVQ917702:QVR917730 RFM917702:RFN917730 RPI917702:RPJ917730 RZE917702:RZF917730 SJA917702:SJB917730 SSW917702:SSX917730 TCS917702:TCT917730 TMO917702:TMP917730 TWK917702:TWL917730 UGG917702:UGH917730 UQC917702:UQD917730 UZY917702:UZZ917730 VJU917702:VJV917730 VTQ917702:VTR917730 WDM917702:WDN917730 WNI917702:WNJ917730 WXE917702:WXF917730 KS983238:KT983266 UO983238:UP983266 AEK983238:AEL983266 AOG983238:AOH983266 AYC983238:AYD983266 BHY983238:BHZ983266 BRU983238:BRV983266 CBQ983238:CBR983266 CLM983238:CLN983266 CVI983238:CVJ983266 DFE983238:DFF983266 DPA983238:DPB983266 DYW983238:DYX983266 EIS983238:EIT983266 ESO983238:ESP983266 FCK983238:FCL983266 FMG983238:FMH983266 FWC983238:FWD983266 GFY983238:GFZ983266 GPU983238:GPV983266 GZQ983238:GZR983266 HJM983238:HJN983266 HTI983238:HTJ983266 IDE983238:IDF983266 INA983238:INB983266 IWW983238:IWX983266 JGS983238:JGT983266 JQO983238:JQP983266 KAK983238:KAL983266 KKG983238:KKH983266 KUC983238:KUD983266 LDY983238:LDZ983266 LNU983238:LNV983266 LXQ983238:LXR983266 MHM983238:MHN983266 MRI983238:MRJ983266 NBE983238:NBF983266 NLA983238:NLB983266 NUW983238:NUX983266 OES983238:OET983266 OOO983238:OOP983266 OYK983238:OYL983266 PIG983238:PIH983266 PSC983238:PSD983266 QBY983238:QBZ983266 QLU983238:QLV983266 QVQ983238:QVR983266 RFM983238:RFN983266 RPI983238:RPJ983266 RZE983238:RZF983266 SJA983238:SJB983266 SSW983238:SSX983266 TCS983238:TCT983266 TMO983238:TMP983266 TWK983238:TWL983266 UGG983238:UGH983266 UQC983238:UQD983266 UZY983238:UZZ983266 VJU983238:VJV983266 VTQ983238:VTR983266 WDM983238:WDN983266 WNI983238:WNJ983266 WXE983238:WXF983266 KS983158:KT983162 UO983158:UP983162 AEK983158:AEL983162 AOG983158:AOH983162 AYC983158:AYD983162 BHY983158:BHZ983162 BRU983158:BRV983162 CBQ983158:CBR983162 CLM983158:CLN983162 CVI983158:CVJ983162 DFE983158:DFF983162 DPA983158:DPB983162 DYW983158:DYX983162 EIS983158:EIT983162 ESO983158:ESP983162 FCK983158:FCL983162 FMG983158:FMH983162 FWC983158:FWD983162 GFY983158:GFZ983162 GPU983158:GPV983162 GZQ983158:GZR983162 HJM983158:HJN983162 HTI983158:HTJ983162 IDE983158:IDF983162 INA983158:INB983162 IWW983158:IWX983162 JGS983158:JGT983162 JQO983158:JQP983162 KAK983158:KAL983162 KKG983158:KKH983162 KUC983158:KUD983162 LDY983158:LDZ983162 LNU983158:LNV983162 LXQ983158:LXR983162 MHM983158:MHN983162 MRI983158:MRJ983162 NBE983158:NBF983162 NLA983158:NLB983162 NUW983158:NUX983162 OES983158:OET983162 OOO983158:OOP983162 OYK983158:OYL983162 PIG983158:PIH983162 PSC983158:PSD983162 QBY983158:QBZ983162 QLU983158:QLV983162 QVQ983158:QVR983162 RFM983158:RFN983162 RPI983158:RPJ983162 RZE983158:RZF983162 SJA983158:SJB983162 SSW983158:SSX983162 TCS983158:TCT983162 TMO983158:TMP983162 TWK983158:TWL983162 UGG983158:UGH983162 UQC983158:UQD983162 UZY983158:UZZ983162 VJU983158:VJV983162 VTQ983158:VTR983162 WDM983158:WDN983162 WNI983158:WNJ983162 WXE983158:WXF983162 KS65730:KT65731 UO65730:UP65731 AEK65730:AEL65731 AOG65730:AOH65731 AYC65730:AYD65731 BHY65730:BHZ65731 BRU65730:BRV65731 CBQ65730:CBR65731 CLM65730:CLN65731 CVI65730:CVJ65731 DFE65730:DFF65731 DPA65730:DPB65731 DYW65730:DYX65731 EIS65730:EIT65731 ESO65730:ESP65731 FCK65730:FCL65731 FMG65730:FMH65731 FWC65730:FWD65731 GFY65730:GFZ65731 GPU65730:GPV65731 GZQ65730:GZR65731 HJM65730:HJN65731 HTI65730:HTJ65731 IDE65730:IDF65731 INA65730:INB65731 IWW65730:IWX65731 JGS65730:JGT65731 JQO65730:JQP65731 KAK65730:KAL65731 KKG65730:KKH65731 KUC65730:KUD65731 LDY65730:LDZ65731 LNU65730:LNV65731 LXQ65730:LXR65731 MHM65730:MHN65731 MRI65730:MRJ65731 NBE65730:NBF65731 NLA65730:NLB65731 NUW65730:NUX65731 OES65730:OET65731 OOO65730:OOP65731 OYK65730:OYL65731 PIG65730:PIH65731 PSC65730:PSD65731 QBY65730:QBZ65731 QLU65730:QLV65731 QVQ65730:QVR65731 RFM65730:RFN65731 RPI65730:RPJ65731 RZE65730:RZF65731 SJA65730:SJB65731 SSW65730:SSX65731 TCS65730:TCT65731 TMO65730:TMP65731 TWK65730:TWL65731 UGG65730:UGH65731 UQC65730:UQD65731 UZY65730:UZZ65731 VJU65730:VJV65731 VTQ65730:VTR65731 WDM65730:WDN65731 WNI65730:WNJ65731 WXE65730:WXF65731 KS131266:KT131267 UO131266:UP131267 AEK131266:AEL131267 AOG131266:AOH131267 AYC131266:AYD131267 BHY131266:BHZ131267 BRU131266:BRV131267 CBQ131266:CBR131267 CLM131266:CLN131267 CVI131266:CVJ131267 DFE131266:DFF131267 DPA131266:DPB131267 DYW131266:DYX131267 EIS131266:EIT131267 ESO131266:ESP131267 FCK131266:FCL131267 FMG131266:FMH131267 FWC131266:FWD131267 GFY131266:GFZ131267 GPU131266:GPV131267 GZQ131266:GZR131267 HJM131266:HJN131267 HTI131266:HTJ131267 IDE131266:IDF131267 INA131266:INB131267 IWW131266:IWX131267 JGS131266:JGT131267 JQO131266:JQP131267 KAK131266:KAL131267 KKG131266:KKH131267 KUC131266:KUD131267 LDY131266:LDZ131267 LNU131266:LNV131267 LXQ131266:LXR131267 MHM131266:MHN131267 MRI131266:MRJ131267 NBE131266:NBF131267 NLA131266:NLB131267 NUW131266:NUX131267 OES131266:OET131267 OOO131266:OOP131267 OYK131266:OYL131267 PIG131266:PIH131267 PSC131266:PSD131267 QBY131266:QBZ131267 QLU131266:QLV131267 QVQ131266:QVR131267 RFM131266:RFN131267 RPI131266:RPJ131267 RZE131266:RZF131267 SJA131266:SJB131267 SSW131266:SSX131267 TCS131266:TCT131267 TMO131266:TMP131267 TWK131266:TWL131267 UGG131266:UGH131267 UQC131266:UQD131267 UZY131266:UZZ131267 VJU131266:VJV131267 VTQ131266:VTR131267 WDM131266:WDN131267 WNI131266:WNJ131267 WXE131266:WXF131267 KS196802:KT196803 UO196802:UP196803 AEK196802:AEL196803 AOG196802:AOH196803 AYC196802:AYD196803 BHY196802:BHZ196803 BRU196802:BRV196803 CBQ196802:CBR196803 CLM196802:CLN196803 CVI196802:CVJ196803 DFE196802:DFF196803 DPA196802:DPB196803 DYW196802:DYX196803 EIS196802:EIT196803 ESO196802:ESP196803 FCK196802:FCL196803 FMG196802:FMH196803 FWC196802:FWD196803 GFY196802:GFZ196803 GPU196802:GPV196803 GZQ196802:GZR196803 HJM196802:HJN196803 HTI196802:HTJ196803 IDE196802:IDF196803 INA196802:INB196803 IWW196802:IWX196803 JGS196802:JGT196803 JQO196802:JQP196803 KAK196802:KAL196803 KKG196802:KKH196803 KUC196802:KUD196803 LDY196802:LDZ196803 LNU196802:LNV196803 LXQ196802:LXR196803 MHM196802:MHN196803 MRI196802:MRJ196803 NBE196802:NBF196803 NLA196802:NLB196803 NUW196802:NUX196803 OES196802:OET196803 OOO196802:OOP196803 OYK196802:OYL196803 PIG196802:PIH196803 PSC196802:PSD196803 QBY196802:QBZ196803 QLU196802:QLV196803 QVQ196802:QVR196803 RFM196802:RFN196803 RPI196802:RPJ196803 RZE196802:RZF196803 SJA196802:SJB196803 SSW196802:SSX196803 TCS196802:TCT196803 TMO196802:TMP196803 TWK196802:TWL196803 UGG196802:UGH196803 UQC196802:UQD196803 UZY196802:UZZ196803 VJU196802:VJV196803 VTQ196802:VTR196803 WDM196802:WDN196803 WNI196802:WNJ196803 WXE196802:WXF196803 KS262338:KT262339 UO262338:UP262339 AEK262338:AEL262339 AOG262338:AOH262339 AYC262338:AYD262339 BHY262338:BHZ262339 BRU262338:BRV262339 CBQ262338:CBR262339 CLM262338:CLN262339 CVI262338:CVJ262339 DFE262338:DFF262339 DPA262338:DPB262339 DYW262338:DYX262339 EIS262338:EIT262339 ESO262338:ESP262339 FCK262338:FCL262339 FMG262338:FMH262339 FWC262338:FWD262339 GFY262338:GFZ262339 GPU262338:GPV262339 GZQ262338:GZR262339 HJM262338:HJN262339 HTI262338:HTJ262339 IDE262338:IDF262339 INA262338:INB262339 IWW262338:IWX262339 JGS262338:JGT262339 JQO262338:JQP262339 KAK262338:KAL262339 KKG262338:KKH262339 KUC262338:KUD262339 LDY262338:LDZ262339 LNU262338:LNV262339 LXQ262338:LXR262339 MHM262338:MHN262339 MRI262338:MRJ262339 NBE262338:NBF262339 NLA262338:NLB262339 NUW262338:NUX262339 OES262338:OET262339 OOO262338:OOP262339 OYK262338:OYL262339 PIG262338:PIH262339 PSC262338:PSD262339 QBY262338:QBZ262339 QLU262338:QLV262339 QVQ262338:QVR262339 RFM262338:RFN262339 RPI262338:RPJ262339 RZE262338:RZF262339 SJA262338:SJB262339 SSW262338:SSX262339 TCS262338:TCT262339 TMO262338:TMP262339 TWK262338:TWL262339 UGG262338:UGH262339 UQC262338:UQD262339 UZY262338:UZZ262339 VJU262338:VJV262339 VTQ262338:VTR262339 WDM262338:WDN262339 WNI262338:WNJ262339 WXE262338:WXF262339 KS327874:KT327875 UO327874:UP327875 AEK327874:AEL327875 AOG327874:AOH327875 AYC327874:AYD327875 BHY327874:BHZ327875 BRU327874:BRV327875 CBQ327874:CBR327875 CLM327874:CLN327875 CVI327874:CVJ327875 DFE327874:DFF327875 DPA327874:DPB327875 DYW327874:DYX327875 EIS327874:EIT327875 ESO327874:ESP327875 FCK327874:FCL327875 FMG327874:FMH327875 FWC327874:FWD327875 GFY327874:GFZ327875 GPU327874:GPV327875 GZQ327874:GZR327875 HJM327874:HJN327875 HTI327874:HTJ327875 IDE327874:IDF327875 INA327874:INB327875 IWW327874:IWX327875 JGS327874:JGT327875 JQO327874:JQP327875 KAK327874:KAL327875 KKG327874:KKH327875 KUC327874:KUD327875 LDY327874:LDZ327875 LNU327874:LNV327875 LXQ327874:LXR327875 MHM327874:MHN327875 MRI327874:MRJ327875 NBE327874:NBF327875 NLA327874:NLB327875 NUW327874:NUX327875 OES327874:OET327875 OOO327874:OOP327875 OYK327874:OYL327875 PIG327874:PIH327875 PSC327874:PSD327875 QBY327874:QBZ327875 QLU327874:QLV327875 QVQ327874:QVR327875 RFM327874:RFN327875 RPI327874:RPJ327875 RZE327874:RZF327875 SJA327874:SJB327875 SSW327874:SSX327875 TCS327874:TCT327875 TMO327874:TMP327875 TWK327874:TWL327875 UGG327874:UGH327875 UQC327874:UQD327875 UZY327874:UZZ327875 VJU327874:VJV327875 VTQ327874:VTR327875 WDM327874:WDN327875 WNI327874:WNJ327875 WXE327874:WXF327875 KS393410:KT393411 UO393410:UP393411 AEK393410:AEL393411 AOG393410:AOH393411 AYC393410:AYD393411 BHY393410:BHZ393411 BRU393410:BRV393411 CBQ393410:CBR393411 CLM393410:CLN393411 CVI393410:CVJ393411 DFE393410:DFF393411 DPA393410:DPB393411 DYW393410:DYX393411 EIS393410:EIT393411 ESO393410:ESP393411 FCK393410:FCL393411 FMG393410:FMH393411 FWC393410:FWD393411 GFY393410:GFZ393411 GPU393410:GPV393411 GZQ393410:GZR393411 HJM393410:HJN393411 HTI393410:HTJ393411 IDE393410:IDF393411 INA393410:INB393411 IWW393410:IWX393411 JGS393410:JGT393411 JQO393410:JQP393411 KAK393410:KAL393411 KKG393410:KKH393411 KUC393410:KUD393411 LDY393410:LDZ393411 LNU393410:LNV393411 LXQ393410:LXR393411 MHM393410:MHN393411 MRI393410:MRJ393411 NBE393410:NBF393411 NLA393410:NLB393411 NUW393410:NUX393411 OES393410:OET393411 OOO393410:OOP393411 OYK393410:OYL393411 PIG393410:PIH393411 PSC393410:PSD393411 QBY393410:QBZ393411 QLU393410:QLV393411 QVQ393410:QVR393411 RFM393410:RFN393411 RPI393410:RPJ393411 RZE393410:RZF393411 SJA393410:SJB393411 SSW393410:SSX393411 TCS393410:TCT393411 TMO393410:TMP393411 TWK393410:TWL393411 UGG393410:UGH393411 UQC393410:UQD393411 UZY393410:UZZ393411 VJU393410:VJV393411 VTQ393410:VTR393411 WDM393410:WDN393411 WNI393410:WNJ393411 WXE393410:WXF393411 KS458946:KT458947 UO458946:UP458947 AEK458946:AEL458947 AOG458946:AOH458947 AYC458946:AYD458947 BHY458946:BHZ458947 BRU458946:BRV458947 CBQ458946:CBR458947 CLM458946:CLN458947 CVI458946:CVJ458947 DFE458946:DFF458947 DPA458946:DPB458947 DYW458946:DYX458947 EIS458946:EIT458947 ESO458946:ESP458947 FCK458946:FCL458947 FMG458946:FMH458947 FWC458946:FWD458947 GFY458946:GFZ458947 GPU458946:GPV458947 GZQ458946:GZR458947 HJM458946:HJN458947 HTI458946:HTJ458947 IDE458946:IDF458947 INA458946:INB458947 IWW458946:IWX458947 JGS458946:JGT458947 JQO458946:JQP458947 KAK458946:KAL458947 KKG458946:KKH458947 KUC458946:KUD458947 LDY458946:LDZ458947 LNU458946:LNV458947 LXQ458946:LXR458947 MHM458946:MHN458947 MRI458946:MRJ458947 NBE458946:NBF458947 NLA458946:NLB458947 NUW458946:NUX458947 OES458946:OET458947 OOO458946:OOP458947 OYK458946:OYL458947 PIG458946:PIH458947 PSC458946:PSD458947 QBY458946:QBZ458947 QLU458946:QLV458947 QVQ458946:QVR458947 RFM458946:RFN458947 RPI458946:RPJ458947 RZE458946:RZF458947 SJA458946:SJB458947 SSW458946:SSX458947 TCS458946:TCT458947 TMO458946:TMP458947 TWK458946:TWL458947 UGG458946:UGH458947 UQC458946:UQD458947 UZY458946:UZZ458947 VJU458946:VJV458947 VTQ458946:VTR458947 WDM458946:WDN458947 WNI458946:WNJ458947 WXE458946:WXF458947 KS524482:KT524483 UO524482:UP524483 AEK524482:AEL524483 AOG524482:AOH524483 AYC524482:AYD524483 BHY524482:BHZ524483 BRU524482:BRV524483 CBQ524482:CBR524483 CLM524482:CLN524483 CVI524482:CVJ524483 DFE524482:DFF524483 DPA524482:DPB524483 DYW524482:DYX524483 EIS524482:EIT524483 ESO524482:ESP524483 FCK524482:FCL524483 FMG524482:FMH524483 FWC524482:FWD524483 GFY524482:GFZ524483 GPU524482:GPV524483 GZQ524482:GZR524483 HJM524482:HJN524483 HTI524482:HTJ524483 IDE524482:IDF524483 INA524482:INB524483 IWW524482:IWX524483 JGS524482:JGT524483 JQO524482:JQP524483 KAK524482:KAL524483 KKG524482:KKH524483 KUC524482:KUD524483 LDY524482:LDZ524483 LNU524482:LNV524483 LXQ524482:LXR524483 MHM524482:MHN524483 MRI524482:MRJ524483 NBE524482:NBF524483 NLA524482:NLB524483 NUW524482:NUX524483 OES524482:OET524483 OOO524482:OOP524483 OYK524482:OYL524483 PIG524482:PIH524483 PSC524482:PSD524483 QBY524482:QBZ524483 QLU524482:QLV524483 QVQ524482:QVR524483 RFM524482:RFN524483 RPI524482:RPJ524483 RZE524482:RZF524483 SJA524482:SJB524483 SSW524482:SSX524483 TCS524482:TCT524483 TMO524482:TMP524483 TWK524482:TWL524483 UGG524482:UGH524483 UQC524482:UQD524483 UZY524482:UZZ524483 VJU524482:VJV524483 VTQ524482:VTR524483 WDM524482:WDN524483 WNI524482:WNJ524483 WXE524482:WXF524483 KS590018:KT590019 UO590018:UP590019 AEK590018:AEL590019 AOG590018:AOH590019 AYC590018:AYD590019 BHY590018:BHZ590019 BRU590018:BRV590019 CBQ590018:CBR590019 CLM590018:CLN590019 CVI590018:CVJ590019 DFE590018:DFF590019 DPA590018:DPB590019 DYW590018:DYX590019 EIS590018:EIT590019 ESO590018:ESP590019 FCK590018:FCL590019 FMG590018:FMH590019 FWC590018:FWD590019 GFY590018:GFZ590019 GPU590018:GPV590019 GZQ590018:GZR590019 HJM590018:HJN590019 HTI590018:HTJ590019 IDE590018:IDF590019 INA590018:INB590019 IWW590018:IWX590019 JGS590018:JGT590019 JQO590018:JQP590019 KAK590018:KAL590019 KKG590018:KKH590019 KUC590018:KUD590019 LDY590018:LDZ590019 LNU590018:LNV590019 LXQ590018:LXR590019 MHM590018:MHN590019 MRI590018:MRJ590019 NBE590018:NBF590019 NLA590018:NLB590019 NUW590018:NUX590019 OES590018:OET590019 OOO590018:OOP590019 OYK590018:OYL590019 PIG590018:PIH590019 PSC590018:PSD590019 QBY590018:QBZ590019 QLU590018:QLV590019 QVQ590018:QVR590019 RFM590018:RFN590019 RPI590018:RPJ590019 RZE590018:RZF590019 SJA590018:SJB590019 SSW590018:SSX590019 TCS590018:TCT590019 TMO590018:TMP590019 TWK590018:TWL590019 UGG590018:UGH590019 UQC590018:UQD590019 UZY590018:UZZ590019 VJU590018:VJV590019 VTQ590018:VTR590019 WDM590018:WDN590019 WNI590018:WNJ590019 WXE590018:WXF590019 KS655554:KT655555 UO655554:UP655555 AEK655554:AEL655555 AOG655554:AOH655555 AYC655554:AYD655555 BHY655554:BHZ655555 BRU655554:BRV655555 CBQ655554:CBR655555 CLM655554:CLN655555 CVI655554:CVJ655555 DFE655554:DFF655555 DPA655554:DPB655555 DYW655554:DYX655555 EIS655554:EIT655555 ESO655554:ESP655555 FCK655554:FCL655555 FMG655554:FMH655555 FWC655554:FWD655555 GFY655554:GFZ655555 GPU655554:GPV655555 GZQ655554:GZR655555 HJM655554:HJN655555 HTI655554:HTJ655555 IDE655554:IDF655555 INA655554:INB655555 IWW655554:IWX655555 JGS655554:JGT655555 JQO655554:JQP655555 KAK655554:KAL655555 KKG655554:KKH655555 KUC655554:KUD655555 LDY655554:LDZ655555 LNU655554:LNV655555 LXQ655554:LXR655555 MHM655554:MHN655555 MRI655554:MRJ655555 NBE655554:NBF655555 NLA655554:NLB655555 NUW655554:NUX655555 OES655554:OET655555 OOO655554:OOP655555 OYK655554:OYL655555 PIG655554:PIH655555 PSC655554:PSD655555 QBY655554:QBZ655555 QLU655554:QLV655555 QVQ655554:QVR655555 RFM655554:RFN655555 RPI655554:RPJ655555 RZE655554:RZF655555 SJA655554:SJB655555 SSW655554:SSX655555 TCS655554:TCT655555 TMO655554:TMP655555 TWK655554:TWL655555 UGG655554:UGH655555 UQC655554:UQD655555 UZY655554:UZZ655555 VJU655554:VJV655555 VTQ655554:VTR655555 WDM655554:WDN655555 WNI655554:WNJ655555 WXE655554:WXF655555 KS721090:KT721091 UO721090:UP721091 AEK721090:AEL721091 AOG721090:AOH721091 AYC721090:AYD721091 BHY721090:BHZ721091 BRU721090:BRV721091 CBQ721090:CBR721091 CLM721090:CLN721091 CVI721090:CVJ721091 DFE721090:DFF721091 DPA721090:DPB721091 DYW721090:DYX721091 EIS721090:EIT721091 ESO721090:ESP721091 FCK721090:FCL721091 FMG721090:FMH721091 FWC721090:FWD721091 GFY721090:GFZ721091 GPU721090:GPV721091 GZQ721090:GZR721091 HJM721090:HJN721091 HTI721090:HTJ721091 IDE721090:IDF721091 INA721090:INB721091 IWW721090:IWX721091 JGS721090:JGT721091 JQO721090:JQP721091 KAK721090:KAL721091 KKG721090:KKH721091 KUC721090:KUD721091 LDY721090:LDZ721091 LNU721090:LNV721091 LXQ721090:LXR721091 MHM721090:MHN721091 MRI721090:MRJ721091 NBE721090:NBF721091 NLA721090:NLB721091 NUW721090:NUX721091 OES721090:OET721091 OOO721090:OOP721091 OYK721090:OYL721091 PIG721090:PIH721091 PSC721090:PSD721091 QBY721090:QBZ721091 QLU721090:QLV721091 QVQ721090:QVR721091 RFM721090:RFN721091 RPI721090:RPJ721091 RZE721090:RZF721091 SJA721090:SJB721091 SSW721090:SSX721091 TCS721090:TCT721091 TMO721090:TMP721091 TWK721090:TWL721091 UGG721090:UGH721091 UQC721090:UQD721091 UZY721090:UZZ721091 VJU721090:VJV721091 VTQ721090:VTR721091 WDM721090:WDN721091 WNI721090:WNJ721091 WXE721090:WXF721091 KS786626:KT786627 UO786626:UP786627 AEK786626:AEL786627 AOG786626:AOH786627 AYC786626:AYD786627 BHY786626:BHZ786627 BRU786626:BRV786627 CBQ786626:CBR786627 CLM786626:CLN786627 CVI786626:CVJ786627 DFE786626:DFF786627 DPA786626:DPB786627 DYW786626:DYX786627 EIS786626:EIT786627 ESO786626:ESP786627 FCK786626:FCL786627 FMG786626:FMH786627 FWC786626:FWD786627 GFY786626:GFZ786627 GPU786626:GPV786627 GZQ786626:GZR786627 HJM786626:HJN786627 HTI786626:HTJ786627 IDE786626:IDF786627 INA786626:INB786627 IWW786626:IWX786627 JGS786626:JGT786627 JQO786626:JQP786627 KAK786626:KAL786627 KKG786626:KKH786627 KUC786626:KUD786627 LDY786626:LDZ786627 LNU786626:LNV786627 LXQ786626:LXR786627 MHM786626:MHN786627 MRI786626:MRJ786627 NBE786626:NBF786627 NLA786626:NLB786627 NUW786626:NUX786627 OES786626:OET786627 OOO786626:OOP786627 OYK786626:OYL786627 PIG786626:PIH786627 PSC786626:PSD786627 QBY786626:QBZ786627 QLU786626:QLV786627 QVQ786626:QVR786627 RFM786626:RFN786627 RPI786626:RPJ786627 RZE786626:RZF786627 SJA786626:SJB786627 SSW786626:SSX786627 TCS786626:TCT786627 TMO786626:TMP786627 TWK786626:TWL786627 UGG786626:UGH786627 UQC786626:UQD786627 UZY786626:UZZ786627 VJU786626:VJV786627 VTQ786626:VTR786627 WDM786626:WDN786627 WNI786626:WNJ786627 WXE786626:WXF786627 KS852162:KT852163 UO852162:UP852163 AEK852162:AEL852163 AOG852162:AOH852163 AYC852162:AYD852163 BHY852162:BHZ852163 BRU852162:BRV852163 CBQ852162:CBR852163 CLM852162:CLN852163 CVI852162:CVJ852163 DFE852162:DFF852163 DPA852162:DPB852163 DYW852162:DYX852163 EIS852162:EIT852163 ESO852162:ESP852163 FCK852162:FCL852163 FMG852162:FMH852163 FWC852162:FWD852163 GFY852162:GFZ852163 GPU852162:GPV852163 GZQ852162:GZR852163 HJM852162:HJN852163 HTI852162:HTJ852163 IDE852162:IDF852163 INA852162:INB852163 IWW852162:IWX852163 JGS852162:JGT852163 JQO852162:JQP852163 KAK852162:KAL852163 KKG852162:KKH852163 KUC852162:KUD852163 LDY852162:LDZ852163 LNU852162:LNV852163 LXQ852162:LXR852163 MHM852162:MHN852163 MRI852162:MRJ852163 NBE852162:NBF852163 NLA852162:NLB852163 NUW852162:NUX852163 OES852162:OET852163 OOO852162:OOP852163 OYK852162:OYL852163 PIG852162:PIH852163 PSC852162:PSD852163 QBY852162:QBZ852163 QLU852162:QLV852163 QVQ852162:QVR852163 RFM852162:RFN852163 RPI852162:RPJ852163 RZE852162:RZF852163 SJA852162:SJB852163 SSW852162:SSX852163 TCS852162:TCT852163 TMO852162:TMP852163 TWK852162:TWL852163 UGG852162:UGH852163 UQC852162:UQD852163 UZY852162:UZZ852163 VJU852162:VJV852163 VTQ852162:VTR852163 WDM852162:WDN852163 WNI852162:WNJ852163 WXE852162:WXF852163 KS917698:KT917699 UO917698:UP917699 AEK917698:AEL917699 AOG917698:AOH917699 AYC917698:AYD917699 BHY917698:BHZ917699 BRU917698:BRV917699 CBQ917698:CBR917699 CLM917698:CLN917699 CVI917698:CVJ917699 DFE917698:DFF917699 DPA917698:DPB917699 DYW917698:DYX917699 EIS917698:EIT917699 ESO917698:ESP917699 FCK917698:FCL917699 FMG917698:FMH917699 FWC917698:FWD917699 GFY917698:GFZ917699 GPU917698:GPV917699 GZQ917698:GZR917699 HJM917698:HJN917699 HTI917698:HTJ917699 IDE917698:IDF917699 INA917698:INB917699 IWW917698:IWX917699 JGS917698:JGT917699 JQO917698:JQP917699 KAK917698:KAL917699 KKG917698:KKH917699 KUC917698:KUD917699 LDY917698:LDZ917699 LNU917698:LNV917699 LXQ917698:LXR917699 MHM917698:MHN917699 MRI917698:MRJ917699 NBE917698:NBF917699 NLA917698:NLB917699 NUW917698:NUX917699 OES917698:OET917699 OOO917698:OOP917699 OYK917698:OYL917699 PIG917698:PIH917699 PSC917698:PSD917699 QBY917698:QBZ917699 QLU917698:QLV917699 QVQ917698:QVR917699 RFM917698:RFN917699 RPI917698:RPJ917699 RZE917698:RZF917699 SJA917698:SJB917699 SSW917698:SSX917699 TCS917698:TCT917699 TMO917698:TMP917699 TWK917698:TWL917699 UGG917698:UGH917699 UQC917698:UQD917699 UZY917698:UZZ917699 VJU917698:VJV917699 VTQ917698:VTR917699 WDM917698:WDN917699 WNI917698:WNJ917699 WXE917698:WXF917699 KS983234:KT983235 UO983234:UP983235 AEK983234:AEL983235 AOG983234:AOH983235 AYC983234:AYD983235 BHY983234:BHZ983235 BRU983234:BRV983235 CBQ983234:CBR983235 CLM983234:CLN983235 CVI983234:CVJ983235 DFE983234:DFF983235 DPA983234:DPB983235 DYW983234:DYX983235 EIS983234:EIT983235 ESO983234:ESP983235 FCK983234:FCL983235 FMG983234:FMH983235 FWC983234:FWD983235 GFY983234:GFZ983235 GPU983234:GPV983235 GZQ983234:GZR983235 HJM983234:HJN983235 HTI983234:HTJ983235 IDE983234:IDF983235 INA983234:INB983235 IWW983234:IWX983235 JGS983234:JGT983235 JQO983234:JQP983235 KAK983234:KAL983235 KKG983234:KKH983235 KUC983234:KUD983235 LDY983234:LDZ983235 LNU983234:LNV983235 LXQ983234:LXR983235 MHM983234:MHN983235 MRI983234:MRJ983235 NBE983234:NBF983235 NLA983234:NLB983235 NUW983234:NUX983235 OES983234:OET983235 OOO983234:OOP983235 OYK983234:OYL983235 PIG983234:PIH983235 PSC983234:PSD983235 QBY983234:QBZ983235 QLU983234:QLV983235 QVQ983234:QVR983235 RFM983234:RFN983235 RPI983234:RPJ983235 RZE983234:RZF983235 SJA983234:SJB983235 SSW983234:SSX983235 TCS983234:TCT983235 TMO983234:TMP983235 TWK983234:TWL983235 UGG983234:UGH983235 UQC983234:UQD983235 UZY983234:UZZ983235 VJU983234:VJV983235 VTQ983234:VTR983235 WDM983234:WDN983235 WNI983234:WNJ983235 WXE983234:WXF983235 KS65654:KT65658 UO65654:UP65658 AEK65654:AEL65658 AOG65654:AOH65658 AYC65654:AYD65658 BHY65654:BHZ65658 BRU65654:BRV65658 CBQ65654:CBR65658 CLM65654:CLN65658 CVI65654:CVJ65658 DFE65654:DFF65658 DPA65654:DPB65658 DYW65654:DYX65658 EIS65654:EIT65658 ESO65654:ESP65658 FCK65654:FCL65658 FMG65654:FMH65658 FWC65654:FWD65658 GFY65654:GFZ65658 GPU65654:GPV65658 GZQ65654:GZR65658 HJM65654:HJN65658 HTI65654:HTJ65658 IDE65654:IDF65658 INA65654:INB65658 IWW65654:IWX65658 JGS65654:JGT65658 JQO65654:JQP65658 KAK65654:KAL65658 KKG65654:KKH65658 KUC65654:KUD65658 LDY65654:LDZ65658 LNU65654:LNV65658 LXQ65654:LXR65658 MHM65654:MHN65658 MRI65654:MRJ65658 NBE65654:NBF65658 NLA65654:NLB65658 NUW65654:NUX65658 OES65654:OET65658 OOO65654:OOP65658 OYK65654:OYL65658 PIG65654:PIH65658 PSC65654:PSD65658 QBY65654:QBZ65658 QLU65654:QLV65658 QVQ65654:QVR65658 RFM65654:RFN65658 RPI65654:RPJ65658 RZE65654:RZF65658 SJA65654:SJB65658 SSW65654:SSX65658 TCS65654:TCT65658 TMO65654:TMP65658 TWK65654:TWL65658 UGG65654:UGH65658 UQC65654:UQD65658 UZY65654:UZZ65658 VJU65654:VJV65658 VTQ65654:VTR65658 WDM65654:WDN65658 WNI65654:WNJ65658 WXE65654:WXF65658 KS65695:KT65695 UO65695:UP65695 AEK65695:AEL65695 AOG65695:AOH65695 AYC65695:AYD65695 BHY65695:BHZ65695 BRU65695:BRV65695 CBQ65695:CBR65695 CLM65695:CLN65695 CVI65695:CVJ65695 DFE65695:DFF65695 DPA65695:DPB65695 DYW65695:DYX65695 EIS65695:EIT65695 ESO65695:ESP65695 FCK65695:FCL65695 FMG65695:FMH65695 FWC65695:FWD65695 GFY65695:GFZ65695 GPU65695:GPV65695 GZQ65695:GZR65695 HJM65695:HJN65695 HTI65695:HTJ65695 IDE65695:IDF65695 INA65695:INB65695 IWW65695:IWX65695 JGS65695:JGT65695 JQO65695:JQP65695 KAK65695:KAL65695 KKG65695:KKH65695 KUC65695:KUD65695 LDY65695:LDZ65695 LNU65695:LNV65695 LXQ65695:LXR65695 MHM65695:MHN65695 MRI65695:MRJ65695 NBE65695:NBF65695 NLA65695:NLB65695 NUW65695:NUX65695 OES65695:OET65695 OOO65695:OOP65695 OYK65695:OYL65695 PIG65695:PIH65695 PSC65695:PSD65695 QBY65695:QBZ65695 QLU65695:QLV65695 QVQ65695:QVR65695 RFM65695:RFN65695 RPI65695:RPJ65695 RZE65695:RZF65695 SJA65695:SJB65695 SSW65695:SSX65695 TCS65695:TCT65695 TMO65695:TMP65695 TWK65695:TWL65695 UGG65695:UGH65695 UQC65695:UQD65695 UZY65695:UZZ65695 VJU65695:VJV65695 VTQ65695:VTR65695 WDM65695:WDN65695 WNI65695:WNJ65695 WXE65695:WXF65695 KS131231:KT131231 UO131231:UP131231 AEK131231:AEL131231 AOG131231:AOH131231 AYC131231:AYD131231 BHY131231:BHZ131231 BRU131231:BRV131231 CBQ131231:CBR131231 CLM131231:CLN131231 CVI131231:CVJ131231 DFE131231:DFF131231 DPA131231:DPB131231 DYW131231:DYX131231 EIS131231:EIT131231 ESO131231:ESP131231 FCK131231:FCL131231 FMG131231:FMH131231 FWC131231:FWD131231 GFY131231:GFZ131231 GPU131231:GPV131231 GZQ131231:GZR131231 HJM131231:HJN131231 HTI131231:HTJ131231 IDE131231:IDF131231 INA131231:INB131231 IWW131231:IWX131231 JGS131231:JGT131231 JQO131231:JQP131231 KAK131231:KAL131231 KKG131231:KKH131231 KUC131231:KUD131231 LDY131231:LDZ131231 LNU131231:LNV131231 LXQ131231:LXR131231 MHM131231:MHN131231 MRI131231:MRJ131231 NBE131231:NBF131231 NLA131231:NLB131231 NUW131231:NUX131231 OES131231:OET131231 OOO131231:OOP131231 OYK131231:OYL131231 PIG131231:PIH131231 PSC131231:PSD131231 QBY131231:QBZ131231 QLU131231:QLV131231 QVQ131231:QVR131231 RFM131231:RFN131231 RPI131231:RPJ131231 RZE131231:RZF131231 SJA131231:SJB131231 SSW131231:SSX131231 TCS131231:TCT131231 TMO131231:TMP131231 TWK131231:TWL131231 UGG131231:UGH131231 UQC131231:UQD131231 UZY131231:UZZ131231 VJU131231:VJV131231 VTQ131231:VTR131231 WDM131231:WDN131231 WNI131231:WNJ131231 WXE131231:WXF131231 KS196767:KT196767 UO196767:UP196767 AEK196767:AEL196767 AOG196767:AOH196767 AYC196767:AYD196767 BHY196767:BHZ196767 BRU196767:BRV196767 CBQ196767:CBR196767 CLM196767:CLN196767 CVI196767:CVJ196767 DFE196767:DFF196767 DPA196767:DPB196767 DYW196767:DYX196767 EIS196767:EIT196767 ESO196767:ESP196767 FCK196767:FCL196767 FMG196767:FMH196767 FWC196767:FWD196767 GFY196767:GFZ196767 GPU196767:GPV196767 GZQ196767:GZR196767 HJM196767:HJN196767 HTI196767:HTJ196767 IDE196767:IDF196767 INA196767:INB196767 IWW196767:IWX196767 JGS196767:JGT196767 JQO196767:JQP196767 KAK196767:KAL196767 KKG196767:KKH196767 KUC196767:KUD196767 LDY196767:LDZ196767 LNU196767:LNV196767 LXQ196767:LXR196767 MHM196767:MHN196767 MRI196767:MRJ196767 NBE196767:NBF196767 NLA196767:NLB196767 NUW196767:NUX196767 OES196767:OET196767 OOO196767:OOP196767 OYK196767:OYL196767 PIG196767:PIH196767 PSC196767:PSD196767 QBY196767:QBZ196767 QLU196767:QLV196767 QVQ196767:QVR196767 RFM196767:RFN196767 RPI196767:RPJ196767 RZE196767:RZF196767 SJA196767:SJB196767 SSW196767:SSX196767 TCS196767:TCT196767 TMO196767:TMP196767 TWK196767:TWL196767 UGG196767:UGH196767 UQC196767:UQD196767 UZY196767:UZZ196767 VJU196767:VJV196767 VTQ196767:VTR196767 WDM196767:WDN196767 WNI196767:WNJ196767 WXE196767:WXF196767 KS262303:KT262303 UO262303:UP262303 AEK262303:AEL262303 AOG262303:AOH262303 AYC262303:AYD262303 BHY262303:BHZ262303 BRU262303:BRV262303 CBQ262303:CBR262303 CLM262303:CLN262303 CVI262303:CVJ262303 DFE262303:DFF262303 DPA262303:DPB262303 DYW262303:DYX262303 EIS262303:EIT262303 ESO262303:ESP262303 FCK262303:FCL262303 FMG262303:FMH262303 FWC262303:FWD262303 GFY262303:GFZ262303 GPU262303:GPV262303 GZQ262303:GZR262303 HJM262303:HJN262303 HTI262303:HTJ262303 IDE262303:IDF262303 INA262303:INB262303 IWW262303:IWX262303 JGS262303:JGT262303 JQO262303:JQP262303 KAK262303:KAL262303 KKG262303:KKH262303 KUC262303:KUD262303 LDY262303:LDZ262303 LNU262303:LNV262303 LXQ262303:LXR262303 MHM262303:MHN262303 MRI262303:MRJ262303 NBE262303:NBF262303 NLA262303:NLB262303 NUW262303:NUX262303 OES262303:OET262303 OOO262303:OOP262303 OYK262303:OYL262303 PIG262303:PIH262303 PSC262303:PSD262303 QBY262303:QBZ262303 QLU262303:QLV262303 QVQ262303:QVR262303 RFM262303:RFN262303 RPI262303:RPJ262303 RZE262303:RZF262303 SJA262303:SJB262303 SSW262303:SSX262303 TCS262303:TCT262303 TMO262303:TMP262303 TWK262303:TWL262303 UGG262303:UGH262303 UQC262303:UQD262303 UZY262303:UZZ262303 VJU262303:VJV262303 VTQ262303:VTR262303 WDM262303:WDN262303 WNI262303:WNJ262303 WXE262303:WXF262303 KS327839:KT327839 UO327839:UP327839 AEK327839:AEL327839 AOG327839:AOH327839 AYC327839:AYD327839 BHY327839:BHZ327839 BRU327839:BRV327839 CBQ327839:CBR327839 CLM327839:CLN327839 CVI327839:CVJ327839 DFE327839:DFF327839 DPA327839:DPB327839 DYW327839:DYX327839 EIS327839:EIT327839 ESO327839:ESP327839 FCK327839:FCL327839 FMG327839:FMH327839 FWC327839:FWD327839 GFY327839:GFZ327839 GPU327839:GPV327839 GZQ327839:GZR327839 HJM327839:HJN327839 HTI327839:HTJ327839 IDE327839:IDF327839 INA327839:INB327839 IWW327839:IWX327839 JGS327839:JGT327839 JQO327839:JQP327839 KAK327839:KAL327839 KKG327839:KKH327839 KUC327839:KUD327839 LDY327839:LDZ327839 LNU327839:LNV327839 LXQ327839:LXR327839 MHM327839:MHN327839 MRI327839:MRJ327839 NBE327839:NBF327839 NLA327839:NLB327839 NUW327839:NUX327839 OES327839:OET327839 OOO327839:OOP327839 OYK327839:OYL327839 PIG327839:PIH327839 PSC327839:PSD327839 QBY327839:QBZ327839 QLU327839:QLV327839 QVQ327839:QVR327839 RFM327839:RFN327839 RPI327839:RPJ327839 RZE327839:RZF327839 SJA327839:SJB327839 SSW327839:SSX327839 TCS327839:TCT327839 TMO327839:TMP327839 TWK327839:TWL327839 UGG327839:UGH327839 UQC327839:UQD327839 UZY327839:UZZ327839 VJU327839:VJV327839 VTQ327839:VTR327839 WDM327839:WDN327839 WNI327839:WNJ327839 WXE327839:WXF327839 KS393375:KT393375 UO393375:UP393375 AEK393375:AEL393375 AOG393375:AOH393375 AYC393375:AYD393375 BHY393375:BHZ393375 BRU393375:BRV393375 CBQ393375:CBR393375 CLM393375:CLN393375 CVI393375:CVJ393375 DFE393375:DFF393375 DPA393375:DPB393375 DYW393375:DYX393375 EIS393375:EIT393375 ESO393375:ESP393375 FCK393375:FCL393375 FMG393375:FMH393375 FWC393375:FWD393375 GFY393375:GFZ393375 GPU393375:GPV393375 GZQ393375:GZR393375 HJM393375:HJN393375 HTI393375:HTJ393375 IDE393375:IDF393375 INA393375:INB393375 IWW393375:IWX393375 JGS393375:JGT393375 JQO393375:JQP393375 KAK393375:KAL393375 KKG393375:KKH393375 KUC393375:KUD393375 LDY393375:LDZ393375 LNU393375:LNV393375 LXQ393375:LXR393375 MHM393375:MHN393375 MRI393375:MRJ393375 NBE393375:NBF393375 NLA393375:NLB393375 NUW393375:NUX393375 OES393375:OET393375 OOO393375:OOP393375 OYK393375:OYL393375 PIG393375:PIH393375 PSC393375:PSD393375 QBY393375:QBZ393375 QLU393375:QLV393375 QVQ393375:QVR393375 RFM393375:RFN393375 RPI393375:RPJ393375 RZE393375:RZF393375 SJA393375:SJB393375 SSW393375:SSX393375 TCS393375:TCT393375 TMO393375:TMP393375 TWK393375:TWL393375 UGG393375:UGH393375 UQC393375:UQD393375 UZY393375:UZZ393375 VJU393375:VJV393375 VTQ393375:VTR393375 WDM393375:WDN393375 WNI393375:WNJ393375 WXE393375:WXF393375 KS458911:KT458911 UO458911:UP458911 AEK458911:AEL458911 AOG458911:AOH458911 AYC458911:AYD458911 BHY458911:BHZ458911 BRU458911:BRV458911 CBQ458911:CBR458911 CLM458911:CLN458911 CVI458911:CVJ458911 DFE458911:DFF458911 DPA458911:DPB458911 DYW458911:DYX458911 EIS458911:EIT458911 ESO458911:ESP458911 FCK458911:FCL458911 FMG458911:FMH458911 FWC458911:FWD458911 GFY458911:GFZ458911 GPU458911:GPV458911 GZQ458911:GZR458911 HJM458911:HJN458911 HTI458911:HTJ458911 IDE458911:IDF458911 INA458911:INB458911 IWW458911:IWX458911 JGS458911:JGT458911 JQO458911:JQP458911 KAK458911:KAL458911 KKG458911:KKH458911 KUC458911:KUD458911 LDY458911:LDZ458911 LNU458911:LNV458911 LXQ458911:LXR458911 MHM458911:MHN458911 MRI458911:MRJ458911 NBE458911:NBF458911 NLA458911:NLB458911 NUW458911:NUX458911 OES458911:OET458911 OOO458911:OOP458911 OYK458911:OYL458911 PIG458911:PIH458911 PSC458911:PSD458911 QBY458911:QBZ458911 QLU458911:QLV458911 QVQ458911:QVR458911 RFM458911:RFN458911 RPI458911:RPJ458911 RZE458911:RZF458911 SJA458911:SJB458911 SSW458911:SSX458911 TCS458911:TCT458911 TMO458911:TMP458911 TWK458911:TWL458911 UGG458911:UGH458911 UQC458911:UQD458911 UZY458911:UZZ458911 VJU458911:VJV458911 VTQ458911:VTR458911 WDM458911:WDN458911 WNI458911:WNJ458911 WXE458911:WXF458911 KS524447:KT524447 UO524447:UP524447 AEK524447:AEL524447 AOG524447:AOH524447 AYC524447:AYD524447 BHY524447:BHZ524447 BRU524447:BRV524447 CBQ524447:CBR524447 CLM524447:CLN524447 CVI524447:CVJ524447 DFE524447:DFF524447 DPA524447:DPB524447 DYW524447:DYX524447 EIS524447:EIT524447 ESO524447:ESP524447 FCK524447:FCL524447 FMG524447:FMH524447 FWC524447:FWD524447 GFY524447:GFZ524447 GPU524447:GPV524447 GZQ524447:GZR524447 HJM524447:HJN524447 HTI524447:HTJ524447 IDE524447:IDF524447 INA524447:INB524447 IWW524447:IWX524447 JGS524447:JGT524447 JQO524447:JQP524447 KAK524447:KAL524447 KKG524447:KKH524447 KUC524447:KUD524447 LDY524447:LDZ524447 LNU524447:LNV524447 LXQ524447:LXR524447 MHM524447:MHN524447 MRI524447:MRJ524447 NBE524447:NBF524447 NLA524447:NLB524447 NUW524447:NUX524447 OES524447:OET524447 OOO524447:OOP524447 OYK524447:OYL524447 PIG524447:PIH524447 PSC524447:PSD524447 QBY524447:QBZ524447 QLU524447:QLV524447 QVQ524447:QVR524447 RFM524447:RFN524447 RPI524447:RPJ524447 RZE524447:RZF524447 SJA524447:SJB524447 SSW524447:SSX524447 TCS524447:TCT524447 TMO524447:TMP524447 TWK524447:TWL524447 UGG524447:UGH524447 UQC524447:UQD524447 UZY524447:UZZ524447 VJU524447:VJV524447 VTQ524447:VTR524447 WDM524447:WDN524447 WNI524447:WNJ524447 WXE524447:WXF524447 KS589983:KT589983 UO589983:UP589983 AEK589983:AEL589983 AOG589983:AOH589983 AYC589983:AYD589983 BHY589983:BHZ589983 BRU589983:BRV589983 CBQ589983:CBR589983 CLM589983:CLN589983 CVI589983:CVJ589983 DFE589983:DFF589983 DPA589983:DPB589983 DYW589983:DYX589983 EIS589983:EIT589983 ESO589983:ESP589983 FCK589983:FCL589983 FMG589983:FMH589983 FWC589983:FWD589983 GFY589983:GFZ589983 GPU589983:GPV589983 GZQ589983:GZR589983 HJM589983:HJN589983 HTI589983:HTJ589983 IDE589983:IDF589983 INA589983:INB589983 IWW589983:IWX589983 JGS589983:JGT589983 JQO589983:JQP589983 KAK589983:KAL589983 KKG589983:KKH589983 KUC589983:KUD589983 LDY589983:LDZ589983 LNU589983:LNV589983 LXQ589983:LXR589983 MHM589983:MHN589983 MRI589983:MRJ589983 NBE589983:NBF589983 NLA589983:NLB589983 NUW589983:NUX589983 OES589983:OET589983 OOO589983:OOP589983 OYK589983:OYL589983 PIG589983:PIH589983 PSC589983:PSD589983 QBY589983:QBZ589983 QLU589983:QLV589983 QVQ589983:QVR589983 RFM589983:RFN589983 RPI589983:RPJ589983 RZE589983:RZF589983 SJA589983:SJB589983 SSW589983:SSX589983 TCS589983:TCT589983 TMO589983:TMP589983 TWK589983:TWL589983 UGG589983:UGH589983 UQC589983:UQD589983 UZY589983:UZZ589983 VJU589983:VJV589983 VTQ589983:VTR589983 WDM589983:WDN589983 WNI589983:WNJ589983 WXE589983:WXF589983 KS655519:KT655519 UO655519:UP655519 AEK655519:AEL655519 AOG655519:AOH655519 AYC655519:AYD655519 BHY655519:BHZ655519 BRU655519:BRV655519 CBQ655519:CBR655519 CLM655519:CLN655519 CVI655519:CVJ655519 DFE655519:DFF655519 DPA655519:DPB655519 DYW655519:DYX655519 EIS655519:EIT655519 ESO655519:ESP655519 FCK655519:FCL655519 FMG655519:FMH655519 FWC655519:FWD655519 GFY655519:GFZ655519 GPU655519:GPV655519 GZQ655519:GZR655519 HJM655519:HJN655519 HTI655519:HTJ655519 IDE655519:IDF655519 INA655519:INB655519 IWW655519:IWX655519 JGS655519:JGT655519 JQO655519:JQP655519 KAK655519:KAL655519 KKG655519:KKH655519 KUC655519:KUD655519 LDY655519:LDZ655519 LNU655519:LNV655519 LXQ655519:LXR655519 MHM655519:MHN655519 MRI655519:MRJ655519 NBE655519:NBF655519 NLA655519:NLB655519 NUW655519:NUX655519 OES655519:OET655519 OOO655519:OOP655519 OYK655519:OYL655519 PIG655519:PIH655519 PSC655519:PSD655519 QBY655519:QBZ655519 QLU655519:QLV655519 QVQ655519:QVR655519 RFM655519:RFN655519 RPI655519:RPJ655519 RZE655519:RZF655519 SJA655519:SJB655519 SSW655519:SSX655519 TCS655519:TCT655519 TMO655519:TMP655519 TWK655519:TWL655519 UGG655519:UGH655519 UQC655519:UQD655519 UZY655519:UZZ655519 VJU655519:VJV655519 VTQ655519:VTR655519 WDM655519:WDN655519 WNI655519:WNJ655519 WXE655519:WXF655519 KS721055:KT721055 UO721055:UP721055 AEK721055:AEL721055 AOG721055:AOH721055 AYC721055:AYD721055 BHY721055:BHZ721055 BRU721055:BRV721055 CBQ721055:CBR721055 CLM721055:CLN721055 CVI721055:CVJ721055 DFE721055:DFF721055 DPA721055:DPB721055 DYW721055:DYX721055 EIS721055:EIT721055 ESO721055:ESP721055 FCK721055:FCL721055 FMG721055:FMH721055 FWC721055:FWD721055 GFY721055:GFZ721055 GPU721055:GPV721055 GZQ721055:GZR721055 HJM721055:HJN721055 HTI721055:HTJ721055 IDE721055:IDF721055 INA721055:INB721055 IWW721055:IWX721055 JGS721055:JGT721055 JQO721055:JQP721055 KAK721055:KAL721055 KKG721055:KKH721055 KUC721055:KUD721055 LDY721055:LDZ721055 LNU721055:LNV721055 LXQ721055:LXR721055 MHM721055:MHN721055 MRI721055:MRJ721055 NBE721055:NBF721055 NLA721055:NLB721055 NUW721055:NUX721055 OES721055:OET721055 OOO721055:OOP721055 OYK721055:OYL721055 PIG721055:PIH721055 PSC721055:PSD721055 QBY721055:QBZ721055 QLU721055:QLV721055 QVQ721055:QVR721055 RFM721055:RFN721055 RPI721055:RPJ721055 RZE721055:RZF721055 SJA721055:SJB721055 SSW721055:SSX721055 TCS721055:TCT721055 TMO721055:TMP721055 TWK721055:TWL721055 UGG721055:UGH721055 UQC721055:UQD721055 UZY721055:UZZ721055 VJU721055:VJV721055 VTQ721055:VTR721055 WDM721055:WDN721055 WNI721055:WNJ721055 WXE721055:WXF721055 KS786591:KT786591 UO786591:UP786591 AEK786591:AEL786591 AOG786591:AOH786591 AYC786591:AYD786591 BHY786591:BHZ786591 BRU786591:BRV786591 CBQ786591:CBR786591 CLM786591:CLN786591 CVI786591:CVJ786591 DFE786591:DFF786591 DPA786591:DPB786591 DYW786591:DYX786591 EIS786591:EIT786591 ESO786591:ESP786591 FCK786591:FCL786591 FMG786591:FMH786591 FWC786591:FWD786591 GFY786591:GFZ786591 GPU786591:GPV786591 GZQ786591:GZR786591 HJM786591:HJN786591 HTI786591:HTJ786591 IDE786591:IDF786591 INA786591:INB786591 IWW786591:IWX786591 JGS786591:JGT786591 JQO786591:JQP786591 KAK786591:KAL786591 KKG786591:KKH786591 KUC786591:KUD786591 LDY786591:LDZ786591 LNU786591:LNV786591 LXQ786591:LXR786591 MHM786591:MHN786591 MRI786591:MRJ786591 NBE786591:NBF786591 NLA786591:NLB786591 NUW786591:NUX786591 OES786591:OET786591 OOO786591:OOP786591 OYK786591:OYL786591 PIG786591:PIH786591 PSC786591:PSD786591 QBY786591:QBZ786591 QLU786591:QLV786591 QVQ786591:QVR786591 RFM786591:RFN786591 RPI786591:RPJ786591 RZE786591:RZF786591 SJA786591:SJB786591 SSW786591:SSX786591 TCS786591:TCT786591 TMO786591:TMP786591 TWK786591:TWL786591 UGG786591:UGH786591 UQC786591:UQD786591 UZY786591:UZZ786591 VJU786591:VJV786591 VTQ786591:VTR786591 WDM786591:WDN786591 WNI786591:WNJ786591 WXE786591:WXF786591 KS852127:KT852127 UO852127:UP852127 AEK852127:AEL852127 AOG852127:AOH852127 AYC852127:AYD852127 BHY852127:BHZ852127 BRU852127:BRV852127 CBQ852127:CBR852127 CLM852127:CLN852127 CVI852127:CVJ852127 DFE852127:DFF852127 DPA852127:DPB852127 DYW852127:DYX852127 EIS852127:EIT852127 ESO852127:ESP852127 FCK852127:FCL852127 FMG852127:FMH852127 FWC852127:FWD852127 GFY852127:GFZ852127 GPU852127:GPV852127 GZQ852127:GZR852127 HJM852127:HJN852127 HTI852127:HTJ852127 IDE852127:IDF852127 INA852127:INB852127 IWW852127:IWX852127 JGS852127:JGT852127 JQO852127:JQP852127 KAK852127:KAL852127 KKG852127:KKH852127 KUC852127:KUD852127 LDY852127:LDZ852127 LNU852127:LNV852127 LXQ852127:LXR852127 MHM852127:MHN852127 MRI852127:MRJ852127 NBE852127:NBF852127 NLA852127:NLB852127 NUW852127:NUX852127 OES852127:OET852127 OOO852127:OOP852127 OYK852127:OYL852127 PIG852127:PIH852127 PSC852127:PSD852127 QBY852127:QBZ852127 QLU852127:QLV852127 QVQ852127:QVR852127 RFM852127:RFN852127 RPI852127:RPJ852127 RZE852127:RZF852127 SJA852127:SJB852127 SSW852127:SSX852127 TCS852127:TCT852127 TMO852127:TMP852127 TWK852127:TWL852127 UGG852127:UGH852127 UQC852127:UQD852127 UZY852127:UZZ852127 VJU852127:VJV852127 VTQ852127:VTR852127 WDM852127:WDN852127 WNI852127:WNJ852127 WXE852127:WXF852127 KS917663:KT917663 UO917663:UP917663 AEK917663:AEL917663 AOG917663:AOH917663 AYC917663:AYD917663 BHY917663:BHZ917663 BRU917663:BRV917663 CBQ917663:CBR917663 CLM917663:CLN917663 CVI917663:CVJ917663 DFE917663:DFF917663 DPA917663:DPB917663 DYW917663:DYX917663 EIS917663:EIT917663 ESO917663:ESP917663 FCK917663:FCL917663 FMG917663:FMH917663 FWC917663:FWD917663 GFY917663:GFZ917663 GPU917663:GPV917663 GZQ917663:GZR917663 HJM917663:HJN917663 HTI917663:HTJ917663 IDE917663:IDF917663 INA917663:INB917663 IWW917663:IWX917663 JGS917663:JGT917663 JQO917663:JQP917663 KAK917663:KAL917663 KKG917663:KKH917663 KUC917663:KUD917663 LDY917663:LDZ917663 LNU917663:LNV917663 LXQ917663:LXR917663 MHM917663:MHN917663 MRI917663:MRJ917663 NBE917663:NBF917663 NLA917663:NLB917663 NUW917663:NUX917663 OES917663:OET917663 OOO917663:OOP917663 OYK917663:OYL917663 PIG917663:PIH917663 PSC917663:PSD917663 QBY917663:QBZ917663 QLU917663:QLV917663 QVQ917663:QVR917663 RFM917663:RFN917663 RPI917663:RPJ917663 RZE917663:RZF917663 SJA917663:SJB917663 SSW917663:SSX917663 TCS917663:TCT917663 TMO917663:TMP917663 TWK917663:TWL917663 UGG917663:UGH917663 UQC917663:UQD917663 UZY917663:UZZ917663 VJU917663:VJV917663 VTQ917663:VTR917663 WDM917663:WDN917663 WNI917663:WNJ917663 WXE917663:WXF917663 KS983199:KT983199 UO983199:UP983199 AEK983199:AEL983199 AOG983199:AOH983199 AYC983199:AYD983199 BHY983199:BHZ983199 BRU983199:BRV983199 CBQ983199:CBR983199 CLM983199:CLN983199 CVI983199:CVJ983199 DFE983199:DFF983199 DPA983199:DPB983199 DYW983199:DYX983199 EIS983199:EIT983199 ESO983199:ESP983199 FCK983199:FCL983199 FMG983199:FMH983199 FWC983199:FWD983199 GFY983199:GFZ983199 GPU983199:GPV983199 GZQ983199:GZR983199 HJM983199:HJN983199 HTI983199:HTJ983199 IDE983199:IDF983199 INA983199:INB983199 IWW983199:IWX983199 JGS983199:JGT983199 JQO983199:JQP983199 KAK983199:KAL983199 KKG983199:KKH983199 KUC983199:KUD983199 LDY983199:LDZ983199 LNU983199:LNV983199 LXQ983199:LXR983199 MHM983199:MHN983199 MRI983199:MRJ983199 NBE983199:NBF983199 NLA983199:NLB983199 NUW983199:NUX983199 OES983199:OET983199 OOO983199:OOP983199 OYK983199:OYL983199 PIG983199:PIH983199 PSC983199:PSD983199 QBY983199:QBZ983199 QLU983199:QLV983199 QVQ983199:QVR983199 RFM983199:RFN983199 RPI983199:RPJ983199 RZE983199:RZF983199 SJA983199:SJB983199 SSW983199:SSX983199 TCS983199:TCT983199 TMO983199:TMP983199 TWK983199:TWL983199 UGG983199:UGH983199 UQC983199:UQD983199 UZY983199:UZZ983199 VJU983199:VJV983199 VTQ983199:VTR983199 WDM983199:WDN983199 WNI983199:WNJ983199 WXE983199:WXF983199 KS131190:KT131194 UO131190:UP131194 AEK131190:AEL131194 AOG131190:AOH131194 AYC131190:AYD131194 BHY131190:BHZ131194 BRU131190:BRV131194 CBQ131190:CBR131194 CLM131190:CLN131194 CVI131190:CVJ131194 DFE131190:DFF131194 DPA131190:DPB131194 DYW131190:DYX131194 EIS131190:EIT131194 ESO131190:ESP131194 FCK131190:FCL131194 FMG131190:FMH131194 FWC131190:FWD131194 GFY131190:GFZ131194 GPU131190:GPV131194 GZQ131190:GZR131194 HJM131190:HJN131194 HTI131190:HTJ131194 IDE131190:IDF131194 INA131190:INB131194 IWW131190:IWX131194 JGS131190:JGT131194 JQO131190:JQP131194 KAK131190:KAL131194 KKG131190:KKH131194 KUC131190:KUD131194 LDY131190:LDZ131194 LNU131190:LNV131194 LXQ131190:LXR131194 MHM131190:MHN131194 MRI131190:MRJ131194 NBE131190:NBF131194 NLA131190:NLB131194 NUW131190:NUX131194 OES131190:OET131194 OOO131190:OOP131194 OYK131190:OYL131194 PIG131190:PIH131194 PSC131190:PSD131194 QBY131190:QBZ131194 QLU131190:QLV131194 QVQ131190:QVR131194 RFM131190:RFN131194 RPI131190:RPJ131194 RZE131190:RZF131194 SJA131190:SJB131194 SSW131190:SSX131194 TCS131190:TCT131194 TMO131190:TMP131194 TWK131190:TWL131194 UGG131190:UGH131194 UQC131190:UQD131194 UZY131190:UZZ131194 VJU131190:VJV131194 VTQ131190:VTR131194 WDM131190:WDN131194 WNI131190:WNJ131194 WXE131190:WXF131194 KS65665:KT65665 UO65665:UP65665 AEK65665:AEL65665 AOG65665:AOH65665 AYC65665:AYD65665 BHY65665:BHZ65665 BRU65665:BRV65665 CBQ65665:CBR65665 CLM65665:CLN65665 CVI65665:CVJ65665 DFE65665:DFF65665 DPA65665:DPB65665 DYW65665:DYX65665 EIS65665:EIT65665 ESO65665:ESP65665 FCK65665:FCL65665 FMG65665:FMH65665 FWC65665:FWD65665 GFY65665:GFZ65665 GPU65665:GPV65665 GZQ65665:GZR65665 HJM65665:HJN65665 HTI65665:HTJ65665 IDE65665:IDF65665 INA65665:INB65665 IWW65665:IWX65665 JGS65665:JGT65665 JQO65665:JQP65665 KAK65665:KAL65665 KKG65665:KKH65665 KUC65665:KUD65665 LDY65665:LDZ65665 LNU65665:LNV65665 LXQ65665:LXR65665 MHM65665:MHN65665 MRI65665:MRJ65665 NBE65665:NBF65665 NLA65665:NLB65665 NUW65665:NUX65665 OES65665:OET65665 OOO65665:OOP65665 OYK65665:OYL65665 PIG65665:PIH65665 PSC65665:PSD65665 QBY65665:QBZ65665 QLU65665:QLV65665 QVQ65665:QVR65665 RFM65665:RFN65665 RPI65665:RPJ65665 RZE65665:RZF65665 SJA65665:SJB65665 SSW65665:SSX65665 TCS65665:TCT65665 TMO65665:TMP65665 TWK65665:TWL65665 UGG65665:UGH65665 UQC65665:UQD65665 UZY65665:UZZ65665 VJU65665:VJV65665 VTQ65665:VTR65665 WDM65665:WDN65665 WNI65665:WNJ65665 WXE65665:WXF65665 KS131201:KT131201 UO131201:UP131201 AEK131201:AEL131201 AOG131201:AOH131201 AYC131201:AYD131201 BHY131201:BHZ131201 BRU131201:BRV131201 CBQ131201:CBR131201 CLM131201:CLN131201 CVI131201:CVJ131201 DFE131201:DFF131201 DPA131201:DPB131201 DYW131201:DYX131201 EIS131201:EIT131201 ESO131201:ESP131201 FCK131201:FCL131201 FMG131201:FMH131201 FWC131201:FWD131201 GFY131201:GFZ131201 GPU131201:GPV131201 GZQ131201:GZR131201 HJM131201:HJN131201 HTI131201:HTJ131201 IDE131201:IDF131201 INA131201:INB131201 IWW131201:IWX131201 JGS131201:JGT131201 JQO131201:JQP131201 KAK131201:KAL131201 KKG131201:KKH131201 KUC131201:KUD131201 LDY131201:LDZ131201 LNU131201:LNV131201 LXQ131201:LXR131201 MHM131201:MHN131201 MRI131201:MRJ131201 NBE131201:NBF131201 NLA131201:NLB131201 NUW131201:NUX131201 OES131201:OET131201 OOO131201:OOP131201 OYK131201:OYL131201 PIG131201:PIH131201 PSC131201:PSD131201 QBY131201:QBZ131201 QLU131201:QLV131201 QVQ131201:QVR131201 RFM131201:RFN131201 RPI131201:RPJ131201 RZE131201:RZF131201 SJA131201:SJB131201 SSW131201:SSX131201 TCS131201:TCT131201 TMO131201:TMP131201 TWK131201:TWL131201 UGG131201:UGH131201 UQC131201:UQD131201 UZY131201:UZZ131201 VJU131201:VJV131201 VTQ131201:VTR131201 WDM131201:WDN131201 WNI131201:WNJ131201 WXE131201:WXF131201 KS196737:KT196737 UO196737:UP196737 AEK196737:AEL196737 AOG196737:AOH196737 AYC196737:AYD196737 BHY196737:BHZ196737 BRU196737:BRV196737 CBQ196737:CBR196737 CLM196737:CLN196737 CVI196737:CVJ196737 DFE196737:DFF196737 DPA196737:DPB196737 DYW196737:DYX196737 EIS196737:EIT196737 ESO196737:ESP196737 FCK196737:FCL196737 FMG196737:FMH196737 FWC196737:FWD196737 GFY196737:GFZ196737 GPU196737:GPV196737 GZQ196737:GZR196737 HJM196737:HJN196737 HTI196737:HTJ196737 IDE196737:IDF196737 INA196737:INB196737 IWW196737:IWX196737 JGS196737:JGT196737 JQO196737:JQP196737 KAK196737:KAL196737 KKG196737:KKH196737 KUC196737:KUD196737 LDY196737:LDZ196737 LNU196737:LNV196737 LXQ196737:LXR196737 MHM196737:MHN196737 MRI196737:MRJ196737 NBE196737:NBF196737 NLA196737:NLB196737 NUW196737:NUX196737 OES196737:OET196737 OOO196737:OOP196737 OYK196737:OYL196737 PIG196737:PIH196737 PSC196737:PSD196737 QBY196737:QBZ196737 QLU196737:QLV196737 QVQ196737:QVR196737 RFM196737:RFN196737 RPI196737:RPJ196737 RZE196737:RZF196737 SJA196737:SJB196737 SSW196737:SSX196737 TCS196737:TCT196737 TMO196737:TMP196737 TWK196737:TWL196737 UGG196737:UGH196737 UQC196737:UQD196737 UZY196737:UZZ196737 VJU196737:VJV196737 VTQ196737:VTR196737 WDM196737:WDN196737 WNI196737:WNJ196737 WXE196737:WXF196737 KS262273:KT262273 UO262273:UP262273 AEK262273:AEL262273 AOG262273:AOH262273 AYC262273:AYD262273 BHY262273:BHZ262273 BRU262273:BRV262273 CBQ262273:CBR262273 CLM262273:CLN262273 CVI262273:CVJ262273 DFE262273:DFF262273 DPA262273:DPB262273 DYW262273:DYX262273 EIS262273:EIT262273 ESO262273:ESP262273 FCK262273:FCL262273 FMG262273:FMH262273 FWC262273:FWD262273 GFY262273:GFZ262273 GPU262273:GPV262273 GZQ262273:GZR262273 HJM262273:HJN262273 HTI262273:HTJ262273 IDE262273:IDF262273 INA262273:INB262273 IWW262273:IWX262273 JGS262273:JGT262273 JQO262273:JQP262273 KAK262273:KAL262273 KKG262273:KKH262273 KUC262273:KUD262273 LDY262273:LDZ262273 LNU262273:LNV262273 LXQ262273:LXR262273 MHM262273:MHN262273 MRI262273:MRJ262273 NBE262273:NBF262273 NLA262273:NLB262273 NUW262273:NUX262273 OES262273:OET262273 OOO262273:OOP262273 OYK262273:OYL262273 PIG262273:PIH262273 PSC262273:PSD262273 QBY262273:QBZ262273 QLU262273:QLV262273 QVQ262273:QVR262273 RFM262273:RFN262273 RPI262273:RPJ262273 RZE262273:RZF262273 SJA262273:SJB262273 SSW262273:SSX262273 TCS262273:TCT262273 TMO262273:TMP262273 TWK262273:TWL262273 UGG262273:UGH262273 UQC262273:UQD262273 UZY262273:UZZ262273 VJU262273:VJV262273 VTQ262273:VTR262273 WDM262273:WDN262273 WNI262273:WNJ262273 WXE262273:WXF262273 KS327809:KT327809 UO327809:UP327809 AEK327809:AEL327809 AOG327809:AOH327809 AYC327809:AYD327809 BHY327809:BHZ327809 BRU327809:BRV327809 CBQ327809:CBR327809 CLM327809:CLN327809 CVI327809:CVJ327809 DFE327809:DFF327809 DPA327809:DPB327809 DYW327809:DYX327809 EIS327809:EIT327809 ESO327809:ESP327809 FCK327809:FCL327809 FMG327809:FMH327809 FWC327809:FWD327809 GFY327809:GFZ327809 GPU327809:GPV327809 GZQ327809:GZR327809 HJM327809:HJN327809 HTI327809:HTJ327809 IDE327809:IDF327809 INA327809:INB327809 IWW327809:IWX327809 JGS327809:JGT327809 JQO327809:JQP327809 KAK327809:KAL327809 KKG327809:KKH327809 KUC327809:KUD327809 LDY327809:LDZ327809 LNU327809:LNV327809 LXQ327809:LXR327809 MHM327809:MHN327809 MRI327809:MRJ327809 NBE327809:NBF327809 NLA327809:NLB327809 NUW327809:NUX327809 OES327809:OET327809 OOO327809:OOP327809 OYK327809:OYL327809 PIG327809:PIH327809 PSC327809:PSD327809 QBY327809:QBZ327809 QLU327809:QLV327809 QVQ327809:QVR327809 RFM327809:RFN327809 RPI327809:RPJ327809 RZE327809:RZF327809 SJA327809:SJB327809 SSW327809:SSX327809 TCS327809:TCT327809 TMO327809:TMP327809 TWK327809:TWL327809 UGG327809:UGH327809 UQC327809:UQD327809 UZY327809:UZZ327809 VJU327809:VJV327809 VTQ327809:VTR327809 WDM327809:WDN327809 WNI327809:WNJ327809 WXE327809:WXF327809 KS393345:KT393345 UO393345:UP393345 AEK393345:AEL393345 AOG393345:AOH393345 AYC393345:AYD393345 BHY393345:BHZ393345 BRU393345:BRV393345 CBQ393345:CBR393345 CLM393345:CLN393345 CVI393345:CVJ393345 DFE393345:DFF393345 DPA393345:DPB393345 DYW393345:DYX393345 EIS393345:EIT393345 ESO393345:ESP393345 FCK393345:FCL393345 FMG393345:FMH393345 FWC393345:FWD393345 GFY393345:GFZ393345 GPU393345:GPV393345 GZQ393345:GZR393345 HJM393345:HJN393345 HTI393345:HTJ393345 IDE393345:IDF393345 INA393345:INB393345 IWW393345:IWX393345 JGS393345:JGT393345 JQO393345:JQP393345 KAK393345:KAL393345 KKG393345:KKH393345 KUC393345:KUD393345 LDY393345:LDZ393345 LNU393345:LNV393345 LXQ393345:LXR393345 MHM393345:MHN393345 MRI393345:MRJ393345 NBE393345:NBF393345 NLA393345:NLB393345 NUW393345:NUX393345 OES393345:OET393345 OOO393345:OOP393345 OYK393345:OYL393345 PIG393345:PIH393345 PSC393345:PSD393345 QBY393345:QBZ393345 QLU393345:QLV393345 QVQ393345:QVR393345 RFM393345:RFN393345 RPI393345:RPJ393345 RZE393345:RZF393345 SJA393345:SJB393345 SSW393345:SSX393345 TCS393345:TCT393345 TMO393345:TMP393345 TWK393345:TWL393345 UGG393345:UGH393345 UQC393345:UQD393345 UZY393345:UZZ393345 VJU393345:VJV393345 VTQ393345:VTR393345 WDM393345:WDN393345 WNI393345:WNJ393345 WXE393345:WXF393345 KS458881:KT458881 UO458881:UP458881 AEK458881:AEL458881 AOG458881:AOH458881 AYC458881:AYD458881 BHY458881:BHZ458881 BRU458881:BRV458881 CBQ458881:CBR458881 CLM458881:CLN458881 CVI458881:CVJ458881 DFE458881:DFF458881 DPA458881:DPB458881 DYW458881:DYX458881 EIS458881:EIT458881 ESO458881:ESP458881 FCK458881:FCL458881 FMG458881:FMH458881 FWC458881:FWD458881 GFY458881:GFZ458881 GPU458881:GPV458881 GZQ458881:GZR458881 HJM458881:HJN458881 HTI458881:HTJ458881 IDE458881:IDF458881 INA458881:INB458881 IWW458881:IWX458881 JGS458881:JGT458881 JQO458881:JQP458881 KAK458881:KAL458881 KKG458881:KKH458881 KUC458881:KUD458881 LDY458881:LDZ458881 LNU458881:LNV458881 LXQ458881:LXR458881 MHM458881:MHN458881 MRI458881:MRJ458881 NBE458881:NBF458881 NLA458881:NLB458881 NUW458881:NUX458881 OES458881:OET458881 OOO458881:OOP458881 OYK458881:OYL458881 PIG458881:PIH458881 PSC458881:PSD458881 QBY458881:QBZ458881 QLU458881:QLV458881 QVQ458881:QVR458881 RFM458881:RFN458881 RPI458881:RPJ458881 RZE458881:RZF458881 SJA458881:SJB458881 SSW458881:SSX458881 TCS458881:TCT458881 TMO458881:TMP458881 TWK458881:TWL458881 UGG458881:UGH458881 UQC458881:UQD458881 UZY458881:UZZ458881 VJU458881:VJV458881 VTQ458881:VTR458881 WDM458881:WDN458881 WNI458881:WNJ458881 WXE458881:WXF458881 KS524417:KT524417 UO524417:UP524417 AEK524417:AEL524417 AOG524417:AOH524417 AYC524417:AYD524417 BHY524417:BHZ524417 BRU524417:BRV524417 CBQ524417:CBR524417 CLM524417:CLN524417 CVI524417:CVJ524417 DFE524417:DFF524417 DPA524417:DPB524417 DYW524417:DYX524417 EIS524417:EIT524417 ESO524417:ESP524417 FCK524417:FCL524417 FMG524417:FMH524417 FWC524417:FWD524417 GFY524417:GFZ524417 GPU524417:GPV524417 GZQ524417:GZR524417 HJM524417:HJN524417 HTI524417:HTJ524417 IDE524417:IDF524417 INA524417:INB524417 IWW524417:IWX524417 JGS524417:JGT524417 JQO524417:JQP524417 KAK524417:KAL524417 KKG524417:KKH524417 KUC524417:KUD524417 LDY524417:LDZ524417 LNU524417:LNV524417 LXQ524417:LXR524417 MHM524417:MHN524417 MRI524417:MRJ524417 NBE524417:NBF524417 NLA524417:NLB524417 NUW524417:NUX524417 OES524417:OET524417 OOO524417:OOP524417 OYK524417:OYL524417 PIG524417:PIH524417 PSC524417:PSD524417 QBY524417:QBZ524417 QLU524417:QLV524417 QVQ524417:QVR524417 RFM524417:RFN524417 RPI524417:RPJ524417 RZE524417:RZF524417 SJA524417:SJB524417 SSW524417:SSX524417 TCS524417:TCT524417 TMO524417:TMP524417 TWK524417:TWL524417 UGG524417:UGH524417 UQC524417:UQD524417 UZY524417:UZZ524417 VJU524417:VJV524417 VTQ524417:VTR524417 WDM524417:WDN524417 WNI524417:WNJ524417 WXE524417:WXF524417 KS589953:KT589953 UO589953:UP589953 AEK589953:AEL589953 AOG589953:AOH589953 AYC589953:AYD589953 BHY589953:BHZ589953 BRU589953:BRV589953 CBQ589953:CBR589953 CLM589953:CLN589953 CVI589953:CVJ589953 DFE589953:DFF589953 DPA589953:DPB589953 DYW589953:DYX589953 EIS589953:EIT589953 ESO589953:ESP589953 FCK589953:FCL589953 FMG589953:FMH589953 FWC589953:FWD589953 GFY589953:GFZ589953 GPU589953:GPV589953 GZQ589953:GZR589953 HJM589953:HJN589953 HTI589953:HTJ589953 IDE589953:IDF589953 INA589953:INB589953 IWW589953:IWX589953 JGS589953:JGT589953 JQO589953:JQP589953 KAK589953:KAL589953 KKG589953:KKH589953 KUC589953:KUD589953 LDY589953:LDZ589953 LNU589953:LNV589953 LXQ589953:LXR589953 MHM589953:MHN589953 MRI589953:MRJ589953 NBE589953:NBF589953 NLA589953:NLB589953 NUW589953:NUX589953 OES589953:OET589953 OOO589953:OOP589953 OYK589953:OYL589953 PIG589953:PIH589953 PSC589953:PSD589953 QBY589953:QBZ589953 QLU589953:QLV589953 QVQ589953:QVR589953 RFM589953:RFN589953 RPI589953:RPJ589953 RZE589953:RZF589953 SJA589953:SJB589953 SSW589953:SSX589953 TCS589953:TCT589953 TMO589953:TMP589953 TWK589953:TWL589953 UGG589953:UGH589953 UQC589953:UQD589953 UZY589953:UZZ589953 VJU589953:VJV589953 VTQ589953:VTR589953 WDM589953:WDN589953 WNI589953:WNJ589953 WXE589953:WXF589953 KS655489:KT655489 UO655489:UP655489 AEK655489:AEL655489 AOG655489:AOH655489 AYC655489:AYD655489 BHY655489:BHZ655489 BRU655489:BRV655489 CBQ655489:CBR655489 CLM655489:CLN655489 CVI655489:CVJ655489 DFE655489:DFF655489 DPA655489:DPB655489 DYW655489:DYX655489 EIS655489:EIT655489 ESO655489:ESP655489 FCK655489:FCL655489 FMG655489:FMH655489 FWC655489:FWD655489 GFY655489:GFZ655489 GPU655489:GPV655489 GZQ655489:GZR655489 HJM655489:HJN655489 HTI655489:HTJ655489 IDE655489:IDF655489 INA655489:INB655489 IWW655489:IWX655489 JGS655489:JGT655489 JQO655489:JQP655489 KAK655489:KAL655489 KKG655489:KKH655489 KUC655489:KUD655489 LDY655489:LDZ655489 LNU655489:LNV655489 LXQ655489:LXR655489 MHM655489:MHN655489 MRI655489:MRJ655489 NBE655489:NBF655489 NLA655489:NLB655489 NUW655489:NUX655489 OES655489:OET655489 OOO655489:OOP655489 OYK655489:OYL655489 PIG655489:PIH655489 PSC655489:PSD655489 QBY655489:QBZ655489 QLU655489:QLV655489 QVQ655489:QVR655489 RFM655489:RFN655489 RPI655489:RPJ655489 RZE655489:RZF655489 SJA655489:SJB655489 SSW655489:SSX655489 TCS655489:TCT655489 TMO655489:TMP655489 TWK655489:TWL655489 UGG655489:UGH655489 UQC655489:UQD655489 UZY655489:UZZ655489 VJU655489:VJV655489 VTQ655489:VTR655489 WDM655489:WDN655489 WNI655489:WNJ655489 WXE655489:WXF655489 KS721025:KT721025 UO721025:UP721025 AEK721025:AEL721025 AOG721025:AOH721025 AYC721025:AYD721025 BHY721025:BHZ721025 BRU721025:BRV721025 CBQ721025:CBR721025 CLM721025:CLN721025 CVI721025:CVJ721025 DFE721025:DFF721025 DPA721025:DPB721025 DYW721025:DYX721025 EIS721025:EIT721025 ESO721025:ESP721025 FCK721025:FCL721025 FMG721025:FMH721025 FWC721025:FWD721025 GFY721025:GFZ721025 GPU721025:GPV721025 GZQ721025:GZR721025 HJM721025:HJN721025 HTI721025:HTJ721025 IDE721025:IDF721025 INA721025:INB721025 IWW721025:IWX721025 JGS721025:JGT721025 JQO721025:JQP721025 KAK721025:KAL721025 KKG721025:KKH721025 KUC721025:KUD721025 LDY721025:LDZ721025 LNU721025:LNV721025 LXQ721025:LXR721025 MHM721025:MHN721025 MRI721025:MRJ721025 NBE721025:NBF721025 NLA721025:NLB721025 NUW721025:NUX721025 OES721025:OET721025 OOO721025:OOP721025 OYK721025:OYL721025 PIG721025:PIH721025 PSC721025:PSD721025 QBY721025:QBZ721025 QLU721025:QLV721025 QVQ721025:QVR721025 RFM721025:RFN721025 RPI721025:RPJ721025 RZE721025:RZF721025 SJA721025:SJB721025 SSW721025:SSX721025 TCS721025:TCT721025 TMO721025:TMP721025 TWK721025:TWL721025 UGG721025:UGH721025 UQC721025:UQD721025 UZY721025:UZZ721025 VJU721025:VJV721025 VTQ721025:VTR721025 WDM721025:WDN721025 WNI721025:WNJ721025 WXE721025:WXF721025 KS786561:KT786561 UO786561:UP786561 AEK786561:AEL786561 AOG786561:AOH786561 AYC786561:AYD786561 BHY786561:BHZ786561 BRU786561:BRV786561 CBQ786561:CBR786561 CLM786561:CLN786561 CVI786561:CVJ786561 DFE786561:DFF786561 DPA786561:DPB786561 DYW786561:DYX786561 EIS786561:EIT786561 ESO786561:ESP786561 FCK786561:FCL786561 FMG786561:FMH786561 FWC786561:FWD786561 GFY786561:GFZ786561 GPU786561:GPV786561 GZQ786561:GZR786561 HJM786561:HJN786561 HTI786561:HTJ786561 IDE786561:IDF786561 INA786561:INB786561 IWW786561:IWX786561 JGS786561:JGT786561 JQO786561:JQP786561 KAK786561:KAL786561 KKG786561:KKH786561 KUC786561:KUD786561 LDY786561:LDZ786561 LNU786561:LNV786561 LXQ786561:LXR786561 MHM786561:MHN786561 MRI786561:MRJ786561 NBE786561:NBF786561 NLA786561:NLB786561 NUW786561:NUX786561 OES786561:OET786561 OOO786561:OOP786561 OYK786561:OYL786561 PIG786561:PIH786561 PSC786561:PSD786561 QBY786561:QBZ786561 QLU786561:QLV786561 QVQ786561:QVR786561 RFM786561:RFN786561 RPI786561:RPJ786561 RZE786561:RZF786561 SJA786561:SJB786561 SSW786561:SSX786561 TCS786561:TCT786561 TMO786561:TMP786561 TWK786561:TWL786561 UGG786561:UGH786561 UQC786561:UQD786561 UZY786561:UZZ786561 VJU786561:VJV786561 VTQ786561:VTR786561 WDM786561:WDN786561 WNI786561:WNJ786561 WXE786561:WXF786561 KS852097:KT852097 UO852097:UP852097 AEK852097:AEL852097 AOG852097:AOH852097 AYC852097:AYD852097 BHY852097:BHZ852097 BRU852097:BRV852097 CBQ852097:CBR852097 CLM852097:CLN852097 CVI852097:CVJ852097 DFE852097:DFF852097 DPA852097:DPB852097 DYW852097:DYX852097 EIS852097:EIT852097 ESO852097:ESP852097 FCK852097:FCL852097 FMG852097:FMH852097 FWC852097:FWD852097 GFY852097:GFZ852097 GPU852097:GPV852097 GZQ852097:GZR852097 HJM852097:HJN852097 HTI852097:HTJ852097 IDE852097:IDF852097 INA852097:INB852097 IWW852097:IWX852097 JGS852097:JGT852097 JQO852097:JQP852097 KAK852097:KAL852097 KKG852097:KKH852097 KUC852097:KUD852097 LDY852097:LDZ852097 LNU852097:LNV852097 LXQ852097:LXR852097 MHM852097:MHN852097 MRI852097:MRJ852097 NBE852097:NBF852097 NLA852097:NLB852097 NUW852097:NUX852097 OES852097:OET852097 OOO852097:OOP852097 OYK852097:OYL852097 PIG852097:PIH852097 PSC852097:PSD852097 QBY852097:QBZ852097 QLU852097:QLV852097 QVQ852097:QVR852097 RFM852097:RFN852097 RPI852097:RPJ852097 RZE852097:RZF852097 SJA852097:SJB852097 SSW852097:SSX852097 TCS852097:TCT852097 TMO852097:TMP852097 TWK852097:TWL852097 UGG852097:UGH852097 UQC852097:UQD852097 UZY852097:UZZ852097 VJU852097:VJV852097 VTQ852097:VTR852097 WDM852097:WDN852097 WNI852097:WNJ852097 WXE852097:WXF852097 KS917633:KT917633 UO917633:UP917633 AEK917633:AEL917633 AOG917633:AOH917633 AYC917633:AYD917633 BHY917633:BHZ917633 BRU917633:BRV917633 CBQ917633:CBR917633 CLM917633:CLN917633 CVI917633:CVJ917633 DFE917633:DFF917633 DPA917633:DPB917633 DYW917633:DYX917633 EIS917633:EIT917633 ESO917633:ESP917633 FCK917633:FCL917633 FMG917633:FMH917633 FWC917633:FWD917633 GFY917633:GFZ917633 GPU917633:GPV917633 GZQ917633:GZR917633 HJM917633:HJN917633 HTI917633:HTJ917633 IDE917633:IDF917633 INA917633:INB917633 IWW917633:IWX917633 JGS917633:JGT917633 JQO917633:JQP917633 KAK917633:KAL917633 KKG917633:KKH917633 KUC917633:KUD917633 LDY917633:LDZ917633 LNU917633:LNV917633 LXQ917633:LXR917633 MHM917633:MHN917633 MRI917633:MRJ917633 NBE917633:NBF917633 NLA917633:NLB917633 NUW917633:NUX917633 OES917633:OET917633 OOO917633:OOP917633 OYK917633:OYL917633 PIG917633:PIH917633 PSC917633:PSD917633 QBY917633:QBZ917633 QLU917633:QLV917633 QVQ917633:QVR917633 RFM917633:RFN917633 RPI917633:RPJ917633 RZE917633:RZF917633 SJA917633:SJB917633 SSW917633:SSX917633 TCS917633:TCT917633 TMO917633:TMP917633 TWK917633:TWL917633 UGG917633:UGH917633 UQC917633:UQD917633 UZY917633:UZZ917633 VJU917633:VJV917633 VTQ917633:VTR917633 WDM917633:WDN917633 WNI917633:WNJ917633 WXE917633:WXF917633 KS983169:KT983169 UO983169:UP983169 AEK983169:AEL983169 AOG983169:AOH983169 AYC983169:AYD983169 BHY983169:BHZ983169 BRU983169:BRV983169 CBQ983169:CBR983169 CLM983169:CLN983169 CVI983169:CVJ983169 DFE983169:DFF983169 DPA983169:DPB983169 DYW983169:DYX983169 EIS983169:EIT983169 ESO983169:ESP983169 FCK983169:FCL983169 FMG983169:FMH983169 FWC983169:FWD983169 GFY983169:GFZ983169 GPU983169:GPV983169 GZQ983169:GZR983169 HJM983169:HJN983169 HTI983169:HTJ983169 IDE983169:IDF983169 INA983169:INB983169 IWW983169:IWX983169 JGS983169:JGT983169 JQO983169:JQP983169 KAK983169:KAL983169 KKG983169:KKH983169 KUC983169:KUD983169 LDY983169:LDZ983169 LNU983169:LNV983169 LXQ983169:LXR983169 MHM983169:MHN983169 MRI983169:MRJ983169 NBE983169:NBF983169 NLA983169:NLB983169 NUW983169:NUX983169 OES983169:OET983169 OOO983169:OOP983169 OYK983169:OYL983169 PIG983169:PIH983169 PSC983169:PSD983169 QBY983169:QBZ983169 QLU983169:QLV983169 QVQ983169:QVR983169 RFM983169:RFN983169 RPI983169:RPJ983169 RZE983169:RZF983169 SJA983169:SJB983169 SSW983169:SSX983169 TCS983169:TCT983169 TMO983169:TMP983169 TWK983169:TWL983169 UGG983169:UGH983169 UQC983169:UQD983169 UZY983169:UZZ983169 VJU983169:VJV983169 VTQ983169:VTR983169 WDM983169:WDN983169 WNI983169:WNJ983169 WXE983169:WXF983169 KS196726:KT196730 UO196726:UP196730 AEK196726:AEL196730 AOG196726:AOH196730 AYC196726:AYD196730 BHY196726:BHZ196730 BRU196726:BRV196730 CBQ196726:CBR196730 CLM196726:CLN196730 CVI196726:CVJ196730 DFE196726:DFF196730 DPA196726:DPB196730 DYW196726:DYX196730 EIS196726:EIT196730 ESO196726:ESP196730 FCK196726:FCL196730 FMG196726:FMH196730 FWC196726:FWD196730 GFY196726:GFZ196730 GPU196726:GPV196730 GZQ196726:GZR196730 HJM196726:HJN196730 HTI196726:HTJ196730 IDE196726:IDF196730 INA196726:INB196730 IWW196726:IWX196730 JGS196726:JGT196730 JQO196726:JQP196730 KAK196726:KAL196730 KKG196726:KKH196730 KUC196726:KUD196730 LDY196726:LDZ196730 LNU196726:LNV196730 LXQ196726:LXR196730 MHM196726:MHN196730 MRI196726:MRJ196730 NBE196726:NBF196730 NLA196726:NLB196730 NUW196726:NUX196730 OES196726:OET196730 OOO196726:OOP196730 OYK196726:OYL196730 PIG196726:PIH196730 PSC196726:PSD196730 QBY196726:QBZ196730 QLU196726:QLV196730 QVQ196726:QVR196730 RFM196726:RFN196730 RPI196726:RPJ196730 RZE196726:RZF196730 SJA196726:SJB196730 SSW196726:SSX196730 TCS196726:TCT196730 TMO196726:TMP196730 TWK196726:TWL196730 UGG196726:UGH196730 UQC196726:UQD196730 UZY196726:UZZ196730 VJU196726:VJV196730 VTQ196726:VTR196730 WDM196726:WDN196730 WNI196726:WNJ196730 WXE196726:WXF196730 KS65725:KT65728 UO65725:UP65728 AEK65725:AEL65728 AOG65725:AOH65728 AYC65725:AYD65728 BHY65725:BHZ65728 BRU65725:BRV65728 CBQ65725:CBR65728 CLM65725:CLN65728 CVI65725:CVJ65728 DFE65725:DFF65728 DPA65725:DPB65728 DYW65725:DYX65728 EIS65725:EIT65728 ESO65725:ESP65728 FCK65725:FCL65728 FMG65725:FMH65728 FWC65725:FWD65728 GFY65725:GFZ65728 GPU65725:GPV65728 GZQ65725:GZR65728 HJM65725:HJN65728 HTI65725:HTJ65728 IDE65725:IDF65728 INA65725:INB65728 IWW65725:IWX65728 JGS65725:JGT65728 JQO65725:JQP65728 KAK65725:KAL65728 KKG65725:KKH65728 KUC65725:KUD65728 LDY65725:LDZ65728 LNU65725:LNV65728 LXQ65725:LXR65728 MHM65725:MHN65728 MRI65725:MRJ65728 NBE65725:NBF65728 NLA65725:NLB65728 NUW65725:NUX65728 OES65725:OET65728 OOO65725:OOP65728 OYK65725:OYL65728 PIG65725:PIH65728 PSC65725:PSD65728 QBY65725:QBZ65728 QLU65725:QLV65728 QVQ65725:QVR65728 RFM65725:RFN65728 RPI65725:RPJ65728 RZE65725:RZF65728 SJA65725:SJB65728 SSW65725:SSX65728 TCS65725:TCT65728 TMO65725:TMP65728 TWK65725:TWL65728 UGG65725:UGH65728 UQC65725:UQD65728 UZY65725:UZZ65728 VJU65725:VJV65728 VTQ65725:VTR65728 WDM65725:WDN65728 WNI65725:WNJ65728 WXE65725:WXF65728 KS131261:KT131264 UO131261:UP131264 AEK131261:AEL131264 AOG131261:AOH131264 AYC131261:AYD131264 BHY131261:BHZ131264 BRU131261:BRV131264 CBQ131261:CBR131264 CLM131261:CLN131264 CVI131261:CVJ131264 DFE131261:DFF131264 DPA131261:DPB131264 DYW131261:DYX131264 EIS131261:EIT131264 ESO131261:ESP131264 FCK131261:FCL131264 FMG131261:FMH131264 FWC131261:FWD131264 GFY131261:GFZ131264 GPU131261:GPV131264 GZQ131261:GZR131264 HJM131261:HJN131264 HTI131261:HTJ131264 IDE131261:IDF131264 INA131261:INB131264 IWW131261:IWX131264 JGS131261:JGT131264 JQO131261:JQP131264 KAK131261:KAL131264 KKG131261:KKH131264 KUC131261:KUD131264 LDY131261:LDZ131264 LNU131261:LNV131264 LXQ131261:LXR131264 MHM131261:MHN131264 MRI131261:MRJ131264 NBE131261:NBF131264 NLA131261:NLB131264 NUW131261:NUX131264 OES131261:OET131264 OOO131261:OOP131264 OYK131261:OYL131264 PIG131261:PIH131264 PSC131261:PSD131264 QBY131261:QBZ131264 QLU131261:QLV131264 QVQ131261:QVR131264 RFM131261:RFN131264 RPI131261:RPJ131264 RZE131261:RZF131264 SJA131261:SJB131264 SSW131261:SSX131264 TCS131261:TCT131264 TMO131261:TMP131264 TWK131261:TWL131264 UGG131261:UGH131264 UQC131261:UQD131264 UZY131261:UZZ131264 VJU131261:VJV131264 VTQ131261:VTR131264 WDM131261:WDN131264 WNI131261:WNJ131264 WXE131261:WXF131264 KS196797:KT196800 UO196797:UP196800 AEK196797:AEL196800 AOG196797:AOH196800 AYC196797:AYD196800 BHY196797:BHZ196800 BRU196797:BRV196800 CBQ196797:CBR196800 CLM196797:CLN196800 CVI196797:CVJ196800 DFE196797:DFF196800 DPA196797:DPB196800 DYW196797:DYX196800 EIS196797:EIT196800 ESO196797:ESP196800 FCK196797:FCL196800 FMG196797:FMH196800 FWC196797:FWD196800 GFY196797:GFZ196800 GPU196797:GPV196800 GZQ196797:GZR196800 HJM196797:HJN196800 HTI196797:HTJ196800 IDE196797:IDF196800 INA196797:INB196800 IWW196797:IWX196800 JGS196797:JGT196800 JQO196797:JQP196800 KAK196797:KAL196800 KKG196797:KKH196800 KUC196797:KUD196800 LDY196797:LDZ196800 LNU196797:LNV196800 LXQ196797:LXR196800 MHM196797:MHN196800 MRI196797:MRJ196800 NBE196797:NBF196800 NLA196797:NLB196800 NUW196797:NUX196800 OES196797:OET196800 OOO196797:OOP196800 OYK196797:OYL196800 PIG196797:PIH196800 PSC196797:PSD196800 QBY196797:QBZ196800 QLU196797:QLV196800 QVQ196797:QVR196800 RFM196797:RFN196800 RPI196797:RPJ196800 RZE196797:RZF196800 SJA196797:SJB196800 SSW196797:SSX196800 TCS196797:TCT196800 TMO196797:TMP196800 TWK196797:TWL196800 UGG196797:UGH196800 UQC196797:UQD196800 UZY196797:UZZ196800 VJU196797:VJV196800 VTQ196797:VTR196800 WDM196797:WDN196800 WNI196797:WNJ196800 WXE196797:WXF196800 KS262333:KT262336 UO262333:UP262336 AEK262333:AEL262336 AOG262333:AOH262336 AYC262333:AYD262336 BHY262333:BHZ262336 BRU262333:BRV262336 CBQ262333:CBR262336 CLM262333:CLN262336 CVI262333:CVJ262336 DFE262333:DFF262336 DPA262333:DPB262336 DYW262333:DYX262336 EIS262333:EIT262336 ESO262333:ESP262336 FCK262333:FCL262336 FMG262333:FMH262336 FWC262333:FWD262336 GFY262333:GFZ262336 GPU262333:GPV262336 GZQ262333:GZR262336 HJM262333:HJN262336 HTI262333:HTJ262336 IDE262333:IDF262336 INA262333:INB262336 IWW262333:IWX262336 JGS262333:JGT262336 JQO262333:JQP262336 KAK262333:KAL262336 KKG262333:KKH262336 KUC262333:KUD262336 LDY262333:LDZ262336 LNU262333:LNV262336 LXQ262333:LXR262336 MHM262333:MHN262336 MRI262333:MRJ262336 NBE262333:NBF262336 NLA262333:NLB262336 NUW262333:NUX262336 OES262333:OET262336 OOO262333:OOP262336 OYK262333:OYL262336 PIG262333:PIH262336 PSC262333:PSD262336 QBY262333:QBZ262336 QLU262333:QLV262336 QVQ262333:QVR262336 RFM262333:RFN262336 RPI262333:RPJ262336 RZE262333:RZF262336 SJA262333:SJB262336 SSW262333:SSX262336 TCS262333:TCT262336 TMO262333:TMP262336 TWK262333:TWL262336 UGG262333:UGH262336 UQC262333:UQD262336 UZY262333:UZZ262336 VJU262333:VJV262336 VTQ262333:VTR262336 WDM262333:WDN262336 WNI262333:WNJ262336 WXE262333:WXF262336 KS327869:KT327872 UO327869:UP327872 AEK327869:AEL327872 AOG327869:AOH327872 AYC327869:AYD327872 BHY327869:BHZ327872 BRU327869:BRV327872 CBQ327869:CBR327872 CLM327869:CLN327872 CVI327869:CVJ327872 DFE327869:DFF327872 DPA327869:DPB327872 DYW327869:DYX327872 EIS327869:EIT327872 ESO327869:ESP327872 FCK327869:FCL327872 FMG327869:FMH327872 FWC327869:FWD327872 GFY327869:GFZ327872 GPU327869:GPV327872 GZQ327869:GZR327872 HJM327869:HJN327872 HTI327869:HTJ327872 IDE327869:IDF327872 INA327869:INB327872 IWW327869:IWX327872 JGS327869:JGT327872 JQO327869:JQP327872 KAK327869:KAL327872 KKG327869:KKH327872 KUC327869:KUD327872 LDY327869:LDZ327872 LNU327869:LNV327872 LXQ327869:LXR327872 MHM327869:MHN327872 MRI327869:MRJ327872 NBE327869:NBF327872 NLA327869:NLB327872 NUW327869:NUX327872 OES327869:OET327872 OOO327869:OOP327872 OYK327869:OYL327872 PIG327869:PIH327872 PSC327869:PSD327872 QBY327869:QBZ327872 QLU327869:QLV327872 QVQ327869:QVR327872 RFM327869:RFN327872 RPI327869:RPJ327872 RZE327869:RZF327872 SJA327869:SJB327872 SSW327869:SSX327872 TCS327869:TCT327872 TMO327869:TMP327872 TWK327869:TWL327872 UGG327869:UGH327872 UQC327869:UQD327872 UZY327869:UZZ327872 VJU327869:VJV327872 VTQ327869:VTR327872 WDM327869:WDN327872 WNI327869:WNJ327872 WXE327869:WXF327872 KS393405:KT393408 UO393405:UP393408 AEK393405:AEL393408 AOG393405:AOH393408 AYC393405:AYD393408 BHY393405:BHZ393408 BRU393405:BRV393408 CBQ393405:CBR393408 CLM393405:CLN393408 CVI393405:CVJ393408 DFE393405:DFF393408 DPA393405:DPB393408 DYW393405:DYX393408 EIS393405:EIT393408 ESO393405:ESP393408 FCK393405:FCL393408 FMG393405:FMH393408 FWC393405:FWD393408 GFY393405:GFZ393408 GPU393405:GPV393408 GZQ393405:GZR393408 HJM393405:HJN393408 HTI393405:HTJ393408 IDE393405:IDF393408 INA393405:INB393408 IWW393405:IWX393408 JGS393405:JGT393408 JQO393405:JQP393408 KAK393405:KAL393408 KKG393405:KKH393408 KUC393405:KUD393408 LDY393405:LDZ393408 LNU393405:LNV393408 LXQ393405:LXR393408 MHM393405:MHN393408 MRI393405:MRJ393408 NBE393405:NBF393408 NLA393405:NLB393408 NUW393405:NUX393408 OES393405:OET393408 OOO393405:OOP393408 OYK393405:OYL393408 PIG393405:PIH393408 PSC393405:PSD393408 QBY393405:QBZ393408 QLU393405:QLV393408 QVQ393405:QVR393408 RFM393405:RFN393408 RPI393405:RPJ393408 RZE393405:RZF393408 SJA393405:SJB393408 SSW393405:SSX393408 TCS393405:TCT393408 TMO393405:TMP393408 TWK393405:TWL393408 UGG393405:UGH393408 UQC393405:UQD393408 UZY393405:UZZ393408 VJU393405:VJV393408 VTQ393405:VTR393408 WDM393405:WDN393408 WNI393405:WNJ393408 WXE393405:WXF393408 KS458941:KT458944 UO458941:UP458944 AEK458941:AEL458944 AOG458941:AOH458944 AYC458941:AYD458944 BHY458941:BHZ458944 BRU458941:BRV458944 CBQ458941:CBR458944 CLM458941:CLN458944 CVI458941:CVJ458944 DFE458941:DFF458944 DPA458941:DPB458944 DYW458941:DYX458944 EIS458941:EIT458944 ESO458941:ESP458944 FCK458941:FCL458944 FMG458941:FMH458944 FWC458941:FWD458944 GFY458941:GFZ458944 GPU458941:GPV458944 GZQ458941:GZR458944 HJM458941:HJN458944 HTI458941:HTJ458944 IDE458941:IDF458944 INA458941:INB458944 IWW458941:IWX458944 JGS458941:JGT458944 JQO458941:JQP458944 KAK458941:KAL458944 KKG458941:KKH458944 KUC458941:KUD458944 LDY458941:LDZ458944 LNU458941:LNV458944 LXQ458941:LXR458944 MHM458941:MHN458944 MRI458941:MRJ458944 NBE458941:NBF458944 NLA458941:NLB458944 NUW458941:NUX458944 OES458941:OET458944 OOO458941:OOP458944 OYK458941:OYL458944 PIG458941:PIH458944 PSC458941:PSD458944 QBY458941:QBZ458944 QLU458941:QLV458944 QVQ458941:QVR458944 RFM458941:RFN458944 RPI458941:RPJ458944 RZE458941:RZF458944 SJA458941:SJB458944 SSW458941:SSX458944 TCS458941:TCT458944 TMO458941:TMP458944 TWK458941:TWL458944 UGG458941:UGH458944 UQC458941:UQD458944 UZY458941:UZZ458944 VJU458941:VJV458944 VTQ458941:VTR458944 WDM458941:WDN458944 WNI458941:WNJ458944 WXE458941:WXF458944 KS524477:KT524480 UO524477:UP524480 AEK524477:AEL524480 AOG524477:AOH524480 AYC524477:AYD524480 BHY524477:BHZ524480 BRU524477:BRV524480 CBQ524477:CBR524480 CLM524477:CLN524480 CVI524477:CVJ524480 DFE524477:DFF524480 DPA524477:DPB524480 DYW524477:DYX524480 EIS524477:EIT524480 ESO524477:ESP524480 FCK524477:FCL524480 FMG524477:FMH524480 FWC524477:FWD524480 GFY524477:GFZ524480 GPU524477:GPV524480 GZQ524477:GZR524480 HJM524477:HJN524480 HTI524477:HTJ524480 IDE524477:IDF524480 INA524477:INB524480 IWW524477:IWX524480 JGS524477:JGT524480 JQO524477:JQP524480 KAK524477:KAL524480 KKG524477:KKH524480 KUC524477:KUD524480 LDY524477:LDZ524480 LNU524477:LNV524480 LXQ524477:LXR524480 MHM524477:MHN524480 MRI524477:MRJ524480 NBE524477:NBF524480 NLA524477:NLB524480 NUW524477:NUX524480 OES524477:OET524480 OOO524477:OOP524480 OYK524477:OYL524480 PIG524477:PIH524480 PSC524477:PSD524480 QBY524477:QBZ524480 QLU524477:QLV524480 QVQ524477:QVR524480 RFM524477:RFN524480 RPI524477:RPJ524480 RZE524477:RZF524480 SJA524477:SJB524480 SSW524477:SSX524480 TCS524477:TCT524480 TMO524477:TMP524480 TWK524477:TWL524480 UGG524477:UGH524480 UQC524477:UQD524480 UZY524477:UZZ524480 VJU524477:VJV524480 VTQ524477:VTR524480 WDM524477:WDN524480 WNI524477:WNJ524480 WXE524477:WXF524480 KS590013:KT590016 UO590013:UP590016 AEK590013:AEL590016 AOG590013:AOH590016 AYC590013:AYD590016 BHY590013:BHZ590016 BRU590013:BRV590016 CBQ590013:CBR590016 CLM590013:CLN590016 CVI590013:CVJ590016 DFE590013:DFF590016 DPA590013:DPB590016 DYW590013:DYX590016 EIS590013:EIT590016 ESO590013:ESP590016 FCK590013:FCL590016 FMG590013:FMH590016 FWC590013:FWD590016 GFY590013:GFZ590016 GPU590013:GPV590016 GZQ590013:GZR590016 HJM590013:HJN590016 HTI590013:HTJ590016 IDE590013:IDF590016 INA590013:INB590016 IWW590013:IWX590016 JGS590013:JGT590016 JQO590013:JQP590016 KAK590013:KAL590016 KKG590013:KKH590016 KUC590013:KUD590016 LDY590013:LDZ590016 LNU590013:LNV590016 LXQ590013:LXR590016 MHM590013:MHN590016 MRI590013:MRJ590016 NBE590013:NBF590016 NLA590013:NLB590016 NUW590013:NUX590016 OES590013:OET590016 OOO590013:OOP590016 OYK590013:OYL590016 PIG590013:PIH590016 PSC590013:PSD590016 QBY590013:QBZ590016 QLU590013:QLV590016 QVQ590013:QVR590016 RFM590013:RFN590016 RPI590013:RPJ590016 RZE590013:RZF590016 SJA590013:SJB590016 SSW590013:SSX590016 TCS590013:TCT590016 TMO590013:TMP590016 TWK590013:TWL590016 UGG590013:UGH590016 UQC590013:UQD590016 UZY590013:UZZ590016 VJU590013:VJV590016 VTQ590013:VTR590016 WDM590013:WDN590016 WNI590013:WNJ590016 WXE590013:WXF590016 KS655549:KT655552 UO655549:UP655552 AEK655549:AEL655552 AOG655549:AOH655552 AYC655549:AYD655552 BHY655549:BHZ655552 BRU655549:BRV655552 CBQ655549:CBR655552 CLM655549:CLN655552 CVI655549:CVJ655552 DFE655549:DFF655552 DPA655549:DPB655552 DYW655549:DYX655552 EIS655549:EIT655552 ESO655549:ESP655552 FCK655549:FCL655552 FMG655549:FMH655552 FWC655549:FWD655552 GFY655549:GFZ655552 GPU655549:GPV655552 GZQ655549:GZR655552 HJM655549:HJN655552 HTI655549:HTJ655552 IDE655549:IDF655552 INA655549:INB655552 IWW655549:IWX655552 JGS655549:JGT655552 JQO655549:JQP655552 KAK655549:KAL655552 KKG655549:KKH655552 KUC655549:KUD655552 LDY655549:LDZ655552 LNU655549:LNV655552 LXQ655549:LXR655552 MHM655549:MHN655552 MRI655549:MRJ655552 NBE655549:NBF655552 NLA655549:NLB655552 NUW655549:NUX655552 OES655549:OET655552 OOO655549:OOP655552 OYK655549:OYL655552 PIG655549:PIH655552 PSC655549:PSD655552 QBY655549:QBZ655552 QLU655549:QLV655552 QVQ655549:QVR655552 RFM655549:RFN655552 RPI655549:RPJ655552 RZE655549:RZF655552 SJA655549:SJB655552 SSW655549:SSX655552 TCS655549:TCT655552 TMO655549:TMP655552 TWK655549:TWL655552 UGG655549:UGH655552 UQC655549:UQD655552 UZY655549:UZZ655552 VJU655549:VJV655552 VTQ655549:VTR655552 WDM655549:WDN655552 WNI655549:WNJ655552 WXE655549:WXF655552 KS721085:KT721088 UO721085:UP721088 AEK721085:AEL721088 AOG721085:AOH721088 AYC721085:AYD721088 BHY721085:BHZ721088 BRU721085:BRV721088 CBQ721085:CBR721088 CLM721085:CLN721088 CVI721085:CVJ721088 DFE721085:DFF721088 DPA721085:DPB721088 DYW721085:DYX721088 EIS721085:EIT721088 ESO721085:ESP721088 FCK721085:FCL721088 FMG721085:FMH721088 FWC721085:FWD721088 GFY721085:GFZ721088 GPU721085:GPV721088 GZQ721085:GZR721088 HJM721085:HJN721088 HTI721085:HTJ721088 IDE721085:IDF721088 INA721085:INB721088 IWW721085:IWX721088 JGS721085:JGT721088 JQO721085:JQP721088 KAK721085:KAL721088 KKG721085:KKH721088 KUC721085:KUD721088 LDY721085:LDZ721088 LNU721085:LNV721088 LXQ721085:LXR721088 MHM721085:MHN721088 MRI721085:MRJ721088 NBE721085:NBF721088 NLA721085:NLB721088 NUW721085:NUX721088 OES721085:OET721088 OOO721085:OOP721088 OYK721085:OYL721088 PIG721085:PIH721088 PSC721085:PSD721088 QBY721085:QBZ721088 QLU721085:QLV721088 QVQ721085:QVR721088 RFM721085:RFN721088 RPI721085:RPJ721088 RZE721085:RZF721088 SJA721085:SJB721088 SSW721085:SSX721088 TCS721085:TCT721088 TMO721085:TMP721088 TWK721085:TWL721088 UGG721085:UGH721088 UQC721085:UQD721088 UZY721085:UZZ721088 VJU721085:VJV721088 VTQ721085:VTR721088 WDM721085:WDN721088 WNI721085:WNJ721088 WXE721085:WXF721088 KS786621:KT786624 UO786621:UP786624 AEK786621:AEL786624 AOG786621:AOH786624 AYC786621:AYD786624 BHY786621:BHZ786624 BRU786621:BRV786624 CBQ786621:CBR786624 CLM786621:CLN786624 CVI786621:CVJ786624 DFE786621:DFF786624 DPA786621:DPB786624 DYW786621:DYX786624 EIS786621:EIT786624 ESO786621:ESP786624 FCK786621:FCL786624 FMG786621:FMH786624 FWC786621:FWD786624 GFY786621:GFZ786624 GPU786621:GPV786624 GZQ786621:GZR786624 HJM786621:HJN786624 HTI786621:HTJ786624 IDE786621:IDF786624 INA786621:INB786624 IWW786621:IWX786624 JGS786621:JGT786624 JQO786621:JQP786624 KAK786621:KAL786624 KKG786621:KKH786624 KUC786621:KUD786624 LDY786621:LDZ786624 LNU786621:LNV786624 LXQ786621:LXR786624 MHM786621:MHN786624 MRI786621:MRJ786624 NBE786621:NBF786624 NLA786621:NLB786624 NUW786621:NUX786624 OES786621:OET786624 OOO786621:OOP786624 OYK786621:OYL786624 PIG786621:PIH786624 PSC786621:PSD786624 QBY786621:QBZ786624 QLU786621:QLV786624 QVQ786621:QVR786624 RFM786621:RFN786624 RPI786621:RPJ786624 RZE786621:RZF786624 SJA786621:SJB786624 SSW786621:SSX786624 TCS786621:TCT786624 TMO786621:TMP786624 TWK786621:TWL786624 UGG786621:UGH786624 UQC786621:UQD786624 UZY786621:UZZ786624 VJU786621:VJV786624 VTQ786621:VTR786624 WDM786621:WDN786624 WNI786621:WNJ786624 WXE786621:WXF786624 KS852157:KT852160 UO852157:UP852160 AEK852157:AEL852160 AOG852157:AOH852160 AYC852157:AYD852160 BHY852157:BHZ852160 BRU852157:BRV852160 CBQ852157:CBR852160 CLM852157:CLN852160 CVI852157:CVJ852160 DFE852157:DFF852160 DPA852157:DPB852160 DYW852157:DYX852160 EIS852157:EIT852160 ESO852157:ESP852160 FCK852157:FCL852160 FMG852157:FMH852160 FWC852157:FWD852160 GFY852157:GFZ852160 GPU852157:GPV852160 GZQ852157:GZR852160 HJM852157:HJN852160 HTI852157:HTJ852160 IDE852157:IDF852160 INA852157:INB852160 IWW852157:IWX852160 JGS852157:JGT852160 JQO852157:JQP852160 KAK852157:KAL852160 KKG852157:KKH852160 KUC852157:KUD852160 LDY852157:LDZ852160 LNU852157:LNV852160 LXQ852157:LXR852160 MHM852157:MHN852160 MRI852157:MRJ852160 NBE852157:NBF852160 NLA852157:NLB852160 NUW852157:NUX852160 OES852157:OET852160 OOO852157:OOP852160 OYK852157:OYL852160 PIG852157:PIH852160 PSC852157:PSD852160 QBY852157:QBZ852160 QLU852157:QLV852160 QVQ852157:QVR852160 RFM852157:RFN852160 RPI852157:RPJ852160 RZE852157:RZF852160 SJA852157:SJB852160 SSW852157:SSX852160 TCS852157:TCT852160 TMO852157:TMP852160 TWK852157:TWL852160 UGG852157:UGH852160 UQC852157:UQD852160 UZY852157:UZZ852160 VJU852157:VJV852160 VTQ852157:VTR852160 WDM852157:WDN852160 WNI852157:WNJ852160 WXE852157:WXF852160 KS917693:KT917696 UO917693:UP917696 AEK917693:AEL917696 AOG917693:AOH917696 AYC917693:AYD917696 BHY917693:BHZ917696 BRU917693:BRV917696 CBQ917693:CBR917696 CLM917693:CLN917696 CVI917693:CVJ917696 DFE917693:DFF917696 DPA917693:DPB917696 DYW917693:DYX917696 EIS917693:EIT917696 ESO917693:ESP917696 FCK917693:FCL917696 FMG917693:FMH917696 FWC917693:FWD917696 GFY917693:GFZ917696 GPU917693:GPV917696 GZQ917693:GZR917696 HJM917693:HJN917696 HTI917693:HTJ917696 IDE917693:IDF917696 INA917693:INB917696 IWW917693:IWX917696 JGS917693:JGT917696 JQO917693:JQP917696 KAK917693:KAL917696 KKG917693:KKH917696 KUC917693:KUD917696 LDY917693:LDZ917696 LNU917693:LNV917696 LXQ917693:LXR917696 MHM917693:MHN917696 MRI917693:MRJ917696 NBE917693:NBF917696 NLA917693:NLB917696 NUW917693:NUX917696 OES917693:OET917696 OOO917693:OOP917696 OYK917693:OYL917696 PIG917693:PIH917696 PSC917693:PSD917696 QBY917693:QBZ917696 QLU917693:QLV917696 QVQ917693:QVR917696 RFM917693:RFN917696 RPI917693:RPJ917696 RZE917693:RZF917696 SJA917693:SJB917696 SSW917693:SSX917696 TCS917693:TCT917696 TMO917693:TMP917696 TWK917693:TWL917696 UGG917693:UGH917696 UQC917693:UQD917696 UZY917693:UZZ917696 VJU917693:VJV917696 VTQ917693:VTR917696 WDM917693:WDN917696 WNI917693:WNJ917696 WXE917693:WXF917696 KS983229:KT983232 UO983229:UP983232 AEK983229:AEL983232 AOG983229:AOH983232 AYC983229:AYD983232 BHY983229:BHZ983232 BRU983229:BRV983232 CBQ983229:CBR983232 CLM983229:CLN983232 CVI983229:CVJ983232 DFE983229:DFF983232 DPA983229:DPB983232 DYW983229:DYX983232 EIS983229:EIT983232 ESO983229:ESP983232 FCK983229:FCL983232 FMG983229:FMH983232 FWC983229:FWD983232 GFY983229:GFZ983232 GPU983229:GPV983232 GZQ983229:GZR983232 HJM983229:HJN983232 HTI983229:HTJ983232 IDE983229:IDF983232 INA983229:INB983232 IWW983229:IWX983232 JGS983229:JGT983232 JQO983229:JQP983232 KAK983229:KAL983232 KKG983229:KKH983232 KUC983229:KUD983232 LDY983229:LDZ983232 LNU983229:LNV983232 LXQ983229:LXR983232 MHM983229:MHN983232 MRI983229:MRJ983232 NBE983229:NBF983232 NLA983229:NLB983232 NUW983229:NUX983232 OES983229:OET983232 OOO983229:OOP983232 OYK983229:OYL983232 PIG983229:PIH983232 PSC983229:PSD983232 QBY983229:QBZ983232 QLU983229:QLV983232 QVQ983229:QVR983232 RFM983229:RFN983232 RPI983229:RPJ983232 RZE983229:RZF983232 SJA983229:SJB983232 SSW983229:SSX983232 TCS983229:TCT983232 TMO983229:TMP983232 TWK983229:TWL983232 UGG983229:UGH983232 UQC983229:UQD983232 UZY983229:UZZ983232 VJU983229:VJV983232 VTQ983229:VTR983232 WDM983229:WDN983232 WNI983229:WNJ983232 WXE983229:WXF983232 KS262262:KT262266 UO262262:UP262266 AEK262262:AEL262266 AOG262262:AOH262266 AYC262262:AYD262266 BHY262262:BHZ262266 BRU262262:BRV262266 CBQ262262:CBR262266 CLM262262:CLN262266 CVI262262:CVJ262266 DFE262262:DFF262266 DPA262262:DPB262266 DYW262262:DYX262266 EIS262262:EIT262266 ESO262262:ESP262266 FCK262262:FCL262266 FMG262262:FMH262266 FWC262262:FWD262266 GFY262262:GFZ262266 GPU262262:GPV262266 GZQ262262:GZR262266 HJM262262:HJN262266 HTI262262:HTJ262266 IDE262262:IDF262266 INA262262:INB262266 IWW262262:IWX262266 JGS262262:JGT262266 JQO262262:JQP262266 KAK262262:KAL262266 KKG262262:KKH262266 KUC262262:KUD262266 LDY262262:LDZ262266 LNU262262:LNV262266 LXQ262262:LXR262266 MHM262262:MHN262266 MRI262262:MRJ262266 NBE262262:NBF262266 NLA262262:NLB262266 NUW262262:NUX262266 OES262262:OET262266 OOO262262:OOP262266 OYK262262:OYL262266 PIG262262:PIH262266 PSC262262:PSD262266 QBY262262:QBZ262266 QLU262262:QLV262266 QVQ262262:QVR262266 RFM262262:RFN262266 RPI262262:RPJ262266 RZE262262:RZF262266 SJA262262:SJB262266 SSW262262:SSX262266 TCS262262:TCT262266 TMO262262:TMP262266 TWK262262:TWL262266 UGG262262:UGH262266 UQC262262:UQD262266 UZY262262:UZZ262266 VJU262262:VJV262266 VTQ262262:VTR262266 WDM262262:WDN262266 WNI262262:WNJ262266 WXE262262:WXF262266 KS65721:KT65723 UO65721:UP65723 AEK65721:AEL65723 AOG65721:AOH65723 AYC65721:AYD65723 BHY65721:BHZ65723 BRU65721:BRV65723 CBQ65721:CBR65723 CLM65721:CLN65723 CVI65721:CVJ65723 DFE65721:DFF65723 DPA65721:DPB65723 DYW65721:DYX65723 EIS65721:EIT65723 ESO65721:ESP65723 FCK65721:FCL65723 FMG65721:FMH65723 FWC65721:FWD65723 GFY65721:GFZ65723 GPU65721:GPV65723 GZQ65721:GZR65723 HJM65721:HJN65723 HTI65721:HTJ65723 IDE65721:IDF65723 INA65721:INB65723 IWW65721:IWX65723 JGS65721:JGT65723 JQO65721:JQP65723 KAK65721:KAL65723 KKG65721:KKH65723 KUC65721:KUD65723 LDY65721:LDZ65723 LNU65721:LNV65723 LXQ65721:LXR65723 MHM65721:MHN65723 MRI65721:MRJ65723 NBE65721:NBF65723 NLA65721:NLB65723 NUW65721:NUX65723 OES65721:OET65723 OOO65721:OOP65723 OYK65721:OYL65723 PIG65721:PIH65723 PSC65721:PSD65723 QBY65721:QBZ65723 QLU65721:QLV65723 QVQ65721:QVR65723 RFM65721:RFN65723 RPI65721:RPJ65723 RZE65721:RZF65723 SJA65721:SJB65723 SSW65721:SSX65723 TCS65721:TCT65723 TMO65721:TMP65723 TWK65721:TWL65723 UGG65721:UGH65723 UQC65721:UQD65723 UZY65721:UZZ65723 VJU65721:VJV65723 VTQ65721:VTR65723 WDM65721:WDN65723 WNI65721:WNJ65723 WXE65721:WXF65723 KS131257:KT131259 UO131257:UP131259 AEK131257:AEL131259 AOG131257:AOH131259 AYC131257:AYD131259 BHY131257:BHZ131259 BRU131257:BRV131259 CBQ131257:CBR131259 CLM131257:CLN131259 CVI131257:CVJ131259 DFE131257:DFF131259 DPA131257:DPB131259 DYW131257:DYX131259 EIS131257:EIT131259 ESO131257:ESP131259 FCK131257:FCL131259 FMG131257:FMH131259 FWC131257:FWD131259 GFY131257:GFZ131259 GPU131257:GPV131259 GZQ131257:GZR131259 HJM131257:HJN131259 HTI131257:HTJ131259 IDE131257:IDF131259 INA131257:INB131259 IWW131257:IWX131259 JGS131257:JGT131259 JQO131257:JQP131259 KAK131257:KAL131259 KKG131257:KKH131259 KUC131257:KUD131259 LDY131257:LDZ131259 LNU131257:LNV131259 LXQ131257:LXR131259 MHM131257:MHN131259 MRI131257:MRJ131259 NBE131257:NBF131259 NLA131257:NLB131259 NUW131257:NUX131259 OES131257:OET131259 OOO131257:OOP131259 OYK131257:OYL131259 PIG131257:PIH131259 PSC131257:PSD131259 QBY131257:QBZ131259 QLU131257:QLV131259 QVQ131257:QVR131259 RFM131257:RFN131259 RPI131257:RPJ131259 RZE131257:RZF131259 SJA131257:SJB131259 SSW131257:SSX131259 TCS131257:TCT131259 TMO131257:TMP131259 TWK131257:TWL131259 UGG131257:UGH131259 UQC131257:UQD131259 UZY131257:UZZ131259 VJU131257:VJV131259 VTQ131257:VTR131259 WDM131257:WDN131259 WNI131257:WNJ131259 WXE131257:WXF131259 KS196793:KT196795 UO196793:UP196795 AEK196793:AEL196795 AOG196793:AOH196795 AYC196793:AYD196795 BHY196793:BHZ196795 BRU196793:BRV196795 CBQ196793:CBR196795 CLM196793:CLN196795 CVI196793:CVJ196795 DFE196793:DFF196795 DPA196793:DPB196795 DYW196793:DYX196795 EIS196793:EIT196795 ESO196793:ESP196795 FCK196793:FCL196795 FMG196793:FMH196795 FWC196793:FWD196795 GFY196793:GFZ196795 GPU196793:GPV196795 GZQ196793:GZR196795 HJM196793:HJN196795 HTI196793:HTJ196795 IDE196793:IDF196795 INA196793:INB196795 IWW196793:IWX196795 JGS196793:JGT196795 JQO196793:JQP196795 KAK196793:KAL196795 KKG196793:KKH196795 KUC196793:KUD196795 LDY196793:LDZ196795 LNU196793:LNV196795 LXQ196793:LXR196795 MHM196793:MHN196795 MRI196793:MRJ196795 NBE196793:NBF196795 NLA196793:NLB196795 NUW196793:NUX196795 OES196793:OET196795 OOO196793:OOP196795 OYK196793:OYL196795 PIG196793:PIH196795 PSC196793:PSD196795 QBY196793:QBZ196795 QLU196793:QLV196795 QVQ196793:QVR196795 RFM196793:RFN196795 RPI196793:RPJ196795 RZE196793:RZF196795 SJA196793:SJB196795 SSW196793:SSX196795 TCS196793:TCT196795 TMO196793:TMP196795 TWK196793:TWL196795 UGG196793:UGH196795 UQC196793:UQD196795 UZY196793:UZZ196795 VJU196793:VJV196795 VTQ196793:VTR196795 WDM196793:WDN196795 WNI196793:WNJ196795 WXE196793:WXF196795 KS262329:KT262331 UO262329:UP262331 AEK262329:AEL262331 AOG262329:AOH262331 AYC262329:AYD262331 BHY262329:BHZ262331 BRU262329:BRV262331 CBQ262329:CBR262331 CLM262329:CLN262331 CVI262329:CVJ262331 DFE262329:DFF262331 DPA262329:DPB262331 DYW262329:DYX262331 EIS262329:EIT262331 ESO262329:ESP262331 FCK262329:FCL262331 FMG262329:FMH262331 FWC262329:FWD262331 GFY262329:GFZ262331 GPU262329:GPV262331 GZQ262329:GZR262331 HJM262329:HJN262331 HTI262329:HTJ262331 IDE262329:IDF262331 INA262329:INB262331 IWW262329:IWX262331 JGS262329:JGT262331 JQO262329:JQP262331 KAK262329:KAL262331 KKG262329:KKH262331 KUC262329:KUD262331 LDY262329:LDZ262331 LNU262329:LNV262331 LXQ262329:LXR262331 MHM262329:MHN262331 MRI262329:MRJ262331 NBE262329:NBF262331 NLA262329:NLB262331 NUW262329:NUX262331 OES262329:OET262331 OOO262329:OOP262331 OYK262329:OYL262331 PIG262329:PIH262331 PSC262329:PSD262331 QBY262329:QBZ262331 QLU262329:QLV262331 QVQ262329:QVR262331 RFM262329:RFN262331 RPI262329:RPJ262331 RZE262329:RZF262331 SJA262329:SJB262331 SSW262329:SSX262331 TCS262329:TCT262331 TMO262329:TMP262331 TWK262329:TWL262331 UGG262329:UGH262331 UQC262329:UQD262331 UZY262329:UZZ262331 VJU262329:VJV262331 VTQ262329:VTR262331 WDM262329:WDN262331 WNI262329:WNJ262331 WXE262329:WXF262331 KS327865:KT327867 UO327865:UP327867 AEK327865:AEL327867 AOG327865:AOH327867 AYC327865:AYD327867 BHY327865:BHZ327867 BRU327865:BRV327867 CBQ327865:CBR327867 CLM327865:CLN327867 CVI327865:CVJ327867 DFE327865:DFF327867 DPA327865:DPB327867 DYW327865:DYX327867 EIS327865:EIT327867 ESO327865:ESP327867 FCK327865:FCL327867 FMG327865:FMH327867 FWC327865:FWD327867 GFY327865:GFZ327867 GPU327865:GPV327867 GZQ327865:GZR327867 HJM327865:HJN327867 HTI327865:HTJ327867 IDE327865:IDF327867 INA327865:INB327867 IWW327865:IWX327867 JGS327865:JGT327867 JQO327865:JQP327867 KAK327865:KAL327867 KKG327865:KKH327867 KUC327865:KUD327867 LDY327865:LDZ327867 LNU327865:LNV327867 LXQ327865:LXR327867 MHM327865:MHN327867 MRI327865:MRJ327867 NBE327865:NBF327867 NLA327865:NLB327867 NUW327865:NUX327867 OES327865:OET327867 OOO327865:OOP327867 OYK327865:OYL327867 PIG327865:PIH327867 PSC327865:PSD327867 QBY327865:QBZ327867 QLU327865:QLV327867 QVQ327865:QVR327867 RFM327865:RFN327867 RPI327865:RPJ327867 RZE327865:RZF327867 SJA327865:SJB327867 SSW327865:SSX327867 TCS327865:TCT327867 TMO327865:TMP327867 TWK327865:TWL327867 UGG327865:UGH327867 UQC327865:UQD327867 UZY327865:UZZ327867 VJU327865:VJV327867 VTQ327865:VTR327867 WDM327865:WDN327867 WNI327865:WNJ327867 WXE327865:WXF327867 KS393401:KT393403 UO393401:UP393403 AEK393401:AEL393403 AOG393401:AOH393403 AYC393401:AYD393403 BHY393401:BHZ393403 BRU393401:BRV393403 CBQ393401:CBR393403 CLM393401:CLN393403 CVI393401:CVJ393403 DFE393401:DFF393403 DPA393401:DPB393403 DYW393401:DYX393403 EIS393401:EIT393403 ESO393401:ESP393403 FCK393401:FCL393403 FMG393401:FMH393403 FWC393401:FWD393403 GFY393401:GFZ393403 GPU393401:GPV393403 GZQ393401:GZR393403 HJM393401:HJN393403 HTI393401:HTJ393403 IDE393401:IDF393403 INA393401:INB393403 IWW393401:IWX393403 JGS393401:JGT393403 JQO393401:JQP393403 KAK393401:KAL393403 KKG393401:KKH393403 KUC393401:KUD393403 LDY393401:LDZ393403 LNU393401:LNV393403 LXQ393401:LXR393403 MHM393401:MHN393403 MRI393401:MRJ393403 NBE393401:NBF393403 NLA393401:NLB393403 NUW393401:NUX393403 OES393401:OET393403 OOO393401:OOP393403 OYK393401:OYL393403 PIG393401:PIH393403 PSC393401:PSD393403 QBY393401:QBZ393403 QLU393401:QLV393403 QVQ393401:QVR393403 RFM393401:RFN393403 RPI393401:RPJ393403 RZE393401:RZF393403 SJA393401:SJB393403 SSW393401:SSX393403 TCS393401:TCT393403 TMO393401:TMP393403 TWK393401:TWL393403 UGG393401:UGH393403 UQC393401:UQD393403 UZY393401:UZZ393403 VJU393401:VJV393403 VTQ393401:VTR393403 WDM393401:WDN393403 WNI393401:WNJ393403 WXE393401:WXF393403 KS458937:KT458939 UO458937:UP458939 AEK458937:AEL458939 AOG458937:AOH458939 AYC458937:AYD458939 BHY458937:BHZ458939 BRU458937:BRV458939 CBQ458937:CBR458939 CLM458937:CLN458939 CVI458937:CVJ458939 DFE458937:DFF458939 DPA458937:DPB458939 DYW458937:DYX458939 EIS458937:EIT458939 ESO458937:ESP458939 FCK458937:FCL458939 FMG458937:FMH458939 FWC458937:FWD458939 GFY458937:GFZ458939 GPU458937:GPV458939 GZQ458937:GZR458939 HJM458937:HJN458939 HTI458937:HTJ458939 IDE458937:IDF458939 INA458937:INB458939 IWW458937:IWX458939 JGS458937:JGT458939 JQO458937:JQP458939 KAK458937:KAL458939 KKG458937:KKH458939 KUC458937:KUD458939 LDY458937:LDZ458939 LNU458937:LNV458939 LXQ458937:LXR458939 MHM458937:MHN458939 MRI458937:MRJ458939 NBE458937:NBF458939 NLA458937:NLB458939 NUW458937:NUX458939 OES458937:OET458939 OOO458937:OOP458939 OYK458937:OYL458939 PIG458937:PIH458939 PSC458937:PSD458939 QBY458937:QBZ458939 QLU458937:QLV458939 QVQ458937:QVR458939 RFM458937:RFN458939 RPI458937:RPJ458939 RZE458937:RZF458939 SJA458937:SJB458939 SSW458937:SSX458939 TCS458937:TCT458939 TMO458937:TMP458939 TWK458937:TWL458939 UGG458937:UGH458939 UQC458937:UQD458939 UZY458937:UZZ458939 VJU458937:VJV458939 VTQ458937:VTR458939 WDM458937:WDN458939 WNI458937:WNJ458939 WXE458937:WXF458939 KS524473:KT524475 UO524473:UP524475 AEK524473:AEL524475 AOG524473:AOH524475 AYC524473:AYD524475 BHY524473:BHZ524475 BRU524473:BRV524475 CBQ524473:CBR524475 CLM524473:CLN524475 CVI524473:CVJ524475 DFE524473:DFF524475 DPA524473:DPB524475 DYW524473:DYX524475 EIS524473:EIT524475 ESO524473:ESP524475 FCK524473:FCL524475 FMG524473:FMH524475 FWC524473:FWD524475 GFY524473:GFZ524475 GPU524473:GPV524475 GZQ524473:GZR524475 HJM524473:HJN524475 HTI524473:HTJ524475 IDE524473:IDF524475 INA524473:INB524475 IWW524473:IWX524475 JGS524473:JGT524475 JQO524473:JQP524475 KAK524473:KAL524475 KKG524473:KKH524475 KUC524473:KUD524475 LDY524473:LDZ524475 LNU524473:LNV524475 LXQ524473:LXR524475 MHM524473:MHN524475 MRI524473:MRJ524475 NBE524473:NBF524475 NLA524473:NLB524475 NUW524473:NUX524475 OES524473:OET524475 OOO524473:OOP524475 OYK524473:OYL524475 PIG524473:PIH524475 PSC524473:PSD524475 QBY524473:QBZ524475 QLU524473:QLV524475 QVQ524473:QVR524475 RFM524473:RFN524475 RPI524473:RPJ524475 RZE524473:RZF524475 SJA524473:SJB524475 SSW524473:SSX524475 TCS524473:TCT524475 TMO524473:TMP524475 TWK524473:TWL524475 UGG524473:UGH524475 UQC524473:UQD524475 UZY524473:UZZ524475 VJU524473:VJV524475 VTQ524473:VTR524475 WDM524473:WDN524475 WNI524473:WNJ524475 WXE524473:WXF524475 KS590009:KT590011 UO590009:UP590011 AEK590009:AEL590011 AOG590009:AOH590011 AYC590009:AYD590011 BHY590009:BHZ590011 BRU590009:BRV590011 CBQ590009:CBR590011 CLM590009:CLN590011 CVI590009:CVJ590011 DFE590009:DFF590011 DPA590009:DPB590011 DYW590009:DYX590011 EIS590009:EIT590011 ESO590009:ESP590011 FCK590009:FCL590011 FMG590009:FMH590011 FWC590009:FWD590011 GFY590009:GFZ590011 GPU590009:GPV590011 GZQ590009:GZR590011 HJM590009:HJN590011 HTI590009:HTJ590011 IDE590009:IDF590011 INA590009:INB590011 IWW590009:IWX590011 JGS590009:JGT590011 JQO590009:JQP590011 KAK590009:KAL590011 KKG590009:KKH590011 KUC590009:KUD590011 LDY590009:LDZ590011 LNU590009:LNV590011 LXQ590009:LXR590011 MHM590009:MHN590011 MRI590009:MRJ590011 NBE590009:NBF590011 NLA590009:NLB590011 NUW590009:NUX590011 OES590009:OET590011 OOO590009:OOP590011 OYK590009:OYL590011 PIG590009:PIH590011 PSC590009:PSD590011 QBY590009:QBZ590011 QLU590009:QLV590011 QVQ590009:QVR590011 RFM590009:RFN590011 RPI590009:RPJ590011 RZE590009:RZF590011 SJA590009:SJB590011 SSW590009:SSX590011 TCS590009:TCT590011 TMO590009:TMP590011 TWK590009:TWL590011 UGG590009:UGH590011 UQC590009:UQD590011 UZY590009:UZZ590011 VJU590009:VJV590011 VTQ590009:VTR590011 WDM590009:WDN590011 WNI590009:WNJ590011 WXE590009:WXF590011 KS655545:KT655547 UO655545:UP655547 AEK655545:AEL655547 AOG655545:AOH655547 AYC655545:AYD655547 BHY655545:BHZ655547 BRU655545:BRV655547 CBQ655545:CBR655547 CLM655545:CLN655547 CVI655545:CVJ655547 DFE655545:DFF655547 DPA655545:DPB655547 DYW655545:DYX655547 EIS655545:EIT655547 ESO655545:ESP655547 FCK655545:FCL655547 FMG655545:FMH655547 FWC655545:FWD655547 GFY655545:GFZ655547 GPU655545:GPV655547 GZQ655545:GZR655547 HJM655545:HJN655547 HTI655545:HTJ655547 IDE655545:IDF655547 INA655545:INB655547 IWW655545:IWX655547 JGS655545:JGT655547 JQO655545:JQP655547 KAK655545:KAL655547 KKG655545:KKH655547 KUC655545:KUD655547 LDY655545:LDZ655547 LNU655545:LNV655547 LXQ655545:LXR655547 MHM655545:MHN655547 MRI655545:MRJ655547 NBE655545:NBF655547 NLA655545:NLB655547 NUW655545:NUX655547 OES655545:OET655547 OOO655545:OOP655547 OYK655545:OYL655547 PIG655545:PIH655547 PSC655545:PSD655547 QBY655545:QBZ655547 QLU655545:QLV655547 QVQ655545:QVR655547 RFM655545:RFN655547 RPI655545:RPJ655547 RZE655545:RZF655547 SJA655545:SJB655547 SSW655545:SSX655547 TCS655545:TCT655547 TMO655545:TMP655547 TWK655545:TWL655547 UGG655545:UGH655547 UQC655545:UQD655547 UZY655545:UZZ655547 VJU655545:VJV655547 VTQ655545:VTR655547 WDM655545:WDN655547 WNI655545:WNJ655547 WXE655545:WXF655547 KS721081:KT721083 UO721081:UP721083 AEK721081:AEL721083 AOG721081:AOH721083 AYC721081:AYD721083 BHY721081:BHZ721083 BRU721081:BRV721083 CBQ721081:CBR721083 CLM721081:CLN721083 CVI721081:CVJ721083 DFE721081:DFF721083 DPA721081:DPB721083 DYW721081:DYX721083 EIS721081:EIT721083 ESO721081:ESP721083 FCK721081:FCL721083 FMG721081:FMH721083 FWC721081:FWD721083 GFY721081:GFZ721083 GPU721081:GPV721083 GZQ721081:GZR721083 HJM721081:HJN721083 HTI721081:HTJ721083 IDE721081:IDF721083 INA721081:INB721083 IWW721081:IWX721083 JGS721081:JGT721083 JQO721081:JQP721083 KAK721081:KAL721083 KKG721081:KKH721083 KUC721081:KUD721083 LDY721081:LDZ721083 LNU721081:LNV721083 LXQ721081:LXR721083 MHM721081:MHN721083 MRI721081:MRJ721083 NBE721081:NBF721083 NLA721081:NLB721083 NUW721081:NUX721083 OES721081:OET721083 OOO721081:OOP721083 OYK721081:OYL721083 PIG721081:PIH721083 PSC721081:PSD721083 QBY721081:QBZ721083 QLU721081:QLV721083 QVQ721081:QVR721083 RFM721081:RFN721083 RPI721081:RPJ721083 RZE721081:RZF721083 SJA721081:SJB721083 SSW721081:SSX721083 TCS721081:TCT721083 TMO721081:TMP721083 TWK721081:TWL721083 UGG721081:UGH721083 UQC721081:UQD721083 UZY721081:UZZ721083 VJU721081:VJV721083 VTQ721081:VTR721083 WDM721081:WDN721083 WNI721081:WNJ721083 WXE721081:WXF721083 KS786617:KT786619 UO786617:UP786619 AEK786617:AEL786619 AOG786617:AOH786619 AYC786617:AYD786619 BHY786617:BHZ786619 BRU786617:BRV786619 CBQ786617:CBR786619 CLM786617:CLN786619 CVI786617:CVJ786619 DFE786617:DFF786619 DPA786617:DPB786619 DYW786617:DYX786619 EIS786617:EIT786619 ESO786617:ESP786619 FCK786617:FCL786619 FMG786617:FMH786619 FWC786617:FWD786619 GFY786617:GFZ786619 GPU786617:GPV786619 GZQ786617:GZR786619 HJM786617:HJN786619 HTI786617:HTJ786619 IDE786617:IDF786619 INA786617:INB786619 IWW786617:IWX786619 JGS786617:JGT786619 JQO786617:JQP786619 KAK786617:KAL786619 KKG786617:KKH786619 KUC786617:KUD786619 LDY786617:LDZ786619 LNU786617:LNV786619 LXQ786617:LXR786619 MHM786617:MHN786619 MRI786617:MRJ786619 NBE786617:NBF786619 NLA786617:NLB786619 NUW786617:NUX786619 OES786617:OET786619 OOO786617:OOP786619 OYK786617:OYL786619 PIG786617:PIH786619 PSC786617:PSD786619 QBY786617:QBZ786619 QLU786617:QLV786619 QVQ786617:QVR786619 RFM786617:RFN786619 RPI786617:RPJ786619 RZE786617:RZF786619 SJA786617:SJB786619 SSW786617:SSX786619 TCS786617:TCT786619 TMO786617:TMP786619 TWK786617:TWL786619 UGG786617:UGH786619 UQC786617:UQD786619 UZY786617:UZZ786619 VJU786617:VJV786619 VTQ786617:VTR786619 WDM786617:WDN786619 WNI786617:WNJ786619 WXE786617:WXF786619 KS852153:KT852155 UO852153:UP852155 AEK852153:AEL852155 AOG852153:AOH852155 AYC852153:AYD852155 BHY852153:BHZ852155 BRU852153:BRV852155 CBQ852153:CBR852155 CLM852153:CLN852155 CVI852153:CVJ852155 DFE852153:DFF852155 DPA852153:DPB852155 DYW852153:DYX852155 EIS852153:EIT852155 ESO852153:ESP852155 FCK852153:FCL852155 FMG852153:FMH852155 FWC852153:FWD852155 GFY852153:GFZ852155 GPU852153:GPV852155 GZQ852153:GZR852155 HJM852153:HJN852155 HTI852153:HTJ852155 IDE852153:IDF852155 INA852153:INB852155 IWW852153:IWX852155 JGS852153:JGT852155 JQO852153:JQP852155 KAK852153:KAL852155 KKG852153:KKH852155 KUC852153:KUD852155 LDY852153:LDZ852155 LNU852153:LNV852155 LXQ852153:LXR852155 MHM852153:MHN852155 MRI852153:MRJ852155 NBE852153:NBF852155 NLA852153:NLB852155 NUW852153:NUX852155 OES852153:OET852155 OOO852153:OOP852155 OYK852153:OYL852155 PIG852153:PIH852155 PSC852153:PSD852155 QBY852153:QBZ852155 QLU852153:QLV852155 QVQ852153:QVR852155 RFM852153:RFN852155 RPI852153:RPJ852155 RZE852153:RZF852155 SJA852153:SJB852155 SSW852153:SSX852155 TCS852153:TCT852155 TMO852153:TMP852155 TWK852153:TWL852155 UGG852153:UGH852155 UQC852153:UQD852155 UZY852153:UZZ852155 VJU852153:VJV852155 VTQ852153:VTR852155 WDM852153:WDN852155 WNI852153:WNJ852155 WXE852153:WXF852155 KS917689:KT917691 UO917689:UP917691 AEK917689:AEL917691 AOG917689:AOH917691 AYC917689:AYD917691 BHY917689:BHZ917691 BRU917689:BRV917691 CBQ917689:CBR917691 CLM917689:CLN917691 CVI917689:CVJ917691 DFE917689:DFF917691 DPA917689:DPB917691 DYW917689:DYX917691 EIS917689:EIT917691 ESO917689:ESP917691 FCK917689:FCL917691 FMG917689:FMH917691 FWC917689:FWD917691 GFY917689:GFZ917691 GPU917689:GPV917691 GZQ917689:GZR917691 HJM917689:HJN917691 HTI917689:HTJ917691 IDE917689:IDF917691 INA917689:INB917691 IWW917689:IWX917691 JGS917689:JGT917691 JQO917689:JQP917691 KAK917689:KAL917691 KKG917689:KKH917691 KUC917689:KUD917691 LDY917689:LDZ917691 LNU917689:LNV917691 LXQ917689:LXR917691 MHM917689:MHN917691 MRI917689:MRJ917691 NBE917689:NBF917691 NLA917689:NLB917691 NUW917689:NUX917691 OES917689:OET917691 OOO917689:OOP917691 OYK917689:OYL917691 PIG917689:PIH917691 PSC917689:PSD917691 QBY917689:QBZ917691 QLU917689:QLV917691 QVQ917689:QVR917691 RFM917689:RFN917691 RPI917689:RPJ917691 RZE917689:RZF917691 SJA917689:SJB917691 SSW917689:SSX917691 TCS917689:TCT917691 TMO917689:TMP917691 TWK917689:TWL917691 UGG917689:UGH917691 UQC917689:UQD917691 UZY917689:UZZ917691 VJU917689:VJV917691 VTQ917689:VTR917691 WDM917689:WDN917691 WNI917689:WNJ917691 WXE917689:WXF917691 KS983225:KT983227 UO983225:UP983227 AEK983225:AEL983227 AOG983225:AOH983227 AYC983225:AYD983227 BHY983225:BHZ983227 BRU983225:BRV983227 CBQ983225:CBR983227 CLM983225:CLN983227 CVI983225:CVJ983227 DFE983225:DFF983227 DPA983225:DPB983227 DYW983225:DYX983227 EIS983225:EIT983227 ESO983225:ESP983227 FCK983225:FCL983227 FMG983225:FMH983227 FWC983225:FWD983227 GFY983225:GFZ983227 GPU983225:GPV983227 GZQ983225:GZR983227 HJM983225:HJN983227 HTI983225:HTJ983227 IDE983225:IDF983227 INA983225:INB983227 IWW983225:IWX983227 JGS983225:JGT983227 JQO983225:JQP983227 KAK983225:KAL983227 KKG983225:KKH983227 KUC983225:KUD983227 LDY983225:LDZ983227 LNU983225:LNV983227 LXQ983225:LXR983227 MHM983225:MHN983227 MRI983225:MRJ983227 NBE983225:NBF983227 NLA983225:NLB983227 NUW983225:NUX983227 OES983225:OET983227 OOO983225:OOP983227 OYK983225:OYL983227 PIG983225:PIH983227 PSC983225:PSD983227 QBY983225:QBZ983227 QLU983225:QLV983227 QVQ983225:QVR983227 RFM983225:RFN983227 RPI983225:RPJ983227 RZE983225:RZF983227 SJA983225:SJB983227 SSW983225:SSX983227 TCS983225:TCT983227 TMO983225:TMP983227 TWK983225:TWL983227 UGG983225:UGH983227 UQC983225:UQD983227 UZY983225:UZZ983227 VJU983225:VJV983227 VTQ983225:VTR983227 WDM983225:WDN983227 WNI983225:WNJ983227 WXE983225:WXF983227 KS327798:KT327802 UO327798:UP327802 AEK327798:AEL327802 AOG327798:AOH327802 AYC327798:AYD327802 BHY327798:BHZ327802 BRU327798:BRV327802 CBQ327798:CBR327802 CLM327798:CLN327802 CVI327798:CVJ327802 DFE327798:DFF327802 DPA327798:DPB327802 DYW327798:DYX327802 EIS327798:EIT327802 ESO327798:ESP327802 FCK327798:FCL327802 FMG327798:FMH327802 FWC327798:FWD327802 GFY327798:GFZ327802 GPU327798:GPV327802 GZQ327798:GZR327802 HJM327798:HJN327802 HTI327798:HTJ327802 IDE327798:IDF327802 INA327798:INB327802 IWW327798:IWX327802 JGS327798:JGT327802 JQO327798:JQP327802 KAK327798:KAL327802 KKG327798:KKH327802 KUC327798:KUD327802 LDY327798:LDZ327802 LNU327798:LNV327802 LXQ327798:LXR327802 MHM327798:MHN327802 MRI327798:MRJ327802 NBE327798:NBF327802 NLA327798:NLB327802 NUW327798:NUX327802 OES327798:OET327802 OOO327798:OOP327802 OYK327798:OYL327802 PIG327798:PIH327802 PSC327798:PSD327802 QBY327798:QBZ327802 QLU327798:QLV327802 QVQ327798:QVR327802 RFM327798:RFN327802 RPI327798:RPJ327802 RZE327798:RZF327802 SJA327798:SJB327802 SSW327798:SSX327802 TCS327798:TCT327802 TMO327798:TMP327802 TWK327798:TWL327802 UGG327798:UGH327802 UQC327798:UQD327802 UZY327798:UZZ327802 VJU327798:VJV327802 VTQ327798:VTR327802 WDM327798:WDN327802 WNI327798:WNJ327802 WXE327798:WXF327802 KS65717:KT65719 UO65717:UP65719 AEK65717:AEL65719 AOG65717:AOH65719 AYC65717:AYD65719 BHY65717:BHZ65719 BRU65717:BRV65719 CBQ65717:CBR65719 CLM65717:CLN65719 CVI65717:CVJ65719 DFE65717:DFF65719 DPA65717:DPB65719 DYW65717:DYX65719 EIS65717:EIT65719 ESO65717:ESP65719 FCK65717:FCL65719 FMG65717:FMH65719 FWC65717:FWD65719 GFY65717:GFZ65719 GPU65717:GPV65719 GZQ65717:GZR65719 HJM65717:HJN65719 HTI65717:HTJ65719 IDE65717:IDF65719 INA65717:INB65719 IWW65717:IWX65719 JGS65717:JGT65719 JQO65717:JQP65719 KAK65717:KAL65719 KKG65717:KKH65719 KUC65717:KUD65719 LDY65717:LDZ65719 LNU65717:LNV65719 LXQ65717:LXR65719 MHM65717:MHN65719 MRI65717:MRJ65719 NBE65717:NBF65719 NLA65717:NLB65719 NUW65717:NUX65719 OES65717:OET65719 OOO65717:OOP65719 OYK65717:OYL65719 PIG65717:PIH65719 PSC65717:PSD65719 QBY65717:QBZ65719 QLU65717:QLV65719 QVQ65717:QVR65719 RFM65717:RFN65719 RPI65717:RPJ65719 RZE65717:RZF65719 SJA65717:SJB65719 SSW65717:SSX65719 TCS65717:TCT65719 TMO65717:TMP65719 TWK65717:TWL65719 UGG65717:UGH65719 UQC65717:UQD65719 UZY65717:UZZ65719 VJU65717:VJV65719 VTQ65717:VTR65719 WDM65717:WDN65719 WNI65717:WNJ65719 WXE65717:WXF65719 KS131253:KT131255 UO131253:UP131255 AEK131253:AEL131255 AOG131253:AOH131255 AYC131253:AYD131255 BHY131253:BHZ131255 BRU131253:BRV131255 CBQ131253:CBR131255 CLM131253:CLN131255 CVI131253:CVJ131255 DFE131253:DFF131255 DPA131253:DPB131255 DYW131253:DYX131255 EIS131253:EIT131255 ESO131253:ESP131255 FCK131253:FCL131255 FMG131253:FMH131255 FWC131253:FWD131255 GFY131253:GFZ131255 GPU131253:GPV131255 GZQ131253:GZR131255 HJM131253:HJN131255 HTI131253:HTJ131255 IDE131253:IDF131255 INA131253:INB131255 IWW131253:IWX131255 JGS131253:JGT131255 JQO131253:JQP131255 KAK131253:KAL131255 KKG131253:KKH131255 KUC131253:KUD131255 LDY131253:LDZ131255 LNU131253:LNV131255 LXQ131253:LXR131255 MHM131253:MHN131255 MRI131253:MRJ131255 NBE131253:NBF131255 NLA131253:NLB131255 NUW131253:NUX131255 OES131253:OET131255 OOO131253:OOP131255 OYK131253:OYL131255 PIG131253:PIH131255 PSC131253:PSD131255 QBY131253:QBZ131255 QLU131253:QLV131255 QVQ131253:QVR131255 RFM131253:RFN131255 RPI131253:RPJ131255 RZE131253:RZF131255 SJA131253:SJB131255 SSW131253:SSX131255 TCS131253:TCT131255 TMO131253:TMP131255 TWK131253:TWL131255 UGG131253:UGH131255 UQC131253:UQD131255 UZY131253:UZZ131255 VJU131253:VJV131255 VTQ131253:VTR131255 WDM131253:WDN131255 WNI131253:WNJ131255 WXE131253:WXF131255 KS196789:KT196791 UO196789:UP196791 AEK196789:AEL196791 AOG196789:AOH196791 AYC196789:AYD196791 BHY196789:BHZ196791 BRU196789:BRV196791 CBQ196789:CBR196791 CLM196789:CLN196791 CVI196789:CVJ196791 DFE196789:DFF196791 DPA196789:DPB196791 DYW196789:DYX196791 EIS196789:EIT196791 ESO196789:ESP196791 FCK196789:FCL196791 FMG196789:FMH196791 FWC196789:FWD196791 GFY196789:GFZ196791 GPU196789:GPV196791 GZQ196789:GZR196791 HJM196789:HJN196791 HTI196789:HTJ196791 IDE196789:IDF196791 INA196789:INB196791 IWW196789:IWX196791 JGS196789:JGT196791 JQO196789:JQP196791 KAK196789:KAL196791 KKG196789:KKH196791 KUC196789:KUD196791 LDY196789:LDZ196791 LNU196789:LNV196791 LXQ196789:LXR196791 MHM196789:MHN196791 MRI196789:MRJ196791 NBE196789:NBF196791 NLA196789:NLB196791 NUW196789:NUX196791 OES196789:OET196791 OOO196789:OOP196791 OYK196789:OYL196791 PIG196789:PIH196791 PSC196789:PSD196791 QBY196789:QBZ196791 QLU196789:QLV196791 QVQ196789:QVR196791 RFM196789:RFN196791 RPI196789:RPJ196791 RZE196789:RZF196791 SJA196789:SJB196791 SSW196789:SSX196791 TCS196789:TCT196791 TMO196789:TMP196791 TWK196789:TWL196791 UGG196789:UGH196791 UQC196789:UQD196791 UZY196789:UZZ196791 VJU196789:VJV196791 VTQ196789:VTR196791 WDM196789:WDN196791 WNI196789:WNJ196791 WXE196789:WXF196791 KS262325:KT262327 UO262325:UP262327 AEK262325:AEL262327 AOG262325:AOH262327 AYC262325:AYD262327 BHY262325:BHZ262327 BRU262325:BRV262327 CBQ262325:CBR262327 CLM262325:CLN262327 CVI262325:CVJ262327 DFE262325:DFF262327 DPA262325:DPB262327 DYW262325:DYX262327 EIS262325:EIT262327 ESO262325:ESP262327 FCK262325:FCL262327 FMG262325:FMH262327 FWC262325:FWD262327 GFY262325:GFZ262327 GPU262325:GPV262327 GZQ262325:GZR262327 HJM262325:HJN262327 HTI262325:HTJ262327 IDE262325:IDF262327 INA262325:INB262327 IWW262325:IWX262327 JGS262325:JGT262327 JQO262325:JQP262327 KAK262325:KAL262327 KKG262325:KKH262327 KUC262325:KUD262327 LDY262325:LDZ262327 LNU262325:LNV262327 LXQ262325:LXR262327 MHM262325:MHN262327 MRI262325:MRJ262327 NBE262325:NBF262327 NLA262325:NLB262327 NUW262325:NUX262327 OES262325:OET262327 OOO262325:OOP262327 OYK262325:OYL262327 PIG262325:PIH262327 PSC262325:PSD262327 QBY262325:QBZ262327 QLU262325:QLV262327 QVQ262325:QVR262327 RFM262325:RFN262327 RPI262325:RPJ262327 RZE262325:RZF262327 SJA262325:SJB262327 SSW262325:SSX262327 TCS262325:TCT262327 TMO262325:TMP262327 TWK262325:TWL262327 UGG262325:UGH262327 UQC262325:UQD262327 UZY262325:UZZ262327 VJU262325:VJV262327 VTQ262325:VTR262327 WDM262325:WDN262327 WNI262325:WNJ262327 WXE262325:WXF262327 KS327861:KT327863 UO327861:UP327863 AEK327861:AEL327863 AOG327861:AOH327863 AYC327861:AYD327863 BHY327861:BHZ327863 BRU327861:BRV327863 CBQ327861:CBR327863 CLM327861:CLN327863 CVI327861:CVJ327863 DFE327861:DFF327863 DPA327861:DPB327863 DYW327861:DYX327863 EIS327861:EIT327863 ESO327861:ESP327863 FCK327861:FCL327863 FMG327861:FMH327863 FWC327861:FWD327863 GFY327861:GFZ327863 GPU327861:GPV327863 GZQ327861:GZR327863 HJM327861:HJN327863 HTI327861:HTJ327863 IDE327861:IDF327863 INA327861:INB327863 IWW327861:IWX327863 JGS327861:JGT327863 JQO327861:JQP327863 KAK327861:KAL327863 KKG327861:KKH327863 KUC327861:KUD327863 LDY327861:LDZ327863 LNU327861:LNV327863 LXQ327861:LXR327863 MHM327861:MHN327863 MRI327861:MRJ327863 NBE327861:NBF327863 NLA327861:NLB327863 NUW327861:NUX327863 OES327861:OET327863 OOO327861:OOP327863 OYK327861:OYL327863 PIG327861:PIH327863 PSC327861:PSD327863 QBY327861:QBZ327863 QLU327861:QLV327863 QVQ327861:QVR327863 RFM327861:RFN327863 RPI327861:RPJ327863 RZE327861:RZF327863 SJA327861:SJB327863 SSW327861:SSX327863 TCS327861:TCT327863 TMO327861:TMP327863 TWK327861:TWL327863 UGG327861:UGH327863 UQC327861:UQD327863 UZY327861:UZZ327863 VJU327861:VJV327863 VTQ327861:VTR327863 WDM327861:WDN327863 WNI327861:WNJ327863 WXE327861:WXF327863 KS393397:KT393399 UO393397:UP393399 AEK393397:AEL393399 AOG393397:AOH393399 AYC393397:AYD393399 BHY393397:BHZ393399 BRU393397:BRV393399 CBQ393397:CBR393399 CLM393397:CLN393399 CVI393397:CVJ393399 DFE393397:DFF393399 DPA393397:DPB393399 DYW393397:DYX393399 EIS393397:EIT393399 ESO393397:ESP393399 FCK393397:FCL393399 FMG393397:FMH393399 FWC393397:FWD393399 GFY393397:GFZ393399 GPU393397:GPV393399 GZQ393397:GZR393399 HJM393397:HJN393399 HTI393397:HTJ393399 IDE393397:IDF393399 INA393397:INB393399 IWW393397:IWX393399 JGS393397:JGT393399 JQO393397:JQP393399 KAK393397:KAL393399 KKG393397:KKH393399 KUC393397:KUD393399 LDY393397:LDZ393399 LNU393397:LNV393399 LXQ393397:LXR393399 MHM393397:MHN393399 MRI393397:MRJ393399 NBE393397:NBF393399 NLA393397:NLB393399 NUW393397:NUX393399 OES393397:OET393399 OOO393397:OOP393399 OYK393397:OYL393399 PIG393397:PIH393399 PSC393397:PSD393399 QBY393397:QBZ393399 QLU393397:QLV393399 QVQ393397:QVR393399 RFM393397:RFN393399 RPI393397:RPJ393399 RZE393397:RZF393399 SJA393397:SJB393399 SSW393397:SSX393399 TCS393397:TCT393399 TMO393397:TMP393399 TWK393397:TWL393399 UGG393397:UGH393399 UQC393397:UQD393399 UZY393397:UZZ393399 VJU393397:VJV393399 VTQ393397:VTR393399 WDM393397:WDN393399 WNI393397:WNJ393399 WXE393397:WXF393399 KS458933:KT458935 UO458933:UP458935 AEK458933:AEL458935 AOG458933:AOH458935 AYC458933:AYD458935 BHY458933:BHZ458935 BRU458933:BRV458935 CBQ458933:CBR458935 CLM458933:CLN458935 CVI458933:CVJ458935 DFE458933:DFF458935 DPA458933:DPB458935 DYW458933:DYX458935 EIS458933:EIT458935 ESO458933:ESP458935 FCK458933:FCL458935 FMG458933:FMH458935 FWC458933:FWD458935 GFY458933:GFZ458935 GPU458933:GPV458935 GZQ458933:GZR458935 HJM458933:HJN458935 HTI458933:HTJ458935 IDE458933:IDF458935 INA458933:INB458935 IWW458933:IWX458935 JGS458933:JGT458935 JQO458933:JQP458935 KAK458933:KAL458935 KKG458933:KKH458935 KUC458933:KUD458935 LDY458933:LDZ458935 LNU458933:LNV458935 LXQ458933:LXR458935 MHM458933:MHN458935 MRI458933:MRJ458935 NBE458933:NBF458935 NLA458933:NLB458935 NUW458933:NUX458935 OES458933:OET458935 OOO458933:OOP458935 OYK458933:OYL458935 PIG458933:PIH458935 PSC458933:PSD458935 QBY458933:QBZ458935 QLU458933:QLV458935 QVQ458933:QVR458935 RFM458933:RFN458935 RPI458933:RPJ458935 RZE458933:RZF458935 SJA458933:SJB458935 SSW458933:SSX458935 TCS458933:TCT458935 TMO458933:TMP458935 TWK458933:TWL458935 UGG458933:UGH458935 UQC458933:UQD458935 UZY458933:UZZ458935 VJU458933:VJV458935 VTQ458933:VTR458935 WDM458933:WDN458935 WNI458933:WNJ458935 WXE458933:WXF458935 KS524469:KT524471 UO524469:UP524471 AEK524469:AEL524471 AOG524469:AOH524471 AYC524469:AYD524471 BHY524469:BHZ524471 BRU524469:BRV524471 CBQ524469:CBR524471 CLM524469:CLN524471 CVI524469:CVJ524471 DFE524469:DFF524471 DPA524469:DPB524471 DYW524469:DYX524471 EIS524469:EIT524471 ESO524469:ESP524471 FCK524469:FCL524471 FMG524469:FMH524471 FWC524469:FWD524471 GFY524469:GFZ524471 GPU524469:GPV524471 GZQ524469:GZR524471 HJM524469:HJN524471 HTI524469:HTJ524471 IDE524469:IDF524471 INA524469:INB524471 IWW524469:IWX524471 JGS524469:JGT524471 JQO524469:JQP524471 KAK524469:KAL524471 KKG524469:KKH524471 KUC524469:KUD524471 LDY524469:LDZ524471 LNU524469:LNV524471 LXQ524469:LXR524471 MHM524469:MHN524471 MRI524469:MRJ524471 NBE524469:NBF524471 NLA524469:NLB524471 NUW524469:NUX524471 OES524469:OET524471 OOO524469:OOP524471 OYK524469:OYL524471 PIG524469:PIH524471 PSC524469:PSD524471 QBY524469:QBZ524471 QLU524469:QLV524471 QVQ524469:QVR524471 RFM524469:RFN524471 RPI524469:RPJ524471 RZE524469:RZF524471 SJA524469:SJB524471 SSW524469:SSX524471 TCS524469:TCT524471 TMO524469:TMP524471 TWK524469:TWL524471 UGG524469:UGH524471 UQC524469:UQD524471 UZY524469:UZZ524471 VJU524469:VJV524471 VTQ524469:VTR524471 WDM524469:WDN524471 WNI524469:WNJ524471 WXE524469:WXF524471 KS590005:KT590007 UO590005:UP590007 AEK590005:AEL590007 AOG590005:AOH590007 AYC590005:AYD590007 BHY590005:BHZ590007 BRU590005:BRV590007 CBQ590005:CBR590007 CLM590005:CLN590007 CVI590005:CVJ590007 DFE590005:DFF590007 DPA590005:DPB590007 DYW590005:DYX590007 EIS590005:EIT590007 ESO590005:ESP590007 FCK590005:FCL590007 FMG590005:FMH590007 FWC590005:FWD590007 GFY590005:GFZ590007 GPU590005:GPV590007 GZQ590005:GZR590007 HJM590005:HJN590007 HTI590005:HTJ590007 IDE590005:IDF590007 INA590005:INB590007 IWW590005:IWX590007 JGS590005:JGT590007 JQO590005:JQP590007 KAK590005:KAL590007 KKG590005:KKH590007 KUC590005:KUD590007 LDY590005:LDZ590007 LNU590005:LNV590007 LXQ590005:LXR590007 MHM590005:MHN590007 MRI590005:MRJ590007 NBE590005:NBF590007 NLA590005:NLB590007 NUW590005:NUX590007 OES590005:OET590007 OOO590005:OOP590007 OYK590005:OYL590007 PIG590005:PIH590007 PSC590005:PSD590007 QBY590005:QBZ590007 QLU590005:QLV590007 QVQ590005:QVR590007 RFM590005:RFN590007 RPI590005:RPJ590007 RZE590005:RZF590007 SJA590005:SJB590007 SSW590005:SSX590007 TCS590005:TCT590007 TMO590005:TMP590007 TWK590005:TWL590007 UGG590005:UGH590007 UQC590005:UQD590007 UZY590005:UZZ590007 VJU590005:VJV590007 VTQ590005:VTR590007 WDM590005:WDN590007 WNI590005:WNJ590007 WXE590005:WXF590007 KS655541:KT655543 UO655541:UP655543 AEK655541:AEL655543 AOG655541:AOH655543 AYC655541:AYD655543 BHY655541:BHZ655543 BRU655541:BRV655543 CBQ655541:CBR655543 CLM655541:CLN655543 CVI655541:CVJ655543 DFE655541:DFF655543 DPA655541:DPB655543 DYW655541:DYX655543 EIS655541:EIT655543 ESO655541:ESP655543 FCK655541:FCL655543 FMG655541:FMH655543 FWC655541:FWD655543 GFY655541:GFZ655543 GPU655541:GPV655543 GZQ655541:GZR655543 HJM655541:HJN655543 HTI655541:HTJ655543 IDE655541:IDF655543 INA655541:INB655543 IWW655541:IWX655543 JGS655541:JGT655543 JQO655541:JQP655543 KAK655541:KAL655543 KKG655541:KKH655543 KUC655541:KUD655543 LDY655541:LDZ655543 LNU655541:LNV655543 LXQ655541:LXR655543 MHM655541:MHN655543 MRI655541:MRJ655543 NBE655541:NBF655543 NLA655541:NLB655543 NUW655541:NUX655543 OES655541:OET655543 OOO655541:OOP655543 OYK655541:OYL655543 PIG655541:PIH655543 PSC655541:PSD655543 QBY655541:QBZ655543 QLU655541:QLV655543 QVQ655541:QVR655543 RFM655541:RFN655543 RPI655541:RPJ655543 RZE655541:RZF655543 SJA655541:SJB655543 SSW655541:SSX655543 TCS655541:TCT655543 TMO655541:TMP655543 TWK655541:TWL655543 UGG655541:UGH655543 UQC655541:UQD655543 UZY655541:UZZ655543 VJU655541:VJV655543 VTQ655541:VTR655543 WDM655541:WDN655543 WNI655541:WNJ655543 WXE655541:WXF655543 KS721077:KT721079 UO721077:UP721079 AEK721077:AEL721079 AOG721077:AOH721079 AYC721077:AYD721079 BHY721077:BHZ721079 BRU721077:BRV721079 CBQ721077:CBR721079 CLM721077:CLN721079 CVI721077:CVJ721079 DFE721077:DFF721079 DPA721077:DPB721079 DYW721077:DYX721079 EIS721077:EIT721079 ESO721077:ESP721079 FCK721077:FCL721079 FMG721077:FMH721079 FWC721077:FWD721079 GFY721077:GFZ721079 GPU721077:GPV721079 GZQ721077:GZR721079 HJM721077:HJN721079 HTI721077:HTJ721079 IDE721077:IDF721079 INA721077:INB721079 IWW721077:IWX721079 JGS721077:JGT721079 JQO721077:JQP721079 KAK721077:KAL721079 KKG721077:KKH721079 KUC721077:KUD721079 LDY721077:LDZ721079 LNU721077:LNV721079 LXQ721077:LXR721079 MHM721077:MHN721079 MRI721077:MRJ721079 NBE721077:NBF721079 NLA721077:NLB721079 NUW721077:NUX721079 OES721077:OET721079 OOO721077:OOP721079 OYK721077:OYL721079 PIG721077:PIH721079 PSC721077:PSD721079 QBY721077:QBZ721079 QLU721077:QLV721079 QVQ721077:QVR721079 RFM721077:RFN721079 RPI721077:RPJ721079 RZE721077:RZF721079 SJA721077:SJB721079 SSW721077:SSX721079 TCS721077:TCT721079 TMO721077:TMP721079 TWK721077:TWL721079 UGG721077:UGH721079 UQC721077:UQD721079 UZY721077:UZZ721079 VJU721077:VJV721079 VTQ721077:VTR721079 WDM721077:WDN721079 WNI721077:WNJ721079 WXE721077:WXF721079 KS786613:KT786615 UO786613:UP786615 AEK786613:AEL786615 AOG786613:AOH786615 AYC786613:AYD786615 BHY786613:BHZ786615 BRU786613:BRV786615 CBQ786613:CBR786615 CLM786613:CLN786615 CVI786613:CVJ786615 DFE786613:DFF786615 DPA786613:DPB786615 DYW786613:DYX786615 EIS786613:EIT786615 ESO786613:ESP786615 FCK786613:FCL786615 FMG786613:FMH786615 FWC786613:FWD786615 GFY786613:GFZ786615 GPU786613:GPV786615 GZQ786613:GZR786615 HJM786613:HJN786615 HTI786613:HTJ786615 IDE786613:IDF786615 INA786613:INB786615 IWW786613:IWX786615 JGS786613:JGT786615 JQO786613:JQP786615 KAK786613:KAL786615 KKG786613:KKH786615 KUC786613:KUD786615 LDY786613:LDZ786615 LNU786613:LNV786615 LXQ786613:LXR786615 MHM786613:MHN786615 MRI786613:MRJ786615 NBE786613:NBF786615 NLA786613:NLB786615 NUW786613:NUX786615 OES786613:OET786615 OOO786613:OOP786615 OYK786613:OYL786615 PIG786613:PIH786615 PSC786613:PSD786615 QBY786613:QBZ786615 QLU786613:QLV786615 QVQ786613:QVR786615 RFM786613:RFN786615 RPI786613:RPJ786615 RZE786613:RZF786615 SJA786613:SJB786615 SSW786613:SSX786615 TCS786613:TCT786615 TMO786613:TMP786615 TWK786613:TWL786615 UGG786613:UGH786615 UQC786613:UQD786615 UZY786613:UZZ786615 VJU786613:VJV786615 VTQ786613:VTR786615 WDM786613:WDN786615 WNI786613:WNJ786615 WXE786613:WXF786615 KS852149:KT852151 UO852149:UP852151 AEK852149:AEL852151 AOG852149:AOH852151 AYC852149:AYD852151 BHY852149:BHZ852151 BRU852149:BRV852151 CBQ852149:CBR852151 CLM852149:CLN852151 CVI852149:CVJ852151 DFE852149:DFF852151 DPA852149:DPB852151 DYW852149:DYX852151 EIS852149:EIT852151 ESO852149:ESP852151 FCK852149:FCL852151 FMG852149:FMH852151 FWC852149:FWD852151 GFY852149:GFZ852151 GPU852149:GPV852151 GZQ852149:GZR852151 HJM852149:HJN852151 HTI852149:HTJ852151 IDE852149:IDF852151 INA852149:INB852151 IWW852149:IWX852151 JGS852149:JGT852151 JQO852149:JQP852151 KAK852149:KAL852151 KKG852149:KKH852151 KUC852149:KUD852151 LDY852149:LDZ852151 LNU852149:LNV852151 LXQ852149:LXR852151 MHM852149:MHN852151 MRI852149:MRJ852151 NBE852149:NBF852151 NLA852149:NLB852151 NUW852149:NUX852151 OES852149:OET852151 OOO852149:OOP852151 OYK852149:OYL852151 PIG852149:PIH852151 PSC852149:PSD852151 QBY852149:QBZ852151 QLU852149:QLV852151 QVQ852149:QVR852151 RFM852149:RFN852151 RPI852149:RPJ852151 RZE852149:RZF852151 SJA852149:SJB852151 SSW852149:SSX852151 TCS852149:TCT852151 TMO852149:TMP852151 TWK852149:TWL852151 UGG852149:UGH852151 UQC852149:UQD852151 UZY852149:UZZ852151 VJU852149:VJV852151 VTQ852149:VTR852151 WDM852149:WDN852151 WNI852149:WNJ852151 WXE852149:WXF852151 KS917685:KT917687 UO917685:UP917687 AEK917685:AEL917687 AOG917685:AOH917687 AYC917685:AYD917687 BHY917685:BHZ917687 BRU917685:BRV917687 CBQ917685:CBR917687 CLM917685:CLN917687 CVI917685:CVJ917687 DFE917685:DFF917687 DPA917685:DPB917687 DYW917685:DYX917687 EIS917685:EIT917687 ESO917685:ESP917687 FCK917685:FCL917687 FMG917685:FMH917687 FWC917685:FWD917687 GFY917685:GFZ917687 GPU917685:GPV917687 GZQ917685:GZR917687 HJM917685:HJN917687 HTI917685:HTJ917687 IDE917685:IDF917687 INA917685:INB917687 IWW917685:IWX917687 JGS917685:JGT917687 JQO917685:JQP917687 KAK917685:KAL917687 KKG917685:KKH917687 KUC917685:KUD917687 LDY917685:LDZ917687 LNU917685:LNV917687 LXQ917685:LXR917687 MHM917685:MHN917687 MRI917685:MRJ917687 NBE917685:NBF917687 NLA917685:NLB917687 NUW917685:NUX917687 OES917685:OET917687 OOO917685:OOP917687 OYK917685:OYL917687 PIG917685:PIH917687 PSC917685:PSD917687 QBY917685:QBZ917687 QLU917685:QLV917687 QVQ917685:QVR917687 RFM917685:RFN917687 RPI917685:RPJ917687 RZE917685:RZF917687 SJA917685:SJB917687 SSW917685:SSX917687 TCS917685:TCT917687 TMO917685:TMP917687 TWK917685:TWL917687 UGG917685:UGH917687 UQC917685:UQD917687 UZY917685:UZZ917687 VJU917685:VJV917687 VTQ917685:VTR917687 WDM917685:WDN917687 WNI917685:WNJ917687 WXE917685:WXF917687 KS983221:KT983223 UO983221:UP983223 AEK983221:AEL983223 AOG983221:AOH983223 AYC983221:AYD983223 BHY983221:BHZ983223 BRU983221:BRV983223 CBQ983221:CBR983223 CLM983221:CLN983223 CVI983221:CVJ983223 DFE983221:DFF983223 DPA983221:DPB983223 DYW983221:DYX983223 EIS983221:EIT983223 ESO983221:ESP983223 FCK983221:FCL983223 FMG983221:FMH983223 FWC983221:FWD983223 GFY983221:GFZ983223 GPU983221:GPV983223 GZQ983221:GZR983223 HJM983221:HJN983223 HTI983221:HTJ983223 IDE983221:IDF983223 INA983221:INB983223 IWW983221:IWX983223 JGS983221:JGT983223 JQO983221:JQP983223 KAK983221:KAL983223 KKG983221:KKH983223 KUC983221:KUD983223 LDY983221:LDZ983223 LNU983221:LNV983223 LXQ983221:LXR983223 MHM983221:MHN983223 MRI983221:MRJ983223 NBE983221:NBF983223 NLA983221:NLB983223 NUW983221:NUX983223 OES983221:OET983223 OOO983221:OOP983223 OYK983221:OYL983223 PIG983221:PIH983223 PSC983221:PSD983223 QBY983221:QBZ983223 QLU983221:QLV983223 QVQ983221:QVR983223 RFM983221:RFN983223 RPI983221:RPJ983223 RZE983221:RZF983223 SJA983221:SJB983223 SSW983221:SSX983223 TCS983221:TCT983223 TMO983221:TMP983223 TWK983221:TWL983223 UGG983221:UGH983223 UQC983221:UQD983223 UZY983221:UZZ983223 VJU983221:VJV983223 VTQ983221:VTR983223 WDM983221:WDN983223 WNI983221:WNJ983223 WXE983221:WXF983223 KS393334:KT393338 UO393334:UP393338 AEK393334:AEL393338 AOG393334:AOH393338 AYC393334:AYD393338 BHY393334:BHZ393338 BRU393334:BRV393338 CBQ393334:CBR393338 CLM393334:CLN393338 CVI393334:CVJ393338 DFE393334:DFF393338 DPA393334:DPB393338 DYW393334:DYX393338 EIS393334:EIT393338 ESO393334:ESP393338 FCK393334:FCL393338 FMG393334:FMH393338 FWC393334:FWD393338 GFY393334:GFZ393338 GPU393334:GPV393338 GZQ393334:GZR393338 HJM393334:HJN393338 HTI393334:HTJ393338 IDE393334:IDF393338 INA393334:INB393338 IWW393334:IWX393338 JGS393334:JGT393338 JQO393334:JQP393338 KAK393334:KAL393338 KKG393334:KKH393338 KUC393334:KUD393338 LDY393334:LDZ393338 LNU393334:LNV393338 LXQ393334:LXR393338 MHM393334:MHN393338 MRI393334:MRJ393338 NBE393334:NBF393338 NLA393334:NLB393338 NUW393334:NUX393338 OES393334:OET393338 OOO393334:OOP393338 OYK393334:OYL393338 PIG393334:PIH393338 PSC393334:PSD393338 QBY393334:QBZ393338 QLU393334:QLV393338 QVQ393334:QVR393338 RFM393334:RFN393338 RPI393334:RPJ393338 RZE393334:RZF393338 SJA393334:SJB393338 SSW393334:SSX393338 TCS393334:TCT393338 TMO393334:TMP393338 TWK393334:TWL393338 UGG393334:UGH393338 UQC393334:UQD393338 UZY393334:UZZ393338 VJU393334:VJV393338 VTQ393334:VTR393338 WDM393334:WDN393338 WNI393334:WNJ393338 WXE393334:WXF393338 KS65715:KS65716 UO65715:UO65716 AEK65715:AEK65716 AOG65715:AOG65716 AYC65715:AYC65716 BHY65715:BHY65716 BRU65715:BRU65716 CBQ65715:CBQ65716 CLM65715:CLM65716 CVI65715:CVI65716 DFE65715:DFE65716 DPA65715:DPA65716 DYW65715:DYW65716 EIS65715:EIS65716 ESO65715:ESO65716 FCK65715:FCK65716 FMG65715:FMG65716 FWC65715:FWC65716 GFY65715:GFY65716 GPU65715:GPU65716 GZQ65715:GZQ65716 HJM65715:HJM65716 HTI65715:HTI65716 IDE65715:IDE65716 INA65715:INA65716 IWW65715:IWW65716 JGS65715:JGS65716 JQO65715:JQO65716 KAK65715:KAK65716 KKG65715:KKG65716 KUC65715:KUC65716 LDY65715:LDY65716 LNU65715:LNU65716 LXQ65715:LXQ65716 MHM65715:MHM65716 MRI65715:MRI65716 NBE65715:NBE65716 NLA65715:NLA65716 NUW65715:NUW65716 OES65715:OES65716 OOO65715:OOO65716 OYK65715:OYK65716 PIG65715:PIG65716 PSC65715:PSC65716 QBY65715:QBY65716 QLU65715:QLU65716 QVQ65715:QVQ65716 RFM65715:RFM65716 RPI65715:RPI65716 RZE65715:RZE65716 SJA65715:SJA65716 SSW65715:SSW65716 TCS65715:TCS65716 TMO65715:TMO65716 TWK65715:TWK65716 UGG65715:UGG65716 UQC65715:UQC65716 UZY65715:UZY65716 VJU65715:VJU65716 VTQ65715:VTQ65716 WDM65715:WDM65716 WNI65715:WNI65716 WXE65715:WXE65716 KS131251:KS131252 UO131251:UO131252 AEK131251:AEK131252 AOG131251:AOG131252 AYC131251:AYC131252 BHY131251:BHY131252 BRU131251:BRU131252 CBQ131251:CBQ131252 CLM131251:CLM131252 CVI131251:CVI131252 DFE131251:DFE131252 DPA131251:DPA131252 DYW131251:DYW131252 EIS131251:EIS131252 ESO131251:ESO131252 FCK131251:FCK131252 FMG131251:FMG131252 FWC131251:FWC131252 GFY131251:GFY131252 GPU131251:GPU131252 GZQ131251:GZQ131252 HJM131251:HJM131252 HTI131251:HTI131252 IDE131251:IDE131252 INA131251:INA131252 IWW131251:IWW131252 JGS131251:JGS131252 JQO131251:JQO131252 KAK131251:KAK131252 KKG131251:KKG131252 KUC131251:KUC131252 LDY131251:LDY131252 LNU131251:LNU131252 LXQ131251:LXQ131252 MHM131251:MHM131252 MRI131251:MRI131252 NBE131251:NBE131252 NLA131251:NLA131252 NUW131251:NUW131252 OES131251:OES131252 OOO131251:OOO131252 OYK131251:OYK131252 PIG131251:PIG131252 PSC131251:PSC131252 QBY131251:QBY131252 QLU131251:QLU131252 QVQ131251:QVQ131252 RFM131251:RFM131252 RPI131251:RPI131252 RZE131251:RZE131252 SJA131251:SJA131252 SSW131251:SSW131252 TCS131251:TCS131252 TMO131251:TMO131252 TWK131251:TWK131252 UGG131251:UGG131252 UQC131251:UQC131252 UZY131251:UZY131252 VJU131251:VJU131252 VTQ131251:VTQ131252 WDM131251:WDM131252 WNI131251:WNI131252 WXE131251:WXE131252 KS196787:KS196788 UO196787:UO196788 AEK196787:AEK196788 AOG196787:AOG196788 AYC196787:AYC196788 BHY196787:BHY196788 BRU196787:BRU196788 CBQ196787:CBQ196788 CLM196787:CLM196788 CVI196787:CVI196788 DFE196787:DFE196788 DPA196787:DPA196788 DYW196787:DYW196788 EIS196787:EIS196788 ESO196787:ESO196788 FCK196787:FCK196788 FMG196787:FMG196788 FWC196787:FWC196788 GFY196787:GFY196788 GPU196787:GPU196788 GZQ196787:GZQ196788 HJM196787:HJM196788 HTI196787:HTI196788 IDE196787:IDE196788 INA196787:INA196788 IWW196787:IWW196788 JGS196787:JGS196788 JQO196787:JQO196788 KAK196787:KAK196788 KKG196787:KKG196788 KUC196787:KUC196788 LDY196787:LDY196788 LNU196787:LNU196788 LXQ196787:LXQ196788 MHM196787:MHM196788 MRI196787:MRI196788 NBE196787:NBE196788 NLA196787:NLA196788 NUW196787:NUW196788 OES196787:OES196788 OOO196787:OOO196788 OYK196787:OYK196788 PIG196787:PIG196788 PSC196787:PSC196788 QBY196787:QBY196788 QLU196787:QLU196788 QVQ196787:QVQ196788 RFM196787:RFM196788 RPI196787:RPI196788 RZE196787:RZE196788 SJA196787:SJA196788 SSW196787:SSW196788 TCS196787:TCS196788 TMO196787:TMO196788 TWK196787:TWK196788 UGG196787:UGG196788 UQC196787:UQC196788 UZY196787:UZY196788 VJU196787:VJU196788 VTQ196787:VTQ196788 WDM196787:WDM196788 WNI196787:WNI196788 WXE196787:WXE196788 KS262323:KS262324 UO262323:UO262324 AEK262323:AEK262324 AOG262323:AOG262324 AYC262323:AYC262324 BHY262323:BHY262324 BRU262323:BRU262324 CBQ262323:CBQ262324 CLM262323:CLM262324 CVI262323:CVI262324 DFE262323:DFE262324 DPA262323:DPA262324 DYW262323:DYW262324 EIS262323:EIS262324 ESO262323:ESO262324 FCK262323:FCK262324 FMG262323:FMG262324 FWC262323:FWC262324 GFY262323:GFY262324 GPU262323:GPU262324 GZQ262323:GZQ262324 HJM262323:HJM262324 HTI262323:HTI262324 IDE262323:IDE262324 INA262323:INA262324 IWW262323:IWW262324 JGS262323:JGS262324 JQO262323:JQO262324 KAK262323:KAK262324 KKG262323:KKG262324 KUC262323:KUC262324 LDY262323:LDY262324 LNU262323:LNU262324 LXQ262323:LXQ262324 MHM262323:MHM262324 MRI262323:MRI262324 NBE262323:NBE262324 NLA262323:NLA262324 NUW262323:NUW262324 OES262323:OES262324 OOO262323:OOO262324 OYK262323:OYK262324 PIG262323:PIG262324 PSC262323:PSC262324 QBY262323:QBY262324 QLU262323:QLU262324 QVQ262323:QVQ262324 RFM262323:RFM262324 RPI262323:RPI262324 RZE262323:RZE262324 SJA262323:SJA262324 SSW262323:SSW262324 TCS262323:TCS262324 TMO262323:TMO262324 TWK262323:TWK262324 UGG262323:UGG262324 UQC262323:UQC262324 UZY262323:UZY262324 VJU262323:VJU262324 VTQ262323:VTQ262324 WDM262323:WDM262324 WNI262323:WNI262324 WXE262323:WXE262324 KS327859:KS327860 UO327859:UO327860 AEK327859:AEK327860 AOG327859:AOG327860 AYC327859:AYC327860 BHY327859:BHY327860 BRU327859:BRU327860 CBQ327859:CBQ327860 CLM327859:CLM327860 CVI327859:CVI327860 DFE327859:DFE327860 DPA327859:DPA327860 DYW327859:DYW327860 EIS327859:EIS327860 ESO327859:ESO327860 FCK327859:FCK327860 FMG327859:FMG327860 FWC327859:FWC327860 GFY327859:GFY327860 GPU327859:GPU327860 GZQ327859:GZQ327860 HJM327859:HJM327860 HTI327859:HTI327860 IDE327859:IDE327860 INA327859:INA327860 IWW327859:IWW327860 JGS327859:JGS327860 JQO327859:JQO327860 KAK327859:KAK327860 KKG327859:KKG327860 KUC327859:KUC327860 LDY327859:LDY327860 LNU327859:LNU327860 LXQ327859:LXQ327860 MHM327859:MHM327860 MRI327859:MRI327860 NBE327859:NBE327860 NLA327859:NLA327860 NUW327859:NUW327860 OES327859:OES327860 OOO327859:OOO327860 OYK327859:OYK327860 PIG327859:PIG327860 PSC327859:PSC327860 QBY327859:QBY327860 QLU327859:QLU327860 QVQ327859:QVQ327860 RFM327859:RFM327860 RPI327859:RPI327860 RZE327859:RZE327860 SJA327859:SJA327860 SSW327859:SSW327860 TCS327859:TCS327860 TMO327859:TMO327860 TWK327859:TWK327860 UGG327859:UGG327860 UQC327859:UQC327860 UZY327859:UZY327860 VJU327859:VJU327860 VTQ327859:VTQ327860 WDM327859:WDM327860 WNI327859:WNI327860 WXE327859:WXE327860 KS393395:KS393396 UO393395:UO393396 AEK393395:AEK393396 AOG393395:AOG393396 AYC393395:AYC393396 BHY393395:BHY393396 BRU393395:BRU393396 CBQ393395:CBQ393396 CLM393395:CLM393396 CVI393395:CVI393396 DFE393395:DFE393396 DPA393395:DPA393396 DYW393395:DYW393396 EIS393395:EIS393396 ESO393395:ESO393396 FCK393395:FCK393396 FMG393395:FMG393396 FWC393395:FWC393396 GFY393395:GFY393396 GPU393395:GPU393396 GZQ393395:GZQ393396 HJM393395:HJM393396 HTI393395:HTI393396 IDE393395:IDE393396 INA393395:INA393396 IWW393395:IWW393396 JGS393395:JGS393396 JQO393395:JQO393396 KAK393395:KAK393396 KKG393395:KKG393396 KUC393395:KUC393396 LDY393395:LDY393396 LNU393395:LNU393396 LXQ393395:LXQ393396 MHM393395:MHM393396 MRI393395:MRI393396 NBE393395:NBE393396 NLA393395:NLA393396 NUW393395:NUW393396 OES393395:OES393396 OOO393395:OOO393396 OYK393395:OYK393396 PIG393395:PIG393396 PSC393395:PSC393396 QBY393395:QBY393396 QLU393395:QLU393396 QVQ393395:QVQ393396 RFM393395:RFM393396 RPI393395:RPI393396 RZE393395:RZE393396 SJA393395:SJA393396 SSW393395:SSW393396 TCS393395:TCS393396 TMO393395:TMO393396 TWK393395:TWK393396 UGG393395:UGG393396 UQC393395:UQC393396 UZY393395:UZY393396 VJU393395:VJU393396 VTQ393395:VTQ393396 WDM393395:WDM393396 WNI393395:WNI393396 WXE393395:WXE393396 KS458931:KS458932 UO458931:UO458932 AEK458931:AEK458932 AOG458931:AOG458932 AYC458931:AYC458932 BHY458931:BHY458932 BRU458931:BRU458932 CBQ458931:CBQ458932 CLM458931:CLM458932 CVI458931:CVI458932 DFE458931:DFE458932 DPA458931:DPA458932 DYW458931:DYW458932 EIS458931:EIS458932 ESO458931:ESO458932 FCK458931:FCK458932 FMG458931:FMG458932 FWC458931:FWC458932 GFY458931:GFY458932 GPU458931:GPU458932 GZQ458931:GZQ458932 HJM458931:HJM458932 HTI458931:HTI458932 IDE458931:IDE458932 INA458931:INA458932 IWW458931:IWW458932 JGS458931:JGS458932 JQO458931:JQO458932 KAK458931:KAK458932 KKG458931:KKG458932 KUC458931:KUC458932 LDY458931:LDY458932 LNU458931:LNU458932 LXQ458931:LXQ458932 MHM458931:MHM458932 MRI458931:MRI458932 NBE458931:NBE458932 NLA458931:NLA458932 NUW458931:NUW458932 OES458931:OES458932 OOO458931:OOO458932 OYK458931:OYK458932 PIG458931:PIG458932 PSC458931:PSC458932 QBY458931:QBY458932 QLU458931:QLU458932 QVQ458931:QVQ458932 RFM458931:RFM458932 RPI458931:RPI458932 RZE458931:RZE458932 SJA458931:SJA458932 SSW458931:SSW458932 TCS458931:TCS458932 TMO458931:TMO458932 TWK458931:TWK458932 UGG458931:UGG458932 UQC458931:UQC458932 UZY458931:UZY458932 VJU458931:VJU458932 VTQ458931:VTQ458932 WDM458931:WDM458932 WNI458931:WNI458932 WXE458931:WXE458932 KS524467:KS524468 UO524467:UO524468 AEK524467:AEK524468 AOG524467:AOG524468 AYC524467:AYC524468 BHY524467:BHY524468 BRU524467:BRU524468 CBQ524467:CBQ524468 CLM524467:CLM524468 CVI524467:CVI524468 DFE524467:DFE524468 DPA524467:DPA524468 DYW524467:DYW524468 EIS524467:EIS524468 ESO524467:ESO524468 FCK524467:FCK524468 FMG524467:FMG524468 FWC524467:FWC524468 GFY524467:GFY524468 GPU524467:GPU524468 GZQ524467:GZQ524468 HJM524467:HJM524468 HTI524467:HTI524468 IDE524467:IDE524468 INA524467:INA524468 IWW524467:IWW524468 JGS524467:JGS524468 JQO524467:JQO524468 KAK524467:KAK524468 KKG524467:KKG524468 KUC524467:KUC524468 LDY524467:LDY524468 LNU524467:LNU524468 LXQ524467:LXQ524468 MHM524467:MHM524468 MRI524467:MRI524468 NBE524467:NBE524468 NLA524467:NLA524468 NUW524467:NUW524468 OES524467:OES524468 OOO524467:OOO524468 OYK524467:OYK524468 PIG524467:PIG524468 PSC524467:PSC524468 QBY524467:QBY524468 QLU524467:QLU524468 QVQ524467:QVQ524468 RFM524467:RFM524468 RPI524467:RPI524468 RZE524467:RZE524468 SJA524467:SJA524468 SSW524467:SSW524468 TCS524467:TCS524468 TMO524467:TMO524468 TWK524467:TWK524468 UGG524467:UGG524468 UQC524467:UQC524468 UZY524467:UZY524468 VJU524467:VJU524468 VTQ524467:VTQ524468 WDM524467:WDM524468 WNI524467:WNI524468 WXE524467:WXE524468 KS590003:KS590004 UO590003:UO590004 AEK590003:AEK590004 AOG590003:AOG590004 AYC590003:AYC590004 BHY590003:BHY590004 BRU590003:BRU590004 CBQ590003:CBQ590004 CLM590003:CLM590004 CVI590003:CVI590004 DFE590003:DFE590004 DPA590003:DPA590004 DYW590003:DYW590004 EIS590003:EIS590004 ESO590003:ESO590004 FCK590003:FCK590004 FMG590003:FMG590004 FWC590003:FWC590004 GFY590003:GFY590004 GPU590003:GPU590004 GZQ590003:GZQ590004 HJM590003:HJM590004 HTI590003:HTI590004 IDE590003:IDE590004 INA590003:INA590004 IWW590003:IWW590004 JGS590003:JGS590004 JQO590003:JQO590004 KAK590003:KAK590004 KKG590003:KKG590004 KUC590003:KUC590004 LDY590003:LDY590004 LNU590003:LNU590004 LXQ590003:LXQ590004 MHM590003:MHM590004 MRI590003:MRI590004 NBE590003:NBE590004 NLA590003:NLA590004 NUW590003:NUW590004 OES590003:OES590004 OOO590003:OOO590004 OYK590003:OYK590004 PIG590003:PIG590004 PSC590003:PSC590004 QBY590003:QBY590004 QLU590003:QLU590004 QVQ590003:QVQ590004 RFM590003:RFM590004 RPI590003:RPI590004 RZE590003:RZE590004 SJA590003:SJA590004 SSW590003:SSW590004 TCS590003:TCS590004 TMO590003:TMO590004 TWK590003:TWK590004 UGG590003:UGG590004 UQC590003:UQC590004 UZY590003:UZY590004 VJU590003:VJU590004 VTQ590003:VTQ590004 WDM590003:WDM590004 WNI590003:WNI590004 WXE590003:WXE590004 KS655539:KS655540 UO655539:UO655540 AEK655539:AEK655540 AOG655539:AOG655540 AYC655539:AYC655540 BHY655539:BHY655540 BRU655539:BRU655540 CBQ655539:CBQ655540 CLM655539:CLM655540 CVI655539:CVI655540 DFE655539:DFE655540 DPA655539:DPA655540 DYW655539:DYW655540 EIS655539:EIS655540 ESO655539:ESO655540 FCK655539:FCK655540 FMG655539:FMG655540 FWC655539:FWC655540 GFY655539:GFY655540 GPU655539:GPU655540 GZQ655539:GZQ655540 HJM655539:HJM655540 HTI655539:HTI655540 IDE655539:IDE655540 INA655539:INA655540 IWW655539:IWW655540 JGS655539:JGS655540 JQO655539:JQO655540 KAK655539:KAK655540 KKG655539:KKG655540 KUC655539:KUC655540 LDY655539:LDY655540 LNU655539:LNU655540 LXQ655539:LXQ655540 MHM655539:MHM655540 MRI655539:MRI655540 NBE655539:NBE655540 NLA655539:NLA655540 NUW655539:NUW655540 OES655539:OES655540 OOO655539:OOO655540 OYK655539:OYK655540 PIG655539:PIG655540 PSC655539:PSC655540 QBY655539:QBY655540 QLU655539:QLU655540 QVQ655539:QVQ655540 RFM655539:RFM655540 RPI655539:RPI655540 RZE655539:RZE655540 SJA655539:SJA655540 SSW655539:SSW655540 TCS655539:TCS655540 TMO655539:TMO655540 TWK655539:TWK655540 UGG655539:UGG655540 UQC655539:UQC655540 UZY655539:UZY655540 VJU655539:VJU655540 VTQ655539:VTQ655540 WDM655539:WDM655540 WNI655539:WNI655540 WXE655539:WXE655540 KS721075:KS721076 UO721075:UO721076 AEK721075:AEK721076 AOG721075:AOG721076 AYC721075:AYC721076 BHY721075:BHY721076 BRU721075:BRU721076 CBQ721075:CBQ721076 CLM721075:CLM721076 CVI721075:CVI721076 DFE721075:DFE721076 DPA721075:DPA721076 DYW721075:DYW721076 EIS721075:EIS721076 ESO721075:ESO721076 FCK721075:FCK721076 FMG721075:FMG721076 FWC721075:FWC721076 GFY721075:GFY721076 GPU721075:GPU721076 GZQ721075:GZQ721076 HJM721075:HJM721076 HTI721075:HTI721076 IDE721075:IDE721076 INA721075:INA721076 IWW721075:IWW721076 JGS721075:JGS721076 JQO721075:JQO721076 KAK721075:KAK721076 KKG721075:KKG721076 KUC721075:KUC721076 LDY721075:LDY721076 LNU721075:LNU721076 LXQ721075:LXQ721076 MHM721075:MHM721076 MRI721075:MRI721076 NBE721075:NBE721076 NLA721075:NLA721076 NUW721075:NUW721076 OES721075:OES721076 OOO721075:OOO721076 OYK721075:OYK721076 PIG721075:PIG721076 PSC721075:PSC721076 QBY721075:QBY721076 QLU721075:QLU721076 QVQ721075:QVQ721076 RFM721075:RFM721076 RPI721075:RPI721076 RZE721075:RZE721076 SJA721075:SJA721076 SSW721075:SSW721076 TCS721075:TCS721076 TMO721075:TMO721076 TWK721075:TWK721076 UGG721075:UGG721076 UQC721075:UQC721076 UZY721075:UZY721076 VJU721075:VJU721076 VTQ721075:VTQ721076 WDM721075:WDM721076 WNI721075:WNI721076 WXE721075:WXE721076 KS786611:KS786612 UO786611:UO786612 AEK786611:AEK786612 AOG786611:AOG786612 AYC786611:AYC786612 BHY786611:BHY786612 BRU786611:BRU786612 CBQ786611:CBQ786612 CLM786611:CLM786612 CVI786611:CVI786612 DFE786611:DFE786612 DPA786611:DPA786612 DYW786611:DYW786612 EIS786611:EIS786612 ESO786611:ESO786612 FCK786611:FCK786612 FMG786611:FMG786612 FWC786611:FWC786612 GFY786611:GFY786612 GPU786611:GPU786612 GZQ786611:GZQ786612 HJM786611:HJM786612 HTI786611:HTI786612 IDE786611:IDE786612 INA786611:INA786612 IWW786611:IWW786612 JGS786611:JGS786612 JQO786611:JQO786612 KAK786611:KAK786612 KKG786611:KKG786612 KUC786611:KUC786612 LDY786611:LDY786612 LNU786611:LNU786612 LXQ786611:LXQ786612 MHM786611:MHM786612 MRI786611:MRI786612 NBE786611:NBE786612 NLA786611:NLA786612 NUW786611:NUW786612 OES786611:OES786612 OOO786611:OOO786612 OYK786611:OYK786612 PIG786611:PIG786612 PSC786611:PSC786612 QBY786611:QBY786612 QLU786611:QLU786612 QVQ786611:QVQ786612 RFM786611:RFM786612 RPI786611:RPI786612 RZE786611:RZE786612 SJA786611:SJA786612 SSW786611:SSW786612 TCS786611:TCS786612 TMO786611:TMO786612 TWK786611:TWK786612 UGG786611:UGG786612 UQC786611:UQC786612 UZY786611:UZY786612 VJU786611:VJU786612 VTQ786611:VTQ786612 WDM786611:WDM786612 WNI786611:WNI786612 WXE786611:WXE786612 KS852147:KS852148 UO852147:UO852148 AEK852147:AEK852148 AOG852147:AOG852148 AYC852147:AYC852148 BHY852147:BHY852148 BRU852147:BRU852148 CBQ852147:CBQ852148 CLM852147:CLM852148 CVI852147:CVI852148 DFE852147:DFE852148 DPA852147:DPA852148 DYW852147:DYW852148 EIS852147:EIS852148 ESO852147:ESO852148 FCK852147:FCK852148 FMG852147:FMG852148 FWC852147:FWC852148 GFY852147:GFY852148 GPU852147:GPU852148 GZQ852147:GZQ852148 HJM852147:HJM852148 HTI852147:HTI852148 IDE852147:IDE852148 INA852147:INA852148 IWW852147:IWW852148 JGS852147:JGS852148 JQO852147:JQO852148 KAK852147:KAK852148 KKG852147:KKG852148 KUC852147:KUC852148 LDY852147:LDY852148 LNU852147:LNU852148 LXQ852147:LXQ852148 MHM852147:MHM852148 MRI852147:MRI852148 NBE852147:NBE852148 NLA852147:NLA852148 NUW852147:NUW852148 OES852147:OES852148 OOO852147:OOO852148 OYK852147:OYK852148 PIG852147:PIG852148 PSC852147:PSC852148 QBY852147:QBY852148 QLU852147:QLU852148 QVQ852147:QVQ852148 RFM852147:RFM852148 RPI852147:RPI852148 RZE852147:RZE852148 SJA852147:SJA852148 SSW852147:SSW852148 TCS852147:TCS852148 TMO852147:TMO852148 TWK852147:TWK852148 UGG852147:UGG852148 UQC852147:UQC852148 UZY852147:UZY852148 VJU852147:VJU852148 VTQ852147:VTQ852148 WDM852147:WDM852148 WNI852147:WNI852148 WXE852147:WXE852148 KS917683:KS917684 UO917683:UO917684 AEK917683:AEK917684 AOG917683:AOG917684 AYC917683:AYC917684 BHY917683:BHY917684 BRU917683:BRU917684 CBQ917683:CBQ917684 CLM917683:CLM917684 CVI917683:CVI917684 DFE917683:DFE917684 DPA917683:DPA917684 DYW917683:DYW917684 EIS917683:EIS917684 ESO917683:ESO917684 FCK917683:FCK917684 FMG917683:FMG917684 FWC917683:FWC917684 GFY917683:GFY917684 GPU917683:GPU917684 GZQ917683:GZQ917684 HJM917683:HJM917684 HTI917683:HTI917684 IDE917683:IDE917684 INA917683:INA917684 IWW917683:IWW917684 JGS917683:JGS917684 JQO917683:JQO917684 KAK917683:KAK917684 KKG917683:KKG917684 KUC917683:KUC917684 LDY917683:LDY917684 LNU917683:LNU917684 LXQ917683:LXQ917684 MHM917683:MHM917684 MRI917683:MRI917684 NBE917683:NBE917684 NLA917683:NLA917684 NUW917683:NUW917684 OES917683:OES917684 OOO917683:OOO917684 OYK917683:OYK917684 PIG917683:PIG917684 PSC917683:PSC917684 QBY917683:QBY917684 QLU917683:QLU917684 QVQ917683:QVQ917684 RFM917683:RFM917684 RPI917683:RPI917684 RZE917683:RZE917684 SJA917683:SJA917684 SSW917683:SSW917684 TCS917683:TCS917684 TMO917683:TMO917684 TWK917683:TWK917684 UGG917683:UGG917684 UQC917683:UQC917684 UZY917683:UZY917684 VJU917683:VJU917684 VTQ917683:VTQ917684 WDM917683:WDM917684 WNI917683:WNI917684 WXE917683:WXE917684 KS983219:KS983220 UO983219:UO983220 AEK983219:AEK983220 AOG983219:AOG983220 AYC983219:AYC983220 BHY983219:BHY983220 BRU983219:BRU983220 CBQ983219:CBQ983220 CLM983219:CLM983220 CVI983219:CVI983220 DFE983219:DFE983220 DPA983219:DPA983220 DYW983219:DYW983220 EIS983219:EIS983220 ESO983219:ESO983220 FCK983219:FCK983220 FMG983219:FMG983220 FWC983219:FWC983220 GFY983219:GFY983220 GPU983219:GPU983220 GZQ983219:GZQ983220 HJM983219:HJM983220 HTI983219:HTI983220 IDE983219:IDE983220 INA983219:INA983220 IWW983219:IWW983220 JGS983219:JGS983220 JQO983219:JQO983220 KAK983219:KAK983220 KKG983219:KKG983220 KUC983219:KUC983220 LDY983219:LDY983220 LNU983219:LNU983220 LXQ983219:LXQ983220 MHM983219:MHM983220 MRI983219:MRI983220 NBE983219:NBE983220 NLA983219:NLA983220 NUW983219:NUW983220 OES983219:OES983220 OOO983219:OOO983220 OYK983219:OYK983220 PIG983219:PIG983220 PSC983219:PSC983220 QBY983219:QBY983220 QLU983219:QLU983220 QVQ983219:QVQ983220 RFM983219:RFM983220 RPI983219:RPI983220 RZE983219:RZE983220 SJA983219:SJA983220 SSW983219:SSW983220 TCS983219:TCS983220 TMO983219:TMO983220 TWK983219:TWK983220 UGG983219:UGG983220 UQC983219:UQC983220 UZY983219:UZY983220 VJU983219:VJU983220 VTQ983219:VTQ983220 WDM983219:WDM983220 WNI983219:WNI983220 WXE983219:WXE983220 KS458870:KT458874 UO458870:UP458874 AEK458870:AEL458874 AOG458870:AOH458874 AYC458870:AYD458874 BHY458870:BHZ458874 BRU458870:BRV458874 CBQ458870:CBR458874 CLM458870:CLN458874 CVI458870:CVJ458874 DFE458870:DFF458874 DPA458870:DPB458874 DYW458870:DYX458874 EIS458870:EIT458874 ESO458870:ESP458874 FCK458870:FCL458874 FMG458870:FMH458874 FWC458870:FWD458874 GFY458870:GFZ458874 GPU458870:GPV458874 GZQ458870:GZR458874 HJM458870:HJN458874 HTI458870:HTJ458874 IDE458870:IDF458874 INA458870:INB458874 IWW458870:IWX458874 JGS458870:JGT458874 JQO458870:JQP458874 KAK458870:KAL458874 KKG458870:KKH458874 KUC458870:KUD458874 LDY458870:LDZ458874 LNU458870:LNV458874 LXQ458870:LXR458874 MHM458870:MHN458874 MRI458870:MRJ458874 NBE458870:NBF458874 NLA458870:NLB458874 NUW458870:NUX458874 OES458870:OET458874 OOO458870:OOP458874 OYK458870:OYL458874 PIG458870:PIH458874 PSC458870:PSD458874 QBY458870:QBZ458874 QLU458870:QLV458874 QVQ458870:QVR458874 RFM458870:RFN458874 RPI458870:RPJ458874 RZE458870:RZF458874 SJA458870:SJB458874 SSW458870:SSX458874 TCS458870:TCT458874 TMO458870:TMP458874 TWK458870:TWL458874 UGG458870:UGH458874 UQC458870:UQD458874 UZY458870:UZZ458874 VJU458870:VJV458874 VTQ458870:VTR458874 WDM458870:WDN458874 WNI458870:WNJ458874 WXE458870:WXF458874 KS65720 UO65720 AEK65720 AOG65720 AYC65720 BHY65720 BRU65720 CBQ65720 CLM65720 CVI65720 DFE65720 DPA65720 DYW65720 EIS65720 ESO65720 FCK65720 FMG65720 FWC65720 GFY65720 GPU65720 GZQ65720 HJM65720 HTI65720 IDE65720 INA65720 IWW65720 JGS65720 JQO65720 KAK65720 KKG65720 KUC65720 LDY65720 LNU65720 LXQ65720 MHM65720 MRI65720 NBE65720 NLA65720 NUW65720 OES65720 OOO65720 OYK65720 PIG65720 PSC65720 QBY65720 QLU65720 QVQ65720 RFM65720 RPI65720 RZE65720 SJA65720 SSW65720 TCS65720 TMO65720 TWK65720 UGG65720 UQC65720 UZY65720 VJU65720 VTQ65720 WDM65720 WNI65720 WXE65720 KS131256 UO131256 AEK131256 AOG131256 AYC131256 BHY131256 BRU131256 CBQ131256 CLM131256 CVI131256 DFE131256 DPA131256 DYW131256 EIS131256 ESO131256 FCK131256 FMG131256 FWC131256 GFY131256 GPU131256 GZQ131256 HJM131256 HTI131256 IDE131256 INA131256 IWW131256 JGS131256 JQO131256 KAK131256 KKG131256 KUC131256 LDY131256 LNU131256 LXQ131256 MHM131256 MRI131256 NBE131256 NLA131256 NUW131256 OES131256 OOO131256 OYK131256 PIG131256 PSC131256 QBY131256 QLU131256 QVQ131256 RFM131256 RPI131256 RZE131256 SJA131256 SSW131256 TCS131256 TMO131256 TWK131256 UGG131256 UQC131256 UZY131256 VJU131256 VTQ131256 WDM131256 WNI131256 WXE131256 KS196792 UO196792 AEK196792 AOG196792 AYC196792 BHY196792 BRU196792 CBQ196792 CLM196792 CVI196792 DFE196792 DPA196792 DYW196792 EIS196792 ESO196792 FCK196792 FMG196792 FWC196792 GFY196792 GPU196792 GZQ196792 HJM196792 HTI196792 IDE196792 INA196792 IWW196792 JGS196792 JQO196792 KAK196792 KKG196792 KUC196792 LDY196792 LNU196792 LXQ196792 MHM196792 MRI196792 NBE196792 NLA196792 NUW196792 OES196792 OOO196792 OYK196792 PIG196792 PSC196792 QBY196792 QLU196792 QVQ196792 RFM196792 RPI196792 RZE196792 SJA196792 SSW196792 TCS196792 TMO196792 TWK196792 UGG196792 UQC196792 UZY196792 VJU196792 VTQ196792 WDM196792 WNI196792 WXE196792 KS262328 UO262328 AEK262328 AOG262328 AYC262328 BHY262328 BRU262328 CBQ262328 CLM262328 CVI262328 DFE262328 DPA262328 DYW262328 EIS262328 ESO262328 FCK262328 FMG262328 FWC262328 GFY262328 GPU262328 GZQ262328 HJM262328 HTI262328 IDE262328 INA262328 IWW262328 JGS262328 JQO262328 KAK262328 KKG262328 KUC262328 LDY262328 LNU262328 LXQ262328 MHM262328 MRI262328 NBE262328 NLA262328 NUW262328 OES262328 OOO262328 OYK262328 PIG262328 PSC262328 QBY262328 QLU262328 QVQ262328 RFM262328 RPI262328 RZE262328 SJA262328 SSW262328 TCS262328 TMO262328 TWK262328 UGG262328 UQC262328 UZY262328 VJU262328 VTQ262328 WDM262328 WNI262328 WXE262328 KS327864 UO327864 AEK327864 AOG327864 AYC327864 BHY327864 BRU327864 CBQ327864 CLM327864 CVI327864 DFE327864 DPA327864 DYW327864 EIS327864 ESO327864 FCK327864 FMG327864 FWC327864 GFY327864 GPU327864 GZQ327864 HJM327864 HTI327864 IDE327864 INA327864 IWW327864 JGS327864 JQO327864 KAK327864 KKG327864 KUC327864 LDY327864 LNU327864 LXQ327864 MHM327864 MRI327864 NBE327864 NLA327864 NUW327864 OES327864 OOO327864 OYK327864 PIG327864 PSC327864 QBY327864 QLU327864 QVQ327864 RFM327864 RPI327864 RZE327864 SJA327864 SSW327864 TCS327864 TMO327864 TWK327864 UGG327864 UQC327864 UZY327864 VJU327864 VTQ327864 WDM327864 WNI327864 WXE327864 KS393400 UO393400 AEK393400 AOG393400 AYC393400 BHY393400 BRU393400 CBQ393400 CLM393400 CVI393400 DFE393400 DPA393400 DYW393400 EIS393400 ESO393400 FCK393400 FMG393400 FWC393400 GFY393400 GPU393400 GZQ393400 HJM393400 HTI393400 IDE393400 INA393400 IWW393400 JGS393400 JQO393400 KAK393400 KKG393400 KUC393400 LDY393400 LNU393400 LXQ393400 MHM393400 MRI393400 NBE393400 NLA393400 NUW393400 OES393400 OOO393400 OYK393400 PIG393400 PSC393400 QBY393400 QLU393400 QVQ393400 RFM393400 RPI393400 RZE393400 SJA393400 SSW393400 TCS393400 TMO393400 TWK393400 UGG393400 UQC393400 UZY393400 VJU393400 VTQ393400 WDM393400 WNI393400 WXE393400 KS458936 UO458936 AEK458936 AOG458936 AYC458936 BHY458936 BRU458936 CBQ458936 CLM458936 CVI458936 DFE458936 DPA458936 DYW458936 EIS458936 ESO458936 FCK458936 FMG458936 FWC458936 GFY458936 GPU458936 GZQ458936 HJM458936 HTI458936 IDE458936 INA458936 IWW458936 JGS458936 JQO458936 KAK458936 KKG458936 KUC458936 LDY458936 LNU458936 LXQ458936 MHM458936 MRI458936 NBE458936 NLA458936 NUW458936 OES458936 OOO458936 OYK458936 PIG458936 PSC458936 QBY458936 QLU458936 QVQ458936 RFM458936 RPI458936 RZE458936 SJA458936 SSW458936 TCS458936 TMO458936 TWK458936 UGG458936 UQC458936 UZY458936 VJU458936 VTQ458936 WDM458936 WNI458936 WXE458936 KS524472 UO524472 AEK524472 AOG524472 AYC524472 BHY524472 BRU524472 CBQ524472 CLM524472 CVI524472 DFE524472 DPA524472 DYW524472 EIS524472 ESO524472 FCK524472 FMG524472 FWC524472 GFY524472 GPU524472 GZQ524472 HJM524472 HTI524472 IDE524472 INA524472 IWW524472 JGS524472 JQO524472 KAK524472 KKG524472 KUC524472 LDY524472 LNU524472 LXQ524472 MHM524472 MRI524472 NBE524472 NLA524472 NUW524472 OES524472 OOO524472 OYK524472 PIG524472 PSC524472 QBY524472 QLU524472 QVQ524472 RFM524472 RPI524472 RZE524472 SJA524472 SSW524472 TCS524472 TMO524472 TWK524472 UGG524472 UQC524472 UZY524472 VJU524472 VTQ524472 WDM524472 WNI524472 WXE524472 KS590008 UO590008 AEK590008 AOG590008 AYC590008 BHY590008 BRU590008 CBQ590008 CLM590008 CVI590008 DFE590008 DPA590008 DYW590008 EIS590008 ESO590008 FCK590008 FMG590008 FWC590008 GFY590008 GPU590008 GZQ590008 HJM590008 HTI590008 IDE590008 INA590008 IWW590008 JGS590008 JQO590008 KAK590008 KKG590008 KUC590008 LDY590008 LNU590008 LXQ590008 MHM590008 MRI590008 NBE590008 NLA590008 NUW590008 OES590008 OOO590008 OYK590008 PIG590008 PSC590008 QBY590008 QLU590008 QVQ590008 RFM590008 RPI590008 RZE590008 SJA590008 SSW590008 TCS590008 TMO590008 TWK590008 UGG590008 UQC590008 UZY590008 VJU590008 VTQ590008 WDM590008 WNI590008 WXE590008 KS655544 UO655544 AEK655544 AOG655544 AYC655544 BHY655544 BRU655544 CBQ655544 CLM655544 CVI655544 DFE655544 DPA655544 DYW655544 EIS655544 ESO655544 FCK655544 FMG655544 FWC655544 GFY655544 GPU655544 GZQ655544 HJM655544 HTI655544 IDE655544 INA655544 IWW655544 JGS655544 JQO655544 KAK655544 KKG655544 KUC655544 LDY655544 LNU655544 LXQ655544 MHM655544 MRI655544 NBE655544 NLA655544 NUW655544 OES655544 OOO655544 OYK655544 PIG655544 PSC655544 QBY655544 QLU655544 QVQ655544 RFM655544 RPI655544 RZE655544 SJA655544 SSW655544 TCS655544 TMO655544 TWK655544 UGG655544 UQC655544 UZY655544 VJU655544 VTQ655544 WDM655544 WNI655544 WXE655544 KS721080 UO721080 AEK721080 AOG721080 AYC721080 BHY721080 BRU721080 CBQ721080 CLM721080 CVI721080 DFE721080 DPA721080 DYW721080 EIS721080 ESO721080 FCK721080 FMG721080 FWC721080 GFY721080 GPU721080 GZQ721080 HJM721080 HTI721080 IDE721080 INA721080 IWW721080 JGS721080 JQO721080 KAK721080 KKG721080 KUC721080 LDY721080 LNU721080 LXQ721080 MHM721080 MRI721080 NBE721080 NLA721080 NUW721080 OES721080 OOO721080 OYK721080 PIG721080 PSC721080 QBY721080 QLU721080 QVQ721080 RFM721080 RPI721080 RZE721080 SJA721080 SSW721080 TCS721080 TMO721080 TWK721080 UGG721080 UQC721080 UZY721080 VJU721080 VTQ721080 WDM721080 WNI721080 WXE721080 KS786616 UO786616 AEK786616 AOG786616 AYC786616 BHY786616 BRU786616 CBQ786616 CLM786616 CVI786616 DFE786616 DPA786616 DYW786616 EIS786616 ESO786616 FCK786616 FMG786616 FWC786616 GFY786616 GPU786616 GZQ786616 HJM786616 HTI786616 IDE786616 INA786616 IWW786616 JGS786616 JQO786616 KAK786616 KKG786616 KUC786616 LDY786616 LNU786616 LXQ786616 MHM786616 MRI786616 NBE786616 NLA786616 NUW786616 OES786616 OOO786616 OYK786616 PIG786616 PSC786616 QBY786616 QLU786616 QVQ786616 RFM786616 RPI786616 RZE786616 SJA786616 SSW786616 TCS786616 TMO786616 TWK786616 UGG786616 UQC786616 UZY786616 VJU786616 VTQ786616 WDM786616 WNI786616 WXE786616 KS852152 UO852152 AEK852152 AOG852152 AYC852152 BHY852152 BRU852152 CBQ852152 CLM852152 CVI852152 DFE852152 DPA852152 DYW852152 EIS852152 ESO852152 FCK852152 FMG852152 FWC852152 GFY852152 GPU852152 GZQ852152 HJM852152 HTI852152 IDE852152 INA852152 IWW852152 JGS852152 JQO852152 KAK852152 KKG852152 KUC852152 LDY852152 LNU852152 LXQ852152 MHM852152 MRI852152 NBE852152 NLA852152 NUW852152 OES852152 OOO852152 OYK852152 PIG852152 PSC852152 QBY852152 QLU852152 QVQ852152 RFM852152 RPI852152 RZE852152 SJA852152 SSW852152 TCS852152 TMO852152 TWK852152 UGG852152 UQC852152 UZY852152 VJU852152 VTQ852152 WDM852152 WNI852152 WXE852152 KS917688 UO917688 AEK917688 AOG917688 AYC917688 BHY917688 BRU917688 CBQ917688 CLM917688 CVI917688 DFE917688 DPA917688 DYW917688 EIS917688 ESO917688 FCK917688 FMG917688 FWC917688 GFY917688 GPU917688 GZQ917688 HJM917688 HTI917688 IDE917688 INA917688 IWW917688 JGS917688 JQO917688 KAK917688 KKG917688 KUC917688 LDY917688 LNU917688 LXQ917688 MHM917688 MRI917688 NBE917688 NLA917688 NUW917688 OES917688 OOO917688 OYK917688 PIG917688 PSC917688 QBY917688 QLU917688 QVQ917688 RFM917688 RPI917688 RZE917688 SJA917688 SSW917688 TCS917688 TMO917688 TWK917688 UGG917688 UQC917688 UZY917688 VJU917688 VTQ917688 WDM917688 WNI917688 WXE917688 KS983224 UO983224 AEK983224 AOG983224 AYC983224 BHY983224 BRU983224 CBQ983224 CLM983224 CVI983224 DFE983224 DPA983224 DYW983224 EIS983224 ESO983224 FCK983224 FMG983224 FWC983224 GFY983224 GPU983224 GZQ983224 HJM983224 HTI983224 IDE983224 INA983224 IWW983224 JGS983224 JQO983224 KAK983224 KKG983224 KUC983224 LDY983224 LNU983224 LXQ983224 MHM983224 MRI983224 NBE983224 NLA983224 NUW983224 OES983224 OOO983224 OYK983224 PIG983224 PSC983224 QBY983224 QLU983224 QVQ983224 RFM983224 RPI983224 RZE983224 SJA983224 SSW983224 TCS983224 TMO983224 TWK983224 UGG983224 UQC983224 UZY983224 VJU983224 VTQ983224 WDM983224 WNI983224 WXE983224 KS524406:KT524410 UO524406:UP524410 AEK524406:AEL524410 AOG524406:AOH524410 AYC524406:AYD524410 BHY524406:BHZ524410 BRU524406:BRV524410 CBQ524406:CBR524410 CLM524406:CLN524410 CVI524406:CVJ524410 DFE524406:DFF524410 DPA524406:DPB524410 DYW524406:DYX524410 EIS524406:EIT524410 ESO524406:ESP524410 FCK524406:FCL524410 FMG524406:FMH524410 FWC524406:FWD524410 GFY524406:GFZ524410 GPU524406:GPV524410 GZQ524406:GZR524410 HJM524406:HJN524410 HTI524406:HTJ524410 IDE524406:IDF524410 INA524406:INB524410 IWW524406:IWX524410 JGS524406:JGT524410 JQO524406:JQP524410 KAK524406:KAL524410 KKG524406:KKH524410 KUC524406:KUD524410 LDY524406:LDZ524410 LNU524406:LNV524410 LXQ524406:LXR524410 MHM524406:MHN524410 MRI524406:MRJ524410 NBE524406:NBF524410 NLA524406:NLB524410 NUW524406:NUX524410 OES524406:OET524410 OOO524406:OOP524410 OYK524406:OYL524410 PIG524406:PIH524410 PSC524406:PSD524410 QBY524406:QBZ524410 QLU524406:QLV524410 QVQ524406:QVR524410 RFM524406:RFN524410 RPI524406:RPJ524410 RZE524406:RZF524410 SJA524406:SJB524410 SSW524406:SSX524410 TCS524406:TCT524410 TMO524406:TMP524410 TWK524406:TWL524410 UGG524406:UGH524410 UQC524406:UQD524410 UZY524406:UZZ524410 VJU524406:VJV524410 VTQ524406:VTR524410 WDM524406:WDN524410 WNI524406:WNJ524410 WXE524406:WXF524410 KS65709:KT65714 UO65709:UP65714 AEK65709:AEL65714 AOG65709:AOH65714 AYC65709:AYD65714 BHY65709:BHZ65714 BRU65709:BRV65714 CBQ65709:CBR65714 CLM65709:CLN65714 CVI65709:CVJ65714 DFE65709:DFF65714 DPA65709:DPB65714 DYW65709:DYX65714 EIS65709:EIT65714 ESO65709:ESP65714 FCK65709:FCL65714 FMG65709:FMH65714 FWC65709:FWD65714 GFY65709:GFZ65714 GPU65709:GPV65714 GZQ65709:GZR65714 HJM65709:HJN65714 HTI65709:HTJ65714 IDE65709:IDF65714 INA65709:INB65714 IWW65709:IWX65714 JGS65709:JGT65714 JQO65709:JQP65714 KAK65709:KAL65714 KKG65709:KKH65714 KUC65709:KUD65714 LDY65709:LDZ65714 LNU65709:LNV65714 LXQ65709:LXR65714 MHM65709:MHN65714 MRI65709:MRJ65714 NBE65709:NBF65714 NLA65709:NLB65714 NUW65709:NUX65714 OES65709:OET65714 OOO65709:OOP65714 OYK65709:OYL65714 PIG65709:PIH65714 PSC65709:PSD65714 QBY65709:QBZ65714 QLU65709:QLV65714 QVQ65709:QVR65714 RFM65709:RFN65714 RPI65709:RPJ65714 RZE65709:RZF65714 SJA65709:SJB65714 SSW65709:SSX65714 TCS65709:TCT65714 TMO65709:TMP65714 TWK65709:TWL65714 UGG65709:UGH65714 UQC65709:UQD65714 UZY65709:UZZ65714 VJU65709:VJV65714 VTQ65709:VTR65714 WDM65709:WDN65714 WNI65709:WNJ65714 WXE65709:WXF65714 KS131245:KT131250 UO131245:UP131250 AEK131245:AEL131250 AOG131245:AOH131250 AYC131245:AYD131250 BHY131245:BHZ131250 BRU131245:BRV131250 CBQ131245:CBR131250 CLM131245:CLN131250 CVI131245:CVJ131250 DFE131245:DFF131250 DPA131245:DPB131250 DYW131245:DYX131250 EIS131245:EIT131250 ESO131245:ESP131250 FCK131245:FCL131250 FMG131245:FMH131250 FWC131245:FWD131250 GFY131245:GFZ131250 GPU131245:GPV131250 GZQ131245:GZR131250 HJM131245:HJN131250 HTI131245:HTJ131250 IDE131245:IDF131250 INA131245:INB131250 IWW131245:IWX131250 JGS131245:JGT131250 JQO131245:JQP131250 KAK131245:KAL131250 KKG131245:KKH131250 KUC131245:KUD131250 LDY131245:LDZ131250 LNU131245:LNV131250 LXQ131245:LXR131250 MHM131245:MHN131250 MRI131245:MRJ131250 NBE131245:NBF131250 NLA131245:NLB131250 NUW131245:NUX131250 OES131245:OET131250 OOO131245:OOP131250 OYK131245:OYL131250 PIG131245:PIH131250 PSC131245:PSD131250 QBY131245:QBZ131250 QLU131245:QLV131250 QVQ131245:QVR131250 RFM131245:RFN131250 RPI131245:RPJ131250 RZE131245:RZF131250 SJA131245:SJB131250 SSW131245:SSX131250 TCS131245:TCT131250 TMO131245:TMP131250 TWK131245:TWL131250 UGG131245:UGH131250 UQC131245:UQD131250 UZY131245:UZZ131250 VJU131245:VJV131250 VTQ131245:VTR131250 WDM131245:WDN131250 WNI131245:WNJ131250 WXE131245:WXF131250 KS196781:KT196786 UO196781:UP196786 AEK196781:AEL196786 AOG196781:AOH196786 AYC196781:AYD196786 BHY196781:BHZ196786 BRU196781:BRV196786 CBQ196781:CBR196786 CLM196781:CLN196786 CVI196781:CVJ196786 DFE196781:DFF196786 DPA196781:DPB196786 DYW196781:DYX196786 EIS196781:EIT196786 ESO196781:ESP196786 FCK196781:FCL196786 FMG196781:FMH196786 FWC196781:FWD196786 GFY196781:GFZ196786 GPU196781:GPV196786 GZQ196781:GZR196786 HJM196781:HJN196786 HTI196781:HTJ196786 IDE196781:IDF196786 INA196781:INB196786 IWW196781:IWX196786 JGS196781:JGT196786 JQO196781:JQP196786 KAK196781:KAL196786 KKG196781:KKH196786 KUC196781:KUD196786 LDY196781:LDZ196786 LNU196781:LNV196786 LXQ196781:LXR196786 MHM196781:MHN196786 MRI196781:MRJ196786 NBE196781:NBF196786 NLA196781:NLB196786 NUW196781:NUX196786 OES196781:OET196786 OOO196781:OOP196786 OYK196781:OYL196786 PIG196781:PIH196786 PSC196781:PSD196786 QBY196781:QBZ196786 QLU196781:QLV196786 QVQ196781:QVR196786 RFM196781:RFN196786 RPI196781:RPJ196786 RZE196781:RZF196786 SJA196781:SJB196786 SSW196781:SSX196786 TCS196781:TCT196786 TMO196781:TMP196786 TWK196781:TWL196786 UGG196781:UGH196786 UQC196781:UQD196786 UZY196781:UZZ196786 VJU196781:VJV196786 VTQ196781:VTR196786 WDM196781:WDN196786 WNI196781:WNJ196786 WXE196781:WXF196786 KS262317:KT262322 UO262317:UP262322 AEK262317:AEL262322 AOG262317:AOH262322 AYC262317:AYD262322 BHY262317:BHZ262322 BRU262317:BRV262322 CBQ262317:CBR262322 CLM262317:CLN262322 CVI262317:CVJ262322 DFE262317:DFF262322 DPA262317:DPB262322 DYW262317:DYX262322 EIS262317:EIT262322 ESO262317:ESP262322 FCK262317:FCL262322 FMG262317:FMH262322 FWC262317:FWD262322 GFY262317:GFZ262322 GPU262317:GPV262322 GZQ262317:GZR262322 HJM262317:HJN262322 HTI262317:HTJ262322 IDE262317:IDF262322 INA262317:INB262322 IWW262317:IWX262322 JGS262317:JGT262322 JQO262317:JQP262322 KAK262317:KAL262322 KKG262317:KKH262322 KUC262317:KUD262322 LDY262317:LDZ262322 LNU262317:LNV262322 LXQ262317:LXR262322 MHM262317:MHN262322 MRI262317:MRJ262322 NBE262317:NBF262322 NLA262317:NLB262322 NUW262317:NUX262322 OES262317:OET262322 OOO262317:OOP262322 OYK262317:OYL262322 PIG262317:PIH262322 PSC262317:PSD262322 QBY262317:QBZ262322 QLU262317:QLV262322 QVQ262317:QVR262322 RFM262317:RFN262322 RPI262317:RPJ262322 RZE262317:RZF262322 SJA262317:SJB262322 SSW262317:SSX262322 TCS262317:TCT262322 TMO262317:TMP262322 TWK262317:TWL262322 UGG262317:UGH262322 UQC262317:UQD262322 UZY262317:UZZ262322 VJU262317:VJV262322 VTQ262317:VTR262322 WDM262317:WDN262322 WNI262317:WNJ262322 WXE262317:WXF262322 KS327853:KT327858 UO327853:UP327858 AEK327853:AEL327858 AOG327853:AOH327858 AYC327853:AYD327858 BHY327853:BHZ327858 BRU327853:BRV327858 CBQ327853:CBR327858 CLM327853:CLN327858 CVI327853:CVJ327858 DFE327853:DFF327858 DPA327853:DPB327858 DYW327853:DYX327858 EIS327853:EIT327858 ESO327853:ESP327858 FCK327853:FCL327858 FMG327853:FMH327858 FWC327853:FWD327858 GFY327853:GFZ327858 GPU327853:GPV327858 GZQ327853:GZR327858 HJM327853:HJN327858 HTI327853:HTJ327858 IDE327853:IDF327858 INA327853:INB327858 IWW327853:IWX327858 JGS327853:JGT327858 JQO327853:JQP327858 KAK327853:KAL327858 KKG327853:KKH327858 KUC327853:KUD327858 LDY327853:LDZ327858 LNU327853:LNV327858 LXQ327853:LXR327858 MHM327853:MHN327858 MRI327853:MRJ327858 NBE327853:NBF327858 NLA327853:NLB327858 NUW327853:NUX327858 OES327853:OET327858 OOO327853:OOP327858 OYK327853:OYL327858 PIG327853:PIH327858 PSC327853:PSD327858 QBY327853:QBZ327858 QLU327853:QLV327858 QVQ327853:QVR327858 RFM327853:RFN327858 RPI327853:RPJ327858 RZE327853:RZF327858 SJA327853:SJB327858 SSW327853:SSX327858 TCS327853:TCT327858 TMO327853:TMP327858 TWK327853:TWL327858 UGG327853:UGH327858 UQC327853:UQD327858 UZY327853:UZZ327858 VJU327853:VJV327858 VTQ327853:VTR327858 WDM327853:WDN327858 WNI327853:WNJ327858 WXE327853:WXF327858 KS393389:KT393394 UO393389:UP393394 AEK393389:AEL393394 AOG393389:AOH393394 AYC393389:AYD393394 BHY393389:BHZ393394 BRU393389:BRV393394 CBQ393389:CBR393394 CLM393389:CLN393394 CVI393389:CVJ393394 DFE393389:DFF393394 DPA393389:DPB393394 DYW393389:DYX393394 EIS393389:EIT393394 ESO393389:ESP393394 FCK393389:FCL393394 FMG393389:FMH393394 FWC393389:FWD393394 GFY393389:GFZ393394 GPU393389:GPV393394 GZQ393389:GZR393394 HJM393389:HJN393394 HTI393389:HTJ393394 IDE393389:IDF393394 INA393389:INB393394 IWW393389:IWX393394 JGS393389:JGT393394 JQO393389:JQP393394 KAK393389:KAL393394 KKG393389:KKH393394 KUC393389:KUD393394 LDY393389:LDZ393394 LNU393389:LNV393394 LXQ393389:LXR393394 MHM393389:MHN393394 MRI393389:MRJ393394 NBE393389:NBF393394 NLA393389:NLB393394 NUW393389:NUX393394 OES393389:OET393394 OOO393389:OOP393394 OYK393389:OYL393394 PIG393389:PIH393394 PSC393389:PSD393394 QBY393389:QBZ393394 QLU393389:QLV393394 QVQ393389:QVR393394 RFM393389:RFN393394 RPI393389:RPJ393394 RZE393389:RZF393394 SJA393389:SJB393394 SSW393389:SSX393394 TCS393389:TCT393394 TMO393389:TMP393394 TWK393389:TWL393394 UGG393389:UGH393394 UQC393389:UQD393394 UZY393389:UZZ393394 VJU393389:VJV393394 VTQ393389:VTR393394 WDM393389:WDN393394 WNI393389:WNJ393394 WXE393389:WXF393394 KS458925:KT458930 UO458925:UP458930 AEK458925:AEL458930 AOG458925:AOH458930 AYC458925:AYD458930 BHY458925:BHZ458930 BRU458925:BRV458930 CBQ458925:CBR458930 CLM458925:CLN458930 CVI458925:CVJ458930 DFE458925:DFF458930 DPA458925:DPB458930 DYW458925:DYX458930 EIS458925:EIT458930 ESO458925:ESP458930 FCK458925:FCL458930 FMG458925:FMH458930 FWC458925:FWD458930 GFY458925:GFZ458930 GPU458925:GPV458930 GZQ458925:GZR458930 HJM458925:HJN458930 HTI458925:HTJ458930 IDE458925:IDF458930 INA458925:INB458930 IWW458925:IWX458930 JGS458925:JGT458930 JQO458925:JQP458930 KAK458925:KAL458930 KKG458925:KKH458930 KUC458925:KUD458930 LDY458925:LDZ458930 LNU458925:LNV458930 LXQ458925:LXR458930 MHM458925:MHN458930 MRI458925:MRJ458930 NBE458925:NBF458930 NLA458925:NLB458930 NUW458925:NUX458930 OES458925:OET458930 OOO458925:OOP458930 OYK458925:OYL458930 PIG458925:PIH458930 PSC458925:PSD458930 QBY458925:QBZ458930 QLU458925:QLV458930 QVQ458925:QVR458930 RFM458925:RFN458930 RPI458925:RPJ458930 RZE458925:RZF458930 SJA458925:SJB458930 SSW458925:SSX458930 TCS458925:TCT458930 TMO458925:TMP458930 TWK458925:TWL458930 UGG458925:UGH458930 UQC458925:UQD458930 UZY458925:UZZ458930 VJU458925:VJV458930 VTQ458925:VTR458930 WDM458925:WDN458930 WNI458925:WNJ458930 WXE458925:WXF458930 KS524461:KT524466 UO524461:UP524466 AEK524461:AEL524466 AOG524461:AOH524466 AYC524461:AYD524466 BHY524461:BHZ524466 BRU524461:BRV524466 CBQ524461:CBR524466 CLM524461:CLN524466 CVI524461:CVJ524466 DFE524461:DFF524466 DPA524461:DPB524466 DYW524461:DYX524466 EIS524461:EIT524466 ESO524461:ESP524466 FCK524461:FCL524466 FMG524461:FMH524466 FWC524461:FWD524466 GFY524461:GFZ524466 GPU524461:GPV524466 GZQ524461:GZR524466 HJM524461:HJN524466 HTI524461:HTJ524466 IDE524461:IDF524466 INA524461:INB524466 IWW524461:IWX524466 JGS524461:JGT524466 JQO524461:JQP524466 KAK524461:KAL524466 KKG524461:KKH524466 KUC524461:KUD524466 LDY524461:LDZ524466 LNU524461:LNV524466 LXQ524461:LXR524466 MHM524461:MHN524466 MRI524461:MRJ524466 NBE524461:NBF524466 NLA524461:NLB524466 NUW524461:NUX524466 OES524461:OET524466 OOO524461:OOP524466 OYK524461:OYL524466 PIG524461:PIH524466 PSC524461:PSD524466 QBY524461:QBZ524466 QLU524461:QLV524466 QVQ524461:QVR524466 RFM524461:RFN524466 RPI524461:RPJ524466 RZE524461:RZF524466 SJA524461:SJB524466 SSW524461:SSX524466 TCS524461:TCT524466 TMO524461:TMP524466 TWK524461:TWL524466 UGG524461:UGH524466 UQC524461:UQD524466 UZY524461:UZZ524466 VJU524461:VJV524466 VTQ524461:VTR524466 WDM524461:WDN524466 WNI524461:WNJ524466 WXE524461:WXF524466 KS589997:KT590002 UO589997:UP590002 AEK589997:AEL590002 AOG589997:AOH590002 AYC589997:AYD590002 BHY589997:BHZ590002 BRU589997:BRV590002 CBQ589997:CBR590002 CLM589997:CLN590002 CVI589997:CVJ590002 DFE589997:DFF590002 DPA589997:DPB590002 DYW589997:DYX590002 EIS589997:EIT590002 ESO589997:ESP590002 FCK589997:FCL590002 FMG589997:FMH590002 FWC589997:FWD590002 GFY589997:GFZ590002 GPU589997:GPV590002 GZQ589997:GZR590002 HJM589997:HJN590002 HTI589997:HTJ590002 IDE589997:IDF590002 INA589997:INB590002 IWW589997:IWX590002 JGS589997:JGT590002 JQO589997:JQP590002 KAK589997:KAL590002 KKG589997:KKH590002 KUC589997:KUD590002 LDY589997:LDZ590002 LNU589997:LNV590002 LXQ589997:LXR590002 MHM589997:MHN590002 MRI589997:MRJ590002 NBE589997:NBF590002 NLA589997:NLB590002 NUW589997:NUX590002 OES589997:OET590002 OOO589997:OOP590002 OYK589997:OYL590002 PIG589997:PIH590002 PSC589997:PSD590002 QBY589997:QBZ590002 QLU589997:QLV590002 QVQ589997:QVR590002 RFM589997:RFN590002 RPI589997:RPJ590002 RZE589997:RZF590002 SJA589997:SJB590002 SSW589997:SSX590002 TCS589997:TCT590002 TMO589997:TMP590002 TWK589997:TWL590002 UGG589997:UGH590002 UQC589997:UQD590002 UZY589997:UZZ590002 VJU589997:VJV590002 VTQ589997:VTR590002 WDM589997:WDN590002 WNI589997:WNJ590002 WXE589997:WXF590002 KS655533:KT655538 UO655533:UP655538 AEK655533:AEL655538 AOG655533:AOH655538 AYC655533:AYD655538 BHY655533:BHZ655538 BRU655533:BRV655538 CBQ655533:CBR655538 CLM655533:CLN655538 CVI655533:CVJ655538 DFE655533:DFF655538 DPA655533:DPB655538 DYW655533:DYX655538 EIS655533:EIT655538 ESO655533:ESP655538 FCK655533:FCL655538 FMG655533:FMH655538 FWC655533:FWD655538 GFY655533:GFZ655538 GPU655533:GPV655538 GZQ655533:GZR655538 HJM655533:HJN655538 HTI655533:HTJ655538 IDE655533:IDF655538 INA655533:INB655538 IWW655533:IWX655538 JGS655533:JGT655538 JQO655533:JQP655538 KAK655533:KAL655538 KKG655533:KKH655538 KUC655533:KUD655538 LDY655533:LDZ655538 LNU655533:LNV655538 LXQ655533:LXR655538 MHM655533:MHN655538 MRI655533:MRJ655538 NBE655533:NBF655538 NLA655533:NLB655538 NUW655533:NUX655538 OES655533:OET655538 OOO655533:OOP655538 OYK655533:OYL655538 PIG655533:PIH655538 PSC655533:PSD655538 QBY655533:QBZ655538 QLU655533:QLV655538 QVQ655533:QVR655538 RFM655533:RFN655538 RPI655533:RPJ655538 RZE655533:RZF655538 SJA655533:SJB655538 SSW655533:SSX655538 TCS655533:TCT655538 TMO655533:TMP655538 TWK655533:TWL655538 UGG655533:UGH655538 UQC655533:UQD655538 UZY655533:UZZ655538 VJU655533:VJV655538 VTQ655533:VTR655538 WDM655533:WDN655538 WNI655533:WNJ655538 WXE655533:WXF655538 KS721069:KT721074 UO721069:UP721074 AEK721069:AEL721074 AOG721069:AOH721074 AYC721069:AYD721074 BHY721069:BHZ721074 BRU721069:BRV721074 CBQ721069:CBR721074 CLM721069:CLN721074 CVI721069:CVJ721074 DFE721069:DFF721074 DPA721069:DPB721074 DYW721069:DYX721074 EIS721069:EIT721074 ESO721069:ESP721074 FCK721069:FCL721074 FMG721069:FMH721074 FWC721069:FWD721074 GFY721069:GFZ721074 GPU721069:GPV721074 GZQ721069:GZR721074 HJM721069:HJN721074 HTI721069:HTJ721074 IDE721069:IDF721074 INA721069:INB721074 IWW721069:IWX721074 JGS721069:JGT721074 JQO721069:JQP721074 KAK721069:KAL721074 KKG721069:KKH721074 KUC721069:KUD721074 LDY721069:LDZ721074 LNU721069:LNV721074 LXQ721069:LXR721074 MHM721069:MHN721074 MRI721069:MRJ721074 NBE721069:NBF721074 NLA721069:NLB721074 NUW721069:NUX721074 OES721069:OET721074 OOO721069:OOP721074 OYK721069:OYL721074 PIG721069:PIH721074 PSC721069:PSD721074 QBY721069:QBZ721074 QLU721069:QLV721074 QVQ721069:QVR721074 RFM721069:RFN721074 RPI721069:RPJ721074 RZE721069:RZF721074 SJA721069:SJB721074 SSW721069:SSX721074 TCS721069:TCT721074 TMO721069:TMP721074 TWK721069:TWL721074 UGG721069:UGH721074 UQC721069:UQD721074 UZY721069:UZZ721074 VJU721069:VJV721074 VTQ721069:VTR721074 WDM721069:WDN721074 WNI721069:WNJ721074 WXE721069:WXF721074 KS786605:KT786610 UO786605:UP786610 AEK786605:AEL786610 AOG786605:AOH786610 AYC786605:AYD786610 BHY786605:BHZ786610 BRU786605:BRV786610 CBQ786605:CBR786610 CLM786605:CLN786610 CVI786605:CVJ786610 DFE786605:DFF786610 DPA786605:DPB786610 DYW786605:DYX786610 EIS786605:EIT786610 ESO786605:ESP786610 FCK786605:FCL786610 FMG786605:FMH786610 FWC786605:FWD786610 GFY786605:GFZ786610 GPU786605:GPV786610 GZQ786605:GZR786610 HJM786605:HJN786610 HTI786605:HTJ786610 IDE786605:IDF786610 INA786605:INB786610 IWW786605:IWX786610 JGS786605:JGT786610 JQO786605:JQP786610 KAK786605:KAL786610 KKG786605:KKH786610 KUC786605:KUD786610 LDY786605:LDZ786610 LNU786605:LNV786610 LXQ786605:LXR786610 MHM786605:MHN786610 MRI786605:MRJ786610 NBE786605:NBF786610 NLA786605:NLB786610 NUW786605:NUX786610 OES786605:OET786610 OOO786605:OOP786610 OYK786605:OYL786610 PIG786605:PIH786610 PSC786605:PSD786610 QBY786605:QBZ786610 QLU786605:QLV786610 QVQ786605:QVR786610 RFM786605:RFN786610 RPI786605:RPJ786610 RZE786605:RZF786610 SJA786605:SJB786610 SSW786605:SSX786610 TCS786605:TCT786610 TMO786605:TMP786610 TWK786605:TWL786610 UGG786605:UGH786610 UQC786605:UQD786610 UZY786605:UZZ786610 VJU786605:VJV786610 VTQ786605:VTR786610 WDM786605:WDN786610 WNI786605:WNJ786610 WXE786605:WXF786610 KS852141:KT852146 UO852141:UP852146 AEK852141:AEL852146 AOG852141:AOH852146 AYC852141:AYD852146 BHY852141:BHZ852146 BRU852141:BRV852146 CBQ852141:CBR852146 CLM852141:CLN852146 CVI852141:CVJ852146 DFE852141:DFF852146 DPA852141:DPB852146 DYW852141:DYX852146 EIS852141:EIT852146 ESO852141:ESP852146 FCK852141:FCL852146 FMG852141:FMH852146 FWC852141:FWD852146 GFY852141:GFZ852146 GPU852141:GPV852146 GZQ852141:GZR852146 HJM852141:HJN852146 HTI852141:HTJ852146 IDE852141:IDF852146 INA852141:INB852146 IWW852141:IWX852146 JGS852141:JGT852146 JQO852141:JQP852146 KAK852141:KAL852146 KKG852141:KKH852146 KUC852141:KUD852146 LDY852141:LDZ852146 LNU852141:LNV852146 LXQ852141:LXR852146 MHM852141:MHN852146 MRI852141:MRJ852146 NBE852141:NBF852146 NLA852141:NLB852146 NUW852141:NUX852146 OES852141:OET852146 OOO852141:OOP852146 OYK852141:OYL852146 PIG852141:PIH852146 PSC852141:PSD852146 QBY852141:QBZ852146 QLU852141:QLV852146 QVQ852141:QVR852146 RFM852141:RFN852146 RPI852141:RPJ852146 RZE852141:RZF852146 SJA852141:SJB852146 SSW852141:SSX852146 TCS852141:TCT852146 TMO852141:TMP852146 TWK852141:TWL852146 UGG852141:UGH852146 UQC852141:UQD852146 UZY852141:UZZ852146 VJU852141:VJV852146 VTQ852141:VTR852146 WDM852141:WDN852146 WNI852141:WNJ852146 WXE852141:WXF852146 KS917677:KT917682 UO917677:UP917682 AEK917677:AEL917682 AOG917677:AOH917682 AYC917677:AYD917682 BHY917677:BHZ917682 BRU917677:BRV917682 CBQ917677:CBR917682 CLM917677:CLN917682 CVI917677:CVJ917682 DFE917677:DFF917682 DPA917677:DPB917682 DYW917677:DYX917682 EIS917677:EIT917682 ESO917677:ESP917682 FCK917677:FCL917682 FMG917677:FMH917682 FWC917677:FWD917682 GFY917677:GFZ917682 GPU917677:GPV917682 GZQ917677:GZR917682 HJM917677:HJN917682 HTI917677:HTJ917682 IDE917677:IDF917682 INA917677:INB917682 IWW917677:IWX917682 JGS917677:JGT917682 JQO917677:JQP917682 KAK917677:KAL917682 KKG917677:KKH917682 KUC917677:KUD917682 LDY917677:LDZ917682 LNU917677:LNV917682 LXQ917677:LXR917682 MHM917677:MHN917682 MRI917677:MRJ917682 NBE917677:NBF917682 NLA917677:NLB917682 NUW917677:NUX917682 OES917677:OET917682 OOO917677:OOP917682 OYK917677:OYL917682 PIG917677:PIH917682 PSC917677:PSD917682 QBY917677:QBZ917682 QLU917677:QLV917682 QVQ917677:QVR917682 RFM917677:RFN917682 RPI917677:RPJ917682 RZE917677:RZF917682 SJA917677:SJB917682 SSW917677:SSX917682 TCS917677:TCT917682 TMO917677:TMP917682 TWK917677:TWL917682 UGG917677:UGH917682 UQC917677:UQD917682 UZY917677:UZZ917682 VJU917677:VJV917682 VTQ917677:VTR917682 WDM917677:WDN917682 WNI917677:WNJ917682 WXE917677:WXF917682 KS983213:KT983218 UO983213:UP983218 AEK983213:AEL983218 AOG983213:AOH983218 AYC983213:AYD983218 BHY983213:BHZ983218 BRU983213:BRV983218 CBQ983213:CBR983218 CLM983213:CLN983218 CVI983213:CVJ983218 DFE983213:DFF983218 DPA983213:DPB983218 DYW983213:DYX983218 EIS983213:EIT983218 ESO983213:ESP983218 FCK983213:FCL983218 FMG983213:FMH983218 FWC983213:FWD983218 GFY983213:GFZ983218 GPU983213:GPV983218 GZQ983213:GZR983218 HJM983213:HJN983218 HTI983213:HTJ983218 IDE983213:IDF983218 INA983213:INB983218 IWW983213:IWX983218 JGS983213:JGT983218 JQO983213:JQP983218 KAK983213:KAL983218 KKG983213:KKH983218 KUC983213:KUD983218 LDY983213:LDZ983218 LNU983213:LNV983218 LXQ983213:LXR983218 MHM983213:MHN983218 MRI983213:MRJ983218 NBE983213:NBF983218 NLA983213:NLB983218 NUW983213:NUX983218 OES983213:OET983218 OOO983213:OOP983218 OYK983213:OYL983218 PIG983213:PIH983218 PSC983213:PSD983218 QBY983213:QBZ983218 QLU983213:QLV983218 QVQ983213:QVR983218 RFM983213:RFN983218 RPI983213:RPJ983218 RZE983213:RZF983218 SJA983213:SJB983218 SSW983213:SSX983218 TCS983213:TCT983218 TMO983213:TMP983218 TWK983213:TWL983218 UGG983213:UGH983218 UQC983213:UQD983218 UZY983213:UZZ983218 VJU983213:VJV983218 VTQ983213:VTR983218 WDM983213:WDN983218 WNI983213:WNJ983218 WXE983213:WXF983218 KS589942:KT589946 UO589942:UP589946 AEK589942:AEL589946 AOG589942:AOH589946 AYC589942:AYD589946 BHY589942:BHZ589946 BRU589942:BRV589946 CBQ589942:CBR589946 CLM589942:CLN589946 CVI589942:CVJ589946 DFE589942:DFF589946 DPA589942:DPB589946 DYW589942:DYX589946 EIS589942:EIT589946 ESO589942:ESP589946 FCK589942:FCL589946 FMG589942:FMH589946 FWC589942:FWD589946 GFY589942:GFZ589946 GPU589942:GPV589946 GZQ589942:GZR589946 HJM589942:HJN589946 HTI589942:HTJ589946 IDE589942:IDF589946 INA589942:INB589946 IWW589942:IWX589946 JGS589942:JGT589946 JQO589942:JQP589946 KAK589942:KAL589946 KKG589942:KKH589946 KUC589942:KUD589946 LDY589942:LDZ589946 LNU589942:LNV589946 LXQ589942:LXR589946 MHM589942:MHN589946 MRI589942:MRJ589946 NBE589942:NBF589946 NLA589942:NLB589946 NUW589942:NUX589946 OES589942:OET589946 OOO589942:OOP589946 OYK589942:OYL589946 PIG589942:PIH589946 PSC589942:PSD589946 QBY589942:QBZ589946 QLU589942:QLV589946 QVQ589942:QVR589946 RFM589942:RFN589946 RPI589942:RPJ589946 RZE589942:RZF589946 SJA589942:SJB589946 SSW589942:SSX589946 TCS589942:TCT589946 TMO589942:TMP589946 TWK589942:TWL589946 UGG589942:UGH589946 UQC589942:UQD589946 UZY589942:UZZ589946 VJU589942:VJV589946 VTQ589942:VTR589946 WDM589942:WDN589946 WNI589942:WNJ589946 WXE589942:WXF589946 KS65697:KT65707 UO65697:UP65707 AEK65697:AEL65707 AOG65697:AOH65707 AYC65697:AYD65707 BHY65697:BHZ65707 BRU65697:BRV65707 CBQ65697:CBR65707 CLM65697:CLN65707 CVI65697:CVJ65707 DFE65697:DFF65707 DPA65697:DPB65707 DYW65697:DYX65707 EIS65697:EIT65707 ESO65697:ESP65707 FCK65697:FCL65707 FMG65697:FMH65707 FWC65697:FWD65707 GFY65697:GFZ65707 GPU65697:GPV65707 GZQ65697:GZR65707 HJM65697:HJN65707 HTI65697:HTJ65707 IDE65697:IDF65707 INA65697:INB65707 IWW65697:IWX65707 JGS65697:JGT65707 JQO65697:JQP65707 KAK65697:KAL65707 KKG65697:KKH65707 KUC65697:KUD65707 LDY65697:LDZ65707 LNU65697:LNV65707 LXQ65697:LXR65707 MHM65697:MHN65707 MRI65697:MRJ65707 NBE65697:NBF65707 NLA65697:NLB65707 NUW65697:NUX65707 OES65697:OET65707 OOO65697:OOP65707 OYK65697:OYL65707 PIG65697:PIH65707 PSC65697:PSD65707 QBY65697:QBZ65707 QLU65697:QLV65707 QVQ65697:QVR65707 RFM65697:RFN65707 RPI65697:RPJ65707 RZE65697:RZF65707 SJA65697:SJB65707 SSW65697:SSX65707 TCS65697:TCT65707 TMO65697:TMP65707 TWK65697:TWL65707 UGG65697:UGH65707 UQC65697:UQD65707 UZY65697:UZZ65707 VJU65697:VJV65707 VTQ65697:VTR65707 WDM65697:WDN65707 WNI65697:WNJ65707 WXE65697:WXF65707 KS131233:KT131243 UO131233:UP131243 AEK131233:AEL131243 AOG131233:AOH131243 AYC131233:AYD131243 BHY131233:BHZ131243 BRU131233:BRV131243 CBQ131233:CBR131243 CLM131233:CLN131243 CVI131233:CVJ131243 DFE131233:DFF131243 DPA131233:DPB131243 DYW131233:DYX131243 EIS131233:EIT131243 ESO131233:ESP131243 FCK131233:FCL131243 FMG131233:FMH131243 FWC131233:FWD131243 GFY131233:GFZ131243 GPU131233:GPV131243 GZQ131233:GZR131243 HJM131233:HJN131243 HTI131233:HTJ131243 IDE131233:IDF131243 INA131233:INB131243 IWW131233:IWX131243 JGS131233:JGT131243 JQO131233:JQP131243 KAK131233:KAL131243 KKG131233:KKH131243 KUC131233:KUD131243 LDY131233:LDZ131243 LNU131233:LNV131243 LXQ131233:LXR131243 MHM131233:MHN131243 MRI131233:MRJ131243 NBE131233:NBF131243 NLA131233:NLB131243 NUW131233:NUX131243 OES131233:OET131243 OOO131233:OOP131243 OYK131233:OYL131243 PIG131233:PIH131243 PSC131233:PSD131243 QBY131233:QBZ131243 QLU131233:QLV131243 QVQ131233:QVR131243 RFM131233:RFN131243 RPI131233:RPJ131243 RZE131233:RZF131243 SJA131233:SJB131243 SSW131233:SSX131243 TCS131233:TCT131243 TMO131233:TMP131243 TWK131233:TWL131243 UGG131233:UGH131243 UQC131233:UQD131243 UZY131233:UZZ131243 VJU131233:VJV131243 VTQ131233:VTR131243 WDM131233:WDN131243 WNI131233:WNJ131243 WXE131233:WXF131243 KS196769:KT196779 UO196769:UP196779 AEK196769:AEL196779 AOG196769:AOH196779 AYC196769:AYD196779 BHY196769:BHZ196779 BRU196769:BRV196779 CBQ196769:CBR196779 CLM196769:CLN196779 CVI196769:CVJ196779 DFE196769:DFF196779 DPA196769:DPB196779 DYW196769:DYX196779 EIS196769:EIT196779 ESO196769:ESP196779 FCK196769:FCL196779 FMG196769:FMH196779 FWC196769:FWD196779 GFY196769:GFZ196779 GPU196769:GPV196779 GZQ196769:GZR196779 HJM196769:HJN196779 HTI196769:HTJ196779 IDE196769:IDF196779 INA196769:INB196779 IWW196769:IWX196779 JGS196769:JGT196779 JQO196769:JQP196779 KAK196769:KAL196779 KKG196769:KKH196779 KUC196769:KUD196779 LDY196769:LDZ196779 LNU196769:LNV196779 LXQ196769:LXR196779 MHM196769:MHN196779 MRI196769:MRJ196779 NBE196769:NBF196779 NLA196769:NLB196779 NUW196769:NUX196779 OES196769:OET196779 OOO196769:OOP196779 OYK196769:OYL196779 PIG196769:PIH196779 PSC196769:PSD196779 QBY196769:QBZ196779 QLU196769:QLV196779 QVQ196769:QVR196779 RFM196769:RFN196779 RPI196769:RPJ196779 RZE196769:RZF196779 SJA196769:SJB196779 SSW196769:SSX196779 TCS196769:TCT196779 TMO196769:TMP196779 TWK196769:TWL196779 UGG196769:UGH196779 UQC196769:UQD196779 UZY196769:UZZ196779 VJU196769:VJV196779 VTQ196769:VTR196779 WDM196769:WDN196779 WNI196769:WNJ196779 WXE196769:WXF196779 KS262305:KT262315 UO262305:UP262315 AEK262305:AEL262315 AOG262305:AOH262315 AYC262305:AYD262315 BHY262305:BHZ262315 BRU262305:BRV262315 CBQ262305:CBR262315 CLM262305:CLN262315 CVI262305:CVJ262315 DFE262305:DFF262315 DPA262305:DPB262315 DYW262305:DYX262315 EIS262305:EIT262315 ESO262305:ESP262315 FCK262305:FCL262315 FMG262305:FMH262315 FWC262305:FWD262315 GFY262305:GFZ262315 GPU262305:GPV262315 GZQ262305:GZR262315 HJM262305:HJN262315 HTI262305:HTJ262315 IDE262305:IDF262315 INA262305:INB262315 IWW262305:IWX262315 JGS262305:JGT262315 JQO262305:JQP262315 KAK262305:KAL262315 KKG262305:KKH262315 KUC262305:KUD262315 LDY262305:LDZ262315 LNU262305:LNV262315 LXQ262305:LXR262315 MHM262305:MHN262315 MRI262305:MRJ262315 NBE262305:NBF262315 NLA262305:NLB262315 NUW262305:NUX262315 OES262305:OET262315 OOO262305:OOP262315 OYK262305:OYL262315 PIG262305:PIH262315 PSC262305:PSD262315 QBY262305:QBZ262315 QLU262305:QLV262315 QVQ262305:QVR262315 RFM262305:RFN262315 RPI262305:RPJ262315 RZE262305:RZF262315 SJA262305:SJB262315 SSW262305:SSX262315 TCS262305:TCT262315 TMO262305:TMP262315 TWK262305:TWL262315 UGG262305:UGH262315 UQC262305:UQD262315 UZY262305:UZZ262315 VJU262305:VJV262315 VTQ262305:VTR262315 WDM262305:WDN262315 WNI262305:WNJ262315 WXE262305:WXF262315 KS327841:KT327851 UO327841:UP327851 AEK327841:AEL327851 AOG327841:AOH327851 AYC327841:AYD327851 BHY327841:BHZ327851 BRU327841:BRV327851 CBQ327841:CBR327851 CLM327841:CLN327851 CVI327841:CVJ327851 DFE327841:DFF327851 DPA327841:DPB327851 DYW327841:DYX327851 EIS327841:EIT327851 ESO327841:ESP327851 FCK327841:FCL327851 FMG327841:FMH327851 FWC327841:FWD327851 GFY327841:GFZ327851 GPU327841:GPV327851 GZQ327841:GZR327851 HJM327841:HJN327851 HTI327841:HTJ327851 IDE327841:IDF327851 INA327841:INB327851 IWW327841:IWX327851 JGS327841:JGT327851 JQO327841:JQP327851 KAK327841:KAL327851 KKG327841:KKH327851 KUC327841:KUD327851 LDY327841:LDZ327851 LNU327841:LNV327851 LXQ327841:LXR327851 MHM327841:MHN327851 MRI327841:MRJ327851 NBE327841:NBF327851 NLA327841:NLB327851 NUW327841:NUX327851 OES327841:OET327851 OOO327841:OOP327851 OYK327841:OYL327851 PIG327841:PIH327851 PSC327841:PSD327851 QBY327841:QBZ327851 QLU327841:QLV327851 QVQ327841:QVR327851 RFM327841:RFN327851 RPI327841:RPJ327851 RZE327841:RZF327851 SJA327841:SJB327851 SSW327841:SSX327851 TCS327841:TCT327851 TMO327841:TMP327851 TWK327841:TWL327851 UGG327841:UGH327851 UQC327841:UQD327851 UZY327841:UZZ327851 VJU327841:VJV327851 VTQ327841:VTR327851 WDM327841:WDN327851 WNI327841:WNJ327851 WXE327841:WXF327851 KS393377:KT393387 UO393377:UP393387 AEK393377:AEL393387 AOG393377:AOH393387 AYC393377:AYD393387 BHY393377:BHZ393387 BRU393377:BRV393387 CBQ393377:CBR393387 CLM393377:CLN393387 CVI393377:CVJ393387 DFE393377:DFF393387 DPA393377:DPB393387 DYW393377:DYX393387 EIS393377:EIT393387 ESO393377:ESP393387 FCK393377:FCL393387 FMG393377:FMH393387 FWC393377:FWD393387 GFY393377:GFZ393387 GPU393377:GPV393387 GZQ393377:GZR393387 HJM393377:HJN393387 HTI393377:HTJ393387 IDE393377:IDF393387 INA393377:INB393387 IWW393377:IWX393387 JGS393377:JGT393387 JQO393377:JQP393387 KAK393377:KAL393387 KKG393377:KKH393387 KUC393377:KUD393387 LDY393377:LDZ393387 LNU393377:LNV393387 LXQ393377:LXR393387 MHM393377:MHN393387 MRI393377:MRJ393387 NBE393377:NBF393387 NLA393377:NLB393387 NUW393377:NUX393387 OES393377:OET393387 OOO393377:OOP393387 OYK393377:OYL393387 PIG393377:PIH393387 PSC393377:PSD393387 QBY393377:QBZ393387 QLU393377:QLV393387 QVQ393377:QVR393387 RFM393377:RFN393387 RPI393377:RPJ393387 RZE393377:RZF393387 SJA393377:SJB393387 SSW393377:SSX393387 TCS393377:TCT393387 TMO393377:TMP393387 TWK393377:TWL393387 UGG393377:UGH393387 UQC393377:UQD393387 UZY393377:UZZ393387 VJU393377:VJV393387 VTQ393377:VTR393387 WDM393377:WDN393387 WNI393377:WNJ393387 WXE393377:WXF393387 KS458913:KT458923 UO458913:UP458923 AEK458913:AEL458923 AOG458913:AOH458923 AYC458913:AYD458923 BHY458913:BHZ458923 BRU458913:BRV458923 CBQ458913:CBR458923 CLM458913:CLN458923 CVI458913:CVJ458923 DFE458913:DFF458923 DPA458913:DPB458923 DYW458913:DYX458923 EIS458913:EIT458923 ESO458913:ESP458923 FCK458913:FCL458923 FMG458913:FMH458923 FWC458913:FWD458923 GFY458913:GFZ458923 GPU458913:GPV458923 GZQ458913:GZR458923 HJM458913:HJN458923 HTI458913:HTJ458923 IDE458913:IDF458923 INA458913:INB458923 IWW458913:IWX458923 JGS458913:JGT458923 JQO458913:JQP458923 KAK458913:KAL458923 KKG458913:KKH458923 KUC458913:KUD458923 LDY458913:LDZ458923 LNU458913:LNV458923 LXQ458913:LXR458923 MHM458913:MHN458923 MRI458913:MRJ458923 NBE458913:NBF458923 NLA458913:NLB458923 NUW458913:NUX458923 OES458913:OET458923 OOO458913:OOP458923 OYK458913:OYL458923 PIG458913:PIH458923 PSC458913:PSD458923 QBY458913:QBZ458923 QLU458913:QLV458923 QVQ458913:QVR458923 RFM458913:RFN458923 RPI458913:RPJ458923 RZE458913:RZF458923 SJA458913:SJB458923 SSW458913:SSX458923 TCS458913:TCT458923 TMO458913:TMP458923 TWK458913:TWL458923 UGG458913:UGH458923 UQC458913:UQD458923 UZY458913:UZZ458923 VJU458913:VJV458923 VTQ458913:VTR458923 WDM458913:WDN458923 WNI458913:WNJ458923 WXE458913:WXF458923 KS524449:KT524459 UO524449:UP524459 AEK524449:AEL524459 AOG524449:AOH524459 AYC524449:AYD524459 BHY524449:BHZ524459 BRU524449:BRV524459 CBQ524449:CBR524459 CLM524449:CLN524459 CVI524449:CVJ524459 DFE524449:DFF524459 DPA524449:DPB524459 DYW524449:DYX524459 EIS524449:EIT524459 ESO524449:ESP524459 FCK524449:FCL524459 FMG524449:FMH524459 FWC524449:FWD524459 GFY524449:GFZ524459 GPU524449:GPV524459 GZQ524449:GZR524459 HJM524449:HJN524459 HTI524449:HTJ524459 IDE524449:IDF524459 INA524449:INB524459 IWW524449:IWX524459 JGS524449:JGT524459 JQO524449:JQP524459 KAK524449:KAL524459 KKG524449:KKH524459 KUC524449:KUD524459 LDY524449:LDZ524459 LNU524449:LNV524459 LXQ524449:LXR524459 MHM524449:MHN524459 MRI524449:MRJ524459 NBE524449:NBF524459 NLA524449:NLB524459 NUW524449:NUX524459 OES524449:OET524459 OOO524449:OOP524459 OYK524449:OYL524459 PIG524449:PIH524459 PSC524449:PSD524459 QBY524449:QBZ524459 QLU524449:QLV524459 QVQ524449:QVR524459 RFM524449:RFN524459 RPI524449:RPJ524459 RZE524449:RZF524459 SJA524449:SJB524459 SSW524449:SSX524459 TCS524449:TCT524459 TMO524449:TMP524459 TWK524449:TWL524459 UGG524449:UGH524459 UQC524449:UQD524459 UZY524449:UZZ524459 VJU524449:VJV524459 VTQ524449:VTR524459 WDM524449:WDN524459 WNI524449:WNJ524459 WXE524449:WXF524459 KS589985:KT589995 UO589985:UP589995 AEK589985:AEL589995 AOG589985:AOH589995 AYC589985:AYD589995 BHY589985:BHZ589995 BRU589985:BRV589995 CBQ589985:CBR589995 CLM589985:CLN589995 CVI589985:CVJ589995 DFE589985:DFF589995 DPA589985:DPB589995 DYW589985:DYX589995 EIS589985:EIT589995 ESO589985:ESP589995 FCK589985:FCL589995 FMG589985:FMH589995 FWC589985:FWD589995 GFY589985:GFZ589995 GPU589985:GPV589995 GZQ589985:GZR589995 HJM589985:HJN589995 HTI589985:HTJ589995 IDE589985:IDF589995 INA589985:INB589995 IWW589985:IWX589995 JGS589985:JGT589995 JQO589985:JQP589995 KAK589985:KAL589995 KKG589985:KKH589995 KUC589985:KUD589995 LDY589985:LDZ589995 LNU589985:LNV589995 LXQ589985:LXR589995 MHM589985:MHN589995 MRI589985:MRJ589995 NBE589985:NBF589995 NLA589985:NLB589995 NUW589985:NUX589995 OES589985:OET589995 OOO589985:OOP589995 OYK589985:OYL589995 PIG589985:PIH589995 PSC589985:PSD589995 QBY589985:QBZ589995 QLU589985:QLV589995 QVQ589985:QVR589995 RFM589985:RFN589995 RPI589985:RPJ589995 RZE589985:RZF589995 SJA589985:SJB589995 SSW589985:SSX589995 TCS589985:TCT589995 TMO589985:TMP589995 TWK589985:TWL589995 UGG589985:UGH589995 UQC589985:UQD589995 UZY589985:UZZ589995 VJU589985:VJV589995 VTQ589985:VTR589995 WDM589985:WDN589995 WNI589985:WNJ589995 WXE589985:WXF589995 KS655521:KT655531 UO655521:UP655531 AEK655521:AEL655531 AOG655521:AOH655531 AYC655521:AYD655531 BHY655521:BHZ655531 BRU655521:BRV655531 CBQ655521:CBR655531 CLM655521:CLN655531 CVI655521:CVJ655531 DFE655521:DFF655531 DPA655521:DPB655531 DYW655521:DYX655531 EIS655521:EIT655531 ESO655521:ESP655531 FCK655521:FCL655531 FMG655521:FMH655531 FWC655521:FWD655531 GFY655521:GFZ655531 GPU655521:GPV655531 GZQ655521:GZR655531 HJM655521:HJN655531 HTI655521:HTJ655531 IDE655521:IDF655531 INA655521:INB655531 IWW655521:IWX655531 JGS655521:JGT655531 JQO655521:JQP655531 KAK655521:KAL655531 KKG655521:KKH655531 KUC655521:KUD655531 LDY655521:LDZ655531 LNU655521:LNV655531 LXQ655521:LXR655531 MHM655521:MHN655531 MRI655521:MRJ655531 NBE655521:NBF655531 NLA655521:NLB655531 NUW655521:NUX655531 OES655521:OET655531 OOO655521:OOP655531 OYK655521:OYL655531 PIG655521:PIH655531 PSC655521:PSD655531 QBY655521:QBZ655531 QLU655521:QLV655531 QVQ655521:QVR655531 RFM655521:RFN655531 RPI655521:RPJ655531 RZE655521:RZF655531 SJA655521:SJB655531 SSW655521:SSX655531 TCS655521:TCT655531 TMO655521:TMP655531 TWK655521:TWL655531 UGG655521:UGH655531 UQC655521:UQD655531 UZY655521:UZZ655531 VJU655521:VJV655531 VTQ655521:VTR655531 WDM655521:WDN655531 WNI655521:WNJ655531 WXE655521:WXF655531 KS721057:KT721067 UO721057:UP721067 AEK721057:AEL721067 AOG721057:AOH721067 AYC721057:AYD721067 BHY721057:BHZ721067 BRU721057:BRV721067 CBQ721057:CBR721067 CLM721057:CLN721067 CVI721057:CVJ721067 DFE721057:DFF721067 DPA721057:DPB721067 DYW721057:DYX721067 EIS721057:EIT721067 ESO721057:ESP721067 FCK721057:FCL721067 FMG721057:FMH721067 FWC721057:FWD721067 GFY721057:GFZ721067 GPU721057:GPV721067 GZQ721057:GZR721067 HJM721057:HJN721067 HTI721057:HTJ721067 IDE721057:IDF721067 INA721057:INB721067 IWW721057:IWX721067 JGS721057:JGT721067 JQO721057:JQP721067 KAK721057:KAL721067 KKG721057:KKH721067 KUC721057:KUD721067 LDY721057:LDZ721067 LNU721057:LNV721067 LXQ721057:LXR721067 MHM721057:MHN721067 MRI721057:MRJ721067 NBE721057:NBF721067 NLA721057:NLB721067 NUW721057:NUX721067 OES721057:OET721067 OOO721057:OOP721067 OYK721057:OYL721067 PIG721057:PIH721067 PSC721057:PSD721067 QBY721057:QBZ721067 QLU721057:QLV721067 QVQ721057:QVR721067 RFM721057:RFN721067 RPI721057:RPJ721067 RZE721057:RZF721067 SJA721057:SJB721067 SSW721057:SSX721067 TCS721057:TCT721067 TMO721057:TMP721067 TWK721057:TWL721067 UGG721057:UGH721067 UQC721057:UQD721067 UZY721057:UZZ721067 VJU721057:VJV721067 VTQ721057:VTR721067 WDM721057:WDN721067 WNI721057:WNJ721067 WXE721057:WXF721067 KS786593:KT786603 UO786593:UP786603 AEK786593:AEL786603 AOG786593:AOH786603 AYC786593:AYD786603 BHY786593:BHZ786603 BRU786593:BRV786603 CBQ786593:CBR786603 CLM786593:CLN786603 CVI786593:CVJ786603 DFE786593:DFF786603 DPA786593:DPB786603 DYW786593:DYX786603 EIS786593:EIT786603 ESO786593:ESP786603 FCK786593:FCL786603 FMG786593:FMH786603 FWC786593:FWD786603 GFY786593:GFZ786603 GPU786593:GPV786603 GZQ786593:GZR786603 HJM786593:HJN786603 HTI786593:HTJ786603 IDE786593:IDF786603 INA786593:INB786603 IWW786593:IWX786603 JGS786593:JGT786603 JQO786593:JQP786603 KAK786593:KAL786603 KKG786593:KKH786603 KUC786593:KUD786603 LDY786593:LDZ786603 LNU786593:LNV786603 LXQ786593:LXR786603 MHM786593:MHN786603 MRI786593:MRJ786603 NBE786593:NBF786603 NLA786593:NLB786603 NUW786593:NUX786603 OES786593:OET786603 OOO786593:OOP786603 OYK786593:OYL786603 PIG786593:PIH786603 PSC786593:PSD786603 QBY786593:QBZ786603 QLU786593:QLV786603 QVQ786593:QVR786603 RFM786593:RFN786603 RPI786593:RPJ786603 RZE786593:RZF786603 SJA786593:SJB786603 SSW786593:SSX786603 TCS786593:TCT786603 TMO786593:TMP786603 TWK786593:TWL786603 UGG786593:UGH786603 UQC786593:UQD786603 UZY786593:UZZ786603 VJU786593:VJV786603 VTQ786593:VTR786603 WDM786593:WDN786603 WNI786593:WNJ786603 WXE786593:WXF786603 KS852129:KT852139 UO852129:UP852139 AEK852129:AEL852139 AOG852129:AOH852139 AYC852129:AYD852139 BHY852129:BHZ852139 BRU852129:BRV852139 CBQ852129:CBR852139 CLM852129:CLN852139 CVI852129:CVJ852139 DFE852129:DFF852139 DPA852129:DPB852139 DYW852129:DYX852139 EIS852129:EIT852139 ESO852129:ESP852139 FCK852129:FCL852139 FMG852129:FMH852139 FWC852129:FWD852139 GFY852129:GFZ852139 GPU852129:GPV852139 GZQ852129:GZR852139 HJM852129:HJN852139 HTI852129:HTJ852139 IDE852129:IDF852139 INA852129:INB852139 IWW852129:IWX852139 JGS852129:JGT852139 JQO852129:JQP852139 KAK852129:KAL852139 KKG852129:KKH852139 KUC852129:KUD852139 LDY852129:LDZ852139 LNU852129:LNV852139 LXQ852129:LXR852139 MHM852129:MHN852139 MRI852129:MRJ852139 NBE852129:NBF852139 NLA852129:NLB852139 NUW852129:NUX852139 OES852129:OET852139 OOO852129:OOP852139 OYK852129:OYL852139 PIG852129:PIH852139 PSC852129:PSD852139 QBY852129:QBZ852139 QLU852129:QLV852139 QVQ852129:QVR852139 RFM852129:RFN852139 RPI852129:RPJ852139 RZE852129:RZF852139 SJA852129:SJB852139 SSW852129:SSX852139 TCS852129:TCT852139 TMO852129:TMP852139 TWK852129:TWL852139 UGG852129:UGH852139 UQC852129:UQD852139 UZY852129:UZZ852139 VJU852129:VJV852139 VTQ852129:VTR852139 WDM852129:WDN852139 WNI852129:WNJ852139 WXE852129:WXF852139 KS917665:KT917675 UO917665:UP917675 AEK917665:AEL917675 AOG917665:AOH917675 AYC917665:AYD917675 BHY917665:BHZ917675 BRU917665:BRV917675 CBQ917665:CBR917675 CLM917665:CLN917675 CVI917665:CVJ917675 DFE917665:DFF917675 DPA917665:DPB917675 DYW917665:DYX917675 EIS917665:EIT917675 ESO917665:ESP917675 FCK917665:FCL917675 FMG917665:FMH917675 FWC917665:FWD917675 GFY917665:GFZ917675 GPU917665:GPV917675 GZQ917665:GZR917675 HJM917665:HJN917675 HTI917665:HTJ917675 IDE917665:IDF917675 INA917665:INB917675 IWW917665:IWX917675 JGS917665:JGT917675 JQO917665:JQP917675 KAK917665:KAL917675 KKG917665:KKH917675 KUC917665:KUD917675 LDY917665:LDZ917675 LNU917665:LNV917675 LXQ917665:LXR917675 MHM917665:MHN917675 MRI917665:MRJ917675 NBE917665:NBF917675 NLA917665:NLB917675 NUW917665:NUX917675 OES917665:OET917675 OOO917665:OOP917675 OYK917665:OYL917675 PIG917665:PIH917675 PSC917665:PSD917675 QBY917665:QBZ917675 QLU917665:QLV917675 QVQ917665:QVR917675 RFM917665:RFN917675 RPI917665:RPJ917675 RZE917665:RZF917675 SJA917665:SJB917675 SSW917665:SSX917675 TCS917665:TCT917675 TMO917665:TMP917675 TWK917665:TWL917675 UGG917665:UGH917675 UQC917665:UQD917675 UZY917665:UZZ917675 VJU917665:VJV917675 VTQ917665:VTR917675 WDM917665:WDN917675 WNI917665:WNJ917675 WXE917665:WXF917675 KS983201:KT983211 UO983201:UP983211 AEK983201:AEL983211 AOG983201:AOH983211 AYC983201:AYD983211 BHY983201:BHZ983211 BRU983201:BRV983211 CBQ983201:CBR983211 CLM983201:CLN983211 CVI983201:CVJ983211 DFE983201:DFF983211 DPA983201:DPB983211 DYW983201:DYX983211 EIS983201:EIT983211 ESO983201:ESP983211 FCK983201:FCL983211 FMG983201:FMH983211 FWC983201:FWD983211 GFY983201:GFZ983211 GPU983201:GPV983211 GZQ983201:GZR983211 HJM983201:HJN983211 HTI983201:HTJ983211 IDE983201:IDF983211 INA983201:INB983211 IWW983201:IWX983211 JGS983201:JGT983211 JQO983201:JQP983211 KAK983201:KAL983211 KKG983201:KKH983211 KUC983201:KUD983211 LDY983201:LDZ983211 LNU983201:LNV983211 LXQ983201:LXR983211 MHM983201:MHN983211 MRI983201:MRJ983211 NBE983201:NBF983211 NLA983201:NLB983211 NUW983201:NUX983211 OES983201:OET983211 OOO983201:OOP983211 OYK983201:OYL983211 PIG983201:PIH983211 PSC983201:PSD983211 QBY983201:QBZ983211 QLU983201:QLV983211 QVQ983201:QVR983211 RFM983201:RFN983211 RPI983201:RPJ983211 RZE983201:RZF983211 SJA983201:SJB983211 SSW983201:SSX983211 TCS983201:TCT983211 TMO983201:TMP983211 TWK983201:TWL983211 UGG983201:UGH983211 UQC983201:UQD983211 UZY983201:UZZ983211 VJU983201:VJV983211 VTQ983201:VTR983211 WDM983201:WDN983211 WNI983201:WNJ983211 WXE983201:WXF983211 KS655478:KT655482 UO655478:UP655482 AEK655478:AEL655482 AOG655478:AOH655482 AYC655478:AYD655482 BHY655478:BHZ655482 BRU655478:BRV655482 CBQ655478:CBR655482 CLM655478:CLN655482 CVI655478:CVJ655482 DFE655478:DFF655482 DPA655478:DPB655482 DYW655478:DYX655482 EIS655478:EIT655482 ESO655478:ESP655482 FCK655478:FCL655482 FMG655478:FMH655482 FWC655478:FWD655482 GFY655478:GFZ655482 GPU655478:GPV655482 GZQ655478:GZR655482 HJM655478:HJN655482 HTI655478:HTJ655482 IDE655478:IDF655482 INA655478:INB655482 IWW655478:IWX655482 JGS655478:JGT655482 JQO655478:JQP655482 KAK655478:KAL655482 KKG655478:KKH655482 KUC655478:KUD655482 LDY655478:LDZ655482 LNU655478:LNV655482 LXQ655478:LXR655482 MHM655478:MHN655482 MRI655478:MRJ655482 NBE655478:NBF655482 NLA655478:NLB655482 NUW655478:NUX655482 OES655478:OET655482 OOO655478:OOP655482 OYK655478:OYL655482 PIG655478:PIH655482 PSC655478:PSD655482 QBY655478:QBZ655482 QLU655478:QLV655482 QVQ655478:QVR655482 RFM655478:RFN655482 RPI655478:RPJ655482 RZE655478:RZF655482 SJA655478:SJB655482 SSW655478:SSX655482 TCS655478:TCT655482 TMO655478:TMP655482 TWK655478:TWL655482 UGG655478:UGH655482 UQC655478:UQD655482 UZY655478:UZZ655482 VJU655478:VJV655482 VTQ655478:VTR655482 WDM655478:WDN655482 WNI655478:WNJ655482 WXE655478:WXF655482 KS65492:KT65623 UO65492:UP65623 AEK65492:AEL65623 AOG65492:AOH65623 AYC65492:AYD65623 BHY65492:BHZ65623 BRU65492:BRV65623 CBQ65492:CBR65623 CLM65492:CLN65623 CVI65492:CVJ65623 DFE65492:DFF65623 DPA65492:DPB65623 DYW65492:DYX65623 EIS65492:EIT65623 ESO65492:ESP65623 FCK65492:FCL65623 FMG65492:FMH65623 FWC65492:FWD65623 GFY65492:GFZ65623 GPU65492:GPV65623 GZQ65492:GZR65623 HJM65492:HJN65623 HTI65492:HTJ65623 IDE65492:IDF65623 INA65492:INB65623 IWW65492:IWX65623 JGS65492:JGT65623 JQO65492:JQP65623 KAK65492:KAL65623 KKG65492:KKH65623 KUC65492:KUD65623 LDY65492:LDZ65623 LNU65492:LNV65623 LXQ65492:LXR65623 MHM65492:MHN65623 MRI65492:MRJ65623 NBE65492:NBF65623 NLA65492:NLB65623 NUW65492:NUX65623 OES65492:OET65623 OOO65492:OOP65623 OYK65492:OYL65623 PIG65492:PIH65623 PSC65492:PSD65623 QBY65492:QBZ65623 QLU65492:QLV65623 QVQ65492:QVR65623 RFM65492:RFN65623 RPI65492:RPJ65623 RZE65492:RZF65623 SJA65492:SJB65623 SSW65492:SSX65623 TCS65492:TCT65623 TMO65492:TMP65623 TWK65492:TWL65623 UGG65492:UGH65623 UQC65492:UQD65623 UZY65492:UZZ65623 VJU65492:VJV65623 VTQ65492:VTR65623 WDM65492:WDN65623 WNI65492:WNJ65623 WXE65492:WXF65623 KS131028:KT131159 UO131028:UP131159 AEK131028:AEL131159 AOG131028:AOH131159 AYC131028:AYD131159 BHY131028:BHZ131159 BRU131028:BRV131159 CBQ131028:CBR131159 CLM131028:CLN131159 CVI131028:CVJ131159 DFE131028:DFF131159 DPA131028:DPB131159 DYW131028:DYX131159 EIS131028:EIT131159 ESO131028:ESP131159 FCK131028:FCL131159 FMG131028:FMH131159 FWC131028:FWD131159 GFY131028:GFZ131159 GPU131028:GPV131159 GZQ131028:GZR131159 HJM131028:HJN131159 HTI131028:HTJ131159 IDE131028:IDF131159 INA131028:INB131159 IWW131028:IWX131159 JGS131028:JGT131159 JQO131028:JQP131159 KAK131028:KAL131159 KKG131028:KKH131159 KUC131028:KUD131159 LDY131028:LDZ131159 LNU131028:LNV131159 LXQ131028:LXR131159 MHM131028:MHN131159 MRI131028:MRJ131159 NBE131028:NBF131159 NLA131028:NLB131159 NUW131028:NUX131159 OES131028:OET131159 OOO131028:OOP131159 OYK131028:OYL131159 PIG131028:PIH131159 PSC131028:PSD131159 QBY131028:QBZ131159 QLU131028:QLV131159 QVQ131028:QVR131159 RFM131028:RFN131159 RPI131028:RPJ131159 RZE131028:RZF131159 SJA131028:SJB131159 SSW131028:SSX131159 TCS131028:TCT131159 TMO131028:TMP131159 TWK131028:TWL131159 UGG131028:UGH131159 UQC131028:UQD131159 UZY131028:UZZ131159 VJU131028:VJV131159 VTQ131028:VTR131159 WDM131028:WDN131159 WNI131028:WNJ131159 WXE131028:WXF131159 KS196564:KT196695 UO196564:UP196695 AEK196564:AEL196695 AOG196564:AOH196695 AYC196564:AYD196695 BHY196564:BHZ196695 BRU196564:BRV196695 CBQ196564:CBR196695 CLM196564:CLN196695 CVI196564:CVJ196695 DFE196564:DFF196695 DPA196564:DPB196695 DYW196564:DYX196695 EIS196564:EIT196695 ESO196564:ESP196695 FCK196564:FCL196695 FMG196564:FMH196695 FWC196564:FWD196695 GFY196564:GFZ196695 GPU196564:GPV196695 GZQ196564:GZR196695 HJM196564:HJN196695 HTI196564:HTJ196695 IDE196564:IDF196695 INA196564:INB196695 IWW196564:IWX196695 JGS196564:JGT196695 JQO196564:JQP196695 KAK196564:KAL196695 KKG196564:KKH196695 KUC196564:KUD196695 LDY196564:LDZ196695 LNU196564:LNV196695 LXQ196564:LXR196695 MHM196564:MHN196695 MRI196564:MRJ196695 NBE196564:NBF196695 NLA196564:NLB196695 NUW196564:NUX196695 OES196564:OET196695 OOO196564:OOP196695 OYK196564:OYL196695 PIG196564:PIH196695 PSC196564:PSD196695 QBY196564:QBZ196695 QLU196564:QLV196695 QVQ196564:QVR196695 RFM196564:RFN196695 RPI196564:RPJ196695 RZE196564:RZF196695 SJA196564:SJB196695 SSW196564:SSX196695 TCS196564:TCT196695 TMO196564:TMP196695 TWK196564:TWL196695 UGG196564:UGH196695 UQC196564:UQD196695 UZY196564:UZZ196695 VJU196564:VJV196695 VTQ196564:VTR196695 WDM196564:WDN196695 WNI196564:WNJ196695 WXE196564:WXF196695 KS262100:KT262231 UO262100:UP262231 AEK262100:AEL262231 AOG262100:AOH262231 AYC262100:AYD262231 BHY262100:BHZ262231 BRU262100:BRV262231 CBQ262100:CBR262231 CLM262100:CLN262231 CVI262100:CVJ262231 DFE262100:DFF262231 DPA262100:DPB262231 DYW262100:DYX262231 EIS262100:EIT262231 ESO262100:ESP262231 FCK262100:FCL262231 FMG262100:FMH262231 FWC262100:FWD262231 GFY262100:GFZ262231 GPU262100:GPV262231 GZQ262100:GZR262231 HJM262100:HJN262231 HTI262100:HTJ262231 IDE262100:IDF262231 INA262100:INB262231 IWW262100:IWX262231 JGS262100:JGT262231 JQO262100:JQP262231 KAK262100:KAL262231 KKG262100:KKH262231 KUC262100:KUD262231 LDY262100:LDZ262231 LNU262100:LNV262231 LXQ262100:LXR262231 MHM262100:MHN262231 MRI262100:MRJ262231 NBE262100:NBF262231 NLA262100:NLB262231 NUW262100:NUX262231 OES262100:OET262231 OOO262100:OOP262231 OYK262100:OYL262231 PIG262100:PIH262231 PSC262100:PSD262231 QBY262100:QBZ262231 QLU262100:QLV262231 QVQ262100:QVR262231 RFM262100:RFN262231 RPI262100:RPJ262231 RZE262100:RZF262231 SJA262100:SJB262231 SSW262100:SSX262231 TCS262100:TCT262231 TMO262100:TMP262231 TWK262100:TWL262231 UGG262100:UGH262231 UQC262100:UQD262231 UZY262100:UZZ262231 VJU262100:VJV262231 VTQ262100:VTR262231 WDM262100:WDN262231 WNI262100:WNJ262231 WXE262100:WXF262231 KS327636:KT327767 UO327636:UP327767 AEK327636:AEL327767 AOG327636:AOH327767 AYC327636:AYD327767 BHY327636:BHZ327767 BRU327636:BRV327767 CBQ327636:CBR327767 CLM327636:CLN327767 CVI327636:CVJ327767 DFE327636:DFF327767 DPA327636:DPB327767 DYW327636:DYX327767 EIS327636:EIT327767 ESO327636:ESP327767 FCK327636:FCL327767 FMG327636:FMH327767 FWC327636:FWD327767 GFY327636:GFZ327767 GPU327636:GPV327767 GZQ327636:GZR327767 HJM327636:HJN327767 HTI327636:HTJ327767 IDE327636:IDF327767 INA327636:INB327767 IWW327636:IWX327767 JGS327636:JGT327767 JQO327636:JQP327767 KAK327636:KAL327767 KKG327636:KKH327767 KUC327636:KUD327767 LDY327636:LDZ327767 LNU327636:LNV327767 LXQ327636:LXR327767 MHM327636:MHN327767 MRI327636:MRJ327767 NBE327636:NBF327767 NLA327636:NLB327767 NUW327636:NUX327767 OES327636:OET327767 OOO327636:OOP327767 OYK327636:OYL327767 PIG327636:PIH327767 PSC327636:PSD327767 QBY327636:QBZ327767 QLU327636:QLV327767 QVQ327636:QVR327767 RFM327636:RFN327767 RPI327636:RPJ327767 RZE327636:RZF327767 SJA327636:SJB327767 SSW327636:SSX327767 TCS327636:TCT327767 TMO327636:TMP327767 TWK327636:TWL327767 UGG327636:UGH327767 UQC327636:UQD327767 UZY327636:UZZ327767 VJU327636:VJV327767 VTQ327636:VTR327767 WDM327636:WDN327767 WNI327636:WNJ327767 WXE327636:WXF327767 KS393172:KT393303 UO393172:UP393303 AEK393172:AEL393303 AOG393172:AOH393303 AYC393172:AYD393303 BHY393172:BHZ393303 BRU393172:BRV393303 CBQ393172:CBR393303 CLM393172:CLN393303 CVI393172:CVJ393303 DFE393172:DFF393303 DPA393172:DPB393303 DYW393172:DYX393303 EIS393172:EIT393303 ESO393172:ESP393303 FCK393172:FCL393303 FMG393172:FMH393303 FWC393172:FWD393303 GFY393172:GFZ393303 GPU393172:GPV393303 GZQ393172:GZR393303 HJM393172:HJN393303 HTI393172:HTJ393303 IDE393172:IDF393303 INA393172:INB393303 IWW393172:IWX393303 JGS393172:JGT393303 JQO393172:JQP393303 KAK393172:KAL393303 KKG393172:KKH393303 KUC393172:KUD393303 LDY393172:LDZ393303 LNU393172:LNV393303 LXQ393172:LXR393303 MHM393172:MHN393303 MRI393172:MRJ393303 NBE393172:NBF393303 NLA393172:NLB393303 NUW393172:NUX393303 OES393172:OET393303 OOO393172:OOP393303 OYK393172:OYL393303 PIG393172:PIH393303 PSC393172:PSD393303 QBY393172:QBZ393303 QLU393172:QLV393303 QVQ393172:QVR393303 RFM393172:RFN393303 RPI393172:RPJ393303 RZE393172:RZF393303 SJA393172:SJB393303 SSW393172:SSX393303 TCS393172:TCT393303 TMO393172:TMP393303 TWK393172:TWL393303 UGG393172:UGH393303 UQC393172:UQD393303 UZY393172:UZZ393303 VJU393172:VJV393303 VTQ393172:VTR393303 WDM393172:WDN393303 WNI393172:WNJ393303 WXE393172:WXF393303 KS458708:KT458839 UO458708:UP458839 AEK458708:AEL458839 AOG458708:AOH458839 AYC458708:AYD458839 BHY458708:BHZ458839 BRU458708:BRV458839 CBQ458708:CBR458839 CLM458708:CLN458839 CVI458708:CVJ458839 DFE458708:DFF458839 DPA458708:DPB458839 DYW458708:DYX458839 EIS458708:EIT458839 ESO458708:ESP458839 FCK458708:FCL458839 FMG458708:FMH458839 FWC458708:FWD458839 GFY458708:GFZ458839 GPU458708:GPV458839 GZQ458708:GZR458839 HJM458708:HJN458839 HTI458708:HTJ458839 IDE458708:IDF458839 INA458708:INB458839 IWW458708:IWX458839 JGS458708:JGT458839 JQO458708:JQP458839 KAK458708:KAL458839 KKG458708:KKH458839 KUC458708:KUD458839 LDY458708:LDZ458839 LNU458708:LNV458839 LXQ458708:LXR458839 MHM458708:MHN458839 MRI458708:MRJ458839 NBE458708:NBF458839 NLA458708:NLB458839 NUW458708:NUX458839 OES458708:OET458839 OOO458708:OOP458839 OYK458708:OYL458839 PIG458708:PIH458839 PSC458708:PSD458839 QBY458708:QBZ458839 QLU458708:QLV458839 QVQ458708:QVR458839 RFM458708:RFN458839 RPI458708:RPJ458839 RZE458708:RZF458839 SJA458708:SJB458839 SSW458708:SSX458839 TCS458708:TCT458839 TMO458708:TMP458839 TWK458708:TWL458839 UGG458708:UGH458839 UQC458708:UQD458839 UZY458708:UZZ458839 VJU458708:VJV458839 VTQ458708:VTR458839 WDM458708:WDN458839 WNI458708:WNJ458839 WXE458708:WXF458839 KS524244:KT524375 UO524244:UP524375 AEK524244:AEL524375 AOG524244:AOH524375 AYC524244:AYD524375 BHY524244:BHZ524375 BRU524244:BRV524375 CBQ524244:CBR524375 CLM524244:CLN524375 CVI524244:CVJ524375 DFE524244:DFF524375 DPA524244:DPB524375 DYW524244:DYX524375 EIS524244:EIT524375 ESO524244:ESP524375 FCK524244:FCL524375 FMG524244:FMH524375 FWC524244:FWD524375 GFY524244:GFZ524375 GPU524244:GPV524375 GZQ524244:GZR524375 HJM524244:HJN524375 HTI524244:HTJ524375 IDE524244:IDF524375 INA524244:INB524375 IWW524244:IWX524375 JGS524244:JGT524375 JQO524244:JQP524375 KAK524244:KAL524375 KKG524244:KKH524375 KUC524244:KUD524375 LDY524244:LDZ524375 LNU524244:LNV524375 LXQ524244:LXR524375 MHM524244:MHN524375 MRI524244:MRJ524375 NBE524244:NBF524375 NLA524244:NLB524375 NUW524244:NUX524375 OES524244:OET524375 OOO524244:OOP524375 OYK524244:OYL524375 PIG524244:PIH524375 PSC524244:PSD524375 QBY524244:QBZ524375 QLU524244:QLV524375 QVQ524244:QVR524375 RFM524244:RFN524375 RPI524244:RPJ524375 RZE524244:RZF524375 SJA524244:SJB524375 SSW524244:SSX524375 TCS524244:TCT524375 TMO524244:TMP524375 TWK524244:TWL524375 UGG524244:UGH524375 UQC524244:UQD524375 UZY524244:UZZ524375 VJU524244:VJV524375 VTQ524244:VTR524375 WDM524244:WDN524375 WNI524244:WNJ524375 WXE524244:WXF524375 KS589780:KT589911 UO589780:UP589911 AEK589780:AEL589911 AOG589780:AOH589911 AYC589780:AYD589911 BHY589780:BHZ589911 BRU589780:BRV589911 CBQ589780:CBR589911 CLM589780:CLN589911 CVI589780:CVJ589911 DFE589780:DFF589911 DPA589780:DPB589911 DYW589780:DYX589911 EIS589780:EIT589911 ESO589780:ESP589911 FCK589780:FCL589911 FMG589780:FMH589911 FWC589780:FWD589911 GFY589780:GFZ589911 GPU589780:GPV589911 GZQ589780:GZR589911 HJM589780:HJN589911 HTI589780:HTJ589911 IDE589780:IDF589911 INA589780:INB589911 IWW589780:IWX589911 JGS589780:JGT589911 JQO589780:JQP589911 KAK589780:KAL589911 KKG589780:KKH589911 KUC589780:KUD589911 LDY589780:LDZ589911 LNU589780:LNV589911 LXQ589780:LXR589911 MHM589780:MHN589911 MRI589780:MRJ589911 NBE589780:NBF589911 NLA589780:NLB589911 NUW589780:NUX589911 OES589780:OET589911 OOO589780:OOP589911 OYK589780:OYL589911 PIG589780:PIH589911 PSC589780:PSD589911 QBY589780:QBZ589911 QLU589780:QLV589911 QVQ589780:QVR589911 RFM589780:RFN589911 RPI589780:RPJ589911 RZE589780:RZF589911 SJA589780:SJB589911 SSW589780:SSX589911 TCS589780:TCT589911 TMO589780:TMP589911 TWK589780:TWL589911 UGG589780:UGH589911 UQC589780:UQD589911 UZY589780:UZZ589911 VJU589780:VJV589911 VTQ589780:VTR589911 WDM589780:WDN589911 WNI589780:WNJ589911 WXE589780:WXF589911 KS655316:KT655447 UO655316:UP655447 AEK655316:AEL655447 AOG655316:AOH655447 AYC655316:AYD655447 BHY655316:BHZ655447 BRU655316:BRV655447 CBQ655316:CBR655447 CLM655316:CLN655447 CVI655316:CVJ655447 DFE655316:DFF655447 DPA655316:DPB655447 DYW655316:DYX655447 EIS655316:EIT655447 ESO655316:ESP655447 FCK655316:FCL655447 FMG655316:FMH655447 FWC655316:FWD655447 GFY655316:GFZ655447 GPU655316:GPV655447 GZQ655316:GZR655447 HJM655316:HJN655447 HTI655316:HTJ655447 IDE655316:IDF655447 INA655316:INB655447 IWW655316:IWX655447 JGS655316:JGT655447 JQO655316:JQP655447 KAK655316:KAL655447 KKG655316:KKH655447 KUC655316:KUD655447 LDY655316:LDZ655447 LNU655316:LNV655447 LXQ655316:LXR655447 MHM655316:MHN655447 MRI655316:MRJ655447 NBE655316:NBF655447 NLA655316:NLB655447 NUW655316:NUX655447 OES655316:OET655447 OOO655316:OOP655447 OYK655316:OYL655447 PIG655316:PIH655447 PSC655316:PSD655447 QBY655316:QBZ655447 QLU655316:QLV655447 QVQ655316:QVR655447 RFM655316:RFN655447 RPI655316:RPJ655447 RZE655316:RZF655447 SJA655316:SJB655447 SSW655316:SSX655447 TCS655316:TCT655447 TMO655316:TMP655447 TWK655316:TWL655447 UGG655316:UGH655447 UQC655316:UQD655447 UZY655316:UZZ655447 VJU655316:VJV655447 VTQ655316:VTR655447 WDM655316:WDN655447 WNI655316:WNJ655447 WXE655316:WXF655447 KS720852:KT720983 UO720852:UP720983 AEK720852:AEL720983 AOG720852:AOH720983 AYC720852:AYD720983 BHY720852:BHZ720983 BRU720852:BRV720983 CBQ720852:CBR720983 CLM720852:CLN720983 CVI720852:CVJ720983 DFE720852:DFF720983 DPA720852:DPB720983 DYW720852:DYX720983 EIS720852:EIT720983 ESO720852:ESP720983 FCK720852:FCL720983 FMG720852:FMH720983 FWC720852:FWD720983 GFY720852:GFZ720983 GPU720852:GPV720983 GZQ720852:GZR720983 HJM720852:HJN720983 HTI720852:HTJ720983 IDE720852:IDF720983 INA720852:INB720983 IWW720852:IWX720983 JGS720852:JGT720983 JQO720852:JQP720983 KAK720852:KAL720983 KKG720852:KKH720983 KUC720852:KUD720983 LDY720852:LDZ720983 LNU720852:LNV720983 LXQ720852:LXR720983 MHM720852:MHN720983 MRI720852:MRJ720983 NBE720852:NBF720983 NLA720852:NLB720983 NUW720852:NUX720983 OES720852:OET720983 OOO720852:OOP720983 OYK720852:OYL720983 PIG720852:PIH720983 PSC720852:PSD720983 QBY720852:QBZ720983 QLU720852:QLV720983 QVQ720852:QVR720983 RFM720852:RFN720983 RPI720852:RPJ720983 RZE720852:RZF720983 SJA720852:SJB720983 SSW720852:SSX720983 TCS720852:TCT720983 TMO720852:TMP720983 TWK720852:TWL720983 UGG720852:UGH720983 UQC720852:UQD720983 UZY720852:UZZ720983 VJU720852:VJV720983 VTQ720852:VTR720983 WDM720852:WDN720983 WNI720852:WNJ720983 WXE720852:WXF720983 KS786388:KT786519 UO786388:UP786519 AEK786388:AEL786519 AOG786388:AOH786519 AYC786388:AYD786519 BHY786388:BHZ786519 BRU786388:BRV786519 CBQ786388:CBR786519 CLM786388:CLN786519 CVI786388:CVJ786519 DFE786388:DFF786519 DPA786388:DPB786519 DYW786388:DYX786519 EIS786388:EIT786519 ESO786388:ESP786519 FCK786388:FCL786519 FMG786388:FMH786519 FWC786388:FWD786519 GFY786388:GFZ786519 GPU786388:GPV786519 GZQ786388:GZR786519 HJM786388:HJN786519 HTI786388:HTJ786519 IDE786388:IDF786519 INA786388:INB786519 IWW786388:IWX786519 JGS786388:JGT786519 JQO786388:JQP786519 KAK786388:KAL786519 KKG786388:KKH786519 KUC786388:KUD786519 LDY786388:LDZ786519 LNU786388:LNV786519 LXQ786388:LXR786519 MHM786388:MHN786519 MRI786388:MRJ786519 NBE786388:NBF786519 NLA786388:NLB786519 NUW786388:NUX786519 OES786388:OET786519 OOO786388:OOP786519 OYK786388:OYL786519 PIG786388:PIH786519 PSC786388:PSD786519 QBY786388:QBZ786519 QLU786388:QLV786519 QVQ786388:QVR786519 RFM786388:RFN786519 RPI786388:RPJ786519 RZE786388:RZF786519 SJA786388:SJB786519 SSW786388:SSX786519 TCS786388:TCT786519 TMO786388:TMP786519 TWK786388:TWL786519 UGG786388:UGH786519 UQC786388:UQD786519 UZY786388:UZZ786519 VJU786388:VJV786519 VTQ786388:VTR786519 WDM786388:WDN786519 WNI786388:WNJ786519 WXE786388:WXF786519 KS851924:KT852055 UO851924:UP852055 AEK851924:AEL852055 AOG851924:AOH852055 AYC851924:AYD852055 BHY851924:BHZ852055 BRU851924:BRV852055 CBQ851924:CBR852055 CLM851924:CLN852055 CVI851924:CVJ852055 DFE851924:DFF852055 DPA851924:DPB852055 DYW851924:DYX852055 EIS851924:EIT852055 ESO851924:ESP852055 FCK851924:FCL852055 FMG851924:FMH852055 FWC851924:FWD852055 GFY851924:GFZ852055 GPU851924:GPV852055 GZQ851924:GZR852055 HJM851924:HJN852055 HTI851924:HTJ852055 IDE851924:IDF852055 INA851924:INB852055 IWW851924:IWX852055 JGS851924:JGT852055 JQO851924:JQP852055 KAK851924:KAL852055 KKG851924:KKH852055 KUC851924:KUD852055 LDY851924:LDZ852055 LNU851924:LNV852055 LXQ851924:LXR852055 MHM851924:MHN852055 MRI851924:MRJ852055 NBE851924:NBF852055 NLA851924:NLB852055 NUW851924:NUX852055 OES851924:OET852055 OOO851924:OOP852055 OYK851924:OYL852055 PIG851924:PIH852055 PSC851924:PSD852055 QBY851924:QBZ852055 QLU851924:QLV852055 QVQ851924:QVR852055 RFM851924:RFN852055 RPI851924:RPJ852055 RZE851924:RZF852055 SJA851924:SJB852055 SSW851924:SSX852055 TCS851924:TCT852055 TMO851924:TMP852055 TWK851924:TWL852055 UGG851924:UGH852055 UQC851924:UQD852055 UZY851924:UZZ852055 VJU851924:VJV852055 VTQ851924:VTR852055 WDM851924:WDN852055 WNI851924:WNJ852055 WXE851924:WXF852055 KS917460:KT917591 UO917460:UP917591 AEK917460:AEL917591 AOG917460:AOH917591 AYC917460:AYD917591 BHY917460:BHZ917591 BRU917460:BRV917591 CBQ917460:CBR917591 CLM917460:CLN917591 CVI917460:CVJ917591 DFE917460:DFF917591 DPA917460:DPB917591 DYW917460:DYX917591 EIS917460:EIT917591 ESO917460:ESP917591 FCK917460:FCL917591 FMG917460:FMH917591 FWC917460:FWD917591 GFY917460:GFZ917591 GPU917460:GPV917591 GZQ917460:GZR917591 HJM917460:HJN917591 HTI917460:HTJ917591 IDE917460:IDF917591 INA917460:INB917591 IWW917460:IWX917591 JGS917460:JGT917591 JQO917460:JQP917591 KAK917460:KAL917591 KKG917460:KKH917591 KUC917460:KUD917591 LDY917460:LDZ917591 LNU917460:LNV917591 LXQ917460:LXR917591 MHM917460:MHN917591 MRI917460:MRJ917591 NBE917460:NBF917591 NLA917460:NLB917591 NUW917460:NUX917591 OES917460:OET917591 OOO917460:OOP917591 OYK917460:OYL917591 PIG917460:PIH917591 PSC917460:PSD917591 QBY917460:QBZ917591 QLU917460:QLV917591 QVQ917460:QVR917591 RFM917460:RFN917591 RPI917460:RPJ917591 RZE917460:RZF917591 SJA917460:SJB917591 SSW917460:SSX917591 TCS917460:TCT917591 TMO917460:TMP917591 TWK917460:TWL917591 UGG917460:UGH917591 UQC917460:UQD917591 UZY917460:UZZ917591 VJU917460:VJV917591 VTQ917460:VTR917591 WDM917460:WDN917591 WNI917460:WNJ917591 WXE917460:WXF917591 KS982996:KT983127 UO982996:UP983127 AEK982996:AEL983127 AOG982996:AOH983127 AYC982996:AYD983127 BHY982996:BHZ983127 BRU982996:BRV983127 CBQ982996:CBR983127 CLM982996:CLN983127 CVI982996:CVJ983127 DFE982996:DFF983127 DPA982996:DPB983127 DYW982996:DYX983127 EIS982996:EIT983127 ESO982996:ESP983127 FCK982996:FCL983127 FMG982996:FMH983127 FWC982996:FWD983127 GFY982996:GFZ983127 GPU982996:GPV983127 GZQ982996:GZR983127 HJM982996:HJN983127 HTI982996:HTJ983127 IDE982996:IDF983127 INA982996:INB983127 IWW982996:IWX983127 JGS982996:JGT983127 JQO982996:JQP983127 KAK982996:KAL983127 KKG982996:KKH983127 KUC982996:KUD983127 LDY982996:LDZ983127 LNU982996:LNV983127 LXQ982996:LXR983127 MHM982996:MHN983127 MRI982996:MRJ983127 NBE982996:NBF983127 NLA982996:NLB983127 NUW982996:NUX983127 OES982996:OET983127 OOO982996:OOP983127 OYK982996:OYL983127 PIG982996:PIH983127 PSC982996:PSD983127 QBY982996:QBZ983127 QLU982996:QLV983127 QVQ982996:QVR983127 RFM982996:RFN983127 RPI982996:RPJ983127 RZE982996:RZF983127 SJA982996:SJB983127 SSW982996:SSX983127 TCS982996:TCT983127 TMO982996:TMP983127 TWK982996:TWL983127 UGG982996:UGH983127 UQC982996:UQD983127 UZY982996:UZZ983127 VJU982996:VJV983127 VTQ982996:VTR983127 WDM982996:WDN983127 WNI982996:WNJ983127 WXE982996:WXF983127 KS721014:KT721018 UO721014:UP721018 AEK721014:AEL721018 AOG721014:AOH721018 AYC721014:AYD721018 BHY721014:BHZ721018 BRU721014:BRV721018 CBQ721014:CBR721018 CLM721014:CLN721018 CVI721014:CVJ721018 DFE721014:DFF721018 DPA721014:DPB721018 DYW721014:DYX721018 EIS721014:EIT721018 ESO721014:ESP721018 FCK721014:FCL721018 FMG721014:FMH721018 FWC721014:FWD721018 GFY721014:GFZ721018 GPU721014:GPV721018 GZQ721014:GZR721018 HJM721014:HJN721018 HTI721014:HTJ721018 IDE721014:IDF721018 INA721014:INB721018 IWW721014:IWX721018 JGS721014:JGT721018 JQO721014:JQP721018 KAK721014:KAL721018 KKG721014:KKH721018 KUC721014:KUD721018 LDY721014:LDZ721018 LNU721014:LNV721018 LXQ721014:LXR721018 MHM721014:MHN721018 MRI721014:MRJ721018 NBE721014:NBF721018 NLA721014:NLB721018 NUW721014:NUX721018 OES721014:OET721018 OOO721014:OOP721018 OYK721014:OYL721018 PIG721014:PIH721018 PSC721014:PSD721018 QBY721014:QBZ721018 QLU721014:QLV721018 QVQ721014:QVR721018 RFM721014:RFN721018 RPI721014:RPJ721018 RZE721014:RZF721018 SJA721014:SJB721018 SSW721014:SSX721018 TCS721014:TCT721018 TMO721014:TMP721018 TWK721014:TWL721018 UGG721014:UGH721018 UQC721014:UQD721018 UZY721014:UZZ721018 VJU721014:VJV721018 VTQ721014:VTR721018 WDM721014:WDN721018 WNI721014:WNJ721018 WXE721014:WXF721018 KS65683:KT65683 UO65683:UP65683 AEK65683:AEL65683 AOG65683:AOH65683 AYC65683:AYD65683 BHY65683:BHZ65683 BRU65683:BRV65683 CBQ65683:CBR65683 CLM65683:CLN65683 CVI65683:CVJ65683 DFE65683:DFF65683 DPA65683:DPB65683 DYW65683:DYX65683 EIS65683:EIT65683 ESO65683:ESP65683 FCK65683:FCL65683 FMG65683:FMH65683 FWC65683:FWD65683 GFY65683:GFZ65683 GPU65683:GPV65683 GZQ65683:GZR65683 HJM65683:HJN65683 HTI65683:HTJ65683 IDE65683:IDF65683 INA65683:INB65683 IWW65683:IWX65683 JGS65683:JGT65683 JQO65683:JQP65683 KAK65683:KAL65683 KKG65683:KKH65683 KUC65683:KUD65683 LDY65683:LDZ65683 LNU65683:LNV65683 LXQ65683:LXR65683 MHM65683:MHN65683 MRI65683:MRJ65683 NBE65683:NBF65683 NLA65683:NLB65683 NUW65683:NUX65683 OES65683:OET65683 OOO65683:OOP65683 OYK65683:OYL65683 PIG65683:PIH65683 PSC65683:PSD65683 QBY65683:QBZ65683 QLU65683:QLV65683 QVQ65683:QVR65683 RFM65683:RFN65683 RPI65683:RPJ65683 RZE65683:RZF65683 SJA65683:SJB65683 SSW65683:SSX65683 TCS65683:TCT65683 TMO65683:TMP65683 TWK65683:TWL65683 UGG65683:UGH65683 UQC65683:UQD65683 UZY65683:UZZ65683 VJU65683:VJV65683 VTQ65683:VTR65683 WDM65683:WDN65683 WNI65683:WNJ65683 WXE65683:WXF65683 KS131219:KT131219 UO131219:UP131219 AEK131219:AEL131219 AOG131219:AOH131219 AYC131219:AYD131219 BHY131219:BHZ131219 BRU131219:BRV131219 CBQ131219:CBR131219 CLM131219:CLN131219 CVI131219:CVJ131219 DFE131219:DFF131219 DPA131219:DPB131219 DYW131219:DYX131219 EIS131219:EIT131219 ESO131219:ESP131219 FCK131219:FCL131219 FMG131219:FMH131219 FWC131219:FWD131219 GFY131219:GFZ131219 GPU131219:GPV131219 GZQ131219:GZR131219 HJM131219:HJN131219 HTI131219:HTJ131219 IDE131219:IDF131219 INA131219:INB131219 IWW131219:IWX131219 JGS131219:JGT131219 JQO131219:JQP131219 KAK131219:KAL131219 KKG131219:KKH131219 KUC131219:KUD131219 LDY131219:LDZ131219 LNU131219:LNV131219 LXQ131219:LXR131219 MHM131219:MHN131219 MRI131219:MRJ131219 NBE131219:NBF131219 NLA131219:NLB131219 NUW131219:NUX131219 OES131219:OET131219 OOO131219:OOP131219 OYK131219:OYL131219 PIG131219:PIH131219 PSC131219:PSD131219 QBY131219:QBZ131219 QLU131219:QLV131219 QVQ131219:QVR131219 RFM131219:RFN131219 RPI131219:RPJ131219 RZE131219:RZF131219 SJA131219:SJB131219 SSW131219:SSX131219 TCS131219:TCT131219 TMO131219:TMP131219 TWK131219:TWL131219 UGG131219:UGH131219 UQC131219:UQD131219 UZY131219:UZZ131219 VJU131219:VJV131219 VTQ131219:VTR131219 WDM131219:WDN131219 WNI131219:WNJ131219 WXE131219:WXF131219 KS196755:KT196755 UO196755:UP196755 AEK196755:AEL196755 AOG196755:AOH196755 AYC196755:AYD196755 BHY196755:BHZ196755 BRU196755:BRV196755 CBQ196755:CBR196755 CLM196755:CLN196755 CVI196755:CVJ196755 DFE196755:DFF196755 DPA196755:DPB196755 DYW196755:DYX196755 EIS196755:EIT196755 ESO196755:ESP196755 FCK196755:FCL196755 FMG196755:FMH196755 FWC196755:FWD196755 GFY196755:GFZ196755 GPU196755:GPV196755 GZQ196755:GZR196755 HJM196755:HJN196755 HTI196755:HTJ196755 IDE196755:IDF196755 INA196755:INB196755 IWW196755:IWX196755 JGS196755:JGT196755 JQO196755:JQP196755 KAK196755:KAL196755 KKG196755:KKH196755 KUC196755:KUD196755 LDY196755:LDZ196755 LNU196755:LNV196755 LXQ196755:LXR196755 MHM196755:MHN196755 MRI196755:MRJ196755 NBE196755:NBF196755 NLA196755:NLB196755 NUW196755:NUX196755 OES196755:OET196755 OOO196755:OOP196755 OYK196755:OYL196755 PIG196755:PIH196755 PSC196755:PSD196755 QBY196755:QBZ196755 QLU196755:QLV196755 QVQ196755:QVR196755 RFM196755:RFN196755 RPI196755:RPJ196755 RZE196755:RZF196755 SJA196755:SJB196755 SSW196755:SSX196755 TCS196755:TCT196755 TMO196755:TMP196755 TWK196755:TWL196755 UGG196755:UGH196755 UQC196755:UQD196755 UZY196755:UZZ196755 VJU196755:VJV196755 VTQ196755:VTR196755 WDM196755:WDN196755 WNI196755:WNJ196755 WXE196755:WXF196755 KS262291:KT262291 UO262291:UP262291 AEK262291:AEL262291 AOG262291:AOH262291 AYC262291:AYD262291 BHY262291:BHZ262291 BRU262291:BRV262291 CBQ262291:CBR262291 CLM262291:CLN262291 CVI262291:CVJ262291 DFE262291:DFF262291 DPA262291:DPB262291 DYW262291:DYX262291 EIS262291:EIT262291 ESO262291:ESP262291 FCK262291:FCL262291 FMG262291:FMH262291 FWC262291:FWD262291 GFY262291:GFZ262291 GPU262291:GPV262291 GZQ262291:GZR262291 HJM262291:HJN262291 HTI262291:HTJ262291 IDE262291:IDF262291 INA262291:INB262291 IWW262291:IWX262291 JGS262291:JGT262291 JQO262291:JQP262291 KAK262291:KAL262291 KKG262291:KKH262291 KUC262291:KUD262291 LDY262291:LDZ262291 LNU262291:LNV262291 LXQ262291:LXR262291 MHM262291:MHN262291 MRI262291:MRJ262291 NBE262291:NBF262291 NLA262291:NLB262291 NUW262291:NUX262291 OES262291:OET262291 OOO262291:OOP262291 OYK262291:OYL262291 PIG262291:PIH262291 PSC262291:PSD262291 QBY262291:QBZ262291 QLU262291:QLV262291 QVQ262291:QVR262291 RFM262291:RFN262291 RPI262291:RPJ262291 RZE262291:RZF262291 SJA262291:SJB262291 SSW262291:SSX262291 TCS262291:TCT262291 TMO262291:TMP262291 TWK262291:TWL262291 UGG262291:UGH262291 UQC262291:UQD262291 UZY262291:UZZ262291 VJU262291:VJV262291 VTQ262291:VTR262291 WDM262291:WDN262291 WNI262291:WNJ262291 WXE262291:WXF262291 KS327827:KT327827 UO327827:UP327827 AEK327827:AEL327827 AOG327827:AOH327827 AYC327827:AYD327827 BHY327827:BHZ327827 BRU327827:BRV327827 CBQ327827:CBR327827 CLM327827:CLN327827 CVI327827:CVJ327827 DFE327827:DFF327827 DPA327827:DPB327827 DYW327827:DYX327827 EIS327827:EIT327827 ESO327827:ESP327827 FCK327827:FCL327827 FMG327827:FMH327827 FWC327827:FWD327827 GFY327827:GFZ327827 GPU327827:GPV327827 GZQ327827:GZR327827 HJM327827:HJN327827 HTI327827:HTJ327827 IDE327827:IDF327827 INA327827:INB327827 IWW327827:IWX327827 JGS327827:JGT327827 JQO327827:JQP327827 KAK327827:KAL327827 KKG327827:KKH327827 KUC327827:KUD327827 LDY327827:LDZ327827 LNU327827:LNV327827 LXQ327827:LXR327827 MHM327827:MHN327827 MRI327827:MRJ327827 NBE327827:NBF327827 NLA327827:NLB327827 NUW327827:NUX327827 OES327827:OET327827 OOO327827:OOP327827 OYK327827:OYL327827 PIG327827:PIH327827 PSC327827:PSD327827 QBY327827:QBZ327827 QLU327827:QLV327827 QVQ327827:QVR327827 RFM327827:RFN327827 RPI327827:RPJ327827 RZE327827:RZF327827 SJA327827:SJB327827 SSW327827:SSX327827 TCS327827:TCT327827 TMO327827:TMP327827 TWK327827:TWL327827 UGG327827:UGH327827 UQC327827:UQD327827 UZY327827:UZZ327827 VJU327827:VJV327827 VTQ327827:VTR327827 WDM327827:WDN327827 WNI327827:WNJ327827 WXE327827:WXF327827 KS393363:KT393363 UO393363:UP393363 AEK393363:AEL393363 AOG393363:AOH393363 AYC393363:AYD393363 BHY393363:BHZ393363 BRU393363:BRV393363 CBQ393363:CBR393363 CLM393363:CLN393363 CVI393363:CVJ393363 DFE393363:DFF393363 DPA393363:DPB393363 DYW393363:DYX393363 EIS393363:EIT393363 ESO393363:ESP393363 FCK393363:FCL393363 FMG393363:FMH393363 FWC393363:FWD393363 GFY393363:GFZ393363 GPU393363:GPV393363 GZQ393363:GZR393363 HJM393363:HJN393363 HTI393363:HTJ393363 IDE393363:IDF393363 INA393363:INB393363 IWW393363:IWX393363 JGS393363:JGT393363 JQO393363:JQP393363 KAK393363:KAL393363 KKG393363:KKH393363 KUC393363:KUD393363 LDY393363:LDZ393363 LNU393363:LNV393363 LXQ393363:LXR393363 MHM393363:MHN393363 MRI393363:MRJ393363 NBE393363:NBF393363 NLA393363:NLB393363 NUW393363:NUX393363 OES393363:OET393363 OOO393363:OOP393363 OYK393363:OYL393363 PIG393363:PIH393363 PSC393363:PSD393363 QBY393363:QBZ393363 QLU393363:QLV393363 QVQ393363:QVR393363 RFM393363:RFN393363 RPI393363:RPJ393363 RZE393363:RZF393363 SJA393363:SJB393363 SSW393363:SSX393363 TCS393363:TCT393363 TMO393363:TMP393363 TWK393363:TWL393363 UGG393363:UGH393363 UQC393363:UQD393363 UZY393363:UZZ393363 VJU393363:VJV393363 VTQ393363:VTR393363 WDM393363:WDN393363 WNI393363:WNJ393363 WXE393363:WXF393363 KS458899:KT458899 UO458899:UP458899 AEK458899:AEL458899 AOG458899:AOH458899 AYC458899:AYD458899 BHY458899:BHZ458899 BRU458899:BRV458899 CBQ458899:CBR458899 CLM458899:CLN458899 CVI458899:CVJ458899 DFE458899:DFF458899 DPA458899:DPB458899 DYW458899:DYX458899 EIS458899:EIT458899 ESO458899:ESP458899 FCK458899:FCL458899 FMG458899:FMH458899 FWC458899:FWD458899 GFY458899:GFZ458899 GPU458899:GPV458899 GZQ458899:GZR458899 HJM458899:HJN458899 HTI458899:HTJ458899 IDE458899:IDF458899 INA458899:INB458899 IWW458899:IWX458899 JGS458899:JGT458899 JQO458899:JQP458899 KAK458899:KAL458899 KKG458899:KKH458899 KUC458899:KUD458899 LDY458899:LDZ458899 LNU458899:LNV458899 LXQ458899:LXR458899 MHM458899:MHN458899 MRI458899:MRJ458899 NBE458899:NBF458899 NLA458899:NLB458899 NUW458899:NUX458899 OES458899:OET458899 OOO458899:OOP458899 OYK458899:OYL458899 PIG458899:PIH458899 PSC458899:PSD458899 QBY458899:QBZ458899 QLU458899:QLV458899 QVQ458899:QVR458899 RFM458899:RFN458899 RPI458899:RPJ458899 RZE458899:RZF458899 SJA458899:SJB458899 SSW458899:SSX458899 TCS458899:TCT458899 TMO458899:TMP458899 TWK458899:TWL458899 UGG458899:UGH458899 UQC458899:UQD458899 UZY458899:UZZ458899 VJU458899:VJV458899 VTQ458899:VTR458899 WDM458899:WDN458899 WNI458899:WNJ458899 WXE458899:WXF458899 KS524435:KT524435 UO524435:UP524435 AEK524435:AEL524435 AOG524435:AOH524435 AYC524435:AYD524435 BHY524435:BHZ524435 BRU524435:BRV524435 CBQ524435:CBR524435 CLM524435:CLN524435 CVI524435:CVJ524435 DFE524435:DFF524435 DPA524435:DPB524435 DYW524435:DYX524435 EIS524435:EIT524435 ESO524435:ESP524435 FCK524435:FCL524435 FMG524435:FMH524435 FWC524435:FWD524435 GFY524435:GFZ524435 GPU524435:GPV524435 GZQ524435:GZR524435 HJM524435:HJN524435 HTI524435:HTJ524435 IDE524435:IDF524435 INA524435:INB524435 IWW524435:IWX524435 JGS524435:JGT524435 JQO524435:JQP524435 KAK524435:KAL524435 KKG524435:KKH524435 KUC524435:KUD524435 LDY524435:LDZ524435 LNU524435:LNV524435 LXQ524435:LXR524435 MHM524435:MHN524435 MRI524435:MRJ524435 NBE524435:NBF524435 NLA524435:NLB524435 NUW524435:NUX524435 OES524435:OET524435 OOO524435:OOP524435 OYK524435:OYL524435 PIG524435:PIH524435 PSC524435:PSD524435 QBY524435:QBZ524435 QLU524435:QLV524435 QVQ524435:QVR524435 RFM524435:RFN524435 RPI524435:RPJ524435 RZE524435:RZF524435 SJA524435:SJB524435 SSW524435:SSX524435 TCS524435:TCT524435 TMO524435:TMP524435 TWK524435:TWL524435 UGG524435:UGH524435 UQC524435:UQD524435 UZY524435:UZZ524435 VJU524435:VJV524435 VTQ524435:VTR524435 WDM524435:WDN524435 WNI524435:WNJ524435 WXE524435:WXF524435 KS589971:KT589971 UO589971:UP589971 AEK589971:AEL589971 AOG589971:AOH589971 AYC589971:AYD589971 BHY589971:BHZ589971 BRU589971:BRV589971 CBQ589971:CBR589971 CLM589971:CLN589971 CVI589971:CVJ589971 DFE589971:DFF589971 DPA589971:DPB589971 DYW589971:DYX589971 EIS589971:EIT589971 ESO589971:ESP589971 FCK589971:FCL589971 FMG589971:FMH589971 FWC589971:FWD589971 GFY589971:GFZ589971 GPU589971:GPV589971 GZQ589971:GZR589971 HJM589971:HJN589971 HTI589971:HTJ589971 IDE589971:IDF589971 INA589971:INB589971 IWW589971:IWX589971 JGS589971:JGT589971 JQO589971:JQP589971 KAK589971:KAL589971 KKG589971:KKH589971 KUC589971:KUD589971 LDY589971:LDZ589971 LNU589971:LNV589971 LXQ589971:LXR589971 MHM589971:MHN589971 MRI589971:MRJ589971 NBE589971:NBF589971 NLA589971:NLB589971 NUW589971:NUX589971 OES589971:OET589971 OOO589971:OOP589971 OYK589971:OYL589971 PIG589971:PIH589971 PSC589971:PSD589971 QBY589971:QBZ589971 QLU589971:QLV589971 QVQ589971:QVR589971 RFM589971:RFN589971 RPI589971:RPJ589971 RZE589971:RZF589971 SJA589971:SJB589971 SSW589971:SSX589971 TCS589971:TCT589971 TMO589971:TMP589971 TWK589971:TWL589971 UGG589971:UGH589971 UQC589971:UQD589971 UZY589971:UZZ589971 VJU589971:VJV589971 VTQ589971:VTR589971 WDM589971:WDN589971 WNI589971:WNJ589971 WXE589971:WXF589971 KS655507:KT655507 UO655507:UP655507 AEK655507:AEL655507 AOG655507:AOH655507 AYC655507:AYD655507 BHY655507:BHZ655507 BRU655507:BRV655507 CBQ655507:CBR655507 CLM655507:CLN655507 CVI655507:CVJ655507 DFE655507:DFF655507 DPA655507:DPB655507 DYW655507:DYX655507 EIS655507:EIT655507 ESO655507:ESP655507 FCK655507:FCL655507 FMG655507:FMH655507 FWC655507:FWD655507 GFY655507:GFZ655507 GPU655507:GPV655507 GZQ655507:GZR655507 HJM655507:HJN655507 HTI655507:HTJ655507 IDE655507:IDF655507 INA655507:INB655507 IWW655507:IWX655507 JGS655507:JGT655507 JQO655507:JQP655507 KAK655507:KAL655507 KKG655507:KKH655507 KUC655507:KUD655507 LDY655507:LDZ655507 LNU655507:LNV655507 LXQ655507:LXR655507 MHM655507:MHN655507 MRI655507:MRJ655507 NBE655507:NBF655507 NLA655507:NLB655507 NUW655507:NUX655507 OES655507:OET655507 OOO655507:OOP655507 OYK655507:OYL655507 PIG655507:PIH655507 PSC655507:PSD655507 QBY655507:QBZ655507 QLU655507:QLV655507 QVQ655507:QVR655507 RFM655507:RFN655507 RPI655507:RPJ655507 RZE655507:RZF655507 SJA655507:SJB655507 SSW655507:SSX655507 TCS655507:TCT655507 TMO655507:TMP655507 TWK655507:TWL655507 UGG655507:UGH655507 UQC655507:UQD655507 UZY655507:UZZ655507 VJU655507:VJV655507 VTQ655507:VTR655507 WDM655507:WDN655507 WNI655507:WNJ655507 WXE655507:WXF655507 KS721043:KT721043 UO721043:UP721043 AEK721043:AEL721043 AOG721043:AOH721043 AYC721043:AYD721043 BHY721043:BHZ721043 BRU721043:BRV721043 CBQ721043:CBR721043 CLM721043:CLN721043 CVI721043:CVJ721043 DFE721043:DFF721043 DPA721043:DPB721043 DYW721043:DYX721043 EIS721043:EIT721043 ESO721043:ESP721043 FCK721043:FCL721043 FMG721043:FMH721043 FWC721043:FWD721043 GFY721043:GFZ721043 GPU721043:GPV721043 GZQ721043:GZR721043 HJM721043:HJN721043 HTI721043:HTJ721043 IDE721043:IDF721043 INA721043:INB721043 IWW721043:IWX721043 JGS721043:JGT721043 JQO721043:JQP721043 KAK721043:KAL721043 KKG721043:KKH721043 KUC721043:KUD721043 LDY721043:LDZ721043 LNU721043:LNV721043 LXQ721043:LXR721043 MHM721043:MHN721043 MRI721043:MRJ721043 NBE721043:NBF721043 NLA721043:NLB721043 NUW721043:NUX721043 OES721043:OET721043 OOO721043:OOP721043 OYK721043:OYL721043 PIG721043:PIH721043 PSC721043:PSD721043 QBY721043:QBZ721043 QLU721043:QLV721043 QVQ721043:QVR721043 RFM721043:RFN721043 RPI721043:RPJ721043 RZE721043:RZF721043 SJA721043:SJB721043 SSW721043:SSX721043 TCS721043:TCT721043 TMO721043:TMP721043 TWK721043:TWL721043 UGG721043:UGH721043 UQC721043:UQD721043 UZY721043:UZZ721043 VJU721043:VJV721043 VTQ721043:VTR721043 WDM721043:WDN721043 WNI721043:WNJ721043 WXE721043:WXF721043 KS786579:KT786579 UO786579:UP786579 AEK786579:AEL786579 AOG786579:AOH786579 AYC786579:AYD786579 BHY786579:BHZ786579 BRU786579:BRV786579 CBQ786579:CBR786579 CLM786579:CLN786579 CVI786579:CVJ786579 DFE786579:DFF786579 DPA786579:DPB786579 DYW786579:DYX786579 EIS786579:EIT786579 ESO786579:ESP786579 FCK786579:FCL786579 FMG786579:FMH786579 FWC786579:FWD786579 GFY786579:GFZ786579 GPU786579:GPV786579 GZQ786579:GZR786579 HJM786579:HJN786579 HTI786579:HTJ786579 IDE786579:IDF786579 INA786579:INB786579 IWW786579:IWX786579 JGS786579:JGT786579 JQO786579:JQP786579 KAK786579:KAL786579 KKG786579:KKH786579 KUC786579:KUD786579 LDY786579:LDZ786579 LNU786579:LNV786579 LXQ786579:LXR786579 MHM786579:MHN786579 MRI786579:MRJ786579 NBE786579:NBF786579 NLA786579:NLB786579 NUW786579:NUX786579 OES786579:OET786579 OOO786579:OOP786579 OYK786579:OYL786579 PIG786579:PIH786579 PSC786579:PSD786579 QBY786579:QBZ786579 QLU786579:QLV786579 QVQ786579:QVR786579 RFM786579:RFN786579 RPI786579:RPJ786579 RZE786579:RZF786579 SJA786579:SJB786579 SSW786579:SSX786579 TCS786579:TCT786579 TMO786579:TMP786579 TWK786579:TWL786579 UGG786579:UGH786579 UQC786579:UQD786579 UZY786579:UZZ786579 VJU786579:VJV786579 VTQ786579:VTR786579 WDM786579:WDN786579 WNI786579:WNJ786579 WXE786579:WXF786579 KS852115:KT852115 UO852115:UP852115 AEK852115:AEL852115 AOG852115:AOH852115 AYC852115:AYD852115 BHY852115:BHZ852115 BRU852115:BRV852115 CBQ852115:CBR852115 CLM852115:CLN852115 CVI852115:CVJ852115 DFE852115:DFF852115 DPA852115:DPB852115 DYW852115:DYX852115 EIS852115:EIT852115 ESO852115:ESP852115 FCK852115:FCL852115 FMG852115:FMH852115 FWC852115:FWD852115 GFY852115:GFZ852115 GPU852115:GPV852115 GZQ852115:GZR852115 HJM852115:HJN852115 HTI852115:HTJ852115 IDE852115:IDF852115 INA852115:INB852115 IWW852115:IWX852115 JGS852115:JGT852115 JQO852115:JQP852115 KAK852115:KAL852115 KKG852115:KKH852115 KUC852115:KUD852115 LDY852115:LDZ852115 LNU852115:LNV852115 LXQ852115:LXR852115 MHM852115:MHN852115 MRI852115:MRJ852115 NBE852115:NBF852115 NLA852115:NLB852115 NUW852115:NUX852115 OES852115:OET852115 OOO852115:OOP852115 OYK852115:OYL852115 PIG852115:PIH852115 PSC852115:PSD852115 QBY852115:QBZ852115 QLU852115:QLV852115 QVQ852115:QVR852115 RFM852115:RFN852115 RPI852115:RPJ852115 RZE852115:RZF852115 SJA852115:SJB852115 SSW852115:SSX852115 TCS852115:TCT852115 TMO852115:TMP852115 TWK852115:TWL852115 UGG852115:UGH852115 UQC852115:UQD852115 UZY852115:UZZ852115 VJU852115:VJV852115 VTQ852115:VTR852115 WDM852115:WDN852115 WNI852115:WNJ852115 WXE852115:WXF852115 KS917651:KT917651 UO917651:UP917651 AEK917651:AEL917651 AOG917651:AOH917651 AYC917651:AYD917651 BHY917651:BHZ917651 BRU917651:BRV917651 CBQ917651:CBR917651 CLM917651:CLN917651 CVI917651:CVJ917651 DFE917651:DFF917651 DPA917651:DPB917651 DYW917651:DYX917651 EIS917651:EIT917651 ESO917651:ESP917651 FCK917651:FCL917651 FMG917651:FMH917651 FWC917651:FWD917651 GFY917651:GFZ917651 GPU917651:GPV917651 GZQ917651:GZR917651 HJM917651:HJN917651 HTI917651:HTJ917651 IDE917651:IDF917651 INA917651:INB917651 IWW917651:IWX917651 JGS917651:JGT917651 JQO917651:JQP917651 KAK917651:KAL917651 KKG917651:KKH917651 KUC917651:KUD917651 LDY917651:LDZ917651 LNU917651:LNV917651 LXQ917651:LXR917651 MHM917651:MHN917651 MRI917651:MRJ917651 NBE917651:NBF917651 NLA917651:NLB917651 NUW917651:NUX917651 OES917651:OET917651 OOO917651:OOP917651 OYK917651:OYL917651 PIG917651:PIH917651 PSC917651:PSD917651 QBY917651:QBZ917651 QLU917651:QLV917651 QVQ917651:QVR917651 RFM917651:RFN917651 RPI917651:RPJ917651 RZE917651:RZF917651 SJA917651:SJB917651 SSW917651:SSX917651 TCS917651:TCT917651 TMO917651:TMP917651 TWK917651:TWL917651 UGG917651:UGH917651 UQC917651:UQD917651 UZY917651:UZZ917651 VJU917651:VJV917651 VTQ917651:VTR917651 WDM917651:WDN917651 WNI917651:WNJ917651 WXE917651:WXF917651 KS983187:KT983187 UO983187:UP983187 AEK983187:AEL983187 AOG983187:AOH983187 AYC983187:AYD983187 BHY983187:BHZ983187 BRU983187:BRV983187 CBQ983187:CBR983187 CLM983187:CLN983187 CVI983187:CVJ983187 DFE983187:DFF983187 DPA983187:DPB983187 DYW983187:DYX983187 EIS983187:EIT983187 ESO983187:ESP983187 FCK983187:FCL983187 FMG983187:FMH983187 FWC983187:FWD983187 GFY983187:GFZ983187 GPU983187:GPV983187 GZQ983187:GZR983187 HJM983187:HJN983187 HTI983187:HTJ983187 IDE983187:IDF983187 INA983187:INB983187 IWW983187:IWX983187 JGS983187:JGT983187 JQO983187:JQP983187 KAK983187:KAL983187 KKG983187:KKH983187 KUC983187:KUD983187 LDY983187:LDZ983187 LNU983187:LNV983187 LXQ983187:LXR983187 MHM983187:MHN983187 MRI983187:MRJ983187 NBE983187:NBF983187 NLA983187:NLB983187 NUW983187:NUX983187 OES983187:OET983187 OOO983187:OOP983187 OYK983187:OYL983187 PIG983187:PIH983187 PSC983187:PSD983187 QBY983187:QBZ983187 QLU983187:QLV983187 QVQ983187:QVR983187 RFM983187:RFN983187 RPI983187:RPJ983187 RZE983187:RZF983187 SJA983187:SJB983187 SSW983187:SSX983187 TCS983187:TCT983187 TMO983187:TMP983187 TWK983187:TWL983187 UGG983187:UGH983187 UQC983187:UQD983187 UZY983187:UZZ983187 VJU983187:VJV983187 VTQ983187:VTR983187 WDM983187:WDN983187 WNI983187:WNJ983187 WXE983187:WXF983187 KS786550:KT786554 UO786550:UP786554 AEK786550:AEL786554 AOG786550:AOH786554 AYC786550:AYD786554 BHY786550:BHZ786554 BRU786550:BRV786554 CBQ786550:CBR786554 CLM786550:CLN786554 CVI786550:CVJ786554 DFE786550:DFF786554 DPA786550:DPB786554 DYW786550:DYX786554 EIS786550:EIT786554 ESO786550:ESP786554 FCK786550:FCL786554 FMG786550:FMH786554 FWC786550:FWD786554 GFY786550:GFZ786554 GPU786550:GPV786554 GZQ786550:GZR786554 HJM786550:HJN786554 HTI786550:HTJ786554 IDE786550:IDF786554 INA786550:INB786554 IWW786550:IWX786554 JGS786550:JGT786554 JQO786550:JQP786554 KAK786550:KAL786554 KKG786550:KKH786554 KUC786550:KUD786554 LDY786550:LDZ786554 LNU786550:LNV786554 LXQ786550:LXR786554 MHM786550:MHN786554 MRI786550:MRJ786554 NBE786550:NBF786554 NLA786550:NLB786554 NUW786550:NUX786554 OES786550:OET786554 OOO786550:OOP786554 OYK786550:OYL786554 PIG786550:PIH786554 PSC786550:PSD786554 QBY786550:QBZ786554 QLU786550:QLV786554 QVQ786550:QVR786554 RFM786550:RFN786554 RPI786550:RPJ786554 RZE786550:RZF786554 SJA786550:SJB786554 SSW786550:SSX786554 TCS786550:TCT786554 TMO786550:TMP786554 TWK786550:TWL786554 UGG786550:UGH786554 UQC786550:UQD786554 UZY786550:UZZ786554 VJU786550:VJV786554 VTQ786550:VTR786554 WDM786550:WDN786554 WNI786550:WNJ786554 WXE786550:WXF786554 KS65652:KT65652 UO65652:UP65652 AEK65652:AEL65652 AOG65652:AOH65652 AYC65652:AYD65652 BHY65652:BHZ65652 BRU65652:BRV65652 CBQ65652:CBR65652 CLM65652:CLN65652 CVI65652:CVJ65652 DFE65652:DFF65652 DPA65652:DPB65652 DYW65652:DYX65652 EIS65652:EIT65652 ESO65652:ESP65652 FCK65652:FCL65652 FMG65652:FMH65652 FWC65652:FWD65652 GFY65652:GFZ65652 GPU65652:GPV65652 GZQ65652:GZR65652 HJM65652:HJN65652 HTI65652:HTJ65652 IDE65652:IDF65652 INA65652:INB65652 IWW65652:IWX65652 JGS65652:JGT65652 JQO65652:JQP65652 KAK65652:KAL65652 KKG65652:KKH65652 KUC65652:KUD65652 LDY65652:LDZ65652 LNU65652:LNV65652 LXQ65652:LXR65652 MHM65652:MHN65652 MRI65652:MRJ65652 NBE65652:NBF65652 NLA65652:NLB65652 NUW65652:NUX65652 OES65652:OET65652 OOO65652:OOP65652 OYK65652:OYL65652 PIG65652:PIH65652 PSC65652:PSD65652 QBY65652:QBZ65652 QLU65652:QLV65652 QVQ65652:QVR65652 RFM65652:RFN65652 RPI65652:RPJ65652 RZE65652:RZF65652 SJA65652:SJB65652 SSW65652:SSX65652 TCS65652:TCT65652 TMO65652:TMP65652 TWK65652:TWL65652 UGG65652:UGH65652 UQC65652:UQD65652 UZY65652:UZZ65652 VJU65652:VJV65652 VTQ65652:VTR65652 WDM65652:WDN65652 WNI65652:WNJ65652 WXE65652:WXF65652 KS131188:KT131188 UO131188:UP131188 AEK131188:AEL131188 AOG131188:AOH131188 AYC131188:AYD131188 BHY131188:BHZ131188 BRU131188:BRV131188 CBQ131188:CBR131188 CLM131188:CLN131188 CVI131188:CVJ131188 DFE131188:DFF131188 DPA131188:DPB131188 DYW131188:DYX131188 EIS131188:EIT131188 ESO131188:ESP131188 FCK131188:FCL131188 FMG131188:FMH131188 FWC131188:FWD131188 GFY131188:GFZ131188 GPU131188:GPV131188 GZQ131188:GZR131188 HJM131188:HJN131188 HTI131188:HTJ131188 IDE131188:IDF131188 INA131188:INB131188 IWW131188:IWX131188 JGS131188:JGT131188 JQO131188:JQP131188 KAK131188:KAL131188 KKG131188:KKH131188 KUC131188:KUD131188 LDY131188:LDZ131188 LNU131188:LNV131188 LXQ131188:LXR131188 MHM131188:MHN131188 MRI131188:MRJ131188 NBE131188:NBF131188 NLA131188:NLB131188 NUW131188:NUX131188 OES131188:OET131188 OOO131188:OOP131188 OYK131188:OYL131188 PIG131188:PIH131188 PSC131188:PSD131188 QBY131188:QBZ131188 QLU131188:QLV131188 QVQ131188:QVR131188 RFM131188:RFN131188 RPI131188:RPJ131188 RZE131188:RZF131188 SJA131188:SJB131188 SSW131188:SSX131188 TCS131188:TCT131188 TMO131188:TMP131188 TWK131188:TWL131188 UGG131188:UGH131188 UQC131188:UQD131188 UZY131188:UZZ131188 VJU131188:VJV131188 VTQ131188:VTR131188 WDM131188:WDN131188 WNI131188:WNJ131188 WXE131188:WXF131188 KS196724:KT196724 UO196724:UP196724 AEK196724:AEL196724 AOG196724:AOH196724 AYC196724:AYD196724 BHY196724:BHZ196724 BRU196724:BRV196724 CBQ196724:CBR196724 CLM196724:CLN196724 CVI196724:CVJ196724 DFE196724:DFF196724 DPA196724:DPB196724 DYW196724:DYX196724 EIS196724:EIT196724 ESO196724:ESP196724 FCK196724:FCL196724 FMG196724:FMH196724 FWC196724:FWD196724 GFY196724:GFZ196724 GPU196724:GPV196724 GZQ196724:GZR196724 HJM196724:HJN196724 HTI196724:HTJ196724 IDE196724:IDF196724 INA196724:INB196724 IWW196724:IWX196724 JGS196724:JGT196724 JQO196724:JQP196724 KAK196724:KAL196724 KKG196724:KKH196724 KUC196724:KUD196724 LDY196724:LDZ196724 LNU196724:LNV196724 LXQ196724:LXR196724 MHM196724:MHN196724 MRI196724:MRJ196724 NBE196724:NBF196724 NLA196724:NLB196724 NUW196724:NUX196724 OES196724:OET196724 OOO196724:OOP196724 OYK196724:OYL196724 PIG196724:PIH196724 PSC196724:PSD196724 QBY196724:QBZ196724 QLU196724:QLV196724 QVQ196724:QVR196724 RFM196724:RFN196724 RPI196724:RPJ196724 RZE196724:RZF196724 SJA196724:SJB196724 SSW196724:SSX196724 TCS196724:TCT196724 TMO196724:TMP196724 TWK196724:TWL196724 UGG196724:UGH196724 UQC196724:UQD196724 UZY196724:UZZ196724 VJU196724:VJV196724 VTQ196724:VTR196724 WDM196724:WDN196724 WNI196724:WNJ196724 WXE196724:WXF196724 KS262260:KT262260 UO262260:UP262260 AEK262260:AEL262260 AOG262260:AOH262260 AYC262260:AYD262260 BHY262260:BHZ262260 BRU262260:BRV262260 CBQ262260:CBR262260 CLM262260:CLN262260 CVI262260:CVJ262260 DFE262260:DFF262260 DPA262260:DPB262260 DYW262260:DYX262260 EIS262260:EIT262260 ESO262260:ESP262260 FCK262260:FCL262260 FMG262260:FMH262260 FWC262260:FWD262260 GFY262260:GFZ262260 GPU262260:GPV262260 GZQ262260:GZR262260 HJM262260:HJN262260 HTI262260:HTJ262260 IDE262260:IDF262260 INA262260:INB262260 IWW262260:IWX262260 JGS262260:JGT262260 JQO262260:JQP262260 KAK262260:KAL262260 KKG262260:KKH262260 KUC262260:KUD262260 LDY262260:LDZ262260 LNU262260:LNV262260 LXQ262260:LXR262260 MHM262260:MHN262260 MRI262260:MRJ262260 NBE262260:NBF262260 NLA262260:NLB262260 NUW262260:NUX262260 OES262260:OET262260 OOO262260:OOP262260 OYK262260:OYL262260 PIG262260:PIH262260 PSC262260:PSD262260 QBY262260:QBZ262260 QLU262260:QLV262260 QVQ262260:QVR262260 RFM262260:RFN262260 RPI262260:RPJ262260 RZE262260:RZF262260 SJA262260:SJB262260 SSW262260:SSX262260 TCS262260:TCT262260 TMO262260:TMP262260 TWK262260:TWL262260 UGG262260:UGH262260 UQC262260:UQD262260 UZY262260:UZZ262260 VJU262260:VJV262260 VTQ262260:VTR262260 WDM262260:WDN262260 WNI262260:WNJ262260 WXE262260:WXF262260 KS327796:KT327796 UO327796:UP327796 AEK327796:AEL327796 AOG327796:AOH327796 AYC327796:AYD327796 BHY327796:BHZ327796 BRU327796:BRV327796 CBQ327796:CBR327796 CLM327796:CLN327796 CVI327796:CVJ327796 DFE327796:DFF327796 DPA327796:DPB327796 DYW327796:DYX327796 EIS327796:EIT327796 ESO327796:ESP327796 FCK327796:FCL327796 FMG327796:FMH327796 FWC327796:FWD327796 GFY327796:GFZ327796 GPU327796:GPV327796 GZQ327796:GZR327796 HJM327796:HJN327796 HTI327796:HTJ327796 IDE327796:IDF327796 INA327796:INB327796 IWW327796:IWX327796 JGS327796:JGT327796 JQO327796:JQP327796 KAK327796:KAL327796 KKG327796:KKH327796 KUC327796:KUD327796 LDY327796:LDZ327796 LNU327796:LNV327796 LXQ327796:LXR327796 MHM327796:MHN327796 MRI327796:MRJ327796 NBE327796:NBF327796 NLA327796:NLB327796 NUW327796:NUX327796 OES327796:OET327796 OOO327796:OOP327796 OYK327796:OYL327796 PIG327796:PIH327796 PSC327796:PSD327796 QBY327796:QBZ327796 QLU327796:QLV327796 QVQ327796:QVR327796 RFM327796:RFN327796 RPI327796:RPJ327796 RZE327796:RZF327796 SJA327796:SJB327796 SSW327796:SSX327796 TCS327796:TCT327796 TMO327796:TMP327796 TWK327796:TWL327796 UGG327796:UGH327796 UQC327796:UQD327796 UZY327796:UZZ327796 VJU327796:VJV327796 VTQ327796:VTR327796 WDM327796:WDN327796 WNI327796:WNJ327796 WXE327796:WXF327796 KS393332:KT393332 UO393332:UP393332 AEK393332:AEL393332 AOG393332:AOH393332 AYC393332:AYD393332 BHY393332:BHZ393332 BRU393332:BRV393332 CBQ393332:CBR393332 CLM393332:CLN393332 CVI393332:CVJ393332 DFE393332:DFF393332 DPA393332:DPB393332 DYW393332:DYX393332 EIS393332:EIT393332 ESO393332:ESP393332 FCK393332:FCL393332 FMG393332:FMH393332 FWC393332:FWD393332 GFY393332:GFZ393332 GPU393332:GPV393332 GZQ393332:GZR393332 HJM393332:HJN393332 HTI393332:HTJ393332 IDE393332:IDF393332 INA393332:INB393332 IWW393332:IWX393332 JGS393332:JGT393332 JQO393332:JQP393332 KAK393332:KAL393332 KKG393332:KKH393332 KUC393332:KUD393332 LDY393332:LDZ393332 LNU393332:LNV393332 LXQ393332:LXR393332 MHM393332:MHN393332 MRI393332:MRJ393332 NBE393332:NBF393332 NLA393332:NLB393332 NUW393332:NUX393332 OES393332:OET393332 OOO393332:OOP393332 OYK393332:OYL393332 PIG393332:PIH393332 PSC393332:PSD393332 QBY393332:QBZ393332 QLU393332:QLV393332 QVQ393332:QVR393332 RFM393332:RFN393332 RPI393332:RPJ393332 RZE393332:RZF393332 SJA393332:SJB393332 SSW393332:SSX393332 TCS393332:TCT393332 TMO393332:TMP393332 TWK393332:TWL393332 UGG393332:UGH393332 UQC393332:UQD393332 UZY393332:UZZ393332 VJU393332:VJV393332 VTQ393332:VTR393332 WDM393332:WDN393332 WNI393332:WNJ393332 WXE393332:WXF393332 KS458868:KT458868 UO458868:UP458868 AEK458868:AEL458868 AOG458868:AOH458868 AYC458868:AYD458868 BHY458868:BHZ458868 BRU458868:BRV458868 CBQ458868:CBR458868 CLM458868:CLN458868 CVI458868:CVJ458868 DFE458868:DFF458868 DPA458868:DPB458868 DYW458868:DYX458868 EIS458868:EIT458868 ESO458868:ESP458868 FCK458868:FCL458868 FMG458868:FMH458868 FWC458868:FWD458868 GFY458868:GFZ458868 GPU458868:GPV458868 GZQ458868:GZR458868 HJM458868:HJN458868 HTI458868:HTJ458868 IDE458868:IDF458868 INA458868:INB458868 IWW458868:IWX458868 JGS458868:JGT458868 JQO458868:JQP458868 KAK458868:KAL458868 KKG458868:KKH458868 KUC458868:KUD458868 LDY458868:LDZ458868 LNU458868:LNV458868 LXQ458868:LXR458868 MHM458868:MHN458868 MRI458868:MRJ458868 NBE458868:NBF458868 NLA458868:NLB458868 NUW458868:NUX458868 OES458868:OET458868 OOO458868:OOP458868 OYK458868:OYL458868 PIG458868:PIH458868 PSC458868:PSD458868 QBY458868:QBZ458868 QLU458868:QLV458868 QVQ458868:QVR458868 RFM458868:RFN458868 RPI458868:RPJ458868 RZE458868:RZF458868 SJA458868:SJB458868 SSW458868:SSX458868 TCS458868:TCT458868 TMO458868:TMP458868 TWK458868:TWL458868 UGG458868:UGH458868 UQC458868:UQD458868 UZY458868:UZZ458868 VJU458868:VJV458868 VTQ458868:VTR458868 WDM458868:WDN458868 WNI458868:WNJ458868 WXE458868:WXF458868 KS524404:KT524404 UO524404:UP524404 AEK524404:AEL524404 AOG524404:AOH524404 AYC524404:AYD524404 BHY524404:BHZ524404 BRU524404:BRV524404 CBQ524404:CBR524404 CLM524404:CLN524404 CVI524404:CVJ524404 DFE524404:DFF524404 DPA524404:DPB524404 DYW524404:DYX524404 EIS524404:EIT524404 ESO524404:ESP524404 FCK524404:FCL524404 FMG524404:FMH524404 FWC524404:FWD524404 GFY524404:GFZ524404 GPU524404:GPV524404 GZQ524404:GZR524404 HJM524404:HJN524404 HTI524404:HTJ524404 IDE524404:IDF524404 INA524404:INB524404 IWW524404:IWX524404 JGS524404:JGT524404 JQO524404:JQP524404 KAK524404:KAL524404 KKG524404:KKH524404 KUC524404:KUD524404 LDY524404:LDZ524404 LNU524404:LNV524404 LXQ524404:LXR524404 MHM524404:MHN524404 MRI524404:MRJ524404 NBE524404:NBF524404 NLA524404:NLB524404 NUW524404:NUX524404 OES524404:OET524404 OOO524404:OOP524404 OYK524404:OYL524404 PIG524404:PIH524404 PSC524404:PSD524404 QBY524404:QBZ524404 QLU524404:QLV524404 QVQ524404:QVR524404 RFM524404:RFN524404 RPI524404:RPJ524404 RZE524404:RZF524404 SJA524404:SJB524404 SSW524404:SSX524404 TCS524404:TCT524404 TMO524404:TMP524404 TWK524404:TWL524404 UGG524404:UGH524404 UQC524404:UQD524404 UZY524404:UZZ524404 VJU524404:VJV524404 VTQ524404:VTR524404 WDM524404:WDN524404 WNI524404:WNJ524404 WXE524404:WXF524404 KS589940:KT589940 UO589940:UP589940 AEK589940:AEL589940 AOG589940:AOH589940 AYC589940:AYD589940 BHY589940:BHZ589940 BRU589940:BRV589940 CBQ589940:CBR589940 CLM589940:CLN589940 CVI589940:CVJ589940 DFE589940:DFF589940 DPA589940:DPB589940 DYW589940:DYX589940 EIS589940:EIT589940 ESO589940:ESP589940 FCK589940:FCL589940 FMG589940:FMH589940 FWC589940:FWD589940 GFY589940:GFZ589940 GPU589940:GPV589940 GZQ589940:GZR589940 HJM589940:HJN589940 HTI589940:HTJ589940 IDE589940:IDF589940 INA589940:INB589940 IWW589940:IWX589940 JGS589940:JGT589940 JQO589940:JQP589940 KAK589940:KAL589940 KKG589940:KKH589940 KUC589940:KUD589940 LDY589940:LDZ589940 LNU589940:LNV589940 LXQ589940:LXR589940 MHM589940:MHN589940 MRI589940:MRJ589940 NBE589940:NBF589940 NLA589940:NLB589940 NUW589940:NUX589940 OES589940:OET589940 OOO589940:OOP589940 OYK589940:OYL589940 PIG589940:PIH589940 PSC589940:PSD589940 QBY589940:QBZ589940 QLU589940:QLV589940 QVQ589940:QVR589940 RFM589940:RFN589940 RPI589940:RPJ589940 RZE589940:RZF589940 SJA589940:SJB589940 SSW589940:SSX589940 TCS589940:TCT589940 TMO589940:TMP589940 TWK589940:TWL589940 UGG589940:UGH589940 UQC589940:UQD589940 UZY589940:UZZ589940 VJU589940:VJV589940 VTQ589940:VTR589940 WDM589940:WDN589940 WNI589940:WNJ589940 WXE589940:WXF589940 KS655476:KT655476 UO655476:UP655476 AEK655476:AEL655476 AOG655476:AOH655476 AYC655476:AYD655476 BHY655476:BHZ655476 BRU655476:BRV655476 CBQ655476:CBR655476 CLM655476:CLN655476 CVI655476:CVJ655476 DFE655476:DFF655476 DPA655476:DPB655476 DYW655476:DYX655476 EIS655476:EIT655476 ESO655476:ESP655476 FCK655476:FCL655476 FMG655476:FMH655476 FWC655476:FWD655476 GFY655476:GFZ655476 GPU655476:GPV655476 GZQ655476:GZR655476 HJM655476:HJN655476 HTI655476:HTJ655476 IDE655476:IDF655476 INA655476:INB655476 IWW655476:IWX655476 JGS655476:JGT655476 JQO655476:JQP655476 KAK655476:KAL655476 KKG655476:KKH655476 KUC655476:KUD655476 LDY655476:LDZ655476 LNU655476:LNV655476 LXQ655476:LXR655476 MHM655476:MHN655476 MRI655476:MRJ655476 NBE655476:NBF655476 NLA655476:NLB655476 NUW655476:NUX655476 OES655476:OET655476 OOO655476:OOP655476 OYK655476:OYL655476 PIG655476:PIH655476 PSC655476:PSD655476 QBY655476:QBZ655476 QLU655476:QLV655476 QVQ655476:QVR655476 RFM655476:RFN655476 RPI655476:RPJ655476 RZE655476:RZF655476 SJA655476:SJB655476 SSW655476:SSX655476 TCS655476:TCT655476 TMO655476:TMP655476 TWK655476:TWL655476 UGG655476:UGH655476 UQC655476:UQD655476 UZY655476:UZZ655476 VJU655476:VJV655476 VTQ655476:VTR655476 WDM655476:WDN655476 WNI655476:WNJ655476 WXE655476:WXF655476 KS721012:KT721012 UO721012:UP721012 AEK721012:AEL721012 AOG721012:AOH721012 AYC721012:AYD721012 BHY721012:BHZ721012 BRU721012:BRV721012 CBQ721012:CBR721012 CLM721012:CLN721012 CVI721012:CVJ721012 DFE721012:DFF721012 DPA721012:DPB721012 DYW721012:DYX721012 EIS721012:EIT721012 ESO721012:ESP721012 FCK721012:FCL721012 FMG721012:FMH721012 FWC721012:FWD721012 GFY721012:GFZ721012 GPU721012:GPV721012 GZQ721012:GZR721012 HJM721012:HJN721012 HTI721012:HTJ721012 IDE721012:IDF721012 INA721012:INB721012 IWW721012:IWX721012 JGS721012:JGT721012 JQO721012:JQP721012 KAK721012:KAL721012 KKG721012:KKH721012 KUC721012:KUD721012 LDY721012:LDZ721012 LNU721012:LNV721012 LXQ721012:LXR721012 MHM721012:MHN721012 MRI721012:MRJ721012 NBE721012:NBF721012 NLA721012:NLB721012 NUW721012:NUX721012 OES721012:OET721012 OOO721012:OOP721012 OYK721012:OYL721012 PIG721012:PIH721012 PSC721012:PSD721012 QBY721012:QBZ721012 QLU721012:QLV721012 QVQ721012:QVR721012 RFM721012:RFN721012 RPI721012:RPJ721012 RZE721012:RZF721012 SJA721012:SJB721012 SSW721012:SSX721012 TCS721012:TCT721012 TMO721012:TMP721012 TWK721012:TWL721012 UGG721012:UGH721012 UQC721012:UQD721012 UZY721012:UZZ721012 VJU721012:VJV721012 VTQ721012:VTR721012 WDM721012:WDN721012 WNI721012:WNJ721012 WXE721012:WXF721012 KS786548:KT786548 UO786548:UP786548 AEK786548:AEL786548 AOG786548:AOH786548 AYC786548:AYD786548 BHY786548:BHZ786548 BRU786548:BRV786548 CBQ786548:CBR786548 CLM786548:CLN786548 CVI786548:CVJ786548 DFE786548:DFF786548 DPA786548:DPB786548 DYW786548:DYX786548 EIS786548:EIT786548 ESO786548:ESP786548 FCK786548:FCL786548 FMG786548:FMH786548 FWC786548:FWD786548 GFY786548:GFZ786548 GPU786548:GPV786548 GZQ786548:GZR786548 HJM786548:HJN786548 HTI786548:HTJ786548 IDE786548:IDF786548 INA786548:INB786548 IWW786548:IWX786548 JGS786548:JGT786548 JQO786548:JQP786548 KAK786548:KAL786548 KKG786548:KKH786548 KUC786548:KUD786548 LDY786548:LDZ786548 LNU786548:LNV786548 LXQ786548:LXR786548 MHM786548:MHN786548 MRI786548:MRJ786548 NBE786548:NBF786548 NLA786548:NLB786548 NUW786548:NUX786548 OES786548:OET786548 OOO786548:OOP786548 OYK786548:OYL786548 PIG786548:PIH786548 PSC786548:PSD786548 QBY786548:QBZ786548 QLU786548:QLV786548 QVQ786548:QVR786548 RFM786548:RFN786548 RPI786548:RPJ786548 RZE786548:RZF786548 SJA786548:SJB786548 SSW786548:SSX786548 TCS786548:TCT786548 TMO786548:TMP786548 TWK786548:TWL786548 UGG786548:UGH786548 UQC786548:UQD786548 UZY786548:UZZ786548 VJU786548:VJV786548 VTQ786548:VTR786548 WDM786548:WDN786548 WNI786548:WNJ786548 WXE786548:WXF786548 KS852084:KT852084 UO852084:UP852084 AEK852084:AEL852084 AOG852084:AOH852084 AYC852084:AYD852084 BHY852084:BHZ852084 BRU852084:BRV852084 CBQ852084:CBR852084 CLM852084:CLN852084 CVI852084:CVJ852084 DFE852084:DFF852084 DPA852084:DPB852084 DYW852084:DYX852084 EIS852084:EIT852084 ESO852084:ESP852084 FCK852084:FCL852084 FMG852084:FMH852084 FWC852084:FWD852084 GFY852084:GFZ852084 GPU852084:GPV852084 GZQ852084:GZR852084 HJM852084:HJN852084 HTI852084:HTJ852084 IDE852084:IDF852084 INA852084:INB852084 IWW852084:IWX852084 JGS852084:JGT852084 JQO852084:JQP852084 KAK852084:KAL852084 KKG852084:KKH852084 KUC852084:KUD852084 LDY852084:LDZ852084 LNU852084:LNV852084 LXQ852084:LXR852084 MHM852084:MHN852084 MRI852084:MRJ852084 NBE852084:NBF852084 NLA852084:NLB852084 NUW852084:NUX852084 OES852084:OET852084 OOO852084:OOP852084 OYK852084:OYL852084 PIG852084:PIH852084 PSC852084:PSD852084 QBY852084:QBZ852084 QLU852084:QLV852084 QVQ852084:QVR852084 RFM852084:RFN852084 RPI852084:RPJ852084 RZE852084:RZF852084 SJA852084:SJB852084 SSW852084:SSX852084 TCS852084:TCT852084 TMO852084:TMP852084 TWK852084:TWL852084 UGG852084:UGH852084 UQC852084:UQD852084 UZY852084:UZZ852084 VJU852084:VJV852084 VTQ852084:VTR852084 WDM852084:WDN852084 WNI852084:WNJ852084 WXE852084:WXF852084 KS917620:KT917620 UO917620:UP917620 AEK917620:AEL917620 AOG917620:AOH917620 AYC917620:AYD917620 BHY917620:BHZ917620 BRU917620:BRV917620 CBQ917620:CBR917620 CLM917620:CLN917620 CVI917620:CVJ917620 DFE917620:DFF917620 DPA917620:DPB917620 DYW917620:DYX917620 EIS917620:EIT917620 ESO917620:ESP917620 FCK917620:FCL917620 FMG917620:FMH917620 FWC917620:FWD917620 GFY917620:GFZ917620 GPU917620:GPV917620 GZQ917620:GZR917620 HJM917620:HJN917620 HTI917620:HTJ917620 IDE917620:IDF917620 INA917620:INB917620 IWW917620:IWX917620 JGS917620:JGT917620 JQO917620:JQP917620 KAK917620:KAL917620 KKG917620:KKH917620 KUC917620:KUD917620 LDY917620:LDZ917620 LNU917620:LNV917620 LXQ917620:LXR917620 MHM917620:MHN917620 MRI917620:MRJ917620 NBE917620:NBF917620 NLA917620:NLB917620 NUW917620:NUX917620 OES917620:OET917620 OOO917620:OOP917620 OYK917620:OYL917620 PIG917620:PIH917620 PSC917620:PSD917620 QBY917620:QBZ917620 QLU917620:QLV917620 QVQ917620:QVR917620 RFM917620:RFN917620 RPI917620:RPJ917620 RZE917620:RZF917620 SJA917620:SJB917620 SSW917620:SSX917620 TCS917620:TCT917620 TMO917620:TMP917620 TWK917620:TWL917620 UGG917620:UGH917620 UQC917620:UQD917620 UZY917620:UZZ917620 VJU917620:VJV917620 VTQ917620:VTR917620 WDM917620:WDN917620 WNI917620:WNJ917620 WXE917620:WXF917620 KS983156:KT983156 UO983156:UP983156 AEK983156:AEL983156 AOG983156:AOH983156 AYC983156:AYD983156 BHY983156:BHZ983156 BRU983156:BRV983156 CBQ983156:CBR983156 CLM983156:CLN983156 CVI983156:CVJ983156 DFE983156:DFF983156 DPA983156:DPB983156 DYW983156:DYX983156 EIS983156:EIT983156 ESO983156:ESP983156 FCK983156:FCL983156 FMG983156:FMH983156 FWC983156:FWD983156 GFY983156:GFZ983156 GPU983156:GPV983156 GZQ983156:GZR983156 HJM983156:HJN983156 HTI983156:HTJ983156 IDE983156:IDF983156 INA983156:INB983156 IWW983156:IWX983156 JGS983156:JGT983156 JQO983156:JQP983156 KAK983156:KAL983156 KKG983156:KKH983156 KUC983156:KUD983156 LDY983156:LDZ983156 LNU983156:LNV983156 LXQ983156:LXR983156 MHM983156:MHN983156 MRI983156:MRJ983156 NBE983156:NBF983156 NLA983156:NLB983156 NUW983156:NUX983156 OES983156:OET983156 OOO983156:OOP983156 OYK983156:OYL983156 PIG983156:PIH983156 PSC983156:PSD983156 QBY983156:QBZ983156 QLU983156:QLV983156 QVQ983156:QVR983156 RFM983156:RFN983156 RPI983156:RPJ983156 RZE983156:RZF983156 SJA983156:SJB983156 SSW983156:SSX983156 TCS983156:TCT983156 TMO983156:TMP983156 TWK983156:TWL983156 UGG983156:UGH983156 UQC983156:UQD983156 UZY983156:UZZ983156 VJU983156:VJV983156 VTQ983156:VTR983156 WDM983156:WDN983156 WNI983156:WNJ983156 WXE983156:WXF983156 KS852086:KT852090 UO852086:UP852090 AEK852086:AEL852090 AOG852086:AOH852090 AYC852086:AYD852090 BHY852086:BHZ852090 BRU852086:BRV852090 CBQ852086:CBR852090 CLM852086:CLN852090 CVI852086:CVJ852090 DFE852086:DFF852090 DPA852086:DPB852090 DYW852086:DYX852090 EIS852086:EIT852090 ESO852086:ESP852090 FCK852086:FCL852090 FMG852086:FMH852090 FWC852086:FWD852090 GFY852086:GFZ852090 GPU852086:GPV852090 GZQ852086:GZR852090 HJM852086:HJN852090 HTI852086:HTJ852090 IDE852086:IDF852090 INA852086:INB852090 IWW852086:IWX852090 JGS852086:JGT852090 JQO852086:JQP852090 KAK852086:KAL852090 KKG852086:KKH852090 KUC852086:KUD852090 LDY852086:LDZ852090 LNU852086:LNV852090 LXQ852086:LXR852090 MHM852086:MHN852090 MRI852086:MRJ852090 NBE852086:NBF852090 NLA852086:NLB852090 NUW852086:NUX852090 OES852086:OET852090 OOO852086:OOP852090 OYK852086:OYL852090 PIG852086:PIH852090 PSC852086:PSD852090 QBY852086:QBZ852090 QLU852086:QLV852090 QVQ852086:QVR852090 RFM852086:RFN852090 RPI852086:RPJ852090 RZE852086:RZF852090 SJA852086:SJB852090 SSW852086:SSX852090 TCS852086:TCT852090 TMO852086:TMP852090 TWK852086:TWL852090 UGG852086:UGH852090 UQC852086:UQD852090 UZY852086:UZZ852090 VJU852086:VJV852090 VTQ852086:VTR852090 WDM852086:WDN852090 WNI852086:WNJ852090 WXE852086:WXF852090 KS65641:KT65641 UO65641:UP65641 AEK65641:AEL65641 AOG65641:AOH65641 AYC65641:AYD65641 BHY65641:BHZ65641 BRU65641:BRV65641 CBQ65641:CBR65641 CLM65641:CLN65641 CVI65641:CVJ65641 DFE65641:DFF65641 DPA65641:DPB65641 DYW65641:DYX65641 EIS65641:EIT65641 ESO65641:ESP65641 FCK65641:FCL65641 FMG65641:FMH65641 FWC65641:FWD65641 GFY65641:GFZ65641 GPU65641:GPV65641 GZQ65641:GZR65641 HJM65641:HJN65641 HTI65641:HTJ65641 IDE65641:IDF65641 INA65641:INB65641 IWW65641:IWX65641 JGS65641:JGT65641 JQO65641:JQP65641 KAK65641:KAL65641 KKG65641:KKH65641 KUC65641:KUD65641 LDY65641:LDZ65641 LNU65641:LNV65641 LXQ65641:LXR65641 MHM65641:MHN65641 MRI65641:MRJ65641 NBE65641:NBF65641 NLA65641:NLB65641 NUW65641:NUX65641 OES65641:OET65641 OOO65641:OOP65641 OYK65641:OYL65641 PIG65641:PIH65641 PSC65641:PSD65641 QBY65641:QBZ65641 QLU65641:QLV65641 QVQ65641:QVR65641 RFM65641:RFN65641 RPI65641:RPJ65641 RZE65641:RZF65641 SJA65641:SJB65641 SSW65641:SSX65641 TCS65641:TCT65641 TMO65641:TMP65641 TWK65641:TWL65641 UGG65641:UGH65641 UQC65641:UQD65641 UZY65641:UZZ65641 VJU65641:VJV65641 VTQ65641:VTR65641 WDM65641:WDN65641 WNI65641:WNJ65641 WXE65641:WXF65641 KS131177:KT131177 UO131177:UP131177 AEK131177:AEL131177 AOG131177:AOH131177 AYC131177:AYD131177 BHY131177:BHZ131177 BRU131177:BRV131177 CBQ131177:CBR131177 CLM131177:CLN131177 CVI131177:CVJ131177 DFE131177:DFF131177 DPA131177:DPB131177 DYW131177:DYX131177 EIS131177:EIT131177 ESO131177:ESP131177 FCK131177:FCL131177 FMG131177:FMH131177 FWC131177:FWD131177 GFY131177:GFZ131177 GPU131177:GPV131177 GZQ131177:GZR131177 HJM131177:HJN131177 HTI131177:HTJ131177 IDE131177:IDF131177 INA131177:INB131177 IWW131177:IWX131177 JGS131177:JGT131177 JQO131177:JQP131177 KAK131177:KAL131177 KKG131177:KKH131177 KUC131177:KUD131177 LDY131177:LDZ131177 LNU131177:LNV131177 LXQ131177:LXR131177 MHM131177:MHN131177 MRI131177:MRJ131177 NBE131177:NBF131177 NLA131177:NLB131177 NUW131177:NUX131177 OES131177:OET131177 OOO131177:OOP131177 OYK131177:OYL131177 PIG131177:PIH131177 PSC131177:PSD131177 QBY131177:QBZ131177 QLU131177:QLV131177 QVQ131177:QVR131177 RFM131177:RFN131177 RPI131177:RPJ131177 RZE131177:RZF131177 SJA131177:SJB131177 SSW131177:SSX131177 TCS131177:TCT131177 TMO131177:TMP131177 TWK131177:TWL131177 UGG131177:UGH131177 UQC131177:UQD131177 UZY131177:UZZ131177 VJU131177:VJV131177 VTQ131177:VTR131177 WDM131177:WDN131177 WNI131177:WNJ131177 WXE131177:WXF131177 KS196713:KT196713 UO196713:UP196713 AEK196713:AEL196713 AOG196713:AOH196713 AYC196713:AYD196713 BHY196713:BHZ196713 BRU196713:BRV196713 CBQ196713:CBR196713 CLM196713:CLN196713 CVI196713:CVJ196713 DFE196713:DFF196713 DPA196713:DPB196713 DYW196713:DYX196713 EIS196713:EIT196713 ESO196713:ESP196713 FCK196713:FCL196713 FMG196713:FMH196713 FWC196713:FWD196713 GFY196713:GFZ196713 GPU196713:GPV196713 GZQ196713:GZR196713 HJM196713:HJN196713 HTI196713:HTJ196713 IDE196713:IDF196713 INA196713:INB196713 IWW196713:IWX196713 JGS196713:JGT196713 JQO196713:JQP196713 KAK196713:KAL196713 KKG196713:KKH196713 KUC196713:KUD196713 LDY196713:LDZ196713 LNU196713:LNV196713 LXQ196713:LXR196713 MHM196713:MHN196713 MRI196713:MRJ196713 NBE196713:NBF196713 NLA196713:NLB196713 NUW196713:NUX196713 OES196713:OET196713 OOO196713:OOP196713 OYK196713:OYL196713 PIG196713:PIH196713 PSC196713:PSD196713 QBY196713:QBZ196713 QLU196713:QLV196713 QVQ196713:QVR196713 RFM196713:RFN196713 RPI196713:RPJ196713 RZE196713:RZF196713 SJA196713:SJB196713 SSW196713:SSX196713 TCS196713:TCT196713 TMO196713:TMP196713 TWK196713:TWL196713 UGG196713:UGH196713 UQC196713:UQD196713 UZY196713:UZZ196713 VJU196713:VJV196713 VTQ196713:VTR196713 WDM196713:WDN196713 WNI196713:WNJ196713 WXE196713:WXF196713 KS262249:KT262249 UO262249:UP262249 AEK262249:AEL262249 AOG262249:AOH262249 AYC262249:AYD262249 BHY262249:BHZ262249 BRU262249:BRV262249 CBQ262249:CBR262249 CLM262249:CLN262249 CVI262249:CVJ262249 DFE262249:DFF262249 DPA262249:DPB262249 DYW262249:DYX262249 EIS262249:EIT262249 ESO262249:ESP262249 FCK262249:FCL262249 FMG262249:FMH262249 FWC262249:FWD262249 GFY262249:GFZ262249 GPU262249:GPV262249 GZQ262249:GZR262249 HJM262249:HJN262249 HTI262249:HTJ262249 IDE262249:IDF262249 INA262249:INB262249 IWW262249:IWX262249 JGS262249:JGT262249 JQO262249:JQP262249 KAK262249:KAL262249 KKG262249:KKH262249 KUC262249:KUD262249 LDY262249:LDZ262249 LNU262249:LNV262249 LXQ262249:LXR262249 MHM262249:MHN262249 MRI262249:MRJ262249 NBE262249:NBF262249 NLA262249:NLB262249 NUW262249:NUX262249 OES262249:OET262249 OOO262249:OOP262249 OYK262249:OYL262249 PIG262249:PIH262249 PSC262249:PSD262249 QBY262249:QBZ262249 QLU262249:QLV262249 QVQ262249:QVR262249 RFM262249:RFN262249 RPI262249:RPJ262249 RZE262249:RZF262249 SJA262249:SJB262249 SSW262249:SSX262249 TCS262249:TCT262249 TMO262249:TMP262249 TWK262249:TWL262249 UGG262249:UGH262249 UQC262249:UQD262249 UZY262249:UZZ262249 VJU262249:VJV262249 VTQ262249:VTR262249 WDM262249:WDN262249 WNI262249:WNJ262249 WXE262249:WXF262249 KS327785:KT327785 UO327785:UP327785 AEK327785:AEL327785 AOG327785:AOH327785 AYC327785:AYD327785 BHY327785:BHZ327785 BRU327785:BRV327785 CBQ327785:CBR327785 CLM327785:CLN327785 CVI327785:CVJ327785 DFE327785:DFF327785 DPA327785:DPB327785 DYW327785:DYX327785 EIS327785:EIT327785 ESO327785:ESP327785 FCK327785:FCL327785 FMG327785:FMH327785 FWC327785:FWD327785 GFY327785:GFZ327785 GPU327785:GPV327785 GZQ327785:GZR327785 HJM327785:HJN327785 HTI327785:HTJ327785 IDE327785:IDF327785 INA327785:INB327785 IWW327785:IWX327785 JGS327785:JGT327785 JQO327785:JQP327785 KAK327785:KAL327785 KKG327785:KKH327785 KUC327785:KUD327785 LDY327785:LDZ327785 LNU327785:LNV327785 LXQ327785:LXR327785 MHM327785:MHN327785 MRI327785:MRJ327785 NBE327785:NBF327785 NLA327785:NLB327785 NUW327785:NUX327785 OES327785:OET327785 OOO327785:OOP327785 OYK327785:OYL327785 PIG327785:PIH327785 PSC327785:PSD327785 QBY327785:QBZ327785 QLU327785:QLV327785 QVQ327785:QVR327785 RFM327785:RFN327785 RPI327785:RPJ327785 RZE327785:RZF327785 SJA327785:SJB327785 SSW327785:SSX327785 TCS327785:TCT327785 TMO327785:TMP327785 TWK327785:TWL327785 UGG327785:UGH327785 UQC327785:UQD327785 UZY327785:UZZ327785 VJU327785:VJV327785 VTQ327785:VTR327785 WDM327785:WDN327785 WNI327785:WNJ327785 WXE327785:WXF327785 KS393321:KT393321 UO393321:UP393321 AEK393321:AEL393321 AOG393321:AOH393321 AYC393321:AYD393321 BHY393321:BHZ393321 BRU393321:BRV393321 CBQ393321:CBR393321 CLM393321:CLN393321 CVI393321:CVJ393321 DFE393321:DFF393321 DPA393321:DPB393321 DYW393321:DYX393321 EIS393321:EIT393321 ESO393321:ESP393321 FCK393321:FCL393321 FMG393321:FMH393321 FWC393321:FWD393321 GFY393321:GFZ393321 GPU393321:GPV393321 GZQ393321:GZR393321 HJM393321:HJN393321 HTI393321:HTJ393321 IDE393321:IDF393321 INA393321:INB393321 IWW393321:IWX393321 JGS393321:JGT393321 JQO393321:JQP393321 KAK393321:KAL393321 KKG393321:KKH393321 KUC393321:KUD393321 LDY393321:LDZ393321 LNU393321:LNV393321 LXQ393321:LXR393321 MHM393321:MHN393321 MRI393321:MRJ393321 NBE393321:NBF393321 NLA393321:NLB393321 NUW393321:NUX393321 OES393321:OET393321 OOO393321:OOP393321 OYK393321:OYL393321 PIG393321:PIH393321 PSC393321:PSD393321 QBY393321:QBZ393321 QLU393321:QLV393321 QVQ393321:QVR393321 RFM393321:RFN393321 RPI393321:RPJ393321 RZE393321:RZF393321 SJA393321:SJB393321 SSW393321:SSX393321 TCS393321:TCT393321 TMO393321:TMP393321 TWK393321:TWL393321 UGG393321:UGH393321 UQC393321:UQD393321 UZY393321:UZZ393321 VJU393321:VJV393321 VTQ393321:VTR393321 WDM393321:WDN393321 WNI393321:WNJ393321 WXE393321:WXF393321 KS458857:KT458857 UO458857:UP458857 AEK458857:AEL458857 AOG458857:AOH458857 AYC458857:AYD458857 BHY458857:BHZ458857 BRU458857:BRV458857 CBQ458857:CBR458857 CLM458857:CLN458857 CVI458857:CVJ458857 DFE458857:DFF458857 DPA458857:DPB458857 DYW458857:DYX458857 EIS458857:EIT458857 ESO458857:ESP458857 FCK458857:FCL458857 FMG458857:FMH458857 FWC458857:FWD458857 GFY458857:GFZ458857 GPU458857:GPV458857 GZQ458857:GZR458857 HJM458857:HJN458857 HTI458857:HTJ458857 IDE458857:IDF458857 INA458857:INB458857 IWW458857:IWX458857 JGS458857:JGT458857 JQO458857:JQP458857 KAK458857:KAL458857 KKG458857:KKH458857 KUC458857:KUD458857 LDY458857:LDZ458857 LNU458857:LNV458857 LXQ458857:LXR458857 MHM458857:MHN458857 MRI458857:MRJ458857 NBE458857:NBF458857 NLA458857:NLB458857 NUW458857:NUX458857 OES458857:OET458857 OOO458857:OOP458857 OYK458857:OYL458857 PIG458857:PIH458857 PSC458857:PSD458857 QBY458857:QBZ458857 QLU458857:QLV458857 QVQ458857:QVR458857 RFM458857:RFN458857 RPI458857:RPJ458857 RZE458857:RZF458857 SJA458857:SJB458857 SSW458857:SSX458857 TCS458857:TCT458857 TMO458857:TMP458857 TWK458857:TWL458857 UGG458857:UGH458857 UQC458857:UQD458857 UZY458857:UZZ458857 VJU458857:VJV458857 VTQ458857:VTR458857 WDM458857:WDN458857 WNI458857:WNJ458857 WXE458857:WXF458857 KS524393:KT524393 UO524393:UP524393 AEK524393:AEL524393 AOG524393:AOH524393 AYC524393:AYD524393 BHY524393:BHZ524393 BRU524393:BRV524393 CBQ524393:CBR524393 CLM524393:CLN524393 CVI524393:CVJ524393 DFE524393:DFF524393 DPA524393:DPB524393 DYW524393:DYX524393 EIS524393:EIT524393 ESO524393:ESP524393 FCK524393:FCL524393 FMG524393:FMH524393 FWC524393:FWD524393 GFY524393:GFZ524393 GPU524393:GPV524393 GZQ524393:GZR524393 HJM524393:HJN524393 HTI524393:HTJ524393 IDE524393:IDF524393 INA524393:INB524393 IWW524393:IWX524393 JGS524393:JGT524393 JQO524393:JQP524393 KAK524393:KAL524393 KKG524393:KKH524393 KUC524393:KUD524393 LDY524393:LDZ524393 LNU524393:LNV524393 LXQ524393:LXR524393 MHM524393:MHN524393 MRI524393:MRJ524393 NBE524393:NBF524393 NLA524393:NLB524393 NUW524393:NUX524393 OES524393:OET524393 OOO524393:OOP524393 OYK524393:OYL524393 PIG524393:PIH524393 PSC524393:PSD524393 QBY524393:QBZ524393 QLU524393:QLV524393 QVQ524393:QVR524393 RFM524393:RFN524393 RPI524393:RPJ524393 RZE524393:RZF524393 SJA524393:SJB524393 SSW524393:SSX524393 TCS524393:TCT524393 TMO524393:TMP524393 TWK524393:TWL524393 UGG524393:UGH524393 UQC524393:UQD524393 UZY524393:UZZ524393 VJU524393:VJV524393 VTQ524393:VTR524393 WDM524393:WDN524393 WNI524393:WNJ524393 WXE524393:WXF524393 KS589929:KT589929 UO589929:UP589929 AEK589929:AEL589929 AOG589929:AOH589929 AYC589929:AYD589929 BHY589929:BHZ589929 BRU589929:BRV589929 CBQ589929:CBR589929 CLM589929:CLN589929 CVI589929:CVJ589929 DFE589929:DFF589929 DPA589929:DPB589929 DYW589929:DYX589929 EIS589929:EIT589929 ESO589929:ESP589929 FCK589929:FCL589929 FMG589929:FMH589929 FWC589929:FWD589929 GFY589929:GFZ589929 GPU589929:GPV589929 GZQ589929:GZR589929 HJM589929:HJN589929 HTI589929:HTJ589929 IDE589929:IDF589929 INA589929:INB589929 IWW589929:IWX589929 JGS589929:JGT589929 JQO589929:JQP589929 KAK589929:KAL589929 KKG589929:KKH589929 KUC589929:KUD589929 LDY589929:LDZ589929 LNU589929:LNV589929 LXQ589929:LXR589929 MHM589929:MHN589929 MRI589929:MRJ589929 NBE589929:NBF589929 NLA589929:NLB589929 NUW589929:NUX589929 OES589929:OET589929 OOO589929:OOP589929 OYK589929:OYL589929 PIG589929:PIH589929 PSC589929:PSD589929 QBY589929:QBZ589929 QLU589929:QLV589929 QVQ589929:QVR589929 RFM589929:RFN589929 RPI589929:RPJ589929 RZE589929:RZF589929 SJA589929:SJB589929 SSW589929:SSX589929 TCS589929:TCT589929 TMO589929:TMP589929 TWK589929:TWL589929 UGG589929:UGH589929 UQC589929:UQD589929 UZY589929:UZZ589929 VJU589929:VJV589929 VTQ589929:VTR589929 WDM589929:WDN589929 WNI589929:WNJ589929 WXE589929:WXF589929 KS655465:KT655465 UO655465:UP655465 AEK655465:AEL655465 AOG655465:AOH655465 AYC655465:AYD655465 BHY655465:BHZ655465 BRU655465:BRV655465 CBQ655465:CBR655465 CLM655465:CLN655465 CVI655465:CVJ655465 DFE655465:DFF655465 DPA655465:DPB655465 DYW655465:DYX655465 EIS655465:EIT655465 ESO655465:ESP655465 FCK655465:FCL655465 FMG655465:FMH655465 FWC655465:FWD655465 GFY655465:GFZ655465 GPU655465:GPV655465 GZQ655465:GZR655465 HJM655465:HJN655465 HTI655465:HTJ655465 IDE655465:IDF655465 INA655465:INB655465 IWW655465:IWX655465 JGS655465:JGT655465 JQO655465:JQP655465 KAK655465:KAL655465 KKG655465:KKH655465 KUC655465:KUD655465 LDY655465:LDZ655465 LNU655465:LNV655465 LXQ655465:LXR655465 MHM655465:MHN655465 MRI655465:MRJ655465 NBE655465:NBF655465 NLA655465:NLB655465 NUW655465:NUX655465 OES655465:OET655465 OOO655465:OOP655465 OYK655465:OYL655465 PIG655465:PIH655465 PSC655465:PSD655465 QBY655465:QBZ655465 QLU655465:QLV655465 QVQ655465:QVR655465 RFM655465:RFN655465 RPI655465:RPJ655465 RZE655465:RZF655465 SJA655465:SJB655465 SSW655465:SSX655465 TCS655465:TCT655465 TMO655465:TMP655465 TWK655465:TWL655465 UGG655465:UGH655465 UQC655465:UQD655465 UZY655465:UZZ655465 VJU655465:VJV655465 VTQ655465:VTR655465 WDM655465:WDN655465 WNI655465:WNJ655465 WXE655465:WXF655465 KS721001:KT721001 UO721001:UP721001 AEK721001:AEL721001 AOG721001:AOH721001 AYC721001:AYD721001 BHY721001:BHZ721001 BRU721001:BRV721001 CBQ721001:CBR721001 CLM721001:CLN721001 CVI721001:CVJ721001 DFE721001:DFF721001 DPA721001:DPB721001 DYW721001:DYX721001 EIS721001:EIT721001 ESO721001:ESP721001 FCK721001:FCL721001 FMG721001:FMH721001 FWC721001:FWD721001 GFY721001:GFZ721001 GPU721001:GPV721001 GZQ721001:GZR721001 HJM721001:HJN721001 HTI721001:HTJ721001 IDE721001:IDF721001 INA721001:INB721001 IWW721001:IWX721001 JGS721001:JGT721001 JQO721001:JQP721001 KAK721001:KAL721001 KKG721001:KKH721001 KUC721001:KUD721001 LDY721001:LDZ721001 LNU721001:LNV721001 LXQ721001:LXR721001 MHM721001:MHN721001 MRI721001:MRJ721001 NBE721001:NBF721001 NLA721001:NLB721001 NUW721001:NUX721001 OES721001:OET721001 OOO721001:OOP721001 OYK721001:OYL721001 PIG721001:PIH721001 PSC721001:PSD721001 QBY721001:QBZ721001 QLU721001:QLV721001 QVQ721001:QVR721001 RFM721001:RFN721001 RPI721001:RPJ721001 RZE721001:RZF721001 SJA721001:SJB721001 SSW721001:SSX721001 TCS721001:TCT721001 TMO721001:TMP721001 TWK721001:TWL721001 UGG721001:UGH721001 UQC721001:UQD721001 UZY721001:UZZ721001 VJU721001:VJV721001 VTQ721001:VTR721001 WDM721001:WDN721001 WNI721001:WNJ721001 WXE721001:WXF721001 KS786537:KT786537 UO786537:UP786537 AEK786537:AEL786537 AOG786537:AOH786537 AYC786537:AYD786537 BHY786537:BHZ786537 BRU786537:BRV786537 CBQ786537:CBR786537 CLM786537:CLN786537 CVI786537:CVJ786537 DFE786537:DFF786537 DPA786537:DPB786537 DYW786537:DYX786537 EIS786537:EIT786537 ESO786537:ESP786537 FCK786537:FCL786537 FMG786537:FMH786537 FWC786537:FWD786537 GFY786537:GFZ786537 GPU786537:GPV786537 GZQ786537:GZR786537 HJM786537:HJN786537 HTI786537:HTJ786537 IDE786537:IDF786537 INA786537:INB786537 IWW786537:IWX786537 JGS786537:JGT786537 JQO786537:JQP786537 KAK786537:KAL786537 KKG786537:KKH786537 KUC786537:KUD786537 LDY786537:LDZ786537 LNU786537:LNV786537 LXQ786537:LXR786537 MHM786537:MHN786537 MRI786537:MRJ786537 NBE786537:NBF786537 NLA786537:NLB786537 NUW786537:NUX786537 OES786537:OET786537 OOO786537:OOP786537 OYK786537:OYL786537 PIG786537:PIH786537 PSC786537:PSD786537 QBY786537:QBZ786537 QLU786537:QLV786537 QVQ786537:QVR786537 RFM786537:RFN786537 RPI786537:RPJ786537 RZE786537:RZF786537 SJA786537:SJB786537 SSW786537:SSX786537 TCS786537:TCT786537 TMO786537:TMP786537 TWK786537:TWL786537 UGG786537:UGH786537 UQC786537:UQD786537 UZY786537:UZZ786537 VJU786537:VJV786537 VTQ786537:VTR786537 WDM786537:WDN786537 WNI786537:WNJ786537 WXE786537:WXF786537 KS852073:KT852073 UO852073:UP852073 AEK852073:AEL852073 AOG852073:AOH852073 AYC852073:AYD852073 BHY852073:BHZ852073 BRU852073:BRV852073 CBQ852073:CBR852073 CLM852073:CLN852073 CVI852073:CVJ852073 DFE852073:DFF852073 DPA852073:DPB852073 DYW852073:DYX852073 EIS852073:EIT852073 ESO852073:ESP852073 FCK852073:FCL852073 FMG852073:FMH852073 FWC852073:FWD852073 GFY852073:GFZ852073 GPU852073:GPV852073 GZQ852073:GZR852073 HJM852073:HJN852073 HTI852073:HTJ852073 IDE852073:IDF852073 INA852073:INB852073 IWW852073:IWX852073 JGS852073:JGT852073 JQO852073:JQP852073 KAK852073:KAL852073 KKG852073:KKH852073 KUC852073:KUD852073 LDY852073:LDZ852073 LNU852073:LNV852073 LXQ852073:LXR852073 MHM852073:MHN852073 MRI852073:MRJ852073 NBE852073:NBF852073 NLA852073:NLB852073 NUW852073:NUX852073 OES852073:OET852073 OOO852073:OOP852073 OYK852073:OYL852073 PIG852073:PIH852073 PSC852073:PSD852073 QBY852073:QBZ852073 QLU852073:QLV852073 QVQ852073:QVR852073 RFM852073:RFN852073 RPI852073:RPJ852073 RZE852073:RZF852073 SJA852073:SJB852073 SSW852073:SSX852073 TCS852073:TCT852073 TMO852073:TMP852073 TWK852073:TWL852073 UGG852073:UGH852073 UQC852073:UQD852073 UZY852073:UZZ852073 VJU852073:VJV852073 VTQ852073:VTR852073 WDM852073:WDN852073 WNI852073:WNJ852073 WXE852073:WXF852073 KS917609:KT917609 UO917609:UP917609 AEK917609:AEL917609 AOG917609:AOH917609 AYC917609:AYD917609 BHY917609:BHZ917609 BRU917609:BRV917609 CBQ917609:CBR917609 CLM917609:CLN917609 CVI917609:CVJ917609 DFE917609:DFF917609 DPA917609:DPB917609 DYW917609:DYX917609 EIS917609:EIT917609 ESO917609:ESP917609 FCK917609:FCL917609 FMG917609:FMH917609 FWC917609:FWD917609 GFY917609:GFZ917609 GPU917609:GPV917609 GZQ917609:GZR917609 HJM917609:HJN917609 HTI917609:HTJ917609 IDE917609:IDF917609 INA917609:INB917609 IWW917609:IWX917609 JGS917609:JGT917609 JQO917609:JQP917609 KAK917609:KAL917609 KKG917609:KKH917609 KUC917609:KUD917609 LDY917609:LDZ917609 LNU917609:LNV917609 LXQ917609:LXR917609 MHM917609:MHN917609 MRI917609:MRJ917609 NBE917609:NBF917609 NLA917609:NLB917609 NUW917609:NUX917609 OES917609:OET917609 OOO917609:OOP917609 OYK917609:OYL917609 PIG917609:PIH917609 PSC917609:PSD917609 QBY917609:QBZ917609 QLU917609:QLV917609 QVQ917609:QVR917609 RFM917609:RFN917609 RPI917609:RPJ917609 RZE917609:RZF917609 SJA917609:SJB917609 SSW917609:SSX917609 TCS917609:TCT917609 TMO917609:TMP917609 TWK917609:TWL917609 UGG917609:UGH917609 UQC917609:UQD917609 UZY917609:UZZ917609 VJU917609:VJV917609 VTQ917609:VTR917609 WDM917609:WDN917609 WNI917609:WNJ917609 WXE917609:WXF917609 KS983145:KT983145 UO983145:UP983145 AEK983145:AEL983145 AOG983145:AOH983145 AYC983145:AYD983145 BHY983145:BHZ983145 BRU983145:BRV983145 CBQ983145:CBR983145 CLM983145:CLN983145 CVI983145:CVJ983145 DFE983145:DFF983145 DPA983145:DPB983145 DYW983145:DYX983145 EIS983145:EIT983145 ESO983145:ESP983145 FCK983145:FCL983145 FMG983145:FMH983145 FWC983145:FWD983145 GFY983145:GFZ983145 GPU983145:GPV983145 GZQ983145:GZR983145 HJM983145:HJN983145 HTI983145:HTJ983145 IDE983145:IDF983145 INA983145:INB983145 IWW983145:IWX983145 JGS983145:JGT983145 JQO983145:JQP983145 KAK983145:KAL983145 KKG983145:KKH983145 KUC983145:KUD983145 LDY983145:LDZ983145 LNU983145:LNV983145 LXQ983145:LXR983145 MHM983145:MHN983145 MRI983145:MRJ983145 NBE983145:NBF983145 NLA983145:NLB983145 NUW983145:NUX983145 OES983145:OET983145 OOO983145:OOP983145 OYK983145:OYL983145 PIG983145:PIH983145 PSC983145:PSD983145 QBY983145:QBZ983145 QLU983145:QLV983145 QVQ983145:QVR983145 RFM983145:RFN983145 RPI983145:RPJ983145 RZE983145:RZF983145 SJA983145:SJB983145 SSW983145:SSX983145 TCS983145:TCT983145 TMO983145:TMP983145 TWK983145:TWL983145 UGG983145:UGH983145 UQC983145:UQD983145 UZY983145:UZZ983145 VJU983145:VJV983145 VTQ983145:VTR983145 WDM983145:WDN983145 WNI983145:WNJ983145 WXE983145:WXF983145 KS917622:KT917626 UO917622:UP917626 AEK917622:AEL917626 AOG917622:AOH917626 AYC917622:AYD917626 BHY917622:BHZ917626 BRU917622:BRV917626 CBQ917622:CBR917626 CLM917622:CLN917626 CVI917622:CVJ917626 DFE917622:DFF917626 DPA917622:DPB917626 DYW917622:DYX917626 EIS917622:EIT917626 ESO917622:ESP917626 FCK917622:FCL917626 FMG917622:FMH917626 FWC917622:FWD917626 GFY917622:GFZ917626 GPU917622:GPV917626 GZQ917622:GZR917626 HJM917622:HJN917626 HTI917622:HTJ917626 IDE917622:IDF917626 INA917622:INB917626 IWW917622:IWX917626 JGS917622:JGT917626 JQO917622:JQP917626 KAK917622:KAL917626 KKG917622:KKH917626 KUC917622:KUD917626 LDY917622:LDZ917626 LNU917622:LNV917626 LXQ917622:LXR917626 MHM917622:MHN917626 MRI917622:MRJ917626 NBE917622:NBF917626 NLA917622:NLB917626 NUW917622:NUX917626 OES917622:OET917626 OOO917622:OOP917626 OYK917622:OYL917626 PIG917622:PIH917626 PSC917622:PSD917626 QBY917622:QBZ917626 QLU917622:QLV917626 QVQ917622:QVR917626 RFM917622:RFN917626 RPI917622:RPJ917626 RZE917622:RZF917626 SJA917622:SJB917626 SSW917622:SSX917626 TCS917622:TCT917626 TMO917622:TMP917626 TWK917622:TWL917626 UGG917622:UGH917626 UQC917622:UQD917626 UZY917622:UZZ917626 VJU917622:VJV917626 VTQ917622:VTR917626 WDM917622:WDN917626 WNI917622:WNJ917626 WXE917622:WXF917626 KS65634:KT65634 UO65634:UP65634 AEK65634:AEL65634 AOG65634:AOH65634 AYC65634:AYD65634 BHY65634:BHZ65634 BRU65634:BRV65634 CBQ65634:CBR65634 CLM65634:CLN65634 CVI65634:CVJ65634 DFE65634:DFF65634 DPA65634:DPB65634 DYW65634:DYX65634 EIS65634:EIT65634 ESO65634:ESP65634 FCK65634:FCL65634 FMG65634:FMH65634 FWC65634:FWD65634 GFY65634:GFZ65634 GPU65634:GPV65634 GZQ65634:GZR65634 HJM65634:HJN65634 HTI65634:HTJ65634 IDE65634:IDF65634 INA65634:INB65634 IWW65634:IWX65634 JGS65634:JGT65634 JQO65634:JQP65634 KAK65634:KAL65634 KKG65634:KKH65634 KUC65634:KUD65634 LDY65634:LDZ65634 LNU65634:LNV65634 LXQ65634:LXR65634 MHM65634:MHN65634 MRI65634:MRJ65634 NBE65634:NBF65634 NLA65634:NLB65634 NUW65634:NUX65634 OES65634:OET65634 OOO65634:OOP65634 OYK65634:OYL65634 PIG65634:PIH65634 PSC65634:PSD65634 QBY65634:QBZ65634 QLU65634:QLV65634 QVQ65634:QVR65634 RFM65634:RFN65634 RPI65634:RPJ65634 RZE65634:RZF65634 SJA65634:SJB65634 SSW65634:SSX65634 TCS65634:TCT65634 TMO65634:TMP65634 TWK65634:TWL65634 UGG65634:UGH65634 UQC65634:UQD65634 UZY65634:UZZ65634 VJU65634:VJV65634 VTQ65634:VTR65634 WDM65634:WDN65634 WNI65634:WNJ65634 WXE65634:WXF65634 KS131170:KT131170 UO131170:UP131170 AEK131170:AEL131170 AOG131170:AOH131170 AYC131170:AYD131170 BHY131170:BHZ131170 BRU131170:BRV131170 CBQ131170:CBR131170 CLM131170:CLN131170 CVI131170:CVJ131170 DFE131170:DFF131170 DPA131170:DPB131170 DYW131170:DYX131170 EIS131170:EIT131170 ESO131170:ESP131170 FCK131170:FCL131170 FMG131170:FMH131170 FWC131170:FWD131170 GFY131170:GFZ131170 GPU131170:GPV131170 GZQ131170:GZR131170 HJM131170:HJN131170 HTI131170:HTJ131170 IDE131170:IDF131170 INA131170:INB131170 IWW131170:IWX131170 JGS131170:JGT131170 JQO131170:JQP131170 KAK131170:KAL131170 KKG131170:KKH131170 KUC131170:KUD131170 LDY131170:LDZ131170 LNU131170:LNV131170 LXQ131170:LXR131170 MHM131170:MHN131170 MRI131170:MRJ131170 NBE131170:NBF131170 NLA131170:NLB131170 NUW131170:NUX131170 OES131170:OET131170 OOO131170:OOP131170 OYK131170:OYL131170 PIG131170:PIH131170 PSC131170:PSD131170 QBY131170:QBZ131170 QLU131170:QLV131170 QVQ131170:QVR131170 RFM131170:RFN131170 RPI131170:RPJ131170 RZE131170:RZF131170 SJA131170:SJB131170 SSW131170:SSX131170 TCS131170:TCT131170 TMO131170:TMP131170 TWK131170:TWL131170 UGG131170:UGH131170 UQC131170:UQD131170 UZY131170:UZZ131170 VJU131170:VJV131170 VTQ131170:VTR131170 WDM131170:WDN131170 WNI131170:WNJ131170 WXE131170:WXF131170 KS196706:KT196706 UO196706:UP196706 AEK196706:AEL196706 AOG196706:AOH196706 AYC196706:AYD196706 BHY196706:BHZ196706 BRU196706:BRV196706 CBQ196706:CBR196706 CLM196706:CLN196706 CVI196706:CVJ196706 DFE196706:DFF196706 DPA196706:DPB196706 DYW196706:DYX196706 EIS196706:EIT196706 ESO196706:ESP196706 FCK196706:FCL196706 FMG196706:FMH196706 FWC196706:FWD196706 GFY196706:GFZ196706 GPU196706:GPV196706 GZQ196706:GZR196706 HJM196706:HJN196706 HTI196706:HTJ196706 IDE196706:IDF196706 INA196706:INB196706 IWW196706:IWX196706 JGS196706:JGT196706 JQO196706:JQP196706 KAK196706:KAL196706 KKG196706:KKH196706 KUC196706:KUD196706 LDY196706:LDZ196706 LNU196706:LNV196706 LXQ196706:LXR196706 MHM196706:MHN196706 MRI196706:MRJ196706 NBE196706:NBF196706 NLA196706:NLB196706 NUW196706:NUX196706 OES196706:OET196706 OOO196706:OOP196706 OYK196706:OYL196706 PIG196706:PIH196706 PSC196706:PSD196706 QBY196706:QBZ196706 QLU196706:QLV196706 QVQ196706:QVR196706 RFM196706:RFN196706 RPI196706:RPJ196706 RZE196706:RZF196706 SJA196706:SJB196706 SSW196706:SSX196706 TCS196706:TCT196706 TMO196706:TMP196706 TWK196706:TWL196706 UGG196706:UGH196706 UQC196706:UQD196706 UZY196706:UZZ196706 VJU196706:VJV196706 VTQ196706:VTR196706 WDM196706:WDN196706 WNI196706:WNJ196706 WXE196706:WXF196706 KS262242:KT262242 UO262242:UP262242 AEK262242:AEL262242 AOG262242:AOH262242 AYC262242:AYD262242 BHY262242:BHZ262242 BRU262242:BRV262242 CBQ262242:CBR262242 CLM262242:CLN262242 CVI262242:CVJ262242 DFE262242:DFF262242 DPA262242:DPB262242 DYW262242:DYX262242 EIS262242:EIT262242 ESO262242:ESP262242 FCK262242:FCL262242 FMG262242:FMH262242 FWC262242:FWD262242 GFY262242:GFZ262242 GPU262242:GPV262242 GZQ262242:GZR262242 HJM262242:HJN262242 HTI262242:HTJ262242 IDE262242:IDF262242 INA262242:INB262242 IWW262242:IWX262242 JGS262242:JGT262242 JQO262242:JQP262242 KAK262242:KAL262242 KKG262242:KKH262242 KUC262242:KUD262242 LDY262242:LDZ262242 LNU262242:LNV262242 LXQ262242:LXR262242 MHM262242:MHN262242 MRI262242:MRJ262242 NBE262242:NBF262242 NLA262242:NLB262242 NUW262242:NUX262242 OES262242:OET262242 OOO262242:OOP262242 OYK262242:OYL262242 PIG262242:PIH262242 PSC262242:PSD262242 QBY262242:QBZ262242 QLU262242:QLV262242 QVQ262242:QVR262242 RFM262242:RFN262242 RPI262242:RPJ262242 RZE262242:RZF262242 SJA262242:SJB262242 SSW262242:SSX262242 TCS262242:TCT262242 TMO262242:TMP262242 TWK262242:TWL262242 UGG262242:UGH262242 UQC262242:UQD262242 UZY262242:UZZ262242 VJU262242:VJV262242 VTQ262242:VTR262242 WDM262242:WDN262242 WNI262242:WNJ262242 WXE262242:WXF262242 KS327778:KT327778 UO327778:UP327778 AEK327778:AEL327778 AOG327778:AOH327778 AYC327778:AYD327778 BHY327778:BHZ327778 BRU327778:BRV327778 CBQ327778:CBR327778 CLM327778:CLN327778 CVI327778:CVJ327778 DFE327778:DFF327778 DPA327778:DPB327778 DYW327778:DYX327778 EIS327778:EIT327778 ESO327778:ESP327778 FCK327778:FCL327778 FMG327778:FMH327778 FWC327778:FWD327778 GFY327778:GFZ327778 GPU327778:GPV327778 GZQ327778:GZR327778 HJM327778:HJN327778 HTI327778:HTJ327778 IDE327778:IDF327778 INA327778:INB327778 IWW327778:IWX327778 JGS327778:JGT327778 JQO327778:JQP327778 KAK327778:KAL327778 KKG327778:KKH327778 KUC327778:KUD327778 LDY327778:LDZ327778 LNU327778:LNV327778 LXQ327778:LXR327778 MHM327778:MHN327778 MRI327778:MRJ327778 NBE327778:NBF327778 NLA327778:NLB327778 NUW327778:NUX327778 OES327778:OET327778 OOO327778:OOP327778 OYK327778:OYL327778 PIG327778:PIH327778 PSC327778:PSD327778 QBY327778:QBZ327778 QLU327778:QLV327778 QVQ327778:QVR327778 RFM327778:RFN327778 RPI327778:RPJ327778 RZE327778:RZF327778 SJA327778:SJB327778 SSW327778:SSX327778 TCS327778:TCT327778 TMO327778:TMP327778 TWK327778:TWL327778 UGG327778:UGH327778 UQC327778:UQD327778 UZY327778:UZZ327778 VJU327778:VJV327778 VTQ327778:VTR327778 WDM327778:WDN327778 WNI327778:WNJ327778 WXE327778:WXF327778 KS393314:KT393314 UO393314:UP393314 AEK393314:AEL393314 AOG393314:AOH393314 AYC393314:AYD393314 BHY393314:BHZ393314 BRU393314:BRV393314 CBQ393314:CBR393314 CLM393314:CLN393314 CVI393314:CVJ393314 DFE393314:DFF393314 DPA393314:DPB393314 DYW393314:DYX393314 EIS393314:EIT393314 ESO393314:ESP393314 FCK393314:FCL393314 FMG393314:FMH393314 FWC393314:FWD393314 GFY393314:GFZ393314 GPU393314:GPV393314 GZQ393314:GZR393314 HJM393314:HJN393314 HTI393314:HTJ393314 IDE393314:IDF393314 INA393314:INB393314 IWW393314:IWX393314 JGS393314:JGT393314 JQO393314:JQP393314 KAK393314:KAL393314 KKG393314:KKH393314 KUC393314:KUD393314 LDY393314:LDZ393314 LNU393314:LNV393314 LXQ393314:LXR393314 MHM393314:MHN393314 MRI393314:MRJ393314 NBE393314:NBF393314 NLA393314:NLB393314 NUW393314:NUX393314 OES393314:OET393314 OOO393314:OOP393314 OYK393314:OYL393314 PIG393314:PIH393314 PSC393314:PSD393314 QBY393314:QBZ393314 QLU393314:QLV393314 QVQ393314:QVR393314 RFM393314:RFN393314 RPI393314:RPJ393314 RZE393314:RZF393314 SJA393314:SJB393314 SSW393314:SSX393314 TCS393314:TCT393314 TMO393314:TMP393314 TWK393314:TWL393314 UGG393314:UGH393314 UQC393314:UQD393314 UZY393314:UZZ393314 VJU393314:VJV393314 VTQ393314:VTR393314 WDM393314:WDN393314 WNI393314:WNJ393314 WXE393314:WXF393314 KS458850:KT458850 UO458850:UP458850 AEK458850:AEL458850 AOG458850:AOH458850 AYC458850:AYD458850 BHY458850:BHZ458850 BRU458850:BRV458850 CBQ458850:CBR458850 CLM458850:CLN458850 CVI458850:CVJ458850 DFE458850:DFF458850 DPA458850:DPB458850 DYW458850:DYX458850 EIS458850:EIT458850 ESO458850:ESP458850 FCK458850:FCL458850 FMG458850:FMH458850 FWC458850:FWD458850 GFY458850:GFZ458850 GPU458850:GPV458850 GZQ458850:GZR458850 HJM458850:HJN458850 HTI458850:HTJ458850 IDE458850:IDF458850 INA458850:INB458850 IWW458850:IWX458850 JGS458850:JGT458850 JQO458850:JQP458850 KAK458850:KAL458850 KKG458850:KKH458850 KUC458850:KUD458850 LDY458850:LDZ458850 LNU458850:LNV458850 LXQ458850:LXR458850 MHM458850:MHN458850 MRI458850:MRJ458850 NBE458850:NBF458850 NLA458850:NLB458850 NUW458850:NUX458850 OES458850:OET458850 OOO458850:OOP458850 OYK458850:OYL458850 PIG458850:PIH458850 PSC458850:PSD458850 QBY458850:QBZ458850 QLU458850:QLV458850 QVQ458850:QVR458850 RFM458850:RFN458850 RPI458850:RPJ458850 RZE458850:RZF458850 SJA458850:SJB458850 SSW458850:SSX458850 TCS458850:TCT458850 TMO458850:TMP458850 TWK458850:TWL458850 UGG458850:UGH458850 UQC458850:UQD458850 UZY458850:UZZ458850 VJU458850:VJV458850 VTQ458850:VTR458850 WDM458850:WDN458850 WNI458850:WNJ458850 WXE458850:WXF458850 KS524386:KT524386 UO524386:UP524386 AEK524386:AEL524386 AOG524386:AOH524386 AYC524386:AYD524386 BHY524386:BHZ524386 BRU524386:BRV524386 CBQ524386:CBR524386 CLM524386:CLN524386 CVI524386:CVJ524386 DFE524386:DFF524386 DPA524386:DPB524386 DYW524386:DYX524386 EIS524386:EIT524386 ESO524386:ESP524386 FCK524386:FCL524386 FMG524386:FMH524386 FWC524386:FWD524386 GFY524386:GFZ524386 GPU524386:GPV524386 GZQ524386:GZR524386 HJM524386:HJN524386 HTI524386:HTJ524386 IDE524386:IDF524386 INA524386:INB524386 IWW524386:IWX524386 JGS524386:JGT524386 JQO524386:JQP524386 KAK524386:KAL524386 KKG524386:KKH524386 KUC524386:KUD524386 LDY524386:LDZ524386 LNU524386:LNV524386 LXQ524386:LXR524386 MHM524386:MHN524386 MRI524386:MRJ524386 NBE524386:NBF524386 NLA524386:NLB524386 NUW524386:NUX524386 OES524386:OET524386 OOO524386:OOP524386 OYK524386:OYL524386 PIG524386:PIH524386 PSC524386:PSD524386 QBY524386:QBZ524386 QLU524386:QLV524386 QVQ524386:QVR524386 RFM524386:RFN524386 RPI524386:RPJ524386 RZE524386:RZF524386 SJA524386:SJB524386 SSW524386:SSX524386 TCS524386:TCT524386 TMO524386:TMP524386 TWK524386:TWL524386 UGG524386:UGH524386 UQC524386:UQD524386 UZY524386:UZZ524386 VJU524386:VJV524386 VTQ524386:VTR524386 WDM524386:WDN524386 WNI524386:WNJ524386 WXE524386:WXF524386 KS589922:KT589922 UO589922:UP589922 AEK589922:AEL589922 AOG589922:AOH589922 AYC589922:AYD589922 BHY589922:BHZ589922 BRU589922:BRV589922 CBQ589922:CBR589922 CLM589922:CLN589922 CVI589922:CVJ589922 DFE589922:DFF589922 DPA589922:DPB589922 DYW589922:DYX589922 EIS589922:EIT589922 ESO589922:ESP589922 FCK589922:FCL589922 FMG589922:FMH589922 FWC589922:FWD589922 GFY589922:GFZ589922 GPU589922:GPV589922 GZQ589922:GZR589922 HJM589922:HJN589922 HTI589922:HTJ589922 IDE589922:IDF589922 INA589922:INB589922 IWW589922:IWX589922 JGS589922:JGT589922 JQO589922:JQP589922 KAK589922:KAL589922 KKG589922:KKH589922 KUC589922:KUD589922 LDY589922:LDZ589922 LNU589922:LNV589922 LXQ589922:LXR589922 MHM589922:MHN589922 MRI589922:MRJ589922 NBE589922:NBF589922 NLA589922:NLB589922 NUW589922:NUX589922 OES589922:OET589922 OOO589922:OOP589922 OYK589922:OYL589922 PIG589922:PIH589922 PSC589922:PSD589922 QBY589922:QBZ589922 QLU589922:QLV589922 QVQ589922:QVR589922 RFM589922:RFN589922 RPI589922:RPJ589922 RZE589922:RZF589922 SJA589922:SJB589922 SSW589922:SSX589922 TCS589922:TCT589922 TMO589922:TMP589922 TWK589922:TWL589922 UGG589922:UGH589922 UQC589922:UQD589922 UZY589922:UZZ589922 VJU589922:VJV589922 VTQ589922:VTR589922 WDM589922:WDN589922 WNI589922:WNJ589922 WXE589922:WXF589922 KS655458:KT655458 UO655458:UP655458 AEK655458:AEL655458 AOG655458:AOH655458 AYC655458:AYD655458 BHY655458:BHZ655458 BRU655458:BRV655458 CBQ655458:CBR655458 CLM655458:CLN655458 CVI655458:CVJ655458 DFE655458:DFF655458 DPA655458:DPB655458 DYW655458:DYX655458 EIS655458:EIT655458 ESO655458:ESP655458 FCK655458:FCL655458 FMG655458:FMH655458 FWC655458:FWD655458 GFY655458:GFZ655458 GPU655458:GPV655458 GZQ655458:GZR655458 HJM655458:HJN655458 HTI655458:HTJ655458 IDE655458:IDF655458 INA655458:INB655458 IWW655458:IWX655458 JGS655458:JGT655458 JQO655458:JQP655458 KAK655458:KAL655458 KKG655458:KKH655458 KUC655458:KUD655458 LDY655458:LDZ655458 LNU655458:LNV655458 LXQ655458:LXR655458 MHM655458:MHN655458 MRI655458:MRJ655458 NBE655458:NBF655458 NLA655458:NLB655458 NUW655458:NUX655458 OES655458:OET655458 OOO655458:OOP655458 OYK655458:OYL655458 PIG655458:PIH655458 PSC655458:PSD655458 QBY655458:QBZ655458 QLU655458:QLV655458 QVQ655458:QVR655458 RFM655458:RFN655458 RPI655458:RPJ655458 RZE655458:RZF655458 SJA655458:SJB655458 SSW655458:SSX655458 TCS655458:TCT655458 TMO655458:TMP655458 TWK655458:TWL655458 UGG655458:UGH655458 UQC655458:UQD655458 UZY655458:UZZ655458 VJU655458:VJV655458 VTQ655458:VTR655458 WDM655458:WDN655458 WNI655458:WNJ655458 WXE655458:WXF655458 KS720994:KT720994 UO720994:UP720994 AEK720994:AEL720994 AOG720994:AOH720994 AYC720994:AYD720994 BHY720994:BHZ720994 BRU720994:BRV720994 CBQ720994:CBR720994 CLM720994:CLN720994 CVI720994:CVJ720994 DFE720994:DFF720994 DPA720994:DPB720994 DYW720994:DYX720994 EIS720994:EIT720994 ESO720994:ESP720994 FCK720994:FCL720994 FMG720994:FMH720994 FWC720994:FWD720994 GFY720994:GFZ720994 GPU720994:GPV720994 GZQ720994:GZR720994 HJM720994:HJN720994 HTI720994:HTJ720994 IDE720994:IDF720994 INA720994:INB720994 IWW720994:IWX720994 JGS720994:JGT720994 JQO720994:JQP720994 KAK720994:KAL720994 KKG720994:KKH720994 KUC720994:KUD720994 LDY720994:LDZ720994 LNU720994:LNV720994 LXQ720994:LXR720994 MHM720994:MHN720994 MRI720994:MRJ720994 NBE720994:NBF720994 NLA720994:NLB720994 NUW720994:NUX720994 OES720994:OET720994 OOO720994:OOP720994 OYK720994:OYL720994 PIG720994:PIH720994 PSC720994:PSD720994 QBY720994:QBZ720994 QLU720994:QLV720994 QVQ720994:QVR720994 RFM720994:RFN720994 RPI720994:RPJ720994 RZE720994:RZF720994 SJA720994:SJB720994 SSW720994:SSX720994 TCS720994:TCT720994 TMO720994:TMP720994 TWK720994:TWL720994 UGG720994:UGH720994 UQC720994:UQD720994 UZY720994:UZZ720994 VJU720994:VJV720994 VTQ720994:VTR720994 WDM720994:WDN720994 WNI720994:WNJ720994 WXE720994:WXF720994 KS786530:KT786530 UO786530:UP786530 AEK786530:AEL786530 AOG786530:AOH786530 AYC786530:AYD786530 BHY786530:BHZ786530 BRU786530:BRV786530 CBQ786530:CBR786530 CLM786530:CLN786530 CVI786530:CVJ786530 DFE786530:DFF786530 DPA786530:DPB786530 DYW786530:DYX786530 EIS786530:EIT786530 ESO786530:ESP786530 FCK786530:FCL786530 FMG786530:FMH786530 FWC786530:FWD786530 GFY786530:GFZ786530 GPU786530:GPV786530 GZQ786530:GZR786530 HJM786530:HJN786530 HTI786530:HTJ786530 IDE786530:IDF786530 INA786530:INB786530 IWW786530:IWX786530 JGS786530:JGT786530 JQO786530:JQP786530 KAK786530:KAL786530 KKG786530:KKH786530 KUC786530:KUD786530 LDY786530:LDZ786530 LNU786530:LNV786530 LXQ786530:LXR786530 MHM786530:MHN786530 MRI786530:MRJ786530 NBE786530:NBF786530 NLA786530:NLB786530 NUW786530:NUX786530 OES786530:OET786530 OOO786530:OOP786530 OYK786530:OYL786530 PIG786530:PIH786530 PSC786530:PSD786530 QBY786530:QBZ786530 QLU786530:QLV786530 QVQ786530:QVR786530 RFM786530:RFN786530 RPI786530:RPJ786530 RZE786530:RZF786530 SJA786530:SJB786530 SSW786530:SSX786530 TCS786530:TCT786530 TMO786530:TMP786530 TWK786530:TWL786530 UGG786530:UGH786530 UQC786530:UQD786530 UZY786530:UZZ786530 VJU786530:VJV786530 VTQ786530:VTR786530 WDM786530:WDN786530 WNI786530:WNJ786530 WXE786530:WXF786530 KS852066:KT852066 UO852066:UP852066 AEK852066:AEL852066 AOG852066:AOH852066 AYC852066:AYD852066 BHY852066:BHZ852066 BRU852066:BRV852066 CBQ852066:CBR852066 CLM852066:CLN852066 CVI852066:CVJ852066 DFE852066:DFF852066 DPA852066:DPB852066 DYW852066:DYX852066 EIS852066:EIT852066 ESO852066:ESP852066 FCK852066:FCL852066 FMG852066:FMH852066 FWC852066:FWD852066 GFY852066:GFZ852066 GPU852066:GPV852066 GZQ852066:GZR852066 HJM852066:HJN852066 HTI852066:HTJ852066 IDE852066:IDF852066 INA852066:INB852066 IWW852066:IWX852066 JGS852066:JGT852066 JQO852066:JQP852066 KAK852066:KAL852066 KKG852066:KKH852066 KUC852066:KUD852066 LDY852066:LDZ852066 LNU852066:LNV852066 LXQ852066:LXR852066 MHM852066:MHN852066 MRI852066:MRJ852066 NBE852066:NBF852066 NLA852066:NLB852066 NUW852066:NUX852066 OES852066:OET852066 OOO852066:OOP852066 OYK852066:OYL852066 PIG852066:PIH852066 PSC852066:PSD852066 QBY852066:QBZ852066 QLU852066:QLV852066 QVQ852066:QVR852066 RFM852066:RFN852066 RPI852066:RPJ852066 RZE852066:RZF852066 SJA852066:SJB852066 SSW852066:SSX852066 TCS852066:TCT852066 TMO852066:TMP852066 TWK852066:TWL852066 UGG852066:UGH852066 UQC852066:UQD852066 UZY852066:UZZ852066 VJU852066:VJV852066 VTQ852066:VTR852066 WDM852066:WDN852066 WNI852066:WNJ852066 WXE852066:WXF852066 KS917602:KT917602 UO917602:UP917602 AEK917602:AEL917602 AOG917602:AOH917602 AYC917602:AYD917602 BHY917602:BHZ917602 BRU917602:BRV917602 CBQ917602:CBR917602 CLM917602:CLN917602 CVI917602:CVJ917602 DFE917602:DFF917602 DPA917602:DPB917602 DYW917602:DYX917602 EIS917602:EIT917602 ESO917602:ESP917602 FCK917602:FCL917602 FMG917602:FMH917602 FWC917602:FWD917602 GFY917602:GFZ917602 GPU917602:GPV917602 GZQ917602:GZR917602 HJM917602:HJN917602 HTI917602:HTJ917602 IDE917602:IDF917602 INA917602:INB917602 IWW917602:IWX917602 JGS917602:JGT917602 JQO917602:JQP917602 KAK917602:KAL917602 KKG917602:KKH917602 KUC917602:KUD917602 LDY917602:LDZ917602 LNU917602:LNV917602 LXQ917602:LXR917602 MHM917602:MHN917602 MRI917602:MRJ917602 NBE917602:NBF917602 NLA917602:NLB917602 NUW917602:NUX917602 OES917602:OET917602 OOO917602:OOP917602 OYK917602:OYL917602 PIG917602:PIH917602 PSC917602:PSD917602 QBY917602:QBZ917602 QLU917602:QLV917602 QVQ917602:QVR917602 RFM917602:RFN917602 RPI917602:RPJ917602 RZE917602:RZF917602 SJA917602:SJB917602 SSW917602:SSX917602 TCS917602:TCT917602 TMO917602:TMP917602 TWK917602:TWL917602 UGG917602:UGH917602 UQC917602:UQD917602 UZY917602:UZZ917602 VJU917602:VJV917602 VTQ917602:VTR917602 WDM917602:WDN917602 WNI917602:WNJ917602 WXE917602:WXF917602 KS321:KT323 WXE321:WXF323 WNI321:WNJ323 WDM321:WDN323 VTQ321:VTR323 VJU321:VJV323 UZY321:UZZ323 UQC321:UQD323 UGG321:UGH323 TWK321:TWL323 TMO321:TMP323 TCS321:TCT323 SSW321:SSX323 SJA321:SJB323 RZE321:RZF323 RPI321:RPJ323 RFM321:RFN323 QVQ321:QVR323 QLU321:QLV323 QBY321:QBZ323 PSC321:PSD323 PIG321:PIH323 OYK321:OYL323 OOO321:OOP323 OES321:OET323 NUW321:NUX323 NLA321:NLB323 NBE321:NBF323 MRI321:MRJ323 MHM321:MHN323 LXQ321:LXR323 LNU321:LNV323 LDY321:LDZ323 KUC321:KUD323 KKG321:KKH323 KAK321:KAL323 JQO321:JQP323 JGS321:JGT323 IWW321:IWX323 INA321:INB323 IDE321:IDF323 HTI321:HTJ323 HJM321:HJN323 GZQ321:GZR323 GPU321:GPV323 GFY321:GFZ323 FWC321:FWD323 FMG321:FMH323 FCK321:FCL323 ESO321:ESP323 EIS321:EIT323 DYW321:DYX323 DPA321:DPB323 DFE321:DFF323 CVI321:CVJ323 CLM321:CLN323 CBQ321:CBR323 BRU321:BRV323 BHY321:BHZ323 AYC321:AYD323 AOG321:AOH323 AEK321:AEL323 UO321:UP323 WDM365:WDN367 VTQ365:VTR367 VJU365:VJV367 UZY365:UZZ367 UQC365:UQD367 UGG365:UGH367 TWK365:TWL367 TMO365:TMP367 TCS365:TCT367 SSW365:SSX367 SJA365:SJB367 RZE365:RZF367 RPI365:RPJ367 RFM365:RFN367 QVQ365:QVR367 QLU365:QLV367 QBY365:QBZ367 PSC365:PSD367 PIG365:PIH367 OYK365:OYL367 OOO365:OOP367 OES365:OET367 NUW365:NUX367 NLA365:NLB367 NBE365:NBF367 MRI365:MRJ367 MHM365:MHN367 LXQ365:LXR367 LNU365:LNV367 LDY365:LDZ367 KUC365:KUD367 KKG365:KKH367 KAK365:KAL367 JQO365:JQP367 JGS365:JGT367 IWW365:IWX367 INA365:INB367 IDE365:IDF367 HTI365:HTJ367 HJM365:HJN367 GZQ365:GZR367 GPU365:GPV367 GFY365:GFZ367 FWC365:FWD367 FMG365:FMH367 FCK365:FCL367 ESO365:ESP367 EIS365:EIT367 DYW365:DYX367 DPA365:DPB367 DFE365:DFF367 CVI365:CVJ367 CLM365:CLN367 CBQ365:CBR367 BRU365:BRV367 BHY365:BHZ367 AYC365:AYD367 AOG365:AOH367 AEK365:AEL367 UO365:UP367 KS365:KT367 WXE365:WXF367 WNI365:WNJ367 WDE338:WDF338 WDM400:WDN402 VTQ400:VTR402 VJU400:VJV402 UZY400:UZZ402 UQC400:UQD402 UGG400:UGH402 TWK400:TWL402 TMO400:TMP402 TCS400:TCT402 SSW400:SSX402 SJA400:SJB402 RZE400:RZF402 RPI400:RPJ402 RFM400:RFN402 QVQ400:QVR402 QLU400:QLV402 QBY400:QBZ402 PSC400:PSD402 PIG400:PIH402 OYK400:OYL402 OOO400:OOP402 OES400:OET402 NUW400:NUX402 NLA400:NLB402 NBE400:NBF402 MRI400:MRJ402 MHM400:MHN402 LXQ400:LXR402 LNU400:LNV402 LDY400:LDZ402 KUC400:KUD402 KKG400:KKH402 KAK400:KAL402 JQO400:JQP402 JGS400:JGT402 IWW400:IWX402 INA400:INB402 IDE400:IDF402 HTI400:HTJ402 HJM400:HJN402 GZQ400:GZR402 GPU400:GPV402 GFY400:GFZ402 FWC400:FWD402 FMG400:FMH402 FCK400:FCL402 ESO400:ESP402 EIS400:EIT402 DYW400:DYX402 DPA400:DPB402 DFE400:DFF402 CVI400:CVJ402 CLM400:CLN402 CBQ400:CBR402 BRU400:BRV402 BHY400:BHZ402 AYC400:AYD402 AOG400:AOH402 AEK400:AEL402 UO400:UP402 KS400:KT402 WXE400:WXF402 WNI400:WNJ402 VTQ449:VTR451 VJU449:VJV451 UZY449:UZZ451 UQC449:UQD451 UGG449:UGH451 TWK449:TWL451 TMO449:TMP451 TCS449:TCT451 SSW449:SSX451 SJA449:SJB451 RZE449:RZF451 RPI449:RPJ451 RFM449:RFN451 QVQ449:QVR451 QLU449:QLV451 QBY449:QBZ451 PSC449:PSD451 PIG449:PIH451 OYK449:OYL451 OOO449:OOP451 OES449:OET451 NUW449:NUX451 NLA449:NLB451 NBE449:NBF451 MRI449:MRJ451 MHM449:MHN451 LXQ449:LXR451 LNU449:LNV451 LDY449:LDZ451 KUC449:KUD451 KKG449:KKH451 KAK449:KAL451 JQO449:JQP451 JGS449:JGT451 IWW449:IWX451 INA449:INB451 IDE449:IDF451 HTI449:HTJ451 HJM449:HJN451 GZQ449:GZR451 GPU449:GPV451 GFY449:GFZ451 FWC449:FWD451 FMG449:FMH451 FCK449:FCL451 ESO449:ESP451 EIS449:EIT451 DYW449:DYX451 DPA449:DPB451 DFE449:DFF451 CVI449:CVJ451 CLM449:CLN451 CBQ449:CBR451 BRU449:BRV451 BHY449:BHZ451 AYC449:AYD451 AOG449:AOH451 AEK449:AEL451 UO449:UP451 KS449:KT451 WXE449:WXF451 WNI449:WNJ451 WXE377:WXF379 WNA331:WNB331 WWW331:WWX331 KK331:KL331 UG331:UH331 AEC331:AED331 ANY331:ANZ331 AXU331:AXV331 BHQ331:BHR331 BRM331:BRN331 CBI331:CBJ331 CLE331:CLF331 CVA331:CVB331 DEW331:DEX331 DOS331:DOT331 DYO331:DYP331 EIK331:EIL331 ESG331:ESH331 FCC331:FCD331 FLY331:FLZ331 FVU331:FVV331 GFQ331:GFR331 GPM331:GPN331 GZI331:GZJ331 HJE331:HJF331 HTA331:HTB331 ICW331:ICX331 IMS331:IMT331 IWO331:IWP331 JGK331:JGL331 JQG331:JQH331 KAC331:KAD331 KJY331:KJZ331 KTU331:KTV331 LDQ331:LDR331 LNM331:LNN331 LXI331:LXJ331 MHE331:MHF331 MRA331:MRB331 NAW331:NAX331 NKS331:NKT331 NUO331:NUP331 OEK331:OEL331 OOG331:OOH331 OYC331:OYD331 PHY331:PHZ331 PRU331:PRV331 QBQ331:QBR331 QLM331:QLN331 QVI331:QVJ331 RFE331:RFF331 RPA331:RPB331 RYW331:RYX331 SIS331:SIT331 SSO331:SSP331 TCK331:TCL331 TMG331:TMH331 TWC331:TWD331 UFY331:UFZ331 UPU331:UPV331 UZQ331:UZR331 VJM331:VJN331 VTI331:VTJ331 WDE331:WDF331 VJU225:VJV230 WDM449:WDN451 WDM92:WDN104 WNI92:WNJ104 WXE92:WXF104 KS92:KT104 UO92:UP104 AEK92:AEL104 AOG92:AOH104 AYC92:AYD104 BHY92:BHZ104 BRU92:BRV104 CBQ92:CBR104 CLM92:CLN104 CVI92:CVJ104 DFE92:DFF104 DPA92:DPB104 DYW92:DYX104 EIS92:EIT104 ESO92:ESP104 FCK92:FCL104 FMG92:FMH104 FWC92:FWD104 GFY92:GFZ104 GPU92:GPV104 GZQ92:GZR104 HJM92:HJN104 HTI92:HTJ104 IDE92:IDF104 INA92:INB104 IWW92:IWX104 JGS92:JGT104 JQO92:JQP104 KAK92:KAL104 KKG92:KKH104 KUC92:KUD104 LDY92:LDZ104 LNU92:LNV104 LXQ92:LXR104 MHM92:MHN104 MRI92:MRJ104 NBE92:NBF104 NLA92:NLB104 NUW92:NUX104 OES92:OET104 OOO92:OOP104 OYK92:OYL104 PIG92:PIH104 PSC92:PSD104 QBY92:QBZ104 QLU92:QLV104 QVQ92:QVR104 RFM92:RFN104 RPI92:RPJ104 RZE92:RZF104 SJA92:SJB104 SSW92:SSX104 TCS92:TCT104 TMO92:TMP104 TWK92:TWL104 UGG92:UGH104 UQC92:UQD104 UZY92:UZZ104 VJU92:VJV104 VTQ92:VTR104 WNA338:WNB338 WWW338:WWX338 KK338:KL338 UG338:UH338 AEC338:AED338 ANY338:ANZ338 AXU338:AXV338 BHQ338:BHR338 BRM338:BRN338 CBI338:CBJ338 CLE338:CLF338 CVA338:CVB338 DEW338:DEX338 DOS338:DOT338 DYO338:DYP338 EIK338:EIL338 ESG338:ESH338 FCC338:FCD338 FLY338:FLZ338 FVU338:FVV338 GFQ338:GFR338 GPM338:GPN338 GZI338:GZJ338 HJE338:HJF338 HTA338:HTB338 ICW338:ICX338 IMS338:IMT338 IWO338:IWP338 JGK338:JGL338 JQG338:JQH338 KAC338:KAD338 KJY338:KJZ338 KTU338:KTV338 LDQ338:LDR338 LNM338:LNN338 LXI338:LXJ338 MHE338:MHF338 MRA338:MRB338 NAW338:NAX338 NKS338:NKT338 NUO338:NUP338 OEK338:OEL338 OOG338:OOH338 OYC338:OYD338 PHY338:PHZ338 PRU338:PRV338 QBQ338:QBR338 QLM338:QLN338 QVI338:QVJ338 RFE338:RFF338 RPA338:RPB338 RYW338:RYX338 SIS338:SIT338 SSO338:SSP338 TCK338:TCL338 TMG338:TMH338 TWC338:TWD338 UFY338:UFZ338 UPU338:UPV338 UZQ338:UZR338 VJM338:VJN338 VTI338:VTJ338 KS377:KT379 UO377:UP379 AEK377:AEL379 AOG377:AOH379 AYC377:AYD379 BHY377:BHZ379 BRU377:BRV379 CBQ377:CBR379 CLM377:CLN379 CVI377:CVJ379 DFE377:DFF379 DPA377:DPB379 DYW377:DYX379 EIS377:EIT379 ESO377:ESP379 FCK377:FCL379 FMG377:FMH379 FWC377:FWD379 GFY377:GFZ379 GPU377:GPV379 GZQ377:GZR379 HJM377:HJN379 HTI377:HTJ379 IDE377:IDF379 INA377:INB379 IWW377:IWX379 JGS377:JGT379 JQO377:JQP379 KAK377:KAL379 KKG377:KKH379 KUC377:KUD379 LDY377:LDZ379 LNU377:LNV379 LXQ377:LXR379 MHM377:MHN379 MRI377:MRJ379 NBE377:NBF379 NLA377:NLB379 NUW377:NUX379 OES377:OET379 OOO377:OOP379 OYK377:OYL379 PIG377:PIH379 PSC377:PSD379 QBY377:QBZ379 QLU377:QLV379 QVQ377:QVR379 RFM377:RFN379 RPI377:RPJ379 RZE377:RZF379 SJA377:SJB379 SSW377:SSX379 TCS377:TCT379 TMO377:TMP379 TWK377:TWL379 UGG377:UGH379 UQC377:UQD379 UZY377:UZZ379 VJU377:VJV379 VTQ377:VTR379 WDM377:WDN379 WNI377:WNJ379 UZY225:UZZ230 UQC225:UQD230 UGG225:UGH230 TWK225:TWL230 TMO225:TMP230 TCS225:TCT230 SSW225:SSX230 SJA225:SJB230 RZE225:RZF230 RPI225:RPJ230 RFM225:RFN230 QVQ225:QVR230 QLU225:QLV230 QBY225:QBZ230 PSC225:PSD230 PIG225:PIH230 OYK225:OYL230 OOO225:OOP230 OES225:OET230 NUW225:NUX230 NLA225:NLB230 NBE225:NBF230 MRI225:MRJ230 MHM225:MHN230 LXQ225:LXR230 LNU225:LNV230 LDY225:LDZ230 KUC225:KUD230 KKG225:KKH230 KAK225:KAL230 JQO225:JQP230 JGS225:JGT230 IWW225:IWX230 INA225:INB230 IDE225:IDF230 HTI225:HTJ230 HJM225:HJN230 GZQ225:GZR230 GPU225:GPV230 GFY225:GFZ230 FWC225:FWD230 FMG225:FMH230 FCK225:FCL230 ESO225:ESP230 EIS225:EIT230 DYW225:DYX230 DPA225:DPB230 DFE225:DFF230 CVI225:CVJ230 CLM225:CLN230 CBQ225:CBR230 BRU225:BRV230 BHY225:BHZ230 AYC225:AYD230 AOG225:AOH230 AEK225:AEL230 UO225:UP230 KS225:KT230 WXE225:WXF230 WNI225:WNJ230 WDM225:WDN230 VTQ225:VTR230 KK83:KL91 UG83:UH91 AEC83:AED91 ANY83:ANZ91 AXU83:AXV91 BHQ83:BHR91 BRM83:BRN91 CBI83:CBJ91 CLE83:CLF91 CVA83:CVB91 DEW83:DEX91 DOS83:DOT91 DYO83:DYP91 EIK83:EIL91 ESG83:ESH91 FCC83:FCD91 FLY83:FLZ91 FVU83:FVV91 GFQ83:GFR91 GPM83:GPN91 GZI83:GZJ91 HJE83:HJF91 HTA83:HTB91 ICW83:ICX91 IMS83:IMT91 IWO83:IWP91 JGK83:JGL91 JQG83:JQH91 KAC83:KAD91 KJY83:KJZ91 KTU83:KTV91 LDQ83:LDR91 LNM83:LNN91 LXI83:LXJ91 MHE83:MHF91 MRA83:MRB91 NAW83:NAX91 NKS83:NKT91 NUO83:NUP91 OEK83:OEL91 OOG83:OOH91 OYC83:OYD91 PHY83:PHZ91 PRU83:PRV91 QBQ83:QBR91 QLM83:QLN91 QVI83:QVJ91 RFE83:RFF91 RPA83:RPB91 RYW83:RYX91 SIS83:SIT91 SSO83:SSP91 TCK83:TCL91 TMG83:TMH91 TWC83:TWD91 UFY83:UFZ91 UPU83:UPV91 UZQ83:UZR91 VJM83:VJN91 VTI83:VTJ91 WDE83:WDF91 WNA83:WNB91 WWW83:WWX91 KK152:KL162 UG152:UH162 AEC152:AED162 ANY152:ANZ162 AXU152:AXV162 BHQ152:BHR162 BRM152:BRN162 CBI152:CBJ162 CLE152:CLF162 CVA152:CVB162 DEW152:DEX162 DOS152:DOT162 DYO152:DYP162 EIK152:EIL162 ESG152:ESH162 FCC152:FCD162 FLY152:FLZ162 FVU152:FVV162 GFQ152:GFR162 GPM152:GPN162 GZI152:GZJ162 HJE152:HJF162 HTA152:HTB162 ICW152:ICX162 IMS152:IMT162 IWO152:IWP162 JGK152:JGL162 JQG152:JQH162 KAC152:KAD162 KJY152:KJZ162 KTU152:KTV162 LDQ152:LDR162 LNM152:LNN162 LXI152:LXJ162 MHE152:MHF162 MRA152:MRB162 NAW152:NAX162 NKS152:NKT162 NUO152:NUP162 OEK152:OEL162 OOG152:OOH162 OYC152:OYD162 PHY152:PHZ162 PRU152:PRV162 QBQ152:QBR162 QLM152:QLN162 QVI152:QVJ162 RFE152:RFF162 RPA152:RPB162 RYW152:RYX162 SIS152:SIT162 SSO152:SSP162 TCK152:TCL162 TMG152:TMH162 TWC152:TWD162 UFY152:UFZ162 UPU152:UPV162 UZQ152:UZR162 VJM152:VJN162 VTI152:VTJ162 WDE152:WDF162 WNA152:WNB162 WWW152:WWX162 VJU195:VJV202 UZY195:UZZ202 UQC195:UQD202 UGG195:UGH202 TWK195:TWL202 TMO195:TMP202 TCS195:TCT202 SSW195:SSX202 SJA195:SJB202 RZE195:RZF202 RPI195:RPJ202 RFM195:RFN202 QVQ195:QVR202 QLU195:QLV202 QBY195:QBZ202 PSC195:PSD202 PIG195:PIH202 OYK195:OYL202 OOO195:OOP202 OES195:OET202 NUW195:NUX202 NLA195:NLB202 NBE195:NBF202 MRI195:MRJ202 MHM195:MHN202 LXQ195:LXR202 LNU195:LNV202 LDY195:LDZ202 KUC195:KUD202 KKG195:KKH202 KAK195:KAL202 JQO195:JQP202 JGS195:JGT202 IWW195:IWX202 INA195:INB202 IDE195:IDF202 HTI195:HTJ202 HJM195:HJN202 GZQ195:GZR202 GPU195:GPV202 GFY195:GFZ202 FWC195:FWD202 FMG195:FMH202 FCK195:FCL202 ESO195:ESP202 EIS195:EIT202 DYW195:DYX202 DPA195:DPB202 DFE195:DFF202 CVI195:CVJ202 CLM195:CLN202 CBQ195:CBR202 BRU195:BRV202 BHY195:BHZ202 AYC195:AYD202 AOG195:AOH202 AEK195:AEL202 UO195:UP202 KS195:KT202 WXE195:WXF202 WNI195:WNJ202 VTQ195:VTR202 UZY132:UZZ151 VJU132:VJV151 VTQ132:VTR151 WDM132:WDN151 WNI132:WNJ151 WXE132:WXF151 KS132:KT151 UO132:UP151 AEK132:AEL151 AOG132:AOH151 AYC132:AYD151 BHY132:BHZ151 BRU132:BRV151 CBQ132:CBR151 CLM132:CLN151 CVI132:CVJ151 DFE132:DFF151 DPA132:DPB151 DYW132:DYX151 EIS132:EIT151 ESO132:ESP151 FCK132:FCL151 FMG132:FMH151 FWC132:FWD151 GFY132:GFZ151 GPU132:GPV151 GZQ132:GZR151 HJM132:HJN151 HTI132:HTJ151 IDE132:IDF151 INA132:INB151 IWW132:IWX151 JGS132:JGT151 JQO132:JQP151 KAK132:KAL151 KKG132:KKH151 KUC132:KUD151 LDY132:LDZ151 LNU132:LNV151 LXQ132:LXR151 MHM132:MHN151 MRI132:MRJ151 NBE132:NBF151 NLA132:NLB151 NUW132:NUX151 OES132:OET151 OOO132:OOP151 OYK132:OYL151 PIG132:PIH151 PSC132:PSD151 QBY132:QBZ151 QLU132:QLV151 QVQ132:QVR151 RFM132:RFN151 RPI132:RPJ151 RZE132:RZF151 SJA132:SJB151 SSW132:SSX151 TCS132:TCT151 TMO132:TMP151 TWK132:TWL151 UGG132:UGH151 UQC132:UQD151 VTQ163:VTR180 WNI163:WNJ180 WXE163:WXF180 KS163:KT180 UO163:UP180 AEK163:AEL180 AOG163:AOH180 AYC163:AYD180 BHY163:BHZ180 BRU163:BRV180 CBQ163:CBR180 CLM163:CLN180 CVI163:CVJ180 DFE163:DFF180 DPA163:DPB180 DYW163:DYX180 EIS163:EIT180 ESO163:ESP180 FCK163:FCL180 FMG163:FMH180 FWC163:FWD180 GFY163:GFZ180 GPU163:GPV180 GZQ163:GZR180 HJM163:HJN180 HTI163:HTJ180 IDE163:IDF180 INA163:INB180 IWW163:IWX180 JGS163:JGT180 JQO163:JQP180 KAK163:KAL180 KKG163:KKH180 KUC163:KUD180 LDY163:LDZ180 LNU163:LNV180 LXQ163:LXR180 MHM163:MHN180 MRI163:MRJ180 NBE163:NBF180 NLA163:NLB180 NUW163:NUX180 OES163:OET180 OOO163:OOP180 OYK163:OYL180 PIG163:PIH180 PSC163:PSD180 QBY163:QBZ180 QLU163:QLV180 QVQ163:QVR180 RFM163:RFN180 RPI163:RPJ180 RZE163:RZF180 SJA163:SJB180 SSW163:SSX180 TCS163:TCT180 TMO163:TMP180 TWK163:TWL180 UGG163:UGH180 UQC163:UQD180 UZY163:UZZ180 VJU163:VJV180 WDM163:WDN180 WDM195:WDN202 WDE181:WDF194 VTI181:VTJ194 VJM181:VJN194 UZQ181:UZR194 UPU181:UPV194 UFY181:UFZ194 TWC181:TWD194 TMG181:TMH194 TCK181:TCL194 SSO181:SSP194 SIS181:SIT194 RYW181:RYX194 RPA181:RPB194 RFE181:RFF194 QVI181:QVJ194 QLM181:QLN194 QBQ181:QBR194 PRU181:PRV194 PHY181:PHZ194 OYC181:OYD194 OOG181:OOH194 OEK181:OEL194 NUO181:NUP194 NKS181:NKT194 NAW181:NAX194 MRA181:MRB194 MHE181:MHF194 LXI181:LXJ194 LNM181:LNN194 LDQ181:LDR194 KTU181:KTV194 KJY181:KJZ194 KAC181:KAD194 JQG181:JQH194 JGK181:JGL194 IWO181:IWP194 IMS181:IMT194 ICW181:ICX194 HTA181:HTB194 HJE181:HJF194 GZI181:GZJ194 GPM181:GPN194 GFQ181:GFR194 FVU181:FVV194 FLY181:FLZ194 FCC181:FCD194 ESG181:ESH194 EIK181:EIL194 DYO181:DYP194 DOS181:DOT194 DEW181:DEX194 CVA181:CVB194 CLE181:CLF194 CBI181:CBJ194 BRM181:BRN194 BHQ181:BHR194 AXU181:AXV194 ANY181:ANZ194 AEC181:AED194 UG181:UH194 KK181:KL194 WWW181:WWX194 WNA181:WNB194 WDM430:WDN431 WNI430:WNJ431 WXE430:WXF431 KS430:KT431 UO430:UP431 AEK430:AEL431 AOG430:AOH431 AYC430:AYD431 BHY430:BHZ431 BRU430:BRV431 CBQ430:CBR431 CLM430:CLN431 CVI430:CVJ431 DFE430:DFF431 DPA430:DPB431 DYW430:DYX431 EIS430:EIT431 ESO430:ESP431 FCK430:FCL431 FMG430:FMH431 FWC430:FWD431 GFY430:GFZ431 GPU430:GPV431 GZQ430:GZR431 HJM430:HJN431 HTI430:HTJ431 IDE430:IDF431 INA430:INB431 IWW430:IWX431 JGS430:JGT431 JQO430:JQP431 KAK430:KAL431 KKG430:KKH431 KUC430:KUD431 LDY430:LDZ431 LNU430:LNV431 LXQ430:LXR431 MHM430:MHN431 MRI430:MRJ431 NBE430:NBF431 NLA430:NLB431 NUW430:NUX431 OES430:OET431 OOO430:OOP431 OYK430:OYL431 PIG430:PIH431 PSC430:PSD431 QBY430:QBZ431 QLU430:QLV431 QVQ430:QVR431 RFM430:RFN431 RPI430:RPJ431 RZE430:RZF431 SJA430:SJB431 SSW430:SSX431 TCS430:TCT431 TMO430:TMP431 TWK430:TWL431 UGG430:UGH431 UQC430:UQD431 UZY430:UZZ431 VJU430:VJV431 VTQ430:VTR431 WNA218:WNB224 WDE105:WDF131 VTI105:VTJ131 VJM105:VJN131 UZQ105:UZR131 UPU105:UPV131 UFY105:UFZ131 TWC105:TWD131 TMG105:TMH131 TCK105:TCL131 SSO105:SSP131 SIS105:SIT131 RYW105:RYX131 RPA105:RPB131 RFE105:RFF131 QVI105:QVJ131 QLM105:QLN131 QBQ105:QBR131 PRU105:PRV131 PHY105:PHZ131 OYC105:OYD131 OOG105:OOH131 OEK105:OEL131 NUO105:NUP131 NKS105:NKT131 NAW105:NAX131 MRA105:MRB131 MHE105:MHF131 LXI105:LXJ131 LNM105:LNN131 LDQ105:LDR131 KTU105:KTV131 KJY105:KJZ131 KAC105:KAD131 JQG105:JQH131 JGK105:JGL131 IWO105:IWP131 IMS105:IMT131 ICW105:ICX131 HTA105:HTB131 HJE105:HJF131 GZI105:GZJ131 GPM105:GPN131 GFQ105:GFR131 FVU105:FVV131 FLY105:FLZ131 FCC105:FCD131 ESG105:ESH131 EIK105:EIL131 DYO105:DYP131 DOS105:DOT131 DEW105:DEX131 CVA105:CVB131 CLE105:CLF131 CBI105:CBJ131 BRM105:BRN131 BHQ105:BHR131 AXU105:AXV131 ANY105:ANZ131 AEC105:AED131 UG105:UH131 KK105:KL131 WWW105:WWX131 WNA105:WNB131 WDE218:WDF224 VTI218:VTJ224 VJM218:VJN224 UZQ218:UZR224 UPU218:UPV224 UFY218:UFZ224 TWC218:TWD224 TMG218:TMH224 TCK218:TCL224 SSO218:SSP224 SIS218:SIT224 RYW218:RYX224 RPA218:RPB224 RFE218:RFF224 QVI218:QVJ224 QLM218:QLN224 QBQ218:QBR224 PRU218:PRV224 PHY218:PHZ224 OYC218:OYD224 OOG218:OOH224 OEK218:OEL224 NUO218:NUP224 NKS218:NKT224 NAW218:NAX224 MRA218:MRB224 MHE218:MHF224 LXI218:LXJ224 LNM218:LNN224 LDQ218:LDR224 KTU218:KTV224 KJY218:KJZ224 KAC218:KAD224 JQG218:JQH224 JGK218:JGL224 IWO218:IWP224 IMS218:IMT224 ICW218:ICX224 HTA218:HTB224 HJE218:HJF224 GZI218:GZJ224 GPM218:GPN224 GFQ218:GFR224 FVU218:FVV224 FLY218:FLZ224 FCC218:FCD224 ESG218:ESH224 EIK218:EIL224 DYO218:DYP224 DOS218:DOT224 DEW218:DEX224 CVA218:CVB224 CLE218:CLF224 CBI218:CBJ224 BRM218:BRN224 BHQ218:BHR224 AXU218:AXV224 ANY218:ANZ224 AEC218:AED224 UG218:UH224 KK218:KL224 WWW218:WWX224 KS254:KT288 UO254:UP288 AEK254:AEL288 AOG254:AOH288 AYC254:AYD288 BHY254:BHZ288 BRU254:BRV288 CBQ254:CBR288 CLM254:CLN288 CVI254:CVJ288 DFE254:DFF288 DPA254:DPB288 DYW254:DYX288 EIS254:EIT288 ESO254:ESP288 FCK254:FCL288 FMG254:FMH288 FWC254:FWD288 GFY254:GFZ288 GPU254:GPV288 GZQ254:GZR288 HJM254:HJN288 HTI254:HTJ288 IDE254:IDF288 INA254:INB288 IWW254:IWX288 JGS254:JGT288 JQO254:JQP288 KAK254:KAL288 KKG254:KKH288 KUC254:KUD288 LDY254:LDZ288 LNU254:LNV288 LXQ254:LXR288 MHM254:MHN288 MRI254:MRJ288 NBE254:NBF288 NLA254:NLB288 NUW254:NUX288 OES254:OET288 OOO254:OOP288 OYK254:OYL288 PIG254:PIH288 PSC254:PSD288 QBY254:QBZ288 QLU254:QLV288 QVQ254:QVR288 RFM254:RFN288 RPI254:RPJ288 RZE254:RZF288 SJA254:SJB288 SSW254:SSX288 TCS254:TCT288 TMO254:TMP288 TWK254:TWL288 UGG254:UGH288 UQC254:UQD288 UZY254:UZZ288 VJU254:VJV288 VTQ254:VTR288 WDM254:WDN288 WNI254:WNJ288 WXE254:WXF288 WXE6:WXF82 WNI6:WNJ82 WDM6:WDN82 VTQ6:VTR82 VJU6:VJV82 UZY6:UZZ82 UQC6:UQD82 UGG6:UGH82 TWK6:TWL82 TMO6:TMP82 TCS6:TCT82 SSW6:SSX82 SJA6:SJB82 RZE6:RZF82 RPI6:RPJ82 RFM6:RFN82 QVQ6:QVR82 QLU6:QLV82 QBY6:QBZ82 PSC6:PSD82 PIG6:PIH82 OYK6:OYL82 OOO6:OOP82 OES6:OET82 NUW6:NUX82 NLA6:NLB82 NBE6:NBF82 MRI6:MRJ82 MHM6:MHN82 LXQ6:LXR82 LNU6:LNV82 LDY6:LDZ82 KUC6:KUD82 KKG6:KKH82 KAK6:KAL82 JQO6:JQP82 JGS6:JGT82 IWW6:IWX82 INA6:INB82 IDE6:IDF82 HTI6:HTJ82 HJM6:HJN82 GZQ6:GZR82 GPU6:GPV82 GFY6:GFZ82 FWC6:FWD82 FMG6:FMH82 FCK6:FCL82 ESO6:ESP82 EIS6:EIT82 DYW6:DYX82 DPA6:DPB82 DFE6:DFF82 CVI6:CVJ82 CLM6:CLN82 CBQ6:CBR82 BRU6:BRV82 BHY6:BHZ82 AYC6:AYD82 AOG6:AOH82 AEK6:AEL82 UO6:UP82 KS6:KT82</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FFCCFF"/>
    <pageSetUpPr fitToPage="1"/>
  </sheetPr>
  <dimension ref="A4:I92"/>
  <sheetViews>
    <sheetView showGridLines="0" zoomScaleNormal="100" zoomScaleSheetLayoutView="100" workbookViewId="0">
      <selection activeCell="Z8" sqref="Z8"/>
    </sheetView>
  </sheetViews>
  <sheetFormatPr defaultRowHeight="12"/>
  <cols>
    <col min="1" max="1" width="6.83203125" style="503" customWidth="1"/>
    <col min="2" max="2" width="6.6640625" style="503" customWidth="1"/>
    <col min="3" max="3" width="26.6640625" style="503" customWidth="1"/>
    <col min="4" max="4" width="6.6640625" style="503" customWidth="1"/>
    <col min="5" max="6" width="26.6640625" style="503" customWidth="1"/>
    <col min="7" max="7" width="66.6640625" style="503" customWidth="1"/>
    <col min="8" max="8" width="1.5" style="503" customWidth="1"/>
    <col min="9" max="213" width="9.33203125" style="503"/>
    <col min="214" max="263" width="3.33203125" style="503" customWidth="1"/>
    <col min="264" max="264" width="1.5" style="503" customWidth="1"/>
    <col min="265" max="469" width="9.33203125" style="503"/>
    <col min="470" max="519" width="3.33203125" style="503" customWidth="1"/>
    <col min="520" max="520" width="1.5" style="503" customWidth="1"/>
    <col min="521" max="725" width="9.33203125" style="503"/>
    <col min="726" max="775" width="3.33203125" style="503" customWidth="1"/>
    <col min="776" max="776" width="1.5" style="503" customWidth="1"/>
    <col min="777" max="981" width="9.33203125" style="503"/>
    <col min="982" max="1031" width="3.33203125" style="503" customWidth="1"/>
    <col min="1032" max="1032" width="1.5" style="503" customWidth="1"/>
    <col min="1033" max="1237" width="9.33203125" style="503"/>
    <col min="1238" max="1287" width="3.33203125" style="503" customWidth="1"/>
    <col min="1288" max="1288" width="1.5" style="503" customWidth="1"/>
    <col min="1289" max="1493" width="9.33203125" style="503"/>
    <col min="1494" max="1543" width="3.33203125" style="503" customWidth="1"/>
    <col min="1544" max="1544" width="1.5" style="503" customWidth="1"/>
    <col min="1545" max="1749" width="9.33203125" style="503"/>
    <col min="1750" max="1799" width="3.33203125" style="503" customWidth="1"/>
    <col min="1800" max="1800" width="1.5" style="503" customWidth="1"/>
    <col min="1801" max="2005" width="9.33203125" style="503"/>
    <col min="2006" max="2055" width="3.33203125" style="503" customWidth="1"/>
    <col min="2056" max="2056" width="1.5" style="503" customWidth="1"/>
    <col min="2057" max="2261" width="9.33203125" style="503"/>
    <col min="2262" max="2311" width="3.33203125" style="503" customWidth="1"/>
    <col min="2312" max="2312" width="1.5" style="503" customWidth="1"/>
    <col min="2313" max="2517" width="9.33203125" style="503"/>
    <col min="2518" max="2567" width="3.33203125" style="503" customWidth="1"/>
    <col min="2568" max="2568" width="1.5" style="503" customWidth="1"/>
    <col min="2569" max="2773" width="9.33203125" style="503"/>
    <col min="2774" max="2823" width="3.33203125" style="503" customWidth="1"/>
    <col min="2824" max="2824" width="1.5" style="503" customWidth="1"/>
    <col min="2825" max="3029" width="9.33203125" style="503"/>
    <col min="3030" max="3079" width="3.33203125" style="503" customWidth="1"/>
    <col min="3080" max="3080" width="1.5" style="503" customWidth="1"/>
    <col min="3081" max="3285" width="9.33203125" style="503"/>
    <col min="3286" max="3335" width="3.33203125" style="503" customWidth="1"/>
    <col min="3336" max="3336" width="1.5" style="503" customWidth="1"/>
    <col min="3337" max="3541" width="9.33203125" style="503"/>
    <col min="3542" max="3591" width="3.33203125" style="503" customWidth="1"/>
    <col min="3592" max="3592" width="1.5" style="503" customWidth="1"/>
    <col min="3593" max="3797" width="9.33203125" style="503"/>
    <col min="3798" max="3847" width="3.33203125" style="503" customWidth="1"/>
    <col min="3848" max="3848" width="1.5" style="503" customWidth="1"/>
    <col min="3849" max="4053" width="9.33203125" style="503"/>
    <col min="4054" max="4103" width="3.33203125" style="503" customWidth="1"/>
    <col min="4104" max="4104" width="1.5" style="503" customWidth="1"/>
    <col min="4105" max="4309" width="9.33203125" style="503"/>
    <col min="4310" max="4359" width="3.33203125" style="503" customWidth="1"/>
    <col min="4360" max="4360" width="1.5" style="503" customWidth="1"/>
    <col min="4361" max="4565" width="9.33203125" style="503"/>
    <col min="4566" max="4615" width="3.33203125" style="503" customWidth="1"/>
    <col min="4616" max="4616" width="1.5" style="503" customWidth="1"/>
    <col min="4617" max="4821" width="9.33203125" style="503"/>
    <col min="4822" max="4871" width="3.33203125" style="503" customWidth="1"/>
    <col min="4872" max="4872" width="1.5" style="503" customWidth="1"/>
    <col min="4873" max="5077" width="9.33203125" style="503"/>
    <col min="5078" max="5127" width="3.33203125" style="503" customWidth="1"/>
    <col min="5128" max="5128" width="1.5" style="503" customWidth="1"/>
    <col min="5129" max="5333" width="9.33203125" style="503"/>
    <col min="5334" max="5383" width="3.33203125" style="503" customWidth="1"/>
    <col min="5384" max="5384" width="1.5" style="503" customWidth="1"/>
    <col min="5385" max="5589" width="9.33203125" style="503"/>
    <col min="5590" max="5639" width="3.33203125" style="503" customWidth="1"/>
    <col min="5640" max="5640" width="1.5" style="503" customWidth="1"/>
    <col min="5641" max="5845" width="9.33203125" style="503"/>
    <col min="5846" max="5895" width="3.33203125" style="503" customWidth="1"/>
    <col min="5896" max="5896" width="1.5" style="503" customWidth="1"/>
    <col min="5897" max="6101" width="9.33203125" style="503"/>
    <col min="6102" max="6151" width="3.33203125" style="503" customWidth="1"/>
    <col min="6152" max="6152" width="1.5" style="503" customWidth="1"/>
    <col min="6153" max="6357" width="9.33203125" style="503"/>
    <col min="6358" max="6407" width="3.33203125" style="503" customWidth="1"/>
    <col min="6408" max="6408" width="1.5" style="503" customWidth="1"/>
    <col min="6409" max="6613" width="9.33203125" style="503"/>
    <col min="6614" max="6663" width="3.33203125" style="503" customWidth="1"/>
    <col min="6664" max="6664" width="1.5" style="503" customWidth="1"/>
    <col min="6665" max="6869" width="9.33203125" style="503"/>
    <col min="6870" max="6919" width="3.33203125" style="503" customWidth="1"/>
    <col min="6920" max="6920" width="1.5" style="503" customWidth="1"/>
    <col min="6921" max="7125" width="9.33203125" style="503"/>
    <col min="7126" max="7175" width="3.33203125" style="503" customWidth="1"/>
    <col min="7176" max="7176" width="1.5" style="503" customWidth="1"/>
    <col min="7177" max="7381" width="9.33203125" style="503"/>
    <col min="7382" max="7431" width="3.33203125" style="503" customWidth="1"/>
    <col min="7432" max="7432" width="1.5" style="503" customWidth="1"/>
    <col min="7433" max="7637" width="9.33203125" style="503"/>
    <col min="7638" max="7687" width="3.33203125" style="503" customWidth="1"/>
    <col min="7688" max="7688" width="1.5" style="503" customWidth="1"/>
    <col min="7689" max="7893" width="9.33203125" style="503"/>
    <col min="7894" max="7943" width="3.33203125" style="503" customWidth="1"/>
    <col min="7944" max="7944" width="1.5" style="503" customWidth="1"/>
    <col min="7945" max="8149" width="9.33203125" style="503"/>
    <col min="8150" max="8199" width="3.33203125" style="503" customWidth="1"/>
    <col min="8200" max="8200" width="1.5" style="503" customWidth="1"/>
    <col min="8201" max="8405" width="9.33203125" style="503"/>
    <col min="8406" max="8455" width="3.33203125" style="503" customWidth="1"/>
    <col min="8456" max="8456" width="1.5" style="503" customWidth="1"/>
    <col min="8457" max="8661" width="9.33203125" style="503"/>
    <col min="8662" max="8711" width="3.33203125" style="503" customWidth="1"/>
    <col min="8712" max="8712" width="1.5" style="503" customWidth="1"/>
    <col min="8713" max="8917" width="9.33203125" style="503"/>
    <col min="8918" max="8967" width="3.33203125" style="503" customWidth="1"/>
    <col min="8968" max="8968" width="1.5" style="503" customWidth="1"/>
    <col min="8969" max="9173" width="9.33203125" style="503"/>
    <col min="9174" max="9223" width="3.33203125" style="503" customWidth="1"/>
    <col min="9224" max="9224" width="1.5" style="503" customWidth="1"/>
    <col min="9225" max="9429" width="9.33203125" style="503"/>
    <col min="9430" max="9479" width="3.33203125" style="503" customWidth="1"/>
    <col min="9480" max="9480" width="1.5" style="503" customWidth="1"/>
    <col min="9481" max="9685" width="9.33203125" style="503"/>
    <col min="9686" max="9735" width="3.33203125" style="503" customWidth="1"/>
    <col min="9736" max="9736" width="1.5" style="503" customWidth="1"/>
    <col min="9737" max="9941" width="9.33203125" style="503"/>
    <col min="9942" max="9991" width="3.33203125" style="503" customWidth="1"/>
    <col min="9992" max="9992" width="1.5" style="503" customWidth="1"/>
    <col min="9993" max="10197" width="9.33203125" style="503"/>
    <col min="10198" max="10247" width="3.33203125" style="503" customWidth="1"/>
    <col min="10248" max="10248" width="1.5" style="503" customWidth="1"/>
    <col min="10249" max="10453" width="9.33203125" style="503"/>
    <col min="10454" max="10503" width="3.33203125" style="503" customWidth="1"/>
    <col min="10504" max="10504" width="1.5" style="503" customWidth="1"/>
    <col min="10505" max="10709" width="9.33203125" style="503"/>
    <col min="10710" max="10759" width="3.33203125" style="503" customWidth="1"/>
    <col min="10760" max="10760" width="1.5" style="503" customWidth="1"/>
    <col min="10761" max="10965" width="9.33203125" style="503"/>
    <col min="10966" max="11015" width="3.33203125" style="503" customWidth="1"/>
    <col min="11016" max="11016" width="1.5" style="503" customWidth="1"/>
    <col min="11017" max="11221" width="9.33203125" style="503"/>
    <col min="11222" max="11271" width="3.33203125" style="503" customWidth="1"/>
    <col min="11272" max="11272" width="1.5" style="503" customWidth="1"/>
    <col min="11273" max="11477" width="9.33203125" style="503"/>
    <col min="11478" max="11527" width="3.33203125" style="503" customWidth="1"/>
    <col min="11528" max="11528" width="1.5" style="503" customWidth="1"/>
    <col min="11529" max="11733" width="9.33203125" style="503"/>
    <col min="11734" max="11783" width="3.33203125" style="503" customWidth="1"/>
    <col min="11784" max="11784" width="1.5" style="503" customWidth="1"/>
    <col min="11785" max="11989" width="9.33203125" style="503"/>
    <col min="11990" max="12039" width="3.33203125" style="503" customWidth="1"/>
    <col min="12040" max="12040" width="1.5" style="503" customWidth="1"/>
    <col min="12041" max="12245" width="9.33203125" style="503"/>
    <col min="12246" max="12295" width="3.33203125" style="503" customWidth="1"/>
    <col min="12296" max="12296" width="1.5" style="503" customWidth="1"/>
    <col min="12297" max="12501" width="9.33203125" style="503"/>
    <col min="12502" max="12551" width="3.33203125" style="503" customWidth="1"/>
    <col min="12552" max="12552" width="1.5" style="503" customWidth="1"/>
    <col min="12553" max="12757" width="9.33203125" style="503"/>
    <col min="12758" max="12807" width="3.33203125" style="503" customWidth="1"/>
    <col min="12808" max="12808" width="1.5" style="503" customWidth="1"/>
    <col min="12809" max="13013" width="9.33203125" style="503"/>
    <col min="13014" max="13063" width="3.33203125" style="503" customWidth="1"/>
    <col min="13064" max="13064" width="1.5" style="503" customWidth="1"/>
    <col min="13065" max="13269" width="9.33203125" style="503"/>
    <col min="13270" max="13319" width="3.33203125" style="503" customWidth="1"/>
    <col min="13320" max="13320" width="1.5" style="503" customWidth="1"/>
    <col min="13321" max="13525" width="9.33203125" style="503"/>
    <col min="13526" max="13575" width="3.33203125" style="503" customWidth="1"/>
    <col min="13576" max="13576" width="1.5" style="503" customWidth="1"/>
    <col min="13577" max="13781" width="9.33203125" style="503"/>
    <col min="13782" max="13831" width="3.33203125" style="503" customWidth="1"/>
    <col min="13832" max="13832" width="1.5" style="503" customWidth="1"/>
    <col min="13833" max="14037" width="9.33203125" style="503"/>
    <col min="14038" max="14087" width="3.33203125" style="503" customWidth="1"/>
    <col min="14088" max="14088" width="1.5" style="503" customWidth="1"/>
    <col min="14089" max="14293" width="9.33203125" style="503"/>
    <col min="14294" max="14343" width="3.33203125" style="503" customWidth="1"/>
    <col min="14344" max="14344" width="1.5" style="503" customWidth="1"/>
    <col min="14345" max="14549" width="9.33203125" style="503"/>
    <col min="14550" max="14599" width="3.33203125" style="503" customWidth="1"/>
    <col min="14600" max="14600" width="1.5" style="503" customWidth="1"/>
    <col min="14601" max="14805" width="9.33203125" style="503"/>
    <col min="14806" max="14855" width="3.33203125" style="503" customWidth="1"/>
    <col min="14856" max="14856" width="1.5" style="503" customWidth="1"/>
    <col min="14857" max="15061" width="9.33203125" style="503"/>
    <col min="15062" max="15111" width="3.33203125" style="503" customWidth="1"/>
    <col min="15112" max="15112" width="1.5" style="503" customWidth="1"/>
    <col min="15113" max="15317" width="9.33203125" style="503"/>
    <col min="15318" max="15367" width="3.33203125" style="503" customWidth="1"/>
    <col min="15368" max="15368" width="1.5" style="503" customWidth="1"/>
    <col min="15369" max="15573" width="9.33203125" style="503"/>
    <col min="15574" max="15623" width="3.33203125" style="503" customWidth="1"/>
    <col min="15624" max="15624" width="1.5" style="503" customWidth="1"/>
    <col min="15625" max="15829" width="9.33203125" style="503"/>
    <col min="15830" max="15879" width="3.33203125" style="503" customWidth="1"/>
    <col min="15880" max="15880" width="1.5" style="503" customWidth="1"/>
    <col min="15881" max="16085" width="9.33203125" style="503"/>
    <col min="16086" max="16135" width="3.33203125" style="503" customWidth="1"/>
    <col min="16136" max="16136" width="1.5" style="503" customWidth="1"/>
    <col min="16137" max="16384" width="9.33203125" style="503"/>
  </cols>
  <sheetData>
    <row r="4" spans="1:9" ht="12.75" thickBot="1"/>
    <row r="5" spans="1:9" ht="11.25" customHeight="1">
      <c r="A5" s="612" t="s">
        <v>786</v>
      </c>
      <c r="B5" s="613"/>
      <c r="C5" s="614"/>
      <c r="D5" s="615">
        <v>1</v>
      </c>
      <c r="E5" s="616"/>
      <c r="F5" s="613"/>
      <c r="G5" s="617"/>
    </row>
    <row r="6" spans="1:9" ht="11.25" customHeight="1">
      <c r="A6" s="504" t="s">
        <v>787</v>
      </c>
      <c r="B6" s="505"/>
      <c r="C6" s="506"/>
      <c r="D6" s="356" t="s">
        <v>938</v>
      </c>
      <c r="E6" s="507"/>
      <c r="F6" s="507"/>
      <c r="G6" s="508"/>
    </row>
    <row r="7" spans="1:9" ht="11.25" customHeight="1">
      <c r="A7" s="504" t="s">
        <v>1140</v>
      </c>
      <c r="B7" s="505"/>
      <c r="C7" s="506"/>
      <c r="D7" s="356" t="s">
        <v>939</v>
      </c>
      <c r="E7" s="509"/>
      <c r="F7" s="509"/>
      <c r="G7" s="510"/>
    </row>
    <row r="8" spans="1:9">
      <c r="A8" s="504" t="s">
        <v>788</v>
      </c>
      <c r="B8" s="505"/>
      <c r="C8" s="506"/>
      <c r="D8" s="356" t="s">
        <v>940</v>
      </c>
      <c r="E8" s="509"/>
      <c r="F8" s="509"/>
      <c r="G8" s="510"/>
    </row>
    <row r="9" spans="1:9" ht="11.25" customHeight="1">
      <c r="A9" s="511" t="s">
        <v>789</v>
      </c>
      <c r="B9" s="513"/>
      <c r="C9" s="512"/>
      <c r="D9" s="356" t="s">
        <v>941</v>
      </c>
      <c r="E9" s="509"/>
      <c r="F9" s="509"/>
      <c r="G9" s="510"/>
    </row>
    <row r="10" spans="1:9" ht="11.25" customHeight="1" thickBot="1">
      <c r="A10" s="514" t="s">
        <v>790</v>
      </c>
      <c r="B10" s="515"/>
      <c r="C10" s="516"/>
      <c r="D10" s="357" t="s">
        <v>942</v>
      </c>
      <c r="E10" s="517"/>
      <c r="F10" s="517"/>
      <c r="G10" s="518"/>
    </row>
    <row r="11" spans="1:9" ht="11.25" customHeight="1" thickTop="1">
      <c r="A11" s="519"/>
      <c r="B11" s="520"/>
      <c r="C11" s="521"/>
      <c r="D11" s="522"/>
      <c r="E11" s="523" t="s">
        <v>1141</v>
      </c>
      <c r="F11" s="524"/>
      <c r="G11" s="525"/>
      <c r="H11" s="526"/>
      <c r="I11" s="526"/>
    </row>
    <row r="12" spans="1:9" ht="11.25" customHeight="1" thickBot="1">
      <c r="A12" s="527" t="s">
        <v>1142</v>
      </c>
      <c r="B12" s="528" t="s">
        <v>1143</v>
      </c>
      <c r="C12" s="528" t="s">
        <v>894</v>
      </c>
      <c r="D12" s="529" t="s">
        <v>1144</v>
      </c>
      <c r="E12" s="530" t="s">
        <v>791</v>
      </c>
      <c r="F12" s="531" t="s">
        <v>792</v>
      </c>
      <c r="G12" s="532" t="s">
        <v>1145</v>
      </c>
      <c r="I12" s="526"/>
    </row>
    <row r="13" spans="1:9" s="605" customFormat="1" ht="23.25" customHeight="1" thickTop="1">
      <c r="A13" s="606"/>
      <c r="B13" s="607"/>
      <c r="C13" s="358" t="s">
        <v>943</v>
      </c>
      <c r="D13" s="608"/>
      <c r="E13" s="609"/>
      <c r="F13" s="610"/>
      <c r="G13" s="611"/>
    </row>
    <row r="14" spans="1:9" ht="11.25" customHeight="1">
      <c r="A14" s="533">
        <v>1</v>
      </c>
      <c r="B14" s="534" t="s">
        <v>479</v>
      </c>
      <c r="C14" s="359" t="s">
        <v>429</v>
      </c>
      <c r="D14" s="535" t="s">
        <v>1164</v>
      </c>
      <c r="E14" s="342" t="s">
        <v>944</v>
      </c>
      <c r="F14" s="342" t="s">
        <v>945</v>
      </c>
      <c r="G14" s="510"/>
    </row>
    <row r="15" spans="1:9">
      <c r="A15" s="533"/>
      <c r="B15" s="538"/>
      <c r="C15" s="539"/>
      <c r="D15" s="540"/>
      <c r="E15" s="536"/>
      <c r="F15" s="537"/>
      <c r="G15" s="510"/>
    </row>
    <row r="16" spans="1:9">
      <c r="A16" s="541"/>
      <c r="B16" s="539"/>
      <c r="C16" s="538"/>
      <c r="D16" s="537"/>
      <c r="E16" s="537"/>
      <c r="F16" s="537"/>
      <c r="G16" s="510"/>
    </row>
    <row r="17" spans="1:9" ht="12.75" thickBot="1">
      <c r="A17" s="542"/>
      <c r="B17" s="526"/>
      <c r="C17" s="526"/>
      <c r="D17" s="526"/>
      <c r="E17" s="526"/>
      <c r="F17" s="543"/>
      <c r="G17" s="544"/>
    </row>
    <row r="18" spans="1:9" ht="12.75" customHeight="1">
      <c r="A18" s="545" t="s">
        <v>789</v>
      </c>
      <c r="B18" s="546"/>
      <c r="C18" s="547"/>
      <c r="D18" s="548" t="s">
        <v>951</v>
      </c>
      <c r="E18" s="549"/>
      <c r="F18" s="549"/>
      <c r="G18" s="550"/>
    </row>
    <row r="19" spans="1:9" ht="12.75" customHeight="1" thickBot="1">
      <c r="A19" s="514" t="s">
        <v>790</v>
      </c>
      <c r="B19" s="515"/>
      <c r="C19" s="551"/>
      <c r="D19" s="552" t="s">
        <v>942</v>
      </c>
      <c r="E19" s="517"/>
      <c r="F19" s="517"/>
      <c r="G19" s="518"/>
    </row>
    <row r="20" spans="1:9" ht="11.25" customHeight="1" thickTop="1">
      <c r="A20" s="519"/>
      <c r="B20" s="520"/>
      <c r="C20" s="521"/>
      <c r="D20" s="522"/>
      <c r="E20" s="523" t="s">
        <v>1141</v>
      </c>
      <c r="F20" s="524"/>
      <c r="G20" s="525"/>
      <c r="H20" s="526"/>
      <c r="I20" s="526"/>
    </row>
    <row r="21" spans="1:9" ht="11.25" customHeight="1" thickBot="1">
      <c r="A21" s="527" t="s">
        <v>1142</v>
      </c>
      <c r="B21" s="528" t="s">
        <v>1143</v>
      </c>
      <c r="C21" s="553" t="s">
        <v>894</v>
      </c>
      <c r="D21" s="554" t="s">
        <v>1144</v>
      </c>
      <c r="E21" s="530" t="s">
        <v>791</v>
      </c>
      <c r="F21" s="531" t="s">
        <v>792</v>
      </c>
      <c r="G21" s="532" t="s">
        <v>1145</v>
      </c>
      <c r="I21" s="526"/>
    </row>
    <row r="22" spans="1:9" ht="12.75" thickTop="1">
      <c r="A22" s="555"/>
      <c r="B22" s="556"/>
      <c r="C22" s="556"/>
      <c r="D22" s="557"/>
      <c r="E22" s="558"/>
      <c r="F22" s="559"/>
      <c r="G22" s="560"/>
    </row>
    <row r="23" spans="1:9">
      <c r="A23" s="561"/>
      <c r="B23" s="562"/>
      <c r="C23" s="535" t="s">
        <v>946</v>
      </c>
      <c r="D23" s="535"/>
      <c r="E23" s="535"/>
      <c r="F23" s="563"/>
      <c r="G23" s="510"/>
    </row>
    <row r="24" spans="1:9">
      <c r="A24" s="561"/>
      <c r="B24" s="562"/>
      <c r="C24" s="535" t="s">
        <v>954</v>
      </c>
      <c r="D24" s="535"/>
      <c r="E24" s="535"/>
      <c r="F24" s="563"/>
      <c r="G24" s="510"/>
    </row>
    <row r="25" spans="1:9">
      <c r="A25" s="561"/>
      <c r="B25" s="562"/>
      <c r="C25" s="535" t="s">
        <v>947</v>
      </c>
      <c r="D25" s="535"/>
      <c r="E25" s="535"/>
      <c r="F25" s="563"/>
      <c r="G25" s="510"/>
    </row>
    <row r="26" spans="1:9">
      <c r="A26" s="561"/>
      <c r="B26" s="562"/>
      <c r="C26" s="535" t="s">
        <v>948</v>
      </c>
      <c r="D26" s="535"/>
      <c r="E26" s="535"/>
      <c r="F26" s="563"/>
      <c r="G26" s="510"/>
    </row>
    <row r="27" spans="1:9" s="605" customFormat="1" ht="12.75" thickBot="1">
      <c r="A27" s="600"/>
      <c r="B27" s="601"/>
      <c r="C27" s="601"/>
      <c r="D27" s="602"/>
      <c r="E27" s="602"/>
      <c r="F27" s="603"/>
      <c r="G27" s="604"/>
    </row>
    <row r="28" spans="1:9" ht="12.75" thickBot="1"/>
    <row r="29" spans="1:9" ht="12.75" customHeight="1">
      <c r="A29" s="545" t="s">
        <v>789</v>
      </c>
      <c r="B29" s="546"/>
      <c r="C29" s="547"/>
      <c r="D29" s="548" t="s">
        <v>1165</v>
      </c>
      <c r="E29" s="549"/>
      <c r="F29" s="549"/>
      <c r="G29" s="550"/>
    </row>
    <row r="30" spans="1:9" ht="12.75" customHeight="1" thickBot="1">
      <c r="A30" s="514" t="s">
        <v>790</v>
      </c>
      <c r="B30" s="515"/>
      <c r="C30" s="551"/>
      <c r="D30" s="552" t="s">
        <v>942</v>
      </c>
      <c r="E30" s="517"/>
      <c r="F30" s="517"/>
      <c r="G30" s="518"/>
    </row>
    <row r="31" spans="1:9" ht="11.25" customHeight="1" thickTop="1">
      <c r="A31" s="519"/>
      <c r="B31" s="520"/>
      <c r="C31" s="521"/>
      <c r="D31" s="522"/>
      <c r="E31" s="523" t="s">
        <v>1141</v>
      </c>
      <c r="F31" s="524"/>
      <c r="G31" s="525"/>
      <c r="H31" s="526"/>
      <c r="I31" s="526"/>
    </row>
    <row r="32" spans="1:9" ht="11.25" customHeight="1" thickBot="1">
      <c r="A32" s="527" t="s">
        <v>1142</v>
      </c>
      <c r="B32" s="528" t="s">
        <v>1143</v>
      </c>
      <c r="C32" s="553" t="s">
        <v>894</v>
      </c>
      <c r="D32" s="554" t="s">
        <v>1144</v>
      </c>
      <c r="E32" s="530" t="s">
        <v>791</v>
      </c>
      <c r="F32" s="531" t="s">
        <v>792</v>
      </c>
      <c r="G32" s="532" t="s">
        <v>1145</v>
      </c>
      <c r="I32" s="526"/>
    </row>
    <row r="33" spans="1:9" ht="12.75" thickTop="1">
      <c r="A33" s="555"/>
      <c r="B33" s="556"/>
      <c r="C33" s="556"/>
      <c r="D33" s="557"/>
      <c r="E33" s="558"/>
      <c r="F33" s="559"/>
      <c r="G33" s="560"/>
    </row>
    <row r="34" spans="1:9">
      <c r="A34" s="561"/>
      <c r="B34" s="562"/>
      <c r="C34" s="535" t="s">
        <v>946</v>
      </c>
      <c r="D34" s="535"/>
      <c r="E34" s="535"/>
      <c r="F34" s="563"/>
      <c r="G34" s="510"/>
    </row>
    <row r="35" spans="1:9">
      <c r="A35" s="561"/>
      <c r="B35" s="562"/>
      <c r="C35" s="535" t="s">
        <v>955</v>
      </c>
      <c r="D35" s="535"/>
      <c r="E35" s="535"/>
      <c r="F35" s="563"/>
      <c r="G35" s="510"/>
    </row>
    <row r="36" spans="1:9">
      <c r="A36" s="561"/>
      <c r="B36" s="562"/>
      <c r="C36" s="535" t="s">
        <v>947</v>
      </c>
      <c r="D36" s="535"/>
      <c r="E36" s="535"/>
      <c r="F36" s="563"/>
      <c r="G36" s="510"/>
    </row>
    <row r="37" spans="1:9">
      <c r="A37" s="561"/>
      <c r="B37" s="562"/>
      <c r="C37" s="535"/>
      <c r="D37" s="535"/>
      <c r="E37" s="535"/>
      <c r="F37" s="563"/>
      <c r="G37" s="510"/>
    </row>
    <row r="38" spans="1:9" s="605" customFormat="1" ht="12.75" thickBot="1">
      <c r="A38" s="600"/>
      <c r="B38" s="601"/>
      <c r="C38" s="601"/>
      <c r="D38" s="602"/>
      <c r="E38" s="602"/>
      <c r="F38" s="603"/>
      <c r="G38" s="604"/>
    </row>
    <row r="40" spans="1:9" ht="12.75" thickBot="1"/>
    <row r="41" spans="1:9" ht="11.25" customHeight="1">
      <c r="A41" s="612" t="s">
        <v>786</v>
      </c>
      <c r="B41" s="613"/>
      <c r="C41" s="614"/>
      <c r="D41" s="615">
        <v>2</v>
      </c>
      <c r="E41" s="616"/>
      <c r="F41" s="613"/>
      <c r="G41" s="617"/>
    </row>
    <row r="42" spans="1:9" ht="11.25" customHeight="1">
      <c r="A42" s="504" t="s">
        <v>787</v>
      </c>
      <c r="B42" s="505"/>
      <c r="C42" s="506"/>
      <c r="D42" s="356" t="s">
        <v>1166</v>
      </c>
      <c r="E42" s="507"/>
      <c r="F42" s="507"/>
      <c r="G42" s="508"/>
    </row>
    <row r="43" spans="1:9" ht="11.25" customHeight="1">
      <c r="A43" s="504" t="s">
        <v>1140</v>
      </c>
      <c r="B43" s="505"/>
      <c r="C43" s="506"/>
      <c r="D43" s="356" t="s">
        <v>949</v>
      </c>
      <c r="E43" s="509"/>
      <c r="F43" s="509"/>
      <c r="G43" s="510"/>
    </row>
    <row r="44" spans="1:9">
      <c r="A44" s="504" t="s">
        <v>788</v>
      </c>
      <c r="B44" s="505"/>
      <c r="C44" s="506"/>
      <c r="D44" s="356" t="s">
        <v>950</v>
      </c>
      <c r="E44" s="509"/>
      <c r="F44" s="509"/>
      <c r="G44" s="510"/>
    </row>
    <row r="45" spans="1:9" ht="11.25" customHeight="1">
      <c r="A45" s="511" t="s">
        <v>789</v>
      </c>
      <c r="B45" s="513"/>
      <c r="C45" s="512"/>
      <c r="D45" s="356" t="s">
        <v>941</v>
      </c>
      <c r="E45" s="509"/>
      <c r="F45" s="509"/>
      <c r="G45" s="510"/>
    </row>
    <row r="46" spans="1:9" ht="11.25" customHeight="1" thickBot="1">
      <c r="A46" s="514" t="s">
        <v>790</v>
      </c>
      <c r="B46" s="515"/>
      <c r="C46" s="516"/>
      <c r="D46" s="357" t="s">
        <v>942</v>
      </c>
      <c r="E46" s="517"/>
      <c r="F46" s="517"/>
      <c r="G46" s="518"/>
    </row>
    <row r="47" spans="1:9" ht="11.25" customHeight="1" thickTop="1">
      <c r="A47" s="519"/>
      <c r="B47" s="520"/>
      <c r="C47" s="521"/>
      <c r="D47" s="522"/>
      <c r="E47" s="523" t="s">
        <v>1141</v>
      </c>
      <c r="F47" s="524"/>
      <c r="G47" s="525"/>
      <c r="H47" s="526"/>
      <c r="I47" s="526"/>
    </row>
    <row r="48" spans="1:9" ht="11.25" customHeight="1" thickBot="1">
      <c r="A48" s="527" t="s">
        <v>1142</v>
      </c>
      <c r="B48" s="528" t="s">
        <v>1143</v>
      </c>
      <c r="C48" s="528" t="s">
        <v>894</v>
      </c>
      <c r="D48" s="529" t="s">
        <v>1144</v>
      </c>
      <c r="E48" s="530" t="s">
        <v>791</v>
      </c>
      <c r="F48" s="531" t="s">
        <v>792</v>
      </c>
      <c r="G48" s="532" t="s">
        <v>1145</v>
      </c>
      <c r="I48" s="526"/>
    </row>
    <row r="49" spans="1:9" s="605" customFormat="1" ht="23.25" customHeight="1" thickTop="1">
      <c r="A49" s="606"/>
      <c r="B49" s="607"/>
      <c r="C49" s="358" t="s">
        <v>943</v>
      </c>
      <c r="D49" s="608"/>
      <c r="E49" s="609"/>
      <c r="F49" s="610"/>
      <c r="G49" s="611"/>
    </row>
    <row r="50" spans="1:9" ht="11.25" customHeight="1">
      <c r="A50" s="533">
        <v>1</v>
      </c>
      <c r="B50" s="534" t="s">
        <v>479</v>
      </c>
      <c r="C50" s="359" t="s">
        <v>429</v>
      </c>
      <c r="D50" s="535" t="s">
        <v>1164</v>
      </c>
      <c r="E50" s="342" t="s">
        <v>944</v>
      </c>
      <c r="F50" s="342" t="s">
        <v>945</v>
      </c>
      <c r="G50" s="510"/>
    </row>
    <row r="51" spans="1:9">
      <c r="A51" s="533"/>
      <c r="B51" s="538"/>
      <c r="C51" s="539"/>
      <c r="D51" s="540"/>
      <c r="E51" s="536"/>
      <c r="F51" s="537"/>
      <c r="G51" s="510"/>
    </row>
    <row r="52" spans="1:9">
      <c r="A52" s="541"/>
      <c r="B52" s="539"/>
      <c r="C52" s="538"/>
      <c r="D52" s="537"/>
      <c r="E52" s="537"/>
      <c r="F52" s="537"/>
      <c r="G52" s="510"/>
    </row>
    <row r="53" spans="1:9" ht="12.75" thickBot="1">
      <c r="A53" s="542"/>
      <c r="B53" s="526"/>
      <c r="C53" s="526"/>
      <c r="D53" s="526"/>
      <c r="E53" s="526"/>
      <c r="F53" s="543"/>
      <c r="G53" s="544"/>
    </row>
    <row r="54" spans="1:9" ht="12.75" customHeight="1">
      <c r="A54" s="545" t="s">
        <v>789</v>
      </c>
      <c r="B54" s="546"/>
      <c r="C54" s="547"/>
      <c r="D54" s="548" t="s">
        <v>951</v>
      </c>
      <c r="E54" s="549"/>
      <c r="F54" s="549"/>
      <c r="G54" s="550"/>
    </row>
    <row r="55" spans="1:9" ht="12.75" customHeight="1" thickBot="1">
      <c r="A55" s="514" t="s">
        <v>790</v>
      </c>
      <c r="B55" s="515"/>
      <c r="C55" s="551"/>
      <c r="D55" s="552" t="s">
        <v>942</v>
      </c>
      <c r="E55" s="517"/>
      <c r="F55" s="517"/>
      <c r="G55" s="518"/>
    </row>
    <row r="56" spans="1:9" ht="11.25" customHeight="1" thickTop="1">
      <c r="A56" s="519"/>
      <c r="B56" s="520"/>
      <c r="C56" s="521"/>
      <c r="D56" s="522"/>
      <c r="E56" s="523" t="s">
        <v>1141</v>
      </c>
      <c r="F56" s="524"/>
      <c r="G56" s="525"/>
      <c r="H56" s="526"/>
      <c r="I56" s="526"/>
    </row>
    <row r="57" spans="1:9" ht="11.25" customHeight="1" thickBot="1">
      <c r="A57" s="527" t="s">
        <v>1142</v>
      </c>
      <c r="B57" s="528" t="s">
        <v>1143</v>
      </c>
      <c r="C57" s="553" t="s">
        <v>894</v>
      </c>
      <c r="D57" s="554" t="s">
        <v>1144</v>
      </c>
      <c r="E57" s="530" t="s">
        <v>791</v>
      </c>
      <c r="F57" s="531" t="s">
        <v>792</v>
      </c>
      <c r="G57" s="532" t="s">
        <v>1145</v>
      </c>
      <c r="I57" s="526"/>
    </row>
    <row r="58" spans="1:9" ht="12.75" thickTop="1">
      <c r="A58" s="555"/>
      <c r="B58" s="556"/>
      <c r="C58" s="556" t="s">
        <v>943</v>
      </c>
      <c r="D58" s="557"/>
      <c r="E58" s="558"/>
      <c r="F58" s="559"/>
      <c r="G58" s="560"/>
    </row>
    <row r="59" spans="1:9">
      <c r="A59" s="561">
        <v>1</v>
      </c>
      <c r="B59" s="534" t="s">
        <v>479</v>
      </c>
      <c r="C59" s="535" t="s">
        <v>532</v>
      </c>
      <c r="D59" s="535" t="s">
        <v>1164</v>
      </c>
      <c r="E59" s="342" t="s">
        <v>944</v>
      </c>
      <c r="F59" s="535" t="s">
        <v>532</v>
      </c>
      <c r="G59" s="510"/>
    </row>
    <row r="60" spans="1:9">
      <c r="A60" s="561">
        <v>2</v>
      </c>
      <c r="B60" s="534" t="s">
        <v>479</v>
      </c>
      <c r="C60" s="535" t="s">
        <v>531</v>
      </c>
      <c r="D60" s="535" t="s">
        <v>1164</v>
      </c>
      <c r="E60" s="342" t="s">
        <v>944</v>
      </c>
      <c r="F60" s="535" t="s">
        <v>531</v>
      </c>
      <c r="G60" s="510"/>
    </row>
    <row r="61" spans="1:9">
      <c r="A61" s="561">
        <v>3</v>
      </c>
      <c r="B61" s="534" t="s">
        <v>479</v>
      </c>
      <c r="C61" s="535" t="s">
        <v>431</v>
      </c>
      <c r="D61" s="535" t="s">
        <v>1164</v>
      </c>
      <c r="E61" s="342" t="s">
        <v>944</v>
      </c>
      <c r="F61" s="535" t="s">
        <v>431</v>
      </c>
      <c r="G61" s="510"/>
    </row>
    <row r="62" spans="1:9">
      <c r="A62" s="561">
        <v>4</v>
      </c>
      <c r="B62" s="534" t="s">
        <v>479</v>
      </c>
      <c r="C62" s="535" t="s">
        <v>430</v>
      </c>
      <c r="D62" s="535" t="s">
        <v>1164</v>
      </c>
      <c r="E62" s="342" t="s">
        <v>944</v>
      </c>
      <c r="F62" s="535" t="s">
        <v>430</v>
      </c>
      <c r="G62" s="510"/>
    </row>
    <row r="63" spans="1:9">
      <c r="A63" s="561">
        <v>5</v>
      </c>
      <c r="B63" s="534" t="s">
        <v>479</v>
      </c>
      <c r="C63" s="535" t="s">
        <v>438</v>
      </c>
      <c r="D63" s="535" t="s">
        <v>1164</v>
      </c>
      <c r="E63" s="342" t="s">
        <v>944</v>
      </c>
      <c r="F63" s="535" t="s">
        <v>438</v>
      </c>
      <c r="G63" s="510"/>
    </row>
    <row r="64" spans="1:9">
      <c r="A64" s="561"/>
      <c r="B64" s="562"/>
      <c r="C64" s="535"/>
      <c r="D64" s="535"/>
      <c r="E64" s="535"/>
      <c r="F64" s="563"/>
      <c r="G64" s="510"/>
    </row>
    <row r="65" spans="1:9" s="605" customFormat="1" ht="12.75" thickBot="1">
      <c r="A65" s="600"/>
      <c r="B65" s="601"/>
      <c r="C65" s="601"/>
      <c r="D65" s="602"/>
      <c r="E65" s="602"/>
      <c r="F65" s="603"/>
      <c r="G65" s="604"/>
    </row>
    <row r="67" spans="1:9" ht="12.75" thickBot="1"/>
    <row r="68" spans="1:9" ht="11.25" customHeight="1">
      <c r="A68" s="612" t="s">
        <v>786</v>
      </c>
      <c r="B68" s="613"/>
      <c r="C68" s="614"/>
      <c r="D68" s="615">
        <v>3</v>
      </c>
      <c r="E68" s="616"/>
      <c r="F68" s="613"/>
      <c r="G68" s="617"/>
    </row>
    <row r="69" spans="1:9" ht="11.25" customHeight="1">
      <c r="A69" s="504" t="s">
        <v>787</v>
      </c>
      <c r="B69" s="505"/>
      <c r="C69" s="506"/>
      <c r="D69" s="356" t="s">
        <v>1166</v>
      </c>
      <c r="E69" s="507"/>
      <c r="F69" s="507"/>
      <c r="G69" s="508"/>
    </row>
    <row r="70" spans="1:9" ht="11.25" customHeight="1">
      <c r="A70" s="504" t="s">
        <v>1140</v>
      </c>
      <c r="B70" s="505"/>
      <c r="C70" s="506"/>
      <c r="D70" s="356" t="s">
        <v>1167</v>
      </c>
      <c r="E70" s="509"/>
      <c r="F70" s="509"/>
      <c r="G70" s="510"/>
    </row>
    <row r="71" spans="1:9">
      <c r="A71" s="504" t="s">
        <v>788</v>
      </c>
      <c r="B71" s="505"/>
      <c r="C71" s="506"/>
      <c r="D71" s="356" t="s">
        <v>952</v>
      </c>
      <c r="E71" s="509"/>
      <c r="F71" s="509"/>
      <c r="G71" s="510"/>
    </row>
    <row r="72" spans="1:9" ht="11.25" customHeight="1">
      <c r="A72" s="511" t="s">
        <v>789</v>
      </c>
      <c r="B72" s="513"/>
      <c r="C72" s="512"/>
      <c r="D72" s="356" t="s">
        <v>953</v>
      </c>
      <c r="E72" s="509"/>
      <c r="F72" s="509"/>
      <c r="G72" s="510"/>
    </row>
    <row r="73" spans="1:9" ht="11.25" customHeight="1" thickBot="1">
      <c r="A73" s="514" t="s">
        <v>790</v>
      </c>
      <c r="B73" s="515"/>
      <c r="C73" s="516"/>
      <c r="D73" s="357" t="s">
        <v>942</v>
      </c>
      <c r="E73" s="517"/>
      <c r="F73" s="517"/>
      <c r="G73" s="518"/>
    </row>
    <row r="74" spans="1:9" ht="11.25" customHeight="1" thickTop="1">
      <c r="A74" s="519"/>
      <c r="B74" s="520"/>
      <c r="C74" s="521"/>
      <c r="D74" s="522"/>
      <c r="E74" s="523" t="s">
        <v>1141</v>
      </c>
      <c r="F74" s="524"/>
      <c r="G74" s="525"/>
      <c r="H74" s="526"/>
      <c r="I74" s="526"/>
    </row>
    <row r="75" spans="1:9" ht="11.25" customHeight="1" thickBot="1">
      <c r="A75" s="527" t="s">
        <v>1142</v>
      </c>
      <c r="B75" s="528" t="s">
        <v>1143</v>
      </c>
      <c r="C75" s="528" t="s">
        <v>894</v>
      </c>
      <c r="D75" s="529" t="s">
        <v>1144</v>
      </c>
      <c r="E75" s="530" t="s">
        <v>791</v>
      </c>
      <c r="F75" s="531" t="s">
        <v>792</v>
      </c>
      <c r="G75" s="532" t="s">
        <v>1145</v>
      </c>
      <c r="I75" s="526"/>
    </row>
    <row r="76" spans="1:9" s="605" customFormat="1" ht="23.25" customHeight="1" thickTop="1">
      <c r="A76" s="606"/>
      <c r="B76" s="607"/>
      <c r="C76" s="358" t="s">
        <v>943</v>
      </c>
      <c r="D76" s="608"/>
      <c r="E76" s="609"/>
      <c r="F76" s="610"/>
      <c r="G76" s="611"/>
    </row>
    <row r="77" spans="1:9" ht="11.25" customHeight="1">
      <c r="A77" s="533">
        <v>1</v>
      </c>
      <c r="B77" s="534" t="s">
        <v>479</v>
      </c>
      <c r="C77" s="359" t="s">
        <v>429</v>
      </c>
      <c r="D77" s="535" t="s">
        <v>1164</v>
      </c>
      <c r="E77" s="342" t="s">
        <v>944</v>
      </c>
      <c r="F77" s="342" t="s">
        <v>945</v>
      </c>
      <c r="G77" s="510"/>
    </row>
    <row r="78" spans="1:9">
      <c r="A78" s="533"/>
      <c r="B78" s="538"/>
      <c r="C78" s="539"/>
      <c r="D78" s="540"/>
      <c r="E78" s="536"/>
      <c r="F78" s="537"/>
      <c r="G78" s="510"/>
    </row>
    <row r="79" spans="1:9">
      <c r="A79" s="541"/>
      <c r="B79" s="539"/>
      <c r="C79" s="538"/>
      <c r="D79" s="537"/>
      <c r="E79" s="537"/>
      <c r="F79" s="537"/>
      <c r="G79" s="510"/>
    </row>
    <row r="80" spans="1:9" ht="12.75" thickBot="1">
      <c r="A80" s="542"/>
      <c r="B80" s="526"/>
      <c r="C80" s="526"/>
      <c r="D80" s="526"/>
      <c r="E80" s="526"/>
      <c r="F80" s="543"/>
      <c r="G80" s="544"/>
    </row>
    <row r="81" spans="1:9" ht="12.75" customHeight="1">
      <c r="A81" s="545" t="s">
        <v>789</v>
      </c>
      <c r="B81" s="546"/>
      <c r="C81" s="547"/>
      <c r="D81" s="548" t="s">
        <v>1168</v>
      </c>
      <c r="E81" s="549"/>
      <c r="F81" s="549"/>
      <c r="G81" s="550"/>
    </row>
    <row r="82" spans="1:9" ht="12.75" customHeight="1" thickBot="1">
      <c r="A82" s="514" t="s">
        <v>790</v>
      </c>
      <c r="B82" s="515"/>
      <c r="C82" s="551"/>
      <c r="D82" s="552" t="s">
        <v>942</v>
      </c>
      <c r="E82" s="517"/>
      <c r="F82" s="517"/>
      <c r="G82" s="518"/>
    </row>
    <row r="83" spans="1:9" ht="11.25" customHeight="1" thickTop="1">
      <c r="A83" s="519"/>
      <c r="B83" s="520"/>
      <c r="C83" s="521"/>
      <c r="D83" s="522"/>
      <c r="E83" s="523" t="s">
        <v>1141</v>
      </c>
      <c r="F83" s="524"/>
      <c r="G83" s="525"/>
      <c r="H83" s="526"/>
      <c r="I83" s="526"/>
    </row>
    <row r="84" spans="1:9" ht="11.25" customHeight="1" thickBot="1">
      <c r="A84" s="527" t="s">
        <v>1142</v>
      </c>
      <c r="B84" s="528" t="s">
        <v>1143</v>
      </c>
      <c r="C84" s="553" t="s">
        <v>894</v>
      </c>
      <c r="D84" s="554" t="s">
        <v>1144</v>
      </c>
      <c r="E84" s="530" t="s">
        <v>791</v>
      </c>
      <c r="F84" s="531" t="s">
        <v>792</v>
      </c>
      <c r="G84" s="532" t="s">
        <v>1145</v>
      </c>
      <c r="I84" s="526"/>
    </row>
    <row r="85" spans="1:9" ht="12.75" thickTop="1">
      <c r="A85" s="555"/>
      <c r="B85" s="556"/>
      <c r="C85" s="556" t="s">
        <v>943</v>
      </c>
      <c r="D85" s="557"/>
      <c r="E85" s="558"/>
      <c r="F85" s="559"/>
      <c r="G85" s="560"/>
    </row>
    <row r="86" spans="1:9">
      <c r="A86" s="561">
        <v>1</v>
      </c>
      <c r="B86" s="534" t="s">
        <v>479</v>
      </c>
      <c r="C86" s="535" t="s">
        <v>532</v>
      </c>
      <c r="D86" s="535" t="s">
        <v>1164</v>
      </c>
      <c r="E86" s="342" t="s">
        <v>944</v>
      </c>
      <c r="F86" s="535" t="s">
        <v>532</v>
      </c>
      <c r="G86" s="510"/>
    </row>
    <row r="87" spans="1:9">
      <c r="A87" s="561">
        <v>2</v>
      </c>
      <c r="B87" s="534" t="s">
        <v>479</v>
      </c>
      <c r="C87" s="535" t="s">
        <v>531</v>
      </c>
      <c r="D87" s="535" t="s">
        <v>1164</v>
      </c>
      <c r="E87" s="342" t="s">
        <v>944</v>
      </c>
      <c r="F87" s="535" t="s">
        <v>531</v>
      </c>
      <c r="G87" s="510"/>
    </row>
    <row r="88" spans="1:9">
      <c r="A88" s="561">
        <v>3</v>
      </c>
      <c r="B88" s="534" t="s">
        <v>479</v>
      </c>
      <c r="C88" s="535" t="s">
        <v>431</v>
      </c>
      <c r="D88" s="535" t="s">
        <v>1164</v>
      </c>
      <c r="E88" s="342" t="s">
        <v>944</v>
      </c>
      <c r="F88" s="535" t="s">
        <v>431</v>
      </c>
      <c r="G88" s="510"/>
    </row>
    <row r="89" spans="1:9">
      <c r="A89" s="561">
        <v>4</v>
      </c>
      <c r="B89" s="534" t="s">
        <v>479</v>
      </c>
      <c r="C89" s="535" t="s">
        <v>430</v>
      </c>
      <c r="D89" s="535" t="s">
        <v>1164</v>
      </c>
      <c r="E89" s="342" t="s">
        <v>944</v>
      </c>
      <c r="F89" s="535" t="s">
        <v>430</v>
      </c>
      <c r="G89" s="510"/>
    </row>
    <row r="90" spans="1:9">
      <c r="A90" s="561">
        <v>5</v>
      </c>
      <c r="B90" s="534" t="s">
        <v>479</v>
      </c>
      <c r="C90" s="535" t="s">
        <v>438</v>
      </c>
      <c r="D90" s="535" t="s">
        <v>1164</v>
      </c>
      <c r="E90" s="342" t="s">
        <v>944</v>
      </c>
      <c r="F90" s="535" t="s">
        <v>438</v>
      </c>
      <c r="G90" s="510"/>
    </row>
    <row r="91" spans="1:9">
      <c r="A91" s="561"/>
      <c r="B91" s="562"/>
      <c r="C91" s="535"/>
      <c r="D91" s="535"/>
      <c r="E91" s="535"/>
      <c r="F91" s="563"/>
      <c r="G91" s="510"/>
    </row>
    <row r="92" spans="1:9">
      <c r="A92" s="561"/>
      <c r="B92" s="562"/>
      <c r="C92" s="535"/>
      <c r="D92" s="535"/>
      <c r="E92" s="535"/>
      <c r="F92" s="563"/>
      <c r="G92" s="510"/>
    </row>
  </sheetData>
  <phoneticPr fontId="3"/>
  <dataValidations count="1">
    <dataValidation imeMode="off" allowBlank="1" showInputMessage="1" showErrorMessage="1" sqref="WVN983024:WVO983038 JB65520:JC65534 SX65520:SY65534 ACT65520:ACU65534 AMP65520:AMQ65534 AWL65520:AWM65534 BGH65520:BGI65534 BQD65520:BQE65534 BZZ65520:CAA65534 CJV65520:CJW65534 CTR65520:CTS65534 DDN65520:DDO65534 DNJ65520:DNK65534 DXF65520:DXG65534 EHB65520:EHC65534 EQX65520:EQY65534 FAT65520:FAU65534 FKP65520:FKQ65534 FUL65520:FUM65534 GEH65520:GEI65534 GOD65520:GOE65534 GXZ65520:GYA65534 HHV65520:HHW65534 HRR65520:HRS65534 IBN65520:IBO65534 ILJ65520:ILK65534 IVF65520:IVG65534 JFB65520:JFC65534 JOX65520:JOY65534 JYT65520:JYU65534 KIP65520:KIQ65534 KSL65520:KSM65534 LCH65520:LCI65534 LMD65520:LME65534 LVZ65520:LWA65534 MFV65520:MFW65534 MPR65520:MPS65534 MZN65520:MZO65534 NJJ65520:NJK65534 NTF65520:NTG65534 ODB65520:ODC65534 OMX65520:OMY65534 OWT65520:OWU65534 PGP65520:PGQ65534 PQL65520:PQM65534 QAH65520:QAI65534 QKD65520:QKE65534 QTZ65520:QUA65534 RDV65520:RDW65534 RNR65520:RNS65534 RXN65520:RXO65534 SHJ65520:SHK65534 SRF65520:SRG65534 TBB65520:TBC65534 TKX65520:TKY65534 TUT65520:TUU65534 UEP65520:UEQ65534 UOL65520:UOM65534 UYH65520:UYI65534 VID65520:VIE65534 VRZ65520:VSA65534 WBV65520:WBW65534 WLR65520:WLS65534 WVN65520:WVO65534 JB131056:JC131070 SX131056:SY131070 ACT131056:ACU131070 AMP131056:AMQ131070 AWL131056:AWM131070 BGH131056:BGI131070 BQD131056:BQE131070 BZZ131056:CAA131070 CJV131056:CJW131070 CTR131056:CTS131070 DDN131056:DDO131070 DNJ131056:DNK131070 DXF131056:DXG131070 EHB131056:EHC131070 EQX131056:EQY131070 FAT131056:FAU131070 FKP131056:FKQ131070 FUL131056:FUM131070 GEH131056:GEI131070 GOD131056:GOE131070 GXZ131056:GYA131070 HHV131056:HHW131070 HRR131056:HRS131070 IBN131056:IBO131070 ILJ131056:ILK131070 IVF131056:IVG131070 JFB131056:JFC131070 JOX131056:JOY131070 JYT131056:JYU131070 KIP131056:KIQ131070 KSL131056:KSM131070 LCH131056:LCI131070 LMD131056:LME131070 LVZ131056:LWA131070 MFV131056:MFW131070 MPR131056:MPS131070 MZN131056:MZO131070 NJJ131056:NJK131070 NTF131056:NTG131070 ODB131056:ODC131070 OMX131056:OMY131070 OWT131056:OWU131070 PGP131056:PGQ131070 PQL131056:PQM131070 QAH131056:QAI131070 QKD131056:QKE131070 QTZ131056:QUA131070 RDV131056:RDW131070 RNR131056:RNS131070 RXN131056:RXO131070 SHJ131056:SHK131070 SRF131056:SRG131070 TBB131056:TBC131070 TKX131056:TKY131070 TUT131056:TUU131070 UEP131056:UEQ131070 UOL131056:UOM131070 UYH131056:UYI131070 VID131056:VIE131070 VRZ131056:VSA131070 WBV131056:WBW131070 WLR131056:WLS131070 WVN131056:WVO131070 JB196592:JC196606 SX196592:SY196606 ACT196592:ACU196606 AMP196592:AMQ196606 AWL196592:AWM196606 BGH196592:BGI196606 BQD196592:BQE196606 BZZ196592:CAA196606 CJV196592:CJW196606 CTR196592:CTS196606 DDN196592:DDO196606 DNJ196592:DNK196606 DXF196592:DXG196606 EHB196592:EHC196606 EQX196592:EQY196606 FAT196592:FAU196606 FKP196592:FKQ196606 FUL196592:FUM196606 GEH196592:GEI196606 GOD196592:GOE196606 GXZ196592:GYA196606 HHV196592:HHW196606 HRR196592:HRS196606 IBN196592:IBO196606 ILJ196592:ILK196606 IVF196592:IVG196606 JFB196592:JFC196606 JOX196592:JOY196606 JYT196592:JYU196606 KIP196592:KIQ196606 KSL196592:KSM196606 LCH196592:LCI196606 LMD196592:LME196606 LVZ196592:LWA196606 MFV196592:MFW196606 MPR196592:MPS196606 MZN196592:MZO196606 NJJ196592:NJK196606 NTF196592:NTG196606 ODB196592:ODC196606 OMX196592:OMY196606 OWT196592:OWU196606 PGP196592:PGQ196606 PQL196592:PQM196606 QAH196592:QAI196606 QKD196592:QKE196606 QTZ196592:QUA196606 RDV196592:RDW196606 RNR196592:RNS196606 RXN196592:RXO196606 SHJ196592:SHK196606 SRF196592:SRG196606 TBB196592:TBC196606 TKX196592:TKY196606 TUT196592:TUU196606 UEP196592:UEQ196606 UOL196592:UOM196606 UYH196592:UYI196606 VID196592:VIE196606 VRZ196592:VSA196606 WBV196592:WBW196606 WLR196592:WLS196606 WVN196592:WVO196606 JB262128:JC262142 SX262128:SY262142 ACT262128:ACU262142 AMP262128:AMQ262142 AWL262128:AWM262142 BGH262128:BGI262142 BQD262128:BQE262142 BZZ262128:CAA262142 CJV262128:CJW262142 CTR262128:CTS262142 DDN262128:DDO262142 DNJ262128:DNK262142 DXF262128:DXG262142 EHB262128:EHC262142 EQX262128:EQY262142 FAT262128:FAU262142 FKP262128:FKQ262142 FUL262128:FUM262142 GEH262128:GEI262142 GOD262128:GOE262142 GXZ262128:GYA262142 HHV262128:HHW262142 HRR262128:HRS262142 IBN262128:IBO262142 ILJ262128:ILK262142 IVF262128:IVG262142 JFB262128:JFC262142 JOX262128:JOY262142 JYT262128:JYU262142 KIP262128:KIQ262142 KSL262128:KSM262142 LCH262128:LCI262142 LMD262128:LME262142 LVZ262128:LWA262142 MFV262128:MFW262142 MPR262128:MPS262142 MZN262128:MZO262142 NJJ262128:NJK262142 NTF262128:NTG262142 ODB262128:ODC262142 OMX262128:OMY262142 OWT262128:OWU262142 PGP262128:PGQ262142 PQL262128:PQM262142 QAH262128:QAI262142 QKD262128:QKE262142 QTZ262128:QUA262142 RDV262128:RDW262142 RNR262128:RNS262142 RXN262128:RXO262142 SHJ262128:SHK262142 SRF262128:SRG262142 TBB262128:TBC262142 TKX262128:TKY262142 TUT262128:TUU262142 UEP262128:UEQ262142 UOL262128:UOM262142 UYH262128:UYI262142 VID262128:VIE262142 VRZ262128:VSA262142 WBV262128:WBW262142 WLR262128:WLS262142 WVN262128:WVO262142 JB327664:JC327678 SX327664:SY327678 ACT327664:ACU327678 AMP327664:AMQ327678 AWL327664:AWM327678 BGH327664:BGI327678 BQD327664:BQE327678 BZZ327664:CAA327678 CJV327664:CJW327678 CTR327664:CTS327678 DDN327664:DDO327678 DNJ327664:DNK327678 DXF327664:DXG327678 EHB327664:EHC327678 EQX327664:EQY327678 FAT327664:FAU327678 FKP327664:FKQ327678 FUL327664:FUM327678 GEH327664:GEI327678 GOD327664:GOE327678 GXZ327664:GYA327678 HHV327664:HHW327678 HRR327664:HRS327678 IBN327664:IBO327678 ILJ327664:ILK327678 IVF327664:IVG327678 JFB327664:JFC327678 JOX327664:JOY327678 JYT327664:JYU327678 KIP327664:KIQ327678 KSL327664:KSM327678 LCH327664:LCI327678 LMD327664:LME327678 LVZ327664:LWA327678 MFV327664:MFW327678 MPR327664:MPS327678 MZN327664:MZO327678 NJJ327664:NJK327678 NTF327664:NTG327678 ODB327664:ODC327678 OMX327664:OMY327678 OWT327664:OWU327678 PGP327664:PGQ327678 PQL327664:PQM327678 QAH327664:QAI327678 QKD327664:QKE327678 QTZ327664:QUA327678 RDV327664:RDW327678 RNR327664:RNS327678 RXN327664:RXO327678 SHJ327664:SHK327678 SRF327664:SRG327678 TBB327664:TBC327678 TKX327664:TKY327678 TUT327664:TUU327678 UEP327664:UEQ327678 UOL327664:UOM327678 UYH327664:UYI327678 VID327664:VIE327678 VRZ327664:VSA327678 WBV327664:WBW327678 WLR327664:WLS327678 WVN327664:WVO327678 JB393200:JC393214 SX393200:SY393214 ACT393200:ACU393214 AMP393200:AMQ393214 AWL393200:AWM393214 BGH393200:BGI393214 BQD393200:BQE393214 BZZ393200:CAA393214 CJV393200:CJW393214 CTR393200:CTS393214 DDN393200:DDO393214 DNJ393200:DNK393214 DXF393200:DXG393214 EHB393200:EHC393214 EQX393200:EQY393214 FAT393200:FAU393214 FKP393200:FKQ393214 FUL393200:FUM393214 GEH393200:GEI393214 GOD393200:GOE393214 GXZ393200:GYA393214 HHV393200:HHW393214 HRR393200:HRS393214 IBN393200:IBO393214 ILJ393200:ILK393214 IVF393200:IVG393214 JFB393200:JFC393214 JOX393200:JOY393214 JYT393200:JYU393214 KIP393200:KIQ393214 KSL393200:KSM393214 LCH393200:LCI393214 LMD393200:LME393214 LVZ393200:LWA393214 MFV393200:MFW393214 MPR393200:MPS393214 MZN393200:MZO393214 NJJ393200:NJK393214 NTF393200:NTG393214 ODB393200:ODC393214 OMX393200:OMY393214 OWT393200:OWU393214 PGP393200:PGQ393214 PQL393200:PQM393214 QAH393200:QAI393214 QKD393200:QKE393214 QTZ393200:QUA393214 RDV393200:RDW393214 RNR393200:RNS393214 RXN393200:RXO393214 SHJ393200:SHK393214 SRF393200:SRG393214 TBB393200:TBC393214 TKX393200:TKY393214 TUT393200:TUU393214 UEP393200:UEQ393214 UOL393200:UOM393214 UYH393200:UYI393214 VID393200:VIE393214 VRZ393200:VSA393214 WBV393200:WBW393214 WLR393200:WLS393214 WVN393200:WVO393214 JB458736:JC458750 SX458736:SY458750 ACT458736:ACU458750 AMP458736:AMQ458750 AWL458736:AWM458750 BGH458736:BGI458750 BQD458736:BQE458750 BZZ458736:CAA458750 CJV458736:CJW458750 CTR458736:CTS458750 DDN458736:DDO458750 DNJ458736:DNK458750 DXF458736:DXG458750 EHB458736:EHC458750 EQX458736:EQY458750 FAT458736:FAU458750 FKP458736:FKQ458750 FUL458736:FUM458750 GEH458736:GEI458750 GOD458736:GOE458750 GXZ458736:GYA458750 HHV458736:HHW458750 HRR458736:HRS458750 IBN458736:IBO458750 ILJ458736:ILK458750 IVF458736:IVG458750 JFB458736:JFC458750 JOX458736:JOY458750 JYT458736:JYU458750 KIP458736:KIQ458750 KSL458736:KSM458750 LCH458736:LCI458750 LMD458736:LME458750 LVZ458736:LWA458750 MFV458736:MFW458750 MPR458736:MPS458750 MZN458736:MZO458750 NJJ458736:NJK458750 NTF458736:NTG458750 ODB458736:ODC458750 OMX458736:OMY458750 OWT458736:OWU458750 PGP458736:PGQ458750 PQL458736:PQM458750 QAH458736:QAI458750 QKD458736:QKE458750 QTZ458736:QUA458750 RDV458736:RDW458750 RNR458736:RNS458750 RXN458736:RXO458750 SHJ458736:SHK458750 SRF458736:SRG458750 TBB458736:TBC458750 TKX458736:TKY458750 TUT458736:TUU458750 UEP458736:UEQ458750 UOL458736:UOM458750 UYH458736:UYI458750 VID458736:VIE458750 VRZ458736:VSA458750 WBV458736:WBW458750 WLR458736:WLS458750 WVN458736:WVO458750 JB524272:JC524286 SX524272:SY524286 ACT524272:ACU524286 AMP524272:AMQ524286 AWL524272:AWM524286 BGH524272:BGI524286 BQD524272:BQE524286 BZZ524272:CAA524286 CJV524272:CJW524286 CTR524272:CTS524286 DDN524272:DDO524286 DNJ524272:DNK524286 DXF524272:DXG524286 EHB524272:EHC524286 EQX524272:EQY524286 FAT524272:FAU524286 FKP524272:FKQ524286 FUL524272:FUM524286 GEH524272:GEI524286 GOD524272:GOE524286 GXZ524272:GYA524286 HHV524272:HHW524286 HRR524272:HRS524286 IBN524272:IBO524286 ILJ524272:ILK524286 IVF524272:IVG524286 JFB524272:JFC524286 JOX524272:JOY524286 JYT524272:JYU524286 KIP524272:KIQ524286 KSL524272:KSM524286 LCH524272:LCI524286 LMD524272:LME524286 LVZ524272:LWA524286 MFV524272:MFW524286 MPR524272:MPS524286 MZN524272:MZO524286 NJJ524272:NJK524286 NTF524272:NTG524286 ODB524272:ODC524286 OMX524272:OMY524286 OWT524272:OWU524286 PGP524272:PGQ524286 PQL524272:PQM524286 QAH524272:QAI524286 QKD524272:QKE524286 QTZ524272:QUA524286 RDV524272:RDW524286 RNR524272:RNS524286 RXN524272:RXO524286 SHJ524272:SHK524286 SRF524272:SRG524286 TBB524272:TBC524286 TKX524272:TKY524286 TUT524272:TUU524286 UEP524272:UEQ524286 UOL524272:UOM524286 UYH524272:UYI524286 VID524272:VIE524286 VRZ524272:VSA524286 WBV524272:WBW524286 WLR524272:WLS524286 WVN524272:WVO524286 JB589808:JC589822 SX589808:SY589822 ACT589808:ACU589822 AMP589808:AMQ589822 AWL589808:AWM589822 BGH589808:BGI589822 BQD589808:BQE589822 BZZ589808:CAA589822 CJV589808:CJW589822 CTR589808:CTS589822 DDN589808:DDO589822 DNJ589808:DNK589822 DXF589808:DXG589822 EHB589808:EHC589822 EQX589808:EQY589822 FAT589808:FAU589822 FKP589808:FKQ589822 FUL589808:FUM589822 GEH589808:GEI589822 GOD589808:GOE589822 GXZ589808:GYA589822 HHV589808:HHW589822 HRR589808:HRS589822 IBN589808:IBO589822 ILJ589808:ILK589822 IVF589808:IVG589822 JFB589808:JFC589822 JOX589808:JOY589822 JYT589808:JYU589822 KIP589808:KIQ589822 KSL589808:KSM589822 LCH589808:LCI589822 LMD589808:LME589822 LVZ589808:LWA589822 MFV589808:MFW589822 MPR589808:MPS589822 MZN589808:MZO589822 NJJ589808:NJK589822 NTF589808:NTG589822 ODB589808:ODC589822 OMX589808:OMY589822 OWT589808:OWU589822 PGP589808:PGQ589822 PQL589808:PQM589822 QAH589808:QAI589822 QKD589808:QKE589822 QTZ589808:QUA589822 RDV589808:RDW589822 RNR589808:RNS589822 RXN589808:RXO589822 SHJ589808:SHK589822 SRF589808:SRG589822 TBB589808:TBC589822 TKX589808:TKY589822 TUT589808:TUU589822 UEP589808:UEQ589822 UOL589808:UOM589822 UYH589808:UYI589822 VID589808:VIE589822 VRZ589808:VSA589822 WBV589808:WBW589822 WLR589808:WLS589822 WVN589808:WVO589822 JB655344:JC655358 SX655344:SY655358 ACT655344:ACU655358 AMP655344:AMQ655358 AWL655344:AWM655358 BGH655344:BGI655358 BQD655344:BQE655358 BZZ655344:CAA655358 CJV655344:CJW655358 CTR655344:CTS655358 DDN655344:DDO655358 DNJ655344:DNK655358 DXF655344:DXG655358 EHB655344:EHC655358 EQX655344:EQY655358 FAT655344:FAU655358 FKP655344:FKQ655358 FUL655344:FUM655358 GEH655344:GEI655358 GOD655344:GOE655358 GXZ655344:GYA655358 HHV655344:HHW655358 HRR655344:HRS655358 IBN655344:IBO655358 ILJ655344:ILK655358 IVF655344:IVG655358 JFB655344:JFC655358 JOX655344:JOY655358 JYT655344:JYU655358 KIP655344:KIQ655358 KSL655344:KSM655358 LCH655344:LCI655358 LMD655344:LME655358 LVZ655344:LWA655358 MFV655344:MFW655358 MPR655344:MPS655358 MZN655344:MZO655358 NJJ655344:NJK655358 NTF655344:NTG655358 ODB655344:ODC655358 OMX655344:OMY655358 OWT655344:OWU655358 PGP655344:PGQ655358 PQL655344:PQM655358 QAH655344:QAI655358 QKD655344:QKE655358 QTZ655344:QUA655358 RDV655344:RDW655358 RNR655344:RNS655358 RXN655344:RXO655358 SHJ655344:SHK655358 SRF655344:SRG655358 TBB655344:TBC655358 TKX655344:TKY655358 TUT655344:TUU655358 UEP655344:UEQ655358 UOL655344:UOM655358 UYH655344:UYI655358 VID655344:VIE655358 VRZ655344:VSA655358 WBV655344:WBW655358 WLR655344:WLS655358 WVN655344:WVO655358 JB720880:JC720894 SX720880:SY720894 ACT720880:ACU720894 AMP720880:AMQ720894 AWL720880:AWM720894 BGH720880:BGI720894 BQD720880:BQE720894 BZZ720880:CAA720894 CJV720880:CJW720894 CTR720880:CTS720894 DDN720880:DDO720894 DNJ720880:DNK720894 DXF720880:DXG720894 EHB720880:EHC720894 EQX720880:EQY720894 FAT720880:FAU720894 FKP720880:FKQ720894 FUL720880:FUM720894 GEH720880:GEI720894 GOD720880:GOE720894 GXZ720880:GYA720894 HHV720880:HHW720894 HRR720880:HRS720894 IBN720880:IBO720894 ILJ720880:ILK720894 IVF720880:IVG720894 JFB720880:JFC720894 JOX720880:JOY720894 JYT720880:JYU720894 KIP720880:KIQ720894 KSL720880:KSM720894 LCH720880:LCI720894 LMD720880:LME720894 LVZ720880:LWA720894 MFV720880:MFW720894 MPR720880:MPS720894 MZN720880:MZO720894 NJJ720880:NJK720894 NTF720880:NTG720894 ODB720880:ODC720894 OMX720880:OMY720894 OWT720880:OWU720894 PGP720880:PGQ720894 PQL720880:PQM720894 QAH720880:QAI720894 QKD720880:QKE720894 QTZ720880:QUA720894 RDV720880:RDW720894 RNR720880:RNS720894 RXN720880:RXO720894 SHJ720880:SHK720894 SRF720880:SRG720894 TBB720880:TBC720894 TKX720880:TKY720894 TUT720880:TUU720894 UEP720880:UEQ720894 UOL720880:UOM720894 UYH720880:UYI720894 VID720880:VIE720894 VRZ720880:VSA720894 WBV720880:WBW720894 WLR720880:WLS720894 WVN720880:WVO720894 JB786416:JC786430 SX786416:SY786430 ACT786416:ACU786430 AMP786416:AMQ786430 AWL786416:AWM786430 BGH786416:BGI786430 BQD786416:BQE786430 BZZ786416:CAA786430 CJV786416:CJW786430 CTR786416:CTS786430 DDN786416:DDO786430 DNJ786416:DNK786430 DXF786416:DXG786430 EHB786416:EHC786430 EQX786416:EQY786430 FAT786416:FAU786430 FKP786416:FKQ786430 FUL786416:FUM786430 GEH786416:GEI786430 GOD786416:GOE786430 GXZ786416:GYA786430 HHV786416:HHW786430 HRR786416:HRS786430 IBN786416:IBO786430 ILJ786416:ILK786430 IVF786416:IVG786430 JFB786416:JFC786430 JOX786416:JOY786430 JYT786416:JYU786430 KIP786416:KIQ786430 KSL786416:KSM786430 LCH786416:LCI786430 LMD786416:LME786430 LVZ786416:LWA786430 MFV786416:MFW786430 MPR786416:MPS786430 MZN786416:MZO786430 NJJ786416:NJK786430 NTF786416:NTG786430 ODB786416:ODC786430 OMX786416:OMY786430 OWT786416:OWU786430 PGP786416:PGQ786430 PQL786416:PQM786430 QAH786416:QAI786430 QKD786416:QKE786430 QTZ786416:QUA786430 RDV786416:RDW786430 RNR786416:RNS786430 RXN786416:RXO786430 SHJ786416:SHK786430 SRF786416:SRG786430 TBB786416:TBC786430 TKX786416:TKY786430 TUT786416:TUU786430 UEP786416:UEQ786430 UOL786416:UOM786430 UYH786416:UYI786430 VID786416:VIE786430 VRZ786416:VSA786430 WBV786416:WBW786430 WLR786416:WLS786430 WVN786416:WVO786430 JB851952:JC851966 SX851952:SY851966 ACT851952:ACU851966 AMP851952:AMQ851966 AWL851952:AWM851966 BGH851952:BGI851966 BQD851952:BQE851966 BZZ851952:CAA851966 CJV851952:CJW851966 CTR851952:CTS851966 DDN851952:DDO851966 DNJ851952:DNK851966 DXF851952:DXG851966 EHB851952:EHC851966 EQX851952:EQY851966 FAT851952:FAU851966 FKP851952:FKQ851966 FUL851952:FUM851966 GEH851952:GEI851966 GOD851952:GOE851966 GXZ851952:GYA851966 HHV851952:HHW851966 HRR851952:HRS851966 IBN851952:IBO851966 ILJ851952:ILK851966 IVF851952:IVG851966 JFB851952:JFC851966 JOX851952:JOY851966 JYT851952:JYU851966 KIP851952:KIQ851966 KSL851952:KSM851966 LCH851952:LCI851966 LMD851952:LME851966 LVZ851952:LWA851966 MFV851952:MFW851966 MPR851952:MPS851966 MZN851952:MZO851966 NJJ851952:NJK851966 NTF851952:NTG851966 ODB851952:ODC851966 OMX851952:OMY851966 OWT851952:OWU851966 PGP851952:PGQ851966 PQL851952:PQM851966 QAH851952:QAI851966 QKD851952:QKE851966 QTZ851952:QUA851966 RDV851952:RDW851966 RNR851952:RNS851966 RXN851952:RXO851966 SHJ851952:SHK851966 SRF851952:SRG851966 TBB851952:TBC851966 TKX851952:TKY851966 TUT851952:TUU851966 UEP851952:UEQ851966 UOL851952:UOM851966 UYH851952:UYI851966 VID851952:VIE851966 VRZ851952:VSA851966 WBV851952:WBW851966 WLR851952:WLS851966 WVN851952:WVO851966 JB917488:JC917502 SX917488:SY917502 ACT917488:ACU917502 AMP917488:AMQ917502 AWL917488:AWM917502 BGH917488:BGI917502 BQD917488:BQE917502 BZZ917488:CAA917502 CJV917488:CJW917502 CTR917488:CTS917502 DDN917488:DDO917502 DNJ917488:DNK917502 DXF917488:DXG917502 EHB917488:EHC917502 EQX917488:EQY917502 FAT917488:FAU917502 FKP917488:FKQ917502 FUL917488:FUM917502 GEH917488:GEI917502 GOD917488:GOE917502 GXZ917488:GYA917502 HHV917488:HHW917502 HRR917488:HRS917502 IBN917488:IBO917502 ILJ917488:ILK917502 IVF917488:IVG917502 JFB917488:JFC917502 JOX917488:JOY917502 JYT917488:JYU917502 KIP917488:KIQ917502 KSL917488:KSM917502 LCH917488:LCI917502 LMD917488:LME917502 LVZ917488:LWA917502 MFV917488:MFW917502 MPR917488:MPS917502 MZN917488:MZO917502 NJJ917488:NJK917502 NTF917488:NTG917502 ODB917488:ODC917502 OMX917488:OMY917502 OWT917488:OWU917502 PGP917488:PGQ917502 PQL917488:PQM917502 QAH917488:QAI917502 QKD917488:QKE917502 QTZ917488:QUA917502 RDV917488:RDW917502 RNR917488:RNS917502 RXN917488:RXO917502 SHJ917488:SHK917502 SRF917488:SRG917502 TBB917488:TBC917502 TKX917488:TKY917502 TUT917488:TUU917502 UEP917488:UEQ917502 UOL917488:UOM917502 UYH917488:UYI917502 VID917488:VIE917502 VRZ917488:VSA917502 WBV917488:WBW917502 WLR917488:WLS917502 WVN917488:WVO917502 JB983024:JC983038 SX983024:SY983038 ACT983024:ACU983038 AMP983024:AMQ983038 AWL983024:AWM983038 BGH983024:BGI983038 BQD983024:BQE983038 BZZ983024:CAA983038 CJV983024:CJW983038 CTR983024:CTS983038 DDN983024:DDO983038 DNJ983024:DNK983038 DXF983024:DXG983038 EHB983024:EHC983038 EQX983024:EQY983038 FAT983024:FAU983038 FKP983024:FKQ983038 FUL983024:FUM983038 GEH983024:GEI983038 GOD983024:GOE983038 GXZ983024:GYA983038 HHV983024:HHW983038 HRR983024:HRS983038 IBN983024:IBO983038 ILJ983024:ILK983038 IVF983024:IVG983038 JFB983024:JFC983038 JOX983024:JOY983038 JYT983024:JYU983038 KIP983024:KIQ983038 KSL983024:KSM983038 LCH983024:LCI983038 LMD983024:LME983038 LVZ983024:LWA983038 MFV983024:MFW983038 MPR983024:MPS983038 MZN983024:MZO983038 NJJ983024:NJK983038 NTF983024:NTG983038 ODB983024:ODC983038 OMX983024:OMY983038 OWT983024:OWU983038 PGP983024:PGQ983038 PQL983024:PQM983038 QAH983024:QAI983038 QKD983024:QKE983038 QTZ983024:QUA983038 RDV983024:RDW983038 RNR983024:RNS983038 RXN983024:RXO983038 SHJ983024:SHK983038 SRF983024:SRG983038 TBB983024:TBC983038 TKX983024:TKY983038 TUT983024:TUU983038 UEP983024:UEQ983038 UOL983024:UOM983038 UYH983024:UYI983038 VID983024:VIE983038 VRZ983024:VSA983038 WBV983024:WBW983038 WLR983024:WLS983038 WVN18:WVO18 WLR13:WLS14 JB13:JC14 SX13:SY14 ACT13:ACU14 AMP13:AMQ14 AWL13:AWM14 BGH13:BGI14 BQD13:BQE14 BZZ13:CAA14 CJV13:CJW14 CTR13:CTS14 DDN13:DDO14 DNJ13:DNK14 DXF13:DXG14 EHB13:EHC14 EQX13:EQY14 FAT13:FAU14 FKP13:FKQ14 FUL13:FUM14 GEH13:GEI14 GOD13:GOE14 GXZ13:GYA14 HHV13:HHW14 HRR13:HRS14 IBN13:IBO14 ILJ13:ILK14 IVF13:IVG14 JFB13:JFC14 JOX13:JOY14 JYT13:JYU14 KIP13:KIQ14 KSL13:KSM14 LCH13:LCI14 LMD13:LME14 LVZ13:LWA14 MFV13:MFW14 MPR13:MPS14 MZN13:MZO14 NJJ13:NJK14 NTF13:NTG14 ODB13:ODC14 OMX13:OMY14 OWT13:OWU14 PGP13:PGQ14 PQL13:PQM14 QAH13:QAI14 QKD13:QKE14 QTZ13:QUA14 RDV13:RDW14 RNR13:RNS14 RXN13:RXO14 SHJ13:SHK14 SRF13:SRG14 TBB13:TBC14 TKX13:TKY14 TUT13:TUU14 UEP13:UEQ14 UOL13:UOM14 UYH13:UYI14 VID13:VIE14 VRZ13:VSA14 WBV13:WBW14 WVN13:WVO14 JB18:JC18 SX18:SY18 ACT18:ACU18 AMP18:AMQ18 AWL18:AWM18 BGH18:BGI18 BQD18:BQE18 BZZ18:CAA18 CJV18:CJW18 CTR18:CTS18 DDN18:DDO18 DNJ18:DNK18 DXF18:DXG18 EHB18:EHC18 EQX18:EQY18 FAT18:FAU18 FKP18:FKQ18 FUL18:FUM18 GEH18:GEI18 GOD18:GOE18 GXZ18:GYA18 HHV18:HHW18 HRR18:HRS18 IBN18:IBO18 ILJ18:ILK18 IVF18:IVG18 JFB18:JFC18 JOX18:JOY18 JYT18:JYU18 KIP18:KIQ18 KSL18:KSM18 LCH18:LCI18 LMD18:LME18 LVZ18:LWA18 MFV18:MFW18 MPR18:MPS18 MZN18:MZO18 NJJ18:NJK18 NTF18:NTG18 ODB18:ODC18 OMX18:OMY18 OWT18:OWU18 PGP18:PGQ18 PQL18:PQM18 QAH18:QAI18 QKD18:QKE18 QTZ18:QUA18 RDV18:RDW18 RNR18:RNS18 RXN18:RXO18 SHJ18:SHK18 SRF18:SRG18 TBB18:TBC18 TKX18:TKY18 TUT18:TUU18 UEP18:UEQ18 UOL18:UOM18 UYH18:UYI18 VID18:VIE18 VRZ18:VSA18 WBV18:WBW18 WLR18:WLS18 WLR5:WLS10 WVN5:WVO10 JB5:JC10 SX5:SY10 ACT5:ACU10 AMP5:AMQ10 AWL5:AWM10 BGH5:BGI10 BQD5:BQE10 BZZ5:CAA10 CJV5:CJW10 CTR5:CTS10 DDN5:DDO10 DNJ5:DNK10 DXF5:DXG10 EHB5:EHC10 EQX5:EQY10 FAT5:FAU10 FKP5:FKQ10 FUL5:FUM10 GEH5:GEI10 GOD5:GOE10 GXZ5:GYA10 HHV5:HHW10 HRR5:HRS10 IBN5:IBO10 ILJ5:ILK10 IVF5:IVG10 JFB5:JFC10 JOX5:JOY10 JYT5:JYU10 KIP5:KIQ10 KSL5:KSM10 LCH5:LCI10 LMD5:LME10 LVZ5:LWA10 MFV5:MFW10 MPR5:MPS10 MZN5:MZO10 NJJ5:NJK10 NTF5:NTG10 ODB5:ODC10 OMX5:OMY10 OWT5:OWU10 PGP5:PGQ10 PQL5:PQM10 QAH5:QAI10 QKD5:QKE10 QTZ5:QUA10 RDV5:RDW10 RNR5:RNS10 RXN5:RXO10 SHJ5:SHK10 SRF5:SRG10 TBB5:TBC10 TKX5:TKY10 TUT5:TUU10 UEP5:UEQ10 UOL5:UOM10 UYH5:UYI10 VID5:VIE10 VRZ5:VSA10 WBV5:WBW10 WVN29:WVO29 JB29:JC29 SX29:SY29 ACT29:ACU29 AMP29:AMQ29 AWL29:AWM29 BGH29:BGI29 BQD29:BQE29 BZZ29:CAA29 CJV29:CJW29 CTR29:CTS29 DDN29:DDO29 DNJ29:DNK29 DXF29:DXG29 EHB29:EHC29 EQX29:EQY29 FAT29:FAU29 FKP29:FKQ29 FUL29:FUM29 GEH29:GEI29 GOD29:GOE29 GXZ29:GYA29 HHV29:HHW29 HRR29:HRS29 IBN29:IBO29 ILJ29:ILK29 IVF29:IVG29 JFB29:JFC29 JOX29:JOY29 JYT29:JYU29 KIP29:KIQ29 KSL29:KSM29 LCH29:LCI29 LMD29:LME29 LVZ29:LWA29 MFV29:MFW29 MPR29:MPS29 MZN29:MZO29 NJJ29:NJK29 NTF29:NTG29 ODB29:ODC29 OMX29:OMY29 OWT29:OWU29 PGP29:PGQ29 PQL29:PQM29 QAH29:QAI29 QKD29:QKE29 QTZ29:QUA29 RDV29:RDW29 RNR29:RNS29 RXN29:RXO29 SHJ29:SHK29 SRF29:SRG29 TBB29:TBC29 TKX29:TKY29 TUT29:TUU29 UEP29:UEQ29 UOL29:UOM29 UYH29:UYI29 VID29:VIE29 VRZ29:VSA29 WBV29:WBW29 WLR29:WLS29 WVN54:WVO54 WLR49:WLS50 JB49:JC50 SX49:SY50 ACT49:ACU50 AMP49:AMQ50 AWL49:AWM50 BGH49:BGI50 BQD49:BQE50 BZZ49:CAA50 CJV49:CJW50 CTR49:CTS50 DDN49:DDO50 DNJ49:DNK50 DXF49:DXG50 EHB49:EHC50 EQX49:EQY50 FAT49:FAU50 FKP49:FKQ50 FUL49:FUM50 GEH49:GEI50 GOD49:GOE50 GXZ49:GYA50 HHV49:HHW50 HRR49:HRS50 IBN49:IBO50 ILJ49:ILK50 IVF49:IVG50 JFB49:JFC50 JOX49:JOY50 JYT49:JYU50 KIP49:KIQ50 KSL49:KSM50 LCH49:LCI50 LMD49:LME50 LVZ49:LWA50 MFV49:MFW50 MPR49:MPS50 MZN49:MZO50 NJJ49:NJK50 NTF49:NTG50 ODB49:ODC50 OMX49:OMY50 OWT49:OWU50 PGP49:PGQ50 PQL49:PQM50 QAH49:QAI50 QKD49:QKE50 QTZ49:QUA50 RDV49:RDW50 RNR49:RNS50 RXN49:RXO50 SHJ49:SHK50 SRF49:SRG50 TBB49:TBC50 TKX49:TKY50 TUT49:TUU50 UEP49:UEQ50 UOL49:UOM50 UYH49:UYI50 VID49:VIE50 VRZ49:VSA50 WBV49:WBW50 WVN49:WVO50 JB54:JC54 SX54:SY54 ACT54:ACU54 AMP54:AMQ54 AWL54:AWM54 BGH54:BGI54 BQD54:BQE54 BZZ54:CAA54 CJV54:CJW54 CTR54:CTS54 DDN54:DDO54 DNJ54:DNK54 DXF54:DXG54 EHB54:EHC54 EQX54:EQY54 FAT54:FAU54 FKP54:FKQ54 FUL54:FUM54 GEH54:GEI54 GOD54:GOE54 GXZ54:GYA54 HHV54:HHW54 HRR54:HRS54 IBN54:IBO54 ILJ54:ILK54 IVF54:IVG54 JFB54:JFC54 JOX54:JOY54 JYT54:JYU54 KIP54:KIQ54 KSL54:KSM54 LCH54:LCI54 LMD54:LME54 LVZ54:LWA54 MFV54:MFW54 MPR54:MPS54 MZN54:MZO54 NJJ54:NJK54 NTF54:NTG54 ODB54:ODC54 OMX54:OMY54 OWT54:OWU54 PGP54:PGQ54 PQL54:PQM54 QAH54:QAI54 QKD54:QKE54 QTZ54:QUA54 RDV54:RDW54 RNR54:RNS54 RXN54:RXO54 SHJ54:SHK54 SRF54:SRG54 TBB54:TBC54 TKX54:TKY54 TUT54:TUU54 UEP54:UEQ54 UOL54:UOM54 UYH54:UYI54 VID54:VIE54 VRZ54:VSA54 WBV54:WBW54 WLR54:WLS54 WLR41:WLS46 WVN41:WVO46 JB41:JC46 SX41:SY46 ACT41:ACU46 AMP41:AMQ46 AWL41:AWM46 BGH41:BGI46 BQD41:BQE46 BZZ41:CAA46 CJV41:CJW46 CTR41:CTS46 DDN41:DDO46 DNJ41:DNK46 DXF41:DXG46 EHB41:EHC46 EQX41:EQY46 FAT41:FAU46 FKP41:FKQ46 FUL41:FUM46 GEH41:GEI46 GOD41:GOE46 GXZ41:GYA46 HHV41:HHW46 HRR41:HRS46 IBN41:IBO46 ILJ41:ILK46 IVF41:IVG46 JFB41:JFC46 JOX41:JOY46 JYT41:JYU46 KIP41:KIQ46 KSL41:KSM46 LCH41:LCI46 LMD41:LME46 LVZ41:LWA46 MFV41:MFW46 MPR41:MPS46 MZN41:MZO46 NJJ41:NJK46 NTF41:NTG46 ODB41:ODC46 OMX41:OMY46 OWT41:OWU46 PGP41:PGQ46 PQL41:PQM46 QAH41:QAI46 QKD41:QKE46 QTZ41:QUA46 RDV41:RDW46 RNR41:RNS46 RXN41:RXO46 SHJ41:SHK46 SRF41:SRG46 TBB41:TBC46 TKX41:TKY46 TUT41:TUU46 UEP41:UEQ46 UOL41:UOM46 UYH41:UYI46 VID41:VIE46 VRZ41:VSA46 WBV41:WBW46 WVN81:WVO81 WLR76:WLS77 JB76:JC77 SX76:SY77 ACT76:ACU77 AMP76:AMQ77 AWL76:AWM77 BGH76:BGI77 BQD76:BQE77 BZZ76:CAA77 CJV76:CJW77 CTR76:CTS77 DDN76:DDO77 DNJ76:DNK77 DXF76:DXG77 EHB76:EHC77 EQX76:EQY77 FAT76:FAU77 FKP76:FKQ77 FUL76:FUM77 GEH76:GEI77 GOD76:GOE77 GXZ76:GYA77 HHV76:HHW77 HRR76:HRS77 IBN76:IBO77 ILJ76:ILK77 IVF76:IVG77 JFB76:JFC77 JOX76:JOY77 JYT76:JYU77 KIP76:KIQ77 KSL76:KSM77 LCH76:LCI77 LMD76:LME77 LVZ76:LWA77 MFV76:MFW77 MPR76:MPS77 MZN76:MZO77 NJJ76:NJK77 NTF76:NTG77 ODB76:ODC77 OMX76:OMY77 OWT76:OWU77 PGP76:PGQ77 PQL76:PQM77 QAH76:QAI77 QKD76:QKE77 QTZ76:QUA77 RDV76:RDW77 RNR76:RNS77 RXN76:RXO77 SHJ76:SHK77 SRF76:SRG77 TBB76:TBC77 TKX76:TKY77 TUT76:TUU77 UEP76:UEQ77 UOL76:UOM77 UYH76:UYI77 VID76:VIE77 VRZ76:VSA77 WBV76:WBW77 WVN76:WVO77 JB81:JC81 SX81:SY81 ACT81:ACU81 AMP81:AMQ81 AWL81:AWM81 BGH81:BGI81 BQD81:BQE81 BZZ81:CAA81 CJV81:CJW81 CTR81:CTS81 DDN81:DDO81 DNJ81:DNK81 DXF81:DXG81 EHB81:EHC81 EQX81:EQY81 FAT81:FAU81 FKP81:FKQ81 FUL81:FUM81 GEH81:GEI81 GOD81:GOE81 GXZ81:GYA81 HHV81:HHW81 HRR81:HRS81 IBN81:IBO81 ILJ81:ILK81 IVF81:IVG81 JFB81:JFC81 JOX81:JOY81 JYT81:JYU81 KIP81:KIQ81 KSL81:KSM81 LCH81:LCI81 LMD81:LME81 LVZ81:LWA81 MFV81:MFW81 MPR81:MPS81 MZN81:MZO81 NJJ81:NJK81 NTF81:NTG81 ODB81:ODC81 OMX81:OMY81 OWT81:OWU81 PGP81:PGQ81 PQL81:PQM81 QAH81:QAI81 QKD81:QKE81 QTZ81:QUA81 RDV81:RDW81 RNR81:RNS81 RXN81:RXO81 SHJ81:SHK81 SRF81:SRG81 TBB81:TBC81 TKX81:TKY81 TUT81:TUU81 UEP81:UEQ81 UOL81:UOM81 UYH81:UYI81 VID81:VIE81 VRZ81:VSA81 WBV81:WBW81 WLR81:WLS81 WLR68:WLS73 WVN68:WVO73 JB68:JC73 SX68:SY73 ACT68:ACU73 AMP68:AMQ73 AWL68:AWM73 BGH68:BGI73 BQD68:BQE73 BZZ68:CAA73 CJV68:CJW73 CTR68:CTS73 DDN68:DDO73 DNJ68:DNK73 DXF68:DXG73 EHB68:EHC73 EQX68:EQY73 FAT68:FAU73 FKP68:FKQ73 FUL68:FUM73 GEH68:GEI73 GOD68:GOE73 GXZ68:GYA73 HHV68:HHW73 HRR68:HRS73 IBN68:IBO73 ILJ68:ILK73 IVF68:IVG73 JFB68:JFC73 JOX68:JOY73 JYT68:JYU73 KIP68:KIQ73 KSL68:KSM73 LCH68:LCI73 LMD68:LME73 LVZ68:LWA73 MFV68:MFW73 MPR68:MPS73 MZN68:MZO73 NJJ68:NJK73 NTF68:NTG73 ODB68:ODC73 OMX68:OMY73 OWT68:OWU73 PGP68:PGQ73 PQL68:PQM73 QAH68:QAI73 QKD68:QKE73 QTZ68:QUA73 RDV68:RDW73 RNR68:RNS73 RXN68:RXO73 SHJ68:SHK73 SRF68:SRG73 TBB68:TBC73 TKX68:TKY73 TUT68:TUU73 UEP68:UEQ73 UOL68:UOM73 UYH68:UYI73 VID68:VIE73 VRZ68:VSA73 WBV68:WBW73"/>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FFCCFF"/>
    <pageSetUpPr fitToPage="1"/>
  </sheetPr>
  <dimension ref="A4:W122"/>
  <sheetViews>
    <sheetView showGridLines="0" zoomScaleNormal="100" zoomScaleSheetLayoutView="100" workbookViewId="0">
      <selection activeCell="B6" sqref="B6"/>
    </sheetView>
  </sheetViews>
  <sheetFormatPr defaultRowHeight="12"/>
  <cols>
    <col min="1" max="1" width="12" style="503" customWidth="1"/>
    <col min="2" max="2" width="16.83203125" style="503" bestFit="1" customWidth="1"/>
    <col min="3" max="4" width="16.6640625" style="503" customWidth="1"/>
    <col min="5" max="5" width="104.1640625" style="503" customWidth="1"/>
    <col min="6" max="6" width="30.6640625" style="79" bestFit="1" customWidth="1"/>
    <col min="7" max="8" width="11.33203125" style="79" bestFit="1" customWidth="1"/>
    <col min="9" max="9" width="15.83203125" style="79" bestFit="1" customWidth="1"/>
    <col min="10" max="10" width="11.33203125" style="79" bestFit="1" customWidth="1"/>
    <col min="11" max="11" width="15.83203125" style="79" bestFit="1" customWidth="1"/>
    <col min="12" max="12" width="18.6640625" style="79" bestFit="1" customWidth="1"/>
    <col min="13" max="13" width="11.33203125" style="79" bestFit="1" customWidth="1"/>
    <col min="14" max="14" width="18.83203125" style="79" bestFit="1" customWidth="1"/>
    <col min="15" max="15" width="19.83203125" style="79" bestFit="1" customWidth="1"/>
    <col min="16" max="16" width="17.6640625" style="79" bestFit="1" customWidth="1"/>
    <col min="17" max="17" width="15.83203125" style="79" bestFit="1" customWidth="1"/>
    <col min="18" max="18" width="16" style="79" bestFit="1" customWidth="1"/>
    <col min="19" max="19" width="25.5" style="79" bestFit="1" customWidth="1"/>
    <col min="20" max="20" width="23.33203125" style="79" bestFit="1" customWidth="1"/>
    <col min="21" max="21" width="13.5" style="79" bestFit="1" customWidth="1"/>
    <col min="22" max="136" width="9.33203125" style="79"/>
    <col min="137" max="186" width="3.33203125" style="79" customWidth="1"/>
    <col min="187" max="187" width="1.5" style="79" customWidth="1"/>
    <col min="188" max="392" width="9.33203125" style="79"/>
    <col min="393" max="442" width="3.33203125" style="79" customWidth="1"/>
    <col min="443" max="443" width="1.5" style="79" customWidth="1"/>
    <col min="444" max="648" width="9.33203125" style="79"/>
    <col min="649" max="698" width="3.33203125" style="79" customWidth="1"/>
    <col min="699" max="699" width="1.5" style="79" customWidth="1"/>
    <col min="700" max="904" width="9.33203125" style="79"/>
    <col min="905" max="954" width="3.33203125" style="79" customWidth="1"/>
    <col min="955" max="955" width="1.5" style="79" customWidth="1"/>
    <col min="956" max="1160" width="9.33203125" style="79"/>
    <col min="1161" max="1210" width="3.33203125" style="79" customWidth="1"/>
    <col min="1211" max="1211" width="1.5" style="79" customWidth="1"/>
    <col min="1212" max="1416" width="9.33203125" style="79"/>
    <col min="1417" max="1466" width="3.33203125" style="79" customWidth="1"/>
    <col min="1467" max="1467" width="1.5" style="79" customWidth="1"/>
    <col min="1468" max="1672" width="9.33203125" style="79"/>
    <col min="1673" max="1722" width="3.33203125" style="79" customWidth="1"/>
    <col min="1723" max="1723" width="1.5" style="79" customWidth="1"/>
    <col min="1724" max="1928" width="9.33203125" style="79"/>
    <col min="1929" max="1978" width="3.33203125" style="79" customWidth="1"/>
    <col min="1979" max="1979" width="1.5" style="79" customWidth="1"/>
    <col min="1980" max="2184" width="9.33203125" style="79"/>
    <col min="2185" max="2234" width="3.33203125" style="79" customWidth="1"/>
    <col min="2235" max="2235" width="1.5" style="79" customWidth="1"/>
    <col min="2236" max="2440" width="9.33203125" style="79"/>
    <col min="2441" max="2490" width="3.33203125" style="79" customWidth="1"/>
    <col min="2491" max="2491" width="1.5" style="79" customWidth="1"/>
    <col min="2492" max="2696" width="9.33203125" style="79"/>
    <col min="2697" max="2746" width="3.33203125" style="79" customWidth="1"/>
    <col min="2747" max="2747" width="1.5" style="79" customWidth="1"/>
    <col min="2748" max="2952" width="9.33203125" style="79"/>
    <col min="2953" max="3002" width="3.33203125" style="79" customWidth="1"/>
    <col min="3003" max="3003" width="1.5" style="79" customWidth="1"/>
    <col min="3004" max="3208" width="9.33203125" style="79"/>
    <col min="3209" max="3258" width="3.33203125" style="79" customWidth="1"/>
    <col min="3259" max="3259" width="1.5" style="79" customWidth="1"/>
    <col min="3260" max="3464" width="9.33203125" style="79"/>
    <col min="3465" max="3514" width="3.33203125" style="79" customWidth="1"/>
    <col min="3515" max="3515" width="1.5" style="79" customWidth="1"/>
    <col min="3516" max="3720" width="9.33203125" style="79"/>
    <col min="3721" max="3770" width="3.33203125" style="79" customWidth="1"/>
    <col min="3771" max="3771" width="1.5" style="79" customWidth="1"/>
    <col min="3772" max="3976" width="9.33203125" style="79"/>
    <col min="3977" max="4026" width="3.33203125" style="79" customWidth="1"/>
    <col min="4027" max="4027" width="1.5" style="79" customWidth="1"/>
    <col min="4028" max="4232" width="9.33203125" style="79"/>
    <col min="4233" max="4282" width="3.33203125" style="79" customWidth="1"/>
    <col min="4283" max="4283" width="1.5" style="79" customWidth="1"/>
    <col min="4284" max="4488" width="9.33203125" style="79"/>
    <col min="4489" max="4538" width="3.33203125" style="79" customWidth="1"/>
    <col min="4539" max="4539" width="1.5" style="79" customWidth="1"/>
    <col min="4540" max="4744" width="9.33203125" style="79"/>
    <col min="4745" max="4794" width="3.33203125" style="79" customWidth="1"/>
    <col min="4795" max="4795" width="1.5" style="79" customWidth="1"/>
    <col min="4796" max="5000" width="9.33203125" style="79"/>
    <col min="5001" max="5050" width="3.33203125" style="79" customWidth="1"/>
    <col min="5051" max="5051" width="1.5" style="79" customWidth="1"/>
    <col min="5052" max="5256" width="9.33203125" style="79"/>
    <col min="5257" max="5306" width="3.33203125" style="79" customWidth="1"/>
    <col min="5307" max="5307" width="1.5" style="79" customWidth="1"/>
    <col min="5308" max="5512" width="9.33203125" style="79"/>
    <col min="5513" max="5562" width="3.33203125" style="79" customWidth="1"/>
    <col min="5563" max="5563" width="1.5" style="79" customWidth="1"/>
    <col min="5564" max="5768" width="9.33203125" style="79"/>
    <col min="5769" max="5818" width="3.33203125" style="79" customWidth="1"/>
    <col min="5819" max="5819" width="1.5" style="79" customWidth="1"/>
    <col min="5820" max="6024" width="9.33203125" style="79"/>
    <col min="6025" max="6074" width="3.33203125" style="79" customWidth="1"/>
    <col min="6075" max="6075" width="1.5" style="79" customWidth="1"/>
    <col min="6076" max="6280" width="9.33203125" style="79"/>
    <col min="6281" max="6330" width="3.33203125" style="79" customWidth="1"/>
    <col min="6331" max="6331" width="1.5" style="79" customWidth="1"/>
    <col min="6332" max="6536" width="9.33203125" style="79"/>
    <col min="6537" max="6586" width="3.33203125" style="79" customWidth="1"/>
    <col min="6587" max="6587" width="1.5" style="79" customWidth="1"/>
    <col min="6588" max="6792" width="9.33203125" style="79"/>
    <col min="6793" max="6842" width="3.33203125" style="79" customWidth="1"/>
    <col min="6843" max="6843" width="1.5" style="79" customWidth="1"/>
    <col min="6844" max="7048" width="9.33203125" style="79"/>
    <col min="7049" max="7098" width="3.33203125" style="79" customWidth="1"/>
    <col min="7099" max="7099" width="1.5" style="79" customWidth="1"/>
    <col min="7100" max="7304" width="9.33203125" style="79"/>
    <col min="7305" max="7354" width="3.33203125" style="79" customWidth="1"/>
    <col min="7355" max="7355" width="1.5" style="79" customWidth="1"/>
    <col min="7356" max="7560" width="9.33203125" style="79"/>
    <col min="7561" max="7610" width="3.33203125" style="79" customWidth="1"/>
    <col min="7611" max="7611" width="1.5" style="79" customWidth="1"/>
    <col min="7612" max="7816" width="9.33203125" style="79"/>
    <col min="7817" max="7866" width="3.33203125" style="79" customWidth="1"/>
    <col min="7867" max="7867" width="1.5" style="79" customWidth="1"/>
    <col min="7868" max="8072" width="9.33203125" style="79"/>
    <col min="8073" max="8122" width="3.33203125" style="79" customWidth="1"/>
    <col min="8123" max="8123" width="1.5" style="79" customWidth="1"/>
    <col min="8124" max="8328" width="9.33203125" style="79"/>
    <col min="8329" max="8378" width="3.33203125" style="79" customWidth="1"/>
    <col min="8379" max="8379" width="1.5" style="79" customWidth="1"/>
    <col min="8380" max="8584" width="9.33203125" style="79"/>
    <col min="8585" max="8634" width="3.33203125" style="79" customWidth="1"/>
    <col min="8635" max="8635" width="1.5" style="79" customWidth="1"/>
    <col min="8636" max="8840" width="9.33203125" style="79"/>
    <col min="8841" max="8890" width="3.33203125" style="79" customWidth="1"/>
    <col min="8891" max="8891" width="1.5" style="79" customWidth="1"/>
    <col min="8892" max="9096" width="9.33203125" style="79"/>
    <col min="9097" max="9146" width="3.33203125" style="79" customWidth="1"/>
    <col min="9147" max="9147" width="1.5" style="79" customWidth="1"/>
    <col min="9148" max="9352" width="9.33203125" style="79"/>
    <col min="9353" max="9402" width="3.33203125" style="79" customWidth="1"/>
    <col min="9403" max="9403" width="1.5" style="79" customWidth="1"/>
    <col min="9404" max="9608" width="9.33203125" style="79"/>
    <col min="9609" max="9658" width="3.33203125" style="79" customWidth="1"/>
    <col min="9659" max="9659" width="1.5" style="79" customWidth="1"/>
    <col min="9660" max="9864" width="9.33203125" style="79"/>
    <col min="9865" max="9914" width="3.33203125" style="79" customWidth="1"/>
    <col min="9915" max="9915" width="1.5" style="79" customWidth="1"/>
    <col min="9916" max="10120" width="9.33203125" style="79"/>
    <col min="10121" max="10170" width="3.33203125" style="79" customWidth="1"/>
    <col min="10171" max="10171" width="1.5" style="79" customWidth="1"/>
    <col min="10172" max="10376" width="9.33203125" style="79"/>
    <col min="10377" max="10426" width="3.33203125" style="79" customWidth="1"/>
    <col min="10427" max="10427" width="1.5" style="79" customWidth="1"/>
    <col min="10428" max="10632" width="9.33203125" style="79"/>
    <col min="10633" max="10682" width="3.33203125" style="79" customWidth="1"/>
    <col min="10683" max="10683" width="1.5" style="79" customWidth="1"/>
    <col min="10684" max="10888" width="9.33203125" style="79"/>
    <col min="10889" max="10938" width="3.33203125" style="79" customWidth="1"/>
    <col min="10939" max="10939" width="1.5" style="79" customWidth="1"/>
    <col min="10940" max="11144" width="9.33203125" style="79"/>
    <col min="11145" max="11194" width="3.33203125" style="79" customWidth="1"/>
    <col min="11195" max="11195" width="1.5" style="79" customWidth="1"/>
    <col min="11196" max="11400" width="9.33203125" style="79"/>
    <col min="11401" max="11450" width="3.33203125" style="79" customWidth="1"/>
    <col min="11451" max="11451" width="1.5" style="79" customWidth="1"/>
    <col min="11452" max="11656" width="9.33203125" style="79"/>
    <col min="11657" max="11706" width="3.33203125" style="79" customWidth="1"/>
    <col min="11707" max="11707" width="1.5" style="79" customWidth="1"/>
    <col min="11708" max="11912" width="9.33203125" style="79"/>
    <col min="11913" max="11962" width="3.33203125" style="79" customWidth="1"/>
    <col min="11963" max="11963" width="1.5" style="79" customWidth="1"/>
    <col min="11964" max="12168" width="9.33203125" style="79"/>
    <col min="12169" max="12218" width="3.33203125" style="79" customWidth="1"/>
    <col min="12219" max="12219" width="1.5" style="79" customWidth="1"/>
    <col min="12220" max="12424" width="9.33203125" style="79"/>
    <col min="12425" max="12474" width="3.33203125" style="79" customWidth="1"/>
    <col min="12475" max="12475" width="1.5" style="79" customWidth="1"/>
    <col min="12476" max="12680" width="9.33203125" style="79"/>
    <col min="12681" max="12730" width="3.33203125" style="79" customWidth="1"/>
    <col min="12731" max="12731" width="1.5" style="79" customWidth="1"/>
    <col min="12732" max="12936" width="9.33203125" style="79"/>
    <col min="12937" max="12986" width="3.33203125" style="79" customWidth="1"/>
    <col min="12987" max="12987" width="1.5" style="79" customWidth="1"/>
    <col min="12988" max="13192" width="9.33203125" style="79"/>
    <col min="13193" max="13242" width="3.33203125" style="79" customWidth="1"/>
    <col min="13243" max="13243" width="1.5" style="79" customWidth="1"/>
    <col min="13244" max="13448" width="9.33203125" style="79"/>
    <col min="13449" max="13498" width="3.33203125" style="79" customWidth="1"/>
    <col min="13499" max="13499" width="1.5" style="79" customWidth="1"/>
    <col min="13500" max="13704" width="9.33203125" style="79"/>
    <col min="13705" max="13754" width="3.33203125" style="79" customWidth="1"/>
    <col min="13755" max="13755" width="1.5" style="79" customWidth="1"/>
    <col min="13756" max="13960" width="9.33203125" style="79"/>
    <col min="13961" max="14010" width="3.33203125" style="79" customWidth="1"/>
    <col min="14011" max="14011" width="1.5" style="79" customWidth="1"/>
    <col min="14012" max="14216" width="9.33203125" style="79"/>
    <col min="14217" max="14266" width="3.33203125" style="79" customWidth="1"/>
    <col min="14267" max="14267" width="1.5" style="79" customWidth="1"/>
    <col min="14268" max="14472" width="9.33203125" style="79"/>
    <col min="14473" max="14522" width="3.33203125" style="79" customWidth="1"/>
    <col min="14523" max="14523" width="1.5" style="79" customWidth="1"/>
    <col min="14524" max="14728" width="9.33203125" style="79"/>
    <col min="14729" max="14778" width="3.33203125" style="79" customWidth="1"/>
    <col min="14779" max="14779" width="1.5" style="79" customWidth="1"/>
    <col min="14780" max="14984" width="9.33203125" style="79"/>
    <col min="14985" max="15034" width="3.33203125" style="79" customWidth="1"/>
    <col min="15035" max="15035" width="1.5" style="79" customWidth="1"/>
    <col min="15036" max="15240" width="9.33203125" style="79"/>
    <col min="15241" max="15290" width="3.33203125" style="79" customWidth="1"/>
    <col min="15291" max="15291" width="1.5" style="79" customWidth="1"/>
    <col min="15292" max="15496" width="9.33203125" style="79"/>
    <col min="15497" max="15546" width="3.33203125" style="79" customWidth="1"/>
    <col min="15547" max="15547" width="1.5" style="79" customWidth="1"/>
    <col min="15548" max="15752" width="9.33203125" style="79"/>
    <col min="15753" max="15802" width="3.33203125" style="79" customWidth="1"/>
    <col min="15803" max="15803" width="1.5" style="79" customWidth="1"/>
    <col min="15804" max="16008" width="9.33203125" style="79"/>
    <col min="16009" max="16058" width="3.33203125" style="79" customWidth="1"/>
    <col min="16059" max="16059" width="1.5" style="79" customWidth="1"/>
    <col min="16060" max="16384" width="9.33203125" style="79"/>
  </cols>
  <sheetData>
    <row r="4" spans="1:23" ht="12.75" thickBot="1">
      <c r="A4" s="564"/>
      <c r="B4" s="564"/>
      <c r="C4" s="564"/>
      <c r="D4" s="564"/>
      <c r="E4" s="564"/>
    </row>
    <row r="5" spans="1:23" ht="11.25" customHeight="1">
      <c r="A5" s="565" t="s">
        <v>1146</v>
      </c>
      <c r="B5" s="566"/>
      <c r="C5" s="567">
        <v>1</v>
      </c>
      <c r="D5" s="568"/>
      <c r="E5" s="569"/>
      <c r="F5" s="695" t="s">
        <v>1249</v>
      </c>
      <c r="G5" s="568"/>
      <c r="H5" s="568"/>
      <c r="I5" s="568"/>
      <c r="J5" s="568"/>
      <c r="K5" s="568"/>
      <c r="L5" s="568"/>
      <c r="M5" s="568"/>
      <c r="N5" s="568"/>
      <c r="O5" s="568"/>
      <c r="P5" s="568"/>
      <c r="Q5" s="568"/>
      <c r="R5" s="568"/>
      <c r="S5" s="568"/>
      <c r="T5" s="568"/>
      <c r="U5" s="569"/>
    </row>
    <row r="6" spans="1:23" ht="11.25" customHeight="1">
      <c r="A6" s="570" t="s">
        <v>1147</v>
      </c>
      <c r="B6" s="571"/>
      <c r="C6" s="572" t="s">
        <v>1169</v>
      </c>
      <c r="D6" s="572"/>
      <c r="E6" s="573"/>
      <c r="F6" s="696" t="s">
        <v>1250</v>
      </c>
      <c r="G6" s="692" t="s">
        <v>1251</v>
      </c>
      <c r="H6" s="692" t="s">
        <v>1252</v>
      </c>
      <c r="I6" s="692" t="s">
        <v>1253</v>
      </c>
      <c r="J6" s="692" t="s">
        <v>1254</v>
      </c>
      <c r="K6" s="692" t="s">
        <v>1255</v>
      </c>
      <c r="L6" s="692" t="s">
        <v>1256</v>
      </c>
      <c r="M6" s="692" t="s">
        <v>1257</v>
      </c>
      <c r="N6" s="692" t="s">
        <v>1258</v>
      </c>
      <c r="O6" s="692" t="s">
        <v>1259</v>
      </c>
      <c r="P6" s="692" t="s">
        <v>1260</v>
      </c>
      <c r="Q6" s="692" t="s">
        <v>1261</v>
      </c>
      <c r="R6" s="692" t="s">
        <v>1262</v>
      </c>
      <c r="S6" s="692" t="s">
        <v>1263</v>
      </c>
      <c r="T6" s="692" t="s">
        <v>1264</v>
      </c>
      <c r="U6" s="694" t="s">
        <v>1265</v>
      </c>
    </row>
    <row r="7" spans="1:23" ht="11.25" customHeight="1">
      <c r="A7" s="570" t="s">
        <v>1148</v>
      </c>
      <c r="B7" s="571"/>
      <c r="C7" s="572" t="s">
        <v>1170</v>
      </c>
      <c r="D7" s="572"/>
      <c r="E7" s="573"/>
      <c r="F7" s="697"/>
      <c r="G7" s="698"/>
      <c r="H7" s="698"/>
      <c r="I7" s="698"/>
      <c r="J7" s="698"/>
      <c r="K7" s="698"/>
      <c r="L7" s="698"/>
      <c r="M7" s="698"/>
      <c r="N7" s="698"/>
      <c r="O7" s="698"/>
      <c r="P7" s="698"/>
      <c r="Q7" s="698"/>
      <c r="R7" s="698"/>
      <c r="S7" s="698"/>
      <c r="T7" s="698"/>
      <c r="U7" s="699"/>
    </row>
    <row r="8" spans="1:23" ht="11.25" customHeight="1">
      <c r="A8" s="574" t="s">
        <v>1149</v>
      </c>
      <c r="B8" s="575"/>
      <c r="C8" s="576"/>
      <c r="D8" s="577"/>
      <c r="E8" s="578"/>
      <c r="F8" s="712"/>
      <c r="G8" s="713"/>
      <c r="H8" s="713"/>
      <c r="I8" s="713"/>
      <c r="J8" s="713"/>
      <c r="K8" s="713"/>
      <c r="L8" s="713"/>
      <c r="M8" s="713"/>
      <c r="N8" s="713"/>
      <c r="O8" s="713"/>
      <c r="P8" s="713"/>
      <c r="Q8" s="713"/>
      <c r="R8" s="713"/>
      <c r="S8" s="713"/>
      <c r="T8" s="713"/>
      <c r="U8" s="714"/>
      <c r="W8" s="95"/>
    </row>
    <row r="9" spans="1:23">
      <c r="A9" s="579"/>
      <c r="B9" s="580" t="s">
        <v>789</v>
      </c>
      <c r="C9" s="580" t="s">
        <v>1150</v>
      </c>
      <c r="D9" s="580" t="s">
        <v>1151</v>
      </c>
      <c r="E9" s="581" t="s">
        <v>1152</v>
      </c>
      <c r="F9" s="700"/>
      <c r="G9" s="707"/>
      <c r="H9" s="707"/>
      <c r="I9" s="707"/>
      <c r="J9" s="707"/>
      <c r="K9" s="707"/>
      <c r="L9" s="707"/>
      <c r="M9" s="707"/>
      <c r="N9" s="707"/>
      <c r="O9" s="707"/>
      <c r="P9" s="707"/>
      <c r="Q9" s="707"/>
      <c r="R9" s="707"/>
      <c r="S9" s="707"/>
      <c r="T9" s="707"/>
      <c r="U9" s="581"/>
    </row>
    <row r="10" spans="1:23">
      <c r="A10" s="582"/>
      <c r="B10" s="583" t="s">
        <v>1171</v>
      </c>
      <c r="C10" s="584" t="s">
        <v>1172</v>
      </c>
      <c r="D10" s="583"/>
      <c r="E10" s="585"/>
      <c r="F10" s="701"/>
      <c r="G10" s="584"/>
      <c r="H10" s="584"/>
      <c r="I10" s="584"/>
      <c r="J10" s="584"/>
      <c r="K10" s="584"/>
      <c r="L10" s="584"/>
      <c r="M10" s="584"/>
      <c r="N10" s="584"/>
      <c r="O10" s="584"/>
      <c r="P10" s="584"/>
      <c r="Q10" s="584"/>
      <c r="R10" s="584"/>
      <c r="S10" s="584"/>
      <c r="T10" s="584"/>
      <c r="U10" s="585"/>
    </row>
    <row r="11" spans="1:23" ht="11.25" customHeight="1">
      <c r="A11" s="586" t="s">
        <v>1153</v>
      </c>
      <c r="B11" s="587" t="s">
        <v>1154</v>
      </c>
      <c r="C11" s="588" t="s">
        <v>1155</v>
      </c>
      <c r="D11" s="588" t="s">
        <v>1156</v>
      </c>
      <c r="E11" s="589" t="s">
        <v>1157</v>
      </c>
      <c r="F11" s="702"/>
      <c r="G11" s="708"/>
      <c r="H11" s="708"/>
      <c r="I11" s="708"/>
      <c r="J11" s="708"/>
      <c r="K11" s="708"/>
      <c r="L11" s="708"/>
      <c r="M11" s="708"/>
      <c r="N11" s="708"/>
      <c r="O11" s="708"/>
      <c r="P11" s="708"/>
      <c r="Q11" s="708"/>
      <c r="R11" s="708"/>
      <c r="S11" s="708"/>
      <c r="T11" s="708"/>
      <c r="U11" s="703"/>
    </row>
    <row r="12" spans="1:23">
      <c r="A12" s="582">
        <v>1</v>
      </c>
      <c r="B12" s="590" t="s">
        <v>429</v>
      </c>
      <c r="C12" s="591" t="s">
        <v>497</v>
      </c>
      <c r="D12" s="591" t="s">
        <v>1173</v>
      </c>
      <c r="E12" s="592" t="s">
        <v>1174</v>
      </c>
      <c r="F12" s="596"/>
      <c r="G12" s="709"/>
      <c r="H12" s="709"/>
      <c r="I12" s="709"/>
      <c r="J12" s="709"/>
      <c r="K12" s="709"/>
      <c r="L12" s="709"/>
      <c r="M12" s="709"/>
      <c r="N12" s="709"/>
      <c r="O12" s="709"/>
      <c r="P12" s="709"/>
      <c r="Q12" s="709"/>
      <c r="R12" s="709"/>
      <c r="S12" s="709"/>
      <c r="T12" s="709"/>
      <c r="U12" s="704"/>
    </row>
    <row r="13" spans="1:23">
      <c r="A13" s="542"/>
      <c r="B13" s="526"/>
      <c r="C13" s="526"/>
      <c r="D13" s="526"/>
      <c r="E13" s="593"/>
      <c r="F13" s="526"/>
      <c r="G13" s="710"/>
      <c r="H13" s="710"/>
      <c r="I13" s="710"/>
      <c r="J13" s="710"/>
      <c r="K13" s="710"/>
      <c r="L13" s="710"/>
      <c r="M13" s="710"/>
      <c r="N13" s="710"/>
      <c r="O13" s="710"/>
      <c r="P13" s="710"/>
      <c r="Q13" s="710"/>
      <c r="R13" s="710"/>
      <c r="S13" s="710"/>
      <c r="T13" s="710"/>
      <c r="U13" s="705"/>
    </row>
    <row r="14" spans="1:23">
      <c r="A14" s="579"/>
      <c r="B14" s="580" t="s">
        <v>789</v>
      </c>
      <c r="C14" s="580" t="s">
        <v>1150</v>
      </c>
      <c r="D14" s="580" t="s">
        <v>1158</v>
      </c>
      <c r="E14" s="581" t="s">
        <v>1152</v>
      </c>
      <c r="F14" s="700"/>
      <c r="G14" s="707"/>
      <c r="H14" s="707"/>
      <c r="I14" s="707"/>
      <c r="J14" s="707"/>
      <c r="K14" s="707"/>
      <c r="L14" s="707"/>
      <c r="M14" s="707"/>
      <c r="N14" s="707"/>
      <c r="O14" s="707"/>
      <c r="P14" s="707"/>
      <c r="Q14" s="707"/>
      <c r="R14" s="707"/>
      <c r="S14" s="707"/>
      <c r="T14" s="707"/>
      <c r="U14" s="581"/>
    </row>
    <row r="15" spans="1:23">
      <c r="A15" s="582"/>
      <c r="B15" s="583" t="s">
        <v>1175</v>
      </c>
      <c r="C15" s="584" t="s">
        <v>1176</v>
      </c>
      <c r="D15" s="583"/>
      <c r="E15" s="585"/>
      <c r="F15" s="701"/>
      <c r="G15" s="584"/>
      <c r="H15" s="584"/>
      <c r="I15" s="584"/>
      <c r="J15" s="584"/>
      <c r="K15" s="584"/>
      <c r="L15" s="584"/>
      <c r="M15" s="584"/>
      <c r="N15" s="584"/>
      <c r="O15" s="584"/>
      <c r="P15" s="584"/>
      <c r="Q15" s="584"/>
      <c r="R15" s="584"/>
      <c r="S15" s="584"/>
      <c r="T15" s="584"/>
      <c r="U15" s="585"/>
    </row>
    <row r="16" spans="1:23" ht="11.25" customHeight="1">
      <c r="A16" s="586" t="s">
        <v>1153</v>
      </c>
      <c r="B16" s="594" t="s">
        <v>1159</v>
      </c>
      <c r="C16" s="588" t="s">
        <v>1155</v>
      </c>
      <c r="D16" s="588" t="s">
        <v>1156</v>
      </c>
      <c r="E16" s="589" t="s">
        <v>1157</v>
      </c>
      <c r="F16" s="702"/>
      <c r="G16" s="708"/>
      <c r="H16" s="708"/>
      <c r="I16" s="708"/>
      <c r="J16" s="708"/>
      <c r="K16" s="708"/>
      <c r="L16" s="708"/>
      <c r="M16" s="708"/>
      <c r="N16" s="708"/>
      <c r="O16" s="708"/>
      <c r="P16" s="708"/>
      <c r="Q16" s="708"/>
      <c r="R16" s="708"/>
      <c r="S16" s="708"/>
      <c r="T16" s="708"/>
      <c r="U16" s="703"/>
    </row>
    <row r="17" spans="1:21">
      <c r="A17" s="582">
        <v>1</v>
      </c>
      <c r="B17" s="591" t="s">
        <v>986</v>
      </c>
      <c r="C17" s="591" t="s">
        <v>497</v>
      </c>
      <c r="D17" s="591" t="s">
        <v>1173</v>
      </c>
      <c r="E17" s="592"/>
      <c r="F17" s="596"/>
      <c r="G17" s="709"/>
      <c r="H17" s="709"/>
      <c r="I17" s="709"/>
      <c r="J17" s="709"/>
      <c r="K17" s="709"/>
      <c r="L17" s="709"/>
      <c r="M17" s="709"/>
      <c r="N17" s="709"/>
      <c r="O17" s="709"/>
      <c r="P17" s="709"/>
      <c r="Q17" s="709"/>
      <c r="R17" s="709"/>
      <c r="S17" s="709"/>
      <c r="T17" s="709"/>
      <c r="U17" s="704"/>
    </row>
    <row r="18" spans="1:21">
      <c r="A18" s="582">
        <v>2</v>
      </c>
      <c r="B18" s="591" t="s">
        <v>987</v>
      </c>
      <c r="C18" s="591" t="s">
        <v>497</v>
      </c>
      <c r="D18" s="591" t="s">
        <v>1173</v>
      </c>
      <c r="E18" s="592"/>
      <c r="F18" s="596"/>
      <c r="G18" s="709"/>
      <c r="H18" s="709"/>
      <c r="I18" s="709"/>
      <c r="J18" s="709"/>
      <c r="K18" s="709"/>
      <c r="L18" s="709"/>
      <c r="M18" s="709"/>
      <c r="N18" s="709"/>
      <c r="O18" s="709"/>
      <c r="P18" s="709"/>
      <c r="Q18" s="709"/>
      <c r="R18" s="709"/>
      <c r="S18" s="709"/>
      <c r="T18" s="709"/>
      <c r="U18" s="704"/>
    </row>
    <row r="19" spans="1:21">
      <c r="A19" s="582">
        <v>3</v>
      </c>
      <c r="B19" s="591" t="s">
        <v>988</v>
      </c>
      <c r="C19" s="591" t="s">
        <v>497</v>
      </c>
      <c r="D19" s="591" t="s">
        <v>1173</v>
      </c>
      <c r="E19" s="592"/>
      <c r="F19" s="596"/>
      <c r="G19" s="709"/>
      <c r="H19" s="709"/>
      <c r="I19" s="709"/>
      <c r="J19" s="709"/>
      <c r="K19" s="709"/>
      <c r="L19" s="709"/>
      <c r="M19" s="709"/>
      <c r="N19" s="709"/>
      <c r="O19" s="709"/>
      <c r="P19" s="709"/>
      <c r="Q19" s="709"/>
      <c r="R19" s="709"/>
      <c r="S19" s="709"/>
      <c r="T19" s="709"/>
      <c r="U19" s="704"/>
    </row>
    <row r="20" spans="1:21">
      <c r="A20" s="582">
        <v>4</v>
      </c>
      <c r="B20" s="591" t="s">
        <v>531</v>
      </c>
      <c r="C20" s="591" t="s">
        <v>497</v>
      </c>
      <c r="D20" s="591" t="s">
        <v>1173</v>
      </c>
      <c r="E20" s="592"/>
      <c r="F20" s="596"/>
      <c r="G20" s="709"/>
      <c r="H20" s="709"/>
      <c r="I20" s="709"/>
      <c r="J20" s="709"/>
      <c r="K20" s="709"/>
      <c r="L20" s="709"/>
      <c r="M20" s="709"/>
      <c r="N20" s="709"/>
      <c r="O20" s="709"/>
      <c r="P20" s="709"/>
      <c r="Q20" s="709"/>
      <c r="R20" s="709"/>
      <c r="S20" s="709"/>
      <c r="T20" s="709"/>
      <c r="U20" s="704"/>
    </row>
    <row r="21" spans="1:21">
      <c r="A21" s="582">
        <v>5</v>
      </c>
      <c r="B21" s="591" t="s">
        <v>439</v>
      </c>
      <c r="C21" s="591" t="s">
        <v>497</v>
      </c>
      <c r="D21" s="591" t="s">
        <v>1173</v>
      </c>
      <c r="E21" s="592"/>
      <c r="F21" s="596"/>
      <c r="G21" s="709"/>
      <c r="H21" s="709"/>
      <c r="I21" s="709"/>
      <c r="J21" s="709"/>
      <c r="K21" s="709"/>
      <c r="L21" s="709"/>
      <c r="M21" s="709"/>
      <c r="N21" s="709"/>
      <c r="O21" s="709"/>
      <c r="P21" s="709"/>
      <c r="Q21" s="709"/>
      <c r="R21" s="709"/>
      <c r="S21" s="709"/>
      <c r="T21" s="709"/>
      <c r="U21" s="704"/>
    </row>
    <row r="22" spans="1:21" ht="12.75" thickBot="1">
      <c r="A22" s="718"/>
      <c r="B22" s="719"/>
      <c r="C22" s="719"/>
      <c r="D22" s="715"/>
      <c r="E22" s="720"/>
      <c r="F22" s="715"/>
      <c r="G22" s="716"/>
      <c r="H22" s="716"/>
      <c r="I22" s="716"/>
      <c r="J22" s="716"/>
      <c r="K22" s="716"/>
      <c r="L22" s="716"/>
      <c r="M22" s="716"/>
      <c r="N22" s="716"/>
      <c r="O22" s="716"/>
      <c r="P22" s="716"/>
      <c r="Q22" s="716"/>
      <c r="R22" s="716"/>
      <c r="S22" s="716"/>
      <c r="T22" s="716"/>
      <c r="U22" s="717"/>
    </row>
    <row r="23" spans="1:21" ht="12.75" thickBot="1">
      <c r="A23" s="542"/>
      <c r="B23" s="526"/>
      <c r="C23" s="526"/>
      <c r="D23" s="526"/>
      <c r="E23" s="526"/>
      <c r="F23" s="95"/>
      <c r="G23" s="95"/>
      <c r="H23" s="95"/>
      <c r="I23" s="95"/>
      <c r="J23" s="95"/>
      <c r="K23" s="95"/>
      <c r="L23" s="95"/>
      <c r="M23" s="95"/>
      <c r="N23" s="95"/>
      <c r="O23" s="95"/>
      <c r="P23" s="95"/>
      <c r="Q23" s="95"/>
      <c r="R23" s="95"/>
      <c r="S23" s="95"/>
      <c r="T23" s="95"/>
      <c r="U23" s="14"/>
    </row>
    <row r="24" spans="1:21">
      <c r="A24" s="565" t="s">
        <v>1160</v>
      </c>
      <c r="B24" s="566"/>
      <c r="C24" s="567">
        <v>2</v>
      </c>
      <c r="D24" s="568"/>
      <c r="E24" s="569"/>
      <c r="F24" s="695" t="s">
        <v>1249</v>
      </c>
      <c r="G24" s="568"/>
      <c r="H24" s="568"/>
      <c r="I24" s="568"/>
      <c r="J24" s="568"/>
      <c r="K24" s="568"/>
      <c r="L24" s="568"/>
      <c r="M24" s="568"/>
      <c r="N24" s="568"/>
      <c r="O24" s="568"/>
      <c r="P24" s="568"/>
      <c r="Q24" s="568"/>
      <c r="R24" s="568"/>
      <c r="S24" s="568"/>
      <c r="T24" s="568"/>
      <c r="U24" s="569"/>
    </row>
    <row r="25" spans="1:21">
      <c r="A25" s="570" t="s">
        <v>1161</v>
      </c>
      <c r="B25" s="571"/>
      <c r="C25" s="572" t="s">
        <v>1169</v>
      </c>
      <c r="D25" s="572"/>
      <c r="E25" s="573"/>
      <c r="F25" s="696" t="s">
        <v>1250</v>
      </c>
      <c r="G25" s="692" t="s">
        <v>1251</v>
      </c>
      <c r="H25" s="692" t="s">
        <v>1252</v>
      </c>
      <c r="I25" s="692" t="s">
        <v>1253</v>
      </c>
      <c r="J25" s="692" t="s">
        <v>1254</v>
      </c>
      <c r="K25" s="692" t="s">
        <v>1255</v>
      </c>
      <c r="L25" s="692" t="s">
        <v>1256</v>
      </c>
      <c r="M25" s="692" t="s">
        <v>1257</v>
      </c>
      <c r="N25" s="692" t="s">
        <v>1258</v>
      </c>
      <c r="O25" s="692" t="s">
        <v>1259</v>
      </c>
      <c r="P25" s="693" t="s">
        <v>1260</v>
      </c>
      <c r="Q25" s="692" t="s">
        <v>1261</v>
      </c>
      <c r="R25" s="692" t="s">
        <v>1262</v>
      </c>
      <c r="S25" s="692" t="s">
        <v>1263</v>
      </c>
      <c r="T25" s="692" t="s">
        <v>1264</v>
      </c>
      <c r="U25" s="694" t="s">
        <v>1265</v>
      </c>
    </row>
    <row r="26" spans="1:21">
      <c r="A26" s="570" t="s">
        <v>1148</v>
      </c>
      <c r="B26" s="571"/>
      <c r="C26" s="572" t="s">
        <v>1177</v>
      </c>
      <c r="D26" s="572"/>
      <c r="E26" s="573"/>
      <c r="F26" s="697"/>
      <c r="G26" s="698"/>
      <c r="H26" s="698"/>
      <c r="I26" s="698"/>
      <c r="J26" s="698"/>
      <c r="K26" s="698"/>
      <c r="L26" s="698"/>
      <c r="M26" s="698"/>
      <c r="N26" s="698"/>
      <c r="O26" s="698"/>
      <c r="P26" s="698"/>
      <c r="Q26" s="698"/>
      <c r="R26" s="698"/>
      <c r="S26" s="698"/>
      <c r="T26" s="698"/>
      <c r="U26" s="699"/>
    </row>
    <row r="27" spans="1:21">
      <c r="A27" s="574" t="s">
        <v>1149</v>
      </c>
      <c r="B27" s="575"/>
      <c r="C27" s="576"/>
      <c r="D27" s="577"/>
      <c r="E27" s="578"/>
      <c r="F27" s="712"/>
      <c r="G27" s="713"/>
      <c r="H27" s="713"/>
      <c r="I27" s="713"/>
      <c r="J27" s="713"/>
      <c r="K27" s="713"/>
      <c r="L27" s="713"/>
      <c r="M27" s="713"/>
      <c r="N27" s="713"/>
      <c r="O27" s="713"/>
      <c r="P27" s="713"/>
      <c r="Q27" s="713"/>
      <c r="R27" s="713"/>
      <c r="S27" s="713"/>
      <c r="T27" s="713"/>
      <c r="U27" s="714"/>
    </row>
    <row r="28" spans="1:21">
      <c r="A28" s="579"/>
      <c r="B28" s="580" t="s">
        <v>789</v>
      </c>
      <c r="C28" s="580" t="s">
        <v>1150</v>
      </c>
      <c r="D28" s="580" t="s">
        <v>1151</v>
      </c>
      <c r="E28" s="581" t="s">
        <v>1152</v>
      </c>
      <c r="F28" s="700"/>
      <c r="G28" s="707"/>
      <c r="H28" s="707"/>
      <c r="I28" s="707"/>
      <c r="J28" s="707"/>
      <c r="K28" s="707"/>
      <c r="L28" s="707"/>
      <c r="M28" s="707"/>
      <c r="N28" s="707"/>
      <c r="O28" s="707"/>
      <c r="P28" s="707"/>
      <c r="Q28" s="707"/>
      <c r="R28" s="707"/>
      <c r="S28" s="707"/>
      <c r="T28" s="707"/>
      <c r="U28" s="581"/>
    </row>
    <row r="29" spans="1:21">
      <c r="A29" s="599"/>
      <c r="B29" s="583" t="s">
        <v>1178</v>
      </c>
      <c r="C29" s="584" t="s">
        <v>1172</v>
      </c>
      <c r="D29" s="618" t="s">
        <v>1179</v>
      </c>
      <c r="E29" s="619" t="s">
        <v>1180</v>
      </c>
      <c r="F29" s="701"/>
      <c r="G29" s="584"/>
      <c r="H29" s="584"/>
      <c r="I29" s="584"/>
      <c r="J29" s="584"/>
      <c r="K29" s="584"/>
      <c r="L29" s="584"/>
      <c r="M29" s="584"/>
      <c r="N29" s="584"/>
      <c r="O29" s="584"/>
      <c r="P29" s="584"/>
      <c r="Q29" s="584"/>
      <c r="R29" s="584"/>
      <c r="S29" s="584"/>
      <c r="T29" s="584"/>
      <c r="U29" s="585"/>
    </row>
    <row r="30" spans="1:21">
      <c r="A30" s="586" t="s">
        <v>1153</v>
      </c>
      <c r="B30" s="594" t="s">
        <v>1159</v>
      </c>
      <c r="C30" s="588" t="s">
        <v>1155</v>
      </c>
      <c r="D30" s="588" t="s">
        <v>1156</v>
      </c>
      <c r="E30" s="589" t="s">
        <v>1157</v>
      </c>
      <c r="F30" s="702"/>
      <c r="G30" s="708"/>
      <c r="H30" s="708"/>
      <c r="I30" s="708"/>
      <c r="J30" s="708"/>
      <c r="K30" s="708"/>
      <c r="L30" s="708"/>
      <c r="M30" s="708"/>
      <c r="N30" s="708"/>
      <c r="O30" s="708"/>
      <c r="P30" s="708"/>
      <c r="Q30" s="708"/>
      <c r="R30" s="708"/>
      <c r="S30" s="708"/>
      <c r="T30" s="708"/>
      <c r="U30" s="703"/>
    </row>
    <row r="31" spans="1:21">
      <c r="A31" s="582">
        <v>1</v>
      </c>
      <c r="B31" s="590" t="s">
        <v>429</v>
      </c>
      <c r="C31" s="591" t="s">
        <v>497</v>
      </c>
      <c r="D31" s="591" t="s">
        <v>1173</v>
      </c>
      <c r="E31" s="592" t="s">
        <v>1174</v>
      </c>
      <c r="F31" s="596"/>
      <c r="G31" s="709"/>
      <c r="H31" s="709"/>
      <c r="I31" s="709"/>
      <c r="J31" s="709"/>
      <c r="K31" s="709"/>
      <c r="L31" s="709"/>
      <c r="M31" s="709"/>
      <c r="N31" s="709"/>
      <c r="O31" s="709"/>
      <c r="P31" s="709"/>
      <c r="Q31" s="709"/>
      <c r="R31" s="709"/>
      <c r="S31" s="709"/>
      <c r="T31" s="709"/>
      <c r="U31" s="704"/>
    </row>
    <row r="32" spans="1:21">
      <c r="A32" s="542"/>
      <c r="B32" s="526"/>
      <c r="C32" s="526"/>
      <c r="D32" s="526"/>
      <c r="E32" s="593"/>
      <c r="F32" s="526"/>
      <c r="G32" s="710"/>
      <c r="H32" s="710"/>
      <c r="I32" s="710"/>
      <c r="J32" s="710"/>
      <c r="K32" s="710"/>
      <c r="L32" s="710"/>
      <c r="M32" s="710"/>
      <c r="N32" s="710"/>
      <c r="O32" s="710"/>
      <c r="P32" s="710"/>
      <c r="Q32" s="710"/>
      <c r="R32" s="710"/>
      <c r="S32" s="710"/>
      <c r="T32" s="710"/>
      <c r="U32" s="705"/>
    </row>
    <row r="33" spans="1:21">
      <c r="A33" s="579"/>
      <c r="B33" s="580" t="s">
        <v>789</v>
      </c>
      <c r="C33" s="580" t="s">
        <v>1150</v>
      </c>
      <c r="D33" s="580" t="s">
        <v>1158</v>
      </c>
      <c r="E33" s="581" t="s">
        <v>1152</v>
      </c>
      <c r="F33" s="700"/>
      <c r="G33" s="707"/>
      <c r="H33" s="707"/>
      <c r="I33" s="707"/>
      <c r="J33" s="707"/>
      <c r="K33" s="707"/>
      <c r="L33" s="707"/>
      <c r="M33" s="707"/>
      <c r="N33" s="707"/>
      <c r="O33" s="707"/>
      <c r="P33" s="707"/>
      <c r="Q33" s="707"/>
      <c r="R33" s="707"/>
      <c r="S33" s="707"/>
      <c r="T33" s="707"/>
      <c r="U33" s="581"/>
    </row>
    <row r="34" spans="1:21">
      <c r="A34" s="582"/>
      <c r="B34" s="583" t="s">
        <v>1175</v>
      </c>
      <c r="C34" s="584" t="s">
        <v>1176</v>
      </c>
      <c r="D34" s="618" t="s">
        <v>1179</v>
      </c>
      <c r="E34" s="619" t="s">
        <v>1181</v>
      </c>
      <c r="F34" s="701"/>
      <c r="G34" s="584"/>
      <c r="H34" s="584"/>
      <c r="I34" s="584"/>
      <c r="J34" s="584"/>
      <c r="K34" s="584"/>
      <c r="L34" s="584"/>
      <c r="M34" s="584"/>
      <c r="N34" s="584"/>
      <c r="O34" s="584"/>
      <c r="P34" s="584"/>
      <c r="Q34" s="584"/>
      <c r="R34" s="584"/>
      <c r="S34" s="584"/>
      <c r="T34" s="584"/>
      <c r="U34" s="585"/>
    </row>
    <row r="35" spans="1:21" ht="11.25" customHeight="1">
      <c r="A35" s="586" t="s">
        <v>1153</v>
      </c>
      <c r="B35" s="594" t="s">
        <v>1159</v>
      </c>
      <c r="C35" s="588" t="s">
        <v>1155</v>
      </c>
      <c r="D35" s="588" t="s">
        <v>1156</v>
      </c>
      <c r="E35" s="589" t="s">
        <v>1157</v>
      </c>
      <c r="F35" s="702"/>
      <c r="G35" s="708"/>
      <c r="H35" s="708"/>
      <c r="I35" s="708"/>
      <c r="J35" s="708"/>
      <c r="K35" s="708"/>
      <c r="L35" s="708"/>
      <c r="M35" s="708"/>
      <c r="N35" s="708"/>
      <c r="O35" s="708"/>
      <c r="P35" s="708"/>
      <c r="Q35" s="708"/>
      <c r="R35" s="708"/>
      <c r="S35" s="708"/>
      <c r="T35" s="708"/>
      <c r="U35" s="703"/>
    </row>
    <row r="36" spans="1:21">
      <c r="A36" s="582">
        <v>1</v>
      </c>
      <c r="B36" s="591" t="s">
        <v>986</v>
      </c>
      <c r="C36" s="591" t="s">
        <v>497</v>
      </c>
      <c r="D36" s="591" t="s">
        <v>1173</v>
      </c>
      <c r="E36" s="592"/>
      <c r="F36" s="596"/>
      <c r="G36" s="709"/>
      <c r="H36" s="709"/>
      <c r="I36" s="709"/>
      <c r="J36" s="709"/>
      <c r="K36" s="709"/>
      <c r="L36" s="709"/>
      <c r="M36" s="709"/>
      <c r="N36" s="709"/>
      <c r="O36" s="709"/>
      <c r="P36" s="709"/>
      <c r="Q36" s="709"/>
      <c r="R36" s="709"/>
      <c r="S36" s="709"/>
      <c r="T36" s="709"/>
      <c r="U36" s="704"/>
    </row>
    <row r="37" spans="1:21">
      <c r="A37" s="582">
        <v>2</v>
      </c>
      <c r="B37" s="591" t="s">
        <v>987</v>
      </c>
      <c r="C37" s="591" t="s">
        <v>497</v>
      </c>
      <c r="D37" s="591" t="s">
        <v>1173</v>
      </c>
      <c r="E37" s="592"/>
      <c r="F37" s="596"/>
      <c r="G37" s="709"/>
      <c r="H37" s="709"/>
      <c r="I37" s="709"/>
      <c r="J37" s="709"/>
      <c r="K37" s="709"/>
      <c r="L37" s="709"/>
      <c r="M37" s="709"/>
      <c r="N37" s="709"/>
      <c r="O37" s="709"/>
      <c r="P37" s="709"/>
      <c r="Q37" s="709"/>
      <c r="R37" s="709"/>
      <c r="S37" s="709"/>
      <c r="T37" s="709"/>
      <c r="U37" s="704"/>
    </row>
    <row r="38" spans="1:21">
      <c r="A38" s="582">
        <v>3</v>
      </c>
      <c r="B38" s="591" t="s">
        <v>988</v>
      </c>
      <c r="C38" s="591" t="s">
        <v>497</v>
      </c>
      <c r="D38" s="591" t="s">
        <v>1173</v>
      </c>
      <c r="E38" s="592"/>
      <c r="F38" s="596"/>
      <c r="G38" s="709"/>
      <c r="H38" s="709"/>
      <c r="I38" s="709"/>
      <c r="J38" s="709"/>
      <c r="K38" s="709"/>
      <c r="L38" s="709"/>
      <c r="M38" s="709"/>
      <c r="N38" s="709"/>
      <c r="O38" s="709"/>
      <c r="P38" s="709"/>
      <c r="Q38" s="709"/>
      <c r="R38" s="709"/>
      <c r="S38" s="709"/>
      <c r="T38" s="709"/>
      <c r="U38" s="704"/>
    </row>
    <row r="39" spans="1:21">
      <c r="A39" s="582">
        <v>4</v>
      </c>
      <c r="B39" s="591" t="s">
        <v>531</v>
      </c>
      <c r="C39" s="591" t="s">
        <v>497</v>
      </c>
      <c r="D39" s="591" t="s">
        <v>1173</v>
      </c>
      <c r="E39" s="592"/>
      <c r="F39" s="596"/>
      <c r="G39" s="709"/>
      <c r="H39" s="709"/>
      <c r="I39" s="709"/>
      <c r="J39" s="709"/>
      <c r="K39" s="709"/>
      <c r="L39" s="709"/>
      <c r="M39" s="709"/>
      <c r="N39" s="709"/>
      <c r="O39" s="709"/>
      <c r="P39" s="709"/>
      <c r="Q39" s="709"/>
      <c r="R39" s="709"/>
      <c r="S39" s="709"/>
      <c r="T39" s="709"/>
      <c r="U39" s="704"/>
    </row>
    <row r="40" spans="1:21">
      <c r="A40" s="582">
        <v>5</v>
      </c>
      <c r="B40" s="591" t="s">
        <v>439</v>
      </c>
      <c r="C40" s="591" t="s">
        <v>497</v>
      </c>
      <c r="D40" s="591" t="s">
        <v>1173</v>
      </c>
      <c r="E40" s="592"/>
      <c r="F40" s="596"/>
      <c r="G40" s="709"/>
      <c r="H40" s="709"/>
      <c r="I40" s="709"/>
      <c r="J40" s="709"/>
      <c r="K40" s="709"/>
      <c r="L40" s="709"/>
      <c r="M40" s="709"/>
      <c r="N40" s="709"/>
      <c r="O40" s="709"/>
      <c r="P40" s="709"/>
      <c r="Q40" s="709"/>
      <c r="R40" s="709"/>
      <c r="S40" s="709"/>
      <c r="T40" s="709"/>
      <c r="U40" s="704"/>
    </row>
    <row r="41" spans="1:21">
      <c r="A41" s="582"/>
      <c r="B41" s="595"/>
      <c r="C41" s="595"/>
      <c r="D41" s="596"/>
      <c r="E41" s="592"/>
      <c r="F41" s="596"/>
      <c r="G41" s="709"/>
      <c r="H41" s="709"/>
      <c r="I41" s="709"/>
      <c r="J41" s="709"/>
      <c r="K41" s="709"/>
      <c r="L41" s="709"/>
      <c r="M41" s="709"/>
      <c r="N41" s="709"/>
      <c r="O41" s="709"/>
      <c r="P41" s="709"/>
      <c r="Q41" s="709"/>
      <c r="R41" s="709"/>
      <c r="S41" s="709"/>
      <c r="T41" s="709"/>
      <c r="U41" s="704"/>
    </row>
    <row r="42" spans="1:21" ht="12.75" thickBot="1">
      <c r="A42" s="597"/>
      <c r="B42" s="543"/>
      <c r="C42" s="543"/>
      <c r="D42" s="543"/>
      <c r="E42" s="598"/>
      <c r="F42" s="543"/>
      <c r="G42" s="711"/>
      <c r="H42" s="711"/>
      <c r="I42" s="711"/>
      <c r="J42" s="711"/>
      <c r="K42" s="711"/>
      <c r="L42" s="711"/>
      <c r="M42" s="711"/>
      <c r="N42" s="711"/>
      <c r="O42" s="711"/>
      <c r="P42" s="711"/>
      <c r="Q42" s="711"/>
      <c r="R42" s="711"/>
      <c r="S42" s="711"/>
      <c r="T42" s="711"/>
      <c r="U42" s="706"/>
    </row>
    <row r="43" spans="1:21" ht="12.75" thickBot="1">
      <c r="A43" s="542"/>
      <c r="B43" s="526"/>
      <c r="C43" s="526"/>
      <c r="D43" s="526"/>
      <c r="E43" s="526"/>
      <c r="F43" s="95"/>
      <c r="G43" s="95"/>
      <c r="H43" s="95"/>
      <c r="I43" s="95"/>
      <c r="J43" s="95"/>
      <c r="K43" s="95"/>
      <c r="L43" s="95"/>
      <c r="M43" s="95"/>
      <c r="N43" s="95"/>
      <c r="O43" s="95"/>
      <c r="P43" s="95"/>
      <c r="Q43" s="95"/>
      <c r="R43" s="95"/>
      <c r="S43" s="95"/>
      <c r="T43" s="95"/>
      <c r="U43" s="14"/>
    </row>
    <row r="44" spans="1:21">
      <c r="A44" s="565" t="s">
        <v>1160</v>
      </c>
      <c r="B44" s="566"/>
      <c r="C44" s="567">
        <v>3</v>
      </c>
      <c r="D44" s="568"/>
      <c r="E44" s="569"/>
      <c r="F44" s="695" t="s">
        <v>1249</v>
      </c>
      <c r="G44" s="568"/>
      <c r="H44" s="568"/>
      <c r="I44" s="568"/>
      <c r="J44" s="568"/>
      <c r="K44" s="568"/>
      <c r="L44" s="568"/>
      <c r="M44" s="568"/>
      <c r="N44" s="568"/>
      <c r="O44" s="568"/>
      <c r="P44" s="568"/>
      <c r="Q44" s="568"/>
      <c r="R44" s="568"/>
      <c r="S44" s="568"/>
      <c r="T44" s="568"/>
      <c r="U44" s="569"/>
    </row>
    <row r="45" spans="1:21">
      <c r="A45" s="570" t="s">
        <v>1161</v>
      </c>
      <c r="B45" s="571"/>
      <c r="C45" s="572" t="s">
        <v>1169</v>
      </c>
      <c r="D45" s="572"/>
      <c r="E45" s="573"/>
      <c r="F45" s="696" t="s">
        <v>1250</v>
      </c>
      <c r="G45" s="692" t="s">
        <v>1251</v>
      </c>
      <c r="H45" s="692" t="s">
        <v>1252</v>
      </c>
      <c r="I45" s="692" t="s">
        <v>1253</v>
      </c>
      <c r="J45" s="692" t="s">
        <v>1254</v>
      </c>
      <c r="K45" s="692" t="s">
        <v>1255</v>
      </c>
      <c r="L45" s="692" t="s">
        <v>1256</v>
      </c>
      <c r="M45" s="692" t="s">
        <v>1257</v>
      </c>
      <c r="N45" s="692" t="s">
        <v>1258</v>
      </c>
      <c r="O45" s="692" t="s">
        <v>1259</v>
      </c>
      <c r="P45" s="693" t="s">
        <v>1260</v>
      </c>
      <c r="Q45" s="692" t="s">
        <v>1261</v>
      </c>
      <c r="R45" s="692" t="s">
        <v>1262</v>
      </c>
      <c r="S45" s="692" t="s">
        <v>1263</v>
      </c>
      <c r="T45" s="692" t="s">
        <v>1264</v>
      </c>
      <c r="U45" s="694" t="s">
        <v>1265</v>
      </c>
    </row>
    <row r="46" spans="1:21">
      <c r="A46" s="570" t="s">
        <v>1148</v>
      </c>
      <c r="B46" s="571"/>
      <c r="C46" s="572" t="s">
        <v>1182</v>
      </c>
      <c r="D46" s="572"/>
      <c r="E46" s="573"/>
      <c r="F46" s="697"/>
      <c r="G46" s="698"/>
      <c r="H46" s="698"/>
      <c r="I46" s="698"/>
      <c r="J46" s="698"/>
      <c r="K46" s="698"/>
      <c r="L46" s="698"/>
      <c r="M46" s="698"/>
      <c r="N46" s="698"/>
      <c r="O46" s="698"/>
      <c r="P46" s="698"/>
      <c r="Q46" s="698"/>
      <c r="R46" s="698"/>
      <c r="S46" s="698"/>
      <c r="T46" s="698"/>
      <c r="U46" s="699"/>
    </row>
    <row r="47" spans="1:21">
      <c r="A47" s="574" t="s">
        <v>1149</v>
      </c>
      <c r="B47" s="575"/>
      <c r="C47" s="576"/>
      <c r="D47" s="577"/>
      <c r="E47" s="578"/>
      <c r="F47" s="712"/>
      <c r="G47" s="713"/>
      <c r="H47" s="713"/>
      <c r="I47" s="713"/>
      <c r="J47" s="713"/>
      <c r="K47" s="713"/>
      <c r="L47" s="713"/>
      <c r="M47" s="713"/>
      <c r="N47" s="713"/>
      <c r="O47" s="713"/>
      <c r="P47" s="713"/>
      <c r="Q47" s="713"/>
      <c r="R47" s="713"/>
      <c r="S47" s="713"/>
      <c r="T47" s="713"/>
      <c r="U47" s="714"/>
    </row>
    <row r="48" spans="1:21">
      <c r="A48" s="579"/>
      <c r="B48" s="580" t="s">
        <v>789</v>
      </c>
      <c r="C48" s="580" t="s">
        <v>1150</v>
      </c>
      <c r="D48" s="580" t="s">
        <v>1151</v>
      </c>
      <c r="E48" s="581" t="s">
        <v>1152</v>
      </c>
      <c r="F48" s="700"/>
      <c r="G48" s="707"/>
      <c r="H48" s="707"/>
      <c r="I48" s="707"/>
      <c r="J48" s="707"/>
      <c r="K48" s="707"/>
      <c r="L48" s="707"/>
      <c r="M48" s="707"/>
      <c r="N48" s="707"/>
      <c r="O48" s="707"/>
      <c r="P48" s="707"/>
      <c r="Q48" s="707"/>
      <c r="R48" s="707"/>
      <c r="S48" s="707"/>
      <c r="T48" s="707"/>
      <c r="U48" s="581"/>
    </row>
    <row r="49" spans="1:21">
      <c r="A49" s="599"/>
      <c r="B49" s="583" t="s">
        <v>1178</v>
      </c>
      <c r="C49" s="584" t="s">
        <v>1172</v>
      </c>
      <c r="D49" s="618"/>
      <c r="E49" s="619"/>
      <c r="F49" s="701"/>
      <c r="G49" s="584"/>
      <c r="H49" s="584"/>
      <c r="I49" s="584"/>
      <c r="J49" s="584"/>
      <c r="K49" s="584"/>
      <c r="L49" s="584"/>
      <c r="M49" s="584"/>
      <c r="N49" s="584"/>
      <c r="O49" s="584"/>
      <c r="P49" s="584"/>
      <c r="Q49" s="584"/>
      <c r="R49" s="584"/>
      <c r="S49" s="584"/>
      <c r="T49" s="584"/>
      <c r="U49" s="585"/>
    </row>
    <row r="50" spans="1:21">
      <c r="A50" s="586" t="s">
        <v>1153</v>
      </c>
      <c r="B50" s="594" t="s">
        <v>1159</v>
      </c>
      <c r="C50" s="588" t="s">
        <v>1155</v>
      </c>
      <c r="D50" s="588" t="s">
        <v>1156</v>
      </c>
      <c r="E50" s="589" t="s">
        <v>1157</v>
      </c>
      <c r="F50" s="702"/>
      <c r="G50" s="708"/>
      <c r="H50" s="708"/>
      <c r="I50" s="708"/>
      <c r="J50" s="708"/>
      <c r="K50" s="708"/>
      <c r="L50" s="708"/>
      <c r="M50" s="708"/>
      <c r="N50" s="708"/>
      <c r="O50" s="708"/>
      <c r="P50" s="708"/>
      <c r="Q50" s="708"/>
      <c r="R50" s="708"/>
      <c r="S50" s="708"/>
      <c r="T50" s="708"/>
      <c r="U50" s="703"/>
    </row>
    <row r="51" spans="1:21">
      <c r="A51" s="582">
        <v>1</v>
      </c>
      <c r="B51" s="590" t="s">
        <v>429</v>
      </c>
      <c r="C51" s="591" t="s">
        <v>1057</v>
      </c>
      <c r="D51" s="591" t="s">
        <v>1173</v>
      </c>
      <c r="E51" s="592" t="s">
        <v>1174</v>
      </c>
      <c r="F51" s="596"/>
      <c r="G51" s="709"/>
      <c r="H51" s="709"/>
      <c r="I51" s="709"/>
      <c r="J51" s="709"/>
      <c r="K51" s="709"/>
      <c r="L51" s="709"/>
      <c r="M51" s="709"/>
      <c r="N51" s="709"/>
      <c r="O51" s="709"/>
      <c r="P51" s="709"/>
      <c r="Q51" s="709"/>
      <c r="R51" s="709"/>
      <c r="S51" s="709"/>
      <c r="T51" s="709"/>
      <c r="U51" s="704"/>
    </row>
    <row r="52" spans="1:21">
      <c r="A52" s="542"/>
      <c r="B52" s="526"/>
      <c r="C52" s="526"/>
      <c r="D52" s="526"/>
      <c r="E52" s="593"/>
      <c r="F52" s="526"/>
      <c r="G52" s="710"/>
      <c r="H52" s="710"/>
      <c r="I52" s="710"/>
      <c r="J52" s="710"/>
      <c r="K52" s="710"/>
      <c r="L52" s="710"/>
      <c r="M52" s="710"/>
      <c r="N52" s="710"/>
      <c r="O52" s="710"/>
      <c r="P52" s="710"/>
      <c r="Q52" s="710"/>
      <c r="R52" s="710"/>
      <c r="S52" s="710"/>
      <c r="T52" s="710"/>
      <c r="U52" s="705"/>
    </row>
    <row r="53" spans="1:21">
      <c r="A53" s="579"/>
      <c r="B53" s="580" t="s">
        <v>789</v>
      </c>
      <c r="C53" s="580" t="s">
        <v>1150</v>
      </c>
      <c r="D53" s="580" t="s">
        <v>1158</v>
      </c>
      <c r="E53" s="581" t="s">
        <v>1152</v>
      </c>
      <c r="F53" s="700"/>
      <c r="G53" s="707"/>
      <c r="H53" s="707"/>
      <c r="I53" s="707"/>
      <c r="J53" s="707"/>
      <c r="K53" s="707"/>
      <c r="L53" s="707"/>
      <c r="M53" s="707"/>
      <c r="N53" s="707"/>
      <c r="O53" s="707"/>
      <c r="P53" s="707"/>
      <c r="Q53" s="707"/>
      <c r="R53" s="707"/>
      <c r="S53" s="707"/>
      <c r="T53" s="707"/>
      <c r="U53" s="581"/>
    </row>
    <row r="54" spans="1:21">
      <c r="A54" s="582"/>
      <c r="B54" s="583" t="s">
        <v>1175</v>
      </c>
      <c r="C54" s="584" t="s">
        <v>1176</v>
      </c>
      <c r="D54" s="618"/>
      <c r="E54" s="619"/>
      <c r="F54" s="701"/>
      <c r="G54" s="584"/>
      <c r="H54" s="584"/>
      <c r="I54" s="584"/>
      <c r="J54" s="584"/>
      <c r="K54" s="584"/>
      <c r="L54" s="584"/>
      <c r="M54" s="584"/>
      <c r="N54" s="584"/>
      <c r="O54" s="584"/>
      <c r="P54" s="584"/>
      <c r="Q54" s="584"/>
      <c r="R54" s="584"/>
      <c r="S54" s="584"/>
      <c r="T54" s="584"/>
      <c r="U54" s="585"/>
    </row>
    <row r="55" spans="1:21" ht="11.25" customHeight="1">
      <c r="A55" s="586" t="s">
        <v>1153</v>
      </c>
      <c r="B55" s="594" t="s">
        <v>1159</v>
      </c>
      <c r="C55" s="588" t="s">
        <v>1155</v>
      </c>
      <c r="D55" s="588" t="s">
        <v>1156</v>
      </c>
      <c r="E55" s="589" t="s">
        <v>1157</v>
      </c>
      <c r="F55" s="702"/>
      <c r="G55" s="708"/>
      <c r="H55" s="708"/>
      <c r="I55" s="708"/>
      <c r="J55" s="708"/>
      <c r="K55" s="708"/>
      <c r="L55" s="708"/>
      <c r="M55" s="708"/>
      <c r="N55" s="708"/>
      <c r="O55" s="708"/>
      <c r="P55" s="708"/>
      <c r="Q55" s="708"/>
      <c r="R55" s="708"/>
      <c r="S55" s="708"/>
      <c r="T55" s="708"/>
      <c r="U55" s="703"/>
    </row>
    <row r="56" spans="1:21">
      <c r="A56" s="582">
        <v>1</v>
      </c>
      <c r="B56" s="591" t="s">
        <v>986</v>
      </c>
      <c r="C56" s="591" t="s">
        <v>1183</v>
      </c>
      <c r="D56" s="591" t="s">
        <v>1173</v>
      </c>
      <c r="E56" s="592"/>
      <c r="F56" s="596"/>
      <c r="G56" s="709"/>
      <c r="H56" s="709"/>
      <c r="I56" s="709"/>
      <c r="J56" s="709"/>
      <c r="K56" s="709"/>
      <c r="L56" s="709"/>
      <c r="M56" s="709"/>
      <c r="N56" s="709"/>
      <c r="O56" s="709"/>
      <c r="P56" s="709"/>
      <c r="Q56" s="709"/>
      <c r="R56" s="709"/>
      <c r="S56" s="709"/>
      <c r="T56" s="709"/>
      <c r="U56" s="704"/>
    </row>
    <row r="57" spans="1:21">
      <c r="A57" s="582">
        <v>2</v>
      </c>
      <c r="B57" s="591" t="s">
        <v>987</v>
      </c>
      <c r="C57" s="591" t="s">
        <v>497</v>
      </c>
      <c r="D57" s="591" t="s">
        <v>1173</v>
      </c>
      <c r="E57" s="592"/>
      <c r="F57" s="596"/>
      <c r="G57" s="709"/>
      <c r="H57" s="709"/>
      <c r="I57" s="709"/>
      <c r="J57" s="709"/>
      <c r="K57" s="709"/>
      <c r="L57" s="709"/>
      <c r="M57" s="709"/>
      <c r="N57" s="709"/>
      <c r="O57" s="709"/>
      <c r="P57" s="709"/>
      <c r="Q57" s="709"/>
      <c r="R57" s="709"/>
      <c r="S57" s="709"/>
      <c r="T57" s="709"/>
      <c r="U57" s="704"/>
    </row>
    <row r="58" spans="1:21">
      <c r="A58" s="582">
        <v>3</v>
      </c>
      <c r="B58" s="591" t="s">
        <v>988</v>
      </c>
      <c r="C58" s="591" t="s">
        <v>1057</v>
      </c>
      <c r="D58" s="591" t="s">
        <v>1173</v>
      </c>
      <c r="E58" s="592"/>
      <c r="F58" s="596"/>
      <c r="G58" s="709"/>
      <c r="H58" s="709"/>
      <c r="I58" s="709"/>
      <c r="J58" s="709"/>
      <c r="K58" s="709"/>
      <c r="L58" s="709"/>
      <c r="M58" s="709"/>
      <c r="N58" s="709"/>
      <c r="O58" s="709"/>
      <c r="P58" s="709"/>
      <c r="Q58" s="709"/>
      <c r="R58" s="709"/>
      <c r="S58" s="709"/>
      <c r="T58" s="709"/>
      <c r="U58" s="704"/>
    </row>
    <row r="59" spans="1:21">
      <c r="A59" s="582">
        <v>4</v>
      </c>
      <c r="B59" s="591" t="s">
        <v>531</v>
      </c>
      <c r="C59" s="591" t="s">
        <v>1184</v>
      </c>
      <c r="D59" s="591" t="s">
        <v>1173</v>
      </c>
      <c r="E59" s="592"/>
      <c r="F59" s="596"/>
      <c r="G59" s="709"/>
      <c r="H59" s="709"/>
      <c r="I59" s="709"/>
      <c r="J59" s="709"/>
      <c r="K59" s="709"/>
      <c r="L59" s="709"/>
      <c r="M59" s="709"/>
      <c r="N59" s="709"/>
      <c r="O59" s="709"/>
      <c r="P59" s="709"/>
      <c r="Q59" s="709"/>
      <c r="R59" s="709"/>
      <c r="S59" s="709"/>
      <c r="T59" s="709"/>
      <c r="U59" s="704"/>
    </row>
    <row r="60" spans="1:21">
      <c r="A60" s="582">
        <v>5</v>
      </c>
      <c r="B60" s="591" t="s">
        <v>439</v>
      </c>
      <c r="C60" s="591" t="s">
        <v>1057</v>
      </c>
      <c r="D60" s="591" t="s">
        <v>1173</v>
      </c>
      <c r="E60" s="592"/>
      <c r="F60" s="596"/>
      <c r="G60" s="709"/>
      <c r="H60" s="709"/>
      <c r="I60" s="709"/>
      <c r="J60" s="709"/>
      <c r="K60" s="709"/>
      <c r="L60" s="709"/>
      <c r="M60" s="709"/>
      <c r="N60" s="709"/>
      <c r="O60" s="709"/>
      <c r="P60" s="709"/>
      <c r="Q60" s="709"/>
      <c r="R60" s="709"/>
      <c r="S60" s="709"/>
      <c r="T60" s="709"/>
      <c r="U60" s="704"/>
    </row>
    <row r="61" spans="1:21">
      <c r="A61" s="582"/>
      <c r="B61" s="595"/>
      <c r="C61" s="595"/>
      <c r="D61" s="596"/>
      <c r="E61" s="592"/>
      <c r="F61" s="596"/>
      <c r="G61" s="709"/>
      <c r="H61" s="709"/>
      <c r="I61" s="709"/>
      <c r="J61" s="709"/>
      <c r="K61" s="709"/>
      <c r="L61" s="709"/>
      <c r="M61" s="709"/>
      <c r="N61" s="709"/>
      <c r="O61" s="709"/>
      <c r="P61" s="709"/>
      <c r="Q61" s="709"/>
      <c r="R61" s="709"/>
      <c r="S61" s="709"/>
      <c r="T61" s="709"/>
      <c r="U61" s="704"/>
    </row>
    <row r="62" spans="1:21" ht="12.75" thickBot="1">
      <c r="A62" s="597"/>
      <c r="B62" s="543"/>
      <c r="C62" s="543"/>
      <c r="D62" s="543"/>
      <c r="E62" s="598"/>
      <c r="F62" s="543"/>
      <c r="G62" s="711"/>
      <c r="H62" s="711"/>
      <c r="I62" s="711"/>
      <c r="J62" s="711"/>
      <c r="K62" s="711"/>
      <c r="L62" s="711"/>
      <c r="M62" s="711"/>
      <c r="N62" s="711"/>
      <c r="O62" s="711"/>
      <c r="P62" s="711"/>
      <c r="Q62" s="711"/>
      <c r="R62" s="711"/>
      <c r="S62" s="711"/>
      <c r="T62" s="711"/>
      <c r="U62" s="706"/>
    </row>
    <row r="63" spans="1:21" ht="12.75" thickBot="1">
      <c r="A63" s="542"/>
      <c r="B63" s="526"/>
      <c r="C63" s="526"/>
      <c r="D63" s="526"/>
      <c r="E63" s="526"/>
      <c r="F63" s="95"/>
      <c r="G63" s="95"/>
      <c r="H63" s="95"/>
      <c r="I63" s="95"/>
      <c r="J63" s="95"/>
      <c r="K63" s="95"/>
      <c r="L63" s="95"/>
      <c r="M63" s="95"/>
      <c r="N63" s="95"/>
      <c r="O63" s="95"/>
      <c r="P63" s="95"/>
      <c r="Q63" s="95"/>
      <c r="R63" s="95"/>
      <c r="S63" s="95"/>
      <c r="T63" s="95"/>
      <c r="U63" s="14"/>
    </row>
    <row r="64" spans="1:21">
      <c r="A64" s="565" t="s">
        <v>1160</v>
      </c>
      <c r="B64" s="566"/>
      <c r="C64" s="567">
        <v>4</v>
      </c>
      <c r="D64" s="568"/>
      <c r="E64" s="569"/>
      <c r="F64" s="695" t="s">
        <v>1249</v>
      </c>
      <c r="G64" s="568"/>
      <c r="H64" s="568"/>
      <c r="I64" s="568"/>
      <c r="J64" s="568"/>
      <c r="K64" s="568"/>
      <c r="L64" s="568"/>
      <c r="M64" s="568"/>
      <c r="N64" s="568"/>
      <c r="O64" s="568"/>
      <c r="P64" s="568"/>
      <c r="Q64" s="568"/>
      <c r="R64" s="568"/>
      <c r="S64" s="568"/>
      <c r="T64" s="568"/>
      <c r="U64" s="569"/>
    </row>
    <row r="65" spans="1:21">
      <c r="A65" s="570" t="s">
        <v>1161</v>
      </c>
      <c r="B65" s="571"/>
      <c r="C65" s="572" t="s">
        <v>1169</v>
      </c>
      <c r="D65" s="572"/>
      <c r="E65" s="573"/>
      <c r="F65" s="696" t="s">
        <v>1250</v>
      </c>
      <c r="G65" s="692" t="s">
        <v>1251</v>
      </c>
      <c r="H65" s="692" t="s">
        <v>1252</v>
      </c>
      <c r="I65" s="692" t="s">
        <v>1253</v>
      </c>
      <c r="J65" s="692" t="s">
        <v>1254</v>
      </c>
      <c r="K65" s="692" t="s">
        <v>1255</v>
      </c>
      <c r="L65" s="692" t="s">
        <v>1256</v>
      </c>
      <c r="M65" s="692" t="s">
        <v>1257</v>
      </c>
      <c r="N65" s="692" t="s">
        <v>1258</v>
      </c>
      <c r="O65" s="692" t="s">
        <v>1259</v>
      </c>
      <c r="P65" s="693" t="s">
        <v>1260</v>
      </c>
      <c r="Q65" s="692" t="s">
        <v>1261</v>
      </c>
      <c r="R65" s="692" t="s">
        <v>1262</v>
      </c>
      <c r="S65" s="692" t="s">
        <v>1263</v>
      </c>
      <c r="T65" s="692" t="s">
        <v>1264</v>
      </c>
      <c r="U65" s="694" t="s">
        <v>1265</v>
      </c>
    </row>
    <row r="66" spans="1:21">
      <c r="A66" s="570" t="s">
        <v>1148</v>
      </c>
      <c r="B66" s="571"/>
      <c r="C66" s="572" t="s">
        <v>1185</v>
      </c>
      <c r="D66" s="572"/>
      <c r="E66" s="573"/>
      <c r="F66" s="697"/>
      <c r="G66" s="698"/>
      <c r="H66" s="698"/>
      <c r="I66" s="698"/>
      <c r="J66" s="698"/>
      <c r="K66" s="698"/>
      <c r="L66" s="698"/>
      <c r="M66" s="698"/>
      <c r="N66" s="698"/>
      <c r="O66" s="698"/>
      <c r="P66" s="698"/>
      <c r="Q66" s="698"/>
      <c r="R66" s="698"/>
      <c r="S66" s="698"/>
      <c r="T66" s="698"/>
      <c r="U66" s="699"/>
    </row>
    <row r="67" spans="1:21">
      <c r="A67" s="574" t="s">
        <v>1149</v>
      </c>
      <c r="B67" s="575"/>
      <c r="C67" s="576"/>
      <c r="D67" s="577"/>
      <c r="E67" s="578"/>
      <c r="F67" s="712"/>
      <c r="G67" s="713"/>
      <c r="H67" s="713"/>
      <c r="I67" s="713"/>
      <c r="J67" s="713"/>
      <c r="K67" s="713"/>
      <c r="L67" s="713"/>
      <c r="M67" s="713"/>
      <c r="N67" s="713"/>
      <c r="O67" s="713"/>
      <c r="P67" s="713"/>
      <c r="Q67" s="713"/>
      <c r="R67" s="713"/>
      <c r="S67" s="713"/>
      <c r="T67" s="713"/>
      <c r="U67" s="714"/>
    </row>
    <row r="68" spans="1:21">
      <c r="A68" s="579"/>
      <c r="B68" s="580" t="s">
        <v>789</v>
      </c>
      <c r="C68" s="580" t="s">
        <v>1150</v>
      </c>
      <c r="D68" s="580" t="s">
        <v>1151</v>
      </c>
      <c r="E68" s="581" t="s">
        <v>1152</v>
      </c>
      <c r="F68" s="700"/>
      <c r="G68" s="707"/>
      <c r="H68" s="707"/>
      <c r="I68" s="707"/>
      <c r="J68" s="707"/>
      <c r="K68" s="707"/>
      <c r="L68" s="707"/>
      <c r="M68" s="707"/>
      <c r="N68" s="707"/>
      <c r="O68" s="707"/>
      <c r="P68" s="707"/>
      <c r="Q68" s="707"/>
      <c r="R68" s="707"/>
      <c r="S68" s="707"/>
      <c r="T68" s="707"/>
      <c r="U68" s="581"/>
    </row>
    <row r="69" spans="1:21">
      <c r="A69" s="599"/>
      <c r="B69" s="583" t="s">
        <v>1178</v>
      </c>
      <c r="C69" s="584" t="s">
        <v>1172</v>
      </c>
      <c r="D69" s="618"/>
      <c r="E69" s="619"/>
      <c r="F69" s="701"/>
      <c r="G69" s="584"/>
      <c r="H69" s="584"/>
      <c r="I69" s="584"/>
      <c r="J69" s="584"/>
      <c r="K69" s="584"/>
      <c r="L69" s="584"/>
      <c r="M69" s="584"/>
      <c r="N69" s="584"/>
      <c r="O69" s="584"/>
      <c r="P69" s="584"/>
      <c r="Q69" s="584"/>
      <c r="R69" s="584"/>
      <c r="S69" s="584"/>
      <c r="T69" s="584"/>
      <c r="U69" s="585"/>
    </row>
    <row r="70" spans="1:21">
      <c r="A70" s="586" t="s">
        <v>1153</v>
      </c>
      <c r="B70" s="594" t="s">
        <v>1159</v>
      </c>
      <c r="C70" s="588" t="s">
        <v>1155</v>
      </c>
      <c r="D70" s="588" t="s">
        <v>1156</v>
      </c>
      <c r="E70" s="589" t="s">
        <v>1157</v>
      </c>
      <c r="F70" s="702"/>
      <c r="G70" s="708"/>
      <c r="H70" s="708"/>
      <c r="I70" s="708"/>
      <c r="J70" s="708"/>
      <c r="K70" s="708"/>
      <c r="L70" s="708"/>
      <c r="M70" s="708"/>
      <c r="N70" s="708"/>
      <c r="O70" s="708"/>
      <c r="P70" s="708"/>
      <c r="Q70" s="708"/>
      <c r="R70" s="708"/>
      <c r="S70" s="708"/>
      <c r="T70" s="708"/>
      <c r="U70" s="703"/>
    </row>
    <row r="71" spans="1:21">
      <c r="A71" s="582">
        <v>1</v>
      </c>
      <c r="B71" s="590" t="s">
        <v>429</v>
      </c>
      <c r="C71" s="591" t="s">
        <v>1057</v>
      </c>
      <c r="D71" s="591" t="s">
        <v>1173</v>
      </c>
      <c r="E71" s="592" t="s">
        <v>1174</v>
      </c>
      <c r="F71" s="596"/>
      <c r="G71" s="709"/>
      <c r="H71" s="709"/>
      <c r="I71" s="709"/>
      <c r="J71" s="709"/>
      <c r="K71" s="709"/>
      <c r="L71" s="709"/>
      <c r="M71" s="709"/>
      <c r="N71" s="709"/>
      <c r="O71" s="709"/>
      <c r="P71" s="709"/>
      <c r="Q71" s="709"/>
      <c r="R71" s="709"/>
      <c r="S71" s="709"/>
      <c r="T71" s="709"/>
      <c r="U71" s="704"/>
    </row>
    <row r="72" spans="1:21">
      <c r="A72" s="542"/>
      <c r="B72" s="526"/>
      <c r="C72" s="526"/>
      <c r="D72" s="526"/>
      <c r="E72" s="593"/>
      <c r="F72" s="526"/>
      <c r="G72" s="710"/>
      <c r="H72" s="710"/>
      <c r="I72" s="710"/>
      <c r="J72" s="710"/>
      <c r="K72" s="710"/>
      <c r="L72" s="710"/>
      <c r="M72" s="710"/>
      <c r="N72" s="710"/>
      <c r="O72" s="710"/>
      <c r="P72" s="710"/>
      <c r="Q72" s="710"/>
      <c r="R72" s="710"/>
      <c r="S72" s="710"/>
      <c r="T72" s="710"/>
      <c r="U72" s="705"/>
    </row>
    <row r="73" spans="1:21">
      <c r="A73" s="579"/>
      <c r="B73" s="580" t="s">
        <v>789</v>
      </c>
      <c r="C73" s="580" t="s">
        <v>1150</v>
      </c>
      <c r="D73" s="580" t="s">
        <v>1158</v>
      </c>
      <c r="E73" s="581" t="s">
        <v>1152</v>
      </c>
      <c r="F73" s="700"/>
      <c r="G73" s="707"/>
      <c r="H73" s="707"/>
      <c r="I73" s="707"/>
      <c r="J73" s="707"/>
      <c r="K73" s="707"/>
      <c r="L73" s="707"/>
      <c r="M73" s="707"/>
      <c r="N73" s="707"/>
      <c r="O73" s="707"/>
      <c r="P73" s="707"/>
      <c r="Q73" s="707"/>
      <c r="R73" s="707"/>
      <c r="S73" s="707"/>
      <c r="T73" s="707"/>
      <c r="U73" s="581"/>
    </row>
    <row r="74" spans="1:21">
      <c r="A74" s="582"/>
      <c r="B74" s="583" t="s">
        <v>1175</v>
      </c>
      <c r="C74" s="584" t="s">
        <v>1176</v>
      </c>
      <c r="D74" s="618"/>
      <c r="E74" s="619"/>
      <c r="F74" s="701"/>
      <c r="G74" s="584"/>
      <c r="H74" s="584"/>
      <c r="I74" s="584"/>
      <c r="J74" s="584"/>
      <c r="K74" s="584"/>
      <c r="L74" s="584"/>
      <c r="M74" s="584"/>
      <c r="N74" s="584"/>
      <c r="O74" s="584"/>
      <c r="P74" s="584"/>
      <c r="Q74" s="584"/>
      <c r="R74" s="584"/>
      <c r="S74" s="584"/>
      <c r="T74" s="584"/>
      <c r="U74" s="585"/>
    </row>
    <row r="75" spans="1:21" ht="11.25" customHeight="1">
      <c r="A75" s="586" t="s">
        <v>1153</v>
      </c>
      <c r="B75" s="594" t="s">
        <v>1159</v>
      </c>
      <c r="C75" s="588" t="s">
        <v>1155</v>
      </c>
      <c r="D75" s="588" t="s">
        <v>1156</v>
      </c>
      <c r="E75" s="589" t="s">
        <v>1157</v>
      </c>
      <c r="F75" s="702"/>
      <c r="G75" s="708"/>
      <c r="H75" s="708"/>
      <c r="I75" s="708"/>
      <c r="J75" s="708"/>
      <c r="K75" s="708"/>
      <c r="L75" s="708"/>
      <c r="M75" s="708"/>
      <c r="N75" s="708"/>
      <c r="O75" s="708"/>
      <c r="P75" s="708"/>
      <c r="Q75" s="708"/>
      <c r="R75" s="708"/>
      <c r="S75" s="708"/>
      <c r="T75" s="708"/>
      <c r="U75" s="703"/>
    </row>
    <row r="76" spans="1:21" ht="36">
      <c r="A76" s="582">
        <v>1</v>
      </c>
      <c r="B76" s="591" t="s">
        <v>986</v>
      </c>
      <c r="C76" s="591" t="s">
        <v>1183</v>
      </c>
      <c r="D76" s="591" t="s">
        <v>1173</v>
      </c>
      <c r="E76" s="592"/>
      <c r="F76" s="596"/>
      <c r="G76" s="709"/>
      <c r="H76" s="709"/>
      <c r="I76" s="709"/>
      <c r="J76" s="709"/>
      <c r="K76" s="709"/>
      <c r="L76" s="709"/>
      <c r="M76" s="709"/>
      <c r="N76" s="709"/>
      <c r="O76" s="709"/>
      <c r="P76" s="709" t="s">
        <v>1266</v>
      </c>
      <c r="Q76" s="709"/>
      <c r="R76" s="709"/>
      <c r="S76" s="709"/>
      <c r="T76" s="709"/>
      <c r="U76" s="704"/>
    </row>
    <row r="77" spans="1:21">
      <c r="A77" s="582">
        <v>2</v>
      </c>
      <c r="B77" s="591" t="s">
        <v>987</v>
      </c>
      <c r="C77" s="591" t="s">
        <v>497</v>
      </c>
      <c r="D77" s="591" t="s">
        <v>1173</v>
      </c>
      <c r="E77" s="592"/>
      <c r="F77" s="596"/>
      <c r="G77" s="709"/>
      <c r="H77" s="709"/>
      <c r="I77" s="709"/>
      <c r="J77" s="709"/>
      <c r="K77" s="709"/>
      <c r="L77" s="709"/>
      <c r="M77" s="709"/>
      <c r="N77" s="709"/>
      <c r="O77" s="709"/>
      <c r="P77" s="709"/>
      <c r="Q77" s="709"/>
      <c r="R77" s="709"/>
      <c r="S77" s="709"/>
      <c r="T77" s="709"/>
      <c r="U77" s="704"/>
    </row>
    <row r="78" spans="1:21">
      <c r="A78" s="582">
        <v>3</v>
      </c>
      <c r="B78" s="591" t="s">
        <v>988</v>
      </c>
      <c r="C78" s="591" t="s">
        <v>1057</v>
      </c>
      <c r="D78" s="591" t="s">
        <v>1173</v>
      </c>
      <c r="E78" s="592"/>
      <c r="F78" s="596"/>
      <c r="G78" s="709"/>
      <c r="H78" s="709"/>
      <c r="I78" s="709"/>
      <c r="J78" s="709"/>
      <c r="K78" s="709"/>
      <c r="L78" s="709"/>
      <c r="M78" s="709"/>
      <c r="N78" s="709"/>
      <c r="O78" s="709"/>
      <c r="P78" s="709"/>
      <c r="Q78" s="709"/>
      <c r="R78" s="709"/>
      <c r="S78" s="709"/>
      <c r="T78" s="709"/>
      <c r="U78" s="704"/>
    </row>
    <row r="79" spans="1:21">
      <c r="A79" s="582">
        <v>4</v>
      </c>
      <c r="B79" s="591" t="s">
        <v>531</v>
      </c>
      <c r="C79" s="591" t="s">
        <v>1184</v>
      </c>
      <c r="D79" s="591" t="s">
        <v>1173</v>
      </c>
      <c r="E79" s="592"/>
      <c r="F79" s="596"/>
      <c r="G79" s="709"/>
      <c r="H79" s="709"/>
      <c r="I79" s="709"/>
      <c r="J79" s="709"/>
      <c r="K79" s="709"/>
      <c r="L79" s="709"/>
      <c r="M79" s="709"/>
      <c r="N79" s="709"/>
      <c r="O79" s="709"/>
      <c r="P79" s="709"/>
      <c r="Q79" s="709"/>
      <c r="R79" s="709"/>
      <c r="S79" s="709"/>
      <c r="T79" s="709"/>
      <c r="U79" s="704"/>
    </row>
    <row r="80" spans="1:21">
      <c r="A80" s="582">
        <v>5</v>
      </c>
      <c r="B80" s="591" t="s">
        <v>439</v>
      </c>
      <c r="C80" s="591" t="s">
        <v>1057</v>
      </c>
      <c r="D80" s="591" t="s">
        <v>1173</v>
      </c>
      <c r="E80" s="592"/>
      <c r="F80" s="596"/>
      <c r="G80" s="709"/>
      <c r="H80" s="709"/>
      <c r="I80" s="709"/>
      <c r="J80" s="709"/>
      <c r="K80" s="709"/>
      <c r="L80" s="709"/>
      <c r="M80" s="709"/>
      <c r="N80" s="709"/>
      <c r="O80" s="709"/>
      <c r="P80" s="709"/>
      <c r="Q80" s="709"/>
      <c r="R80" s="709"/>
      <c r="S80" s="709"/>
      <c r="T80" s="709"/>
      <c r="U80" s="704"/>
    </row>
    <row r="81" spans="1:21">
      <c r="A81" s="582"/>
      <c r="B81" s="595"/>
      <c r="C81" s="595"/>
      <c r="D81" s="596"/>
      <c r="E81" s="592"/>
      <c r="F81" s="596"/>
      <c r="G81" s="709"/>
      <c r="H81" s="709"/>
      <c r="I81" s="709"/>
      <c r="J81" s="709"/>
      <c r="K81" s="709"/>
      <c r="L81" s="709"/>
      <c r="M81" s="709"/>
      <c r="N81" s="709"/>
      <c r="O81" s="709"/>
      <c r="P81" s="709"/>
      <c r="Q81" s="709"/>
      <c r="R81" s="709"/>
      <c r="S81" s="709"/>
      <c r="T81" s="709"/>
      <c r="U81" s="704"/>
    </row>
    <row r="82" spans="1:21" ht="12.75" thickBot="1">
      <c r="A82" s="597"/>
      <c r="B82" s="543"/>
      <c r="C82" s="543"/>
      <c r="D82" s="543"/>
      <c r="E82" s="598"/>
      <c r="F82" s="543"/>
      <c r="G82" s="711"/>
      <c r="H82" s="711"/>
      <c r="I82" s="711"/>
      <c r="J82" s="711"/>
      <c r="K82" s="711"/>
      <c r="L82" s="711"/>
      <c r="M82" s="711"/>
      <c r="N82" s="711"/>
      <c r="O82" s="711"/>
      <c r="P82" s="711"/>
      <c r="Q82" s="711"/>
      <c r="R82" s="711"/>
      <c r="S82" s="711"/>
      <c r="T82" s="711"/>
      <c r="U82" s="706"/>
    </row>
    <row r="83" spans="1:21" ht="12.75" thickBot="1">
      <c r="A83" s="542"/>
      <c r="B83" s="526"/>
      <c r="C83" s="526"/>
      <c r="D83" s="526"/>
      <c r="E83" s="526"/>
      <c r="F83" s="95"/>
      <c r="G83" s="95"/>
      <c r="H83" s="95"/>
      <c r="I83" s="95"/>
      <c r="J83" s="95"/>
      <c r="K83" s="95"/>
      <c r="L83" s="95"/>
      <c r="M83" s="95"/>
      <c r="N83" s="95"/>
      <c r="O83" s="95"/>
      <c r="P83" s="95"/>
      <c r="Q83" s="95"/>
      <c r="R83" s="95"/>
      <c r="S83" s="95"/>
      <c r="T83" s="95"/>
      <c r="U83" s="14"/>
    </row>
    <row r="84" spans="1:21">
      <c r="A84" s="565" t="s">
        <v>1160</v>
      </c>
      <c r="B84" s="566"/>
      <c r="C84" s="567">
        <v>5</v>
      </c>
      <c r="D84" s="568"/>
      <c r="E84" s="569"/>
      <c r="F84" s="695" t="s">
        <v>1249</v>
      </c>
      <c r="G84" s="568"/>
      <c r="H84" s="568"/>
      <c r="I84" s="568"/>
      <c r="J84" s="568"/>
      <c r="K84" s="568"/>
      <c r="L84" s="568"/>
      <c r="M84" s="568"/>
      <c r="N84" s="568"/>
      <c r="O84" s="568"/>
      <c r="P84" s="568"/>
      <c r="Q84" s="568"/>
      <c r="R84" s="568"/>
      <c r="S84" s="568"/>
      <c r="T84" s="568"/>
      <c r="U84" s="569"/>
    </row>
    <row r="85" spans="1:21">
      <c r="A85" s="570" t="s">
        <v>1161</v>
      </c>
      <c r="B85" s="571"/>
      <c r="C85" s="572" t="s">
        <v>1169</v>
      </c>
      <c r="D85" s="572"/>
      <c r="E85" s="573"/>
      <c r="F85" s="696" t="s">
        <v>1250</v>
      </c>
      <c r="G85" s="692" t="s">
        <v>1251</v>
      </c>
      <c r="H85" s="692" t="s">
        <v>1252</v>
      </c>
      <c r="I85" s="692" t="s">
        <v>1253</v>
      </c>
      <c r="J85" s="692" t="s">
        <v>1254</v>
      </c>
      <c r="K85" s="692" t="s">
        <v>1255</v>
      </c>
      <c r="L85" s="692" t="s">
        <v>1256</v>
      </c>
      <c r="M85" s="692" t="s">
        <v>1257</v>
      </c>
      <c r="N85" s="692" t="s">
        <v>1258</v>
      </c>
      <c r="O85" s="692" t="s">
        <v>1259</v>
      </c>
      <c r="P85" s="693" t="s">
        <v>1260</v>
      </c>
      <c r="Q85" s="692" t="s">
        <v>1261</v>
      </c>
      <c r="R85" s="692" t="s">
        <v>1262</v>
      </c>
      <c r="S85" s="692" t="s">
        <v>1263</v>
      </c>
      <c r="T85" s="692" t="s">
        <v>1264</v>
      </c>
      <c r="U85" s="694" t="s">
        <v>1265</v>
      </c>
    </row>
    <row r="86" spans="1:21">
      <c r="A86" s="570" t="s">
        <v>1148</v>
      </c>
      <c r="B86" s="571"/>
      <c r="C86" s="572" t="s">
        <v>1186</v>
      </c>
      <c r="D86" s="572"/>
      <c r="E86" s="573"/>
      <c r="F86" s="697"/>
      <c r="G86" s="698"/>
      <c r="H86" s="698"/>
      <c r="I86" s="698"/>
      <c r="J86" s="698"/>
      <c r="K86" s="698"/>
      <c r="L86" s="698"/>
      <c r="M86" s="698"/>
      <c r="N86" s="698"/>
      <c r="O86" s="698"/>
      <c r="P86" s="698"/>
      <c r="Q86" s="698"/>
      <c r="R86" s="698"/>
      <c r="S86" s="698"/>
      <c r="T86" s="698"/>
      <c r="U86" s="699"/>
    </row>
    <row r="87" spans="1:21">
      <c r="A87" s="574" t="s">
        <v>1149</v>
      </c>
      <c r="B87" s="575"/>
      <c r="C87" s="576"/>
      <c r="D87" s="577"/>
      <c r="E87" s="578"/>
      <c r="F87" s="712"/>
      <c r="G87" s="713"/>
      <c r="H87" s="713"/>
      <c r="I87" s="713"/>
      <c r="J87" s="713"/>
      <c r="K87" s="713"/>
      <c r="L87" s="713"/>
      <c r="M87" s="713"/>
      <c r="N87" s="713"/>
      <c r="O87" s="713"/>
      <c r="P87" s="713"/>
      <c r="Q87" s="713"/>
      <c r="R87" s="713"/>
      <c r="S87" s="713"/>
      <c r="T87" s="713"/>
      <c r="U87" s="714"/>
    </row>
    <row r="88" spans="1:21">
      <c r="A88" s="579"/>
      <c r="B88" s="580" t="s">
        <v>789</v>
      </c>
      <c r="C88" s="580" t="s">
        <v>1150</v>
      </c>
      <c r="D88" s="580" t="s">
        <v>1151</v>
      </c>
      <c r="E88" s="581" t="s">
        <v>1152</v>
      </c>
      <c r="F88" s="700"/>
      <c r="G88" s="707"/>
      <c r="H88" s="707"/>
      <c r="I88" s="707"/>
      <c r="J88" s="707"/>
      <c r="K88" s="707"/>
      <c r="L88" s="707"/>
      <c r="M88" s="707"/>
      <c r="N88" s="707"/>
      <c r="O88" s="707"/>
      <c r="P88" s="707"/>
      <c r="Q88" s="707"/>
      <c r="R88" s="707"/>
      <c r="S88" s="707"/>
      <c r="T88" s="707"/>
      <c r="U88" s="581"/>
    </row>
    <row r="89" spans="1:21">
      <c r="A89" s="599"/>
      <c r="B89" s="583" t="s">
        <v>1178</v>
      </c>
      <c r="C89" s="584" t="s">
        <v>1172</v>
      </c>
      <c r="D89" s="618" t="s">
        <v>1179</v>
      </c>
      <c r="E89" s="619" t="s">
        <v>1187</v>
      </c>
      <c r="F89" s="701"/>
      <c r="G89" s="584"/>
      <c r="H89" s="584"/>
      <c r="I89" s="584"/>
      <c r="J89" s="584"/>
      <c r="K89" s="584"/>
      <c r="L89" s="584"/>
      <c r="M89" s="584"/>
      <c r="N89" s="584"/>
      <c r="O89" s="584"/>
      <c r="P89" s="584"/>
      <c r="Q89" s="584"/>
      <c r="R89" s="584"/>
      <c r="S89" s="584"/>
      <c r="T89" s="584"/>
      <c r="U89" s="585"/>
    </row>
    <row r="90" spans="1:21">
      <c r="A90" s="586" t="s">
        <v>1153</v>
      </c>
      <c r="B90" s="594" t="s">
        <v>1159</v>
      </c>
      <c r="C90" s="588" t="s">
        <v>1155</v>
      </c>
      <c r="D90" s="588" t="s">
        <v>1156</v>
      </c>
      <c r="E90" s="589" t="s">
        <v>1157</v>
      </c>
      <c r="F90" s="702"/>
      <c r="G90" s="708"/>
      <c r="H90" s="708"/>
      <c r="I90" s="708"/>
      <c r="J90" s="708"/>
      <c r="K90" s="708"/>
      <c r="L90" s="708"/>
      <c r="M90" s="708"/>
      <c r="N90" s="708"/>
      <c r="O90" s="708"/>
      <c r="P90" s="708"/>
      <c r="Q90" s="708"/>
      <c r="R90" s="708"/>
      <c r="S90" s="708"/>
      <c r="T90" s="708"/>
      <c r="U90" s="703"/>
    </row>
    <row r="91" spans="1:21">
      <c r="A91" s="582">
        <v>1</v>
      </c>
      <c r="B91" s="590" t="s">
        <v>429</v>
      </c>
      <c r="C91" s="591" t="s">
        <v>1057</v>
      </c>
      <c r="D91" s="591" t="s">
        <v>1173</v>
      </c>
      <c r="E91" s="592" t="s">
        <v>1174</v>
      </c>
      <c r="F91" s="596"/>
      <c r="G91" s="709"/>
      <c r="H91" s="709"/>
      <c r="I91" s="709"/>
      <c r="J91" s="709"/>
      <c r="K91" s="709"/>
      <c r="L91" s="709"/>
      <c r="M91" s="709"/>
      <c r="N91" s="709"/>
      <c r="O91" s="709"/>
      <c r="P91" s="709"/>
      <c r="Q91" s="709"/>
      <c r="R91" s="709"/>
      <c r="S91" s="709"/>
      <c r="T91" s="709"/>
      <c r="U91" s="704"/>
    </row>
    <row r="92" spans="1:21">
      <c r="A92" s="542"/>
      <c r="B92" s="526"/>
      <c r="C92" s="526"/>
      <c r="D92" s="526"/>
      <c r="E92" s="593"/>
      <c r="F92" s="526"/>
      <c r="G92" s="710"/>
      <c r="H92" s="710"/>
      <c r="I92" s="710"/>
      <c r="J92" s="710"/>
      <c r="K92" s="710"/>
      <c r="L92" s="710"/>
      <c r="M92" s="710"/>
      <c r="N92" s="710"/>
      <c r="O92" s="710"/>
      <c r="P92" s="710"/>
      <c r="Q92" s="710"/>
      <c r="R92" s="710"/>
      <c r="S92" s="710"/>
      <c r="T92" s="710"/>
      <c r="U92" s="705"/>
    </row>
    <row r="93" spans="1:21">
      <c r="A93" s="579"/>
      <c r="B93" s="580" t="s">
        <v>789</v>
      </c>
      <c r="C93" s="580" t="s">
        <v>1150</v>
      </c>
      <c r="D93" s="580" t="s">
        <v>1158</v>
      </c>
      <c r="E93" s="581" t="s">
        <v>1152</v>
      </c>
      <c r="F93" s="700"/>
      <c r="G93" s="707"/>
      <c r="H93" s="707"/>
      <c r="I93" s="707"/>
      <c r="J93" s="707"/>
      <c r="K93" s="707"/>
      <c r="L93" s="707"/>
      <c r="M93" s="707"/>
      <c r="N93" s="707"/>
      <c r="O93" s="707"/>
      <c r="P93" s="707"/>
      <c r="Q93" s="707"/>
      <c r="R93" s="707"/>
      <c r="S93" s="707"/>
      <c r="T93" s="707"/>
      <c r="U93" s="581"/>
    </row>
    <row r="94" spans="1:21">
      <c r="A94" s="582"/>
      <c r="B94" s="583" t="s">
        <v>1175</v>
      </c>
      <c r="C94" s="584" t="s">
        <v>1176</v>
      </c>
      <c r="D94" s="618" t="s">
        <v>1179</v>
      </c>
      <c r="E94" s="619" t="s">
        <v>1188</v>
      </c>
      <c r="F94" s="701"/>
      <c r="G94" s="584"/>
      <c r="H94" s="584"/>
      <c r="I94" s="584"/>
      <c r="J94" s="584"/>
      <c r="K94" s="584"/>
      <c r="L94" s="584"/>
      <c r="M94" s="584"/>
      <c r="N94" s="584"/>
      <c r="O94" s="584"/>
      <c r="P94" s="584"/>
      <c r="Q94" s="584"/>
      <c r="R94" s="584"/>
      <c r="S94" s="584"/>
      <c r="T94" s="584"/>
      <c r="U94" s="585"/>
    </row>
    <row r="95" spans="1:21" ht="11.25" customHeight="1">
      <c r="A95" s="586" t="s">
        <v>1153</v>
      </c>
      <c r="B95" s="594" t="s">
        <v>1159</v>
      </c>
      <c r="C95" s="588" t="s">
        <v>1155</v>
      </c>
      <c r="D95" s="588" t="s">
        <v>1156</v>
      </c>
      <c r="E95" s="589" t="s">
        <v>1157</v>
      </c>
      <c r="F95" s="702"/>
      <c r="G95" s="708"/>
      <c r="H95" s="708"/>
      <c r="I95" s="708"/>
      <c r="J95" s="708"/>
      <c r="K95" s="708"/>
      <c r="L95" s="708"/>
      <c r="M95" s="708"/>
      <c r="N95" s="708"/>
      <c r="O95" s="708"/>
      <c r="P95" s="708"/>
      <c r="Q95" s="708"/>
      <c r="R95" s="708"/>
      <c r="S95" s="708"/>
      <c r="T95" s="708"/>
      <c r="U95" s="703"/>
    </row>
    <row r="96" spans="1:21" ht="36">
      <c r="A96" s="582">
        <v>1</v>
      </c>
      <c r="B96" s="591" t="s">
        <v>986</v>
      </c>
      <c r="C96" s="591" t="s">
        <v>1183</v>
      </c>
      <c r="D96" s="591" t="s">
        <v>1173</v>
      </c>
      <c r="E96" s="592"/>
      <c r="F96" s="596"/>
      <c r="G96" s="709"/>
      <c r="H96" s="709"/>
      <c r="I96" s="709"/>
      <c r="J96" s="709"/>
      <c r="K96" s="709"/>
      <c r="L96" s="709"/>
      <c r="M96" s="709"/>
      <c r="N96" s="709"/>
      <c r="O96" s="709"/>
      <c r="P96" s="709" t="s">
        <v>1266</v>
      </c>
      <c r="Q96" s="709"/>
      <c r="R96" s="709"/>
      <c r="S96" s="709"/>
      <c r="T96" s="709"/>
      <c r="U96" s="704"/>
    </row>
    <row r="97" spans="1:21">
      <c r="A97" s="582">
        <v>2</v>
      </c>
      <c r="B97" s="591" t="s">
        <v>988</v>
      </c>
      <c r="C97" s="591" t="s">
        <v>1057</v>
      </c>
      <c r="D97" s="591" t="s">
        <v>1173</v>
      </c>
      <c r="E97" s="592"/>
      <c r="F97" s="596"/>
      <c r="G97" s="709"/>
      <c r="H97" s="709"/>
      <c r="I97" s="709"/>
      <c r="J97" s="709"/>
      <c r="K97" s="709"/>
      <c r="L97" s="709"/>
      <c r="M97" s="709"/>
      <c r="N97" s="709"/>
      <c r="O97" s="709"/>
      <c r="P97" s="709"/>
      <c r="Q97" s="709"/>
      <c r="R97" s="709"/>
      <c r="S97" s="709"/>
      <c r="T97" s="709"/>
      <c r="U97" s="704"/>
    </row>
    <row r="98" spans="1:21">
      <c r="A98" s="582">
        <v>3</v>
      </c>
      <c r="B98" s="591" t="s">
        <v>531</v>
      </c>
      <c r="C98" s="591" t="s">
        <v>1189</v>
      </c>
      <c r="D98" s="591" t="s">
        <v>1173</v>
      </c>
      <c r="E98" s="592"/>
      <c r="F98" s="596"/>
      <c r="G98" s="709"/>
      <c r="H98" s="709"/>
      <c r="I98" s="709"/>
      <c r="J98" s="709"/>
      <c r="K98" s="709"/>
      <c r="L98" s="709"/>
      <c r="M98" s="709"/>
      <c r="N98" s="709"/>
      <c r="O98" s="709"/>
      <c r="P98" s="709"/>
      <c r="Q98" s="709"/>
      <c r="R98" s="709"/>
      <c r="S98" s="709"/>
      <c r="T98" s="709"/>
      <c r="U98" s="704"/>
    </row>
    <row r="99" spans="1:21">
      <c r="A99" s="582">
        <v>4</v>
      </c>
      <c r="B99" s="591" t="s">
        <v>439</v>
      </c>
      <c r="C99" s="591" t="s">
        <v>1057</v>
      </c>
      <c r="D99" s="591" t="s">
        <v>1173</v>
      </c>
      <c r="E99" s="592"/>
      <c r="F99" s="596"/>
      <c r="G99" s="709"/>
      <c r="H99" s="709"/>
      <c r="I99" s="709"/>
      <c r="J99" s="709"/>
      <c r="K99" s="709"/>
      <c r="L99" s="709"/>
      <c r="M99" s="709"/>
      <c r="N99" s="709"/>
      <c r="O99" s="709"/>
      <c r="P99" s="709"/>
      <c r="Q99" s="709"/>
      <c r="R99" s="709"/>
      <c r="S99" s="709"/>
      <c r="T99" s="709"/>
      <c r="U99" s="704"/>
    </row>
    <row r="100" spans="1:21">
      <c r="A100" s="582"/>
      <c r="B100" s="595"/>
      <c r="C100" s="595"/>
      <c r="D100" s="596"/>
      <c r="E100" s="592"/>
      <c r="F100" s="596"/>
      <c r="G100" s="709"/>
      <c r="H100" s="709"/>
      <c r="I100" s="709"/>
      <c r="J100" s="709"/>
      <c r="K100" s="709"/>
      <c r="L100" s="709"/>
      <c r="M100" s="709"/>
      <c r="N100" s="709"/>
      <c r="O100" s="709"/>
      <c r="P100" s="709"/>
      <c r="Q100" s="709"/>
      <c r="R100" s="709"/>
      <c r="S100" s="709"/>
      <c r="T100" s="709"/>
      <c r="U100" s="704"/>
    </row>
    <row r="101" spans="1:21" ht="12.75" thickBot="1">
      <c r="A101" s="597"/>
      <c r="B101" s="543"/>
      <c r="C101" s="543"/>
      <c r="D101" s="543"/>
      <c r="E101" s="598"/>
      <c r="F101" s="715"/>
      <c r="G101" s="716"/>
      <c r="H101" s="716"/>
      <c r="I101" s="716"/>
      <c r="J101" s="716"/>
      <c r="K101" s="716"/>
      <c r="L101" s="716"/>
      <c r="M101" s="716"/>
      <c r="N101" s="716"/>
      <c r="O101" s="716"/>
      <c r="P101" s="716"/>
      <c r="Q101" s="716"/>
      <c r="R101" s="716"/>
      <c r="S101" s="716"/>
      <c r="T101" s="716"/>
      <c r="U101" s="717"/>
    </row>
    <row r="102" spans="1:21" ht="12.75" thickBot="1">
      <c r="A102" s="542"/>
      <c r="B102" s="526"/>
      <c r="C102" s="526"/>
      <c r="D102" s="526"/>
      <c r="E102" s="526"/>
      <c r="F102" s="95"/>
      <c r="G102" s="95"/>
      <c r="H102" s="95"/>
      <c r="I102" s="95"/>
      <c r="J102" s="95"/>
      <c r="K102" s="95"/>
      <c r="L102" s="95"/>
      <c r="M102" s="95"/>
      <c r="N102" s="95"/>
      <c r="O102" s="95"/>
      <c r="P102" s="95"/>
      <c r="Q102" s="95"/>
      <c r="R102" s="95"/>
      <c r="S102" s="95"/>
      <c r="T102" s="95"/>
      <c r="U102" s="14"/>
    </row>
    <row r="103" spans="1:21">
      <c r="A103" s="565" t="s">
        <v>1160</v>
      </c>
      <c r="B103" s="566"/>
      <c r="C103" s="567">
        <v>6</v>
      </c>
      <c r="D103" s="568"/>
      <c r="E103" s="569"/>
      <c r="F103" s="695" t="s">
        <v>1249</v>
      </c>
      <c r="G103" s="568"/>
      <c r="H103" s="568"/>
      <c r="I103" s="568"/>
      <c r="J103" s="568"/>
      <c r="K103" s="568"/>
      <c r="L103" s="568"/>
      <c r="M103" s="568"/>
      <c r="N103" s="568"/>
      <c r="O103" s="568"/>
      <c r="P103" s="568"/>
      <c r="Q103" s="568"/>
      <c r="R103" s="568"/>
      <c r="S103" s="568"/>
      <c r="T103" s="568"/>
      <c r="U103" s="569"/>
    </row>
    <row r="104" spans="1:21">
      <c r="A104" s="570" t="s">
        <v>1161</v>
      </c>
      <c r="B104" s="571"/>
      <c r="C104" s="572" t="s">
        <v>1169</v>
      </c>
      <c r="D104" s="572"/>
      <c r="E104" s="573"/>
      <c r="F104" s="696" t="s">
        <v>1250</v>
      </c>
      <c r="G104" s="692" t="s">
        <v>1251</v>
      </c>
      <c r="H104" s="692" t="s">
        <v>1252</v>
      </c>
      <c r="I104" s="692" t="s">
        <v>1253</v>
      </c>
      <c r="J104" s="692" t="s">
        <v>1254</v>
      </c>
      <c r="K104" s="692" t="s">
        <v>1255</v>
      </c>
      <c r="L104" s="692" t="s">
        <v>1256</v>
      </c>
      <c r="M104" s="692" t="s">
        <v>1257</v>
      </c>
      <c r="N104" s="692" t="s">
        <v>1258</v>
      </c>
      <c r="O104" s="692" t="s">
        <v>1259</v>
      </c>
      <c r="P104" s="693" t="s">
        <v>1260</v>
      </c>
      <c r="Q104" s="692" t="s">
        <v>1261</v>
      </c>
      <c r="R104" s="692" t="s">
        <v>1262</v>
      </c>
      <c r="S104" s="692" t="s">
        <v>1263</v>
      </c>
      <c r="T104" s="692" t="s">
        <v>1264</v>
      </c>
      <c r="U104" s="694" t="s">
        <v>1265</v>
      </c>
    </row>
    <row r="105" spans="1:21">
      <c r="A105" s="570" t="s">
        <v>1148</v>
      </c>
      <c r="B105" s="571"/>
      <c r="C105" s="572" t="s">
        <v>1190</v>
      </c>
      <c r="D105" s="572"/>
      <c r="E105" s="573"/>
      <c r="F105" s="697"/>
      <c r="G105" s="698"/>
      <c r="H105" s="698"/>
      <c r="I105" s="698"/>
      <c r="J105" s="698"/>
      <c r="K105" s="698"/>
      <c r="L105" s="698"/>
      <c r="M105" s="698"/>
      <c r="N105" s="698"/>
      <c r="O105" s="698"/>
      <c r="P105" s="698"/>
      <c r="Q105" s="698"/>
      <c r="R105" s="698"/>
      <c r="S105" s="698"/>
      <c r="T105" s="698"/>
      <c r="U105" s="699"/>
    </row>
    <row r="106" spans="1:21">
      <c r="A106" s="574" t="s">
        <v>1149</v>
      </c>
      <c r="B106" s="575"/>
      <c r="C106" s="576"/>
      <c r="D106" s="577"/>
      <c r="E106" s="578"/>
      <c r="F106" s="712"/>
      <c r="G106" s="713"/>
      <c r="H106" s="713"/>
      <c r="I106" s="713"/>
      <c r="J106" s="713"/>
      <c r="K106" s="713"/>
      <c r="L106" s="713"/>
      <c r="M106" s="713"/>
      <c r="N106" s="713"/>
      <c r="O106" s="713"/>
      <c r="P106" s="713"/>
      <c r="Q106" s="713"/>
      <c r="R106" s="713"/>
      <c r="S106" s="713"/>
      <c r="T106" s="713"/>
      <c r="U106" s="714"/>
    </row>
    <row r="107" spans="1:21">
      <c r="A107" s="579"/>
      <c r="B107" s="580" t="s">
        <v>789</v>
      </c>
      <c r="C107" s="580" t="s">
        <v>1150</v>
      </c>
      <c r="D107" s="580" t="s">
        <v>1151</v>
      </c>
      <c r="E107" s="581" t="s">
        <v>1152</v>
      </c>
      <c r="F107" s="700"/>
      <c r="G107" s="707"/>
      <c r="H107" s="707"/>
      <c r="I107" s="707"/>
      <c r="J107" s="707"/>
      <c r="K107" s="707"/>
      <c r="L107" s="707"/>
      <c r="M107" s="707"/>
      <c r="N107" s="707"/>
      <c r="O107" s="707"/>
      <c r="P107" s="707"/>
      <c r="Q107" s="707"/>
      <c r="R107" s="707"/>
      <c r="S107" s="707"/>
      <c r="T107" s="707"/>
      <c r="U107" s="581"/>
    </row>
    <row r="108" spans="1:21">
      <c r="A108" s="599"/>
      <c r="B108" s="583" t="s">
        <v>1178</v>
      </c>
      <c r="C108" s="584" t="s">
        <v>1172</v>
      </c>
      <c r="D108" s="618" t="s">
        <v>1179</v>
      </c>
      <c r="E108" s="619" t="s">
        <v>1191</v>
      </c>
      <c r="F108" s="701"/>
      <c r="G108" s="584"/>
      <c r="H108" s="584"/>
      <c r="I108" s="584"/>
      <c r="J108" s="584"/>
      <c r="K108" s="584"/>
      <c r="L108" s="584"/>
      <c r="M108" s="584"/>
      <c r="N108" s="584"/>
      <c r="O108" s="584"/>
      <c r="P108" s="584"/>
      <c r="Q108" s="584"/>
      <c r="R108" s="584"/>
      <c r="S108" s="584"/>
      <c r="T108" s="584"/>
      <c r="U108" s="585"/>
    </row>
    <row r="109" spans="1:21">
      <c r="A109" s="586" t="s">
        <v>1153</v>
      </c>
      <c r="B109" s="594" t="s">
        <v>1159</v>
      </c>
      <c r="C109" s="588" t="s">
        <v>1155</v>
      </c>
      <c r="D109" s="588" t="s">
        <v>1156</v>
      </c>
      <c r="E109" s="589" t="s">
        <v>1157</v>
      </c>
      <c r="F109" s="702"/>
      <c r="G109" s="708"/>
      <c r="H109" s="708"/>
      <c r="I109" s="708"/>
      <c r="J109" s="708"/>
      <c r="K109" s="708"/>
      <c r="L109" s="708"/>
      <c r="M109" s="708"/>
      <c r="N109" s="708"/>
      <c r="O109" s="708"/>
      <c r="P109" s="708"/>
      <c r="Q109" s="708"/>
      <c r="R109" s="708"/>
      <c r="S109" s="708"/>
      <c r="T109" s="708"/>
      <c r="U109" s="703"/>
    </row>
    <row r="110" spans="1:21">
      <c r="A110" s="582">
        <v>1</v>
      </c>
      <c r="B110" s="590" t="s">
        <v>429</v>
      </c>
      <c r="C110" s="591" t="s">
        <v>1057</v>
      </c>
      <c r="D110" s="591" t="s">
        <v>1173</v>
      </c>
      <c r="E110" s="592" t="s">
        <v>1174</v>
      </c>
      <c r="F110" s="596"/>
      <c r="G110" s="709"/>
      <c r="H110" s="709"/>
      <c r="I110" s="709"/>
      <c r="J110" s="709"/>
      <c r="K110" s="709"/>
      <c r="L110" s="709"/>
      <c r="M110" s="709"/>
      <c r="N110" s="709"/>
      <c r="O110" s="709"/>
      <c r="P110" s="709"/>
      <c r="Q110" s="709"/>
      <c r="R110" s="709"/>
      <c r="S110" s="709"/>
      <c r="T110" s="709"/>
      <c r="U110" s="704"/>
    </row>
    <row r="111" spans="1:21">
      <c r="A111" s="542"/>
      <c r="B111" s="526"/>
      <c r="C111" s="526"/>
      <c r="D111" s="526"/>
      <c r="E111" s="593"/>
      <c r="F111" s="526"/>
      <c r="G111" s="710"/>
      <c r="H111" s="710"/>
      <c r="I111" s="710"/>
      <c r="J111" s="710"/>
      <c r="K111" s="710"/>
      <c r="L111" s="710"/>
      <c r="M111" s="710"/>
      <c r="N111" s="710"/>
      <c r="O111" s="710"/>
      <c r="P111" s="710"/>
      <c r="Q111" s="710"/>
      <c r="R111" s="710"/>
      <c r="S111" s="710"/>
      <c r="T111" s="710"/>
      <c r="U111" s="705"/>
    </row>
    <row r="112" spans="1:21">
      <c r="A112" s="579"/>
      <c r="B112" s="580" t="s">
        <v>789</v>
      </c>
      <c r="C112" s="580" t="s">
        <v>1150</v>
      </c>
      <c r="D112" s="580" t="s">
        <v>1158</v>
      </c>
      <c r="E112" s="581" t="s">
        <v>1152</v>
      </c>
      <c r="F112" s="700"/>
      <c r="G112" s="707"/>
      <c r="H112" s="707"/>
      <c r="I112" s="707"/>
      <c r="J112" s="707"/>
      <c r="K112" s="707"/>
      <c r="L112" s="707"/>
      <c r="M112" s="707"/>
      <c r="N112" s="707"/>
      <c r="O112" s="707"/>
      <c r="P112" s="707"/>
      <c r="Q112" s="707"/>
      <c r="R112" s="707"/>
      <c r="S112" s="707"/>
      <c r="T112" s="707"/>
      <c r="U112" s="581"/>
    </row>
    <row r="113" spans="1:22">
      <c r="A113" s="582"/>
      <c r="B113" s="583" t="s">
        <v>1175</v>
      </c>
      <c r="C113" s="584" t="s">
        <v>1176</v>
      </c>
      <c r="D113" s="618" t="s">
        <v>1179</v>
      </c>
      <c r="E113" s="619" t="s">
        <v>1192</v>
      </c>
      <c r="F113" s="701"/>
      <c r="G113" s="584"/>
      <c r="H113" s="584"/>
      <c r="I113" s="584"/>
      <c r="J113" s="584"/>
      <c r="K113" s="584"/>
      <c r="L113" s="584"/>
      <c r="M113" s="584"/>
      <c r="N113" s="584"/>
      <c r="O113" s="584"/>
      <c r="P113" s="584"/>
      <c r="Q113" s="584"/>
      <c r="R113" s="584"/>
      <c r="S113" s="584"/>
      <c r="T113" s="584"/>
      <c r="U113" s="585"/>
    </row>
    <row r="114" spans="1:22" ht="11.25" customHeight="1">
      <c r="A114" s="586" t="s">
        <v>1153</v>
      </c>
      <c r="B114" s="594" t="s">
        <v>1159</v>
      </c>
      <c r="C114" s="588" t="s">
        <v>1155</v>
      </c>
      <c r="D114" s="588" t="s">
        <v>1156</v>
      </c>
      <c r="E114" s="589" t="s">
        <v>1157</v>
      </c>
      <c r="F114" s="702"/>
      <c r="G114" s="708"/>
      <c r="H114" s="708"/>
      <c r="I114" s="708"/>
      <c r="J114" s="708"/>
      <c r="K114" s="708"/>
      <c r="L114" s="708"/>
      <c r="M114" s="708"/>
      <c r="N114" s="708"/>
      <c r="O114" s="708"/>
      <c r="P114" s="708"/>
      <c r="Q114" s="708"/>
      <c r="R114" s="708"/>
      <c r="S114" s="708"/>
      <c r="T114" s="708"/>
      <c r="U114" s="703"/>
    </row>
    <row r="115" spans="1:22">
      <c r="A115" s="582">
        <v>1</v>
      </c>
      <c r="B115" s="591" t="s">
        <v>986</v>
      </c>
      <c r="C115" s="591" t="s">
        <v>1183</v>
      </c>
      <c r="D115" s="591" t="s">
        <v>1173</v>
      </c>
      <c r="E115" s="592"/>
      <c r="F115" s="596"/>
      <c r="G115" s="709"/>
      <c r="H115" s="709"/>
      <c r="I115" s="709"/>
      <c r="J115" s="709"/>
      <c r="K115" s="709"/>
      <c r="L115" s="709"/>
      <c r="M115" s="709"/>
      <c r="N115" s="709"/>
      <c r="O115" s="709"/>
      <c r="P115" s="709"/>
      <c r="Q115" s="709"/>
      <c r="R115" s="709"/>
      <c r="S115" s="709"/>
      <c r="T115" s="709"/>
      <c r="U115" s="704"/>
    </row>
    <row r="116" spans="1:22">
      <c r="A116" s="582">
        <v>2</v>
      </c>
      <c r="B116" s="591" t="s">
        <v>988</v>
      </c>
      <c r="C116" s="591" t="s">
        <v>1057</v>
      </c>
      <c r="D116" s="591" t="s">
        <v>1173</v>
      </c>
      <c r="E116" s="592"/>
      <c r="F116" s="596"/>
      <c r="G116" s="709"/>
      <c r="H116" s="709"/>
      <c r="I116" s="709"/>
      <c r="J116" s="709"/>
      <c r="K116" s="709"/>
      <c r="L116" s="709"/>
      <c r="M116" s="709"/>
      <c r="N116" s="709"/>
      <c r="O116" s="709"/>
      <c r="P116" s="709"/>
      <c r="Q116" s="709"/>
      <c r="R116" s="709"/>
      <c r="S116" s="709"/>
      <c r="T116" s="709"/>
      <c r="U116" s="704"/>
    </row>
    <row r="117" spans="1:22">
      <c r="A117" s="582">
        <v>3</v>
      </c>
      <c r="B117" s="591" t="s">
        <v>531</v>
      </c>
      <c r="C117" s="591" t="s">
        <v>1189</v>
      </c>
      <c r="D117" s="591" t="s">
        <v>1173</v>
      </c>
      <c r="E117" s="592"/>
      <c r="F117" s="596"/>
      <c r="G117" s="709"/>
      <c r="H117" s="709"/>
      <c r="I117" s="709"/>
      <c r="J117" s="709"/>
      <c r="K117" s="709"/>
      <c r="L117" s="709"/>
      <c r="M117" s="709"/>
      <c r="N117" s="709"/>
      <c r="O117" s="709"/>
      <c r="P117" s="709"/>
      <c r="Q117" s="709"/>
      <c r="R117" s="709"/>
      <c r="S117" s="709"/>
      <c r="T117" s="709"/>
      <c r="U117" s="704"/>
    </row>
    <row r="118" spans="1:22">
      <c r="A118" s="582">
        <v>4</v>
      </c>
      <c r="B118" s="591" t="s">
        <v>439</v>
      </c>
      <c r="C118" s="591" t="s">
        <v>1057</v>
      </c>
      <c r="D118" s="591" t="s">
        <v>1173</v>
      </c>
      <c r="E118" s="592"/>
      <c r="F118" s="596"/>
      <c r="G118" s="709"/>
      <c r="H118" s="709"/>
      <c r="I118" s="709"/>
      <c r="J118" s="709"/>
      <c r="K118" s="709"/>
      <c r="L118" s="709"/>
      <c r="M118" s="709"/>
      <c r="N118" s="709"/>
      <c r="O118" s="709"/>
      <c r="P118" s="709"/>
      <c r="Q118" s="709"/>
      <c r="R118" s="709"/>
      <c r="S118" s="709"/>
      <c r="T118" s="709"/>
      <c r="U118" s="704"/>
    </row>
    <row r="119" spans="1:22">
      <c r="A119" s="582"/>
      <c r="B119" s="595"/>
      <c r="C119" s="595"/>
      <c r="D119" s="596"/>
      <c r="E119" s="592"/>
      <c r="F119" s="596"/>
      <c r="G119" s="709"/>
      <c r="H119" s="709"/>
      <c r="I119" s="709"/>
      <c r="J119" s="709"/>
      <c r="K119" s="709"/>
      <c r="L119" s="709"/>
      <c r="M119" s="709"/>
      <c r="N119" s="709"/>
      <c r="O119" s="709"/>
      <c r="P119" s="709"/>
      <c r="Q119" s="709"/>
      <c r="R119" s="709"/>
      <c r="S119" s="709"/>
      <c r="T119" s="709"/>
      <c r="U119" s="704"/>
    </row>
    <row r="120" spans="1:22" ht="12.75" thickBot="1">
      <c r="A120" s="597"/>
      <c r="B120" s="543"/>
      <c r="C120" s="543"/>
      <c r="D120" s="543"/>
      <c r="E120" s="598"/>
      <c r="F120" s="715"/>
      <c r="G120" s="716"/>
      <c r="H120" s="716"/>
      <c r="I120" s="716"/>
      <c r="J120" s="716"/>
      <c r="K120" s="716"/>
      <c r="L120" s="716"/>
      <c r="M120" s="716"/>
      <c r="N120" s="716"/>
      <c r="O120" s="716"/>
      <c r="P120" s="716"/>
      <c r="Q120" s="716"/>
      <c r="R120" s="716"/>
      <c r="S120" s="716"/>
      <c r="T120" s="716"/>
      <c r="U120" s="717"/>
    </row>
    <row r="121" spans="1:22">
      <c r="F121" s="503"/>
      <c r="G121" s="503"/>
      <c r="H121" s="503"/>
      <c r="I121" s="503"/>
      <c r="J121" s="503"/>
      <c r="K121" s="503"/>
      <c r="L121" s="503"/>
      <c r="M121" s="503"/>
      <c r="N121" s="503"/>
      <c r="O121" s="503"/>
      <c r="P121" s="503"/>
      <c r="Q121" s="503"/>
      <c r="R121" s="503"/>
      <c r="S121" s="503"/>
      <c r="T121" s="503"/>
      <c r="U121" s="503"/>
      <c r="V121" s="503"/>
    </row>
    <row r="122" spans="1:22">
      <c r="F122" s="503"/>
      <c r="G122" s="503"/>
      <c r="H122" s="503"/>
      <c r="I122" s="503"/>
      <c r="J122" s="503"/>
      <c r="K122" s="503"/>
      <c r="L122" s="503"/>
      <c r="M122" s="503"/>
      <c r="N122" s="503"/>
      <c r="O122" s="503"/>
      <c r="P122" s="503"/>
      <c r="Q122" s="503"/>
      <c r="R122" s="503"/>
      <c r="S122" s="503"/>
      <c r="T122" s="503"/>
      <c r="U122" s="503"/>
      <c r="V122" s="503"/>
    </row>
  </sheetData>
  <phoneticPr fontId="3"/>
  <dataValidations count="1">
    <dataValidation imeMode="off" allowBlank="1" showInputMessage="1" showErrorMessage="1" sqref="WSO983018:WSP983032 GC65514:GD65528 PY65514:PZ65528 ZU65514:ZV65528 AJQ65514:AJR65528 ATM65514:ATN65528 BDI65514:BDJ65528 BNE65514:BNF65528 BXA65514:BXB65528 CGW65514:CGX65528 CQS65514:CQT65528 DAO65514:DAP65528 DKK65514:DKL65528 DUG65514:DUH65528 EEC65514:EED65528 ENY65514:ENZ65528 EXU65514:EXV65528 FHQ65514:FHR65528 FRM65514:FRN65528 GBI65514:GBJ65528 GLE65514:GLF65528 GVA65514:GVB65528 HEW65514:HEX65528 HOS65514:HOT65528 HYO65514:HYP65528 IIK65514:IIL65528 ISG65514:ISH65528 JCC65514:JCD65528 JLY65514:JLZ65528 JVU65514:JVV65528 KFQ65514:KFR65528 KPM65514:KPN65528 KZI65514:KZJ65528 LJE65514:LJF65528 LTA65514:LTB65528 MCW65514:MCX65528 MMS65514:MMT65528 MWO65514:MWP65528 NGK65514:NGL65528 NQG65514:NQH65528 OAC65514:OAD65528 OJY65514:OJZ65528 OTU65514:OTV65528 PDQ65514:PDR65528 PNM65514:PNN65528 PXI65514:PXJ65528 QHE65514:QHF65528 QRA65514:QRB65528 RAW65514:RAX65528 RKS65514:RKT65528 RUO65514:RUP65528 SEK65514:SEL65528 SOG65514:SOH65528 SYC65514:SYD65528 THY65514:THZ65528 TRU65514:TRV65528 UBQ65514:UBR65528 ULM65514:ULN65528 UVI65514:UVJ65528 VFE65514:VFF65528 VPA65514:VPB65528 VYW65514:VYX65528 WIS65514:WIT65528 WSO65514:WSP65528 GC131050:GD131064 PY131050:PZ131064 ZU131050:ZV131064 AJQ131050:AJR131064 ATM131050:ATN131064 BDI131050:BDJ131064 BNE131050:BNF131064 BXA131050:BXB131064 CGW131050:CGX131064 CQS131050:CQT131064 DAO131050:DAP131064 DKK131050:DKL131064 DUG131050:DUH131064 EEC131050:EED131064 ENY131050:ENZ131064 EXU131050:EXV131064 FHQ131050:FHR131064 FRM131050:FRN131064 GBI131050:GBJ131064 GLE131050:GLF131064 GVA131050:GVB131064 HEW131050:HEX131064 HOS131050:HOT131064 HYO131050:HYP131064 IIK131050:IIL131064 ISG131050:ISH131064 JCC131050:JCD131064 JLY131050:JLZ131064 JVU131050:JVV131064 KFQ131050:KFR131064 KPM131050:KPN131064 KZI131050:KZJ131064 LJE131050:LJF131064 LTA131050:LTB131064 MCW131050:MCX131064 MMS131050:MMT131064 MWO131050:MWP131064 NGK131050:NGL131064 NQG131050:NQH131064 OAC131050:OAD131064 OJY131050:OJZ131064 OTU131050:OTV131064 PDQ131050:PDR131064 PNM131050:PNN131064 PXI131050:PXJ131064 QHE131050:QHF131064 QRA131050:QRB131064 RAW131050:RAX131064 RKS131050:RKT131064 RUO131050:RUP131064 SEK131050:SEL131064 SOG131050:SOH131064 SYC131050:SYD131064 THY131050:THZ131064 TRU131050:TRV131064 UBQ131050:UBR131064 ULM131050:ULN131064 UVI131050:UVJ131064 VFE131050:VFF131064 VPA131050:VPB131064 VYW131050:VYX131064 WIS131050:WIT131064 WSO131050:WSP131064 GC196586:GD196600 PY196586:PZ196600 ZU196586:ZV196600 AJQ196586:AJR196600 ATM196586:ATN196600 BDI196586:BDJ196600 BNE196586:BNF196600 BXA196586:BXB196600 CGW196586:CGX196600 CQS196586:CQT196600 DAO196586:DAP196600 DKK196586:DKL196600 DUG196586:DUH196600 EEC196586:EED196600 ENY196586:ENZ196600 EXU196586:EXV196600 FHQ196586:FHR196600 FRM196586:FRN196600 GBI196586:GBJ196600 GLE196586:GLF196600 GVA196586:GVB196600 HEW196586:HEX196600 HOS196586:HOT196600 HYO196586:HYP196600 IIK196586:IIL196600 ISG196586:ISH196600 JCC196586:JCD196600 JLY196586:JLZ196600 JVU196586:JVV196600 KFQ196586:KFR196600 KPM196586:KPN196600 KZI196586:KZJ196600 LJE196586:LJF196600 LTA196586:LTB196600 MCW196586:MCX196600 MMS196586:MMT196600 MWO196586:MWP196600 NGK196586:NGL196600 NQG196586:NQH196600 OAC196586:OAD196600 OJY196586:OJZ196600 OTU196586:OTV196600 PDQ196586:PDR196600 PNM196586:PNN196600 PXI196586:PXJ196600 QHE196586:QHF196600 QRA196586:QRB196600 RAW196586:RAX196600 RKS196586:RKT196600 RUO196586:RUP196600 SEK196586:SEL196600 SOG196586:SOH196600 SYC196586:SYD196600 THY196586:THZ196600 TRU196586:TRV196600 UBQ196586:UBR196600 ULM196586:ULN196600 UVI196586:UVJ196600 VFE196586:VFF196600 VPA196586:VPB196600 VYW196586:VYX196600 WIS196586:WIT196600 WSO196586:WSP196600 GC262122:GD262136 PY262122:PZ262136 ZU262122:ZV262136 AJQ262122:AJR262136 ATM262122:ATN262136 BDI262122:BDJ262136 BNE262122:BNF262136 BXA262122:BXB262136 CGW262122:CGX262136 CQS262122:CQT262136 DAO262122:DAP262136 DKK262122:DKL262136 DUG262122:DUH262136 EEC262122:EED262136 ENY262122:ENZ262136 EXU262122:EXV262136 FHQ262122:FHR262136 FRM262122:FRN262136 GBI262122:GBJ262136 GLE262122:GLF262136 GVA262122:GVB262136 HEW262122:HEX262136 HOS262122:HOT262136 HYO262122:HYP262136 IIK262122:IIL262136 ISG262122:ISH262136 JCC262122:JCD262136 JLY262122:JLZ262136 JVU262122:JVV262136 KFQ262122:KFR262136 KPM262122:KPN262136 KZI262122:KZJ262136 LJE262122:LJF262136 LTA262122:LTB262136 MCW262122:MCX262136 MMS262122:MMT262136 MWO262122:MWP262136 NGK262122:NGL262136 NQG262122:NQH262136 OAC262122:OAD262136 OJY262122:OJZ262136 OTU262122:OTV262136 PDQ262122:PDR262136 PNM262122:PNN262136 PXI262122:PXJ262136 QHE262122:QHF262136 QRA262122:QRB262136 RAW262122:RAX262136 RKS262122:RKT262136 RUO262122:RUP262136 SEK262122:SEL262136 SOG262122:SOH262136 SYC262122:SYD262136 THY262122:THZ262136 TRU262122:TRV262136 UBQ262122:UBR262136 ULM262122:ULN262136 UVI262122:UVJ262136 VFE262122:VFF262136 VPA262122:VPB262136 VYW262122:VYX262136 WIS262122:WIT262136 WSO262122:WSP262136 GC327658:GD327672 PY327658:PZ327672 ZU327658:ZV327672 AJQ327658:AJR327672 ATM327658:ATN327672 BDI327658:BDJ327672 BNE327658:BNF327672 BXA327658:BXB327672 CGW327658:CGX327672 CQS327658:CQT327672 DAO327658:DAP327672 DKK327658:DKL327672 DUG327658:DUH327672 EEC327658:EED327672 ENY327658:ENZ327672 EXU327658:EXV327672 FHQ327658:FHR327672 FRM327658:FRN327672 GBI327658:GBJ327672 GLE327658:GLF327672 GVA327658:GVB327672 HEW327658:HEX327672 HOS327658:HOT327672 HYO327658:HYP327672 IIK327658:IIL327672 ISG327658:ISH327672 JCC327658:JCD327672 JLY327658:JLZ327672 JVU327658:JVV327672 KFQ327658:KFR327672 KPM327658:KPN327672 KZI327658:KZJ327672 LJE327658:LJF327672 LTA327658:LTB327672 MCW327658:MCX327672 MMS327658:MMT327672 MWO327658:MWP327672 NGK327658:NGL327672 NQG327658:NQH327672 OAC327658:OAD327672 OJY327658:OJZ327672 OTU327658:OTV327672 PDQ327658:PDR327672 PNM327658:PNN327672 PXI327658:PXJ327672 QHE327658:QHF327672 QRA327658:QRB327672 RAW327658:RAX327672 RKS327658:RKT327672 RUO327658:RUP327672 SEK327658:SEL327672 SOG327658:SOH327672 SYC327658:SYD327672 THY327658:THZ327672 TRU327658:TRV327672 UBQ327658:UBR327672 ULM327658:ULN327672 UVI327658:UVJ327672 VFE327658:VFF327672 VPA327658:VPB327672 VYW327658:VYX327672 WIS327658:WIT327672 WSO327658:WSP327672 GC393194:GD393208 PY393194:PZ393208 ZU393194:ZV393208 AJQ393194:AJR393208 ATM393194:ATN393208 BDI393194:BDJ393208 BNE393194:BNF393208 BXA393194:BXB393208 CGW393194:CGX393208 CQS393194:CQT393208 DAO393194:DAP393208 DKK393194:DKL393208 DUG393194:DUH393208 EEC393194:EED393208 ENY393194:ENZ393208 EXU393194:EXV393208 FHQ393194:FHR393208 FRM393194:FRN393208 GBI393194:GBJ393208 GLE393194:GLF393208 GVA393194:GVB393208 HEW393194:HEX393208 HOS393194:HOT393208 HYO393194:HYP393208 IIK393194:IIL393208 ISG393194:ISH393208 JCC393194:JCD393208 JLY393194:JLZ393208 JVU393194:JVV393208 KFQ393194:KFR393208 KPM393194:KPN393208 KZI393194:KZJ393208 LJE393194:LJF393208 LTA393194:LTB393208 MCW393194:MCX393208 MMS393194:MMT393208 MWO393194:MWP393208 NGK393194:NGL393208 NQG393194:NQH393208 OAC393194:OAD393208 OJY393194:OJZ393208 OTU393194:OTV393208 PDQ393194:PDR393208 PNM393194:PNN393208 PXI393194:PXJ393208 QHE393194:QHF393208 QRA393194:QRB393208 RAW393194:RAX393208 RKS393194:RKT393208 RUO393194:RUP393208 SEK393194:SEL393208 SOG393194:SOH393208 SYC393194:SYD393208 THY393194:THZ393208 TRU393194:TRV393208 UBQ393194:UBR393208 ULM393194:ULN393208 UVI393194:UVJ393208 VFE393194:VFF393208 VPA393194:VPB393208 VYW393194:VYX393208 WIS393194:WIT393208 WSO393194:WSP393208 GC458730:GD458744 PY458730:PZ458744 ZU458730:ZV458744 AJQ458730:AJR458744 ATM458730:ATN458744 BDI458730:BDJ458744 BNE458730:BNF458744 BXA458730:BXB458744 CGW458730:CGX458744 CQS458730:CQT458744 DAO458730:DAP458744 DKK458730:DKL458744 DUG458730:DUH458744 EEC458730:EED458744 ENY458730:ENZ458744 EXU458730:EXV458744 FHQ458730:FHR458744 FRM458730:FRN458744 GBI458730:GBJ458744 GLE458730:GLF458744 GVA458730:GVB458744 HEW458730:HEX458744 HOS458730:HOT458744 HYO458730:HYP458744 IIK458730:IIL458744 ISG458730:ISH458744 JCC458730:JCD458744 JLY458730:JLZ458744 JVU458730:JVV458744 KFQ458730:KFR458744 KPM458730:KPN458744 KZI458730:KZJ458744 LJE458730:LJF458744 LTA458730:LTB458744 MCW458730:MCX458744 MMS458730:MMT458744 MWO458730:MWP458744 NGK458730:NGL458744 NQG458730:NQH458744 OAC458730:OAD458744 OJY458730:OJZ458744 OTU458730:OTV458744 PDQ458730:PDR458744 PNM458730:PNN458744 PXI458730:PXJ458744 QHE458730:QHF458744 QRA458730:QRB458744 RAW458730:RAX458744 RKS458730:RKT458744 RUO458730:RUP458744 SEK458730:SEL458744 SOG458730:SOH458744 SYC458730:SYD458744 THY458730:THZ458744 TRU458730:TRV458744 UBQ458730:UBR458744 ULM458730:ULN458744 UVI458730:UVJ458744 VFE458730:VFF458744 VPA458730:VPB458744 VYW458730:VYX458744 WIS458730:WIT458744 WSO458730:WSP458744 GC524266:GD524280 PY524266:PZ524280 ZU524266:ZV524280 AJQ524266:AJR524280 ATM524266:ATN524280 BDI524266:BDJ524280 BNE524266:BNF524280 BXA524266:BXB524280 CGW524266:CGX524280 CQS524266:CQT524280 DAO524266:DAP524280 DKK524266:DKL524280 DUG524266:DUH524280 EEC524266:EED524280 ENY524266:ENZ524280 EXU524266:EXV524280 FHQ524266:FHR524280 FRM524266:FRN524280 GBI524266:GBJ524280 GLE524266:GLF524280 GVA524266:GVB524280 HEW524266:HEX524280 HOS524266:HOT524280 HYO524266:HYP524280 IIK524266:IIL524280 ISG524266:ISH524280 JCC524266:JCD524280 JLY524266:JLZ524280 JVU524266:JVV524280 KFQ524266:KFR524280 KPM524266:KPN524280 KZI524266:KZJ524280 LJE524266:LJF524280 LTA524266:LTB524280 MCW524266:MCX524280 MMS524266:MMT524280 MWO524266:MWP524280 NGK524266:NGL524280 NQG524266:NQH524280 OAC524266:OAD524280 OJY524266:OJZ524280 OTU524266:OTV524280 PDQ524266:PDR524280 PNM524266:PNN524280 PXI524266:PXJ524280 QHE524266:QHF524280 QRA524266:QRB524280 RAW524266:RAX524280 RKS524266:RKT524280 RUO524266:RUP524280 SEK524266:SEL524280 SOG524266:SOH524280 SYC524266:SYD524280 THY524266:THZ524280 TRU524266:TRV524280 UBQ524266:UBR524280 ULM524266:ULN524280 UVI524266:UVJ524280 VFE524266:VFF524280 VPA524266:VPB524280 VYW524266:VYX524280 WIS524266:WIT524280 WSO524266:WSP524280 GC589802:GD589816 PY589802:PZ589816 ZU589802:ZV589816 AJQ589802:AJR589816 ATM589802:ATN589816 BDI589802:BDJ589816 BNE589802:BNF589816 BXA589802:BXB589816 CGW589802:CGX589816 CQS589802:CQT589816 DAO589802:DAP589816 DKK589802:DKL589816 DUG589802:DUH589816 EEC589802:EED589816 ENY589802:ENZ589816 EXU589802:EXV589816 FHQ589802:FHR589816 FRM589802:FRN589816 GBI589802:GBJ589816 GLE589802:GLF589816 GVA589802:GVB589816 HEW589802:HEX589816 HOS589802:HOT589816 HYO589802:HYP589816 IIK589802:IIL589816 ISG589802:ISH589816 JCC589802:JCD589816 JLY589802:JLZ589816 JVU589802:JVV589816 KFQ589802:KFR589816 KPM589802:KPN589816 KZI589802:KZJ589816 LJE589802:LJF589816 LTA589802:LTB589816 MCW589802:MCX589816 MMS589802:MMT589816 MWO589802:MWP589816 NGK589802:NGL589816 NQG589802:NQH589816 OAC589802:OAD589816 OJY589802:OJZ589816 OTU589802:OTV589816 PDQ589802:PDR589816 PNM589802:PNN589816 PXI589802:PXJ589816 QHE589802:QHF589816 QRA589802:QRB589816 RAW589802:RAX589816 RKS589802:RKT589816 RUO589802:RUP589816 SEK589802:SEL589816 SOG589802:SOH589816 SYC589802:SYD589816 THY589802:THZ589816 TRU589802:TRV589816 UBQ589802:UBR589816 ULM589802:ULN589816 UVI589802:UVJ589816 VFE589802:VFF589816 VPA589802:VPB589816 VYW589802:VYX589816 WIS589802:WIT589816 WSO589802:WSP589816 GC655338:GD655352 PY655338:PZ655352 ZU655338:ZV655352 AJQ655338:AJR655352 ATM655338:ATN655352 BDI655338:BDJ655352 BNE655338:BNF655352 BXA655338:BXB655352 CGW655338:CGX655352 CQS655338:CQT655352 DAO655338:DAP655352 DKK655338:DKL655352 DUG655338:DUH655352 EEC655338:EED655352 ENY655338:ENZ655352 EXU655338:EXV655352 FHQ655338:FHR655352 FRM655338:FRN655352 GBI655338:GBJ655352 GLE655338:GLF655352 GVA655338:GVB655352 HEW655338:HEX655352 HOS655338:HOT655352 HYO655338:HYP655352 IIK655338:IIL655352 ISG655338:ISH655352 JCC655338:JCD655352 JLY655338:JLZ655352 JVU655338:JVV655352 KFQ655338:KFR655352 KPM655338:KPN655352 KZI655338:KZJ655352 LJE655338:LJF655352 LTA655338:LTB655352 MCW655338:MCX655352 MMS655338:MMT655352 MWO655338:MWP655352 NGK655338:NGL655352 NQG655338:NQH655352 OAC655338:OAD655352 OJY655338:OJZ655352 OTU655338:OTV655352 PDQ655338:PDR655352 PNM655338:PNN655352 PXI655338:PXJ655352 QHE655338:QHF655352 QRA655338:QRB655352 RAW655338:RAX655352 RKS655338:RKT655352 RUO655338:RUP655352 SEK655338:SEL655352 SOG655338:SOH655352 SYC655338:SYD655352 THY655338:THZ655352 TRU655338:TRV655352 UBQ655338:UBR655352 ULM655338:ULN655352 UVI655338:UVJ655352 VFE655338:VFF655352 VPA655338:VPB655352 VYW655338:VYX655352 WIS655338:WIT655352 WSO655338:WSP655352 GC720874:GD720888 PY720874:PZ720888 ZU720874:ZV720888 AJQ720874:AJR720888 ATM720874:ATN720888 BDI720874:BDJ720888 BNE720874:BNF720888 BXA720874:BXB720888 CGW720874:CGX720888 CQS720874:CQT720888 DAO720874:DAP720888 DKK720874:DKL720888 DUG720874:DUH720888 EEC720874:EED720888 ENY720874:ENZ720888 EXU720874:EXV720888 FHQ720874:FHR720888 FRM720874:FRN720888 GBI720874:GBJ720888 GLE720874:GLF720888 GVA720874:GVB720888 HEW720874:HEX720888 HOS720874:HOT720888 HYO720874:HYP720888 IIK720874:IIL720888 ISG720874:ISH720888 JCC720874:JCD720888 JLY720874:JLZ720888 JVU720874:JVV720888 KFQ720874:KFR720888 KPM720874:KPN720888 KZI720874:KZJ720888 LJE720874:LJF720888 LTA720874:LTB720888 MCW720874:MCX720888 MMS720874:MMT720888 MWO720874:MWP720888 NGK720874:NGL720888 NQG720874:NQH720888 OAC720874:OAD720888 OJY720874:OJZ720888 OTU720874:OTV720888 PDQ720874:PDR720888 PNM720874:PNN720888 PXI720874:PXJ720888 QHE720874:QHF720888 QRA720874:QRB720888 RAW720874:RAX720888 RKS720874:RKT720888 RUO720874:RUP720888 SEK720874:SEL720888 SOG720874:SOH720888 SYC720874:SYD720888 THY720874:THZ720888 TRU720874:TRV720888 UBQ720874:UBR720888 ULM720874:ULN720888 UVI720874:UVJ720888 VFE720874:VFF720888 VPA720874:VPB720888 VYW720874:VYX720888 WIS720874:WIT720888 WSO720874:WSP720888 GC786410:GD786424 PY786410:PZ786424 ZU786410:ZV786424 AJQ786410:AJR786424 ATM786410:ATN786424 BDI786410:BDJ786424 BNE786410:BNF786424 BXA786410:BXB786424 CGW786410:CGX786424 CQS786410:CQT786424 DAO786410:DAP786424 DKK786410:DKL786424 DUG786410:DUH786424 EEC786410:EED786424 ENY786410:ENZ786424 EXU786410:EXV786424 FHQ786410:FHR786424 FRM786410:FRN786424 GBI786410:GBJ786424 GLE786410:GLF786424 GVA786410:GVB786424 HEW786410:HEX786424 HOS786410:HOT786424 HYO786410:HYP786424 IIK786410:IIL786424 ISG786410:ISH786424 JCC786410:JCD786424 JLY786410:JLZ786424 JVU786410:JVV786424 KFQ786410:KFR786424 KPM786410:KPN786424 KZI786410:KZJ786424 LJE786410:LJF786424 LTA786410:LTB786424 MCW786410:MCX786424 MMS786410:MMT786424 MWO786410:MWP786424 NGK786410:NGL786424 NQG786410:NQH786424 OAC786410:OAD786424 OJY786410:OJZ786424 OTU786410:OTV786424 PDQ786410:PDR786424 PNM786410:PNN786424 PXI786410:PXJ786424 QHE786410:QHF786424 QRA786410:QRB786424 RAW786410:RAX786424 RKS786410:RKT786424 RUO786410:RUP786424 SEK786410:SEL786424 SOG786410:SOH786424 SYC786410:SYD786424 THY786410:THZ786424 TRU786410:TRV786424 UBQ786410:UBR786424 ULM786410:ULN786424 UVI786410:UVJ786424 VFE786410:VFF786424 VPA786410:VPB786424 VYW786410:VYX786424 WIS786410:WIT786424 WSO786410:WSP786424 GC851946:GD851960 PY851946:PZ851960 ZU851946:ZV851960 AJQ851946:AJR851960 ATM851946:ATN851960 BDI851946:BDJ851960 BNE851946:BNF851960 BXA851946:BXB851960 CGW851946:CGX851960 CQS851946:CQT851960 DAO851946:DAP851960 DKK851946:DKL851960 DUG851946:DUH851960 EEC851946:EED851960 ENY851946:ENZ851960 EXU851946:EXV851960 FHQ851946:FHR851960 FRM851946:FRN851960 GBI851946:GBJ851960 GLE851946:GLF851960 GVA851946:GVB851960 HEW851946:HEX851960 HOS851946:HOT851960 HYO851946:HYP851960 IIK851946:IIL851960 ISG851946:ISH851960 JCC851946:JCD851960 JLY851946:JLZ851960 JVU851946:JVV851960 KFQ851946:KFR851960 KPM851946:KPN851960 KZI851946:KZJ851960 LJE851946:LJF851960 LTA851946:LTB851960 MCW851946:MCX851960 MMS851946:MMT851960 MWO851946:MWP851960 NGK851946:NGL851960 NQG851946:NQH851960 OAC851946:OAD851960 OJY851946:OJZ851960 OTU851946:OTV851960 PDQ851946:PDR851960 PNM851946:PNN851960 PXI851946:PXJ851960 QHE851946:QHF851960 QRA851946:QRB851960 RAW851946:RAX851960 RKS851946:RKT851960 RUO851946:RUP851960 SEK851946:SEL851960 SOG851946:SOH851960 SYC851946:SYD851960 THY851946:THZ851960 TRU851946:TRV851960 UBQ851946:UBR851960 ULM851946:ULN851960 UVI851946:UVJ851960 VFE851946:VFF851960 VPA851946:VPB851960 VYW851946:VYX851960 WIS851946:WIT851960 WSO851946:WSP851960 GC917482:GD917496 PY917482:PZ917496 ZU917482:ZV917496 AJQ917482:AJR917496 ATM917482:ATN917496 BDI917482:BDJ917496 BNE917482:BNF917496 BXA917482:BXB917496 CGW917482:CGX917496 CQS917482:CQT917496 DAO917482:DAP917496 DKK917482:DKL917496 DUG917482:DUH917496 EEC917482:EED917496 ENY917482:ENZ917496 EXU917482:EXV917496 FHQ917482:FHR917496 FRM917482:FRN917496 GBI917482:GBJ917496 GLE917482:GLF917496 GVA917482:GVB917496 HEW917482:HEX917496 HOS917482:HOT917496 HYO917482:HYP917496 IIK917482:IIL917496 ISG917482:ISH917496 JCC917482:JCD917496 JLY917482:JLZ917496 JVU917482:JVV917496 KFQ917482:KFR917496 KPM917482:KPN917496 KZI917482:KZJ917496 LJE917482:LJF917496 LTA917482:LTB917496 MCW917482:MCX917496 MMS917482:MMT917496 MWO917482:MWP917496 NGK917482:NGL917496 NQG917482:NQH917496 OAC917482:OAD917496 OJY917482:OJZ917496 OTU917482:OTV917496 PDQ917482:PDR917496 PNM917482:PNN917496 PXI917482:PXJ917496 QHE917482:QHF917496 QRA917482:QRB917496 RAW917482:RAX917496 RKS917482:RKT917496 RUO917482:RUP917496 SEK917482:SEL917496 SOG917482:SOH917496 SYC917482:SYD917496 THY917482:THZ917496 TRU917482:TRV917496 UBQ917482:UBR917496 ULM917482:ULN917496 UVI917482:UVJ917496 VFE917482:VFF917496 VPA917482:VPB917496 VYW917482:VYX917496 WIS917482:WIT917496 WSO917482:WSP917496 GC983018:GD983032 PY983018:PZ983032 ZU983018:ZV983032 AJQ983018:AJR983032 ATM983018:ATN983032 BDI983018:BDJ983032 BNE983018:BNF983032 BXA983018:BXB983032 CGW983018:CGX983032 CQS983018:CQT983032 DAO983018:DAP983032 DKK983018:DKL983032 DUG983018:DUH983032 EEC983018:EED983032 ENY983018:ENZ983032 EXU983018:EXV983032 FHQ983018:FHR983032 FRM983018:FRN983032 GBI983018:GBJ983032 GLE983018:GLF983032 GVA983018:GVB983032 HEW983018:HEX983032 HOS983018:HOT983032 HYO983018:HYP983032 IIK983018:IIL983032 ISG983018:ISH983032 JCC983018:JCD983032 JLY983018:JLZ983032 JVU983018:JVV983032 KFQ983018:KFR983032 KPM983018:KPN983032 KZI983018:KZJ983032 LJE983018:LJF983032 LTA983018:LTB983032 MCW983018:MCX983032 MMS983018:MMT983032 MWO983018:MWP983032 NGK983018:NGL983032 NQG983018:NQH983032 OAC983018:OAD983032 OJY983018:OJZ983032 OTU983018:OTV983032 PDQ983018:PDR983032 PNM983018:PNN983032 PXI983018:PXJ983032 QHE983018:QHF983032 QRA983018:QRB983032 RAW983018:RAX983032 RKS983018:RKT983032 RUO983018:RUP983032 SEK983018:SEL983032 SOG983018:SOH983032 SYC983018:SYD983032 THY983018:THZ983032 TRU983018:TRV983032 UBQ983018:UBR983032 ULM983018:ULN983032 UVI983018:UVJ983032 VFE983018:VFF983032 VPA983018:VPB983032 VYW983018:VYX983032 WIS983018:WIT983032 GC6:GD16 PY6:PZ16 ZU6:ZV16 AJQ6:AJR16 ATM6:ATN16 BDI6:BDJ16 BNE6:BNF16 BXA6:BXB16 CGW6:CGX16 CQS6:CQT16 DAO6:DAP16 DKK6:DKL16 DUG6:DUH16 EEC6:EED16 ENY6:ENZ16 EXU6:EXV16 FHQ6:FHR16 FRM6:FRN16 GBI6:GBJ16 GLE6:GLF16 GVA6:GVB16 HEW6:HEX16 HOS6:HOT16 HYO6:HYP16 IIK6:IIL16 ISG6:ISH16 JCC6:JCD16 JLY6:JLZ16 JVU6:JVV16 KFQ6:KFR16 KPM6:KPN16 KZI6:KZJ16 LJE6:LJF16 LTA6:LTB16 MCW6:MCX16 MMS6:MMT16 MWO6:MWP16 NGK6:NGL16 NQG6:NQH16 OAC6:OAD16 OJY6:OJZ16 OTU6:OTV16 PDQ6:PDR16 PNM6:PNN16 PXI6:PXJ16 QHE6:QHF16 QRA6:QRB16 RAW6:RAX16 RKS6:RKT16 RUO6:RUP16 SEK6:SEL16 SOG6:SOH16 SYC6:SYD16 THY6:THZ16 TRU6:TRV16 UBQ6:UBR16 ULM6:ULN16 UVI6:UVJ16 VFE6:VFF16 VPA6:VPB16 VYW6:VYX16 WIS6:WIT16 WSO6:WSP16 GC31:GD35 PY31:PZ35 ZU31:ZV35 AJQ31:AJR35 ATM31:ATN35 BDI31:BDJ35 BNE31:BNF35 BXA31:BXB35 CGW31:CGX35 CQS31:CQT35 DAO31:DAP35 DKK31:DKL35 DUG31:DUH35 EEC31:EED35 ENY31:ENZ35 EXU31:EXV35 FHQ31:FHR35 FRM31:FRN35 GBI31:GBJ35 GLE31:GLF35 GVA31:GVB35 HEW31:HEX35 HOS31:HOT35 HYO31:HYP35 IIK31:IIL35 ISG31:ISH35 JCC31:JCD35 JLY31:JLZ35 JVU31:JVV35 KFQ31:KFR35 KPM31:KPN35 KZI31:KZJ35 LJE31:LJF35 LTA31:LTB35 MCW31:MCX35 MMS31:MMT35 MWO31:MWP35 NGK31:NGL35 NQG31:NQH35 OAC31:OAD35 OJY31:OJZ35 OTU31:OTV35 PDQ31:PDR35 PNM31:PNN35 PXI31:PXJ35 QHE31:QHF35 QRA31:QRB35 RAW31:RAX35 RKS31:RKT35 RUO31:RUP35 SEK31:SEL35 SOG31:SOH35 SYC31:SYD35 THY31:THZ35 TRU31:TRV35 UBQ31:UBR35 ULM31:ULN35 UVI31:UVJ35 VFE31:VFF35 VPA31:VPB35 VYW31:VYX35 WIS31:WIT35 WSO31:WSP35 GC51:GD55 PY51:PZ55 ZU51:ZV55 AJQ51:AJR55 ATM51:ATN55 BDI51:BDJ55 BNE51:BNF55 BXA51:BXB55 CGW51:CGX55 CQS51:CQT55 DAO51:DAP55 DKK51:DKL55 DUG51:DUH55 EEC51:EED55 ENY51:ENZ55 EXU51:EXV55 FHQ51:FHR55 FRM51:FRN55 GBI51:GBJ55 GLE51:GLF55 GVA51:GVB55 HEW51:HEX55 HOS51:HOT55 HYO51:HYP55 IIK51:IIL55 ISG51:ISH55 JCC51:JCD55 JLY51:JLZ55 JVU51:JVV55 KFQ51:KFR55 KPM51:KPN55 KZI51:KZJ55 LJE51:LJF55 LTA51:LTB55 MCW51:MCX55 MMS51:MMT55 MWO51:MWP55 NGK51:NGL55 NQG51:NQH55 OAC51:OAD55 OJY51:OJZ55 OTU51:OTV55 PDQ51:PDR55 PNM51:PNN55 PXI51:PXJ55 QHE51:QHF55 QRA51:QRB55 RAW51:RAX55 RKS51:RKT55 RUO51:RUP55 SEK51:SEL55 SOG51:SOH55 SYC51:SYD55 THY51:THZ55 TRU51:TRV55 UBQ51:UBR55 ULM51:ULN55 UVI51:UVJ55 VFE51:VFF55 VPA51:VPB55 VYW51:VYX55 WIS51:WIT55 WSO51:WSP55 GC71:GD75 PY71:PZ75 ZU71:ZV75 AJQ71:AJR75 ATM71:ATN75 BDI71:BDJ75 BNE71:BNF75 BXA71:BXB75 CGW71:CGX75 CQS71:CQT75 DAO71:DAP75 DKK71:DKL75 DUG71:DUH75 EEC71:EED75 ENY71:ENZ75 EXU71:EXV75 FHQ71:FHR75 FRM71:FRN75 GBI71:GBJ75 GLE71:GLF75 GVA71:GVB75 HEW71:HEX75 HOS71:HOT75 HYO71:HYP75 IIK71:IIL75 ISG71:ISH75 JCC71:JCD75 JLY71:JLZ75 JVU71:JVV75 KFQ71:KFR75 KPM71:KPN75 KZI71:KZJ75 LJE71:LJF75 LTA71:LTB75 MCW71:MCX75 MMS71:MMT75 MWO71:MWP75 NGK71:NGL75 NQG71:NQH75 OAC71:OAD75 OJY71:OJZ75 OTU71:OTV75 PDQ71:PDR75 PNM71:PNN75 PXI71:PXJ75 QHE71:QHF75 QRA71:QRB75 RAW71:RAX75 RKS71:RKT75 RUO71:RUP75 SEK71:SEL75 SOG71:SOH75 SYC71:SYD75 THY71:THZ75 TRU71:TRV75 UBQ71:UBR75 ULM71:ULN75 UVI71:UVJ75 VFE71:VFF75 VPA71:VPB75 VYW71:VYX75 WIS71:WIT75 WSO71:WSP75 GC91:GD95 PY91:PZ95 ZU91:ZV95 AJQ91:AJR95 ATM91:ATN95 BDI91:BDJ95 BNE91:BNF95 BXA91:BXB95 CGW91:CGX95 CQS91:CQT95 DAO91:DAP95 DKK91:DKL95 DUG91:DUH95 EEC91:EED95 ENY91:ENZ95 EXU91:EXV95 FHQ91:FHR95 FRM91:FRN95 GBI91:GBJ95 GLE91:GLF95 GVA91:GVB95 HEW91:HEX95 HOS91:HOT95 HYO91:HYP95 IIK91:IIL95 ISG91:ISH95 JCC91:JCD95 JLY91:JLZ95 JVU91:JVV95 KFQ91:KFR95 KPM91:KPN95 KZI91:KZJ95 LJE91:LJF95 LTA91:LTB95 MCW91:MCX95 MMS91:MMT95 MWO91:MWP95 NGK91:NGL95 NQG91:NQH95 OAC91:OAD95 OJY91:OJZ95 OTU91:OTV95 PDQ91:PDR95 PNM91:PNN95 PXI91:PXJ95 QHE91:QHF95 QRA91:QRB95 RAW91:RAX95 RKS91:RKT95 RUO91:RUP95 SEK91:SEL95 SOG91:SOH95 SYC91:SYD95 THY91:THZ95 TRU91:TRV95 UBQ91:UBR95 ULM91:ULN95 UVI91:UVJ95 VFE91:VFF95 VPA91:VPB95 VYW91:VYX95 WIS91:WIT95 WSO91:WSP95 GC110:GD114 PY110:PZ114 ZU110:ZV114 AJQ110:AJR114 ATM110:ATN114 BDI110:BDJ114 BNE110:BNF114 BXA110:BXB114 CGW110:CGX114 CQS110:CQT114 DAO110:DAP114 DKK110:DKL114 DUG110:DUH114 EEC110:EED114 ENY110:ENZ114 EXU110:EXV114 FHQ110:FHR114 FRM110:FRN114 GBI110:GBJ114 GLE110:GLF114 GVA110:GVB114 HEW110:HEX114 HOS110:HOT114 HYO110:HYP114 IIK110:IIL114 ISG110:ISH114 JCC110:JCD114 JLY110:JLZ114 JVU110:JVV114 KFQ110:KFR114 KPM110:KPN114 KZI110:KZJ114 LJE110:LJF114 LTA110:LTB114 MCW110:MCX114 MMS110:MMT114 MWO110:MWP114 NGK110:NGL114 NQG110:NQH114 OAC110:OAD114 OJY110:OJZ114 OTU110:OTV114 PDQ110:PDR114 PNM110:PNN114 PXI110:PXJ114 QHE110:QHF114 QRA110:QRB114 RAW110:RAX114 RKS110:RKT114 RUO110:RUP114 SEK110:SEL114 SOG110:SOH114 SYC110:SYD114 THY110:THZ114 TRU110:TRV114 UBQ110:UBR114 ULM110:ULN114 UVI110:UVJ114 VFE110:VFF114 VPA110:VPB114 VYW110:VYX114 WIS110:WIT114 WSO110:WSP114"/>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EVCTUWYQZQYC-538864054-23885</_dlc_DocId>
    <_dlc_DocIdUrl xmlns="276bdb53-d102-4a67-8437-273e78fbb7dc">
      <Url>https://mitsubishielectricgroup.sharepoint.com/sites/009989/_layouts/15/DocIdRedir.aspx?ID=EVCTUWYQZQYC-538864054-23885</Url>
      <Description>EVCTUWYQZQYC-538864054-23885</Description>
    </_dlc_DocIdUrl>
  </documentManagement>
</p:properties>
</file>

<file path=customXml/itemProps1.xml><?xml version="1.0" encoding="utf-8"?>
<ds:datastoreItem xmlns:ds="http://schemas.openxmlformats.org/officeDocument/2006/customXml" ds:itemID="{B1A31543-AED1-4DA1-9F41-0A39B83C868B}"/>
</file>

<file path=customXml/itemProps2.xml><?xml version="1.0" encoding="utf-8"?>
<ds:datastoreItem xmlns:ds="http://schemas.openxmlformats.org/officeDocument/2006/customXml" ds:itemID="{2660D9A0-89E5-4534-B734-2DBCE96A271F}"/>
</file>

<file path=customXml/itemProps3.xml><?xml version="1.0" encoding="utf-8"?>
<ds:datastoreItem xmlns:ds="http://schemas.openxmlformats.org/officeDocument/2006/customXml" ds:itemID="{FB6CAEE3-D550-40B8-A196-120FA1ECEE97}"/>
</file>

<file path=customXml/itemProps4.xml><?xml version="1.0" encoding="utf-8"?>
<ds:datastoreItem xmlns:ds="http://schemas.openxmlformats.org/officeDocument/2006/customXml" ds:itemID="{D6AFA2D9-214B-4801-9FDF-C878897F3D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42</vt:i4>
      </vt:variant>
    </vt:vector>
  </HeadingPairs>
  <TitlesOfParts>
    <vt:vector size="60" baseType="lpstr">
      <vt:lpstr>表紙</vt:lpstr>
      <vt:lpstr>来歴</vt:lpstr>
      <vt:lpstr>承認票</vt:lpstr>
      <vt:lpstr>レビュー記録</vt:lpstr>
      <vt:lpstr>機能概要</vt:lpstr>
      <vt:lpstr>レイアウト</vt:lpstr>
      <vt:lpstr>操作種別・検索モード仕様</vt:lpstr>
      <vt:lpstr>項目仕様</vt:lpstr>
      <vt:lpstr>機能関連図</vt:lpstr>
      <vt:lpstr>処理・サービス関連図</vt:lpstr>
      <vt:lpstr>検索入出力仕様</vt:lpstr>
      <vt:lpstr>更新入出力仕様</vt:lpstr>
      <vt:lpstr>画面遷移</vt:lpstr>
      <vt:lpstr>補助説明</vt:lpstr>
      <vt:lpstr>処理フロー</vt:lpstr>
      <vt:lpstr>処理詳細</vt:lpstr>
      <vt:lpstr>サービス呼出仕様</vt:lpstr>
      <vt:lpstr>電文項目仕様</vt:lpstr>
      <vt:lpstr>サービス呼出仕様!Print_Area</vt:lpstr>
      <vt:lpstr>レビュー記録!Print_Area</vt:lpstr>
      <vt:lpstr>機能概要!Print_Area</vt:lpstr>
      <vt:lpstr>機能関連図!Print_Area</vt:lpstr>
      <vt:lpstr>項目仕様!Print_Area</vt:lpstr>
      <vt:lpstr>処理・サービス関連図!Print_Area</vt:lpstr>
      <vt:lpstr>処理詳細!Print_Area</vt:lpstr>
      <vt:lpstr>承認票!Print_Area</vt:lpstr>
      <vt:lpstr>操作種別・検索モード仕様!Print_Area</vt:lpstr>
      <vt:lpstr>電文項目仕様!Print_Area</vt:lpstr>
      <vt:lpstr>表紙!Print_Area</vt:lpstr>
      <vt:lpstr>補助説明!Print_Area</vt:lpstr>
      <vt:lpstr>来歴!Print_Area</vt:lpstr>
      <vt:lpstr>サービス呼出仕様!Print_Titles</vt:lpstr>
      <vt:lpstr>レイアウト!Print_Titles</vt:lpstr>
      <vt:lpstr>レビュー記録!Print_Titles</vt:lpstr>
      <vt:lpstr>画面遷移!Print_Titles</vt:lpstr>
      <vt:lpstr>機能概要!Print_Titles</vt:lpstr>
      <vt:lpstr>検索入出力仕様!Print_Titles</vt:lpstr>
      <vt:lpstr>更新入出力仕様!Print_Titles</vt:lpstr>
      <vt:lpstr>項目仕様!Print_Titles</vt:lpstr>
      <vt:lpstr>処理詳細!Print_Titles</vt:lpstr>
      <vt:lpstr>承認票!Print_Titles</vt:lpstr>
      <vt:lpstr>操作種別・検索モード仕様!Print_Titles</vt:lpstr>
      <vt:lpstr>電文項目仕様!Print_Titles</vt:lpstr>
      <vt:lpstr>補助説明!Print_Titles</vt:lpstr>
      <vt:lpstr>来歴!Print_Titles</vt:lpstr>
      <vt:lpstr>Rev</vt:lpstr>
      <vt:lpstr>Version</vt:lpstr>
      <vt:lpstr>サブシステム</vt:lpstr>
      <vt:lpstr>システム</vt:lpstr>
      <vt:lpstr>プロジェクト名</vt:lpstr>
      <vt:lpstr>機能ID</vt:lpstr>
      <vt:lpstr>機能名</vt:lpstr>
      <vt:lpstr>顧客名</vt:lpstr>
      <vt:lpstr>作成者</vt:lpstr>
      <vt:lpstr>作成日</vt:lpstr>
      <vt:lpstr>修正者</vt:lpstr>
      <vt:lpstr>修正日</vt:lpstr>
      <vt:lpstr>分類ID</vt:lpstr>
      <vt:lpstr>分類名</vt:lpstr>
      <vt:lpstr>文書番号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Itou Keita</cp:lastModifiedBy>
  <cp:lastPrinted>2019-09-03T07:34:42Z</cp:lastPrinted>
  <dcterms:created xsi:type="dcterms:W3CDTF">1997-01-08T22:48:59Z</dcterms:created>
  <dcterms:modified xsi:type="dcterms:W3CDTF">2019-10-09T08:13:11Z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4deb4594-2fd6-4eee-ba99-ae13276659b8</vt:lpwstr>
  </property>
</Properties>
</file>