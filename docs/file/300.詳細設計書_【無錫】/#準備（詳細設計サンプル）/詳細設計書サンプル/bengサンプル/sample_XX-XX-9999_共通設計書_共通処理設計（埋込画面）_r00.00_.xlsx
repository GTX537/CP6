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drawings/drawing7.xml" ContentType="application/vnd.openxmlformats-officedocument.drawing+xml"/>
  <Override PartName="/xl/worksheets/sheet1.xml" ContentType="application/vnd.openxmlformats-officedocument.spreadsheetml.worksheet+xml"/>
  <Override PartName="/xl/drawings/drawing6.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drawings/drawing5.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keita-itou\Desktop\【共通T作業】\mDOC\svn\branches\V1.1\sample\"/>
    </mc:Choice>
  </mc:AlternateContent>
  <bookViews>
    <workbookView xWindow="19695" yWindow="105" windowWidth="15645" windowHeight="7440" tabRatio="759" activeTab="3"/>
  </bookViews>
  <sheets>
    <sheet name="表紙" sheetId="1" r:id="rId1"/>
    <sheet name="来歴" sheetId="79" r:id="rId2"/>
    <sheet name="承認票" sheetId="80" r:id="rId3"/>
    <sheet name="レビュー記録" sheetId="83" r:id="rId4"/>
    <sheet name="一覧（ヘッダ）" sheetId="81" r:id="rId5"/>
    <sheet name="一覧（明細）" sheetId="82" r:id="rId6"/>
    <sheet name="レイアウト素材" sheetId="24" state="hidden" r:id="rId7"/>
  </sheets>
  <externalReferences>
    <externalReference r:id="rId8"/>
  </externalReferences>
  <definedNames>
    <definedName name="_xlnm._FilterDatabase" localSheetId="4" hidden="1">'一覧（ヘッダ）'!$B$4:$F$12</definedName>
    <definedName name="_xlnm._FilterDatabase" localSheetId="5" hidden="1">'一覧（明細）'!$B$5:$F$12</definedName>
    <definedName name="_xlnm.Print_Area" localSheetId="3">レビュー記録!$A$1:$I$47</definedName>
    <definedName name="_xlnm.Print_Area" localSheetId="4">'一覧（ヘッダ）'!$B$1:$F$12</definedName>
    <definedName name="_xlnm.Print_Area" localSheetId="5">'一覧（明細）'!$B$1:$F$12</definedName>
    <definedName name="_xlnm.Print_Area" localSheetId="2">承認票!$A$1:$I$47</definedName>
    <definedName name="_xlnm.Print_Area" localSheetId="0">表紙!$A$1:$AX$40</definedName>
    <definedName name="_xlnm.Print_Area" localSheetId="1">来歴!$A$1:$F$40</definedName>
    <definedName name="_xlnm.Print_Titles" localSheetId="3">レビュー記録!$4:$6</definedName>
    <definedName name="_xlnm.Print_Titles" localSheetId="4">'一覧（ヘッダ）'!$1:$5</definedName>
    <definedName name="_xlnm.Print_Titles" localSheetId="5">'一覧（明細）'!$1:$5</definedName>
    <definedName name="_xlnm.Print_Titles" localSheetId="2">承認票!$4:$6</definedName>
    <definedName name="_xlnm.Print_Titles" localSheetId="1">来歴!$4:$5</definedName>
    <definedName name="Rev">表紙!$G$60</definedName>
    <definedName name="Version">表紙!$G$50</definedName>
    <definedName name="サブシステム">表紙!$G$51</definedName>
    <definedName name="システム">表紙!$G$49</definedName>
    <definedName name="プロジェクト名">表紙!$G$48</definedName>
    <definedName name="機能ID">表紙!$G$53</definedName>
    <definedName name="機能名">表紙!$G$55</definedName>
    <definedName name="顧客名">表紙!$G$47</definedName>
    <definedName name="作成者">表紙!$G$56</definedName>
    <definedName name="作成日">表紙!$G$58</definedName>
    <definedName name="修正者">表紙!$G$57</definedName>
    <definedName name="修正日">表紙!$G$59</definedName>
    <definedName name="分類ID">表紙!$G$52</definedName>
    <definedName name="分類名">表紙!$G$54</definedName>
    <definedName name="文書番号">表紙!$G$61</definedName>
  </definedNames>
  <calcPr calcId="162913" concurrentCalc="0"/>
</workbook>
</file>

<file path=xl/calcChain.xml><?xml version="1.0" encoding="utf-8"?>
<calcChain xmlns="http://schemas.openxmlformats.org/spreadsheetml/2006/main">
  <c r="BI65" i="1" l="1"/>
  <c r="BE65" i="1"/>
  <c r="BC65" i="1"/>
  <c r="BJ64" i="1"/>
  <c r="BI64" i="1"/>
  <c r="BG64" i="1"/>
  <c r="BE64" i="1"/>
  <c r="BC64" i="1"/>
  <c r="BI63" i="1"/>
  <c r="BG63" i="1"/>
  <c r="BE63" i="1"/>
  <c r="BC63" i="1"/>
  <c r="V30" i="1"/>
  <c r="BI61" i="1"/>
  <c r="BE61" i="1"/>
  <c r="BC61" i="1"/>
  <c r="BJ60" i="1"/>
  <c r="BI60" i="1"/>
  <c r="BG60" i="1"/>
  <c r="BE60" i="1"/>
  <c r="BC60" i="1"/>
  <c r="BI59" i="1"/>
  <c r="BG59" i="1"/>
  <c r="BE59" i="1"/>
  <c r="BC59" i="1"/>
  <c r="BI57" i="1"/>
  <c r="BE57" i="1"/>
  <c r="BC57" i="1"/>
  <c r="BJ56" i="1"/>
  <c r="BI56" i="1"/>
  <c r="BG56" i="1"/>
  <c r="BE56" i="1"/>
  <c r="BC56" i="1"/>
  <c r="BI55" i="1"/>
  <c r="BG55" i="1"/>
  <c r="BE55" i="1"/>
  <c r="BC55" i="1"/>
  <c r="BE48" i="1"/>
  <c r="G60" i="1"/>
  <c r="BI49" i="1"/>
  <c r="G59" i="1"/>
  <c r="BI52" i="1"/>
  <c r="G58" i="1"/>
  <c r="BI51" i="1"/>
  <c r="BE53" i="1"/>
  <c r="BC53" i="1"/>
  <c r="BJ52" i="1"/>
  <c r="BG52" i="1"/>
  <c r="BE52" i="1"/>
  <c r="BC52" i="1"/>
  <c r="BG51" i="1"/>
  <c r="BE51" i="1"/>
  <c r="BC51" i="1"/>
  <c r="BE49" i="1"/>
  <c r="BC49" i="1"/>
  <c r="BJ48" i="1"/>
  <c r="BG48" i="1"/>
  <c r="BC48" i="1"/>
  <c r="BI47" i="1"/>
  <c r="BG47" i="1"/>
  <c r="BE47" i="1"/>
  <c r="BC47" i="1"/>
  <c r="BI53" i="1"/>
  <c r="BI48" i="1"/>
  <c r="V29" i="1"/>
  <c r="V31" i="1"/>
  <c r="AB29" i="1"/>
  <c r="V28" i="1"/>
  <c r="V27" i="1"/>
  <c r="AL5" i="1"/>
  <c r="AF5" i="1"/>
  <c r="AR5" i="1"/>
</calcChain>
</file>

<file path=xl/sharedStrings.xml><?xml version="1.0" encoding="utf-8"?>
<sst xmlns="http://schemas.openxmlformats.org/spreadsheetml/2006/main" count="237" uniqueCount="147">
  <si>
    <t>文書番号</t>
    <rPh sb="0" eb="2">
      <t>ブンショ</t>
    </rPh>
    <rPh sb="2" eb="4">
      <t>バンゴウ</t>
    </rPh>
    <phoneticPr fontId="1"/>
  </si>
  <si>
    <t>Revision</t>
    <phoneticPr fontId="1"/>
  </si>
  <si>
    <t>顧客名</t>
    <rPh sb="0" eb="2">
      <t>コキャク</t>
    </rPh>
    <rPh sb="2" eb="3">
      <t>メイ</t>
    </rPh>
    <phoneticPr fontId="1"/>
  </si>
  <si>
    <t>プロジェクト名</t>
    <rPh sb="6" eb="7">
      <t>メイ</t>
    </rPh>
    <phoneticPr fontId="1"/>
  </si>
  <si>
    <t>分類ID/機能ID</t>
    <rPh sb="0" eb="2">
      <t>ブンルイ</t>
    </rPh>
    <rPh sb="5" eb="7">
      <t>キノウ</t>
    </rPh>
    <phoneticPr fontId="1"/>
  </si>
  <si>
    <t>分類名</t>
    <rPh sb="0" eb="2">
      <t>ブンルイ</t>
    </rPh>
    <rPh sb="2" eb="3">
      <t>メイ</t>
    </rPh>
    <phoneticPr fontId="1"/>
  </si>
  <si>
    <t>機能名</t>
    <rPh sb="0" eb="3">
      <t>キノウメイ</t>
    </rPh>
    <phoneticPr fontId="1"/>
  </si>
  <si>
    <t>システム</t>
    <phoneticPr fontId="1"/>
  </si>
  <si>
    <t>修正者</t>
    <rPh sb="0" eb="2">
      <t>シュウセイ</t>
    </rPh>
    <rPh sb="2" eb="3">
      <t>シャ</t>
    </rPh>
    <phoneticPr fontId="1"/>
  </si>
  <si>
    <t>修正日</t>
    <rPh sb="0" eb="2">
      <t>シュウセイ</t>
    </rPh>
    <rPh sb="2" eb="3">
      <t>ビ</t>
    </rPh>
    <phoneticPr fontId="1"/>
  </si>
  <si>
    <t>機能ID</t>
    <rPh sb="0" eb="2">
      <t>キノウ</t>
    </rPh>
    <phoneticPr fontId="1"/>
  </si>
  <si>
    <t>システム</t>
    <phoneticPr fontId="1"/>
  </si>
  <si>
    <t>サブシステム</t>
    <phoneticPr fontId="1"/>
  </si>
  <si>
    <t>作成者</t>
    <rPh sb="0" eb="3">
      <t>サクセイシャ</t>
    </rPh>
    <phoneticPr fontId="1"/>
  </si>
  <si>
    <t>作成日</t>
    <rPh sb="0" eb="3">
      <t>サクセイビ</t>
    </rPh>
    <phoneticPr fontId="1"/>
  </si>
  <si>
    <t>Rev</t>
    <phoneticPr fontId="1"/>
  </si>
  <si>
    <t>分類ID</t>
    <rPh sb="0" eb="2">
      <t>ブンルイ</t>
    </rPh>
    <phoneticPr fontId="1"/>
  </si>
  <si>
    <t>Version</t>
    <phoneticPr fontId="1"/>
  </si>
  <si>
    <t>※ここを変更してください</t>
    <rPh sb="4" eb="6">
      <t>ヘンコウ</t>
    </rPh>
    <phoneticPr fontId="1"/>
  </si>
  <si>
    <t>来歴</t>
    <rPh sb="0" eb="2">
      <t>ライレキ</t>
    </rPh>
    <phoneticPr fontId="1"/>
  </si>
  <si>
    <t>変更内容及び変更理由</t>
    <rPh sb="0" eb="2">
      <t>ヘンコウ</t>
    </rPh>
    <rPh sb="2" eb="4">
      <t>ナイヨウ</t>
    </rPh>
    <rPh sb="4" eb="5">
      <t>オヨ</t>
    </rPh>
    <rPh sb="6" eb="8">
      <t>ヘンコウ</t>
    </rPh>
    <rPh sb="8" eb="10">
      <t>リユウ</t>
    </rPh>
    <phoneticPr fontId="1"/>
  </si>
  <si>
    <t>最終更新者</t>
    <rPh sb="0" eb="2">
      <t>サイシュウ</t>
    </rPh>
    <rPh sb="2" eb="5">
      <t>コウシンシャ</t>
    </rPh>
    <phoneticPr fontId="1"/>
  </si>
  <si>
    <t>最終更新日</t>
    <rPh sb="0" eb="2">
      <t>サイシュウ</t>
    </rPh>
    <rPh sb="2" eb="5">
      <t>コウシンビ</t>
    </rPh>
    <phoneticPr fontId="1"/>
  </si>
  <si>
    <t>備考</t>
    <rPh sb="0" eb="2">
      <t>ビコウ</t>
    </rPh>
    <phoneticPr fontId="1"/>
  </si>
  <si>
    <t>承認票</t>
    <rPh sb="0" eb="2">
      <t>ショウニン</t>
    </rPh>
    <rPh sb="2" eb="3">
      <t>ヒョウ</t>
    </rPh>
    <phoneticPr fontId="1"/>
  </si>
  <si>
    <t>確認者</t>
    <rPh sb="0" eb="2">
      <t>カクニン</t>
    </rPh>
    <rPh sb="2" eb="3">
      <t>シャ</t>
    </rPh>
    <phoneticPr fontId="1"/>
  </si>
  <si>
    <t>承認者</t>
    <rPh sb="0" eb="2">
      <t>ショウニン</t>
    </rPh>
    <rPh sb="2" eb="3">
      <t>シャ</t>
    </rPh>
    <phoneticPr fontId="1"/>
  </si>
  <si>
    <t>責任者</t>
    <rPh sb="0" eb="3">
      <t>セキニンシャ</t>
    </rPh>
    <phoneticPr fontId="1"/>
  </si>
  <si>
    <t>計算</t>
    <rPh sb="0" eb="2">
      <t>ケイサン</t>
    </rPh>
    <phoneticPr fontId="1"/>
  </si>
  <si>
    <t>東洋ﾋﾞｼﾞﾈｽｴﾝｼﾞﾆｱﾘﾝｸﾞ㈱</t>
    <rPh sb="0" eb="2">
      <t>トウヨウ</t>
    </rPh>
    <phoneticPr fontId="1"/>
  </si>
  <si>
    <t>新基幹システム構築プロジェクト</t>
    <phoneticPr fontId="1"/>
  </si>
  <si>
    <t>mcframe7</t>
    <phoneticPr fontId="1"/>
  </si>
  <si>
    <t>株式会社XXXX殿</t>
    <phoneticPr fontId="1"/>
  </si>
  <si>
    <t>XX</t>
    <phoneticPr fontId="1"/>
  </si>
  <si>
    <t>XX-XX-9999</t>
    <phoneticPr fontId="1"/>
  </si>
  <si>
    <t>株式会社XXXX殿</t>
    <rPh sb="0" eb="4">
      <t>カブシキガイシャ</t>
    </rPh>
    <rPh sb="8" eb="9">
      <t>トノ</t>
    </rPh>
    <phoneticPr fontId="1"/>
  </si>
  <si>
    <t>7.0.1.1</t>
    <phoneticPr fontId="1"/>
  </si>
  <si>
    <t>No</t>
    <phoneticPr fontId="1"/>
  </si>
  <si>
    <t>Rev.</t>
    <phoneticPr fontId="1"/>
  </si>
  <si>
    <t>新規作成</t>
    <rPh sb="0" eb="4">
      <t>シンキサクセイ</t>
    </rPh>
    <phoneticPr fontId="1"/>
  </si>
  <si>
    <t>システム</t>
    <phoneticPr fontId="1"/>
  </si>
  <si>
    <t>システム</t>
    <phoneticPr fontId="1"/>
  </si>
  <si>
    <t>プロジェクト</t>
    <phoneticPr fontId="1"/>
  </si>
  <si>
    <t>サブシステム</t>
    <phoneticPr fontId="1"/>
  </si>
  <si>
    <t>プロジェクト</t>
    <phoneticPr fontId="1"/>
  </si>
  <si>
    <t>サブシステム</t>
    <phoneticPr fontId="1"/>
  </si>
  <si>
    <t>Rev.</t>
    <phoneticPr fontId="1"/>
  </si>
  <si>
    <t>r00.00</t>
  </si>
  <si>
    <t>XX</t>
  </si>
  <si>
    <t>r00.01</t>
  </si>
  <si>
    <t>内部レビュー指摘修正</t>
    <rPh sb="0" eb="2">
      <t>ナイブ</t>
    </rPh>
    <rPh sb="6" eb="8">
      <t>シテキ</t>
    </rPh>
    <rPh sb="8" eb="10">
      <t>シュウセイ</t>
    </rPh>
    <phoneticPr fontId="1"/>
  </si>
  <si>
    <t>r01.00</t>
  </si>
  <si>
    <t>基本設計フェーズ成果物として納品</t>
    <rPh sb="0" eb="2">
      <t>キホン</t>
    </rPh>
    <rPh sb="2" eb="4">
      <t>セッケイ</t>
    </rPh>
    <phoneticPr fontId="1"/>
  </si>
  <si>
    <t>r01.01</t>
  </si>
  <si>
    <t>r02.00</t>
  </si>
  <si>
    <t>詳細設計フェーズ成果物として納品</t>
    <rPh sb="0" eb="2">
      <t>ショウサイ</t>
    </rPh>
    <rPh sb="2" eb="4">
      <t>セッケイ</t>
    </rPh>
    <phoneticPr fontId="1"/>
  </si>
  <si>
    <t>r01.00</t>
    <phoneticPr fontId="1"/>
  </si>
  <si>
    <t>基本設計フェーズ成果物として納品</t>
    <phoneticPr fontId="1"/>
  </si>
  <si>
    <t>XX</t>
    <phoneticPr fontId="1"/>
  </si>
  <si>
    <t>PM(XX)</t>
    <phoneticPr fontId="1"/>
  </si>
  <si>
    <t>XX-XX-9999_共通設計書_共通処理設計（画面部品）_r00.00をもとに新規作成</t>
    <rPh sb="24" eb="26">
      <t>ガメン</t>
    </rPh>
    <rPh sb="26" eb="28">
      <t>ブヒン</t>
    </rPh>
    <rPh sb="40" eb="42">
      <t>シンキ</t>
    </rPh>
    <rPh sb="42" eb="44">
      <t>サクセイ</t>
    </rPh>
    <phoneticPr fontId="1"/>
  </si>
  <si>
    <t>MSUB</t>
    <phoneticPr fontId="1"/>
  </si>
  <si>
    <t>画面ＩＤ</t>
    <rPh sb="0" eb="2">
      <t>ガメン</t>
    </rPh>
    <phoneticPr fontId="1"/>
  </si>
  <si>
    <t>画面名</t>
    <rPh sb="0" eb="2">
      <t>ガメン</t>
    </rPh>
    <rPh sb="2" eb="3">
      <t>メイ</t>
    </rPh>
    <phoneticPr fontId="1"/>
  </si>
  <si>
    <t>仕様概要</t>
    <rPh sb="0" eb="2">
      <t>シヨウ</t>
    </rPh>
    <rPh sb="2" eb="4">
      <t>ガイヨウ</t>
    </rPh>
    <phoneticPr fontId="1"/>
  </si>
  <si>
    <t>使用条件</t>
    <rPh sb="0" eb="2">
      <t>シヨウ</t>
    </rPh>
    <rPh sb="2" eb="4">
      <t>ジョウケン</t>
    </rPh>
    <phoneticPr fontId="1"/>
  </si>
  <si>
    <t>MSUBP0010</t>
    <phoneticPr fontId="1"/>
  </si>
  <si>
    <t>案件ＮＯ_ヘッダ</t>
    <rPh sb="0" eb="2">
      <t>アンケン</t>
    </rPh>
    <phoneticPr fontId="1"/>
  </si>
  <si>
    <t>案件ＮＯを表示、入力する
システムパラメータ（SNO_TYP）により手配ＮＯが全て非表示となる場合は、案件ＮＯを非表示にする</t>
    <rPh sb="0" eb="2">
      <t>アンケン</t>
    </rPh>
    <rPh sb="34" eb="36">
      <t>テハイ</t>
    </rPh>
    <rPh sb="39" eb="40">
      <t>スベ</t>
    </rPh>
    <rPh sb="41" eb="44">
      <t>ヒヒョウジ</t>
    </rPh>
    <rPh sb="47" eb="49">
      <t>バアイ</t>
    </rPh>
    <phoneticPr fontId="1"/>
  </si>
  <si>
    <t>検索、登録で使用する
ステータスは以下を使用する
・任意入力で、検索条件で使用する場合＝ENABLE_SRCH
・任意入力で、登録で使用する場合＝ENABLE
・任意かつFREE入力で、登録で使用する場合＝ENABLE_FREE
・必須入力の場合＝REQUIRED
・入力不可の場合＝READ_ONLY</t>
    <rPh sb="93" eb="95">
      <t>トウロク</t>
    </rPh>
    <rPh sb="96" eb="98">
      <t>シヨウ</t>
    </rPh>
    <rPh sb="100" eb="102">
      <t>バアイ</t>
    </rPh>
    <phoneticPr fontId="1"/>
  </si>
  <si>
    <t>MSUBP0020</t>
    <phoneticPr fontId="1"/>
  </si>
  <si>
    <t>手配ＮＯ案件ＮＯ_検索</t>
    <rPh sb="9" eb="11">
      <t>ケンサク</t>
    </rPh>
    <phoneticPr fontId="1"/>
  </si>
  <si>
    <t>手配ＮＯ、案件ＮＯを表示、入力する
システムパラメータ（SNO_TYP）により表示が切り替わる
システムパラメータにより手配ＮＯが全て非表示となる場合は、案件ＮＯを非表示にする</t>
    <phoneticPr fontId="1"/>
  </si>
  <si>
    <t>MSUBP0030</t>
    <phoneticPr fontId="1"/>
  </si>
  <si>
    <t>ロットＮＯ_ヘッダ</t>
    <phoneticPr fontId="1"/>
  </si>
  <si>
    <t>ロットＮＯ、サブロットＮＯを表示、入力する
入力制御はモード（使用条件を参照）ごと以下の通り
■モード１
ロット作成フラグがオンの場合はモード２と同じ
オフの場合はモード３と同じ
■モード２
ロットＮＯ発番区分に応じてロットＮＯを入力制御する
サブロットＮＯ発番区分に応じてサブロットＮＯを入力制御する
■モード３
既存ロットのみ入力可能
全てのモードで共通の入力制御は以下の通り
品目が指定されていない場合は入力不可
ロット管理区分、サブロット管理区分に応じて入力制御する</t>
    <rPh sb="31" eb="33">
      <t>シヨウ</t>
    </rPh>
    <rPh sb="33" eb="35">
      <t>ジョウケン</t>
    </rPh>
    <rPh sb="36" eb="38">
      <t>サンショウ</t>
    </rPh>
    <rPh sb="44" eb="45">
      <t>トオ</t>
    </rPh>
    <rPh sb="57" eb="59">
      <t>サクセイ</t>
    </rPh>
    <rPh sb="66" eb="68">
      <t>バアイ</t>
    </rPh>
    <rPh sb="74" eb="75">
      <t>オナ</t>
    </rPh>
    <rPh sb="80" eb="82">
      <t>バアイ</t>
    </rPh>
    <rPh sb="88" eb="89">
      <t>オナ</t>
    </rPh>
    <rPh sb="103" eb="105">
      <t>ハツバン</t>
    </rPh>
    <rPh sb="105" eb="107">
      <t>クブン</t>
    </rPh>
    <rPh sb="108" eb="109">
      <t>オウ</t>
    </rPh>
    <rPh sb="117" eb="119">
      <t>ニュウリョク</t>
    </rPh>
    <rPh sb="119" eb="121">
      <t>セイギョ</t>
    </rPh>
    <rPh sb="131" eb="133">
      <t>ハツバン</t>
    </rPh>
    <rPh sb="133" eb="135">
      <t>クブン</t>
    </rPh>
    <rPh sb="136" eb="137">
      <t>オウ</t>
    </rPh>
    <rPh sb="147" eb="149">
      <t>ニュウリョク</t>
    </rPh>
    <rPh sb="149" eb="151">
      <t>セイギョ</t>
    </rPh>
    <rPh sb="161" eb="163">
      <t>キソン</t>
    </rPh>
    <rPh sb="168" eb="170">
      <t>ニュウリョク</t>
    </rPh>
    <rPh sb="170" eb="172">
      <t>カノウ</t>
    </rPh>
    <rPh sb="174" eb="175">
      <t>スベ</t>
    </rPh>
    <rPh sb="181" eb="183">
      <t>キョウツウ</t>
    </rPh>
    <rPh sb="184" eb="186">
      <t>ニュウリョク</t>
    </rPh>
    <rPh sb="186" eb="188">
      <t>セイギョ</t>
    </rPh>
    <rPh sb="189" eb="191">
      <t>イカ</t>
    </rPh>
    <rPh sb="192" eb="193">
      <t>トオ</t>
    </rPh>
    <rPh sb="195" eb="197">
      <t>ヒンモク</t>
    </rPh>
    <rPh sb="198" eb="200">
      <t>シテイ</t>
    </rPh>
    <rPh sb="206" eb="208">
      <t>バアイ</t>
    </rPh>
    <rPh sb="209" eb="211">
      <t>ニュウリョク</t>
    </rPh>
    <rPh sb="211" eb="213">
      <t>フカ</t>
    </rPh>
    <rPh sb="217" eb="219">
      <t>カンリ</t>
    </rPh>
    <rPh sb="219" eb="221">
      <t>クブン</t>
    </rPh>
    <rPh sb="227" eb="229">
      <t>カンリ</t>
    </rPh>
    <rPh sb="229" eb="231">
      <t>クブン</t>
    </rPh>
    <rPh sb="232" eb="233">
      <t>オウ</t>
    </rPh>
    <rPh sb="235" eb="237">
      <t>ニュウリョク</t>
    </rPh>
    <rPh sb="237" eb="239">
      <t>セイギョ</t>
    </rPh>
    <phoneticPr fontId="1"/>
  </si>
  <si>
    <t>登録のみで使用する
ステータスは以下を使用する
・任意入力の場合＝ENABLE
・必須入力の場合＝REQUIRED
・入力不可の場合＝READ_ONLY
初期化については以下の通り
■モード１：ロット作成フラグに応じてロットを作成するか既存ロットを指定するか制御する場合
連携する品目ＣＤ、枝番１～３、ロット管理区分、ロットＮＯ区分、サブロット管理区分、サブロットＮＯ区分、ロット作成フラグで初期化（※）する
■モード２：ロットを常に作成する場合
連携する品目ＣＤ、枝番１～３、ロット管理区分、ロットＮＯ区分、サブロット管理区分、サブロットＮＯ区分（※）する
■モード３：既存ロットを指定する場合
連携する品目ＣＤ、枝番１～３、ロット管理区分、サブロット管理区分初期化（※）する
※setupPartsで使用目的にあったsetRelateBeansを実行する</t>
    <rPh sb="0" eb="2">
      <t>トウロク</t>
    </rPh>
    <rPh sb="5" eb="7">
      <t>シヨウ</t>
    </rPh>
    <rPh sb="79" eb="82">
      <t>ショキカ</t>
    </rPh>
    <rPh sb="87" eb="89">
      <t>イカ</t>
    </rPh>
    <rPh sb="90" eb="91">
      <t>トオ</t>
    </rPh>
    <rPh sb="103" eb="105">
      <t>サクセイ</t>
    </rPh>
    <rPh sb="109" eb="110">
      <t>オウ</t>
    </rPh>
    <rPh sb="116" eb="118">
      <t>サクセイ</t>
    </rPh>
    <rPh sb="121" eb="123">
      <t>キソン</t>
    </rPh>
    <rPh sb="127" eb="129">
      <t>シテイ</t>
    </rPh>
    <rPh sb="132" eb="134">
      <t>セイギョ</t>
    </rPh>
    <rPh sb="136" eb="138">
      <t>バアイ</t>
    </rPh>
    <rPh sb="219" eb="220">
      <t>ツネ</t>
    </rPh>
    <rPh sb="221" eb="223">
      <t>サクセイ</t>
    </rPh>
    <rPh sb="225" eb="227">
      <t>バアイ</t>
    </rPh>
    <rPh sb="297" eb="299">
      <t>シテイ</t>
    </rPh>
    <phoneticPr fontId="1"/>
  </si>
  <si>
    <t>MSUBP0040</t>
    <phoneticPr fontId="1"/>
  </si>
  <si>
    <t>手配ＮＯ案件ＮＯ_ヘッダ</t>
    <phoneticPr fontId="1"/>
  </si>
  <si>
    <t>手配ＮＯ・案件ＮＯを表示、入力する
システムパラメータ（SNO_TYP）により表示が切り替わる
システムパラメータにより手配ＮＯが全て非表示となる場合は、案件ＮＯを非表示にする
入力制御はモード（使用条件を参照）以下のとおり
■モード１
手配ＮＯ[n]管理区分に応じて手配ＮＯ[n]を入力制御する
■モード２
手配ＮＯ[n]発番区分、手配ＮＯ[n]必須ＦＬＧに応じて手配ＮＯ[n]を入力制御する</t>
    <rPh sb="0" eb="2">
      <t>テハイ</t>
    </rPh>
    <rPh sb="5" eb="7">
      <t>アンケン</t>
    </rPh>
    <rPh sb="60" eb="62">
      <t>テハイ</t>
    </rPh>
    <rPh sb="65" eb="66">
      <t>スベ</t>
    </rPh>
    <rPh sb="67" eb="70">
      <t>ヒヒョウジ</t>
    </rPh>
    <rPh sb="73" eb="75">
      <t>バアイ</t>
    </rPh>
    <rPh sb="89" eb="91">
      <t>ニュウリョク</t>
    </rPh>
    <rPh sb="91" eb="93">
      <t>セイギョ</t>
    </rPh>
    <rPh sb="98" eb="100">
      <t>シヨウ</t>
    </rPh>
    <rPh sb="100" eb="102">
      <t>ジョウケン</t>
    </rPh>
    <rPh sb="103" eb="105">
      <t>サンショウ</t>
    </rPh>
    <rPh sb="106" eb="108">
      <t>イカ</t>
    </rPh>
    <rPh sb="132" eb="133">
      <t>オウ</t>
    </rPh>
    <rPh sb="135" eb="137">
      <t>テハイ</t>
    </rPh>
    <rPh sb="143" eb="145">
      <t>ニュウリョク</t>
    </rPh>
    <rPh sb="145" eb="147">
      <t>セイギョ</t>
    </rPh>
    <rPh sb="182" eb="183">
      <t>オウ</t>
    </rPh>
    <phoneticPr fontId="1"/>
  </si>
  <si>
    <t>検索、登録で使用する
ステータスは以下を使用する
手配ＮＯ[n]無し可フラグを表示する場合はsetEnableSnoNullフラグにtrueを渡す
・任意入力で、登録で使用する場合＝ENABLE
・必須入力の場合＝REQUIRED
・入力不可の場合＝READ_ONLY
手配ＮＯ[n]管理区分が「管理する（任意：在庫対象外）」の場合の入力制御をする場合はsetSnoModeCtrlにtrueを指定し、setSnoModeでモードを指定する
手配ＮＯ[n]無し可を表示する場合はsetEnableSnoNullFlgにtrueを指定する
初期化については以下の通り
■モード１：手配ＮＯ[n]必須ＦＬＧで制御しない場合
連携する品目ＣＤ、枝番１～３、手配ＮＯ[n]管理区分で初期化（※）する
■モード２：手配ＮＯ[n]必須ＦＬＧで制御する場合（受注、所要の登録画面）
連携する品目ＣＤ、枝番１～３、手配ＮＯ[n]管理区分、手配ＮＯ[n]発番区分、手配ＮＯ[n]必須ＦＬＧで初期化（※）する
※[n]は１～４で、対応する手配ＮＯ[n]を制御する
※setupPartsで使用目的にあったsetRelateBeansを実行する</t>
    <rPh sb="168" eb="170">
      <t>ニュウリョク</t>
    </rPh>
    <rPh sb="170" eb="172">
      <t>セイギョ</t>
    </rPh>
    <rPh sb="175" eb="177">
      <t>バアイ</t>
    </rPh>
    <rPh sb="198" eb="200">
      <t>シテイ</t>
    </rPh>
    <rPh sb="217" eb="219">
      <t>シテイ</t>
    </rPh>
    <rPh sb="222" eb="224">
      <t>テハイ</t>
    </rPh>
    <rPh sb="229" eb="230">
      <t>ナ</t>
    </rPh>
    <rPh sb="231" eb="232">
      <t>カ</t>
    </rPh>
    <rPh sb="233" eb="235">
      <t>ヒョウジ</t>
    </rPh>
    <rPh sb="237" eb="239">
      <t>バアイ</t>
    </rPh>
    <rPh sb="265" eb="267">
      <t>シテイ</t>
    </rPh>
    <rPh sb="327" eb="329">
      <t>テハイ</t>
    </rPh>
    <rPh sb="334" eb="336">
      <t>カンリ</t>
    </rPh>
    <rPh sb="336" eb="338">
      <t>クブン</t>
    </rPh>
    <rPh sb="355" eb="357">
      <t>テハイ</t>
    </rPh>
    <rPh sb="362" eb="364">
      <t>ヒッス</t>
    </rPh>
    <rPh sb="368" eb="370">
      <t>セイギョ</t>
    </rPh>
    <rPh sb="372" eb="374">
      <t>バアイ</t>
    </rPh>
    <rPh sb="375" eb="377">
      <t>ジュチュウ</t>
    </rPh>
    <rPh sb="378" eb="380">
      <t>ショヨウ</t>
    </rPh>
    <rPh sb="381" eb="383">
      <t>トウロク</t>
    </rPh>
    <rPh sb="383" eb="385">
      <t>ガメン</t>
    </rPh>
    <rPh sb="421" eb="423">
      <t>ハツバン</t>
    </rPh>
    <rPh sb="433" eb="435">
      <t>ヒッス</t>
    </rPh>
    <phoneticPr fontId="1"/>
  </si>
  <si>
    <t>MSUBP0050</t>
    <phoneticPr fontId="1"/>
  </si>
  <si>
    <t>在庫取引先_ヘッダ</t>
    <phoneticPr fontId="1"/>
  </si>
  <si>
    <t>在庫取引先を表示、入力する
連携する在庫識別区分によって抽出対象の取引先を切り替える
・「2：返品検収前」「3：預り」：得意先のみ
・「4：VMI」「5：仕入検収前」「6：検収不良」「7：無償受給」「8：有償支給」：発注先のみ
入力制御は以下のとおり
・以下の場合に在庫取引先ＣＤは入力不可
  ・連携する在庫識別区分がNULLの場合
  ・連携する在庫識別区分が「1：自社在庫」の場合</t>
    <phoneticPr fontId="1"/>
  </si>
  <si>
    <t>登録のみで使用する
ステータスは以下を使用する
・任意入力の場合＝ENABLE
・必須入力の場合＝REQUIRED
・入力不可の場合＝READ_ONLY
登録で使用する場合、連携する在庫識別区分で初期化（※）する
※setupPartsで使用目的にあったsetRelateBeansを実行する</t>
    <rPh sb="91" eb="93">
      <t>ザイコ</t>
    </rPh>
    <rPh sb="93" eb="95">
      <t>シキベツ</t>
    </rPh>
    <rPh sb="95" eb="97">
      <t>クブン</t>
    </rPh>
    <phoneticPr fontId="1"/>
  </si>
  <si>
    <t>MSUBP0060</t>
    <phoneticPr fontId="1"/>
  </si>
  <si>
    <t>在庫着荷先_ヘッダ</t>
    <rPh sb="2" eb="4">
      <t>チャッカ</t>
    </rPh>
    <rPh sb="4" eb="5">
      <t>サキ</t>
    </rPh>
    <phoneticPr fontId="1"/>
  </si>
  <si>
    <t>在庫着荷先を表示、入力する
連携する場所ＣＤ、発注先によって抽出対象の取引先を絞り込む
・外注場所：発注先のみ
・自社場所：納品先または配送先
入力制御は以下のとおり
・連携する場所ＣＤがNULLの場合、在庫着荷先ＣＤは入力不可</t>
    <phoneticPr fontId="1"/>
  </si>
  <si>
    <t>登録のみで使用する
ステータスは以下を使用する
・任意入力の場合＝ENABLE
・必須入力の場合＝REQUIRED
・入力不可の場合＝READ_ONLY
登録で使用する場合、連携する場所ＣＤ，発注先ＣＤで初期化（※）する
※setupPartsで使用目的にあったsetRelateBeansを実行する</t>
    <rPh sb="0" eb="2">
      <t>トウロク</t>
    </rPh>
    <rPh sb="5" eb="7">
      <t>シヨウ</t>
    </rPh>
    <phoneticPr fontId="1"/>
  </si>
  <si>
    <t>MSUBP0070</t>
    <phoneticPr fontId="1"/>
  </si>
  <si>
    <t>在庫情報選択_ヘッダ</t>
    <phoneticPr fontId="1"/>
  </si>
  <si>
    <t>在庫情報選択画面に遷移し、在庫情報選択画面で指定した情報を遷移元に引き継ぐ</t>
    <rPh sb="0" eb="2">
      <t>ザイコ</t>
    </rPh>
    <rPh sb="2" eb="4">
      <t>ジョウホウ</t>
    </rPh>
    <rPh sb="4" eb="6">
      <t>センタク</t>
    </rPh>
    <rPh sb="6" eb="8">
      <t>ガメン</t>
    </rPh>
    <rPh sb="9" eb="11">
      <t>センイ</t>
    </rPh>
    <rPh sb="13" eb="15">
      <t>ザイコ</t>
    </rPh>
    <rPh sb="15" eb="17">
      <t>ジョウホウ</t>
    </rPh>
    <rPh sb="17" eb="19">
      <t>センタク</t>
    </rPh>
    <rPh sb="19" eb="21">
      <t>ガメン</t>
    </rPh>
    <rPh sb="22" eb="24">
      <t>シテイ</t>
    </rPh>
    <rPh sb="26" eb="28">
      <t>ジョウホウ</t>
    </rPh>
    <rPh sb="29" eb="32">
      <t>センイモト</t>
    </rPh>
    <rPh sb="33" eb="34">
      <t>ヒ</t>
    </rPh>
    <rPh sb="35" eb="36">
      <t>ツ</t>
    </rPh>
    <phoneticPr fontId="1"/>
  </si>
  <si>
    <t>在庫情報選択画面を開く際の遷移ボタンとして使用する
ステータスは以下を使用する
・押下可能の場合：ENABLE
・押下不可の場合：DISABLE</t>
    <rPh sb="0" eb="2">
      <t>ザイコ</t>
    </rPh>
    <rPh sb="2" eb="4">
      <t>ジョウホウ</t>
    </rPh>
    <rPh sb="4" eb="6">
      <t>センタク</t>
    </rPh>
    <rPh sb="6" eb="8">
      <t>ガメン</t>
    </rPh>
    <rPh sb="9" eb="10">
      <t>ヒラ</t>
    </rPh>
    <rPh sb="11" eb="12">
      <t>サイ</t>
    </rPh>
    <rPh sb="13" eb="15">
      <t>センイ</t>
    </rPh>
    <rPh sb="21" eb="23">
      <t>シヨウ</t>
    </rPh>
    <rPh sb="41" eb="43">
      <t>オウカ</t>
    </rPh>
    <rPh sb="43" eb="45">
      <t>カノウ</t>
    </rPh>
    <rPh sb="46" eb="48">
      <t>バアイ</t>
    </rPh>
    <rPh sb="57" eb="59">
      <t>オウカ</t>
    </rPh>
    <rPh sb="59" eb="61">
      <t>フカ</t>
    </rPh>
    <rPh sb="62" eb="64">
      <t>バアイ</t>
    </rPh>
    <phoneticPr fontId="1"/>
  </si>
  <si>
    <t>MSUBP5010</t>
    <phoneticPr fontId="1"/>
  </si>
  <si>
    <t>案件ＮＯ_明細</t>
    <rPh sb="0" eb="2">
      <t>アンケン</t>
    </rPh>
    <rPh sb="5" eb="7">
      <t>メイサイ</t>
    </rPh>
    <phoneticPr fontId="1"/>
  </si>
  <si>
    <t>検索・登録で使用する
ステータスは以下を使用する
・任意入力の場合＝ENABLE
・必須入力の場合＝REQUIRED
・入力不可の場合＝READ_ONLY</t>
    <rPh sb="0" eb="2">
      <t>ケンサク</t>
    </rPh>
    <rPh sb="3" eb="5">
      <t>トウロク</t>
    </rPh>
    <rPh sb="6" eb="8">
      <t>シヨウ</t>
    </rPh>
    <phoneticPr fontId="1"/>
  </si>
  <si>
    <t>MSUBP5020</t>
    <phoneticPr fontId="1"/>
  </si>
  <si>
    <t>手配ＮＯ案件ＮＯ_明細</t>
    <rPh sb="9" eb="11">
      <t>メイサイ</t>
    </rPh>
    <phoneticPr fontId="14"/>
  </si>
  <si>
    <t>検索、登録で使用する
ステータスは以下を使用する
手配ＮＯ[n]無し可フラグを表示する場合はsetEnableSnoNullフラグにtrueを渡す
・任意入力で、登録で使用する場合＝ENABLE
・必須入力の場合＝REQUIRED
・入力不可の場合＝READ_ONLY
手配ＮＯ[n]管理区分が「管理する（任意：在庫対象外）」の入力制御をする場合はsetSnoModeCtrlにtrueを指定し、setSnoModeでモードを指定する
初期化については以下の通り
■モード１：手配ＮＯ[n]必須ＦＬＧで制御しない場合
連携する品目ＣＤ、枝番１～３、手配ＮＯ[n]管理区分で初期化（※）する
■モード２：手配ＮＯ[n]必須ＦＬＧで制御する場合（受注、所要の登録画面）
連携する品目ＣＤ、枝番１～３、手配ＮＯ[n]管理区分、手配ＮＯ[n]発番区分、手配ＮＯ[n]必須ＦＬＧで初期化（※）する
※[n]は１～４で、対応する手配ＮＯ[n]を制御する
※setupPartsで使用目的にあったsetRelateBeansを実行する</t>
    <rPh sb="165" eb="167">
      <t>ニュウリョク</t>
    </rPh>
    <rPh sb="167" eb="169">
      <t>セイギョ</t>
    </rPh>
    <rPh sb="172" eb="174">
      <t>バアイ</t>
    </rPh>
    <rPh sb="195" eb="197">
      <t>シテイ</t>
    </rPh>
    <rPh sb="214" eb="216">
      <t>シテイ</t>
    </rPh>
    <rPh sb="276" eb="278">
      <t>テハイ</t>
    </rPh>
    <rPh sb="283" eb="285">
      <t>カンリ</t>
    </rPh>
    <rPh sb="285" eb="287">
      <t>クブン</t>
    </rPh>
    <rPh sb="304" eb="306">
      <t>テハイ</t>
    </rPh>
    <rPh sb="311" eb="313">
      <t>ヒッス</t>
    </rPh>
    <rPh sb="317" eb="319">
      <t>セイギョ</t>
    </rPh>
    <rPh sb="321" eb="323">
      <t>バアイ</t>
    </rPh>
    <rPh sb="324" eb="326">
      <t>ジュチュウ</t>
    </rPh>
    <rPh sb="327" eb="329">
      <t>ショヨウ</t>
    </rPh>
    <rPh sb="330" eb="332">
      <t>トウロク</t>
    </rPh>
    <rPh sb="332" eb="334">
      <t>ガメン</t>
    </rPh>
    <rPh sb="370" eb="372">
      <t>ハツバン</t>
    </rPh>
    <rPh sb="382" eb="384">
      <t>ヒッス</t>
    </rPh>
    <phoneticPr fontId="1"/>
  </si>
  <si>
    <t>MSUBP5030</t>
  </si>
  <si>
    <t>ロットＮＯ_明細</t>
    <rPh sb="6" eb="8">
      <t>メイサイ</t>
    </rPh>
    <phoneticPr fontId="1"/>
  </si>
  <si>
    <t>MSUBP5040</t>
    <phoneticPr fontId="1"/>
  </si>
  <si>
    <t>負担項目_明細</t>
    <phoneticPr fontId="1"/>
  </si>
  <si>
    <t>負担項目を表示、入力する
システムパラメータ（ITM_SUB_TYPおよびSNO_TYP）により、負担品目、負担枝番１～３、負担手配ＮＯ１～４の表示が切り替わる
入力制御は以下のとおり
資産管理区分が「1：資産管理する」の場合は、負担項目全体が入力不可
負担品目のロット管理区分、サブロット管理区分に応じて負担ロットＮＯ、負担サブロットを入力制御する
負担品目の手配ＮＯ[n]管理区分に応じて負担手配ＮＯ[n]を入力制御する
負担品目を入力すると負担品群ＣＤ、負担工程ＣＤは入力不可</t>
    <rPh sb="146" eb="148">
      <t>カンリ</t>
    </rPh>
    <rPh sb="148" eb="150">
      <t>クブン</t>
    </rPh>
    <rPh sb="151" eb="152">
      <t>オウ</t>
    </rPh>
    <rPh sb="154" eb="156">
      <t>フタン</t>
    </rPh>
    <rPh sb="162" eb="164">
      <t>フタン</t>
    </rPh>
    <rPh sb="170" eb="172">
      <t>ニュウリョク</t>
    </rPh>
    <rPh sb="172" eb="174">
      <t>セイギョ</t>
    </rPh>
    <rPh sb="219" eb="221">
      <t>ニュウリョク</t>
    </rPh>
    <rPh sb="224" eb="226">
      <t>フタン</t>
    </rPh>
    <rPh sb="226" eb="228">
      <t>ヒングン</t>
    </rPh>
    <rPh sb="231" eb="233">
      <t>フタン</t>
    </rPh>
    <rPh sb="233" eb="235">
      <t>コウテイ</t>
    </rPh>
    <rPh sb="238" eb="240">
      <t>ニュウリョク</t>
    </rPh>
    <rPh sb="240" eb="242">
      <t>フカ</t>
    </rPh>
    <phoneticPr fontId="1"/>
  </si>
  <si>
    <t>登録で使用する
ステータスは以下を使用する
・任意入力の場合＝ENABLE
・必須入力の場合＝REQUIRED
・入力不可の場合＝READ_ONLY
手配ＮＯ[n]管理区分が「管理する（任意：在庫対象外）」の入力制御をする場合はsetSnoModeCtrlにtrueを指定し、setSnoModeでモードを指定する
連携する資産管理区分、ロット管理区分、サブロット管理区分、手配ＮＯ[n]管理区分で初期化（※）する
※[n]は１～４で、対応する手配ＮＯ[n]を制御する
※setupPartsで使用目的にあったsetRelateBeansを実行する</t>
    <phoneticPr fontId="1"/>
  </si>
  <si>
    <t>MSUBP5050</t>
    <phoneticPr fontId="1"/>
  </si>
  <si>
    <t>在庫取引先_明細</t>
    <rPh sb="6" eb="8">
      <t>メイサイ</t>
    </rPh>
    <phoneticPr fontId="1"/>
  </si>
  <si>
    <t>在庫取引先を表示、入力する
連携する在庫識別区分によって抽出対象の取引先を絞り込む
・「1：返品検収前」「3：預り」：得意先のみ
・「4：VMI「5：仕入検収前」「6：検収不良」「7：無償受給」「8：有償支給」：発注先のみ
入力制御は以下のとおり
・在庫取引先が入力可能、かつ、在庫識別区分がNULLもしくは「1：自社在庫」の場合、在庫取引先ＣＤは入力不可</t>
    <rPh sb="0" eb="2">
      <t>ザイコ</t>
    </rPh>
    <rPh sb="2" eb="4">
      <t>トリヒキ</t>
    </rPh>
    <rPh sb="4" eb="5">
      <t>サキ</t>
    </rPh>
    <rPh sb="6" eb="8">
      <t>ヒョウジ</t>
    </rPh>
    <rPh sb="9" eb="11">
      <t>ニュウリョク</t>
    </rPh>
    <rPh sb="14" eb="16">
      <t>レンケイ</t>
    </rPh>
    <rPh sb="18" eb="20">
      <t>ザイコ</t>
    </rPh>
    <rPh sb="20" eb="22">
      <t>シキベツ</t>
    </rPh>
    <rPh sb="22" eb="24">
      <t>クブン</t>
    </rPh>
    <rPh sb="28" eb="30">
      <t>チュウシュツ</t>
    </rPh>
    <rPh sb="30" eb="32">
      <t>タイショウ</t>
    </rPh>
    <rPh sb="33" eb="35">
      <t>トリヒキ</t>
    </rPh>
    <rPh sb="35" eb="36">
      <t>サキ</t>
    </rPh>
    <rPh sb="37" eb="38">
      <t>シボ</t>
    </rPh>
    <rPh sb="39" eb="40">
      <t>コ</t>
    </rPh>
    <rPh sb="112" eb="114">
      <t>ニュウリョク</t>
    </rPh>
    <rPh sb="114" eb="116">
      <t>セイギョ</t>
    </rPh>
    <rPh sb="117" eb="119">
      <t>イカ</t>
    </rPh>
    <rPh sb="126" eb="128">
      <t>ザイコ</t>
    </rPh>
    <rPh sb="128" eb="131">
      <t>トリヒキサキ</t>
    </rPh>
    <rPh sb="132" eb="134">
      <t>ニュウリョク</t>
    </rPh>
    <rPh sb="134" eb="136">
      <t>カノウ</t>
    </rPh>
    <rPh sb="140" eb="142">
      <t>ザイコ</t>
    </rPh>
    <rPh sb="142" eb="144">
      <t>シキベツ</t>
    </rPh>
    <rPh sb="144" eb="146">
      <t>クブン</t>
    </rPh>
    <rPh sb="158" eb="160">
      <t>ジシャ</t>
    </rPh>
    <rPh sb="160" eb="162">
      <t>ザイコ</t>
    </rPh>
    <rPh sb="164" eb="166">
      <t>バアイ</t>
    </rPh>
    <rPh sb="167" eb="169">
      <t>ザイコ</t>
    </rPh>
    <rPh sb="169" eb="172">
      <t>トリヒキサキ</t>
    </rPh>
    <rPh sb="175" eb="177">
      <t>ニュウリョク</t>
    </rPh>
    <rPh sb="177" eb="179">
      <t>フカ</t>
    </rPh>
    <phoneticPr fontId="1"/>
  </si>
  <si>
    <t>登録で使用する
ステータスは以下を使用する
・任意入力の場合＝ENABLE
・必須入力の場合＝REQUIRED
・入力不可の場合＝READ_ONLY
連携する在庫識別区分で初期化（※）する
※setupPartsで使用目的にあったsetRelateBeansを実行する</t>
  </si>
  <si>
    <t>MSUBP5060</t>
    <phoneticPr fontId="1"/>
  </si>
  <si>
    <t>在庫着荷先_明細</t>
    <rPh sb="2" eb="4">
      <t>チャッカ</t>
    </rPh>
    <rPh sb="4" eb="5">
      <t>サキ</t>
    </rPh>
    <rPh sb="6" eb="8">
      <t>メイサイ</t>
    </rPh>
    <phoneticPr fontId="1"/>
  </si>
  <si>
    <t>在庫着荷先を表示、入力する
連携する場所ＣＤ、発注先によって抽出対象の取引先を絞り込む
・外注場所：発注先のみ
・自社場所：納品先または配送先
・VMI、仕入検収前、検収不良、無償受給、有償支給：発注先のみ
入力制御は以下のとおり
・在庫着荷先が入力可能かつ連携する場所ＣＤがNULLの場合、在庫着荷先ＣＤは入力不可</t>
    <rPh sb="2" eb="4">
      <t>チャッカ</t>
    </rPh>
    <rPh sb="18" eb="20">
      <t>バショ</t>
    </rPh>
    <rPh sb="23" eb="25">
      <t>ハッチュウ</t>
    </rPh>
    <rPh sb="25" eb="26">
      <t>サキ</t>
    </rPh>
    <rPh sb="45" eb="47">
      <t>ガイチュウ</t>
    </rPh>
    <rPh sb="47" eb="49">
      <t>バショ</t>
    </rPh>
    <rPh sb="50" eb="52">
      <t>ハッチュウ</t>
    </rPh>
    <rPh sb="52" eb="53">
      <t>サキ</t>
    </rPh>
    <rPh sb="57" eb="59">
      <t>ジシャ</t>
    </rPh>
    <rPh sb="59" eb="61">
      <t>バショ</t>
    </rPh>
    <rPh sb="62" eb="64">
      <t>ノウヒン</t>
    </rPh>
    <rPh sb="64" eb="65">
      <t>サキ</t>
    </rPh>
    <rPh sb="68" eb="70">
      <t>ハイソウ</t>
    </rPh>
    <rPh sb="70" eb="71">
      <t>サキ</t>
    </rPh>
    <rPh sb="118" eb="120">
      <t>ザイコ</t>
    </rPh>
    <rPh sb="120" eb="123">
      <t>チャッカサキ</t>
    </rPh>
    <rPh sb="130" eb="132">
      <t>レンケイ</t>
    </rPh>
    <rPh sb="134" eb="136">
      <t>バショ</t>
    </rPh>
    <rPh sb="144" eb="146">
      <t>バアイ</t>
    </rPh>
    <rPh sb="147" eb="149">
      <t>ザイコ</t>
    </rPh>
    <rPh sb="149" eb="151">
      <t>チャッカ</t>
    </rPh>
    <rPh sb="151" eb="152">
      <t>サキ</t>
    </rPh>
    <phoneticPr fontId="1"/>
  </si>
  <si>
    <t>登録で使用する
ステータスは以下を使用する
・任意入力の場合＝ENABLE
・必須入力の場合＝REQUIRED
・入力不可の場合＝READ_ONLY
連携する場所ＣＤ，発注先ＣＤで初期化（※）する
※setupPartsで使用目的にあったsetRelateBeansを実行する</t>
  </si>
  <si>
    <t>MSUBP5070</t>
    <phoneticPr fontId="1"/>
  </si>
  <si>
    <t>取引単価金額_明細</t>
    <rPh sb="0" eb="2">
      <t>トリヒキ</t>
    </rPh>
    <rPh sb="2" eb="4">
      <t>タンカ</t>
    </rPh>
    <rPh sb="4" eb="6">
      <t>キンガク</t>
    </rPh>
    <rPh sb="7" eb="9">
      <t>メイサイ</t>
    </rPh>
    <phoneticPr fontId="1"/>
  </si>
  <si>
    <t>取引単価、金額、税、値引額を表示、入力する
入力制御は以下のとおり
取引先の単価変更許可フラグ、品目の単価変更許可フラグ、単価取得対象外フラグに応じて取引通貨単価及び仮単価を入力制御する
金額入力時単価計算フラグ、内税フラグに応じて取引通貨金額、取引通貨税込金額を入力制御する
予定系画面フラグに応じて税指定フラグ、税ＣＤを入力制御する
値引額に応じて値引理由ＣＤを入力制御する
品目、枝番１～３、通貨、単位変更時は金額、単価、税込金額、税金額、値引金額をクリアする
取引先ＣＤ、数量、税ＣＤ、各金額の変更時は金額、単価、税込金額、税金額、値引金額を再計算する</t>
    <rPh sb="0" eb="2">
      <t>トリヒキ</t>
    </rPh>
    <rPh sb="2" eb="4">
      <t>タンカ</t>
    </rPh>
    <rPh sb="5" eb="7">
      <t>キンガク</t>
    </rPh>
    <rPh sb="8" eb="9">
      <t>ゼイ</t>
    </rPh>
    <rPh sb="10" eb="12">
      <t>ネビキ</t>
    </rPh>
    <rPh sb="12" eb="13">
      <t>ガク</t>
    </rPh>
    <rPh sb="22" eb="24">
      <t>ニュウリョク</t>
    </rPh>
    <rPh sb="24" eb="26">
      <t>セイギョ</t>
    </rPh>
    <rPh sb="27" eb="29">
      <t>イカ</t>
    </rPh>
    <rPh sb="73" eb="74">
      <t>オウ</t>
    </rPh>
    <rPh sb="76" eb="78">
      <t>トリヒキ</t>
    </rPh>
    <rPh sb="78" eb="80">
      <t>ツウカ</t>
    </rPh>
    <rPh sb="80" eb="82">
      <t>タンカ</t>
    </rPh>
    <rPh sb="82" eb="83">
      <t>オヨ</t>
    </rPh>
    <rPh sb="84" eb="85">
      <t>カリ</t>
    </rPh>
    <rPh sb="85" eb="87">
      <t>タンカ</t>
    </rPh>
    <rPh sb="88" eb="90">
      <t>ニュウリョク</t>
    </rPh>
    <rPh sb="90" eb="92">
      <t>セイギョ</t>
    </rPh>
    <rPh sb="114" eb="115">
      <t>オウ</t>
    </rPh>
    <rPh sb="117" eb="119">
      <t>トリヒキ</t>
    </rPh>
    <rPh sb="119" eb="121">
      <t>ツウカ</t>
    </rPh>
    <rPh sb="121" eb="123">
      <t>キンガク</t>
    </rPh>
    <rPh sb="149" eb="150">
      <t>オウ</t>
    </rPh>
    <rPh sb="152" eb="153">
      <t>ゼイ</t>
    </rPh>
    <rPh sb="153" eb="155">
      <t>シテイ</t>
    </rPh>
    <rPh sb="163" eb="165">
      <t>ニュウリョク</t>
    </rPh>
    <rPh sb="165" eb="167">
      <t>セイギョ</t>
    </rPh>
    <rPh sb="174" eb="175">
      <t>オウ</t>
    </rPh>
    <rPh sb="184" eb="186">
      <t>ニュウリョク</t>
    </rPh>
    <rPh sb="186" eb="188">
      <t>セイギョ</t>
    </rPh>
    <rPh sb="191" eb="193">
      <t>ヒンモク</t>
    </rPh>
    <rPh sb="194" eb="196">
      <t>エダバン</t>
    </rPh>
    <rPh sb="200" eb="202">
      <t>ツウカ</t>
    </rPh>
    <rPh sb="203" eb="205">
      <t>タンイ</t>
    </rPh>
    <rPh sb="205" eb="207">
      <t>ヘンコウ</t>
    </rPh>
    <rPh sb="207" eb="208">
      <t>ジ</t>
    </rPh>
    <rPh sb="235" eb="237">
      <t>トリヒキ</t>
    </rPh>
    <rPh sb="237" eb="238">
      <t>サキ</t>
    </rPh>
    <rPh sb="241" eb="243">
      <t>スウリョウ</t>
    </rPh>
    <rPh sb="244" eb="245">
      <t>ゼイ</t>
    </rPh>
    <rPh sb="248" eb="249">
      <t>カク</t>
    </rPh>
    <rPh sb="249" eb="251">
      <t>キンガク</t>
    </rPh>
    <rPh sb="252" eb="254">
      <t>ヘンコウ</t>
    </rPh>
    <rPh sb="254" eb="255">
      <t>ジ</t>
    </rPh>
    <rPh sb="276" eb="279">
      <t>サイケイサン</t>
    </rPh>
    <phoneticPr fontId="1"/>
  </si>
  <si>
    <t>登録で使用する
ステータスは以下を使用する
・任意入力の場合＝ENABLE
・必須入力の場合＝REQUIRED
・入力不可の場合＝READ_ONLY
金額計算時に単価を再計算したい場合は、setAmtToUpriにtrueを渡す（金額入力時単価計算フラグ）
予定を登録する画面で本埋込画面を使用したい場合は、setSchdにtrueを渡す（予定系画面フラグ）
予定から単価を引き継ぎたい（単価をクリアしたくない）場合は、setSchdNoに単価項目を渡す
連携する取引通貨、取引先、品目、枝番１～３、取引単位、数量、取引金額小数部有効桁数、取引単価小数部有効桁数、金額端数処理区分、税端数処理区分、取引先の単価変更許可フラグ、品目の単価変更許可フラグ、値引品目フラグ、予定ＮＯ、取引単位換算基準数量、取引単位換算数量、予定時取引単位換算基準数量、予定時取引単位換算数量、基準単位小数部有効桁数、基準単位端数処理区分で初期化（※）する
※setupPartsで使用目的にあったsetRelateBeansを実行する</t>
  </si>
  <si>
    <t>一覧（ヘッダ）</t>
    <rPh sb="0" eb="2">
      <t>イチラン</t>
    </rPh>
    <phoneticPr fontId="1"/>
  </si>
  <si>
    <t>一覧（明細）</t>
    <rPh sb="0" eb="2">
      <t>イチラン</t>
    </rPh>
    <rPh sb="3" eb="5">
      <t>メイサイ</t>
    </rPh>
    <phoneticPr fontId="1"/>
  </si>
  <si>
    <t>MSUBP9999</t>
    <phoneticPr fontId="1"/>
  </si>
  <si>
    <t>種別</t>
    <rPh sb="0" eb="2">
      <t>シュベツ</t>
    </rPh>
    <phoneticPr fontId="1"/>
  </si>
  <si>
    <t>ア</t>
    <phoneticPr fontId="1"/>
  </si>
  <si>
    <t>購入仕様書No_ヘッダ</t>
    <phoneticPr fontId="1"/>
  </si>
  <si>
    <t>購入仕様書Ｎｏ、初物ＦＬＧを表示、入力する。
初物ＦＬＧは入力不可。
購入仕様書Noの入力イベントで、発注から初物FLGを取得し設定する。
初物取得の取得はリストロジック：PurcSpecNo　を利用</t>
    <rPh sb="0" eb="2">
      <t>コウニュウ</t>
    </rPh>
    <rPh sb="2" eb="5">
      <t>シヨウショ</t>
    </rPh>
    <rPh sb="8" eb="10">
      <t>ハツモノ</t>
    </rPh>
    <rPh sb="14" eb="16">
      <t>ヒョウジ</t>
    </rPh>
    <rPh sb="17" eb="19">
      <t>ニュウリョク</t>
    </rPh>
    <rPh sb="23" eb="25">
      <t>ハツモノ</t>
    </rPh>
    <rPh sb="29" eb="31">
      <t>ニュウリョク</t>
    </rPh>
    <rPh sb="31" eb="33">
      <t>フカ</t>
    </rPh>
    <phoneticPr fontId="1"/>
  </si>
  <si>
    <t>検索、登録で使用する
ステータスは以下を使用する
手配ＮＯ[n]無し可フラグを表示する場合はsetEnableSnoNullフラグにtrueを渡す
・任意入力で、検索条件で使用する場合＝ENABLE_SRCH
・必須入力の場合＝REQUIRED
・入力不可の場合＝READ_ONLY
※ [n]は１～４で、対応する手配ＮＯ[n]を制御する</t>
    <phoneticPr fontId="1"/>
  </si>
  <si>
    <t>登録でのみ使用する
ステータスは以下を使用する
・任意入力の場合＝ENABLE
・必須入力の場合＝REQUIRED
・入力不可の場合＝READ_ONLY</t>
    <phoneticPr fontId="1"/>
  </si>
  <si>
    <t>共通設計（埋込画面）</t>
    <rPh sb="0" eb="2">
      <t>キョウツウ</t>
    </rPh>
    <rPh sb="2" eb="4">
      <t>セッケイ</t>
    </rPh>
    <rPh sb="5" eb="7">
      <t>ウメコミ</t>
    </rPh>
    <rPh sb="7" eb="9">
      <t>ガメン</t>
    </rPh>
    <phoneticPr fontId="1"/>
  </si>
  <si>
    <t>共通処理設計（埋込画面）</t>
    <rPh sb="0" eb="2">
      <t>キョウツウ</t>
    </rPh>
    <rPh sb="2" eb="4">
      <t>ショリ</t>
    </rPh>
    <rPh sb="4" eb="6">
      <t>セッケイ</t>
    </rPh>
    <rPh sb="7" eb="9">
      <t>ウメコミ</t>
    </rPh>
    <rPh sb="9" eb="11">
      <t>ガメン</t>
    </rPh>
    <phoneticPr fontId="1"/>
  </si>
  <si>
    <t>レビュー実施記録</t>
    <rPh sb="4" eb="6">
      <t>ジッシ</t>
    </rPh>
    <rPh sb="6" eb="8">
      <t>キロク</t>
    </rPh>
    <phoneticPr fontId="1"/>
  </si>
  <si>
    <t>NO</t>
    <phoneticPr fontId="1"/>
  </si>
  <si>
    <t>レビュー日</t>
    <rPh sb="4" eb="5">
      <t>ビ</t>
    </rPh>
    <phoneticPr fontId="1"/>
  </si>
  <si>
    <t>開催場所</t>
    <rPh sb="0" eb="2">
      <t>カイサイ</t>
    </rPh>
    <rPh sb="2" eb="4">
      <t>バショ</t>
    </rPh>
    <phoneticPr fontId="1"/>
  </si>
  <si>
    <t>参加者</t>
    <rPh sb="0" eb="3">
      <t>サンカシャ</t>
    </rPh>
    <phoneticPr fontId="1"/>
  </si>
  <si>
    <t>本社</t>
    <rPh sb="0" eb="2">
      <t>ホンシャ</t>
    </rPh>
    <phoneticPr fontId="1"/>
  </si>
  <si>
    <t>EU：××、××</t>
    <phoneticPr fontId="1"/>
  </si>
  <si>
    <t>BP：××、××</t>
    <phoneticPr fontId="1"/>
  </si>
  <si>
    <t>B-ENG：××、××</t>
    <phoneticPr fontId="1"/>
  </si>
  <si>
    <t>レビュー指摘・確認対応記録</t>
    <rPh sb="4" eb="6">
      <t>シテキ</t>
    </rPh>
    <rPh sb="7" eb="9">
      <t>カクニン</t>
    </rPh>
    <rPh sb="9" eb="11">
      <t>タイオウ</t>
    </rPh>
    <rPh sb="11" eb="13">
      <t>キロク</t>
    </rPh>
    <phoneticPr fontId="1"/>
  </si>
  <si>
    <t>NO</t>
    <phoneticPr fontId="1"/>
  </si>
  <si>
    <t>指摘・確認事項</t>
    <rPh sb="0" eb="2">
      <t>シテキ</t>
    </rPh>
    <rPh sb="3" eb="5">
      <t>カクニン</t>
    </rPh>
    <rPh sb="5" eb="7">
      <t>ジコウ</t>
    </rPh>
    <phoneticPr fontId="1"/>
  </si>
  <si>
    <t>回答</t>
    <rPh sb="0" eb="2">
      <t>カイトウ</t>
    </rPh>
    <phoneticPr fontId="1"/>
  </si>
  <si>
    <t>確認日</t>
    <rPh sb="0" eb="2">
      <t>カクニン</t>
    </rPh>
    <rPh sb="2" eb="3">
      <t>ビ</t>
    </rPh>
    <phoneticPr fontId="1"/>
  </si>
  <si>
    <t>担当者</t>
    <rPh sb="0" eb="3">
      <t>タントウシャ</t>
    </rPh>
    <phoneticPr fontId="1"/>
  </si>
  <si>
    <t>内容</t>
    <rPh sb="0" eb="2">
      <t>ナイヨウ</t>
    </rPh>
    <phoneticPr fontId="1"/>
  </si>
  <si>
    <t>××</t>
    <phoneticPr fontId="1"/>
  </si>
  <si>
    <t>××</t>
    <phoneticPr fontId="1"/>
  </si>
  <si>
    <t>レビュー記録</t>
    <rPh sb="4" eb="6">
      <t>キロク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</si>
</sst>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
  </numFmts>
  <fonts count="17">
    <font>
      <sz val="9"/>
      <name val="ＭＳ Ｐゴシック"/>
      <family val="3"/>
      <charset val="128"/>
    </font>
    <font>
      <sz val="6"/>
      <name val="ＭＳ Ｐゴシック"/>
      <family val="3"/>
      <charset val="128"/>
    </font>
    <font>
      <b/>
      <sz val="9"/>
      <name val="ＭＳ Ｐゴシック"/>
      <family val="3"/>
      <charset val="128"/>
    </font>
    <font>
      <sz val="9"/>
      <name val="Meiryo UI"/>
      <family val="3"/>
      <charset val="128"/>
    </font>
    <font>
      <b/>
      <sz val="11"/>
      <name val="Meiryo UI"/>
      <family val="3"/>
      <charset val="128"/>
    </font>
    <font>
      <sz val="11"/>
      <name val="Meiryo UI"/>
      <family val="3"/>
      <charset val="128"/>
    </font>
    <font>
      <b/>
      <sz val="20"/>
      <color indexed="10"/>
      <name val="Meiryo UI"/>
      <family val="3"/>
      <charset val="128"/>
    </font>
    <font>
      <b/>
      <sz val="9"/>
      <color rgb="FFFF0000"/>
      <name val="Meiryo UI"/>
      <family val="3"/>
      <charset val="128"/>
    </font>
    <font>
      <b/>
      <sz val="12"/>
      <name val="Meiryo UI"/>
      <family val="3"/>
      <charset val="128"/>
    </font>
    <font>
      <b/>
      <sz val="10"/>
      <name val="Meiryo UI"/>
      <family val="3"/>
      <charset val="128"/>
    </font>
    <font>
      <sz val="10"/>
      <name val="Meiryo UI"/>
      <family val="3"/>
      <charset val="128"/>
    </font>
    <font>
      <b/>
      <sz val="9"/>
      <name val="Meiryo UI"/>
      <family val="3"/>
      <charset val="128"/>
    </font>
    <font>
      <sz val="11"/>
      <name val="ＭＳ Ｐゴシック"/>
      <family val="3"/>
      <charset val="128"/>
    </font>
    <font>
      <sz val="10"/>
      <color rgb="FFFF0000"/>
      <name val="Meiryo UI"/>
      <family val="3"/>
      <charset val="128"/>
    </font>
    <font>
      <sz val="11"/>
      <name val="ＭＳ ゴシック"/>
      <family val="3"/>
      <charset val="128"/>
    </font>
    <font>
      <sz val="10"/>
      <color theme="0"/>
      <name val="Meiryo UI"/>
      <family val="3"/>
      <charset val="128"/>
    </font>
    <font>
      <sz val="9"/>
      <name val="ＭＳ Ｐゴシック"/>
      <family val="3"/>
      <charset val="128"/>
    </font>
  </fonts>
  <fills count="8">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rgb="FFCCFFCC"/>
        <bgColor indexed="64"/>
      </patternFill>
    </fill>
    <fill>
      <patternFill patternType="solid">
        <fgColor rgb="FFFFFF99"/>
        <bgColor indexed="64"/>
      </patternFill>
    </fill>
    <fill>
      <patternFill patternType="solid">
        <fgColor theme="5" tint="0.79998168889431442"/>
        <bgColor indexed="64"/>
      </patternFill>
    </fill>
    <fill>
      <patternFill patternType="solid">
        <fgColor rgb="FFFF0000"/>
        <bgColor indexed="64"/>
      </patternFill>
    </fill>
  </fills>
  <borders count="86">
    <border>
      <left/>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top style="medium">
        <color indexed="64"/>
      </top>
      <bottom style="double">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style="medium">
        <color indexed="64"/>
      </top>
      <bottom style="double">
        <color indexed="64"/>
      </bottom>
      <diagonal/>
    </border>
    <border>
      <left style="thin">
        <color indexed="64"/>
      </left>
      <right style="hair">
        <color indexed="64"/>
      </right>
      <top style="double">
        <color indexed="64"/>
      </top>
      <bottom style="thin">
        <color indexed="64"/>
      </bottom>
      <diagonal/>
    </border>
    <border>
      <left style="medium">
        <color indexed="64"/>
      </left>
      <right/>
      <top/>
      <bottom style="double">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style="hair">
        <color indexed="64"/>
      </right>
      <top style="thin">
        <color indexed="64"/>
      </top>
      <bottom style="double">
        <color indexed="64"/>
      </bottom>
      <diagonal/>
    </border>
    <border>
      <left style="medium">
        <color indexed="64"/>
      </left>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hair">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double">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top/>
      <bottom/>
      <diagonal/>
    </border>
    <border>
      <left/>
      <right style="thin">
        <color indexed="64"/>
      </right>
      <top/>
      <bottom/>
      <diagonal/>
    </border>
    <border>
      <left/>
      <right style="medium">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2" fillId="0" borderId="0"/>
  </cellStyleXfs>
  <cellXfs count="247">
    <xf numFmtId="0" fontId="0" fillId="0" borderId="0" xfId="0">
      <alignment vertical="center"/>
    </xf>
    <xf numFmtId="0" fontId="3" fillId="0" borderId="0" xfId="0" applyFont="1">
      <alignment vertical="center"/>
    </xf>
    <xf numFmtId="0" fontId="6" fillId="0" borderId="0" xfId="0" applyFont="1">
      <alignment vertical="center"/>
    </xf>
    <xf numFmtId="0" fontId="3" fillId="0" borderId="0" xfId="0" applyFont="1" applyFill="1">
      <alignment vertical="center"/>
    </xf>
    <xf numFmtId="0" fontId="7" fillId="0" borderId="0" xfId="0" applyFont="1" applyFill="1">
      <alignment vertical="center"/>
    </xf>
    <xf numFmtId="0" fontId="3" fillId="0" borderId="10" xfId="0" applyNumberFormat="1" applyFont="1" applyBorder="1" applyAlignment="1">
      <alignment horizontal="center" vertical="top"/>
    </xf>
    <xf numFmtId="0" fontId="0" fillId="0" borderId="0" xfId="0" applyAlignment="1">
      <alignment horizontal="center" vertical="center"/>
    </xf>
    <xf numFmtId="0" fontId="2" fillId="0" borderId="0" xfId="0" applyFont="1">
      <alignment vertical="center"/>
    </xf>
    <xf numFmtId="0" fontId="3" fillId="0" borderId="0" xfId="0" applyFont="1" applyBorder="1">
      <alignment vertical="center"/>
    </xf>
    <xf numFmtId="0" fontId="3" fillId="0" borderId="12" xfId="0" applyFont="1" applyBorder="1">
      <alignment vertical="center"/>
    </xf>
    <xf numFmtId="0" fontId="3" fillId="0" borderId="2" xfId="0" applyFont="1" applyBorder="1">
      <alignment vertical="center"/>
    </xf>
    <xf numFmtId="0" fontId="3" fillId="0" borderId="22" xfId="0" applyFont="1" applyBorder="1">
      <alignment vertical="center"/>
    </xf>
    <xf numFmtId="0" fontId="3" fillId="0" borderId="8" xfId="0" applyFont="1" applyBorder="1" applyAlignment="1">
      <alignment vertical="top" wrapText="1"/>
    </xf>
    <xf numFmtId="0" fontId="3" fillId="0" borderId="24" xfId="0" applyFont="1" applyBorder="1" applyAlignment="1">
      <alignment horizontal="center" vertical="top"/>
    </xf>
    <xf numFmtId="0" fontId="3" fillId="0" borderId="23" xfId="0" applyFont="1" applyBorder="1" applyAlignment="1">
      <alignment horizontal="center" vertical="top"/>
    </xf>
    <xf numFmtId="0" fontId="11" fillId="2" borderId="6" xfId="0" applyFont="1" applyFill="1" applyBorder="1" applyAlignment="1">
      <alignment horizontal="center"/>
    </xf>
    <xf numFmtId="0" fontId="3" fillId="0" borderId="7" xfId="0" applyFont="1" applyBorder="1" applyAlignment="1">
      <alignment vertical="top" wrapText="1"/>
    </xf>
    <xf numFmtId="177" fontId="3" fillId="0" borderId="8" xfId="0" applyNumberFormat="1" applyFont="1" applyBorder="1" applyAlignment="1">
      <alignment horizontal="center" vertical="top"/>
    </xf>
    <xf numFmtId="14" fontId="3" fillId="0" borderId="24" xfId="0" applyNumberFormat="1" applyFont="1" applyBorder="1" applyAlignment="1">
      <alignment horizontal="center" vertical="top"/>
    </xf>
    <xf numFmtId="0" fontId="3" fillId="0" borderId="26" xfId="0" applyFont="1" applyBorder="1" applyAlignment="1">
      <alignment horizontal="center" vertical="top"/>
    </xf>
    <xf numFmtId="0" fontId="11" fillId="2" borderId="25" xfId="0" applyFont="1" applyFill="1" applyBorder="1" applyAlignment="1">
      <alignment horizontal="center"/>
    </xf>
    <xf numFmtId="0" fontId="3" fillId="0" borderId="24" xfId="0" applyNumberFormat="1" applyFont="1" applyBorder="1" applyAlignment="1">
      <alignment horizontal="center" vertical="top"/>
    </xf>
    <xf numFmtId="0" fontId="11" fillId="2" borderId="28" xfId="0" applyFont="1" applyFill="1" applyBorder="1" applyAlignment="1">
      <alignment horizontal="center"/>
    </xf>
    <xf numFmtId="0" fontId="11" fillId="2" borderId="30" xfId="0" applyFont="1" applyFill="1" applyBorder="1" applyAlignment="1">
      <alignment horizontal="center"/>
    </xf>
    <xf numFmtId="177" fontId="3" fillId="0" borderId="4" xfId="0" applyNumberFormat="1" applyFont="1" applyBorder="1" applyAlignment="1">
      <alignment horizontal="center" vertical="top"/>
    </xf>
    <xf numFmtId="0" fontId="11" fillId="2" borderId="21" xfId="0" applyFont="1" applyFill="1" applyBorder="1" applyAlignment="1">
      <alignment horizontal="center"/>
    </xf>
    <xf numFmtId="0" fontId="3" fillId="4" borderId="27" xfId="0" applyFont="1" applyFill="1" applyBorder="1" applyAlignment="1">
      <alignment horizontal="center"/>
    </xf>
    <xf numFmtId="0" fontId="3" fillId="4" borderId="29" xfId="0" applyFont="1" applyFill="1" applyBorder="1" applyAlignment="1">
      <alignment horizontal="center"/>
    </xf>
    <xf numFmtId="0" fontId="3" fillId="0" borderId="8" xfId="0" applyNumberFormat="1" applyFont="1" applyBorder="1" applyAlignment="1">
      <alignment horizontal="center" vertical="top"/>
    </xf>
    <xf numFmtId="0" fontId="3" fillId="0" borderId="8" xfId="0" applyFont="1" applyBorder="1" applyAlignment="1">
      <alignment horizontal="left" vertical="top"/>
    </xf>
    <xf numFmtId="0" fontId="11" fillId="2" borderId="31" xfId="0" applyFont="1" applyFill="1" applyBorder="1" applyAlignment="1">
      <alignment horizontal="center"/>
    </xf>
    <xf numFmtId="0" fontId="11" fillId="2" borderId="32" xfId="0" applyFont="1" applyFill="1" applyBorder="1" applyAlignment="1">
      <alignment horizontal="center"/>
    </xf>
    <xf numFmtId="177" fontId="3" fillId="0" borderId="33" xfId="0" applyNumberFormat="1" applyFont="1" applyBorder="1" applyAlignment="1">
      <alignment horizontal="center" vertical="top"/>
    </xf>
    <xf numFmtId="0" fontId="3" fillId="0" borderId="34" xfId="0" applyNumberFormat="1" applyFont="1" applyBorder="1" applyAlignment="1">
      <alignment horizontal="center" vertical="top"/>
    </xf>
    <xf numFmtId="177" fontId="3" fillId="0" borderId="16" xfId="0" applyNumberFormat="1" applyFont="1" applyBorder="1" applyAlignment="1">
      <alignment horizontal="center" vertical="top"/>
    </xf>
    <xf numFmtId="0" fontId="3" fillId="0" borderId="16" xfId="0" applyFont="1" applyBorder="1" applyAlignment="1">
      <alignment vertical="top" wrapText="1"/>
    </xf>
    <xf numFmtId="0" fontId="3" fillId="0" borderId="35" xfId="0" applyFont="1" applyBorder="1" applyAlignment="1">
      <alignment horizontal="center" vertical="top"/>
    </xf>
    <xf numFmtId="0" fontId="11" fillId="2" borderId="36" xfId="0" applyFont="1" applyFill="1" applyBorder="1" applyAlignment="1">
      <alignment horizontal="center"/>
    </xf>
    <xf numFmtId="0" fontId="3" fillId="4" borderId="37" xfId="0" applyFont="1" applyFill="1" applyBorder="1" applyAlignment="1">
      <alignment horizontal="center"/>
    </xf>
    <xf numFmtId="177" fontId="3" fillId="0" borderId="38" xfId="0" applyNumberFormat="1" applyFont="1" applyBorder="1" applyAlignment="1">
      <alignment horizontal="center" vertical="top"/>
    </xf>
    <xf numFmtId="14" fontId="3" fillId="0" borderId="39" xfId="0" applyNumberFormat="1" applyFont="1" applyBorder="1" applyAlignment="1">
      <alignment horizontal="center" vertical="top"/>
    </xf>
    <xf numFmtId="0" fontId="3" fillId="0" borderId="15" xfId="0" applyFont="1" applyBorder="1" applyAlignment="1">
      <alignment vertical="top" wrapText="1"/>
    </xf>
    <xf numFmtId="0" fontId="3" fillId="0" borderId="40" xfId="0" applyNumberFormat="1" applyFont="1" applyBorder="1" applyAlignment="1">
      <alignment horizontal="center" vertical="top"/>
    </xf>
    <xf numFmtId="177" fontId="3" fillId="0" borderId="41" xfId="0" applyNumberFormat="1" applyFont="1" applyBorder="1" applyAlignment="1">
      <alignment horizontal="center" vertical="top"/>
    </xf>
    <xf numFmtId="0" fontId="3" fillId="0" borderId="42" xfId="0" applyFont="1" applyBorder="1" applyAlignment="1">
      <alignment horizontal="center" vertical="top"/>
    </xf>
    <xf numFmtId="0" fontId="3" fillId="0" borderId="35" xfId="0" applyNumberFormat="1" applyFont="1" applyBorder="1" applyAlignment="1">
      <alignment horizontal="center" vertical="top"/>
    </xf>
    <xf numFmtId="0" fontId="11" fillId="5" borderId="20" xfId="0" applyFont="1" applyFill="1" applyBorder="1">
      <alignment vertical="center"/>
    </xf>
    <xf numFmtId="0" fontId="3" fillId="0" borderId="44" xfId="0" applyFont="1" applyBorder="1">
      <alignment vertical="center"/>
    </xf>
    <xf numFmtId="0" fontId="11" fillId="5" borderId="44" xfId="0" applyFont="1" applyFill="1" applyBorder="1">
      <alignment vertical="center"/>
    </xf>
    <xf numFmtId="14" fontId="3" fillId="0" borderId="44" xfId="0" applyNumberFormat="1" applyFont="1" applyFill="1" applyBorder="1" applyAlignment="1">
      <alignment horizontal="center" shrinkToFit="1"/>
    </xf>
    <xf numFmtId="0" fontId="11" fillId="5" borderId="45" xfId="0" applyFont="1" applyFill="1" applyBorder="1">
      <alignment vertical="center"/>
    </xf>
    <xf numFmtId="0" fontId="11" fillId="5" borderId="9" xfId="0" applyFont="1" applyFill="1" applyBorder="1">
      <alignment vertical="center"/>
    </xf>
    <xf numFmtId="0" fontId="3" fillId="0" borderId="23" xfId="0" applyFont="1" applyBorder="1">
      <alignment vertical="center"/>
    </xf>
    <xf numFmtId="0" fontId="11" fillId="5" borderId="23" xfId="0" applyFont="1" applyFill="1" applyBorder="1">
      <alignment vertical="center"/>
    </xf>
    <xf numFmtId="14" fontId="3" fillId="0" borderId="23" xfId="0" applyNumberFormat="1" applyFont="1" applyBorder="1" applyAlignment="1">
      <alignment horizontal="center" shrinkToFit="1"/>
    </xf>
    <xf numFmtId="0" fontId="11" fillId="5" borderId="17" xfId="0" applyFont="1" applyFill="1" applyBorder="1">
      <alignment vertical="center"/>
    </xf>
    <xf numFmtId="0" fontId="3" fillId="0" borderId="42" xfId="0" applyFont="1" applyBorder="1">
      <alignment vertical="center"/>
    </xf>
    <xf numFmtId="0" fontId="11" fillId="5" borderId="42" xfId="0" applyFont="1" applyFill="1" applyBorder="1">
      <alignment vertical="center"/>
    </xf>
    <xf numFmtId="177" fontId="3" fillId="0" borderId="42" xfId="0" applyNumberFormat="1" applyFont="1" applyFill="1" applyBorder="1" applyAlignment="1">
      <alignment horizontal="center" shrinkToFit="1"/>
    </xf>
    <xf numFmtId="0" fontId="11" fillId="0" borderId="0" xfId="0" applyFont="1" applyAlignment="1">
      <alignment horizontal="center" vertical="center"/>
    </xf>
    <xf numFmtId="0" fontId="3" fillId="0" borderId="48" xfId="0" applyNumberFormat="1" applyFont="1" applyBorder="1" applyAlignment="1">
      <alignment horizontal="center" vertical="top"/>
    </xf>
    <xf numFmtId="177" fontId="3" fillId="0" borderId="5" xfId="0" applyNumberFormat="1" applyFont="1" applyBorder="1" applyAlignment="1">
      <alignment horizontal="center" vertical="top"/>
    </xf>
    <xf numFmtId="14" fontId="3" fillId="0" borderId="33" xfId="0" applyNumberFormat="1" applyFont="1" applyBorder="1" applyAlignment="1">
      <alignment horizontal="center" vertical="top" shrinkToFit="1"/>
    </xf>
    <xf numFmtId="0" fontId="3" fillId="0" borderId="26" xfId="0" applyNumberFormat="1" applyFont="1" applyBorder="1" applyAlignment="1">
      <alignment horizontal="center"/>
    </xf>
    <xf numFmtId="0" fontId="11" fillId="2" borderId="49" xfId="0" applyFont="1" applyFill="1" applyBorder="1" applyAlignment="1">
      <alignment horizontal="center"/>
    </xf>
    <xf numFmtId="0" fontId="3" fillId="0" borderId="7" xfId="0" applyNumberFormat="1" applyFont="1" applyBorder="1" applyAlignment="1">
      <alignment horizontal="center" shrinkToFit="1"/>
    </xf>
    <xf numFmtId="0" fontId="3" fillId="0" borderId="15" xfId="0" applyNumberFormat="1" applyFont="1" applyBorder="1" applyAlignment="1">
      <alignment horizontal="center" vertical="top"/>
    </xf>
    <xf numFmtId="0" fontId="3" fillId="0" borderId="16" xfId="0" applyNumberFormat="1" applyFont="1" applyBorder="1" applyAlignment="1">
      <alignment horizontal="center" vertical="top"/>
    </xf>
    <xf numFmtId="0" fontId="3" fillId="0" borderId="26" xfId="0" applyFont="1" applyBorder="1" applyAlignment="1">
      <alignment horizontal="left" vertical="top"/>
    </xf>
    <xf numFmtId="0" fontId="3" fillId="0" borderId="40" xfId="0" applyFont="1" applyBorder="1" applyAlignment="1">
      <alignment horizontal="left" vertical="top"/>
    </xf>
    <xf numFmtId="0" fontId="3" fillId="0" borderId="24" xfId="0" applyFont="1" applyBorder="1" applyAlignment="1">
      <alignment horizontal="left" vertical="top"/>
    </xf>
    <xf numFmtId="0" fontId="3" fillId="0" borderId="35" xfId="0" applyFont="1" applyBorder="1" applyAlignment="1">
      <alignment horizontal="left" vertical="top"/>
    </xf>
    <xf numFmtId="14" fontId="3" fillId="0" borderId="7" xfId="0" applyNumberFormat="1" applyFont="1" applyBorder="1" applyAlignment="1">
      <alignment horizontal="center" vertical="top" shrinkToFit="1"/>
    </xf>
    <xf numFmtId="14" fontId="3" fillId="0" borderId="8" xfId="0" applyNumberFormat="1" applyFont="1" applyBorder="1" applyAlignment="1">
      <alignment horizontal="center" vertical="top"/>
    </xf>
    <xf numFmtId="0" fontId="3" fillId="0" borderId="8" xfId="0" applyFont="1" applyBorder="1" applyAlignment="1">
      <alignment horizontal="center" vertical="top"/>
    </xf>
    <xf numFmtId="0" fontId="3" fillId="0" borderId="16" xfId="0" applyFont="1" applyBorder="1" applyAlignment="1">
      <alignment horizontal="center" vertical="top"/>
    </xf>
    <xf numFmtId="0" fontId="10" fillId="0" borderId="0" xfId="1" applyFont="1" applyAlignment="1">
      <alignment horizontal="center" vertical="center"/>
    </xf>
    <xf numFmtId="0" fontId="10" fillId="0" borderId="0" xfId="1" applyFont="1" applyAlignment="1">
      <alignment vertical="top"/>
    </xf>
    <xf numFmtId="0" fontId="10" fillId="0" borderId="0" xfId="1" applyFont="1" applyAlignment="1">
      <alignment horizontal="center" vertical="center" wrapText="1"/>
    </xf>
    <xf numFmtId="0" fontId="10" fillId="0" borderId="0" xfId="1" applyFont="1"/>
    <xf numFmtId="0" fontId="9" fillId="6" borderId="44" xfId="1" applyFont="1" applyFill="1" applyBorder="1" applyAlignment="1">
      <alignment horizontal="center" vertical="center"/>
    </xf>
    <xf numFmtId="0" fontId="9" fillId="6" borderId="44" xfId="1" applyFont="1" applyFill="1" applyBorder="1" applyAlignment="1">
      <alignment horizontal="center" vertical="center" wrapText="1"/>
    </xf>
    <xf numFmtId="0" fontId="9" fillId="6" borderId="45" xfId="1" applyFont="1" applyFill="1" applyBorder="1" applyAlignment="1">
      <alignment horizontal="center" vertical="center"/>
    </xf>
    <xf numFmtId="0" fontId="10" fillId="0" borderId="0" xfId="1" applyFont="1" applyAlignment="1">
      <alignment horizontal="center"/>
    </xf>
    <xf numFmtId="0" fontId="10" fillId="0" borderId="10" xfId="1" applyFont="1" applyFill="1" applyBorder="1" applyAlignment="1">
      <alignment vertical="center"/>
    </xf>
    <xf numFmtId="0" fontId="10" fillId="0" borderId="23" xfId="1" applyFont="1" applyFill="1" applyBorder="1" applyAlignment="1">
      <alignment vertical="center" wrapText="1"/>
    </xf>
    <xf numFmtId="0" fontId="10" fillId="0" borderId="50" xfId="1" applyFont="1" applyFill="1" applyBorder="1" applyAlignment="1">
      <alignment vertical="center"/>
    </xf>
    <xf numFmtId="0" fontId="10" fillId="0" borderId="0" xfId="1" applyFont="1" applyAlignment="1">
      <alignment vertical="center"/>
    </xf>
    <xf numFmtId="0" fontId="10" fillId="0" borderId="23" xfId="1" applyFont="1" applyFill="1" applyBorder="1" applyAlignment="1">
      <alignment horizontal="left" vertical="center" wrapText="1"/>
    </xf>
    <xf numFmtId="0" fontId="10" fillId="0" borderId="42" xfId="1" applyFont="1" applyFill="1" applyBorder="1" applyAlignment="1">
      <alignment horizontal="left" vertical="center" wrapText="1"/>
    </xf>
    <xf numFmtId="0" fontId="10" fillId="0" borderId="51" xfId="1" applyFont="1" applyFill="1" applyBorder="1" applyAlignment="1">
      <alignment vertical="center"/>
    </xf>
    <xf numFmtId="0" fontId="10" fillId="0" borderId="0" xfId="1" applyFont="1" applyBorder="1" applyAlignment="1">
      <alignment horizontal="center" vertical="center"/>
    </xf>
    <xf numFmtId="0" fontId="5" fillId="0" borderId="0" xfId="1" applyFont="1" applyBorder="1" applyAlignment="1">
      <alignment vertical="top"/>
    </xf>
    <xf numFmtId="0" fontId="10" fillId="0" borderId="0" xfId="1" applyFont="1" applyBorder="1" applyAlignment="1">
      <alignment vertical="top" wrapText="1"/>
    </xf>
    <xf numFmtId="0" fontId="10" fillId="0" borderId="0" xfId="1" applyFont="1" applyBorder="1" applyAlignment="1">
      <alignment vertical="top"/>
    </xf>
    <xf numFmtId="0" fontId="9" fillId="0" borderId="0" xfId="1" applyFont="1" applyBorder="1" applyAlignment="1">
      <alignment vertical="top" wrapText="1"/>
    </xf>
    <xf numFmtId="0" fontId="9" fillId="0" borderId="0" xfId="1" applyFont="1" applyBorder="1" applyAlignment="1">
      <alignment vertical="top"/>
    </xf>
    <xf numFmtId="0" fontId="10" fillId="0" borderId="0" xfId="1" applyFont="1" applyBorder="1"/>
    <xf numFmtId="0" fontId="10" fillId="0" borderId="0" xfId="1" applyFont="1" applyBorder="1" applyAlignment="1">
      <alignment wrapText="1"/>
    </xf>
    <xf numFmtId="0" fontId="10" fillId="0" borderId="0" xfId="1" quotePrefix="1" applyFont="1" applyBorder="1" applyAlignment="1">
      <alignment horizontal="center" vertical="top" wrapText="1"/>
    </xf>
    <xf numFmtId="0" fontId="10" fillId="0" borderId="0" xfId="1" quotePrefix="1" applyFont="1" applyBorder="1" applyAlignment="1">
      <alignment horizontal="center" vertical="top"/>
    </xf>
    <xf numFmtId="0" fontId="5" fillId="0" borderId="0" xfId="1" applyFont="1" applyBorder="1" applyAlignment="1">
      <alignment horizontal="center" vertical="center"/>
    </xf>
    <xf numFmtId="0" fontId="5" fillId="0" borderId="0" xfId="1" applyFont="1" applyBorder="1" applyAlignment="1">
      <alignment horizontal="center" vertical="center" wrapText="1"/>
    </xf>
    <xf numFmtId="0" fontId="5" fillId="0" borderId="0" xfId="1" applyFont="1" applyAlignment="1">
      <alignment horizontal="center" vertical="center"/>
    </xf>
    <xf numFmtId="0" fontId="5" fillId="0" borderId="0" xfId="1" applyFont="1" applyAlignment="1">
      <alignment vertical="top"/>
    </xf>
    <xf numFmtId="0" fontId="5" fillId="0" borderId="0" xfId="1" applyFont="1" applyAlignment="1">
      <alignment horizontal="center" vertical="center" wrapText="1"/>
    </xf>
    <xf numFmtId="0" fontId="13" fillId="0" borderId="50" xfId="1" applyFont="1" applyFill="1" applyBorder="1" applyAlignment="1">
      <alignment horizontal="center" vertical="center"/>
    </xf>
    <xf numFmtId="0" fontId="10" fillId="0" borderId="50" xfId="1" applyFont="1" applyFill="1" applyBorder="1" applyAlignment="1">
      <alignment vertical="center" wrapText="1"/>
    </xf>
    <xf numFmtId="0" fontId="9" fillId="6" borderId="54" xfId="1" applyFont="1" applyFill="1" applyBorder="1" applyAlignment="1">
      <alignment horizontal="center" vertical="center"/>
    </xf>
    <xf numFmtId="0" fontId="10" fillId="0" borderId="4" xfId="1" applyFont="1" applyFill="1" applyBorder="1" applyAlignment="1">
      <alignment vertical="center"/>
    </xf>
    <xf numFmtId="0" fontId="10" fillId="0" borderId="41" xfId="1" applyFont="1" applyFill="1" applyBorder="1" applyAlignment="1">
      <alignment vertical="center"/>
    </xf>
    <xf numFmtId="0" fontId="10" fillId="0" borderId="23" xfId="1" applyFont="1" applyFill="1" applyBorder="1" applyAlignment="1">
      <alignment vertical="center"/>
    </xf>
    <xf numFmtId="0" fontId="10" fillId="0" borderId="42" xfId="1" applyFont="1" applyFill="1" applyBorder="1" applyAlignment="1">
      <alignment vertical="center"/>
    </xf>
    <xf numFmtId="0" fontId="15" fillId="7" borderId="1" xfId="1" applyFont="1" applyFill="1" applyBorder="1" applyAlignment="1">
      <alignment vertical="center"/>
    </xf>
    <xf numFmtId="0" fontId="15" fillId="7" borderId="52" xfId="1" applyFont="1" applyFill="1" applyBorder="1" applyAlignment="1">
      <alignment vertical="center"/>
    </xf>
    <xf numFmtId="0" fontId="15" fillId="7" borderId="52" xfId="1" applyFont="1" applyFill="1" applyBorder="1" applyAlignment="1">
      <alignment vertical="center" wrapText="1"/>
    </xf>
    <xf numFmtId="0" fontId="15" fillId="7" borderId="52" xfId="1" applyFont="1" applyFill="1" applyBorder="1" applyAlignment="1">
      <alignment horizontal="left" vertical="center" wrapText="1"/>
    </xf>
    <xf numFmtId="0" fontId="15" fillId="7" borderId="53" xfId="1" applyFont="1" applyFill="1" applyBorder="1" applyAlignment="1">
      <alignment vertical="center"/>
    </xf>
    <xf numFmtId="0" fontId="15" fillId="7" borderId="0" xfId="1" applyFont="1" applyFill="1" applyAlignment="1">
      <alignment vertical="center"/>
    </xf>
    <xf numFmtId="0" fontId="4" fillId="3" borderId="11" xfId="0" applyFont="1" applyFill="1" applyBorder="1" applyAlignment="1">
      <alignment horizontal="center" vertical="center" wrapText="1"/>
    </xf>
    <xf numFmtId="0" fontId="5" fillId="3" borderId="13" xfId="0" applyFont="1" applyFill="1" applyBorder="1">
      <alignment vertical="center"/>
    </xf>
    <xf numFmtId="0" fontId="5" fillId="3" borderId="14" xfId="0" applyFont="1" applyFill="1" applyBorder="1">
      <alignment vertical="center"/>
    </xf>
    <xf numFmtId="0" fontId="5" fillId="0" borderId="11" xfId="0" applyFont="1" applyBorder="1" applyAlignment="1">
      <alignment horizontal="left" vertical="center"/>
    </xf>
    <xf numFmtId="0" fontId="5" fillId="0" borderId="13" xfId="0" applyFont="1" applyBorder="1" applyAlignment="1">
      <alignment horizontal="left" vertical="center"/>
    </xf>
    <xf numFmtId="0" fontId="5" fillId="0" borderId="14" xfId="0" applyFont="1" applyBorder="1" applyAlignment="1">
      <alignment horizontal="left" vertical="center"/>
    </xf>
    <xf numFmtId="0" fontId="5" fillId="0" borderId="8" xfId="0" applyFont="1" applyBorder="1" applyAlignment="1">
      <alignment horizontal="left" vertical="center" wrapText="1"/>
    </xf>
    <xf numFmtId="0" fontId="5" fillId="0" borderId="3" xfId="0" applyFont="1" applyBorder="1" applyAlignment="1">
      <alignment horizontal="left" vertical="center"/>
    </xf>
    <xf numFmtId="0" fontId="5" fillId="0" borderId="9" xfId="0" applyFont="1" applyBorder="1" applyAlignment="1">
      <alignment horizontal="left" vertical="center"/>
    </xf>
    <xf numFmtId="0" fontId="5" fillId="0" borderId="8" xfId="0" applyFont="1" applyBorder="1" applyAlignment="1">
      <alignment horizontal="left" vertical="center"/>
    </xf>
    <xf numFmtId="14" fontId="4" fillId="3" borderId="8" xfId="0" applyNumberFormat="1"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5" fillId="0" borderId="8" xfId="0" applyNumberFormat="1" applyFont="1" applyBorder="1" applyAlignment="1">
      <alignment horizontal="left" vertical="center"/>
    </xf>
    <xf numFmtId="0" fontId="5" fillId="0" borderId="3" xfId="0" applyNumberFormat="1" applyFont="1" applyBorder="1" applyAlignment="1">
      <alignment horizontal="left" vertical="center"/>
    </xf>
    <xf numFmtId="0" fontId="5" fillId="0" borderId="9" xfId="0" applyNumberFormat="1" applyFont="1" applyBorder="1" applyAlignment="1">
      <alignment horizontal="left" vertical="center"/>
    </xf>
    <xf numFmtId="0" fontId="4" fillId="3" borderId="8" xfId="0" applyFont="1" applyFill="1" applyBorder="1" applyAlignment="1">
      <alignment horizontal="center" vertical="center" wrapText="1"/>
    </xf>
    <xf numFmtId="0" fontId="5" fillId="3" borderId="3" xfId="0" applyFont="1" applyFill="1" applyBorder="1">
      <alignment vertical="center"/>
    </xf>
    <xf numFmtId="0" fontId="5" fillId="3" borderId="9" xfId="0" applyFont="1" applyFill="1" applyBorder="1">
      <alignment vertical="center"/>
    </xf>
    <xf numFmtId="176" fontId="5" fillId="0" borderId="11" xfId="0" applyNumberFormat="1" applyFont="1" applyBorder="1" applyAlignment="1">
      <alignment horizontal="left" vertical="center"/>
    </xf>
    <xf numFmtId="176" fontId="5" fillId="0" borderId="13" xfId="0" applyNumberFormat="1" applyFont="1" applyBorder="1" applyAlignment="1">
      <alignment horizontal="left" vertical="center"/>
    </xf>
    <xf numFmtId="176" fontId="5" fillId="0" borderId="14" xfId="0" applyNumberFormat="1" applyFont="1" applyBorder="1" applyAlignment="1">
      <alignment horizontal="left" vertical="center"/>
    </xf>
    <xf numFmtId="0" fontId="4" fillId="3" borderId="8"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9" xfId="0" applyFont="1" applyFill="1" applyBorder="1" applyAlignment="1">
      <alignment horizontal="center" vertical="center"/>
    </xf>
    <xf numFmtId="14" fontId="5" fillId="0" borderId="8"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9" xfId="0" applyFont="1" applyBorder="1" applyAlignment="1">
      <alignment horizontal="center" vertical="center" wrapText="1"/>
    </xf>
    <xf numFmtId="0" fontId="3" fillId="0" borderId="8" xfId="0" applyFont="1" applyBorder="1" applyAlignment="1">
      <alignment horizontal="center" vertical="center" wrapText="1"/>
    </xf>
    <xf numFmtId="0" fontId="5" fillId="0" borderId="23" xfId="0" applyFont="1" applyBorder="1" applyAlignment="1">
      <alignment horizontal="center" vertical="center"/>
    </xf>
    <xf numFmtId="177" fontId="5" fillId="0" borderId="8" xfId="0" applyNumberFormat="1" applyFont="1" applyBorder="1" applyAlignment="1">
      <alignment horizontal="center" vertical="center"/>
    </xf>
    <xf numFmtId="177" fontId="5" fillId="0" borderId="3" xfId="0" applyNumberFormat="1" applyFont="1" applyBorder="1" applyAlignment="1">
      <alignment horizontal="center" vertical="center"/>
    </xf>
    <xf numFmtId="177" fontId="5" fillId="0" borderId="9" xfId="0" applyNumberFormat="1" applyFont="1" applyBorder="1" applyAlignment="1">
      <alignment horizontal="center" vertical="center"/>
    </xf>
    <xf numFmtId="0" fontId="4" fillId="3" borderId="23" xfId="0" applyFont="1" applyFill="1" applyBorder="1" applyAlignment="1">
      <alignment horizontal="center" vertical="center" wrapText="1"/>
    </xf>
    <xf numFmtId="0" fontId="5" fillId="0" borderId="8" xfId="0" quotePrefix="1" applyFont="1" applyBorder="1" applyAlignment="1">
      <alignment horizontal="left" vertical="center"/>
    </xf>
    <xf numFmtId="0" fontId="8" fillId="4" borderId="43" xfId="0" applyFont="1" applyFill="1" applyBorder="1" applyAlignment="1">
      <alignment horizontal="center" vertical="center"/>
    </xf>
    <xf numFmtId="0" fontId="8" fillId="4" borderId="46" xfId="0" applyFont="1" applyFill="1" applyBorder="1" applyAlignment="1">
      <alignment horizontal="center" vertical="center"/>
    </xf>
    <xf numFmtId="0" fontId="8" fillId="4" borderId="47" xfId="0" applyFont="1" applyFill="1" applyBorder="1" applyAlignment="1">
      <alignment horizontal="center" vertical="center"/>
    </xf>
    <xf numFmtId="14" fontId="5" fillId="0" borderId="8" xfId="0" applyNumberFormat="1" applyFont="1" applyBorder="1" applyAlignment="1">
      <alignment horizontal="left" vertical="center"/>
    </xf>
    <xf numFmtId="0" fontId="11" fillId="2" borderId="18" xfId="0" applyFont="1" applyFill="1" applyBorder="1" applyAlignment="1">
      <alignment horizontal="center" shrinkToFit="1"/>
    </xf>
    <xf numFmtId="0" fontId="3" fillId="0" borderId="19" xfId="0" applyFont="1" applyBorder="1" applyAlignment="1">
      <alignment horizontal="center" shrinkToFit="1"/>
    </xf>
    <xf numFmtId="0" fontId="11" fillId="2" borderId="18" xfId="0" applyFont="1" applyFill="1" applyBorder="1" applyAlignment="1">
      <alignment horizontal="center"/>
    </xf>
    <xf numFmtId="0" fontId="3" fillId="0" borderId="19" xfId="0" applyFont="1" applyBorder="1" applyAlignment="1">
      <alignment horizontal="center"/>
    </xf>
    <xf numFmtId="0" fontId="11" fillId="2" borderId="28" xfId="0" applyFont="1" applyFill="1" applyBorder="1" applyAlignment="1">
      <alignment horizontal="center"/>
    </xf>
    <xf numFmtId="0" fontId="3" fillId="0" borderId="29" xfId="0" applyFont="1" applyBorder="1" applyAlignment="1">
      <alignment horizontal="center"/>
    </xf>
    <xf numFmtId="0" fontId="11" fillId="0" borderId="0" xfId="0" applyFont="1" applyFill="1" applyBorder="1" applyAlignment="1">
      <alignment horizontal="left"/>
    </xf>
    <xf numFmtId="0" fontId="11" fillId="0" borderId="0" xfId="0" applyFont="1" applyFill="1" applyBorder="1" applyAlignment="1">
      <alignment horizontal="center"/>
    </xf>
    <xf numFmtId="0" fontId="11" fillId="0" borderId="0" xfId="0" applyFont="1" applyFill="1" applyBorder="1" applyAlignment="1">
      <alignment horizontal="center" shrinkToFit="1"/>
    </xf>
    <xf numFmtId="0" fontId="3" fillId="0" borderId="0" xfId="0" applyFont="1" applyFill="1" applyBorder="1" applyAlignment="1">
      <alignment horizontal="center" shrinkToFit="1"/>
    </xf>
    <xf numFmtId="0" fontId="3" fillId="0" borderId="0" xfId="0" applyFont="1" applyFill="1" applyBorder="1" applyAlignment="1">
      <alignment horizontal="center"/>
    </xf>
    <xf numFmtId="0" fontId="3" fillId="2" borderId="55" xfId="0" applyFont="1" applyFill="1" applyBorder="1" applyAlignment="1">
      <alignment horizontal="center" vertical="top"/>
    </xf>
    <xf numFmtId="0" fontId="16" fillId="0" borderId="32" xfId="0" applyFont="1" applyBorder="1" applyAlignment="1">
      <alignment horizontal="center" vertical="top"/>
    </xf>
    <xf numFmtId="0" fontId="3" fillId="2" borderId="32" xfId="0" applyFont="1" applyFill="1" applyBorder="1" applyAlignment="1">
      <alignment horizontal="center" vertical="top"/>
    </xf>
    <xf numFmtId="0" fontId="3" fillId="2" borderId="6" xfId="0" applyFont="1" applyFill="1" applyBorder="1" applyAlignment="1">
      <alignment horizontal="center" vertical="top"/>
    </xf>
    <xf numFmtId="0" fontId="3" fillId="2" borderId="56" xfId="0" applyFont="1" applyFill="1" applyBorder="1" applyAlignment="1">
      <alignment horizontal="center" vertical="top"/>
    </xf>
    <xf numFmtId="0" fontId="3" fillId="2" borderId="57" xfId="0" applyFont="1" applyFill="1" applyBorder="1" applyAlignment="1">
      <alignment horizontal="center" vertical="top"/>
    </xf>
    <xf numFmtId="0" fontId="3" fillId="2" borderId="28" xfId="0" applyFont="1" applyFill="1" applyBorder="1" applyAlignment="1">
      <alignment horizontal="center" vertical="top"/>
    </xf>
    <xf numFmtId="0" fontId="3" fillId="2" borderId="58" xfId="0" applyFont="1" applyFill="1" applyBorder="1" applyAlignment="1">
      <alignment horizontal="center" vertical="top"/>
    </xf>
    <xf numFmtId="0" fontId="3" fillId="2" borderId="59" xfId="0" applyFont="1" applyFill="1" applyBorder="1" applyAlignment="1">
      <alignment horizontal="center" vertical="top"/>
    </xf>
    <xf numFmtId="0" fontId="3" fillId="0" borderId="48" xfId="0" applyNumberFormat="1" applyFont="1" applyBorder="1" applyAlignment="1">
      <alignment horizontal="center" vertical="top"/>
    </xf>
    <xf numFmtId="0" fontId="3" fillId="0" borderId="33" xfId="0" applyNumberFormat="1" applyFont="1" applyBorder="1" applyAlignment="1">
      <alignment horizontal="center" vertical="top"/>
    </xf>
    <xf numFmtId="14" fontId="3" fillId="0" borderId="33" xfId="0" applyNumberFormat="1" applyFont="1" applyBorder="1" applyAlignment="1">
      <alignment horizontal="center" vertical="top"/>
    </xf>
    <xf numFmtId="0" fontId="3" fillId="0" borderId="33" xfId="0" applyFont="1" applyBorder="1" applyAlignment="1">
      <alignment horizontal="center" vertical="top"/>
    </xf>
    <xf numFmtId="0" fontId="3" fillId="0" borderId="60" xfId="0" applyFont="1" applyBorder="1" applyAlignment="1">
      <alignment horizontal="left" vertical="top"/>
    </xf>
    <xf numFmtId="0" fontId="3" fillId="0" borderId="61" xfId="0" applyFont="1" applyBorder="1" applyAlignment="1">
      <alignment horizontal="left" vertical="top"/>
    </xf>
    <xf numFmtId="0" fontId="3" fillId="0" borderId="62" xfId="0" applyFont="1" applyBorder="1" applyAlignment="1">
      <alignment horizontal="left" vertical="top"/>
    </xf>
    <xf numFmtId="0" fontId="3" fillId="0" borderId="7" xfId="0" applyNumberFormat="1" applyFont="1" applyBorder="1" applyAlignment="1">
      <alignment horizontal="center" vertical="top"/>
    </xf>
    <xf numFmtId="0" fontId="3" fillId="0" borderId="63" xfId="0" applyNumberFormat="1" applyFont="1" applyBorder="1" applyAlignment="1">
      <alignment horizontal="center" vertical="top"/>
    </xf>
    <xf numFmtId="0" fontId="3" fillId="0" borderId="64" xfId="0" applyNumberFormat="1" applyFont="1" applyBorder="1" applyAlignment="1">
      <alignment horizontal="center" vertical="top"/>
    </xf>
    <xf numFmtId="0" fontId="3" fillId="0" borderId="10" xfId="0" applyNumberFormat="1" applyFont="1" applyBorder="1" applyAlignment="1">
      <alignment horizontal="center" vertical="top"/>
    </xf>
    <xf numFmtId="0" fontId="3" fillId="0" borderId="23" xfId="0" applyNumberFormat="1" applyFont="1" applyBorder="1" applyAlignment="1">
      <alignment horizontal="center" vertical="top"/>
    </xf>
    <xf numFmtId="0" fontId="3" fillId="0" borderId="23" xfId="0" applyFont="1" applyBorder="1" applyAlignment="1">
      <alignment horizontal="center" vertical="top"/>
    </xf>
    <xf numFmtId="0" fontId="3" fillId="0" borderId="65" xfId="0" applyFont="1" applyBorder="1" applyAlignment="1">
      <alignment horizontal="left" vertical="top"/>
    </xf>
    <xf numFmtId="0" fontId="3" fillId="0" borderId="0" xfId="0" applyFont="1" applyBorder="1" applyAlignment="1">
      <alignment horizontal="left" vertical="top"/>
    </xf>
    <xf numFmtId="0" fontId="3" fillId="0" borderId="66" xfId="0" applyFont="1" applyBorder="1" applyAlignment="1">
      <alignment horizontal="left" vertical="top"/>
    </xf>
    <xf numFmtId="0" fontId="3" fillId="0" borderId="8" xfId="0" applyNumberFormat="1" applyFont="1" applyBorder="1" applyAlignment="1">
      <alignment horizontal="center" vertical="top"/>
    </xf>
    <xf numFmtId="0" fontId="3" fillId="0" borderId="3" xfId="0" applyNumberFormat="1" applyFont="1" applyBorder="1" applyAlignment="1">
      <alignment horizontal="center" vertical="top"/>
    </xf>
    <xf numFmtId="0" fontId="3" fillId="0" borderId="67" xfId="0" applyNumberFormat="1" applyFont="1" applyBorder="1" applyAlignment="1">
      <alignment horizontal="center" vertical="top"/>
    </xf>
    <xf numFmtId="14" fontId="3" fillId="0" borderId="23" xfId="0" applyNumberFormat="1" applyFont="1" applyBorder="1" applyAlignment="1">
      <alignment horizontal="center" vertical="top"/>
    </xf>
    <xf numFmtId="0" fontId="3" fillId="0" borderId="11" xfId="0" applyFont="1" applyBorder="1" applyAlignment="1">
      <alignment horizontal="left" vertical="top"/>
    </xf>
    <xf numFmtId="0" fontId="3" fillId="0" borderId="13" xfId="0" applyFont="1" applyBorder="1" applyAlignment="1">
      <alignment horizontal="left" vertical="top"/>
    </xf>
    <xf numFmtId="0" fontId="3" fillId="0" borderId="14" xfId="0" applyFont="1" applyBorder="1" applyAlignment="1">
      <alignment horizontal="left" vertical="top"/>
    </xf>
    <xf numFmtId="0" fontId="3" fillId="0" borderId="34" xfId="0" applyNumberFormat="1" applyFont="1" applyBorder="1" applyAlignment="1">
      <alignment horizontal="center" vertical="top"/>
    </xf>
    <xf numFmtId="0" fontId="3" fillId="0" borderId="42" xfId="0" applyNumberFormat="1" applyFont="1" applyBorder="1" applyAlignment="1">
      <alignment horizontal="center" vertical="top"/>
    </xf>
    <xf numFmtId="0" fontId="3" fillId="0" borderId="42" xfId="0" applyFont="1" applyBorder="1" applyAlignment="1">
      <alignment horizontal="center" vertical="top"/>
    </xf>
    <xf numFmtId="0" fontId="3" fillId="0" borderId="68" xfId="0" applyFont="1" applyBorder="1" applyAlignment="1">
      <alignment horizontal="left" vertical="top"/>
    </xf>
    <xf numFmtId="0" fontId="3" fillId="0" borderId="2" xfId="0" applyFont="1" applyBorder="1" applyAlignment="1">
      <alignment horizontal="left" vertical="top"/>
    </xf>
    <xf numFmtId="0" fontId="3" fillId="0" borderId="69" xfId="0" applyFont="1" applyBorder="1" applyAlignment="1">
      <alignment horizontal="left" vertical="top"/>
    </xf>
    <xf numFmtId="0" fontId="3" fillId="0" borderId="16" xfId="0" applyNumberFormat="1" applyFont="1" applyBorder="1" applyAlignment="1">
      <alignment horizontal="center" vertical="top"/>
    </xf>
    <xf numFmtId="0" fontId="3" fillId="0" borderId="70" xfId="0" applyNumberFormat="1" applyFont="1" applyBorder="1" applyAlignment="1">
      <alignment horizontal="center" vertical="top"/>
    </xf>
    <xf numFmtId="0" fontId="3" fillId="0" borderId="71" xfId="0" applyNumberFormat="1" applyFont="1" applyBorder="1" applyAlignment="1">
      <alignment horizontal="center" vertical="top"/>
    </xf>
    <xf numFmtId="177" fontId="3" fillId="0" borderId="0" xfId="0" applyNumberFormat="1" applyFont="1" applyBorder="1" applyAlignment="1">
      <alignment horizontal="center"/>
    </xf>
    <xf numFmtId="0" fontId="3" fillId="0" borderId="0" xfId="0" applyFont="1" applyBorder="1" applyAlignment="1">
      <alignment horizontal="center"/>
    </xf>
    <xf numFmtId="0" fontId="3" fillId="0" borderId="0" xfId="0" applyNumberFormat="1" applyFont="1" applyBorder="1" applyAlignment="1">
      <alignment horizontal="center"/>
    </xf>
    <xf numFmtId="0" fontId="3" fillId="4" borderId="72" xfId="0" applyFont="1" applyFill="1" applyBorder="1" applyAlignment="1">
      <alignment horizontal="center" vertical="top"/>
    </xf>
    <xf numFmtId="0" fontId="3" fillId="4" borderId="44" xfId="0" applyFont="1" applyFill="1" applyBorder="1" applyAlignment="1">
      <alignment horizontal="center" vertical="top"/>
    </xf>
    <xf numFmtId="0" fontId="3" fillId="2" borderId="44" xfId="0" applyFont="1" applyFill="1" applyBorder="1" applyAlignment="1">
      <alignment horizontal="center" vertical="top"/>
    </xf>
    <xf numFmtId="0" fontId="3" fillId="2" borderId="45" xfId="0" applyFont="1" applyFill="1" applyBorder="1" applyAlignment="1">
      <alignment horizontal="center" vertical="top"/>
    </xf>
    <xf numFmtId="0" fontId="3" fillId="4" borderId="73" xfId="0" applyFont="1" applyFill="1" applyBorder="1" applyAlignment="1">
      <alignment horizontal="center" vertical="top"/>
    </xf>
    <xf numFmtId="0" fontId="3" fillId="4" borderId="74" xfId="0" applyFont="1" applyFill="1" applyBorder="1" applyAlignment="1">
      <alignment horizontal="center" vertical="top"/>
    </xf>
    <xf numFmtId="0" fontId="3" fillId="2" borderId="74" xfId="0" applyFont="1" applyFill="1" applyBorder="1" applyAlignment="1">
      <alignment horizontal="center" vertical="top"/>
    </xf>
    <xf numFmtId="0" fontId="3" fillId="2" borderId="75" xfId="0" applyFont="1" applyFill="1" applyBorder="1" applyAlignment="1">
      <alignment horizontal="center" vertical="top"/>
    </xf>
    <xf numFmtId="0" fontId="3" fillId="0" borderId="76" xfId="0" applyNumberFormat="1" applyFont="1" applyBorder="1" applyAlignment="1">
      <alignment horizontal="center" vertical="top"/>
    </xf>
    <xf numFmtId="0" fontId="3" fillId="0" borderId="77" xfId="0" applyNumberFormat="1" applyFont="1" applyBorder="1" applyAlignment="1">
      <alignment horizontal="center" vertical="top"/>
    </xf>
    <xf numFmtId="177" fontId="3" fillId="0" borderId="78" xfId="0" applyNumberFormat="1" applyFont="1" applyBorder="1" applyAlignment="1">
      <alignment horizontal="center" vertical="top"/>
    </xf>
    <xf numFmtId="177" fontId="3" fillId="0" borderId="79" xfId="0" applyNumberFormat="1" applyFont="1" applyBorder="1" applyAlignment="1">
      <alignment horizontal="center" vertical="top"/>
    </xf>
    <xf numFmtId="177" fontId="3" fillId="0" borderId="77" xfId="0" applyNumberFormat="1" applyFont="1" applyBorder="1" applyAlignment="1">
      <alignment horizontal="center" vertical="top"/>
    </xf>
    <xf numFmtId="0" fontId="3" fillId="0" borderId="78" xfId="0" applyFont="1" applyBorder="1" applyAlignment="1">
      <alignment vertical="top" wrapText="1"/>
    </xf>
    <xf numFmtId="0" fontId="3" fillId="0" borderId="79" xfId="0" applyFont="1" applyBorder="1" applyAlignment="1">
      <alignment vertical="top"/>
    </xf>
    <xf numFmtId="0" fontId="3" fillId="0" borderId="77" xfId="0" applyFont="1" applyBorder="1" applyAlignment="1">
      <alignment vertical="top"/>
    </xf>
    <xf numFmtId="0" fontId="3" fillId="0" borderId="78" xfId="0" applyNumberFormat="1" applyFont="1" applyBorder="1" applyAlignment="1">
      <alignment horizontal="center" vertical="top"/>
    </xf>
    <xf numFmtId="0" fontId="3" fillId="0" borderId="79" xfId="0" applyNumberFormat="1" applyFont="1" applyBorder="1" applyAlignment="1">
      <alignment horizontal="center" vertical="top"/>
    </xf>
    <xf numFmtId="14" fontId="3" fillId="0" borderId="78" xfId="0" applyNumberFormat="1" applyFont="1" applyBorder="1" applyAlignment="1">
      <alignment horizontal="center" vertical="top"/>
    </xf>
    <xf numFmtId="14" fontId="3" fillId="0" borderId="79" xfId="0" applyNumberFormat="1" applyFont="1" applyBorder="1" applyAlignment="1">
      <alignment horizontal="center" vertical="top"/>
    </xf>
    <xf numFmtId="14" fontId="3" fillId="0" borderId="80" xfId="0" applyNumberFormat="1" applyFont="1" applyBorder="1" applyAlignment="1">
      <alignment horizontal="center" vertical="top"/>
    </xf>
    <xf numFmtId="0" fontId="3" fillId="0" borderId="81" xfId="0" applyNumberFormat="1" applyFont="1" applyBorder="1" applyAlignment="1">
      <alignment horizontal="center" vertical="top"/>
    </xf>
    <xf numFmtId="0" fontId="3" fillId="0" borderId="82" xfId="0" applyNumberFormat="1" applyFont="1" applyBorder="1" applyAlignment="1">
      <alignment horizontal="center" vertical="top"/>
    </xf>
    <xf numFmtId="177" fontId="3" fillId="0" borderId="83" xfId="0" applyNumberFormat="1" applyFont="1" applyBorder="1" applyAlignment="1">
      <alignment horizontal="center" vertical="top"/>
    </xf>
    <xf numFmtId="177" fontId="3" fillId="0" borderId="84" xfId="0" applyNumberFormat="1" applyFont="1" applyBorder="1" applyAlignment="1">
      <alignment horizontal="center" vertical="top"/>
    </xf>
    <xf numFmtId="177" fontId="3" fillId="0" borderId="82" xfId="0" applyNumberFormat="1" applyFont="1" applyBorder="1" applyAlignment="1">
      <alignment horizontal="center" vertical="top"/>
    </xf>
    <xf numFmtId="0" fontId="3" fillId="0" borderId="83" xfId="0" applyFont="1" applyBorder="1" applyAlignment="1">
      <alignment horizontal="left" vertical="top" wrapText="1"/>
    </xf>
    <xf numFmtId="0" fontId="3" fillId="0" borderId="84" xfId="0" applyFont="1" applyBorder="1" applyAlignment="1">
      <alignment horizontal="left" vertical="top" wrapText="1"/>
    </xf>
    <xf numFmtId="0" fontId="3" fillId="0" borderId="82" xfId="0" applyFont="1" applyBorder="1" applyAlignment="1">
      <alignment horizontal="left" vertical="top" wrapText="1"/>
    </xf>
    <xf numFmtId="0" fontId="3" fillId="0" borderId="83" xfId="0" applyNumberFormat="1" applyFont="1" applyBorder="1" applyAlignment="1">
      <alignment horizontal="center" vertical="top"/>
    </xf>
    <xf numFmtId="0" fontId="3" fillId="0" borderId="84" xfId="0" applyNumberFormat="1" applyFont="1" applyBorder="1" applyAlignment="1">
      <alignment horizontal="center" vertical="top"/>
    </xf>
    <xf numFmtId="14" fontId="3" fillId="0" borderId="83" xfId="0" applyNumberFormat="1" applyFont="1" applyBorder="1" applyAlignment="1">
      <alignment horizontal="center" vertical="top"/>
    </xf>
    <xf numFmtId="14" fontId="3" fillId="0" borderId="84" xfId="0" applyNumberFormat="1" applyFont="1" applyBorder="1" applyAlignment="1">
      <alignment horizontal="center" vertical="top"/>
    </xf>
    <xf numFmtId="14" fontId="3" fillId="0" borderId="85" xfId="0" applyNumberFormat="1" applyFont="1" applyBorder="1" applyAlignment="1">
      <alignment horizontal="center" vertical="top"/>
    </xf>
  </cellXfs>
  <cellStyles count="2">
    <cellStyle name="標準" xfId="0" builtinId="0"/>
    <cellStyle name="標準 2" xfId="1"/>
  </cellStyles>
  <dxfs count="1">
    <dxf>
      <border>
        <top style="thin">
          <color auto="1"/>
        </top>
        <vertical/>
        <horizontal/>
      </border>
    </dxf>
  </dxfs>
  <tableStyles count="0" defaultTableStyle="TableStyleMedium9" defaultPivotStyle="PivotStyleLight16"/>
  <colors>
    <mruColors>
      <color rgb="FFCCFFCC"/>
      <color rgb="FFFFCCFF"/>
      <color rgb="FFD9D9D9"/>
      <color rgb="FFCCFFFF"/>
      <color rgb="FFFFFF99"/>
      <color rgb="FFFFFFCC"/>
      <color rgb="FFA7FFA7"/>
      <color rgb="FFFF99FF"/>
      <color rgb="FF99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_rels/drawing3.xml.rels><?xml version="1.0" encoding="UTF-8" standalone="yes"?>
<Relationships xmlns="http://schemas.openxmlformats.org/package/2006/relationships"><Relationship Id="rId1" Type="http://schemas.openxmlformats.org/officeDocument/2006/relationships/image" Target="../media/image6.emf"/></Relationships>
</file>

<file path=xl/drawings/_rels/drawing4.xml.rels><?xml version="1.0" encoding="UTF-8" standalone="yes"?>
<Relationships xmlns="http://schemas.openxmlformats.org/package/2006/relationships"><Relationship Id="rId1" Type="http://schemas.openxmlformats.org/officeDocument/2006/relationships/image" Target="../media/image8.emf"/></Relationships>
</file>

<file path=xl/drawings/_rels/drawing5.xml.rels><?xml version="1.0" encoding="UTF-8" standalone="yes"?>
<Relationships xmlns="http://schemas.openxmlformats.org/package/2006/relationships"><Relationship Id="rId1" Type="http://schemas.openxmlformats.org/officeDocument/2006/relationships/image" Target="../media/image10.emf"/></Relationships>
</file>

<file path=xl/drawings/_rels/drawing6.x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10</xdr:col>
      <xdr:colOff>48746</xdr:colOff>
      <xdr:row>37</xdr:row>
      <xdr:rowOff>76760</xdr:rowOff>
    </xdr:from>
    <xdr:to>
      <xdr:col>39</xdr:col>
      <xdr:colOff>10646</xdr:colOff>
      <xdr:row>39</xdr:row>
      <xdr:rowOff>86285</xdr:rowOff>
    </xdr:to>
    <xdr:grpSp>
      <xdr:nvGrpSpPr>
        <xdr:cNvPr id="1136" name="Group 2"/>
        <xdr:cNvGrpSpPr>
          <a:grpSpLocks/>
        </xdr:cNvGrpSpPr>
      </xdr:nvGrpSpPr>
      <xdr:grpSpPr bwMode="auto">
        <a:xfrm>
          <a:off x="1953746" y="6334685"/>
          <a:ext cx="5486400" cy="295275"/>
          <a:chOff x="288" y="656"/>
          <a:chExt cx="576" cy="31"/>
        </a:xfrm>
      </xdr:grpSpPr>
      <xdr:pic>
        <xdr:nvPicPr>
          <xdr:cNvPr id="1140" name="Picture 3" descr="BL-J_Bw"/>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4" y="661"/>
            <a:ext cx="450" cy="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41"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8" y="656"/>
            <a:ext cx="107" cy="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grpSp>
    <xdr:clientData/>
  </xdr:twoCellAnchor>
  <xdr:twoCellAnchor editAs="oneCell">
    <xdr:from>
      <xdr:col>8</xdr:col>
      <xdr:colOff>142875</xdr:colOff>
      <xdr:row>8</xdr:row>
      <xdr:rowOff>66675</xdr:rowOff>
    </xdr:from>
    <xdr:to>
      <xdr:col>41</xdr:col>
      <xdr:colOff>38100</xdr:colOff>
      <xdr:row>20</xdr:row>
      <xdr:rowOff>19050</xdr:rowOff>
    </xdr:to>
    <xdr:sp macro="" textlink="">
      <xdr:nvSpPr>
        <xdr:cNvPr id="1033" name="AutoShape 5"/>
        <xdr:cNvSpPr>
          <a:spLocks noChangeArrowheads="1"/>
        </xdr:cNvSpPr>
      </xdr:nvSpPr>
      <xdr:spPr bwMode="auto">
        <a:xfrm>
          <a:off x="1666875" y="1247775"/>
          <a:ext cx="6181725" cy="1781175"/>
        </a:xfrm>
        <a:prstGeom prst="roundRect">
          <a:avLst>
            <a:gd name="adj" fmla="val 16667"/>
          </a:avLst>
        </a:prstGeom>
        <a:solidFill>
          <a:srgbClr val="FFFFFF"/>
        </a:solidFill>
        <a:ln w="25400">
          <a:solidFill>
            <a:srgbClr val="000000"/>
          </a:solidFill>
          <a:round/>
          <a:headEnd/>
          <a:tailEnd/>
        </a:ln>
        <a:effectLst>
          <a:outerShdw dist="107763" dir="2700000" algn="ctr" rotWithShape="0">
            <a:srgbClr val="333333"/>
          </a:outerShdw>
        </a:effectLst>
      </xdr:spPr>
      <xdr:txBody>
        <a:bodyPr vertOverflow="clip" wrap="square" lIns="64008" tIns="41148" rIns="64008" bIns="41148" anchor="ctr" upright="1"/>
        <a:lstStyle/>
        <a:p>
          <a:pPr algn="ctr" rtl="0">
            <a:defRPr sz="1000"/>
          </a:pPr>
          <a:r>
            <a:rPr lang="ja-JP" altLang="en-US" sz="3600" b="0" i="0" u="none" strike="noStrike" baseline="0">
              <a:solidFill>
                <a:srgbClr val="000000"/>
              </a:solidFill>
              <a:latin typeface="ＭＳ Ｐゴシック"/>
              <a:ea typeface="ＭＳ Ｐゴシック"/>
            </a:rPr>
            <a:t>共通設計書</a:t>
          </a:r>
          <a:endParaRPr lang="en-US" altLang="ja-JP" sz="3600" b="0" i="0" u="none" strike="noStrike" baseline="0">
            <a:solidFill>
              <a:srgbClr val="000000"/>
            </a:solidFill>
            <a:latin typeface="ＭＳ Ｐゴシック"/>
            <a:ea typeface="ＭＳ Ｐゴシック"/>
          </a:endParaRPr>
        </a:p>
        <a:p>
          <a:pPr algn="ctr" rtl="0">
            <a:defRPr sz="1000"/>
          </a:pPr>
          <a:r>
            <a:rPr lang="ja-JP" altLang="en-US" sz="3600" b="0" i="0" u="none" strike="noStrike" baseline="0">
              <a:solidFill>
                <a:srgbClr val="000000"/>
              </a:solidFill>
              <a:latin typeface="ＭＳ Ｐゴシック"/>
              <a:ea typeface="ＭＳ Ｐゴシック"/>
            </a:rPr>
            <a:t>（埋込画面）</a:t>
          </a:r>
        </a:p>
      </xdr:txBody>
    </xdr:sp>
    <xdr:clientData/>
  </xdr:twoCellAnchor>
  <xdr:twoCellAnchor editAs="oneCell">
    <xdr:from>
      <xdr:col>44</xdr:col>
      <xdr:colOff>152400</xdr:colOff>
      <xdr:row>0</xdr:row>
      <xdr:rowOff>0</xdr:rowOff>
    </xdr:from>
    <xdr:to>
      <xdr:col>48</xdr:col>
      <xdr:colOff>9525</xdr:colOff>
      <xdr:row>1</xdr:row>
      <xdr:rowOff>41275</xdr:rowOff>
    </xdr:to>
    <xdr:sp macro="" textlink="">
      <xdr:nvSpPr>
        <xdr:cNvPr id="144391" name="Rectangle 7"/>
        <xdr:cNvSpPr>
          <a:spLocks noChangeArrowheads="1"/>
        </xdr:cNvSpPr>
      </xdr:nvSpPr>
      <xdr:spPr bwMode="auto">
        <a:xfrm>
          <a:off x="8067675" y="0"/>
          <a:ext cx="628650" cy="209550"/>
        </a:xfrm>
        <a:prstGeom prst="rect">
          <a:avLst/>
        </a:prstGeom>
        <a:noFill/>
        <a:ln w="6350">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取扱注意</a:t>
          </a:r>
        </a:p>
      </xdr:txBody>
    </xdr:sp>
    <xdr:clientData/>
  </xdr:twoCellAnchor>
  <xdr:twoCellAnchor>
    <xdr:from>
      <xdr:col>0</xdr:col>
      <xdr:colOff>0</xdr:colOff>
      <xdr:row>43</xdr:row>
      <xdr:rowOff>38100</xdr:rowOff>
    </xdr:from>
    <xdr:to>
      <xdr:col>50</xdr:col>
      <xdr:colOff>0</xdr:colOff>
      <xdr:row>43</xdr:row>
      <xdr:rowOff>38100</xdr:rowOff>
    </xdr:to>
    <xdr:sp macro="" textlink="">
      <xdr:nvSpPr>
        <xdr:cNvPr id="1139" name="Line 12"/>
        <xdr:cNvSpPr>
          <a:spLocks noChangeShapeType="1"/>
        </xdr:cNvSpPr>
      </xdr:nvSpPr>
      <xdr:spPr bwMode="auto">
        <a:xfrm>
          <a:off x="0" y="7467600"/>
          <a:ext cx="9525000"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2</xdr:col>
      <xdr:colOff>0</xdr:colOff>
      <xdr:row>2</xdr:row>
      <xdr:rowOff>0</xdr:rowOff>
    </xdr:from>
    <xdr:to>
      <xdr:col>13</xdr:col>
      <xdr:colOff>48451</xdr:colOff>
      <xdr:row>4</xdr:row>
      <xdr:rowOff>91059</xdr:rowOff>
    </xdr:to>
    <xdr:pic>
      <xdr:nvPicPr>
        <xdr:cNvPr id="11" name="図 10"/>
        <xdr:cNvPicPr>
          <a:picLocks noChangeAspect="1"/>
        </xdr:cNvPicPr>
      </xdr:nvPicPr>
      <xdr:blipFill>
        <a:blip xmlns:r="http://schemas.openxmlformats.org/officeDocument/2006/relationships" r:embed="rId3"/>
        <a:stretch>
          <a:fillRect/>
        </a:stretch>
      </xdr:blipFill>
      <xdr:spPr>
        <a:xfrm>
          <a:off x="412376" y="268941"/>
          <a:ext cx="2316522" cy="36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6</xdr:col>
          <xdr:colOff>0</xdr:colOff>
          <xdr:row>3</xdr:row>
          <xdr:rowOff>2117</xdr:rowOff>
        </xdr:to>
        <xdr:pic>
          <xdr:nvPicPr>
            <xdr:cNvPr id="4" name="図 3"/>
            <xdr:cNvPicPr>
              <a:picLocks noChangeAspect="1" noChangeArrowheads="1"/>
              <a:extLst>
                <a:ext uri="{84589F7E-364E-4C9E-8A38-B11213B215E9}">
                  <a14:cameraTool cellRange="表紙!$BA$47:$BJ$49" spid="_x0000_s16408"/>
                </a:ext>
              </a:extLst>
            </xdr:cNvPicPr>
          </xdr:nvPicPr>
          <xdr:blipFill>
            <a:blip xmlns:r="http://schemas.openxmlformats.org/officeDocument/2006/relationships" r:embed="rId1"/>
            <a:srcRect/>
            <a:stretch>
              <a:fillRect/>
            </a:stretch>
          </xdr:blipFill>
          <xdr:spPr bwMode="auto">
            <a:xfrm>
              <a:off x="0" y="0"/>
              <a:ext cx="9525000" cy="4572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9</xdr:col>
          <xdr:colOff>0</xdr:colOff>
          <xdr:row>3</xdr:row>
          <xdr:rowOff>2117</xdr:rowOff>
        </xdr:to>
        <xdr:pic>
          <xdr:nvPicPr>
            <xdr:cNvPr id="3" name="図 2"/>
            <xdr:cNvPicPr>
              <a:picLocks noChangeAspect="1" noChangeArrowheads="1"/>
              <a:extLst>
                <a:ext uri="{84589F7E-364E-4C9E-8A38-B11213B215E9}">
                  <a14:cameraTool cellRange="表紙!$BA$51:$BJ$53" spid="_x0000_s17430"/>
                </a:ext>
              </a:extLst>
            </xdr:cNvPicPr>
          </xdr:nvPicPr>
          <xdr:blipFill>
            <a:blip xmlns:r="http://schemas.openxmlformats.org/officeDocument/2006/relationships" r:embed="rId1"/>
            <a:srcRect/>
            <a:stretch>
              <a:fillRect/>
            </a:stretch>
          </xdr:blipFill>
          <xdr:spPr bwMode="auto">
            <a:xfrm>
              <a:off x="0" y="0"/>
              <a:ext cx="9525000" cy="4572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50</xdr:col>
          <xdr:colOff>0</xdr:colOff>
          <xdr:row>3</xdr:row>
          <xdr:rowOff>2117</xdr:rowOff>
        </xdr:to>
        <xdr:pic>
          <xdr:nvPicPr>
            <xdr:cNvPr id="4" name="図 3"/>
            <xdr:cNvPicPr>
              <a:picLocks noChangeAspect="1" noChangeArrowheads="1"/>
              <a:extLst>
                <a:ext uri="{84589F7E-364E-4C9E-8A38-B11213B215E9}">
                  <a14:cameraTool cellRange="表紙!$BA$63:$BJ$65" spid="_x0000_s26625"/>
                </a:ext>
              </a:extLst>
            </xdr:cNvPicPr>
          </xdr:nvPicPr>
          <xdr:blipFill>
            <a:blip xmlns:r="http://schemas.openxmlformats.org/officeDocument/2006/relationships" r:embed="rId1"/>
            <a:srcRect/>
            <a:stretch>
              <a:fillRect/>
            </a:stretch>
          </xdr:blipFill>
          <xdr:spPr bwMode="auto">
            <a:xfrm>
              <a:off x="0" y="0"/>
              <a:ext cx="9525000" cy="46884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0</xdr:row>
          <xdr:rowOff>9525</xdr:rowOff>
        </xdr:from>
        <xdr:to>
          <xdr:col>4</xdr:col>
          <xdr:colOff>3152775</xdr:colOff>
          <xdr:row>2</xdr:row>
          <xdr:rowOff>76200</xdr:rowOff>
        </xdr:to>
        <xdr:pic>
          <xdr:nvPicPr>
            <xdr:cNvPr id="2" name="図 1"/>
            <xdr:cNvPicPr>
              <a:picLocks noChangeAspect="1" noChangeArrowheads="1"/>
              <a:extLst>
                <a:ext uri="{84589F7E-364E-4C9E-8A38-B11213B215E9}">
                  <a14:cameraTool cellRange="表紙!$BA$55:$BJ$57" spid="_x0000_s23561"/>
                </a:ext>
              </a:extLst>
            </xdr:cNvPicPr>
          </xdr:nvPicPr>
          <xdr:blipFill>
            <a:blip xmlns:r="http://schemas.openxmlformats.org/officeDocument/2006/relationships" r:embed="rId1"/>
            <a:srcRect/>
            <a:stretch>
              <a:fillRect/>
            </a:stretch>
          </xdr:blipFill>
          <xdr:spPr bwMode="auto">
            <a:xfrm>
              <a:off x="9525" y="9525"/>
              <a:ext cx="9534525" cy="4667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0</xdr:row>
          <xdr:rowOff>9525</xdr:rowOff>
        </xdr:from>
        <xdr:to>
          <xdr:col>4</xdr:col>
          <xdr:colOff>3152775</xdr:colOff>
          <xdr:row>2</xdr:row>
          <xdr:rowOff>76200</xdr:rowOff>
        </xdr:to>
        <xdr:pic>
          <xdr:nvPicPr>
            <xdr:cNvPr id="2" name="図 1"/>
            <xdr:cNvPicPr>
              <a:picLocks noChangeAspect="1" noChangeArrowheads="1"/>
              <a:extLst>
                <a:ext uri="{84589F7E-364E-4C9E-8A38-B11213B215E9}">
                  <a14:cameraTool cellRange="表紙!$BA$59:$BJ$61" spid="_x0000_s24584"/>
                </a:ext>
              </a:extLst>
            </xdr:cNvPicPr>
          </xdr:nvPicPr>
          <xdr:blipFill>
            <a:blip xmlns:r="http://schemas.openxmlformats.org/officeDocument/2006/relationships" r:embed="rId1"/>
            <a:srcRect/>
            <a:stretch>
              <a:fillRect/>
            </a:stretch>
          </xdr:blipFill>
          <xdr:spPr bwMode="auto">
            <a:xfrm>
              <a:off x="9525" y="9525"/>
              <a:ext cx="9534525" cy="4667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7</xdr:col>
      <xdr:colOff>0</xdr:colOff>
      <xdr:row>4</xdr:row>
      <xdr:rowOff>0</xdr:rowOff>
    </xdr:from>
    <xdr:to>
      <xdr:col>24</xdr:col>
      <xdr:colOff>68292</xdr:colOff>
      <xdr:row>4</xdr:row>
      <xdr:rowOff>150962</xdr:rowOff>
    </xdr:to>
    <xdr:grpSp>
      <xdr:nvGrpSpPr>
        <xdr:cNvPr id="5" name="グループ化 4"/>
        <xdr:cNvGrpSpPr/>
      </xdr:nvGrpSpPr>
      <xdr:grpSpPr>
        <a:xfrm>
          <a:off x="466725" y="609600"/>
          <a:ext cx="1201767" cy="150962"/>
          <a:chOff x="1270770" y="762000"/>
          <a:chExt cx="3659650" cy="152400"/>
        </a:xfrm>
      </xdr:grpSpPr>
      <xdr:sp macro="" textlink="">
        <xdr:nvSpPr>
          <xdr:cNvPr id="2" name="テキスト ボックス 1"/>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4" name="テキスト ボックス 3"/>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xdr:col>
      <xdr:colOff>65048</xdr:colOff>
      <xdr:row>6</xdr:row>
      <xdr:rowOff>0</xdr:rowOff>
    </xdr:from>
    <xdr:to>
      <xdr:col>33</xdr:col>
      <xdr:colOff>0</xdr:colOff>
      <xdr:row>7</xdr:row>
      <xdr:rowOff>0</xdr:rowOff>
    </xdr:to>
    <xdr:grpSp>
      <xdr:nvGrpSpPr>
        <xdr:cNvPr id="29" name="グループ化 28"/>
        <xdr:cNvGrpSpPr/>
      </xdr:nvGrpSpPr>
      <xdr:grpSpPr>
        <a:xfrm>
          <a:off x="465098" y="914400"/>
          <a:ext cx="1735177" cy="152400"/>
          <a:chOff x="465098" y="914400"/>
          <a:chExt cx="1735177" cy="152400"/>
        </a:xfrm>
      </xdr:grpSpPr>
      <xdr:sp macro="" textlink="">
        <xdr:nvSpPr>
          <xdr:cNvPr id="26" name="テキスト ボックス 25"/>
          <xdr:cNvSpPr txBox="1"/>
        </xdr:nvSpPr>
        <xdr:spPr>
          <a:xfrm>
            <a:off x="465098" y="914400"/>
            <a:ext cx="735052"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7" name="テキスト ボックス 26"/>
          <xdr:cNvSpPr txBox="1"/>
        </xdr:nvSpPr>
        <xdr:spPr>
          <a:xfrm>
            <a:off x="1267090" y="914400"/>
            <a:ext cx="131458"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p>
        </xdr:txBody>
      </xdr:sp>
      <xdr:sp macro="" textlink="">
        <xdr:nvSpPr>
          <xdr:cNvPr id="28" name="テキスト ボックス 27"/>
          <xdr:cNvSpPr txBox="1"/>
        </xdr:nvSpPr>
        <xdr:spPr>
          <a:xfrm>
            <a:off x="1466850" y="914400"/>
            <a:ext cx="733425"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7</xdr:col>
      <xdr:colOff>0</xdr:colOff>
      <xdr:row>2</xdr:row>
      <xdr:rowOff>0</xdr:rowOff>
    </xdr:from>
    <xdr:to>
      <xdr:col>47</xdr:col>
      <xdr:colOff>1618</xdr:colOff>
      <xdr:row>3</xdr:row>
      <xdr:rowOff>0</xdr:rowOff>
    </xdr:to>
    <xdr:grpSp>
      <xdr:nvGrpSpPr>
        <xdr:cNvPr id="37" name="グループ化 36"/>
        <xdr:cNvGrpSpPr/>
      </xdr:nvGrpSpPr>
      <xdr:grpSpPr>
        <a:xfrm>
          <a:off x="466725" y="304800"/>
          <a:ext cx="2668618" cy="152400"/>
          <a:chOff x="466725" y="304800"/>
          <a:chExt cx="2668618" cy="152400"/>
        </a:xfrm>
      </xdr:grpSpPr>
      <xdr:grpSp>
        <xdr:nvGrpSpPr>
          <xdr:cNvPr id="30" name="グループ化 29"/>
          <xdr:cNvGrpSpPr/>
        </xdr:nvGrpSpPr>
        <xdr:grpSpPr>
          <a:xfrm>
            <a:off x="466725" y="304800"/>
            <a:ext cx="1201767" cy="150962"/>
            <a:chOff x="1270770" y="762000"/>
            <a:chExt cx="3659650" cy="152400"/>
          </a:xfrm>
        </xdr:grpSpPr>
        <xdr:sp macro="" textlink="">
          <xdr:nvSpPr>
            <xdr:cNvPr id="31" name="テキスト ボックス 30"/>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2" name="テキスト ボックス 31"/>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33" name="テキスト ボックス 32"/>
          <xdr:cNvSpPr txBox="1"/>
        </xdr:nvSpPr>
        <xdr:spPr>
          <a:xfrm>
            <a:off x="1733550" y="304800"/>
            <a:ext cx="12955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p>
        </xdr:txBody>
      </xdr:sp>
      <xdr:grpSp>
        <xdr:nvGrpSpPr>
          <xdr:cNvPr id="34" name="グループ化 33"/>
          <xdr:cNvGrpSpPr/>
        </xdr:nvGrpSpPr>
        <xdr:grpSpPr>
          <a:xfrm>
            <a:off x="1933575" y="304800"/>
            <a:ext cx="1201768" cy="150962"/>
            <a:chOff x="1270770" y="762000"/>
            <a:chExt cx="3659650" cy="152400"/>
          </a:xfrm>
        </xdr:grpSpPr>
        <xdr:sp macro="" textlink="">
          <xdr:nvSpPr>
            <xdr:cNvPr id="35" name="テキスト ボックス 34"/>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6" name="テキスト ボックス 35"/>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grpSp>
    <xdr:clientData/>
  </xdr:twoCellAnchor>
  <xdr:twoCellAnchor>
    <xdr:from>
      <xdr:col>66</xdr:col>
      <xdr:colOff>0</xdr:colOff>
      <xdr:row>2</xdr:row>
      <xdr:rowOff>0</xdr:rowOff>
    </xdr:from>
    <xdr:to>
      <xdr:col>113</xdr:col>
      <xdr:colOff>3121</xdr:colOff>
      <xdr:row>3</xdr:row>
      <xdr:rowOff>1</xdr:rowOff>
    </xdr:to>
    <xdr:grpSp>
      <xdr:nvGrpSpPr>
        <xdr:cNvPr id="49" name="グループ化 48"/>
        <xdr:cNvGrpSpPr/>
      </xdr:nvGrpSpPr>
      <xdr:grpSpPr>
        <a:xfrm>
          <a:off x="4400550" y="304800"/>
          <a:ext cx="3136846" cy="152401"/>
          <a:chOff x="586447" y="1353553"/>
          <a:chExt cx="3064750" cy="150395"/>
        </a:xfrm>
      </xdr:grpSpPr>
      <xdr:sp macro="" textlink="">
        <xdr:nvSpPr>
          <xdr:cNvPr id="50" name="テキスト ボックス 49"/>
          <xdr:cNvSpPr txBox="1"/>
        </xdr:nvSpPr>
        <xdr:spPr>
          <a:xfrm>
            <a:off x="586447" y="1353553"/>
            <a:ext cx="391150" cy="150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依頼日</a:t>
            </a:r>
          </a:p>
        </xdr:txBody>
      </xdr:sp>
      <xdr:grpSp>
        <xdr:nvGrpSpPr>
          <xdr:cNvPr id="51" name="グループ化 50"/>
          <xdr:cNvGrpSpPr/>
        </xdr:nvGrpSpPr>
        <xdr:grpSpPr>
          <a:xfrm>
            <a:off x="1042737" y="1353553"/>
            <a:ext cx="2608460" cy="150395"/>
            <a:chOff x="466725" y="304800"/>
            <a:chExt cx="2668618" cy="152400"/>
          </a:xfrm>
        </xdr:grpSpPr>
        <xdr:grpSp>
          <xdr:nvGrpSpPr>
            <xdr:cNvPr id="52" name="グループ化 51"/>
            <xdr:cNvGrpSpPr/>
          </xdr:nvGrpSpPr>
          <xdr:grpSpPr>
            <a:xfrm>
              <a:off x="466725" y="304800"/>
              <a:ext cx="1201767" cy="150962"/>
              <a:chOff x="1270770" y="762000"/>
              <a:chExt cx="3659650" cy="152400"/>
            </a:xfrm>
          </xdr:grpSpPr>
          <xdr:sp macro="" textlink="">
            <xdr:nvSpPr>
              <xdr:cNvPr id="57" name="テキスト ボックス 56"/>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58" name="テキスト ボックス 57"/>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53" name="テキスト ボックス 52"/>
            <xdr:cNvSpPr txBox="1"/>
          </xdr:nvSpPr>
          <xdr:spPr>
            <a:xfrm>
              <a:off x="1733550" y="304800"/>
              <a:ext cx="129551" cy="152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p>
          </xdr:txBody>
        </xdr:sp>
        <xdr:grpSp>
          <xdr:nvGrpSpPr>
            <xdr:cNvPr id="54" name="グループ化 53"/>
            <xdr:cNvGrpSpPr/>
          </xdr:nvGrpSpPr>
          <xdr:grpSpPr>
            <a:xfrm>
              <a:off x="1933575" y="304800"/>
              <a:ext cx="1201768" cy="150962"/>
              <a:chOff x="1270770" y="762000"/>
              <a:chExt cx="3659650" cy="152400"/>
            </a:xfrm>
          </xdr:grpSpPr>
          <xdr:sp macro="" textlink="">
            <xdr:nvSpPr>
              <xdr:cNvPr id="55" name="テキスト ボックス 54"/>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56" name="テキスト ボックス 55"/>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grpSp>
    </xdr:grpSp>
    <xdr:clientData/>
  </xdr:twoCellAnchor>
  <xdr:twoCellAnchor>
    <xdr:from>
      <xdr:col>66</xdr:col>
      <xdr:colOff>1</xdr:colOff>
      <xdr:row>4</xdr:row>
      <xdr:rowOff>0</xdr:rowOff>
    </xdr:from>
    <xdr:to>
      <xdr:col>99</xdr:col>
      <xdr:colOff>266</xdr:colOff>
      <xdr:row>5</xdr:row>
      <xdr:rowOff>0</xdr:rowOff>
    </xdr:to>
    <xdr:grpSp>
      <xdr:nvGrpSpPr>
        <xdr:cNvPr id="67" name="グループ化 66"/>
        <xdr:cNvGrpSpPr/>
      </xdr:nvGrpSpPr>
      <xdr:grpSpPr>
        <a:xfrm>
          <a:off x="4400551" y="609600"/>
          <a:ext cx="2200540" cy="152400"/>
          <a:chOff x="4335518" y="604345"/>
          <a:chExt cx="2168024" cy="151086"/>
        </a:xfrm>
      </xdr:grpSpPr>
      <xdr:sp macro="" textlink="">
        <xdr:nvSpPr>
          <xdr:cNvPr id="59" name="テキスト ボックス 58"/>
          <xdr:cNvSpPr txBox="1"/>
        </xdr:nvSpPr>
        <xdr:spPr>
          <a:xfrm>
            <a:off x="4335518" y="604345"/>
            <a:ext cx="394137" cy="1510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検索日</a:t>
            </a:r>
          </a:p>
        </xdr:txBody>
      </xdr:sp>
      <xdr:grpSp>
        <xdr:nvGrpSpPr>
          <xdr:cNvPr id="63" name="グループ化 62"/>
          <xdr:cNvGrpSpPr/>
        </xdr:nvGrpSpPr>
        <xdr:grpSpPr>
          <a:xfrm>
            <a:off x="4795345" y="604345"/>
            <a:ext cx="1708197" cy="151086"/>
            <a:chOff x="465098" y="914400"/>
            <a:chExt cx="1735177" cy="152400"/>
          </a:xfrm>
        </xdr:grpSpPr>
        <xdr:sp macro="" textlink="">
          <xdr:nvSpPr>
            <xdr:cNvPr id="64" name="テキスト ボックス 63"/>
            <xdr:cNvSpPr txBox="1"/>
          </xdr:nvSpPr>
          <xdr:spPr>
            <a:xfrm>
              <a:off x="465098" y="914400"/>
              <a:ext cx="735052"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5" name="テキスト ボックス 64"/>
            <xdr:cNvSpPr txBox="1"/>
          </xdr:nvSpPr>
          <xdr:spPr>
            <a:xfrm>
              <a:off x="1267090" y="914400"/>
              <a:ext cx="131458" cy="152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p>
          </xdr:txBody>
        </xdr:sp>
        <xdr:sp macro="" textlink="">
          <xdr:nvSpPr>
            <xdr:cNvPr id="66" name="テキスト ボックス 65"/>
            <xdr:cNvSpPr txBox="1"/>
          </xdr:nvSpPr>
          <xdr:spPr>
            <a:xfrm>
              <a:off x="1466850" y="914400"/>
              <a:ext cx="733425"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grpSp>
    <xdr:clientData/>
  </xdr:twoCellAnchor>
  <xdr:twoCellAnchor>
    <xdr:from>
      <xdr:col>74</xdr:col>
      <xdr:colOff>0</xdr:colOff>
      <xdr:row>9</xdr:row>
      <xdr:rowOff>1</xdr:rowOff>
    </xdr:from>
    <xdr:to>
      <xdr:col>117</xdr:col>
      <xdr:colOff>1</xdr:colOff>
      <xdr:row>10</xdr:row>
      <xdr:rowOff>1</xdr:rowOff>
    </xdr:to>
    <xdr:grpSp>
      <xdr:nvGrpSpPr>
        <xdr:cNvPr id="74" name="グループ化 73"/>
        <xdr:cNvGrpSpPr/>
      </xdr:nvGrpSpPr>
      <xdr:grpSpPr>
        <a:xfrm>
          <a:off x="4933950" y="1371601"/>
          <a:ext cx="2867026" cy="152400"/>
          <a:chOff x="4191000" y="1083469"/>
          <a:chExt cx="2815829" cy="154782"/>
        </a:xfrm>
      </xdr:grpSpPr>
      <xdr:grpSp>
        <xdr:nvGrpSpPr>
          <xdr:cNvPr id="75" name="グループ化 74"/>
          <xdr:cNvGrpSpPr/>
        </xdr:nvGrpSpPr>
        <xdr:grpSpPr>
          <a:xfrm>
            <a:off x="4786312" y="1083469"/>
            <a:ext cx="2220517" cy="154781"/>
            <a:chOff x="806164" y="1219201"/>
            <a:chExt cx="2260892" cy="152400"/>
          </a:xfrm>
        </xdr:grpSpPr>
        <xdr:sp macro="" textlink="">
          <xdr:nvSpPr>
            <xdr:cNvPr id="78" name="テキスト ボックス 77"/>
            <xdr:cNvSpPr txBox="1"/>
          </xdr:nvSpPr>
          <xdr:spPr>
            <a:xfrm>
              <a:off x="806164" y="1221940"/>
              <a:ext cx="733426" cy="14966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9" name="テキスト ボックス 78"/>
            <xdr:cNvSpPr txBox="1"/>
          </xdr:nvSpPr>
          <xdr:spPr>
            <a:xfrm>
              <a:off x="1600204" y="1219201"/>
              <a:ext cx="1466852"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76" name="テキスト ボックス 75"/>
          <xdr:cNvSpPr txBox="1"/>
        </xdr:nvSpPr>
        <xdr:spPr>
          <a:xfrm>
            <a:off x="4191000" y="1083469"/>
            <a:ext cx="523875" cy="154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出荷場所</a:t>
            </a:r>
          </a:p>
        </xdr:txBody>
      </xdr:sp>
    </xdr:grpSp>
    <xdr:clientData/>
  </xdr:twoCellAnchor>
  <xdr:twoCellAnchor>
    <xdr:from>
      <xdr:col>68</xdr:col>
      <xdr:colOff>1359</xdr:colOff>
      <xdr:row>11</xdr:row>
      <xdr:rowOff>0</xdr:rowOff>
    </xdr:from>
    <xdr:to>
      <xdr:col>73</xdr:col>
      <xdr:colOff>68164</xdr:colOff>
      <xdr:row>12</xdr:row>
      <xdr:rowOff>1</xdr:rowOff>
    </xdr:to>
    <xdr:grpSp>
      <xdr:nvGrpSpPr>
        <xdr:cNvPr id="10" name="グループ化 9"/>
        <xdr:cNvGrpSpPr/>
      </xdr:nvGrpSpPr>
      <xdr:grpSpPr>
        <a:xfrm>
          <a:off x="4535259" y="1676400"/>
          <a:ext cx="400180" cy="152401"/>
          <a:chOff x="4533898" y="1676400"/>
          <a:chExt cx="399974" cy="152401"/>
        </a:xfrm>
      </xdr:grpSpPr>
      <xdr:grpSp>
        <xdr:nvGrpSpPr>
          <xdr:cNvPr id="9" name="グループ化 8"/>
          <xdr:cNvGrpSpPr/>
        </xdr:nvGrpSpPr>
        <xdr:grpSpPr>
          <a:xfrm>
            <a:off x="4788351" y="1676400"/>
            <a:ext cx="145521" cy="152401"/>
            <a:chOff x="4681574" y="1654342"/>
            <a:chExt cx="141084" cy="150396"/>
          </a:xfrm>
        </xdr:grpSpPr>
        <xdr:sp macro="" textlink="">
          <xdr:nvSpPr>
            <xdr:cNvPr id="60" name="テキスト ボックス 59"/>
            <xdr:cNvSpPr txBox="1"/>
          </xdr:nvSpPr>
          <xdr:spPr>
            <a:xfrm>
              <a:off x="4681574" y="1654342"/>
              <a:ext cx="141084" cy="150396"/>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1">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 name="上矢印 7"/>
            <xdr:cNvSpPr/>
          </xdr:nvSpPr>
          <xdr:spPr>
            <a:xfrm>
              <a:off x="4692737" y="1663352"/>
              <a:ext cx="128895" cy="117893"/>
            </a:xfrm>
            <a:prstGeom prst="upArrow">
              <a:avLst>
                <a:gd name="adj1" fmla="val 30769"/>
                <a:gd name="adj2" fmla="val 50000"/>
              </a:avLst>
            </a:prstGeom>
            <a:solidFill>
              <a:sysClr val="window" lastClr="FFFFFF"/>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nvGrpSpPr>
          <xdr:cNvPr id="62" name="グループ化 61"/>
          <xdr:cNvGrpSpPr/>
        </xdr:nvGrpSpPr>
        <xdr:grpSpPr>
          <a:xfrm>
            <a:off x="4533898" y="1676400"/>
            <a:ext cx="144042" cy="152401"/>
            <a:chOff x="4681574" y="1654342"/>
            <a:chExt cx="141084" cy="150396"/>
          </a:xfrm>
        </xdr:grpSpPr>
        <xdr:sp macro="" textlink="">
          <xdr:nvSpPr>
            <xdr:cNvPr id="77" name="テキスト ボックス 76"/>
            <xdr:cNvSpPr txBox="1"/>
          </xdr:nvSpPr>
          <xdr:spPr>
            <a:xfrm>
              <a:off x="4681574" y="1654342"/>
              <a:ext cx="141084" cy="150396"/>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1">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0" name="上矢印 79"/>
            <xdr:cNvSpPr/>
          </xdr:nvSpPr>
          <xdr:spPr>
            <a:xfrm>
              <a:off x="4686816" y="1663352"/>
              <a:ext cx="128895" cy="117893"/>
            </a:xfrm>
            <a:prstGeom prst="upArrow">
              <a:avLst>
                <a:gd name="adj1" fmla="val 30769"/>
                <a:gd name="adj2" fmla="val 50000"/>
              </a:avLst>
            </a:prstGeom>
            <a:solidFill>
              <a:sysClr val="window" lastClr="FFFFFF"/>
            </a:solidFill>
            <a:ln>
              <a:noFill/>
            </a:ln>
            <a:effectLst/>
            <a:scene3d>
              <a:camera prst="orthographicFront">
                <a:rot lat="0" lon="0" rev="10800000"/>
              </a:camera>
              <a:lightRig rig="threePt" dir="t"/>
            </a:scene3d>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clientData/>
  </xdr:twoCellAnchor>
  <xdr:twoCellAnchor>
    <xdr:from>
      <xdr:col>77</xdr:col>
      <xdr:colOff>65170</xdr:colOff>
      <xdr:row>11</xdr:row>
      <xdr:rowOff>0</xdr:rowOff>
    </xdr:from>
    <xdr:to>
      <xdr:col>87</xdr:col>
      <xdr:colOff>65170</xdr:colOff>
      <xdr:row>12</xdr:row>
      <xdr:rowOff>0</xdr:rowOff>
    </xdr:to>
    <xdr:sp macro="" textlink="">
      <xdr:nvSpPr>
        <xdr:cNvPr id="11" name="角丸四角形 10"/>
        <xdr:cNvSpPr/>
      </xdr:nvSpPr>
      <xdr:spPr>
        <a:xfrm>
          <a:off x="5083341" y="1654342"/>
          <a:ext cx="651711" cy="150395"/>
        </a:xfrm>
        <a:prstGeom prst="roundRect">
          <a:avLst/>
        </a:prstGeom>
        <a:solidFill>
          <a:srgbClr val="00CC99"/>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rPr>
            <a:t>検索する</a:t>
          </a:r>
        </a:p>
      </xdr:txBody>
    </xdr:sp>
    <xdr:clientData/>
  </xdr:twoCellAnchor>
  <xdr:twoCellAnchor>
    <xdr:from>
      <xdr:col>91</xdr:col>
      <xdr:colOff>0</xdr:colOff>
      <xdr:row>11</xdr:row>
      <xdr:rowOff>0</xdr:rowOff>
    </xdr:from>
    <xdr:to>
      <xdr:col>100</xdr:col>
      <xdr:colOff>65171</xdr:colOff>
      <xdr:row>12</xdr:row>
      <xdr:rowOff>0</xdr:rowOff>
    </xdr:to>
    <xdr:sp macro="" textlink="">
      <xdr:nvSpPr>
        <xdr:cNvPr id="82" name="角丸四角形 81"/>
        <xdr:cNvSpPr/>
      </xdr:nvSpPr>
      <xdr:spPr>
        <a:xfrm>
          <a:off x="5930566" y="1654342"/>
          <a:ext cx="651710" cy="150395"/>
        </a:xfrm>
        <a:prstGeom prst="roundRect">
          <a:avLst/>
        </a:prstGeom>
        <a:solidFill>
          <a:srgbClr val="FF9933"/>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rPr>
            <a:t>更新する</a:t>
          </a:r>
        </a:p>
      </xdr:txBody>
    </xdr:sp>
    <xdr:clientData/>
  </xdr:twoCellAnchor>
  <xdr:twoCellAnchor>
    <xdr:from>
      <xdr:col>68</xdr:col>
      <xdr:colOff>3</xdr:colOff>
      <xdr:row>13</xdr:row>
      <xdr:rowOff>0</xdr:rowOff>
    </xdr:from>
    <xdr:to>
      <xdr:col>108</xdr:col>
      <xdr:colOff>64861</xdr:colOff>
      <xdr:row>13</xdr:row>
      <xdr:rowOff>149660</xdr:rowOff>
    </xdr:to>
    <xdr:grpSp>
      <xdr:nvGrpSpPr>
        <xdr:cNvPr id="14" name="グループ化 13"/>
        <xdr:cNvGrpSpPr/>
      </xdr:nvGrpSpPr>
      <xdr:grpSpPr>
        <a:xfrm>
          <a:off x="4533903" y="1981200"/>
          <a:ext cx="2731858" cy="149660"/>
          <a:chOff x="4431635" y="1955132"/>
          <a:chExt cx="2671700" cy="149660"/>
        </a:xfrm>
      </xdr:grpSpPr>
      <xdr:grpSp>
        <xdr:nvGrpSpPr>
          <xdr:cNvPr id="12" name="グループ化 11"/>
          <xdr:cNvGrpSpPr/>
        </xdr:nvGrpSpPr>
        <xdr:grpSpPr>
          <a:xfrm>
            <a:off x="4431635" y="1955132"/>
            <a:ext cx="519321" cy="149660"/>
            <a:chOff x="4455488" y="2012156"/>
            <a:chExt cx="521324" cy="149660"/>
          </a:xfrm>
        </xdr:grpSpPr>
        <xdr:sp macro="" textlink="">
          <xdr:nvSpPr>
            <xdr:cNvPr id="84" name="テキスト ボックス 83"/>
            <xdr:cNvSpPr txBox="1"/>
          </xdr:nvSpPr>
          <xdr:spPr>
            <a:xfrm>
              <a:off x="4583907" y="2012156"/>
              <a:ext cx="392905"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未確定</a:t>
              </a:r>
            </a:p>
          </xdr:txBody>
        </xdr:sp>
        <xdr:sp macro="" textlink="">
          <xdr:nvSpPr>
            <xdr:cNvPr id="83" name="テキスト ボックス 82"/>
            <xdr:cNvSpPr txBox="1"/>
          </xdr:nvSpPr>
          <xdr:spPr>
            <a:xfrm>
              <a:off x="4455488" y="2031530"/>
              <a:ext cx="111257"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88" name="テキスト ボックス 87"/>
          <xdr:cNvSpPr txBox="1"/>
        </xdr:nvSpPr>
        <xdr:spPr>
          <a:xfrm>
            <a:off x="5211894" y="1955132"/>
            <a:ext cx="326360"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確定</a:t>
            </a:r>
          </a:p>
        </xdr:txBody>
      </xdr:sp>
      <xdr:sp macro="" textlink="">
        <xdr:nvSpPr>
          <xdr:cNvPr id="91" name="テキスト ボックス 90"/>
          <xdr:cNvSpPr txBox="1"/>
        </xdr:nvSpPr>
        <xdr:spPr>
          <a:xfrm>
            <a:off x="5798676" y="1955132"/>
            <a:ext cx="717562"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指図・発注済</a:t>
            </a:r>
          </a:p>
        </xdr:txBody>
      </xdr:sp>
      <xdr:sp macro="" textlink="">
        <xdr:nvSpPr>
          <xdr:cNvPr id="94" name="テキスト ボックス 93"/>
          <xdr:cNvSpPr txBox="1"/>
        </xdr:nvSpPr>
        <xdr:spPr>
          <a:xfrm>
            <a:off x="6777171" y="1955132"/>
            <a:ext cx="326164"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完了</a:t>
            </a:r>
          </a:p>
        </xdr:txBody>
      </xdr:sp>
      <xdr:sp macro="" textlink="">
        <xdr:nvSpPr>
          <xdr:cNvPr id="95" name="テキスト ボックス 94"/>
          <xdr:cNvSpPr txBox="1"/>
        </xdr:nvSpPr>
        <xdr:spPr>
          <a:xfrm>
            <a:off x="5083342" y="1974506"/>
            <a:ext cx="112566"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6" name="テキスト ボックス 95"/>
          <xdr:cNvSpPr txBox="1"/>
        </xdr:nvSpPr>
        <xdr:spPr>
          <a:xfrm>
            <a:off x="5672516" y="1974506"/>
            <a:ext cx="109932"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7" name="テキスト ボックス 96"/>
          <xdr:cNvSpPr txBox="1"/>
        </xdr:nvSpPr>
        <xdr:spPr>
          <a:xfrm>
            <a:off x="6647447" y="1974506"/>
            <a:ext cx="112566"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64</xdr:col>
      <xdr:colOff>20321</xdr:colOff>
      <xdr:row>17</xdr:row>
      <xdr:rowOff>0</xdr:rowOff>
    </xdr:from>
    <xdr:to>
      <xdr:col>87</xdr:col>
      <xdr:colOff>68579</xdr:colOff>
      <xdr:row>17</xdr:row>
      <xdr:rowOff>149660</xdr:rowOff>
    </xdr:to>
    <xdr:grpSp>
      <xdr:nvGrpSpPr>
        <xdr:cNvPr id="103" name="グループ化 102"/>
        <xdr:cNvGrpSpPr/>
      </xdr:nvGrpSpPr>
      <xdr:grpSpPr>
        <a:xfrm>
          <a:off x="4287521" y="2590800"/>
          <a:ext cx="1581783" cy="149660"/>
          <a:chOff x="4128874" y="1955132"/>
          <a:chExt cx="1542025" cy="149660"/>
        </a:xfrm>
      </xdr:grpSpPr>
      <xdr:grpSp>
        <xdr:nvGrpSpPr>
          <xdr:cNvPr id="104" name="グループ化 103"/>
          <xdr:cNvGrpSpPr/>
        </xdr:nvGrpSpPr>
        <xdr:grpSpPr>
          <a:xfrm>
            <a:off x="4128874" y="1955132"/>
            <a:ext cx="696319" cy="149660"/>
            <a:chOff x="4151576" y="2012156"/>
            <a:chExt cx="699007" cy="149660"/>
          </a:xfrm>
        </xdr:grpSpPr>
        <xdr:sp macro="" textlink="">
          <xdr:nvSpPr>
            <xdr:cNvPr id="111" name="テキスト ボックス 110"/>
            <xdr:cNvSpPr txBox="1"/>
          </xdr:nvSpPr>
          <xdr:spPr>
            <a:xfrm>
              <a:off x="4262831" y="2012156"/>
              <a:ext cx="587752"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回答未確認</a:t>
              </a:r>
            </a:p>
          </xdr:txBody>
        </xdr:sp>
        <xdr:sp macro="" textlink="">
          <xdr:nvSpPr>
            <xdr:cNvPr id="112" name="テキスト ボックス 111"/>
            <xdr:cNvSpPr txBox="1"/>
          </xdr:nvSpPr>
          <xdr:spPr>
            <a:xfrm>
              <a:off x="4151576" y="2031530"/>
              <a:ext cx="111257"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05" name="テキスト ボックス 104"/>
          <xdr:cNvSpPr txBox="1"/>
        </xdr:nvSpPr>
        <xdr:spPr>
          <a:xfrm>
            <a:off x="5085408" y="1955132"/>
            <a:ext cx="585491"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再調整依頼</a:t>
            </a:r>
          </a:p>
        </xdr:txBody>
      </xdr:sp>
      <xdr:sp macro="" textlink="">
        <xdr:nvSpPr>
          <xdr:cNvPr id="108" name="テキスト ボックス 107"/>
          <xdr:cNvSpPr txBox="1"/>
        </xdr:nvSpPr>
        <xdr:spPr>
          <a:xfrm>
            <a:off x="4955301" y="1974506"/>
            <a:ext cx="112566"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103</xdr:col>
      <xdr:colOff>65170</xdr:colOff>
      <xdr:row>11</xdr:row>
      <xdr:rowOff>0</xdr:rowOff>
    </xdr:from>
    <xdr:to>
      <xdr:col>126</xdr:col>
      <xdr:colOff>65170</xdr:colOff>
      <xdr:row>12</xdr:row>
      <xdr:rowOff>0</xdr:rowOff>
    </xdr:to>
    <xdr:grpSp>
      <xdr:nvGrpSpPr>
        <xdr:cNvPr id="19" name="グループ化 18"/>
        <xdr:cNvGrpSpPr/>
      </xdr:nvGrpSpPr>
      <xdr:grpSpPr>
        <a:xfrm>
          <a:off x="6932695" y="1676400"/>
          <a:ext cx="1533525" cy="152400"/>
          <a:chOff x="6792541" y="1676400"/>
          <a:chExt cx="1502229" cy="152400"/>
        </a:xfrm>
      </xdr:grpSpPr>
      <xdr:sp macro="" textlink="">
        <xdr:nvSpPr>
          <xdr:cNvPr id="113" name="角丸四角形 112"/>
          <xdr:cNvSpPr/>
        </xdr:nvSpPr>
        <xdr:spPr>
          <a:xfrm>
            <a:off x="6792541" y="1676400"/>
            <a:ext cx="1502229" cy="152400"/>
          </a:xfrm>
          <a:prstGeom prst="roundRect">
            <a:avLst/>
          </a:prstGeom>
          <a:solidFill>
            <a:schemeClr val="bg1">
              <a:lumMod val="75000"/>
            </a:schemeClr>
          </a:solidFill>
          <a:ln>
            <a:solidFill>
              <a:schemeClr val="bg1">
                <a:lumMod val="65000"/>
              </a:schemeClr>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シュミレーション用依頼登録</a:t>
            </a:r>
          </a:p>
        </xdr:txBody>
      </xdr:sp>
      <xdr:sp macro="" textlink="">
        <xdr:nvSpPr>
          <xdr:cNvPr id="18" name="角丸四角形 17"/>
          <xdr:cNvSpPr/>
        </xdr:nvSpPr>
        <xdr:spPr>
          <a:xfrm>
            <a:off x="6807726" y="1676400"/>
            <a:ext cx="65313" cy="152400"/>
          </a:xfrm>
          <a:prstGeom prst="roundRect">
            <a:avLst/>
          </a:prstGeom>
          <a:solidFill>
            <a:srgbClr val="00FFCC"/>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67</xdr:col>
      <xdr:colOff>65314</xdr:colOff>
      <xdr:row>19</xdr:row>
      <xdr:rowOff>0</xdr:rowOff>
    </xdr:from>
    <xdr:to>
      <xdr:col>74</xdr:col>
      <xdr:colOff>11593</xdr:colOff>
      <xdr:row>20</xdr:row>
      <xdr:rowOff>1</xdr:rowOff>
    </xdr:to>
    <xdr:grpSp>
      <xdr:nvGrpSpPr>
        <xdr:cNvPr id="25" name="グループ化 24"/>
        <xdr:cNvGrpSpPr/>
      </xdr:nvGrpSpPr>
      <xdr:grpSpPr>
        <a:xfrm>
          <a:off x="4532539" y="2895600"/>
          <a:ext cx="413004" cy="152401"/>
          <a:chOff x="4532539" y="2895600"/>
          <a:chExt cx="413004" cy="152401"/>
        </a:xfrm>
      </xdr:grpSpPr>
      <xdr:grpSp>
        <xdr:nvGrpSpPr>
          <xdr:cNvPr id="21" name="グループ化 20"/>
          <xdr:cNvGrpSpPr/>
        </xdr:nvGrpSpPr>
        <xdr:grpSpPr>
          <a:xfrm>
            <a:off x="4532539" y="2895600"/>
            <a:ext cx="144715" cy="152401"/>
            <a:chOff x="4532539" y="2895600"/>
            <a:chExt cx="144715" cy="152401"/>
          </a:xfrm>
        </xdr:grpSpPr>
        <xdr:sp macro="" textlink="">
          <xdr:nvSpPr>
            <xdr:cNvPr id="114" name="テキスト ボックス 113"/>
            <xdr:cNvSpPr txBox="1"/>
          </xdr:nvSpPr>
          <xdr:spPr>
            <a:xfrm>
              <a:off x="4532539" y="2895600"/>
              <a:ext cx="144715" cy="152401"/>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0" name="正方形/長方形 19"/>
            <xdr:cNvSpPr/>
          </xdr:nvSpPr>
          <xdr:spPr>
            <a:xfrm>
              <a:off x="4551773" y="2966780"/>
              <a:ext cx="109731" cy="21600"/>
            </a:xfrm>
            <a:prstGeom prst="rect">
              <a:avLst/>
            </a:prstGeom>
            <a:solidFill>
              <a:schemeClr val="bg1"/>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nvGrpSpPr>
          <xdr:cNvPr id="24" name="グループ化 23"/>
          <xdr:cNvGrpSpPr/>
        </xdr:nvGrpSpPr>
        <xdr:grpSpPr>
          <a:xfrm>
            <a:off x="4800600" y="2895600"/>
            <a:ext cx="144943" cy="152401"/>
            <a:chOff x="4933950" y="2895600"/>
            <a:chExt cx="143211" cy="152401"/>
          </a:xfrm>
        </xdr:grpSpPr>
        <xdr:grpSp>
          <xdr:nvGrpSpPr>
            <xdr:cNvPr id="116" name="グループ化 115"/>
            <xdr:cNvGrpSpPr/>
          </xdr:nvGrpSpPr>
          <xdr:grpSpPr>
            <a:xfrm>
              <a:off x="4933950" y="2895600"/>
              <a:ext cx="143211" cy="152401"/>
              <a:chOff x="4532539" y="2895600"/>
              <a:chExt cx="144715" cy="152401"/>
            </a:xfrm>
          </xdr:grpSpPr>
          <xdr:sp macro="" textlink="">
            <xdr:nvSpPr>
              <xdr:cNvPr id="117" name="テキスト ボックス 116"/>
              <xdr:cNvSpPr txBox="1"/>
            </xdr:nvSpPr>
            <xdr:spPr>
              <a:xfrm>
                <a:off x="4532539" y="2895600"/>
                <a:ext cx="144715" cy="152401"/>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18" name="正方形/長方形 117"/>
              <xdr:cNvSpPr/>
            </xdr:nvSpPr>
            <xdr:spPr>
              <a:xfrm>
                <a:off x="4551773" y="3002339"/>
                <a:ext cx="109731" cy="21600"/>
              </a:xfrm>
              <a:prstGeom prst="rect">
                <a:avLst/>
              </a:prstGeom>
              <a:solidFill>
                <a:schemeClr val="bg1"/>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sp macro="" textlink="">
          <xdr:nvSpPr>
            <xdr:cNvPr id="23" name="右矢印 22"/>
            <xdr:cNvSpPr/>
          </xdr:nvSpPr>
          <xdr:spPr>
            <a:xfrm>
              <a:off x="4958165" y="2913679"/>
              <a:ext cx="94264" cy="78181"/>
            </a:xfrm>
            <a:prstGeom prst="rightArrow">
              <a:avLst>
                <a:gd name="adj1" fmla="val 26271"/>
                <a:gd name="adj2" fmla="val 52542"/>
              </a:avLst>
            </a:prstGeom>
            <a:solidFill>
              <a:schemeClr val="bg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bg1"/>
                </a:solidFill>
                <a:effectLst/>
                <a:latin typeface="+mn-lt"/>
                <a:ea typeface="+mn-ea"/>
                <a:cs typeface="+mn-cs"/>
              </a:endParaRPr>
            </a:p>
          </xdr:txBody>
        </xdr:sp>
      </xdr:grpSp>
    </xdr:grpSp>
    <xdr:clientData/>
  </xdr:twoCellAnchor>
  <xdr:twoCellAnchor>
    <xdr:from>
      <xdr:col>130</xdr:col>
      <xdr:colOff>0</xdr:colOff>
      <xdr:row>11</xdr:row>
      <xdr:rowOff>0</xdr:rowOff>
    </xdr:from>
    <xdr:to>
      <xdr:col>137</xdr:col>
      <xdr:colOff>65165</xdr:colOff>
      <xdr:row>12</xdr:row>
      <xdr:rowOff>0</xdr:rowOff>
    </xdr:to>
    <xdr:grpSp>
      <xdr:nvGrpSpPr>
        <xdr:cNvPr id="119" name="グループ化 118"/>
        <xdr:cNvGrpSpPr/>
      </xdr:nvGrpSpPr>
      <xdr:grpSpPr>
        <a:xfrm>
          <a:off x="8667750" y="1676400"/>
          <a:ext cx="531890" cy="152400"/>
          <a:chOff x="6792541" y="1676400"/>
          <a:chExt cx="522508" cy="152400"/>
        </a:xfrm>
      </xdr:grpSpPr>
      <xdr:sp macro="" textlink="">
        <xdr:nvSpPr>
          <xdr:cNvPr id="120" name="角丸四角形 119"/>
          <xdr:cNvSpPr/>
        </xdr:nvSpPr>
        <xdr:spPr>
          <a:xfrm>
            <a:off x="6792541" y="1676400"/>
            <a:ext cx="522508" cy="152400"/>
          </a:xfrm>
          <a:prstGeom prst="roundRect">
            <a:avLst/>
          </a:prstGeom>
          <a:solidFill>
            <a:schemeClr val="bg1">
              <a:lumMod val="75000"/>
            </a:schemeClr>
          </a:solidFill>
          <a:ln>
            <a:solidFill>
              <a:schemeClr val="bg1">
                <a:lumMod val="65000"/>
              </a:schemeClr>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詳細</a:t>
            </a:r>
          </a:p>
        </xdr:txBody>
      </xdr:sp>
      <xdr:sp macro="" textlink="">
        <xdr:nvSpPr>
          <xdr:cNvPr id="121" name="角丸四角形 120"/>
          <xdr:cNvSpPr/>
        </xdr:nvSpPr>
        <xdr:spPr>
          <a:xfrm>
            <a:off x="6807726" y="1676400"/>
            <a:ext cx="65313" cy="152400"/>
          </a:xfrm>
          <a:prstGeom prst="roundRect">
            <a:avLst/>
          </a:prstGeom>
          <a:solidFill>
            <a:srgbClr val="00FFCC"/>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82</xdr:col>
      <xdr:colOff>65169</xdr:colOff>
      <xdr:row>19</xdr:row>
      <xdr:rowOff>3</xdr:rowOff>
    </xdr:from>
    <xdr:to>
      <xdr:col>88</xdr:col>
      <xdr:colOff>36371</xdr:colOff>
      <xdr:row>19</xdr:row>
      <xdr:rowOff>139868</xdr:rowOff>
    </xdr:to>
    <xdr:grpSp>
      <xdr:nvGrpSpPr>
        <xdr:cNvPr id="39" name="グループ化 38"/>
        <xdr:cNvGrpSpPr/>
      </xdr:nvGrpSpPr>
      <xdr:grpSpPr>
        <a:xfrm>
          <a:off x="5532519" y="2895603"/>
          <a:ext cx="371252" cy="139865"/>
          <a:chOff x="5409195" y="2857502"/>
          <a:chExt cx="402477" cy="155406"/>
        </a:xfrm>
      </xdr:grpSpPr>
      <xdr:grpSp>
        <xdr:nvGrpSpPr>
          <xdr:cNvPr id="143" name="グループ化 142"/>
          <xdr:cNvGrpSpPr/>
        </xdr:nvGrpSpPr>
        <xdr:grpSpPr>
          <a:xfrm>
            <a:off x="5409195" y="2857502"/>
            <a:ext cx="402477" cy="150405"/>
            <a:chOff x="4532547" y="2895581"/>
            <a:chExt cx="413006" cy="152409"/>
          </a:xfrm>
          <a:solidFill>
            <a:schemeClr val="bg1"/>
          </a:solidFill>
        </xdr:grpSpPr>
        <xdr:sp macro="" textlink="">
          <xdr:nvSpPr>
            <xdr:cNvPr id="150" name="テキスト ボックス 149"/>
            <xdr:cNvSpPr txBox="1"/>
          </xdr:nvSpPr>
          <xdr:spPr>
            <a:xfrm>
              <a:off x="4532547" y="2895581"/>
              <a:ext cx="144715" cy="152400"/>
            </a:xfrm>
            <a:prstGeom prst="rect">
              <a:avLst/>
            </a:prstGeom>
            <a:grpFill/>
            <a:ln w="19050" cmpd="sng">
              <a:solidFill>
                <a:srgbClr val="336600"/>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48" name="テキスト ボックス 147"/>
            <xdr:cNvSpPr txBox="1"/>
          </xdr:nvSpPr>
          <xdr:spPr>
            <a:xfrm>
              <a:off x="4800610" y="2895590"/>
              <a:ext cx="144943" cy="152400"/>
            </a:xfrm>
            <a:prstGeom prst="rect">
              <a:avLst/>
            </a:prstGeom>
            <a:grpFill/>
            <a:ln w="19050" cmpd="sng">
              <a:solidFill>
                <a:srgbClr val="336600"/>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52" name="テキスト ボックス 151"/>
          <xdr:cNvSpPr txBox="1"/>
        </xdr:nvSpPr>
        <xdr:spPr>
          <a:xfrm>
            <a:off x="5424236" y="2863248"/>
            <a:ext cx="130342" cy="149660"/>
          </a:xfrm>
          <a:prstGeom prst="rect">
            <a:avLst/>
          </a:prstGeom>
          <a:noFill/>
          <a:ln w="9525" cmpd="sng">
            <a:noFill/>
          </a:ln>
          <a:scene3d>
            <a:camera prst="orthographicFront">
              <a:rot lat="0" lon="0" rev="16200000"/>
            </a:camera>
            <a:lightRig rig="threePt" dir="t"/>
          </a:scene3d>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1400">
                <a:latin typeface="Meiryo UI" panose="020B0604030504040204" pitchFamily="50" charset="-128"/>
                <a:ea typeface="Meiryo UI" panose="020B0604030504040204" pitchFamily="50" charset="-128"/>
                <a:cs typeface="Meiryo UI" panose="020B0604030504040204" pitchFamily="50" charset="-128"/>
              </a:rPr>
              <a:t>ゝ</a:t>
            </a:r>
          </a:p>
        </xdr:txBody>
      </xdr:sp>
    </xdr:grpSp>
    <xdr:clientData/>
  </xdr:twoCellAnchor>
  <xdr:twoCellAnchor>
    <xdr:from>
      <xdr:col>72</xdr:col>
      <xdr:colOff>0</xdr:colOff>
      <xdr:row>7</xdr:row>
      <xdr:rowOff>0</xdr:rowOff>
    </xdr:from>
    <xdr:to>
      <xdr:col>118</xdr:col>
      <xdr:colOff>62383</xdr:colOff>
      <xdr:row>8</xdr:row>
      <xdr:rowOff>2</xdr:rowOff>
    </xdr:to>
    <xdr:grpSp>
      <xdr:nvGrpSpPr>
        <xdr:cNvPr id="124" name="グループ化 123"/>
        <xdr:cNvGrpSpPr/>
      </xdr:nvGrpSpPr>
      <xdr:grpSpPr>
        <a:xfrm>
          <a:off x="4800600" y="1066800"/>
          <a:ext cx="3129433" cy="152402"/>
          <a:chOff x="4683511" y="1072374"/>
          <a:chExt cx="3057748" cy="154260"/>
        </a:xfrm>
      </xdr:grpSpPr>
      <xdr:grpSp>
        <xdr:nvGrpSpPr>
          <xdr:cNvPr id="125" name="グループ化 124"/>
          <xdr:cNvGrpSpPr/>
        </xdr:nvGrpSpPr>
        <xdr:grpSpPr>
          <a:xfrm>
            <a:off x="4683511" y="1072374"/>
            <a:ext cx="3057748" cy="154260"/>
            <a:chOff x="4649332" y="1083468"/>
            <a:chExt cx="3078042" cy="154783"/>
          </a:xfrm>
        </xdr:grpSpPr>
        <xdr:grpSp>
          <xdr:nvGrpSpPr>
            <xdr:cNvPr id="127" name="グループ化 126"/>
            <xdr:cNvGrpSpPr/>
          </xdr:nvGrpSpPr>
          <xdr:grpSpPr>
            <a:xfrm>
              <a:off x="5369651" y="1083468"/>
              <a:ext cx="2357723" cy="154783"/>
              <a:chOff x="1400110" y="1219192"/>
              <a:chExt cx="2400593" cy="152401"/>
            </a:xfrm>
          </xdr:grpSpPr>
          <xdr:sp macro="" textlink="">
            <xdr:nvSpPr>
              <xdr:cNvPr id="129" name="テキスト ボックス 128"/>
              <xdr:cNvSpPr txBox="1"/>
            </xdr:nvSpPr>
            <xdr:spPr>
              <a:xfrm>
                <a:off x="2136173" y="1219193"/>
                <a:ext cx="130427"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30" name="テキスト ボックス 129"/>
              <xdr:cNvSpPr txBox="1"/>
            </xdr:nvSpPr>
            <xdr:spPr>
              <a:xfrm>
                <a:off x="1400110" y="1221932"/>
                <a:ext cx="733016" cy="14966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31" name="テキスト ボックス 130"/>
              <xdr:cNvSpPr txBox="1"/>
            </xdr:nvSpPr>
            <xdr:spPr>
              <a:xfrm>
                <a:off x="2333337" y="1219192"/>
                <a:ext cx="1467366"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28" name="テキスト ボックス 127"/>
            <xdr:cNvSpPr txBox="1"/>
          </xdr:nvSpPr>
          <xdr:spPr>
            <a:xfrm>
              <a:off x="4649332" y="1083469"/>
              <a:ext cx="654833"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出荷物流Ｇ</a:t>
              </a:r>
            </a:p>
          </xdr:txBody>
        </xdr:sp>
      </xdr:grpSp>
      <xdr:sp macro="" textlink="">
        <xdr:nvSpPr>
          <xdr:cNvPr id="126" name="二等辺三角形 125"/>
          <xdr:cNvSpPr>
            <a:spLocks/>
          </xdr:cNvSpPr>
        </xdr:nvSpPr>
        <xdr:spPr>
          <a:xfrm flipV="1">
            <a:off x="6136320"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92</xdr:col>
      <xdr:colOff>5</xdr:colOff>
      <xdr:row>17</xdr:row>
      <xdr:rowOff>0</xdr:rowOff>
    </xdr:from>
    <xdr:to>
      <xdr:col>110</xdr:col>
      <xdr:colOff>17738</xdr:colOff>
      <xdr:row>17</xdr:row>
      <xdr:rowOff>149660</xdr:rowOff>
    </xdr:to>
    <xdr:grpSp>
      <xdr:nvGrpSpPr>
        <xdr:cNvPr id="132" name="グループ化 131"/>
        <xdr:cNvGrpSpPr/>
      </xdr:nvGrpSpPr>
      <xdr:grpSpPr>
        <a:xfrm>
          <a:off x="6134105" y="2590800"/>
          <a:ext cx="1217883" cy="149660"/>
          <a:chOff x="4128877" y="1955132"/>
          <a:chExt cx="1186798" cy="149660"/>
        </a:xfrm>
      </xdr:grpSpPr>
      <xdr:grpSp>
        <xdr:nvGrpSpPr>
          <xdr:cNvPr id="133" name="グループ化 132"/>
          <xdr:cNvGrpSpPr/>
        </xdr:nvGrpSpPr>
        <xdr:grpSpPr>
          <a:xfrm>
            <a:off x="4128877" y="1955132"/>
            <a:ext cx="542794" cy="149660"/>
            <a:chOff x="4151576" y="2012156"/>
            <a:chExt cx="544889" cy="149660"/>
          </a:xfrm>
        </xdr:grpSpPr>
        <xdr:sp macro="" textlink="">
          <xdr:nvSpPr>
            <xdr:cNvPr id="136" name="テキスト ボックス 135"/>
            <xdr:cNvSpPr txBox="1"/>
          </xdr:nvSpPr>
          <xdr:spPr>
            <a:xfrm>
              <a:off x="4262831" y="2012156"/>
              <a:ext cx="433634"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未確認</a:t>
              </a:r>
            </a:p>
          </xdr:txBody>
        </xdr:sp>
        <xdr:sp macro="" textlink="">
          <xdr:nvSpPr>
            <xdr:cNvPr id="137" name="テキスト ボックス 136"/>
            <xdr:cNvSpPr txBox="1"/>
          </xdr:nvSpPr>
          <xdr:spPr>
            <a:xfrm>
              <a:off x="4151576" y="2031530"/>
              <a:ext cx="111257"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34" name="テキスト ボックス 133"/>
          <xdr:cNvSpPr txBox="1"/>
        </xdr:nvSpPr>
        <xdr:spPr>
          <a:xfrm>
            <a:off x="4908268" y="1955132"/>
            <a:ext cx="407407"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確認済</a:t>
            </a:r>
          </a:p>
        </xdr:txBody>
      </xdr:sp>
      <xdr:sp macro="" textlink="">
        <xdr:nvSpPr>
          <xdr:cNvPr id="135" name="テキスト ボックス 134"/>
          <xdr:cNvSpPr txBox="1"/>
        </xdr:nvSpPr>
        <xdr:spPr>
          <a:xfrm>
            <a:off x="4778370" y="1974506"/>
            <a:ext cx="112566"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66</xdr:col>
      <xdr:colOff>64849</xdr:colOff>
      <xdr:row>21</xdr:row>
      <xdr:rowOff>0</xdr:rowOff>
    </xdr:from>
    <xdr:to>
      <xdr:col>91</xdr:col>
      <xdr:colOff>0</xdr:colOff>
      <xdr:row>21</xdr:row>
      <xdr:rowOff>149660</xdr:rowOff>
    </xdr:to>
    <xdr:grpSp>
      <xdr:nvGrpSpPr>
        <xdr:cNvPr id="106" name="グループ化 105"/>
        <xdr:cNvGrpSpPr/>
      </xdr:nvGrpSpPr>
      <xdr:grpSpPr>
        <a:xfrm>
          <a:off x="4465399" y="3200400"/>
          <a:ext cx="1602026" cy="149660"/>
          <a:chOff x="4431633" y="1955132"/>
          <a:chExt cx="1563920" cy="149660"/>
        </a:xfrm>
      </xdr:grpSpPr>
      <xdr:grpSp>
        <xdr:nvGrpSpPr>
          <xdr:cNvPr id="107" name="グループ化 106"/>
          <xdr:cNvGrpSpPr/>
        </xdr:nvGrpSpPr>
        <xdr:grpSpPr>
          <a:xfrm>
            <a:off x="4431633" y="1955132"/>
            <a:ext cx="435779" cy="149660"/>
            <a:chOff x="4455488" y="2012156"/>
            <a:chExt cx="437460" cy="149660"/>
          </a:xfrm>
        </xdr:grpSpPr>
        <xdr:sp macro="" textlink="">
          <xdr:nvSpPr>
            <xdr:cNvPr id="139" name="テキスト ボックス 138"/>
            <xdr:cNvSpPr txBox="1"/>
          </xdr:nvSpPr>
          <xdr:spPr>
            <a:xfrm>
              <a:off x="4583907" y="2012156"/>
              <a:ext cx="309041"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確定</a:t>
              </a:r>
            </a:p>
          </xdr:txBody>
        </xdr:sp>
        <xdr:sp macro="" textlink="">
          <xdr:nvSpPr>
            <xdr:cNvPr id="140" name="テキスト ボックス 139"/>
            <xdr:cNvSpPr txBox="1"/>
          </xdr:nvSpPr>
          <xdr:spPr>
            <a:xfrm>
              <a:off x="4455488" y="2031530"/>
              <a:ext cx="111257"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09" name="テキスト ボックス 108"/>
          <xdr:cNvSpPr txBox="1"/>
        </xdr:nvSpPr>
        <xdr:spPr>
          <a:xfrm>
            <a:off x="5083268" y="1955132"/>
            <a:ext cx="326360"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通知</a:t>
            </a:r>
          </a:p>
        </xdr:txBody>
      </xdr:sp>
      <xdr:sp macro="" textlink="">
        <xdr:nvSpPr>
          <xdr:cNvPr id="110" name="テキスト ボックス 109"/>
          <xdr:cNvSpPr txBox="1"/>
        </xdr:nvSpPr>
        <xdr:spPr>
          <a:xfrm>
            <a:off x="5604573" y="1955132"/>
            <a:ext cx="390980"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再通知</a:t>
            </a:r>
          </a:p>
        </xdr:txBody>
      </xdr:sp>
      <xdr:sp macro="" textlink="">
        <xdr:nvSpPr>
          <xdr:cNvPr id="122" name="テキスト ボックス 121"/>
          <xdr:cNvSpPr txBox="1"/>
        </xdr:nvSpPr>
        <xdr:spPr>
          <a:xfrm>
            <a:off x="4952941" y="1974506"/>
            <a:ext cx="112566"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23" name="テキスト ボックス 122"/>
          <xdr:cNvSpPr txBox="1"/>
        </xdr:nvSpPr>
        <xdr:spPr>
          <a:xfrm>
            <a:off x="5474247" y="1974506"/>
            <a:ext cx="109932"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63</xdr:col>
      <xdr:colOff>11</xdr:colOff>
      <xdr:row>23</xdr:row>
      <xdr:rowOff>0</xdr:rowOff>
    </xdr:from>
    <xdr:to>
      <xdr:col>95</xdr:col>
      <xdr:colOff>65170</xdr:colOff>
      <xdr:row>24</xdr:row>
      <xdr:rowOff>2</xdr:rowOff>
    </xdr:to>
    <xdr:grpSp>
      <xdr:nvGrpSpPr>
        <xdr:cNvPr id="141" name="グループ化 140"/>
        <xdr:cNvGrpSpPr/>
      </xdr:nvGrpSpPr>
      <xdr:grpSpPr>
        <a:xfrm>
          <a:off x="4200536" y="3505200"/>
          <a:ext cx="2198759" cy="152402"/>
          <a:chOff x="4683509" y="1072374"/>
          <a:chExt cx="2148869" cy="154260"/>
        </a:xfrm>
      </xdr:grpSpPr>
      <xdr:grpSp>
        <xdr:nvGrpSpPr>
          <xdr:cNvPr id="142" name="グループ化 141"/>
          <xdr:cNvGrpSpPr/>
        </xdr:nvGrpSpPr>
        <xdr:grpSpPr>
          <a:xfrm>
            <a:off x="4683509" y="1072374"/>
            <a:ext cx="2148869" cy="154260"/>
            <a:chOff x="4649332" y="1083468"/>
            <a:chExt cx="2163133" cy="154783"/>
          </a:xfrm>
        </xdr:grpSpPr>
        <xdr:grpSp>
          <xdr:nvGrpSpPr>
            <xdr:cNvPr id="145" name="グループ化 144"/>
            <xdr:cNvGrpSpPr/>
          </xdr:nvGrpSpPr>
          <xdr:grpSpPr>
            <a:xfrm>
              <a:off x="4911542" y="1083468"/>
              <a:ext cx="1900923" cy="154783"/>
              <a:chOff x="933671" y="1219192"/>
              <a:chExt cx="1935486" cy="152401"/>
            </a:xfrm>
          </xdr:grpSpPr>
          <xdr:sp macro="" textlink="">
            <xdr:nvSpPr>
              <xdr:cNvPr id="147" name="テキスト ボックス 146"/>
              <xdr:cNvSpPr txBox="1"/>
            </xdr:nvSpPr>
            <xdr:spPr>
              <a:xfrm>
                <a:off x="1133907" y="1219193"/>
                <a:ext cx="130427"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49" name="テキスト ボックス 148"/>
              <xdr:cNvSpPr txBox="1"/>
            </xdr:nvSpPr>
            <xdr:spPr>
              <a:xfrm>
                <a:off x="933671" y="1219192"/>
                <a:ext cx="200236"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JN</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51" name="テキスト ボックス 150"/>
              <xdr:cNvSpPr txBox="1"/>
            </xdr:nvSpPr>
            <xdr:spPr>
              <a:xfrm>
                <a:off x="1335048" y="1219192"/>
                <a:ext cx="1534109"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12345678901234567890</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46" name="テキスト ボックス 145"/>
            <xdr:cNvSpPr txBox="1"/>
          </xdr:nvSpPr>
          <xdr:spPr>
            <a:xfrm>
              <a:off x="4649332" y="1083469"/>
              <a:ext cx="196659"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国</a:t>
              </a:r>
            </a:p>
          </xdr:txBody>
        </xdr:sp>
      </xdr:grpSp>
      <xdr:sp macro="" textlink="">
        <xdr:nvSpPr>
          <xdr:cNvPr id="144" name="二等辺三角形 143"/>
          <xdr:cNvSpPr>
            <a:spLocks/>
          </xdr:cNvSpPr>
        </xdr:nvSpPr>
        <xdr:spPr>
          <a:xfrm flipV="1">
            <a:off x="5158443"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63</xdr:col>
      <xdr:colOff>121</xdr:colOff>
      <xdr:row>24</xdr:row>
      <xdr:rowOff>150394</xdr:rowOff>
    </xdr:from>
    <xdr:to>
      <xdr:col>121</xdr:col>
      <xdr:colOff>124</xdr:colOff>
      <xdr:row>26</xdr:row>
      <xdr:rowOff>1142</xdr:rowOff>
    </xdr:to>
    <xdr:grpSp>
      <xdr:nvGrpSpPr>
        <xdr:cNvPr id="153" name="グループ化 152"/>
        <xdr:cNvGrpSpPr/>
      </xdr:nvGrpSpPr>
      <xdr:grpSpPr>
        <a:xfrm>
          <a:off x="4200646" y="3807994"/>
          <a:ext cx="3867153" cy="155548"/>
          <a:chOff x="4683512" y="1072375"/>
          <a:chExt cx="3918282" cy="154261"/>
        </a:xfrm>
      </xdr:grpSpPr>
      <xdr:grpSp>
        <xdr:nvGrpSpPr>
          <xdr:cNvPr id="154" name="グループ化 153"/>
          <xdr:cNvGrpSpPr/>
        </xdr:nvGrpSpPr>
        <xdr:grpSpPr>
          <a:xfrm>
            <a:off x="4683512" y="1072375"/>
            <a:ext cx="3918282" cy="154261"/>
            <a:chOff x="4649332" y="1083469"/>
            <a:chExt cx="3944288" cy="154784"/>
          </a:xfrm>
        </xdr:grpSpPr>
        <xdr:grpSp>
          <xdr:nvGrpSpPr>
            <xdr:cNvPr id="156" name="グループ化 155"/>
            <xdr:cNvGrpSpPr/>
          </xdr:nvGrpSpPr>
          <xdr:grpSpPr>
            <a:xfrm>
              <a:off x="5380665" y="1083469"/>
              <a:ext cx="3212955" cy="154784"/>
              <a:chOff x="1411324" y="1219192"/>
              <a:chExt cx="3271376" cy="152402"/>
            </a:xfrm>
          </xdr:grpSpPr>
          <xdr:sp macro="" textlink="">
            <xdr:nvSpPr>
              <xdr:cNvPr id="158" name="テキスト ボックス 157"/>
              <xdr:cNvSpPr txBox="1"/>
            </xdr:nvSpPr>
            <xdr:spPr>
              <a:xfrm>
                <a:off x="2190006" y="1219193"/>
                <a:ext cx="133942"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59" name="テキスト ボックス 158"/>
              <xdr:cNvSpPr txBox="1"/>
            </xdr:nvSpPr>
            <xdr:spPr>
              <a:xfrm>
                <a:off x="1411324" y="1219192"/>
                <a:ext cx="778682"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0" name="テキスト ボックス 159"/>
              <xdr:cNvSpPr txBox="1"/>
            </xdr:nvSpPr>
            <xdr:spPr>
              <a:xfrm>
                <a:off x="2397602" y="1222035"/>
                <a:ext cx="2285098" cy="149559"/>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57" name="テキスト ボックス 156"/>
            <xdr:cNvSpPr txBox="1"/>
          </xdr:nvSpPr>
          <xdr:spPr>
            <a:xfrm>
              <a:off x="4649332" y="1083469"/>
              <a:ext cx="680051"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出荷物流Ｇ</a:t>
              </a:r>
            </a:p>
          </xdr:txBody>
        </xdr:sp>
      </xdr:grpSp>
      <xdr:sp macro="" textlink="">
        <xdr:nvSpPr>
          <xdr:cNvPr id="155" name="二等辺三角形 154"/>
          <xdr:cNvSpPr>
            <a:spLocks/>
          </xdr:cNvSpPr>
        </xdr:nvSpPr>
        <xdr:spPr>
          <a:xfrm flipV="1">
            <a:off x="6192272"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63</xdr:col>
      <xdr:colOff>2</xdr:colOff>
      <xdr:row>27</xdr:row>
      <xdr:rowOff>0</xdr:rowOff>
    </xdr:from>
    <xdr:to>
      <xdr:col>83</xdr:col>
      <xdr:colOff>65168</xdr:colOff>
      <xdr:row>28</xdr:row>
      <xdr:rowOff>1142</xdr:rowOff>
    </xdr:to>
    <xdr:grpSp>
      <xdr:nvGrpSpPr>
        <xdr:cNvPr id="161" name="グループ化 160"/>
        <xdr:cNvGrpSpPr/>
      </xdr:nvGrpSpPr>
      <xdr:grpSpPr>
        <a:xfrm>
          <a:off x="4200527" y="4114800"/>
          <a:ext cx="1398666" cy="153542"/>
          <a:chOff x="4683518" y="1072375"/>
          <a:chExt cx="1372169" cy="154261"/>
        </a:xfrm>
      </xdr:grpSpPr>
      <xdr:grpSp>
        <xdr:nvGrpSpPr>
          <xdr:cNvPr id="162" name="グループ化 161"/>
          <xdr:cNvGrpSpPr/>
        </xdr:nvGrpSpPr>
        <xdr:grpSpPr>
          <a:xfrm>
            <a:off x="4683518" y="1072375"/>
            <a:ext cx="1372169" cy="154261"/>
            <a:chOff x="4649330" y="1083469"/>
            <a:chExt cx="1381275" cy="154784"/>
          </a:xfrm>
        </xdr:grpSpPr>
        <xdr:grpSp>
          <xdr:nvGrpSpPr>
            <xdr:cNvPr id="164" name="グループ化 163"/>
            <xdr:cNvGrpSpPr/>
          </xdr:nvGrpSpPr>
          <xdr:grpSpPr>
            <a:xfrm>
              <a:off x="5369650" y="1083469"/>
              <a:ext cx="660955" cy="154784"/>
              <a:chOff x="1400110" y="1219192"/>
              <a:chExt cx="672973" cy="152402"/>
            </a:xfrm>
          </xdr:grpSpPr>
          <xdr:sp macro="" textlink="">
            <xdr:nvSpPr>
              <xdr:cNvPr id="166" name="テキスト ボックス 165"/>
              <xdr:cNvSpPr txBox="1"/>
            </xdr:nvSpPr>
            <xdr:spPr>
              <a:xfrm>
                <a:off x="1537317" y="1219193"/>
                <a:ext cx="130427"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7" name="テキスト ボックス 166"/>
              <xdr:cNvSpPr txBox="1"/>
            </xdr:nvSpPr>
            <xdr:spPr>
              <a:xfrm>
                <a:off x="1400110" y="1219192"/>
                <a:ext cx="137207"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8" name="テキスト ボックス 167"/>
              <xdr:cNvSpPr txBox="1"/>
            </xdr:nvSpPr>
            <xdr:spPr>
              <a:xfrm>
                <a:off x="1738223" y="1219194"/>
                <a:ext cx="334860"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65" name="テキスト ボックス 164"/>
            <xdr:cNvSpPr txBox="1"/>
          </xdr:nvSpPr>
          <xdr:spPr>
            <a:xfrm>
              <a:off x="4649330" y="1083469"/>
              <a:ext cx="654834"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国内／海外</a:t>
              </a:r>
            </a:p>
          </xdr:txBody>
        </xdr:sp>
      </xdr:grpSp>
      <xdr:sp macro="" textlink="">
        <xdr:nvSpPr>
          <xdr:cNvPr id="163" name="二等辺三角形 162"/>
          <xdr:cNvSpPr>
            <a:spLocks/>
          </xdr:cNvSpPr>
        </xdr:nvSpPr>
        <xdr:spPr>
          <a:xfrm flipV="1">
            <a:off x="5552036"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64</xdr:col>
      <xdr:colOff>65171</xdr:colOff>
      <xdr:row>31</xdr:row>
      <xdr:rowOff>0</xdr:rowOff>
    </xdr:from>
    <xdr:to>
      <xdr:col>91</xdr:col>
      <xdr:colOff>1</xdr:colOff>
      <xdr:row>32</xdr:row>
      <xdr:rowOff>1139</xdr:rowOff>
    </xdr:to>
    <xdr:grpSp>
      <xdr:nvGrpSpPr>
        <xdr:cNvPr id="3" name="グループ化 2"/>
        <xdr:cNvGrpSpPr/>
      </xdr:nvGrpSpPr>
      <xdr:grpSpPr>
        <a:xfrm>
          <a:off x="4332371" y="4724400"/>
          <a:ext cx="1735055" cy="153539"/>
          <a:chOff x="4236118" y="4662237"/>
          <a:chExt cx="1694449" cy="151534"/>
        </a:xfrm>
      </xdr:grpSpPr>
      <xdr:sp macro="" textlink="">
        <xdr:nvSpPr>
          <xdr:cNvPr id="177" name="テキスト ボックス 176"/>
          <xdr:cNvSpPr txBox="1"/>
        </xdr:nvSpPr>
        <xdr:spPr>
          <a:xfrm>
            <a:off x="4236118" y="4662237"/>
            <a:ext cx="521369" cy="151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受注ＮＯ</a:t>
            </a:r>
          </a:p>
        </xdr:txBody>
      </xdr:sp>
      <xdr:sp macro="" textlink="">
        <xdr:nvSpPr>
          <xdr:cNvPr id="178" name="テキスト ボックス 177"/>
          <xdr:cNvSpPr txBox="1"/>
        </xdr:nvSpPr>
        <xdr:spPr>
          <a:xfrm>
            <a:off x="4822659" y="4662237"/>
            <a:ext cx="1107908" cy="150396"/>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67</xdr:col>
      <xdr:colOff>0</xdr:colOff>
      <xdr:row>32</xdr:row>
      <xdr:rowOff>150394</xdr:rowOff>
    </xdr:from>
    <xdr:to>
      <xdr:col>118</xdr:col>
      <xdr:colOff>17660</xdr:colOff>
      <xdr:row>34</xdr:row>
      <xdr:rowOff>2006</xdr:rowOff>
    </xdr:to>
    <xdr:grpSp>
      <xdr:nvGrpSpPr>
        <xdr:cNvPr id="179" name="グループ化 178"/>
        <xdr:cNvGrpSpPr/>
      </xdr:nvGrpSpPr>
      <xdr:grpSpPr>
        <a:xfrm>
          <a:off x="4467225" y="5027194"/>
          <a:ext cx="3418085" cy="156412"/>
          <a:chOff x="386619" y="1353553"/>
          <a:chExt cx="3264578" cy="150395"/>
        </a:xfrm>
      </xdr:grpSpPr>
      <xdr:sp macro="" textlink="">
        <xdr:nvSpPr>
          <xdr:cNvPr id="180" name="テキスト ボックス 179"/>
          <xdr:cNvSpPr txBox="1"/>
        </xdr:nvSpPr>
        <xdr:spPr>
          <a:xfrm>
            <a:off x="386619" y="1353553"/>
            <a:ext cx="656119" cy="150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出荷予定日</a:t>
            </a:r>
          </a:p>
        </xdr:txBody>
      </xdr:sp>
      <xdr:grpSp>
        <xdr:nvGrpSpPr>
          <xdr:cNvPr id="181" name="グループ化 180"/>
          <xdr:cNvGrpSpPr/>
        </xdr:nvGrpSpPr>
        <xdr:grpSpPr>
          <a:xfrm>
            <a:off x="1042737" y="1353553"/>
            <a:ext cx="2608460" cy="150395"/>
            <a:chOff x="466725" y="304800"/>
            <a:chExt cx="2668618" cy="152400"/>
          </a:xfrm>
        </xdr:grpSpPr>
        <xdr:grpSp>
          <xdr:nvGrpSpPr>
            <xdr:cNvPr id="182" name="グループ化 181"/>
            <xdr:cNvGrpSpPr/>
          </xdr:nvGrpSpPr>
          <xdr:grpSpPr>
            <a:xfrm>
              <a:off x="466725" y="304800"/>
              <a:ext cx="1201767" cy="150962"/>
              <a:chOff x="1270770" y="762000"/>
              <a:chExt cx="3659650" cy="152400"/>
            </a:xfrm>
          </xdr:grpSpPr>
          <xdr:sp macro="" textlink="">
            <xdr:nvSpPr>
              <xdr:cNvPr id="187" name="テキスト ボックス 186"/>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88" name="テキスト ボックス 187"/>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83" name="テキスト ボックス 182"/>
            <xdr:cNvSpPr txBox="1"/>
          </xdr:nvSpPr>
          <xdr:spPr>
            <a:xfrm>
              <a:off x="1733550" y="304800"/>
              <a:ext cx="129551" cy="152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p>
          </xdr:txBody>
        </xdr:sp>
        <xdr:grpSp>
          <xdr:nvGrpSpPr>
            <xdr:cNvPr id="184" name="グループ化 183"/>
            <xdr:cNvGrpSpPr/>
          </xdr:nvGrpSpPr>
          <xdr:grpSpPr>
            <a:xfrm>
              <a:off x="1933575" y="304800"/>
              <a:ext cx="1201768" cy="150962"/>
              <a:chOff x="1270770" y="762000"/>
              <a:chExt cx="3659650" cy="152400"/>
            </a:xfrm>
          </xdr:grpSpPr>
          <xdr:sp macro="" textlink="">
            <xdr:nvSpPr>
              <xdr:cNvPr id="185" name="テキスト ボックス 184"/>
              <xdr:cNvSpPr txBox="1"/>
            </xdr:nvSpPr>
            <xdr:spPr>
              <a:xfrm>
                <a:off x="1270770" y="762000"/>
                <a:ext cx="2236453"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86" name="テキスト ボックス 185"/>
              <xdr:cNvSpPr txBox="1"/>
            </xdr:nvSpPr>
            <xdr:spPr>
              <a:xfrm>
                <a:off x="3710539" y="762000"/>
                <a:ext cx="1219881"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__:__</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grpSp>
    </xdr:grpSp>
    <xdr:clientData/>
  </xdr:twoCellAnchor>
  <xdr:twoCellAnchor>
    <xdr:from>
      <xdr:col>67</xdr:col>
      <xdr:colOff>125</xdr:colOff>
      <xdr:row>28</xdr:row>
      <xdr:rowOff>150394</xdr:rowOff>
    </xdr:from>
    <xdr:to>
      <xdr:col>123</xdr:col>
      <xdr:colOff>65046</xdr:colOff>
      <xdr:row>30</xdr:row>
      <xdr:rowOff>1140</xdr:rowOff>
    </xdr:to>
    <xdr:grpSp>
      <xdr:nvGrpSpPr>
        <xdr:cNvPr id="6" name="グループ化 5"/>
        <xdr:cNvGrpSpPr/>
      </xdr:nvGrpSpPr>
      <xdr:grpSpPr>
        <a:xfrm>
          <a:off x="4467350" y="4417594"/>
          <a:ext cx="3798721" cy="155546"/>
          <a:chOff x="4366458" y="4361446"/>
          <a:chExt cx="3714635" cy="151535"/>
        </a:xfrm>
      </xdr:grpSpPr>
      <xdr:grpSp>
        <xdr:nvGrpSpPr>
          <xdr:cNvPr id="170" name="グループ化 169"/>
          <xdr:cNvGrpSpPr/>
        </xdr:nvGrpSpPr>
        <xdr:grpSpPr>
          <a:xfrm>
            <a:off x="4366458" y="4361446"/>
            <a:ext cx="1498937" cy="151535"/>
            <a:chOff x="4912432" y="1083468"/>
            <a:chExt cx="1512834" cy="154782"/>
          </a:xfrm>
        </xdr:grpSpPr>
        <xdr:sp macro="" textlink="">
          <xdr:nvSpPr>
            <xdr:cNvPr id="175" name="テキスト ボックス 174"/>
            <xdr:cNvSpPr txBox="1"/>
          </xdr:nvSpPr>
          <xdr:spPr>
            <a:xfrm>
              <a:off x="5369652" y="1083468"/>
              <a:ext cx="1055614" cy="153616"/>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73" name="テキスト ボックス 172"/>
            <xdr:cNvSpPr txBox="1"/>
          </xdr:nvSpPr>
          <xdr:spPr>
            <a:xfrm>
              <a:off x="4912432" y="1083469"/>
              <a:ext cx="391732"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得意先</a:t>
              </a:r>
            </a:p>
          </xdr:txBody>
        </xdr:sp>
      </xdr:grpSp>
      <xdr:sp macro="" textlink="">
        <xdr:nvSpPr>
          <xdr:cNvPr id="197" name="テキスト ボックス 196"/>
          <xdr:cNvSpPr txBox="1"/>
        </xdr:nvSpPr>
        <xdr:spPr>
          <a:xfrm>
            <a:off x="5930442" y="4364272"/>
            <a:ext cx="2150651" cy="148709"/>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66</xdr:col>
      <xdr:colOff>8</xdr:colOff>
      <xdr:row>36</xdr:row>
      <xdr:rowOff>153327</xdr:rowOff>
    </xdr:from>
    <xdr:to>
      <xdr:col>139</xdr:col>
      <xdr:colOff>65048</xdr:colOff>
      <xdr:row>38</xdr:row>
      <xdr:rowOff>4074</xdr:rowOff>
    </xdr:to>
    <xdr:grpSp>
      <xdr:nvGrpSpPr>
        <xdr:cNvPr id="13" name="グループ化 12"/>
        <xdr:cNvGrpSpPr/>
      </xdr:nvGrpSpPr>
      <xdr:grpSpPr>
        <a:xfrm>
          <a:off x="4400558" y="5639727"/>
          <a:ext cx="4932315" cy="155547"/>
          <a:chOff x="4293228" y="5673181"/>
          <a:chExt cx="4813600" cy="157405"/>
        </a:xfrm>
      </xdr:grpSpPr>
      <xdr:grpSp>
        <xdr:nvGrpSpPr>
          <xdr:cNvPr id="201" name="グループ化 200"/>
          <xdr:cNvGrpSpPr/>
        </xdr:nvGrpSpPr>
        <xdr:grpSpPr>
          <a:xfrm>
            <a:off x="4293228" y="5673181"/>
            <a:ext cx="4813600" cy="157405"/>
            <a:chOff x="4366464" y="4361445"/>
            <a:chExt cx="4822657" cy="151536"/>
          </a:xfrm>
        </xdr:grpSpPr>
        <xdr:sp macro="" textlink="">
          <xdr:nvSpPr>
            <xdr:cNvPr id="207" name="テキスト ボックス 206"/>
            <xdr:cNvSpPr txBox="1"/>
          </xdr:nvSpPr>
          <xdr:spPr>
            <a:xfrm>
              <a:off x="4366464" y="4361447"/>
              <a:ext cx="388134" cy="151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納品先</a:t>
              </a:r>
            </a:p>
          </xdr:txBody>
        </xdr:sp>
        <xdr:sp macro="" textlink="">
          <xdr:nvSpPr>
            <xdr:cNvPr id="205" name="テキスト ボックス 204"/>
            <xdr:cNvSpPr txBox="1"/>
          </xdr:nvSpPr>
          <xdr:spPr>
            <a:xfrm>
              <a:off x="7038473" y="4361445"/>
              <a:ext cx="2150648" cy="147614"/>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08" name="テキスト ボックス 207"/>
          <xdr:cNvSpPr txBox="1"/>
        </xdr:nvSpPr>
        <xdr:spPr>
          <a:xfrm>
            <a:off x="4748561" y="5673183"/>
            <a:ext cx="2146609" cy="153329"/>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79</xdr:col>
      <xdr:colOff>2313</xdr:colOff>
      <xdr:row>34</xdr:row>
      <xdr:rowOff>149086</xdr:rowOff>
    </xdr:from>
    <xdr:to>
      <xdr:col>191</xdr:col>
      <xdr:colOff>65640</xdr:colOff>
      <xdr:row>36</xdr:row>
      <xdr:rowOff>1191</xdr:rowOff>
    </xdr:to>
    <xdr:grpSp>
      <xdr:nvGrpSpPr>
        <xdr:cNvPr id="22" name="グループ化 21"/>
        <xdr:cNvGrpSpPr/>
      </xdr:nvGrpSpPr>
      <xdr:grpSpPr>
        <a:xfrm>
          <a:off x="5269638" y="5330686"/>
          <a:ext cx="7530927" cy="156905"/>
          <a:chOff x="5236922" y="5218043"/>
          <a:chExt cx="7484544" cy="150278"/>
        </a:xfrm>
      </xdr:grpSpPr>
      <xdr:grpSp>
        <xdr:nvGrpSpPr>
          <xdr:cNvPr id="17" name="グループ化 16"/>
          <xdr:cNvGrpSpPr/>
        </xdr:nvGrpSpPr>
        <xdr:grpSpPr>
          <a:xfrm>
            <a:off x="5236922" y="5218062"/>
            <a:ext cx="7484544" cy="150259"/>
            <a:chOff x="5269846" y="5333020"/>
            <a:chExt cx="7532443" cy="154527"/>
          </a:xfrm>
        </xdr:grpSpPr>
        <xdr:grpSp>
          <xdr:nvGrpSpPr>
            <xdr:cNvPr id="190" name="グループ化 189"/>
            <xdr:cNvGrpSpPr/>
          </xdr:nvGrpSpPr>
          <xdr:grpSpPr>
            <a:xfrm>
              <a:off x="5269846" y="5333020"/>
              <a:ext cx="7532443" cy="154527"/>
              <a:chOff x="5471911" y="1079399"/>
              <a:chExt cx="6172362" cy="158851"/>
            </a:xfrm>
          </xdr:grpSpPr>
          <xdr:grpSp>
            <xdr:nvGrpSpPr>
              <xdr:cNvPr id="192" name="グループ化 191"/>
              <xdr:cNvGrpSpPr/>
            </xdr:nvGrpSpPr>
            <xdr:grpSpPr>
              <a:xfrm>
                <a:off x="5852512" y="1079399"/>
                <a:ext cx="5791761" cy="157703"/>
                <a:chOff x="1891751" y="1215192"/>
                <a:chExt cx="5897073" cy="155277"/>
              </a:xfrm>
            </xdr:grpSpPr>
            <xdr:sp macro="" textlink="">
              <xdr:nvSpPr>
                <xdr:cNvPr id="195" name="テキスト ボックス 194"/>
                <xdr:cNvSpPr txBox="1"/>
              </xdr:nvSpPr>
              <xdr:spPr>
                <a:xfrm>
                  <a:off x="1891751" y="1215192"/>
                  <a:ext cx="1668748" cy="150662"/>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123456789801234567898012345</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96" name="テキスト ボックス 195"/>
                <xdr:cNvSpPr txBox="1"/>
              </xdr:nvSpPr>
              <xdr:spPr>
                <a:xfrm>
                  <a:off x="4284171" y="1216189"/>
                  <a:ext cx="3504653" cy="15428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93" name="テキスト ボックス 192"/>
              <xdr:cNvSpPr txBox="1"/>
            </xdr:nvSpPr>
            <xdr:spPr>
              <a:xfrm>
                <a:off x="5471911" y="1083469"/>
                <a:ext cx="325957"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品目</a:t>
                </a:r>
              </a:p>
            </xdr:txBody>
          </xdr:sp>
        </xdr:grpSp>
        <xdr:sp macro="" textlink="">
          <xdr:nvSpPr>
            <xdr:cNvPr id="210" name="テキスト ボックス 209"/>
            <xdr:cNvSpPr txBox="1"/>
          </xdr:nvSpPr>
          <xdr:spPr>
            <a:xfrm>
              <a:off x="7801636" y="5334000"/>
              <a:ext cx="600074"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21" name="テキスト ボックス 220"/>
          <xdr:cNvSpPr txBox="1"/>
        </xdr:nvSpPr>
        <xdr:spPr>
          <a:xfrm>
            <a:off x="8352449" y="5218043"/>
            <a:ext cx="128942" cy="150227"/>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22" name="二等辺三角形 221"/>
          <xdr:cNvSpPr>
            <a:spLocks/>
          </xdr:cNvSpPr>
        </xdr:nvSpPr>
        <xdr:spPr>
          <a:xfrm flipV="1">
            <a:off x="8371781" y="5277768"/>
            <a:ext cx="96088" cy="52589"/>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64</xdr:col>
      <xdr:colOff>35092</xdr:colOff>
      <xdr:row>39</xdr:row>
      <xdr:rowOff>0</xdr:rowOff>
    </xdr:from>
    <xdr:to>
      <xdr:col>79</xdr:col>
      <xdr:colOff>60158</xdr:colOff>
      <xdr:row>39</xdr:row>
      <xdr:rowOff>149086</xdr:rowOff>
    </xdr:to>
    <xdr:sp macro="" textlink="">
      <xdr:nvSpPr>
        <xdr:cNvPr id="232" name="角丸四角形 231"/>
        <xdr:cNvSpPr/>
      </xdr:nvSpPr>
      <xdr:spPr>
        <a:xfrm>
          <a:off x="4424212" y="5943600"/>
          <a:ext cx="1053766" cy="149086"/>
        </a:xfrm>
        <a:prstGeom prst="roundRect">
          <a:avLst/>
        </a:prstGeom>
        <a:solidFill>
          <a:schemeClr val="bg1">
            <a:lumMod val="75000"/>
          </a:schemeClr>
        </a:solidFill>
        <a:ln>
          <a:solidFill>
            <a:schemeClr val="bg1">
              <a:lumMod val="65000"/>
            </a:schemeClr>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出荷予定連絡票</a:t>
          </a:r>
        </a:p>
      </xdr:txBody>
    </xdr:sp>
    <xdr:clientData/>
  </xdr:twoCellAnchor>
  <xdr:twoCellAnchor>
    <xdr:from>
      <xdr:col>65</xdr:col>
      <xdr:colOff>0</xdr:colOff>
      <xdr:row>41</xdr:row>
      <xdr:rowOff>1621</xdr:rowOff>
    </xdr:from>
    <xdr:to>
      <xdr:col>81</xdr:col>
      <xdr:colOff>0</xdr:colOff>
      <xdr:row>42</xdr:row>
      <xdr:rowOff>0</xdr:rowOff>
    </xdr:to>
    <xdr:grpSp>
      <xdr:nvGrpSpPr>
        <xdr:cNvPr id="240" name="グループ化 239"/>
        <xdr:cNvGrpSpPr/>
      </xdr:nvGrpSpPr>
      <xdr:grpSpPr>
        <a:xfrm>
          <a:off x="4333875" y="6250021"/>
          <a:ext cx="1066800" cy="150779"/>
          <a:chOff x="4457700" y="6250021"/>
          <a:chExt cx="1097280" cy="150779"/>
        </a:xfrm>
      </xdr:grpSpPr>
      <xdr:sp macro="" textlink="">
        <xdr:nvSpPr>
          <xdr:cNvPr id="234" name="角丸四角形 233"/>
          <xdr:cNvSpPr/>
        </xdr:nvSpPr>
        <xdr:spPr>
          <a:xfrm>
            <a:off x="4457700" y="6250021"/>
            <a:ext cx="1097280" cy="150779"/>
          </a:xfrm>
          <a:prstGeom prst="roundRect">
            <a:avLst/>
          </a:prstGeom>
          <a:solidFill>
            <a:srgbClr val="FF9933"/>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rPr>
              <a:t>　ケースマーク</a:t>
            </a:r>
            <a:r>
              <a:rPr kumimoji="1" lang="en-US" altLang="ja-JP"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rPr>
              <a:t>CSV</a:t>
            </a:r>
            <a:endParaRPr kumimoji="1" lang="ja-JP" altLang="en-US"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36" name="下矢印 235"/>
          <xdr:cNvSpPr/>
        </xdr:nvSpPr>
        <xdr:spPr>
          <a:xfrm>
            <a:off x="4495800" y="6267450"/>
            <a:ext cx="108000" cy="93224"/>
          </a:xfrm>
          <a:prstGeom prst="downArrow">
            <a:avLst/>
          </a:prstGeom>
          <a:solidFill>
            <a:schemeClr val="bg1"/>
          </a:solidFill>
          <a:ln w="3175">
            <a:solidFill>
              <a:schemeClr val="bg1"/>
            </a:solid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xnSp macro="">
        <xdr:nvCxnSpPr>
          <xdr:cNvPr id="238" name="直線コネクタ 237"/>
          <xdr:cNvCxnSpPr/>
        </xdr:nvCxnSpPr>
        <xdr:spPr>
          <a:xfrm>
            <a:off x="4480479" y="6374130"/>
            <a:ext cx="133431"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84</xdr:col>
      <xdr:colOff>0</xdr:colOff>
      <xdr:row>39</xdr:row>
      <xdr:rowOff>0</xdr:rowOff>
    </xdr:from>
    <xdr:to>
      <xdr:col>84</xdr:col>
      <xdr:colOff>32400</xdr:colOff>
      <xdr:row>40</xdr:row>
      <xdr:rowOff>11430</xdr:rowOff>
    </xdr:to>
    <xdr:sp macro="" textlink="">
      <xdr:nvSpPr>
        <xdr:cNvPr id="241" name="角丸四角形 240"/>
        <xdr:cNvSpPr/>
      </xdr:nvSpPr>
      <xdr:spPr>
        <a:xfrm>
          <a:off x="5760720" y="5943600"/>
          <a:ext cx="32400" cy="163830"/>
        </a:xfrm>
        <a:prstGeom prst="roundRect">
          <a:avLst/>
        </a:prstGeom>
        <a:solidFill>
          <a:srgbClr val="FF99FF"/>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lientData/>
  </xdr:twoCellAnchor>
  <xdr:twoCellAnchor>
    <xdr:from>
      <xdr:col>96</xdr:col>
      <xdr:colOff>0</xdr:colOff>
      <xdr:row>41</xdr:row>
      <xdr:rowOff>0</xdr:rowOff>
    </xdr:from>
    <xdr:to>
      <xdr:col>96</xdr:col>
      <xdr:colOff>32400</xdr:colOff>
      <xdr:row>41</xdr:row>
      <xdr:rowOff>136800</xdr:rowOff>
    </xdr:to>
    <xdr:sp macro="" textlink="">
      <xdr:nvSpPr>
        <xdr:cNvPr id="245" name="角丸四角形 244"/>
        <xdr:cNvSpPr/>
      </xdr:nvSpPr>
      <xdr:spPr>
        <a:xfrm>
          <a:off x="6583680" y="6248400"/>
          <a:ext cx="32400" cy="136800"/>
        </a:xfrm>
        <a:prstGeom prst="roundRect">
          <a:avLst/>
        </a:prstGeom>
        <a:solidFill>
          <a:srgbClr val="FF99FF"/>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lientData/>
  </xdr:twoCellAnchor>
  <xdr:twoCellAnchor>
    <xdr:from>
      <xdr:col>63</xdr:col>
      <xdr:colOff>61851</xdr:colOff>
      <xdr:row>15</xdr:row>
      <xdr:rowOff>0</xdr:rowOff>
    </xdr:from>
    <xdr:to>
      <xdr:col>97</xdr:col>
      <xdr:colOff>68033</xdr:colOff>
      <xdr:row>15</xdr:row>
      <xdr:rowOff>149660</xdr:rowOff>
    </xdr:to>
    <xdr:grpSp>
      <xdr:nvGrpSpPr>
        <xdr:cNvPr id="248" name="グループ化 247"/>
        <xdr:cNvGrpSpPr/>
      </xdr:nvGrpSpPr>
      <xdr:grpSpPr>
        <a:xfrm>
          <a:off x="4262376" y="2286000"/>
          <a:ext cx="2273132" cy="149660"/>
          <a:chOff x="4382391" y="2286000"/>
          <a:chExt cx="2337902" cy="149660"/>
        </a:xfrm>
      </xdr:grpSpPr>
      <xdr:grpSp>
        <xdr:nvGrpSpPr>
          <xdr:cNvPr id="16" name="グループ化 15"/>
          <xdr:cNvGrpSpPr/>
        </xdr:nvGrpSpPr>
        <xdr:grpSpPr>
          <a:xfrm>
            <a:off x="4382391" y="2286000"/>
            <a:ext cx="1649382" cy="149660"/>
            <a:chOff x="4263822" y="2286000"/>
            <a:chExt cx="1602736" cy="149660"/>
          </a:xfrm>
        </xdr:grpSpPr>
        <xdr:sp macro="" textlink="">
          <xdr:nvSpPr>
            <xdr:cNvPr id="101" name="テキスト ボックス 100"/>
            <xdr:cNvSpPr txBox="1"/>
          </xdr:nvSpPr>
          <xdr:spPr>
            <a:xfrm>
              <a:off x="5399486" y="2286000"/>
              <a:ext cx="467072"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取消する</a:t>
              </a:r>
            </a:p>
          </xdr:txBody>
        </xdr:sp>
        <xdr:sp macro="" textlink="">
          <xdr:nvSpPr>
            <xdr:cNvPr id="99" name="テキスト ボックス 98"/>
            <xdr:cNvSpPr txBox="1"/>
          </xdr:nvSpPr>
          <xdr:spPr>
            <a:xfrm>
              <a:off x="4400627" y="2286000"/>
              <a:ext cx="800023"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登録・訂正する</a:t>
              </a:r>
            </a:p>
          </xdr:txBody>
        </xdr:sp>
        <xdr:sp macro="" textlink="">
          <xdr:nvSpPr>
            <xdr:cNvPr id="15" name="円/楕円 14"/>
            <xdr:cNvSpPr/>
          </xdr:nvSpPr>
          <xdr:spPr>
            <a:xfrm>
              <a:off x="4263822" y="2294334"/>
              <a:ext cx="136799" cy="136800"/>
            </a:xfrm>
            <a:prstGeom prst="ellipse">
              <a:avLst/>
            </a:prstGeom>
            <a:noFill/>
            <a:ln>
              <a:solidFill>
                <a:sysClr val="windowText" lastClr="000000"/>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sp macro="" textlink="">
          <xdr:nvSpPr>
            <xdr:cNvPr id="100" name="円/楕円 99"/>
            <xdr:cNvSpPr/>
          </xdr:nvSpPr>
          <xdr:spPr>
            <a:xfrm>
              <a:off x="4300224" y="2329798"/>
              <a:ext cx="59104" cy="57600"/>
            </a:xfrm>
            <a:prstGeom prst="ellipse">
              <a:avLst/>
            </a:prstGeom>
            <a:solidFill>
              <a:schemeClr val="tx1"/>
            </a:solidFill>
            <a:ln>
              <a:solidFill>
                <a:sysClr val="windowText" lastClr="000000"/>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sp macro="" textlink="">
          <xdr:nvSpPr>
            <xdr:cNvPr id="102" name="円/楕円 101"/>
            <xdr:cNvSpPr/>
          </xdr:nvSpPr>
          <xdr:spPr>
            <a:xfrm>
              <a:off x="5267325" y="2295525"/>
              <a:ext cx="136800" cy="136800"/>
            </a:xfrm>
            <a:prstGeom prst="ellipse">
              <a:avLst/>
            </a:prstGeom>
            <a:noFill/>
            <a:ln>
              <a:solidFill>
                <a:sysClr val="windowText" lastClr="000000"/>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sp macro="" textlink="">
        <xdr:nvSpPr>
          <xdr:cNvPr id="246" name="テキスト ボックス 245"/>
          <xdr:cNvSpPr txBox="1"/>
        </xdr:nvSpPr>
        <xdr:spPr>
          <a:xfrm>
            <a:off x="6239627" y="2286000"/>
            <a:ext cx="480666"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参照する</a:t>
            </a:r>
          </a:p>
        </xdr:txBody>
      </xdr:sp>
      <xdr:sp macro="" textlink="">
        <xdr:nvSpPr>
          <xdr:cNvPr id="247" name="円/楕円 246"/>
          <xdr:cNvSpPr/>
        </xdr:nvSpPr>
        <xdr:spPr>
          <a:xfrm>
            <a:off x="6103620" y="2295525"/>
            <a:ext cx="140781" cy="136800"/>
          </a:xfrm>
          <a:prstGeom prst="ellipse">
            <a:avLst/>
          </a:prstGeom>
          <a:noFill/>
          <a:ln>
            <a:solidFill>
              <a:sysClr val="windowText" lastClr="000000"/>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98</xdr:col>
      <xdr:colOff>0</xdr:colOff>
      <xdr:row>21</xdr:row>
      <xdr:rowOff>0</xdr:rowOff>
    </xdr:from>
    <xdr:to>
      <xdr:col>104</xdr:col>
      <xdr:colOff>48188</xdr:colOff>
      <xdr:row>21</xdr:row>
      <xdr:rowOff>149660</xdr:rowOff>
    </xdr:to>
    <xdr:grpSp>
      <xdr:nvGrpSpPr>
        <xdr:cNvPr id="251" name="グループ化 250"/>
        <xdr:cNvGrpSpPr/>
      </xdr:nvGrpSpPr>
      <xdr:grpSpPr>
        <a:xfrm>
          <a:off x="6534150" y="3200400"/>
          <a:ext cx="448238" cy="149660"/>
          <a:chOff x="6720840" y="3200400"/>
          <a:chExt cx="459668" cy="149660"/>
        </a:xfrm>
      </xdr:grpSpPr>
      <xdr:sp macro="" textlink="">
        <xdr:nvSpPr>
          <xdr:cNvPr id="249" name="テキスト ボックス 248"/>
          <xdr:cNvSpPr txBox="1"/>
        </xdr:nvSpPr>
        <xdr:spPr>
          <a:xfrm>
            <a:off x="6855778" y="3200400"/>
            <a:ext cx="324730" cy="14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国外</a:t>
            </a:r>
          </a:p>
        </xdr:txBody>
      </xdr:sp>
      <xdr:sp macro="" textlink="">
        <xdr:nvSpPr>
          <xdr:cNvPr id="250" name="テキスト ボックス 249"/>
          <xdr:cNvSpPr txBox="1"/>
        </xdr:nvSpPr>
        <xdr:spPr>
          <a:xfrm>
            <a:off x="6720840" y="3219774"/>
            <a:ext cx="116905"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66</xdr:col>
      <xdr:colOff>1</xdr:colOff>
      <xdr:row>43</xdr:row>
      <xdr:rowOff>53106</xdr:rowOff>
    </xdr:from>
    <xdr:to>
      <xdr:col>66</xdr:col>
      <xdr:colOff>53749</xdr:colOff>
      <xdr:row>43</xdr:row>
      <xdr:rowOff>152399</xdr:rowOff>
    </xdr:to>
    <xdr:sp macro="" textlink="">
      <xdr:nvSpPr>
        <xdr:cNvPr id="252" name="二等辺三角形 251"/>
        <xdr:cNvSpPr>
          <a:spLocks/>
        </xdr:cNvSpPr>
      </xdr:nvSpPr>
      <xdr:spPr>
        <a:xfrm rot="5400000" flipV="1">
          <a:off x="4503508" y="6629079"/>
          <a:ext cx="99293" cy="53748"/>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lientData/>
  </xdr:twoCellAnchor>
  <xdr:twoCellAnchor>
    <xdr:from>
      <xdr:col>71</xdr:col>
      <xdr:colOff>0</xdr:colOff>
      <xdr:row>43</xdr:row>
      <xdr:rowOff>53106</xdr:rowOff>
    </xdr:from>
    <xdr:to>
      <xdr:col>71</xdr:col>
      <xdr:colOff>53748</xdr:colOff>
      <xdr:row>43</xdr:row>
      <xdr:rowOff>152399</xdr:rowOff>
    </xdr:to>
    <xdr:sp macro="" textlink="">
      <xdr:nvSpPr>
        <xdr:cNvPr id="253" name="二等辺三角形 252"/>
        <xdr:cNvSpPr>
          <a:spLocks/>
        </xdr:cNvSpPr>
      </xdr:nvSpPr>
      <xdr:spPr>
        <a:xfrm rot="16200000" flipV="1">
          <a:off x="4846407" y="6629079"/>
          <a:ext cx="99293" cy="53748"/>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lientData/>
  </xdr:twoCellAnchor>
  <xdr:twoCellAnchor>
    <xdr:from>
      <xdr:col>66</xdr:col>
      <xdr:colOff>1575</xdr:colOff>
      <xdr:row>45</xdr:row>
      <xdr:rowOff>881</xdr:rowOff>
    </xdr:from>
    <xdr:to>
      <xdr:col>99</xdr:col>
      <xdr:colOff>0</xdr:colOff>
      <xdr:row>46</xdr:row>
      <xdr:rowOff>0</xdr:rowOff>
    </xdr:to>
    <xdr:sp macro="" textlink="">
      <xdr:nvSpPr>
        <xdr:cNvPr id="254" name="テキスト ボックス 253"/>
        <xdr:cNvSpPr txBox="1"/>
      </xdr:nvSpPr>
      <xdr:spPr>
        <a:xfrm>
          <a:off x="4527855" y="6858881"/>
          <a:ext cx="2261565" cy="1515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r>
            <a:rPr kumimoji="1" lang="en-US" altLang="ja-JP" sz="800">
              <a:solidFill>
                <a:schemeClr val="tx2"/>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800">
            <a:solidFill>
              <a:schemeClr val="tx2"/>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64</xdr:col>
      <xdr:colOff>64942</xdr:colOff>
      <xdr:row>47</xdr:row>
      <xdr:rowOff>1139</xdr:rowOff>
    </xdr:from>
    <xdr:to>
      <xdr:col>76</xdr:col>
      <xdr:colOff>10026</xdr:colOff>
      <xdr:row>47</xdr:row>
      <xdr:rowOff>149913</xdr:rowOff>
    </xdr:to>
    <xdr:sp macro="" textlink="">
      <xdr:nvSpPr>
        <xdr:cNvPr id="257" name="角丸四角形 256"/>
        <xdr:cNvSpPr/>
      </xdr:nvSpPr>
      <xdr:spPr>
        <a:xfrm>
          <a:off x="4235889" y="7069692"/>
          <a:ext cx="727137" cy="148774"/>
        </a:xfrm>
        <a:prstGeom prst="roundRect">
          <a:avLst/>
        </a:prstGeom>
        <a:solidFill>
          <a:srgbClr val="FF9933"/>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chemeClr val="bg1"/>
              </a:solidFill>
              <a:effectLst/>
              <a:latin typeface="Meiryo UI" panose="020B0604030504040204" pitchFamily="50" charset="-128"/>
              <a:ea typeface="Meiryo UI" panose="020B0604030504040204" pitchFamily="50" charset="-128"/>
              <a:cs typeface="Meiryo UI" panose="020B0604030504040204" pitchFamily="50" charset="-128"/>
            </a:rPr>
            <a:t>　取り消す</a:t>
          </a:r>
        </a:p>
      </xdr:txBody>
    </xdr:sp>
    <xdr:clientData/>
  </xdr:twoCellAnchor>
  <xdr:twoCellAnchor>
    <xdr:from>
      <xdr:col>65</xdr:col>
      <xdr:colOff>18171</xdr:colOff>
      <xdr:row>47</xdr:row>
      <xdr:rowOff>19050</xdr:rowOff>
    </xdr:from>
    <xdr:to>
      <xdr:col>67</xdr:col>
      <xdr:colOff>45720</xdr:colOff>
      <xdr:row>48</xdr:row>
      <xdr:rowOff>51288</xdr:rowOff>
    </xdr:to>
    <xdr:sp macro="" textlink="">
      <xdr:nvSpPr>
        <xdr:cNvPr id="42" name="環状矢印 41"/>
        <xdr:cNvSpPr/>
      </xdr:nvSpPr>
      <xdr:spPr>
        <a:xfrm>
          <a:off x="4475871" y="7181850"/>
          <a:ext cx="164709" cy="184638"/>
        </a:xfrm>
        <a:prstGeom prst="circularArrow">
          <a:avLst/>
        </a:prstGeom>
        <a:solidFill>
          <a:srgbClr val="FF0000"/>
        </a:solidFill>
        <a:ln>
          <a:noFill/>
        </a:ln>
        <a:effectLst/>
        <a:scene3d>
          <a:camera prst="orthographicFront">
            <a:rot lat="0" lon="10800000" rev="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clientData/>
  </xdr:twoCellAnchor>
  <xdr:twoCellAnchor>
    <xdr:from>
      <xdr:col>65</xdr:col>
      <xdr:colOff>65171</xdr:colOff>
      <xdr:row>51</xdr:row>
      <xdr:rowOff>0</xdr:rowOff>
    </xdr:from>
    <xdr:to>
      <xdr:col>88</xdr:col>
      <xdr:colOff>0</xdr:colOff>
      <xdr:row>51</xdr:row>
      <xdr:rowOff>144646</xdr:rowOff>
    </xdr:to>
    <xdr:grpSp>
      <xdr:nvGrpSpPr>
        <xdr:cNvPr id="198" name="グループ化 197"/>
        <xdr:cNvGrpSpPr/>
      </xdr:nvGrpSpPr>
      <xdr:grpSpPr>
        <a:xfrm>
          <a:off x="4399046" y="7772400"/>
          <a:ext cx="1468354" cy="144646"/>
          <a:chOff x="6720840" y="3200400"/>
          <a:chExt cx="1433764" cy="144646"/>
        </a:xfrm>
      </xdr:grpSpPr>
      <xdr:sp macro="" textlink="">
        <xdr:nvSpPr>
          <xdr:cNvPr id="199" name="テキスト ボックス 198"/>
          <xdr:cNvSpPr txBox="1"/>
        </xdr:nvSpPr>
        <xdr:spPr>
          <a:xfrm>
            <a:off x="6916354" y="3200400"/>
            <a:ext cx="1238250" cy="144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出荷予定連絡書発行済</a:t>
            </a:r>
          </a:p>
        </xdr:txBody>
      </xdr:sp>
      <xdr:sp macro="" textlink="">
        <xdr:nvSpPr>
          <xdr:cNvPr id="200" name="テキスト ボックス 199"/>
          <xdr:cNvSpPr txBox="1"/>
        </xdr:nvSpPr>
        <xdr:spPr>
          <a:xfrm>
            <a:off x="6720840" y="3219774"/>
            <a:ext cx="116905" cy="115200"/>
          </a:xfrm>
          <a:prstGeom prst="rect">
            <a:avLst/>
          </a:prstGeom>
          <a:solidFill>
            <a:schemeClr val="lt1"/>
          </a:solidFill>
          <a:ln w="952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89</xdr:col>
      <xdr:colOff>1</xdr:colOff>
      <xdr:row>47</xdr:row>
      <xdr:rowOff>0</xdr:rowOff>
    </xdr:from>
    <xdr:to>
      <xdr:col>104</xdr:col>
      <xdr:colOff>1</xdr:colOff>
      <xdr:row>48</xdr:row>
      <xdr:rowOff>1</xdr:rowOff>
    </xdr:to>
    <xdr:grpSp>
      <xdr:nvGrpSpPr>
        <xdr:cNvPr id="206" name="グループ化 205"/>
        <xdr:cNvGrpSpPr/>
      </xdr:nvGrpSpPr>
      <xdr:grpSpPr>
        <a:xfrm>
          <a:off x="5934076" y="7162800"/>
          <a:ext cx="1000125" cy="152401"/>
          <a:chOff x="6792541" y="1676400"/>
          <a:chExt cx="979713" cy="152400"/>
        </a:xfrm>
      </xdr:grpSpPr>
      <xdr:sp macro="" textlink="">
        <xdr:nvSpPr>
          <xdr:cNvPr id="209" name="角丸四角形 208"/>
          <xdr:cNvSpPr/>
        </xdr:nvSpPr>
        <xdr:spPr>
          <a:xfrm>
            <a:off x="6792541" y="1676400"/>
            <a:ext cx="979713" cy="152400"/>
          </a:xfrm>
          <a:prstGeom prst="roundRect">
            <a:avLst/>
          </a:prstGeom>
          <a:solidFill>
            <a:schemeClr val="bg1">
              <a:lumMod val="75000"/>
            </a:schemeClr>
          </a:solidFill>
          <a:ln>
            <a:solidFill>
              <a:schemeClr val="bg1">
                <a:lumMod val="65000"/>
              </a:schemeClr>
            </a:solid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90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インボイス登録</a:t>
            </a:r>
          </a:p>
        </xdr:txBody>
      </xdr:sp>
      <xdr:sp macro="" textlink="">
        <xdr:nvSpPr>
          <xdr:cNvPr id="211" name="角丸四角形 210"/>
          <xdr:cNvSpPr/>
        </xdr:nvSpPr>
        <xdr:spPr>
          <a:xfrm>
            <a:off x="6807726" y="1676400"/>
            <a:ext cx="65313" cy="152400"/>
          </a:xfrm>
          <a:prstGeom prst="roundRect">
            <a:avLst/>
          </a:prstGeom>
          <a:solidFill>
            <a:srgbClr val="00FFCC"/>
          </a:solidFill>
          <a:ln>
            <a:noFill/>
          </a:ln>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sp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64</xdr:col>
      <xdr:colOff>65171</xdr:colOff>
      <xdr:row>53</xdr:row>
      <xdr:rowOff>0</xdr:rowOff>
    </xdr:from>
    <xdr:to>
      <xdr:col>99</xdr:col>
      <xdr:colOff>0</xdr:colOff>
      <xdr:row>54</xdr:row>
      <xdr:rowOff>2</xdr:rowOff>
    </xdr:to>
    <xdr:grpSp>
      <xdr:nvGrpSpPr>
        <xdr:cNvPr id="212" name="グループ化 211"/>
        <xdr:cNvGrpSpPr/>
      </xdr:nvGrpSpPr>
      <xdr:grpSpPr>
        <a:xfrm>
          <a:off x="4332371" y="8077200"/>
          <a:ext cx="2268454" cy="152402"/>
          <a:chOff x="4683510" y="1072374"/>
          <a:chExt cx="2213999" cy="154260"/>
        </a:xfrm>
      </xdr:grpSpPr>
      <xdr:grpSp>
        <xdr:nvGrpSpPr>
          <xdr:cNvPr id="213" name="グループ化 212"/>
          <xdr:cNvGrpSpPr/>
        </xdr:nvGrpSpPr>
        <xdr:grpSpPr>
          <a:xfrm>
            <a:off x="4683510" y="1072374"/>
            <a:ext cx="2213999" cy="154260"/>
            <a:chOff x="4649332" y="1083468"/>
            <a:chExt cx="2228695" cy="154783"/>
          </a:xfrm>
        </xdr:grpSpPr>
        <xdr:grpSp>
          <xdr:nvGrpSpPr>
            <xdr:cNvPr id="215" name="グループ化 214"/>
            <xdr:cNvGrpSpPr/>
          </xdr:nvGrpSpPr>
          <xdr:grpSpPr>
            <a:xfrm>
              <a:off x="4911541" y="1083468"/>
              <a:ext cx="1966486" cy="154783"/>
              <a:chOff x="933670" y="1219192"/>
              <a:chExt cx="2002241" cy="152401"/>
            </a:xfrm>
          </xdr:grpSpPr>
          <xdr:sp macro="" textlink="">
            <xdr:nvSpPr>
              <xdr:cNvPr id="217" name="テキスト ボックス 216"/>
              <xdr:cNvSpPr txBox="1"/>
            </xdr:nvSpPr>
            <xdr:spPr>
              <a:xfrm>
                <a:off x="1203683" y="1219193"/>
                <a:ext cx="130427"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18" name="テキスト ボックス 217"/>
              <xdr:cNvSpPr txBox="1"/>
            </xdr:nvSpPr>
            <xdr:spPr>
              <a:xfrm>
                <a:off x="933670" y="1219192"/>
                <a:ext cx="266957"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en-US" altLang="ja-JP" sz="900">
                    <a:latin typeface="Meiryo UI" panose="020B0604030504040204" pitchFamily="50" charset="-128"/>
                    <a:ea typeface="Meiryo UI" panose="020B0604030504040204" pitchFamily="50" charset="-128"/>
                    <a:cs typeface="Meiryo UI" panose="020B0604030504040204" pitchFamily="50" charset="-128"/>
                  </a:rPr>
                  <a:t>CN</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19" name="テキスト ボックス 218"/>
              <xdr:cNvSpPr txBox="1"/>
            </xdr:nvSpPr>
            <xdr:spPr>
              <a:xfrm>
                <a:off x="1401802" y="1219192"/>
                <a:ext cx="1534109" cy="152400"/>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16" name="テキスト ボックス 215"/>
            <xdr:cNvSpPr txBox="1"/>
          </xdr:nvSpPr>
          <xdr:spPr>
            <a:xfrm>
              <a:off x="4649332" y="1083469"/>
              <a:ext cx="196659"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国</a:t>
              </a:r>
            </a:p>
          </xdr:txBody>
        </xdr:sp>
      </xdr:grpSp>
      <xdr:sp macro="" textlink="">
        <xdr:nvSpPr>
          <xdr:cNvPr id="214" name="二等辺三角形 213"/>
          <xdr:cNvSpPr>
            <a:spLocks/>
          </xdr:cNvSpPr>
        </xdr:nvSpPr>
        <xdr:spPr>
          <a:xfrm flipV="1">
            <a:off x="5226542"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58</xdr:col>
      <xdr:colOff>66674</xdr:colOff>
      <xdr:row>48</xdr:row>
      <xdr:rowOff>152399</xdr:rowOff>
    </xdr:from>
    <xdr:to>
      <xdr:col>99</xdr:col>
      <xdr:colOff>66119</xdr:colOff>
      <xdr:row>50</xdr:row>
      <xdr:rowOff>1139</xdr:rowOff>
    </xdr:to>
    <xdr:grpSp>
      <xdr:nvGrpSpPr>
        <xdr:cNvPr id="189" name="グループ化 188"/>
        <xdr:cNvGrpSpPr/>
      </xdr:nvGrpSpPr>
      <xdr:grpSpPr>
        <a:xfrm>
          <a:off x="3933824" y="7467599"/>
          <a:ext cx="2733120" cy="153540"/>
          <a:chOff x="3781581" y="4662237"/>
          <a:chExt cx="2670353" cy="151535"/>
        </a:xfrm>
      </xdr:grpSpPr>
      <xdr:sp macro="" textlink="">
        <xdr:nvSpPr>
          <xdr:cNvPr id="191" name="テキスト ボックス 190"/>
          <xdr:cNvSpPr txBox="1"/>
        </xdr:nvSpPr>
        <xdr:spPr>
          <a:xfrm>
            <a:off x="3781581" y="4662248"/>
            <a:ext cx="1497276" cy="1515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輸出製品出荷予定連絡書</a:t>
            </a:r>
            <a:r>
              <a:rPr kumimoji="1" lang="en-US" altLang="ja-JP" sz="900">
                <a:latin typeface="Meiryo UI" panose="020B0604030504040204" pitchFamily="50" charset="-128"/>
                <a:ea typeface="Meiryo UI" panose="020B0604030504040204" pitchFamily="50" charset="-128"/>
                <a:cs typeface="Meiryo UI" panose="020B0604030504040204" pitchFamily="50" charset="-128"/>
              </a:rPr>
              <a:t>NO</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94" name="テキスト ボックス 193"/>
          <xdr:cNvSpPr txBox="1"/>
        </xdr:nvSpPr>
        <xdr:spPr>
          <a:xfrm>
            <a:off x="5344026" y="4662237"/>
            <a:ext cx="1107908" cy="150396"/>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62</xdr:col>
      <xdr:colOff>65171</xdr:colOff>
      <xdr:row>55</xdr:row>
      <xdr:rowOff>0</xdr:rowOff>
    </xdr:from>
    <xdr:to>
      <xdr:col>91</xdr:col>
      <xdr:colOff>1</xdr:colOff>
      <xdr:row>56</xdr:row>
      <xdr:rowOff>1140</xdr:rowOff>
    </xdr:to>
    <xdr:grpSp>
      <xdr:nvGrpSpPr>
        <xdr:cNvPr id="223" name="グループ化 222"/>
        <xdr:cNvGrpSpPr/>
      </xdr:nvGrpSpPr>
      <xdr:grpSpPr>
        <a:xfrm>
          <a:off x="4199021" y="8382000"/>
          <a:ext cx="1868405" cy="153540"/>
          <a:chOff x="4105776" y="4662237"/>
          <a:chExt cx="1824791" cy="151534"/>
        </a:xfrm>
      </xdr:grpSpPr>
      <xdr:sp macro="" textlink="">
        <xdr:nvSpPr>
          <xdr:cNvPr id="224" name="テキスト ボックス 223"/>
          <xdr:cNvSpPr txBox="1"/>
        </xdr:nvSpPr>
        <xdr:spPr>
          <a:xfrm>
            <a:off x="4105776" y="4662237"/>
            <a:ext cx="651712" cy="151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Ｉ／Ｖ ＮＯ</a:t>
            </a:r>
          </a:p>
        </xdr:txBody>
      </xdr:sp>
      <xdr:sp macro="" textlink="">
        <xdr:nvSpPr>
          <xdr:cNvPr id="225" name="テキスト ボックス 224"/>
          <xdr:cNvSpPr txBox="1"/>
        </xdr:nvSpPr>
        <xdr:spPr>
          <a:xfrm>
            <a:off x="4822659" y="4662237"/>
            <a:ext cx="1107908" cy="150396"/>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en-US" altLang="ja-JP" sz="900">
                <a:latin typeface="Meiryo UI" panose="020B0604030504040204" pitchFamily="50" charset="-128"/>
                <a:ea typeface="Meiryo UI" panose="020B0604030504040204" pitchFamily="50" charset="-128"/>
                <a:cs typeface="Meiryo UI" panose="020B0604030504040204" pitchFamily="50" charset="-128"/>
              </a:rPr>
              <a:t>G69369</a:t>
            </a: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66</xdr:col>
      <xdr:colOff>0</xdr:colOff>
      <xdr:row>57</xdr:row>
      <xdr:rowOff>0</xdr:rowOff>
    </xdr:from>
    <xdr:to>
      <xdr:col>122</xdr:col>
      <xdr:colOff>5</xdr:colOff>
      <xdr:row>58</xdr:row>
      <xdr:rowOff>1142</xdr:rowOff>
    </xdr:to>
    <xdr:grpSp>
      <xdr:nvGrpSpPr>
        <xdr:cNvPr id="226" name="グループ化 225"/>
        <xdr:cNvGrpSpPr/>
      </xdr:nvGrpSpPr>
      <xdr:grpSpPr>
        <a:xfrm>
          <a:off x="4400550" y="8686800"/>
          <a:ext cx="3733805" cy="153542"/>
          <a:chOff x="4819698" y="1072375"/>
          <a:chExt cx="3782100" cy="154261"/>
        </a:xfrm>
      </xdr:grpSpPr>
      <xdr:grpSp>
        <xdr:nvGrpSpPr>
          <xdr:cNvPr id="227" name="グループ化 226"/>
          <xdr:cNvGrpSpPr/>
        </xdr:nvGrpSpPr>
        <xdr:grpSpPr>
          <a:xfrm>
            <a:off x="4819698" y="1072375"/>
            <a:ext cx="3782100" cy="154261"/>
            <a:chOff x="4786419" y="1083469"/>
            <a:chExt cx="3807201" cy="154784"/>
          </a:xfrm>
        </xdr:grpSpPr>
        <xdr:grpSp>
          <xdr:nvGrpSpPr>
            <xdr:cNvPr id="229" name="グループ化 228"/>
            <xdr:cNvGrpSpPr/>
          </xdr:nvGrpSpPr>
          <xdr:grpSpPr>
            <a:xfrm>
              <a:off x="5380665" y="1083469"/>
              <a:ext cx="3212955" cy="154784"/>
              <a:chOff x="1411324" y="1219192"/>
              <a:chExt cx="3271376" cy="152402"/>
            </a:xfrm>
          </xdr:grpSpPr>
          <xdr:sp macro="" textlink="">
            <xdr:nvSpPr>
              <xdr:cNvPr id="231" name="テキスト ボックス 230"/>
              <xdr:cNvSpPr txBox="1"/>
            </xdr:nvSpPr>
            <xdr:spPr>
              <a:xfrm>
                <a:off x="2190006" y="1219193"/>
                <a:ext cx="133942"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33" name="テキスト ボックス 232"/>
              <xdr:cNvSpPr txBox="1"/>
            </xdr:nvSpPr>
            <xdr:spPr>
              <a:xfrm>
                <a:off x="1411324" y="1219192"/>
                <a:ext cx="778682"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35" name="テキスト ボックス 234"/>
              <xdr:cNvSpPr txBox="1"/>
            </xdr:nvSpPr>
            <xdr:spPr>
              <a:xfrm>
                <a:off x="2397602" y="1222035"/>
                <a:ext cx="2285098" cy="149559"/>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30" name="テキスト ボックス 229"/>
            <xdr:cNvSpPr txBox="1"/>
          </xdr:nvSpPr>
          <xdr:spPr>
            <a:xfrm>
              <a:off x="4786419" y="1083469"/>
              <a:ext cx="542962"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出荷ＷＧ</a:t>
              </a:r>
            </a:p>
          </xdr:txBody>
        </xdr:sp>
      </xdr:grpSp>
      <xdr:sp macro="" textlink="">
        <xdr:nvSpPr>
          <xdr:cNvPr id="228" name="二等辺三角形 227"/>
          <xdr:cNvSpPr>
            <a:spLocks/>
          </xdr:cNvSpPr>
        </xdr:nvSpPr>
        <xdr:spPr>
          <a:xfrm flipV="1">
            <a:off x="6192272" y="1133704"/>
            <a:ext cx="94829" cy="54000"/>
          </a:xfrm>
          <a:prstGeom prst="triangle">
            <a:avLst/>
          </a:prstGeom>
          <a:solidFill>
            <a:schemeClr val="tx1"/>
          </a:solidFill>
          <a:ln>
            <a:noFill/>
          </a:ln>
          <a:effectLst/>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clientData/>
  </xdr:twoCellAnchor>
  <xdr:twoCellAnchor>
    <xdr:from>
      <xdr:col>65</xdr:col>
      <xdr:colOff>66255</xdr:colOff>
      <xdr:row>58</xdr:row>
      <xdr:rowOff>147946</xdr:rowOff>
    </xdr:from>
    <xdr:to>
      <xdr:col>120</xdr:col>
      <xdr:colOff>745</xdr:colOff>
      <xdr:row>60</xdr:row>
      <xdr:rowOff>0</xdr:rowOff>
    </xdr:to>
    <xdr:grpSp>
      <xdr:nvGrpSpPr>
        <xdr:cNvPr id="239" name="グループ化 238"/>
        <xdr:cNvGrpSpPr/>
      </xdr:nvGrpSpPr>
      <xdr:grpSpPr>
        <a:xfrm>
          <a:off x="4400130" y="8987146"/>
          <a:ext cx="3601615" cy="156854"/>
          <a:chOff x="4786419" y="1083469"/>
          <a:chExt cx="3671994" cy="154784"/>
        </a:xfrm>
      </xdr:grpSpPr>
      <xdr:grpSp>
        <xdr:nvGrpSpPr>
          <xdr:cNvPr id="243" name="グループ化 242"/>
          <xdr:cNvGrpSpPr/>
        </xdr:nvGrpSpPr>
        <xdr:grpSpPr>
          <a:xfrm>
            <a:off x="5380665" y="1083469"/>
            <a:ext cx="3077748" cy="154784"/>
            <a:chOff x="1411324" y="1219192"/>
            <a:chExt cx="3133711" cy="152402"/>
          </a:xfrm>
        </xdr:grpSpPr>
        <xdr:sp macro="" textlink="">
          <xdr:nvSpPr>
            <xdr:cNvPr id="256" name="テキスト ボックス 255"/>
            <xdr:cNvSpPr txBox="1"/>
          </xdr:nvSpPr>
          <xdr:spPr>
            <a:xfrm>
              <a:off x="1411324" y="1219192"/>
              <a:ext cx="778682" cy="15240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58" name="テキスト ボックス 257"/>
            <xdr:cNvSpPr txBox="1"/>
          </xdr:nvSpPr>
          <xdr:spPr>
            <a:xfrm>
              <a:off x="2259937" y="1222035"/>
              <a:ext cx="2285098" cy="149559"/>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44" name="テキスト ボックス 243"/>
          <xdr:cNvSpPr txBox="1"/>
        </xdr:nvSpPr>
        <xdr:spPr>
          <a:xfrm>
            <a:off x="4786419" y="1083469"/>
            <a:ext cx="542962"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出荷ＷＧ</a:t>
            </a:r>
          </a:p>
        </xdr:txBody>
      </xdr:sp>
    </xdr:grpSp>
    <xdr:clientData/>
  </xdr:twoCellAnchor>
  <xdr:twoCellAnchor>
    <xdr:from>
      <xdr:col>66</xdr:col>
      <xdr:colOff>0</xdr:colOff>
      <xdr:row>61</xdr:row>
      <xdr:rowOff>0</xdr:rowOff>
    </xdr:from>
    <xdr:to>
      <xdr:col>110</xdr:col>
      <xdr:colOff>65048</xdr:colOff>
      <xdr:row>62</xdr:row>
      <xdr:rowOff>2</xdr:rowOff>
    </xdr:to>
    <xdr:grpSp>
      <xdr:nvGrpSpPr>
        <xdr:cNvPr id="260" name="グループ化 259"/>
        <xdr:cNvGrpSpPr/>
      </xdr:nvGrpSpPr>
      <xdr:grpSpPr>
        <a:xfrm>
          <a:off x="4400550" y="9296400"/>
          <a:ext cx="2998748" cy="152402"/>
          <a:chOff x="4649332" y="1083468"/>
          <a:chExt cx="2949503" cy="154783"/>
        </a:xfrm>
      </xdr:grpSpPr>
      <xdr:grpSp>
        <xdr:nvGrpSpPr>
          <xdr:cNvPr id="262" name="グループ化 261"/>
          <xdr:cNvGrpSpPr/>
        </xdr:nvGrpSpPr>
        <xdr:grpSpPr>
          <a:xfrm>
            <a:off x="5369651" y="1083468"/>
            <a:ext cx="2229184" cy="154783"/>
            <a:chOff x="1400110" y="1219192"/>
            <a:chExt cx="2269717" cy="152401"/>
          </a:xfrm>
        </xdr:grpSpPr>
        <xdr:sp macro="" textlink="">
          <xdr:nvSpPr>
            <xdr:cNvPr id="265" name="テキスト ボックス 264"/>
            <xdr:cNvSpPr txBox="1"/>
          </xdr:nvSpPr>
          <xdr:spPr>
            <a:xfrm>
              <a:off x="1400110" y="1221932"/>
              <a:ext cx="733016" cy="149661"/>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66" name="テキスト ボックス 265"/>
            <xdr:cNvSpPr txBox="1"/>
          </xdr:nvSpPr>
          <xdr:spPr>
            <a:xfrm>
              <a:off x="2202461" y="1219192"/>
              <a:ext cx="1467366" cy="152400"/>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63" name="テキスト ボックス 262"/>
          <xdr:cNvSpPr txBox="1"/>
        </xdr:nvSpPr>
        <xdr:spPr>
          <a:xfrm>
            <a:off x="4649332" y="1083469"/>
            <a:ext cx="654833" cy="154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出荷物流Ｇ</a:t>
            </a:r>
          </a:p>
        </xdr:txBody>
      </xdr:sp>
    </xdr:grpSp>
    <xdr:clientData/>
  </xdr:twoCellAnchor>
  <xdr:twoCellAnchor>
    <xdr:from>
      <xdr:col>97</xdr:col>
      <xdr:colOff>134</xdr:colOff>
      <xdr:row>18</xdr:row>
      <xdr:rowOff>139016</xdr:rowOff>
    </xdr:from>
    <xdr:to>
      <xdr:col>108</xdr:col>
      <xdr:colOff>0</xdr:colOff>
      <xdr:row>19</xdr:row>
      <xdr:rowOff>146411</xdr:rowOff>
    </xdr:to>
    <xdr:grpSp>
      <xdr:nvGrpSpPr>
        <xdr:cNvPr id="41" name="グループ化 40"/>
        <xdr:cNvGrpSpPr/>
      </xdr:nvGrpSpPr>
      <xdr:grpSpPr>
        <a:xfrm>
          <a:off x="6467609" y="2882216"/>
          <a:ext cx="733291" cy="159795"/>
          <a:chOff x="6467609" y="2882216"/>
          <a:chExt cx="733291" cy="159795"/>
        </a:xfrm>
      </xdr:grpSpPr>
      <xdr:grpSp>
        <xdr:nvGrpSpPr>
          <xdr:cNvPr id="40" name="グループ化 39"/>
          <xdr:cNvGrpSpPr/>
        </xdr:nvGrpSpPr>
        <xdr:grpSpPr>
          <a:xfrm>
            <a:off x="7067807" y="2882216"/>
            <a:ext cx="133093" cy="146584"/>
            <a:chOff x="6201032" y="2882216"/>
            <a:chExt cx="133093" cy="146584"/>
          </a:xfrm>
        </xdr:grpSpPr>
        <xdr:sp macro="" textlink="">
          <xdr:nvSpPr>
            <xdr:cNvPr id="237" name="テキスト ボックス 236"/>
            <xdr:cNvSpPr txBox="1"/>
          </xdr:nvSpPr>
          <xdr:spPr>
            <a:xfrm>
              <a:off x="6201032" y="2895600"/>
              <a:ext cx="133093" cy="133200"/>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70" name="L 字 269"/>
            <xdr:cNvSpPr/>
          </xdr:nvSpPr>
          <xdr:spPr>
            <a:xfrm>
              <a:off x="6229089" y="2929062"/>
              <a:ext cx="71742" cy="72351"/>
            </a:xfrm>
            <a:prstGeom prst="corner">
              <a:avLst>
                <a:gd name="adj1" fmla="val 22265"/>
                <a:gd name="adj2" fmla="val 22176"/>
              </a:avLst>
            </a:prstGeom>
            <a:solidFill>
              <a:sysClr val="window" lastClr="FFFFFF"/>
            </a:solidFill>
            <a:ln>
              <a:noFill/>
            </a:ln>
            <a:effectLst/>
            <a:scene3d>
              <a:camera prst="orthographicFront">
                <a:rot lat="0" lon="0" rev="27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sp macro="" textlink="">
          <xdr:nvSpPr>
            <xdr:cNvPr id="271" name="L 字 270"/>
            <xdr:cNvSpPr/>
          </xdr:nvSpPr>
          <xdr:spPr>
            <a:xfrm>
              <a:off x="6230540" y="2882216"/>
              <a:ext cx="71742" cy="72865"/>
            </a:xfrm>
            <a:prstGeom prst="corner">
              <a:avLst>
                <a:gd name="adj1" fmla="val 22265"/>
                <a:gd name="adj2" fmla="val 22176"/>
              </a:avLst>
            </a:prstGeom>
            <a:solidFill>
              <a:sysClr val="window" lastClr="FFFFFF"/>
            </a:solidFill>
            <a:ln>
              <a:noFill/>
            </a:ln>
            <a:effectLst/>
            <a:scene3d>
              <a:camera prst="orthographicFront">
                <a:rot lat="0" lon="0" rev="27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nvGrpSpPr>
          <xdr:cNvPr id="272" name="グループ化 271"/>
          <xdr:cNvGrpSpPr/>
        </xdr:nvGrpSpPr>
        <xdr:grpSpPr>
          <a:xfrm>
            <a:off x="6467609" y="2895600"/>
            <a:ext cx="133216" cy="146411"/>
            <a:chOff x="6201032" y="2882216"/>
            <a:chExt cx="133093" cy="146411"/>
          </a:xfrm>
        </xdr:grpSpPr>
        <xdr:sp macro="" textlink="">
          <xdr:nvSpPr>
            <xdr:cNvPr id="273" name="テキスト ボックス 272"/>
            <xdr:cNvSpPr txBox="1"/>
          </xdr:nvSpPr>
          <xdr:spPr>
            <a:xfrm>
              <a:off x="6201032" y="2882216"/>
              <a:ext cx="133093" cy="133200"/>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74" name="L 字 273"/>
            <xdr:cNvSpPr/>
          </xdr:nvSpPr>
          <xdr:spPr>
            <a:xfrm>
              <a:off x="6231468" y="2956276"/>
              <a:ext cx="71742" cy="72351"/>
            </a:xfrm>
            <a:prstGeom prst="corner">
              <a:avLst>
                <a:gd name="adj1" fmla="val 22265"/>
                <a:gd name="adj2" fmla="val 22176"/>
              </a:avLst>
            </a:prstGeom>
            <a:solidFill>
              <a:sysClr val="window" lastClr="FFFFFF"/>
            </a:solidFill>
            <a:ln>
              <a:noFill/>
            </a:ln>
            <a:effectLst/>
            <a:scene3d>
              <a:camera prst="orthographicFront">
                <a:rot lat="0" lon="0" rev="135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sp macro="" textlink="">
          <xdr:nvSpPr>
            <xdr:cNvPr id="275" name="L 字 274"/>
            <xdr:cNvSpPr/>
          </xdr:nvSpPr>
          <xdr:spPr>
            <a:xfrm>
              <a:off x="6230542" y="2909430"/>
              <a:ext cx="71742" cy="72865"/>
            </a:xfrm>
            <a:prstGeom prst="corner">
              <a:avLst>
                <a:gd name="adj1" fmla="val 22265"/>
                <a:gd name="adj2" fmla="val 22176"/>
              </a:avLst>
            </a:prstGeom>
            <a:solidFill>
              <a:sysClr val="window" lastClr="FFFFFF"/>
            </a:solidFill>
            <a:ln>
              <a:noFill/>
            </a:ln>
            <a:effectLst/>
            <a:scene3d>
              <a:camera prst="orthographicFront">
                <a:rot lat="0" lon="0" rev="135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nvGrpSpPr>
          <xdr:cNvPr id="276" name="グループ化 275"/>
          <xdr:cNvGrpSpPr/>
        </xdr:nvGrpSpPr>
        <xdr:grpSpPr>
          <a:xfrm>
            <a:off x="6867525" y="2895600"/>
            <a:ext cx="133093" cy="133200"/>
            <a:chOff x="6201032" y="2882216"/>
            <a:chExt cx="133093" cy="133200"/>
          </a:xfrm>
        </xdr:grpSpPr>
        <xdr:sp macro="" textlink="">
          <xdr:nvSpPr>
            <xdr:cNvPr id="277" name="テキスト ボックス 276"/>
            <xdr:cNvSpPr txBox="1"/>
          </xdr:nvSpPr>
          <xdr:spPr>
            <a:xfrm>
              <a:off x="6201032" y="2882216"/>
              <a:ext cx="133093" cy="133200"/>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79" name="L 字 278"/>
            <xdr:cNvSpPr/>
          </xdr:nvSpPr>
          <xdr:spPr>
            <a:xfrm>
              <a:off x="6230540" y="2896502"/>
              <a:ext cx="71742" cy="72865"/>
            </a:xfrm>
            <a:prstGeom prst="corner">
              <a:avLst>
                <a:gd name="adj1" fmla="val 22265"/>
                <a:gd name="adj2" fmla="val 22176"/>
              </a:avLst>
            </a:prstGeom>
            <a:solidFill>
              <a:sysClr val="window" lastClr="FFFFFF"/>
            </a:solidFill>
            <a:ln>
              <a:noFill/>
            </a:ln>
            <a:effectLst/>
            <a:scene3d>
              <a:camera prst="orthographicFront">
                <a:rot lat="0" lon="0" rev="27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nvGrpSpPr>
          <xdr:cNvPr id="281" name="グループ化 280"/>
          <xdr:cNvGrpSpPr/>
        </xdr:nvGrpSpPr>
        <xdr:grpSpPr>
          <a:xfrm>
            <a:off x="6667500" y="2895600"/>
            <a:ext cx="133216" cy="133200"/>
            <a:chOff x="6201032" y="2882216"/>
            <a:chExt cx="133093" cy="133200"/>
          </a:xfrm>
        </xdr:grpSpPr>
        <xdr:sp macro="" textlink="">
          <xdr:nvSpPr>
            <xdr:cNvPr id="282" name="テキスト ボックス 281"/>
            <xdr:cNvSpPr txBox="1"/>
          </xdr:nvSpPr>
          <xdr:spPr>
            <a:xfrm>
              <a:off x="6201032" y="2882216"/>
              <a:ext cx="133093" cy="133200"/>
            </a:xfrm>
            <a:prstGeom prst="rect">
              <a:avLst/>
            </a:prstGeom>
            <a:solidFill>
              <a:schemeClr val="accent3">
                <a:lumMod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b="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84" name="L 字 283"/>
            <xdr:cNvSpPr/>
          </xdr:nvSpPr>
          <xdr:spPr>
            <a:xfrm>
              <a:off x="6230542" y="2926097"/>
              <a:ext cx="71742" cy="72865"/>
            </a:xfrm>
            <a:prstGeom prst="corner">
              <a:avLst>
                <a:gd name="adj1" fmla="val 22265"/>
                <a:gd name="adj2" fmla="val 22176"/>
              </a:avLst>
            </a:prstGeom>
            <a:solidFill>
              <a:sysClr val="window" lastClr="FFFFFF"/>
            </a:solidFill>
            <a:ln>
              <a:noFill/>
            </a:ln>
            <a:effectLst/>
            <a:scene3d>
              <a:camera prst="orthographicFront">
                <a:rot lat="0" lon="0" rev="13500000"/>
              </a:camera>
              <a:lightRig rig="threePt" dir="t"/>
            </a:scene3d>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indent="0" algn="l" defTabSz="914400" eaLnBrk="1" fontAlgn="auto" latinLnBrk="0" hangingPunct="1">
                <a:lnSpc>
                  <a:spcPct val="100000"/>
                </a:lnSpc>
                <a:spcBef>
                  <a:spcPts val="0"/>
                </a:spcBef>
                <a:spcAft>
                  <a:spcPts val="0"/>
                </a:spcAft>
                <a:buClrTx/>
                <a:buSzTx/>
                <a:buFontTx/>
                <a:buNone/>
                <a:tabLst/>
              </a:pPr>
              <a:endParaRPr kumimoji="1" lang="ja-JP" altLang="en-US" sz="900">
                <a:solidFill>
                  <a:schemeClr val="dk1"/>
                </a:solidFill>
                <a:effectLst/>
                <a:latin typeface="+mn-lt"/>
                <a:ea typeface="+mn-ea"/>
                <a:cs typeface="+mn-cs"/>
              </a:endParaRPr>
            </a:p>
          </xdr:txBody>
        </xdr:sp>
      </xdr:grpSp>
    </xdr:grpSp>
    <xdr:clientData/>
  </xdr:twoCellAnchor>
  <xdr:twoCellAnchor>
    <xdr:from>
      <xdr:col>60</xdr:col>
      <xdr:colOff>2</xdr:colOff>
      <xdr:row>63</xdr:row>
      <xdr:rowOff>0</xdr:rowOff>
    </xdr:from>
    <xdr:to>
      <xdr:col>92</xdr:col>
      <xdr:colOff>1505</xdr:colOff>
      <xdr:row>64</xdr:row>
      <xdr:rowOff>1139</xdr:rowOff>
    </xdr:to>
    <xdr:grpSp>
      <xdr:nvGrpSpPr>
        <xdr:cNvPr id="261" name="グループ化 260"/>
        <xdr:cNvGrpSpPr/>
      </xdr:nvGrpSpPr>
      <xdr:grpSpPr>
        <a:xfrm>
          <a:off x="4000502" y="9601200"/>
          <a:ext cx="2135103" cy="153539"/>
          <a:chOff x="3845432" y="4662237"/>
          <a:chExt cx="2085135" cy="151534"/>
        </a:xfrm>
      </xdr:grpSpPr>
      <xdr:sp macro="" textlink="">
        <xdr:nvSpPr>
          <xdr:cNvPr id="264" name="テキスト ボックス 263"/>
          <xdr:cNvSpPr txBox="1"/>
        </xdr:nvSpPr>
        <xdr:spPr>
          <a:xfrm>
            <a:off x="3845432" y="4662237"/>
            <a:ext cx="912056" cy="151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得意先注文ＮＯ</a:t>
            </a:r>
          </a:p>
        </xdr:txBody>
      </xdr:sp>
      <xdr:sp macro="" textlink="">
        <xdr:nvSpPr>
          <xdr:cNvPr id="267" name="テキスト ボックス 266"/>
          <xdr:cNvSpPr txBox="1"/>
        </xdr:nvSpPr>
        <xdr:spPr>
          <a:xfrm>
            <a:off x="4822659" y="4662237"/>
            <a:ext cx="1107908" cy="150396"/>
          </a:xfrm>
          <a:prstGeom prst="rect">
            <a:avLst/>
          </a:prstGeom>
          <a:solidFill>
            <a:schemeClr val="lt1"/>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 rIns="18000" rtlCol="0" anchor="ct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mple_XX-XX-9999_&#12452;&#12531;&#12479;&#12501;&#12455;&#12540;&#12473;&#22522;&#26412;&#35373;&#35336;&#26360;&#65288;&#21463;&#20449;&#65289;&#21463;&#27880;&#21463;&#20449;&#65321;&#65295;&#65318;_r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来歴"/>
      <sheetName val="承認票"/>
      <sheetName val="レビュー記録"/>
      <sheetName val="機能概要"/>
      <sheetName val="処理・サービス関連図"/>
      <sheetName val="更新入出力仕様"/>
      <sheetName val="メッセージ一覧"/>
      <sheetName val="処理フロー"/>
      <sheetName val="処理詳細"/>
      <sheetName val="サービス呼出仕様"/>
      <sheetName val="補足_バッチログ実装"/>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kumimoji="1" sz="900">
            <a:latin typeface="+mj-ea"/>
            <a:ea typeface="+mj-ea"/>
            <a:cs typeface="Meiryo UI" panose="020B0604030504040204" pitchFamily="50" charset="-128"/>
          </a:defRPr>
        </a:defPPr>
      </a:lstStyle>
      <a:style>
        <a:lnRef idx="2">
          <a:schemeClr val="accent1"/>
        </a:lnRef>
        <a:fillRef idx="1">
          <a:schemeClr val="lt1"/>
        </a:fillRef>
        <a:effectRef idx="0">
          <a:schemeClr val="accent1"/>
        </a:effectRef>
        <a:fontRef idx="minor">
          <a:schemeClr val="dk1"/>
        </a:fontRef>
      </a:style>
    </a:spDef>
    <a:txDef>
      <a:spPr>
        <a:solidFill>
          <a:schemeClr val="accent3">
            <a:lumMod val="75000"/>
          </a:schemeClr>
        </a:solidFill>
        <a:ln w="9525" cmpd="sng">
          <a:noFill/>
        </a:ln>
        <a:effectLst/>
      </a:spPr>
      <a:bodyPr vertOverflow="clip" horzOverflow="clip" wrap="square" lIns="18000" rIns="18000" rtlCol="0" anchor="ctr"/>
      <a:lstStyle>
        <a:defPPr algn="ctr">
          <a:defRPr kumimoji="1" sz="900" b="0">
            <a:solidFill>
              <a:schemeClr val="bg1"/>
            </a:solidFill>
            <a:latin typeface="Meiryo UI" panose="020B0604030504040204" pitchFamily="50" charset="-128"/>
            <a:ea typeface="Meiryo UI" panose="020B0604030504040204" pitchFamily="50" charset="-128"/>
            <a:cs typeface="Meiryo UI" panose="020B0604030504040204" pitchFamily="50" charset="-128"/>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BJ65"/>
  <sheetViews>
    <sheetView showGridLines="0" topLeftCell="P31" zoomScaleNormal="100" zoomScaleSheetLayoutView="100" workbookViewId="0">
      <selection activeCell="BA66" sqref="BA66"/>
    </sheetView>
  </sheetViews>
  <sheetFormatPr defaultColWidth="9" defaultRowHeight="12"/>
  <cols>
    <col min="1" max="50" width="3.33203125" style="1" customWidth="1"/>
    <col min="51" max="52" width="9" style="1"/>
    <col min="53" max="53" width="23.33203125" style="1" customWidth="1"/>
    <col min="54" max="54" width="13.33203125" style="1" customWidth="1"/>
    <col min="55" max="55" width="23.33203125" style="1" customWidth="1"/>
    <col min="56" max="56" width="13.33203125" style="1" customWidth="1"/>
    <col min="57" max="57" width="23.33203125" style="1" customWidth="1"/>
    <col min="58" max="58" width="13.33203125" style="1" customWidth="1"/>
    <col min="59" max="59" width="16.6640625" style="1" customWidth="1"/>
    <col min="60" max="62" width="13.33203125" style="1" customWidth="1"/>
    <col min="63" max="16384" width="9" style="1"/>
  </cols>
  <sheetData>
    <row r="3" spans="32:49" ht="11.25" customHeight="1">
      <c r="AF3" s="135" t="s">
        <v>0</v>
      </c>
      <c r="AG3" s="145"/>
      <c r="AH3" s="145"/>
      <c r="AI3" s="145"/>
      <c r="AJ3" s="145"/>
      <c r="AK3" s="146"/>
      <c r="AL3" s="152" t="s">
        <v>17</v>
      </c>
      <c r="AM3" s="152"/>
      <c r="AN3" s="152"/>
      <c r="AO3" s="152"/>
      <c r="AP3" s="152"/>
      <c r="AQ3" s="152"/>
      <c r="AR3" s="141" t="s">
        <v>1</v>
      </c>
      <c r="AS3" s="142"/>
      <c r="AT3" s="142"/>
      <c r="AU3" s="142"/>
      <c r="AV3" s="142"/>
      <c r="AW3" s="143"/>
    </row>
    <row r="4" spans="32:49" ht="11.25" customHeight="1">
      <c r="AF4" s="147"/>
      <c r="AG4" s="145"/>
      <c r="AH4" s="145"/>
      <c r="AI4" s="145"/>
      <c r="AJ4" s="145"/>
      <c r="AK4" s="146"/>
      <c r="AL4" s="152"/>
      <c r="AM4" s="152"/>
      <c r="AN4" s="152"/>
      <c r="AO4" s="152"/>
      <c r="AP4" s="152"/>
      <c r="AQ4" s="152"/>
      <c r="AR4" s="141"/>
      <c r="AS4" s="142"/>
      <c r="AT4" s="142"/>
      <c r="AU4" s="142"/>
      <c r="AV4" s="142"/>
      <c r="AW4" s="143"/>
    </row>
    <row r="5" spans="32:49" ht="11.25" customHeight="1">
      <c r="AF5" s="144" t="str">
        <f>IF(文書番号="","",文書番号)</f>
        <v>XX-XX-9999</v>
      </c>
      <c r="AG5" s="145"/>
      <c r="AH5" s="145"/>
      <c r="AI5" s="145"/>
      <c r="AJ5" s="145"/>
      <c r="AK5" s="146"/>
      <c r="AL5" s="148" t="str">
        <f>IF(Version="","",Version)</f>
        <v>7.0.1.1</v>
      </c>
      <c r="AM5" s="148"/>
      <c r="AN5" s="148"/>
      <c r="AO5" s="148"/>
      <c r="AP5" s="148"/>
      <c r="AQ5" s="148"/>
      <c r="AR5" s="149" t="str">
        <f>IF(Rev="","",Rev)</f>
        <v>r02.00</v>
      </c>
      <c r="AS5" s="150"/>
      <c r="AT5" s="150"/>
      <c r="AU5" s="150"/>
      <c r="AV5" s="150"/>
      <c r="AW5" s="151"/>
    </row>
    <row r="6" spans="32:49" ht="11.25" customHeight="1">
      <c r="AF6" s="147"/>
      <c r="AG6" s="145"/>
      <c r="AH6" s="145"/>
      <c r="AI6" s="145"/>
      <c r="AJ6" s="145"/>
      <c r="AK6" s="146"/>
      <c r="AL6" s="148"/>
      <c r="AM6" s="148"/>
      <c r="AN6" s="148"/>
      <c r="AO6" s="148"/>
      <c r="AP6" s="148"/>
      <c r="AQ6" s="148"/>
      <c r="AR6" s="149"/>
      <c r="AS6" s="150"/>
      <c r="AT6" s="150"/>
      <c r="AU6" s="150"/>
      <c r="AV6" s="150"/>
      <c r="AW6" s="151"/>
    </row>
    <row r="27" spans="16:33" ht="22.5" customHeight="1">
      <c r="P27" s="129" t="s">
        <v>2</v>
      </c>
      <c r="Q27" s="130"/>
      <c r="R27" s="130"/>
      <c r="S27" s="130"/>
      <c r="T27" s="130"/>
      <c r="U27" s="131"/>
      <c r="V27" s="122" t="str">
        <f>IF(顧客名="","",顧客名)</f>
        <v>株式会社XXXX殿</v>
      </c>
      <c r="W27" s="123"/>
      <c r="X27" s="123"/>
      <c r="Y27" s="123"/>
      <c r="Z27" s="123"/>
      <c r="AA27" s="123"/>
      <c r="AB27" s="123"/>
      <c r="AC27" s="123"/>
      <c r="AD27" s="123"/>
      <c r="AE27" s="123"/>
      <c r="AF27" s="123"/>
      <c r="AG27" s="124"/>
    </row>
    <row r="28" spans="16:33" ht="22.5" customHeight="1">
      <c r="P28" s="129" t="s">
        <v>3</v>
      </c>
      <c r="Q28" s="130"/>
      <c r="R28" s="130"/>
      <c r="S28" s="130"/>
      <c r="T28" s="130"/>
      <c r="U28" s="131"/>
      <c r="V28" s="122" t="str">
        <f>IF(プロジェクト名="","",プロジェクト名)</f>
        <v>新基幹システム構築プロジェクト</v>
      </c>
      <c r="W28" s="123"/>
      <c r="X28" s="123"/>
      <c r="Y28" s="123"/>
      <c r="Z28" s="123"/>
      <c r="AA28" s="123"/>
      <c r="AB28" s="123"/>
      <c r="AC28" s="123"/>
      <c r="AD28" s="123"/>
      <c r="AE28" s="123"/>
      <c r="AF28" s="123"/>
      <c r="AG28" s="124"/>
    </row>
    <row r="29" spans="16:33" ht="22.5" customHeight="1">
      <c r="P29" s="129" t="s">
        <v>4</v>
      </c>
      <c r="Q29" s="130"/>
      <c r="R29" s="130"/>
      <c r="S29" s="130"/>
      <c r="T29" s="130"/>
      <c r="U29" s="131"/>
      <c r="V29" s="122" t="str">
        <f>IF(分類ID="","",分類ID)</f>
        <v>MSUB</v>
      </c>
      <c r="W29" s="123"/>
      <c r="X29" s="123"/>
      <c r="Y29" s="123"/>
      <c r="Z29" s="123"/>
      <c r="AA29" s="124"/>
      <c r="AB29" s="138" t="str">
        <f>IF(機能ID="","",機能ID)</f>
        <v/>
      </c>
      <c r="AC29" s="139"/>
      <c r="AD29" s="139"/>
      <c r="AE29" s="139"/>
      <c r="AF29" s="139"/>
      <c r="AG29" s="140"/>
    </row>
    <row r="30" spans="16:33" ht="22.5" customHeight="1">
      <c r="P30" s="119" t="s">
        <v>5</v>
      </c>
      <c r="Q30" s="120"/>
      <c r="R30" s="120"/>
      <c r="S30" s="120"/>
      <c r="T30" s="120"/>
      <c r="U30" s="121"/>
      <c r="V30" s="122" t="str">
        <f>IF(分類名="","",分類名)</f>
        <v>共通処理設計（埋込画面）</v>
      </c>
      <c r="W30" s="123"/>
      <c r="X30" s="123"/>
      <c r="Y30" s="123"/>
      <c r="Z30" s="123"/>
      <c r="AA30" s="123"/>
      <c r="AB30" s="123"/>
      <c r="AC30" s="123"/>
      <c r="AD30" s="123"/>
      <c r="AE30" s="123"/>
      <c r="AF30" s="123"/>
      <c r="AG30" s="124"/>
    </row>
    <row r="31" spans="16:33" ht="22.5" customHeight="1">
      <c r="P31" s="135" t="s">
        <v>6</v>
      </c>
      <c r="Q31" s="136"/>
      <c r="R31" s="136"/>
      <c r="S31" s="136"/>
      <c r="T31" s="136"/>
      <c r="U31" s="137"/>
      <c r="V31" s="128" t="str">
        <f>IF(機能名="","",機能名)</f>
        <v/>
      </c>
      <c r="W31" s="126"/>
      <c r="X31" s="126"/>
      <c r="Y31" s="126"/>
      <c r="Z31" s="126"/>
      <c r="AA31" s="126"/>
      <c r="AB31" s="126"/>
      <c r="AC31" s="126"/>
      <c r="AD31" s="126"/>
      <c r="AE31" s="126"/>
      <c r="AF31" s="126"/>
      <c r="AG31" s="127"/>
    </row>
    <row r="37" spans="1:62" ht="11.25" customHeight="1"/>
    <row r="38" spans="1:62" ht="11.25" customHeight="1"/>
    <row r="39" spans="1:62" ht="11.25" customHeight="1"/>
    <row r="40" spans="1:62" ht="11.25" customHeight="1"/>
    <row r="46" spans="1:62" ht="29.25" thickBot="1">
      <c r="A46" s="2" t="s">
        <v>18</v>
      </c>
    </row>
    <row r="47" spans="1:62" ht="12" customHeight="1">
      <c r="A47" s="129" t="s">
        <v>2</v>
      </c>
      <c r="B47" s="130"/>
      <c r="C47" s="130"/>
      <c r="D47" s="130"/>
      <c r="E47" s="130"/>
      <c r="F47" s="131"/>
      <c r="G47" s="125" t="s">
        <v>32</v>
      </c>
      <c r="H47" s="126"/>
      <c r="I47" s="126"/>
      <c r="J47" s="126"/>
      <c r="K47" s="126"/>
      <c r="L47" s="126"/>
      <c r="M47" s="126"/>
      <c r="N47" s="126"/>
      <c r="O47" s="126"/>
      <c r="P47" s="126"/>
      <c r="Q47" s="126"/>
      <c r="R47" s="127"/>
      <c r="BA47" s="154" t="s">
        <v>19</v>
      </c>
      <c r="BB47" s="46" t="s">
        <v>2</v>
      </c>
      <c r="BC47" s="47" t="str">
        <f>IF(顧客名="","",顧客名)</f>
        <v>株式会社XXXX殿</v>
      </c>
      <c r="BD47" s="48" t="s">
        <v>41</v>
      </c>
      <c r="BE47" s="47" t="str">
        <f>IF(システム="","",システム)</f>
        <v>mcframe7</v>
      </c>
      <c r="BF47" s="48" t="s">
        <v>13</v>
      </c>
      <c r="BG47" s="47" t="str">
        <f>IF(作成者="","",作成者)</f>
        <v>XX</v>
      </c>
      <c r="BH47" s="48" t="s">
        <v>14</v>
      </c>
      <c r="BI47" s="49">
        <f>IF(作成日="","",作成日)</f>
        <v>42871</v>
      </c>
      <c r="BJ47" s="50" t="s">
        <v>0</v>
      </c>
    </row>
    <row r="48" spans="1:62" ht="12" customHeight="1">
      <c r="A48" s="129" t="s">
        <v>3</v>
      </c>
      <c r="B48" s="130"/>
      <c r="C48" s="130"/>
      <c r="D48" s="130"/>
      <c r="E48" s="130"/>
      <c r="F48" s="131"/>
      <c r="G48" s="128" t="s">
        <v>30</v>
      </c>
      <c r="H48" s="126"/>
      <c r="I48" s="126"/>
      <c r="J48" s="126"/>
      <c r="K48" s="126"/>
      <c r="L48" s="126"/>
      <c r="M48" s="126"/>
      <c r="N48" s="126"/>
      <c r="O48" s="126"/>
      <c r="P48" s="126"/>
      <c r="Q48" s="126"/>
      <c r="R48" s="127"/>
      <c r="BA48" s="155"/>
      <c r="BB48" s="51" t="s">
        <v>42</v>
      </c>
      <c r="BC48" s="52" t="str">
        <f>IF(プロジェクト名="","",プロジェクト名)</f>
        <v>新基幹システム構築プロジェクト</v>
      </c>
      <c r="BD48" s="53" t="s">
        <v>43</v>
      </c>
      <c r="BE48" s="52" t="str">
        <f>IF(サブシステム="","",サブシステム)</f>
        <v>共通設計（埋込画面）</v>
      </c>
      <c r="BF48" s="53" t="s">
        <v>8</v>
      </c>
      <c r="BG48" s="52" t="str">
        <f>IF(修正者="","",修正者)</f>
        <v>XX</v>
      </c>
      <c r="BH48" s="53" t="s">
        <v>9</v>
      </c>
      <c r="BI48" s="54">
        <f>IF(修正日="","",修正日)</f>
        <v>43006</v>
      </c>
      <c r="BJ48" s="9" t="str">
        <f>IF(文書番号="","",文書番号)</f>
        <v>XX-XX-9999</v>
      </c>
    </row>
    <row r="49" spans="1:62" ht="12" customHeight="1" thickBot="1">
      <c r="A49" s="129" t="s">
        <v>11</v>
      </c>
      <c r="B49" s="130"/>
      <c r="C49" s="130"/>
      <c r="D49" s="130"/>
      <c r="E49" s="130"/>
      <c r="F49" s="131"/>
      <c r="G49" s="128" t="s">
        <v>31</v>
      </c>
      <c r="H49" s="126"/>
      <c r="I49" s="126"/>
      <c r="J49" s="126"/>
      <c r="K49" s="126"/>
      <c r="L49" s="126"/>
      <c r="M49" s="126"/>
      <c r="N49" s="126"/>
      <c r="O49" s="126"/>
      <c r="P49" s="126"/>
      <c r="Q49" s="126"/>
      <c r="R49" s="127"/>
      <c r="BA49" s="156"/>
      <c r="BB49" s="55" t="s">
        <v>10</v>
      </c>
      <c r="BC49" s="56" t="str">
        <f>IF(機能ID="","",機能ID)</f>
        <v/>
      </c>
      <c r="BD49" s="57" t="s">
        <v>6</v>
      </c>
      <c r="BE49" s="10" t="str">
        <f>IF(機能名="","",機能名)</f>
        <v/>
      </c>
      <c r="BF49" s="10"/>
      <c r="BG49" s="10"/>
      <c r="BH49" s="57" t="s">
        <v>38</v>
      </c>
      <c r="BI49" s="58" t="str">
        <f>IF(Rev="","",Rev)</f>
        <v>r02.00</v>
      </c>
      <c r="BJ49" s="11"/>
    </row>
    <row r="50" spans="1:62" ht="12" customHeight="1" thickBot="1">
      <c r="A50" s="129" t="s">
        <v>17</v>
      </c>
      <c r="B50" s="130"/>
      <c r="C50" s="130"/>
      <c r="D50" s="130"/>
      <c r="E50" s="130"/>
      <c r="F50" s="131"/>
      <c r="G50" s="153" t="s">
        <v>36</v>
      </c>
      <c r="H50" s="126"/>
      <c r="I50" s="126"/>
      <c r="J50" s="126"/>
      <c r="K50" s="126"/>
      <c r="L50" s="126"/>
      <c r="M50" s="126"/>
      <c r="N50" s="126"/>
      <c r="O50" s="126"/>
      <c r="P50" s="126"/>
      <c r="Q50" s="126"/>
      <c r="R50" s="127"/>
      <c r="BA50" s="59"/>
    </row>
    <row r="51" spans="1:62" ht="12" customHeight="1">
      <c r="A51" s="129" t="s">
        <v>12</v>
      </c>
      <c r="B51" s="130"/>
      <c r="C51" s="130"/>
      <c r="D51" s="130"/>
      <c r="E51" s="130"/>
      <c r="F51" s="131"/>
      <c r="G51" s="128" t="s">
        <v>126</v>
      </c>
      <c r="H51" s="126"/>
      <c r="I51" s="126"/>
      <c r="J51" s="126"/>
      <c r="K51" s="126"/>
      <c r="L51" s="126"/>
      <c r="M51" s="126"/>
      <c r="N51" s="126"/>
      <c r="O51" s="126"/>
      <c r="P51" s="126"/>
      <c r="Q51" s="126"/>
      <c r="R51" s="127"/>
      <c r="BA51" s="154" t="s">
        <v>24</v>
      </c>
      <c r="BB51" s="46" t="s">
        <v>2</v>
      </c>
      <c r="BC51" s="47" t="str">
        <f>IF(顧客名="","",顧客名)</f>
        <v>株式会社XXXX殿</v>
      </c>
      <c r="BD51" s="48" t="s">
        <v>40</v>
      </c>
      <c r="BE51" s="47" t="str">
        <f>IF(システム="","",システム)</f>
        <v>mcframe7</v>
      </c>
      <c r="BF51" s="48" t="s">
        <v>13</v>
      </c>
      <c r="BG51" s="47" t="str">
        <f>IF(作成者="","",作成者)</f>
        <v>XX</v>
      </c>
      <c r="BH51" s="48" t="s">
        <v>14</v>
      </c>
      <c r="BI51" s="49">
        <f>IF(作成日="","",作成日)</f>
        <v>42871</v>
      </c>
      <c r="BJ51" s="50" t="s">
        <v>0</v>
      </c>
    </row>
    <row r="52" spans="1:62" ht="12" customHeight="1">
      <c r="A52" s="129" t="s">
        <v>16</v>
      </c>
      <c r="B52" s="130"/>
      <c r="C52" s="130"/>
      <c r="D52" s="130"/>
      <c r="E52" s="130"/>
      <c r="F52" s="131"/>
      <c r="G52" s="128" t="s">
        <v>61</v>
      </c>
      <c r="H52" s="126"/>
      <c r="I52" s="126"/>
      <c r="J52" s="126"/>
      <c r="K52" s="126"/>
      <c r="L52" s="126"/>
      <c r="M52" s="126"/>
      <c r="N52" s="126"/>
      <c r="O52" s="126"/>
      <c r="P52" s="126"/>
      <c r="Q52" s="126"/>
      <c r="R52" s="127"/>
      <c r="BA52" s="155"/>
      <c r="BB52" s="51" t="s">
        <v>44</v>
      </c>
      <c r="BC52" s="52" t="str">
        <f>IF(プロジェクト名="","",プロジェクト名)</f>
        <v>新基幹システム構築プロジェクト</v>
      </c>
      <c r="BD52" s="53" t="s">
        <v>45</v>
      </c>
      <c r="BE52" s="52" t="str">
        <f>IF(サブシステム="","",サブシステム)</f>
        <v>共通設計（埋込画面）</v>
      </c>
      <c r="BF52" s="53" t="s">
        <v>8</v>
      </c>
      <c r="BG52" s="52" t="str">
        <f>IF(修正者="","",修正者)</f>
        <v>XX</v>
      </c>
      <c r="BH52" s="53" t="s">
        <v>9</v>
      </c>
      <c r="BI52" s="54">
        <f>IF(修正日="","",修正日)</f>
        <v>43006</v>
      </c>
      <c r="BJ52" s="9" t="str">
        <f>IF(文書番号="","",文書番号)</f>
        <v>XX-XX-9999</v>
      </c>
    </row>
    <row r="53" spans="1:62" ht="12" customHeight="1" thickBot="1">
      <c r="A53" s="129" t="s">
        <v>10</v>
      </c>
      <c r="B53" s="130"/>
      <c r="C53" s="130"/>
      <c r="D53" s="130"/>
      <c r="E53" s="130"/>
      <c r="F53" s="131"/>
      <c r="G53" s="128"/>
      <c r="H53" s="126"/>
      <c r="I53" s="126"/>
      <c r="J53" s="126"/>
      <c r="K53" s="126"/>
      <c r="L53" s="126"/>
      <c r="M53" s="126"/>
      <c r="N53" s="126"/>
      <c r="O53" s="126"/>
      <c r="P53" s="126"/>
      <c r="Q53" s="126"/>
      <c r="R53" s="127"/>
      <c r="BA53" s="156"/>
      <c r="BB53" s="55" t="s">
        <v>10</v>
      </c>
      <c r="BC53" s="56" t="str">
        <f>IF(機能ID="","",機能ID)</f>
        <v/>
      </c>
      <c r="BD53" s="57" t="s">
        <v>6</v>
      </c>
      <c r="BE53" s="10" t="str">
        <f>IF(機能名="","",機能名)</f>
        <v/>
      </c>
      <c r="BF53" s="10"/>
      <c r="BG53" s="10"/>
      <c r="BH53" s="57" t="s">
        <v>46</v>
      </c>
      <c r="BI53" s="58" t="str">
        <f>IF(Rev="","",Rev)</f>
        <v>r02.00</v>
      </c>
      <c r="BJ53" s="11"/>
    </row>
    <row r="54" spans="1:62" ht="12" customHeight="1" thickBot="1">
      <c r="A54" s="135" t="s">
        <v>5</v>
      </c>
      <c r="B54" s="136"/>
      <c r="C54" s="136"/>
      <c r="D54" s="136"/>
      <c r="E54" s="136"/>
      <c r="F54" s="137"/>
      <c r="G54" s="128" t="s">
        <v>127</v>
      </c>
      <c r="H54" s="126"/>
      <c r="I54" s="126"/>
      <c r="J54" s="126"/>
      <c r="K54" s="126"/>
      <c r="L54" s="126"/>
      <c r="M54" s="126"/>
      <c r="N54" s="126"/>
      <c r="O54" s="126"/>
      <c r="P54" s="126"/>
      <c r="Q54" s="126"/>
      <c r="R54" s="127"/>
      <c r="BA54" s="59"/>
    </row>
    <row r="55" spans="1:62" ht="12" customHeight="1">
      <c r="A55" s="135" t="s">
        <v>6</v>
      </c>
      <c r="B55" s="136"/>
      <c r="C55" s="136"/>
      <c r="D55" s="136"/>
      <c r="E55" s="136"/>
      <c r="F55" s="137"/>
      <c r="G55" s="128"/>
      <c r="H55" s="126"/>
      <c r="I55" s="126"/>
      <c r="J55" s="126"/>
      <c r="K55" s="126"/>
      <c r="L55" s="126"/>
      <c r="M55" s="126"/>
      <c r="N55" s="126"/>
      <c r="O55" s="126"/>
      <c r="P55" s="126"/>
      <c r="Q55" s="126"/>
      <c r="R55" s="127"/>
      <c r="BA55" s="154" t="s">
        <v>117</v>
      </c>
      <c r="BB55" s="46" t="s">
        <v>2</v>
      </c>
      <c r="BC55" s="47" t="str">
        <f>IF(顧客名="","",顧客名)</f>
        <v>株式会社XXXX殿</v>
      </c>
      <c r="BD55" s="48" t="s">
        <v>7</v>
      </c>
      <c r="BE55" s="47" t="str">
        <f>IF(システム="","",システム)</f>
        <v>mcframe7</v>
      </c>
      <c r="BF55" s="48" t="s">
        <v>13</v>
      </c>
      <c r="BG55" s="47" t="str">
        <f>IF(作成者="","",作成者)</f>
        <v>XX</v>
      </c>
      <c r="BH55" s="48" t="s">
        <v>14</v>
      </c>
      <c r="BI55" s="49">
        <f>IF(作成日="","",作成日)</f>
        <v>42871</v>
      </c>
      <c r="BJ55" s="50" t="s">
        <v>0</v>
      </c>
    </row>
    <row r="56" spans="1:62" ht="12" customHeight="1">
      <c r="A56" s="129" t="s">
        <v>13</v>
      </c>
      <c r="B56" s="130"/>
      <c r="C56" s="130"/>
      <c r="D56" s="130"/>
      <c r="E56" s="130"/>
      <c r="F56" s="131"/>
      <c r="G56" s="128" t="s">
        <v>33</v>
      </c>
      <c r="H56" s="126"/>
      <c r="I56" s="126"/>
      <c r="J56" s="126"/>
      <c r="K56" s="126"/>
      <c r="L56" s="126"/>
      <c r="M56" s="126"/>
      <c r="N56" s="126"/>
      <c r="O56" s="126"/>
      <c r="P56" s="126"/>
      <c r="Q56" s="126"/>
      <c r="R56" s="127"/>
      <c r="S56" s="1" t="s">
        <v>28</v>
      </c>
      <c r="BA56" s="155"/>
      <c r="BB56" s="51" t="s">
        <v>42</v>
      </c>
      <c r="BC56" s="52" t="str">
        <f>IF(プロジェクト名="","",プロジェクト名)</f>
        <v>新基幹システム構築プロジェクト</v>
      </c>
      <c r="BD56" s="53" t="s">
        <v>12</v>
      </c>
      <c r="BE56" s="52" t="str">
        <f>IF(サブシステム="","",サブシステム)</f>
        <v>共通設計（埋込画面）</v>
      </c>
      <c r="BF56" s="53" t="s">
        <v>8</v>
      </c>
      <c r="BG56" s="52" t="str">
        <f>IF(修正者="","",修正者)</f>
        <v>XX</v>
      </c>
      <c r="BH56" s="53" t="s">
        <v>9</v>
      </c>
      <c r="BI56" s="54">
        <f>IF(修正日="","",修正日)</f>
        <v>43006</v>
      </c>
      <c r="BJ56" s="9" t="str">
        <f>IF(文書番号="","",文書番号)</f>
        <v>XX-XX-9999</v>
      </c>
    </row>
    <row r="57" spans="1:62" ht="12" customHeight="1" thickBot="1">
      <c r="A57" s="129" t="s">
        <v>8</v>
      </c>
      <c r="B57" s="130"/>
      <c r="C57" s="130"/>
      <c r="D57" s="130"/>
      <c r="E57" s="130"/>
      <c r="F57" s="131"/>
      <c r="G57" s="132" t="s">
        <v>33</v>
      </c>
      <c r="H57" s="133"/>
      <c r="I57" s="133"/>
      <c r="J57" s="133"/>
      <c r="K57" s="133"/>
      <c r="L57" s="133"/>
      <c r="M57" s="133"/>
      <c r="N57" s="133"/>
      <c r="O57" s="133"/>
      <c r="P57" s="133"/>
      <c r="Q57" s="133"/>
      <c r="R57" s="134"/>
      <c r="S57" s="1" t="s">
        <v>28</v>
      </c>
      <c r="BA57" s="156"/>
      <c r="BB57" s="55" t="s">
        <v>10</v>
      </c>
      <c r="BC57" s="56" t="str">
        <f>IF(機能ID="","",機能ID)</f>
        <v/>
      </c>
      <c r="BD57" s="57" t="s">
        <v>6</v>
      </c>
      <c r="BE57" s="10" t="str">
        <f>IF(機能名="","",機能名)</f>
        <v/>
      </c>
      <c r="BF57" s="10"/>
      <c r="BG57" s="10"/>
      <c r="BH57" s="57" t="s">
        <v>38</v>
      </c>
      <c r="BI57" s="58" t="str">
        <f>IF(Rev="","",Rev)</f>
        <v>r02.00</v>
      </c>
      <c r="BJ57" s="11"/>
    </row>
    <row r="58" spans="1:62" ht="12" customHeight="1" thickBot="1">
      <c r="A58" s="129" t="s">
        <v>14</v>
      </c>
      <c r="B58" s="130"/>
      <c r="C58" s="130"/>
      <c r="D58" s="130"/>
      <c r="E58" s="130"/>
      <c r="F58" s="131"/>
      <c r="G58" s="157">
        <f>来歴!E6</f>
        <v>42871</v>
      </c>
      <c r="H58" s="126"/>
      <c r="I58" s="126"/>
      <c r="J58" s="126"/>
      <c r="K58" s="126"/>
      <c r="L58" s="126"/>
      <c r="M58" s="126"/>
      <c r="N58" s="126"/>
      <c r="O58" s="126"/>
      <c r="P58" s="126"/>
      <c r="Q58" s="126"/>
      <c r="R58" s="127"/>
      <c r="S58" s="1" t="s">
        <v>28</v>
      </c>
    </row>
    <row r="59" spans="1:62" ht="12" customHeight="1">
      <c r="A59" s="129" t="s">
        <v>9</v>
      </c>
      <c r="B59" s="130"/>
      <c r="C59" s="130"/>
      <c r="D59" s="130"/>
      <c r="E59" s="130"/>
      <c r="F59" s="131"/>
      <c r="G59" s="157">
        <f>IF(VLOOKUP(MAXA(来歴!A6:A40),来歴!A6:F40,5)="","",VLOOKUP(MAXA(来歴!A6:A40),来歴!A6:F40,5))</f>
        <v>43006</v>
      </c>
      <c r="H59" s="126"/>
      <c r="I59" s="126"/>
      <c r="J59" s="126"/>
      <c r="K59" s="126"/>
      <c r="L59" s="126"/>
      <c r="M59" s="126"/>
      <c r="N59" s="126"/>
      <c r="O59" s="126"/>
      <c r="P59" s="126"/>
      <c r="Q59" s="126"/>
      <c r="R59" s="127"/>
      <c r="S59" s="1" t="s">
        <v>28</v>
      </c>
      <c r="BA59" s="154" t="s">
        <v>118</v>
      </c>
      <c r="BB59" s="46" t="s">
        <v>2</v>
      </c>
      <c r="BC59" s="47" t="str">
        <f>IF(顧客名="","",顧客名)</f>
        <v>株式会社XXXX殿</v>
      </c>
      <c r="BD59" s="48" t="s">
        <v>7</v>
      </c>
      <c r="BE59" s="47" t="str">
        <f>IF(システム="","",システム)</f>
        <v>mcframe7</v>
      </c>
      <c r="BF59" s="48" t="s">
        <v>13</v>
      </c>
      <c r="BG59" s="47" t="str">
        <f>IF(作成者="","",作成者)</f>
        <v>XX</v>
      </c>
      <c r="BH59" s="48" t="s">
        <v>14</v>
      </c>
      <c r="BI59" s="49">
        <f>IF(作成日="","",作成日)</f>
        <v>42871</v>
      </c>
      <c r="BJ59" s="50" t="s">
        <v>0</v>
      </c>
    </row>
    <row r="60" spans="1:62" ht="12" customHeight="1">
      <c r="A60" s="129" t="s">
        <v>15</v>
      </c>
      <c r="B60" s="130"/>
      <c r="C60" s="130"/>
      <c r="D60" s="130"/>
      <c r="E60" s="130"/>
      <c r="F60" s="131"/>
      <c r="G60" s="132" t="str">
        <f>IF(VLOOKUP(MAXA(来歴!A6:A40),来歴!A6:F40,2)="","",VLOOKUP(MAXA(来歴!A6:A40),来歴!A6:F40,2))</f>
        <v>r02.00</v>
      </c>
      <c r="H60" s="133"/>
      <c r="I60" s="133"/>
      <c r="J60" s="133"/>
      <c r="K60" s="133"/>
      <c r="L60" s="133"/>
      <c r="M60" s="133"/>
      <c r="N60" s="133"/>
      <c r="O60" s="133"/>
      <c r="P60" s="133"/>
      <c r="Q60" s="133"/>
      <c r="R60" s="134"/>
      <c r="S60" s="1" t="s">
        <v>28</v>
      </c>
      <c r="BA60" s="155"/>
      <c r="BB60" s="51" t="s">
        <v>42</v>
      </c>
      <c r="BC60" s="52" t="str">
        <f>IF(プロジェクト名="","",プロジェクト名)</f>
        <v>新基幹システム構築プロジェクト</v>
      </c>
      <c r="BD60" s="53" t="s">
        <v>12</v>
      </c>
      <c r="BE60" s="52" t="str">
        <f>IF(サブシステム="","",サブシステム)</f>
        <v>共通設計（埋込画面）</v>
      </c>
      <c r="BF60" s="53" t="s">
        <v>8</v>
      </c>
      <c r="BG60" s="52" t="str">
        <f>IF(修正者="","",修正者)</f>
        <v>XX</v>
      </c>
      <c r="BH60" s="53" t="s">
        <v>9</v>
      </c>
      <c r="BI60" s="54">
        <f>IF(修正日="","",修正日)</f>
        <v>43006</v>
      </c>
      <c r="BJ60" s="9" t="str">
        <f>IF(文書番号="","",文書番号)</f>
        <v>XX-XX-9999</v>
      </c>
    </row>
    <row r="61" spans="1:62" ht="12" customHeight="1" thickBot="1">
      <c r="A61" s="129" t="s">
        <v>0</v>
      </c>
      <c r="B61" s="130"/>
      <c r="C61" s="130"/>
      <c r="D61" s="130"/>
      <c r="E61" s="130"/>
      <c r="F61" s="131"/>
      <c r="G61" s="128" t="s">
        <v>34</v>
      </c>
      <c r="H61" s="126"/>
      <c r="I61" s="126"/>
      <c r="J61" s="126"/>
      <c r="K61" s="126"/>
      <c r="L61" s="126"/>
      <c r="M61" s="126"/>
      <c r="N61" s="126"/>
      <c r="O61" s="126"/>
      <c r="P61" s="126"/>
      <c r="Q61" s="126"/>
      <c r="R61" s="127"/>
      <c r="AZ61" s="3"/>
      <c r="BA61" s="156"/>
      <c r="BB61" s="55" t="s">
        <v>10</v>
      </c>
      <c r="BC61" s="56" t="str">
        <f>IF(機能ID="","",機能ID)</f>
        <v/>
      </c>
      <c r="BD61" s="57" t="s">
        <v>6</v>
      </c>
      <c r="BE61" s="10" t="str">
        <f>IF(機能名="","",機能名)</f>
        <v/>
      </c>
      <c r="BF61" s="10"/>
      <c r="BG61" s="10"/>
      <c r="BH61" s="57" t="s">
        <v>38</v>
      </c>
      <c r="BI61" s="58" t="str">
        <f>IF(Rev="","",Rev)</f>
        <v>r02.00</v>
      </c>
      <c r="BJ61" s="11"/>
    </row>
    <row r="62" spans="1:62" ht="12" customHeight="1" thickBot="1">
      <c r="AZ62" s="3"/>
      <c r="BA62" s="59"/>
    </row>
    <row r="63" spans="1:62">
      <c r="AZ63" s="4"/>
      <c r="BA63" s="154" t="s">
        <v>146</v>
      </c>
      <c r="BB63" s="46" t="s">
        <v>2</v>
      </c>
      <c r="BC63" s="47" t="str">
        <f>IF(顧客名="","",顧客名)</f>
        <v>株式会社XXXX殿</v>
      </c>
      <c r="BD63" s="48" t="s">
        <v>7</v>
      </c>
      <c r="BE63" s="47" t="str">
        <f>IF(システム="","",システム)</f>
        <v>mcframe7</v>
      </c>
      <c r="BF63" s="48" t="s">
        <v>13</v>
      </c>
      <c r="BG63" s="47" t="str">
        <f>IF(作成者="","",作成者)</f>
        <v>XX</v>
      </c>
      <c r="BH63" s="48" t="s">
        <v>14</v>
      </c>
      <c r="BI63" s="49">
        <f>IF(作成日="","",作成日)</f>
        <v>42871</v>
      </c>
      <c r="BJ63" s="50" t="s">
        <v>0</v>
      </c>
    </row>
    <row r="64" spans="1:62">
      <c r="AZ64" s="3"/>
      <c r="BA64" s="155"/>
      <c r="BB64" s="51" t="s">
        <v>42</v>
      </c>
      <c r="BC64" s="52" t="str">
        <f>IF(プロジェクト名="","",プロジェクト名)</f>
        <v>新基幹システム構築プロジェクト</v>
      </c>
      <c r="BD64" s="53" t="s">
        <v>12</v>
      </c>
      <c r="BE64" s="52" t="str">
        <f>IF(サブシステム="","",サブシステム)</f>
        <v>共通設計（埋込画面）</v>
      </c>
      <c r="BF64" s="53" t="s">
        <v>8</v>
      </c>
      <c r="BG64" s="52" t="str">
        <f>IF(修正者="","",修正者)</f>
        <v>XX</v>
      </c>
      <c r="BH64" s="53" t="s">
        <v>9</v>
      </c>
      <c r="BI64" s="54">
        <f>IF(修正日="","",修正日)</f>
        <v>43006</v>
      </c>
      <c r="BJ64" s="9" t="str">
        <f>IF(文書番号="","",文書番号)</f>
        <v>XX-XX-9999</v>
      </c>
    </row>
    <row r="65" spans="53:62" ht="12.75" thickBot="1">
      <c r="BA65" s="156"/>
      <c r="BB65" s="55" t="s">
        <v>10</v>
      </c>
      <c r="BC65" s="56" t="str">
        <f>IF(機能ID="","",機能ID)</f>
        <v/>
      </c>
      <c r="BD65" s="57" t="s">
        <v>6</v>
      </c>
      <c r="BE65" s="10" t="str">
        <f>IF(機能名="","",機能名)</f>
        <v/>
      </c>
      <c r="BF65" s="10"/>
      <c r="BG65" s="10"/>
      <c r="BH65" s="57" t="s">
        <v>38</v>
      </c>
      <c r="BI65" s="58" t="str">
        <f>IF(Rev="","",Rev)</f>
        <v>r02.00</v>
      </c>
      <c r="BJ65" s="11"/>
    </row>
  </sheetData>
  <mergeCells count="52">
    <mergeCell ref="A48:F48"/>
    <mergeCell ref="BA63:BA65"/>
    <mergeCell ref="BA47:BA49"/>
    <mergeCell ref="BA51:BA53"/>
    <mergeCell ref="A61:F61"/>
    <mergeCell ref="G61:R61"/>
    <mergeCell ref="A58:F58"/>
    <mergeCell ref="G58:R58"/>
    <mergeCell ref="A59:F59"/>
    <mergeCell ref="G59:R59"/>
    <mergeCell ref="A54:F54"/>
    <mergeCell ref="A55:F55"/>
    <mergeCell ref="G60:R60"/>
    <mergeCell ref="G54:R54"/>
    <mergeCell ref="G52:R52"/>
    <mergeCell ref="G56:R56"/>
    <mergeCell ref="A56:F56"/>
    <mergeCell ref="A47:F47"/>
    <mergeCell ref="A52:F52"/>
    <mergeCell ref="A60:F60"/>
    <mergeCell ref="BA59:BA61"/>
    <mergeCell ref="G55:R55"/>
    <mergeCell ref="BA55:BA57"/>
    <mergeCell ref="AR3:AW4"/>
    <mergeCell ref="AF5:AK6"/>
    <mergeCell ref="AL5:AQ6"/>
    <mergeCell ref="AR5:AW6"/>
    <mergeCell ref="AF3:AK4"/>
    <mergeCell ref="AL3:AQ4"/>
    <mergeCell ref="P27:U27"/>
    <mergeCell ref="V27:AG27"/>
    <mergeCell ref="P29:U29"/>
    <mergeCell ref="V29:AA29"/>
    <mergeCell ref="AB29:AG29"/>
    <mergeCell ref="P28:U28"/>
    <mergeCell ref="V28:AG28"/>
    <mergeCell ref="P30:U30"/>
    <mergeCell ref="V30:AG30"/>
    <mergeCell ref="G47:R47"/>
    <mergeCell ref="G48:R48"/>
    <mergeCell ref="A57:F57"/>
    <mergeCell ref="G57:R57"/>
    <mergeCell ref="P31:U31"/>
    <mergeCell ref="V31:AG31"/>
    <mergeCell ref="A53:F53"/>
    <mergeCell ref="G53:R53"/>
    <mergeCell ref="A49:F49"/>
    <mergeCell ref="G49:R49"/>
    <mergeCell ref="A51:F51"/>
    <mergeCell ref="G51:R51"/>
    <mergeCell ref="A50:F50"/>
    <mergeCell ref="G50:R50"/>
  </mergeCells>
  <phoneticPr fontId="1"/>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F40"/>
  <sheetViews>
    <sheetView showGridLines="0" zoomScaleNormal="100" zoomScaleSheetLayoutView="90" workbookViewId="0">
      <selection activeCell="E12" sqref="E12"/>
    </sheetView>
  </sheetViews>
  <sheetFormatPr defaultColWidth="9.33203125" defaultRowHeight="12"/>
  <cols>
    <col min="1" max="1" width="3.33203125" style="1" customWidth="1"/>
    <col min="2" max="2" width="10" style="1" customWidth="1"/>
    <col min="3" max="3" width="103.33203125" style="1" customWidth="1"/>
    <col min="4" max="5" width="13.33203125" style="1" customWidth="1"/>
    <col min="6" max="6" width="23.33203125" style="1" customWidth="1"/>
    <col min="7" max="7" width="1.83203125" style="1" customWidth="1"/>
    <col min="8" max="16384" width="9.33203125" style="1"/>
  </cols>
  <sheetData>
    <row r="1" spans="1:6" ht="12" customHeight="1"/>
    <row r="2" spans="1:6" ht="12" customHeight="1"/>
    <row r="3" spans="1:6" ht="12.75" customHeight="1"/>
    <row r="4" spans="1:6" ht="12.75" thickBot="1"/>
    <row r="5" spans="1:6" ht="12.75" thickBot="1">
      <c r="A5" s="30" t="s">
        <v>37</v>
      </c>
      <c r="B5" s="31" t="s">
        <v>38</v>
      </c>
      <c r="C5" s="15" t="s">
        <v>20</v>
      </c>
      <c r="D5" s="20" t="s">
        <v>21</v>
      </c>
      <c r="E5" s="15" t="s">
        <v>22</v>
      </c>
      <c r="F5" s="20" t="s">
        <v>23</v>
      </c>
    </row>
    <row r="6" spans="1:6" ht="12.75" thickTop="1">
      <c r="A6" s="60">
        <v>1</v>
      </c>
      <c r="B6" s="32" t="s">
        <v>47</v>
      </c>
      <c r="C6" s="16" t="s">
        <v>39</v>
      </c>
      <c r="D6" s="19" t="s">
        <v>48</v>
      </c>
      <c r="E6" s="72">
        <v>42871</v>
      </c>
      <c r="F6" s="68"/>
    </row>
    <row r="7" spans="1:6">
      <c r="A7" s="5">
        <v>2</v>
      </c>
      <c r="B7" s="17" t="s">
        <v>49</v>
      </c>
      <c r="C7" s="12" t="s">
        <v>50</v>
      </c>
      <c r="D7" s="18" t="s">
        <v>48</v>
      </c>
      <c r="E7" s="73">
        <v>42872</v>
      </c>
      <c r="F7" s="70"/>
    </row>
    <row r="8" spans="1:6">
      <c r="A8" s="5">
        <v>3</v>
      </c>
      <c r="B8" s="17" t="s">
        <v>51</v>
      </c>
      <c r="C8" s="12" t="s">
        <v>52</v>
      </c>
      <c r="D8" s="13" t="s">
        <v>48</v>
      </c>
      <c r="E8" s="73">
        <v>42978</v>
      </c>
      <c r="F8" s="70"/>
    </row>
    <row r="9" spans="1:6">
      <c r="A9" s="5">
        <v>4</v>
      </c>
      <c r="B9" s="17" t="s">
        <v>53</v>
      </c>
      <c r="C9" s="12" t="s">
        <v>60</v>
      </c>
      <c r="D9" s="13" t="s">
        <v>48</v>
      </c>
      <c r="E9" s="73">
        <v>43006</v>
      </c>
      <c r="F9" s="70"/>
    </row>
    <row r="10" spans="1:6">
      <c r="A10" s="5">
        <v>5</v>
      </c>
      <c r="B10" s="17" t="s">
        <v>54</v>
      </c>
      <c r="C10" s="12" t="s">
        <v>55</v>
      </c>
      <c r="D10" s="13" t="s">
        <v>48</v>
      </c>
      <c r="E10" s="73">
        <v>43006</v>
      </c>
      <c r="F10" s="70"/>
    </row>
    <row r="11" spans="1:6">
      <c r="A11" s="5"/>
      <c r="B11" s="17"/>
      <c r="C11" s="12"/>
      <c r="D11" s="13"/>
      <c r="E11" s="74"/>
      <c r="F11" s="70"/>
    </row>
    <row r="12" spans="1:6">
      <c r="A12" s="5"/>
      <c r="B12" s="17"/>
      <c r="C12" s="12"/>
      <c r="D12" s="13"/>
      <c r="E12" s="74"/>
      <c r="F12" s="70"/>
    </row>
    <row r="13" spans="1:6">
      <c r="A13" s="5"/>
      <c r="B13" s="17"/>
      <c r="C13" s="12"/>
      <c r="D13" s="13"/>
      <c r="E13" s="74"/>
      <c r="F13" s="70"/>
    </row>
    <row r="14" spans="1:6">
      <c r="A14" s="5"/>
      <c r="B14" s="17"/>
      <c r="C14" s="12"/>
      <c r="D14" s="13"/>
      <c r="E14" s="74"/>
      <c r="F14" s="70"/>
    </row>
    <row r="15" spans="1:6">
      <c r="A15" s="5"/>
      <c r="B15" s="17"/>
      <c r="C15" s="12"/>
      <c r="D15" s="13"/>
      <c r="E15" s="74"/>
      <c r="F15" s="70"/>
    </row>
    <row r="16" spans="1:6">
      <c r="A16" s="5"/>
      <c r="B16" s="17"/>
      <c r="C16" s="12"/>
      <c r="D16" s="13"/>
      <c r="E16" s="74"/>
      <c r="F16" s="70"/>
    </row>
    <row r="17" spans="1:6">
      <c r="A17" s="5"/>
      <c r="B17" s="17"/>
      <c r="C17" s="12"/>
      <c r="D17" s="13"/>
      <c r="E17" s="74"/>
      <c r="F17" s="70"/>
    </row>
    <row r="18" spans="1:6">
      <c r="A18" s="5"/>
      <c r="B18" s="17"/>
      <c r="C18" s="12"/>
      <c r="D18" s="13"/>
      <c r="E18" s="74"/>
      <c r="F18" s="70"/>
    </row>
    <row r="19" spans="1:6">
      <c r="A19" s="5"/>
      <c r="B19" s="17"/>
      <c r="C19" s="12"/>
      <c r="D19" s="13"/>
      <c r="E19" s="74"/>
      <c r="F19" s="70"/>
    </row>
    <row r="20" spans="1:6">
      <c r="A20" s="5"/>
      <c r="B20" s="17"/>
      <c r="C20" s="12"/>
      <c r="D20" s="13"/>
      <c r="E20" s="74"/>
      <c r="F20" s="70"/>
    </row>
    <row r="21" spans="1:6">
      <c r="A21" s="5"/>
      <c r="B21" s="17"/>
      <c r="C21" s="12"/>
      <c r="D21" s="13"/>
      <c r="E21" s="74"/>
      <c r="F21" s="70"/>
    </row>
    <row r="22" spans="1:6">
      <c r="A22" s="5"/>
      <c r="B22" s="17"/>
      <c r="C22" s="12"/>
      <c r="D22" s="13"/>
      <c r="E22" s="74"/>
      <c r="F22" s="70"/>
    </row>
    <row r="23" spans="1:6">
      <c r="A23" s="5"/>
      <c r="B23" s="17"/>
      <c r="C23" s="12"/>
      <c r="D23" s="13"/>
      <c r="E23" s="74"/>
      <c r="F23" s="70"/>
    </row>
    <row r="24" spans="1:6">
      <c r="A24" s="5"/>
      <c r="B24" s="17"/>
      <c r="C24" s="12"/>
      <c r="D24" s="13"/>
      <c r="E24" s="74"/>
      <c r="F24" s="70"/>
    </row>
    <row r="25" spans="1:6">
      <c r="A25" s="5"/>
      <c r="B25" s="17"/>
      <c r="C25" s="12"/>
      <c r="D25" s="13"/>
      <c r="E25" s="74"/>
      <c r="F25" s="70"/>
    </row>
    <row r="26" spans="1:6">
      <c r="A26" s="5"/>
      <c r="B26" s="17"/>
      <c r="C26" s="12"/>
      <c r="D26" s="13"/>
      <c r="E26" s="74"/>
      <c r="F26" s="70"/>
    </row>
    <row r="27" spans="1:6">
      <c r="A27" s="5"/>
      <c r="B27" s="17"/>
      <c r="C27" s="12"/>
      <c r="D27" s="13"/>
      <c r="E27" s="74"/>
      <c r="F27" s="70"/>
    </row>
    <row r="28" spans="1:6">
      <c r="A28" s="5"/>
      <c r="B28" s="17"/>
      <c r="C28" s="12"/>
      <c r="D28" s="13"/>
      <c r="E28" s="74"/>
      <c r="F28" s="70"/>
    </row>
    <row r="29" spans="1:6">
      <c r="A29" s="5"/>
      <c r="B29" s="17"/>
      <c r="C29" s="12"/>
      <c r="D29" s="13"/>
      <c r="E29" s="74"/>
      <c r="F29" s="70"/>
    </row>
    <row r="30" spans="1:6">
      <c r="A30" s="5"/>
      <c r="B30" s="17"/>
      <c r="C30" s="12"/>
      <c r="D30" s="13"/>
      <c r="E30" s="74"/>
      <c r="F30" s="70"/>
    </row>
    <row r="31" spans="1:6">
      <c r="A31" s="5"/>
      <c r="B31" s="17"/>
      <c r="C31" s="12"/>
      <c r="D31" s="13"/>
      <c r="E31" s="74"/>
      <c r="F31" s="70"/>
    </row>
    <row r="32" spans="1:6">
      <c r="A32" s="5"/>
      <c r="B32" s="17"/>
      <c r="C32" s="12"/>
      <c r="D32" s="13"/>
      <c r="E32" s="74"/>
      <c r="F32" s="70"/>
    </row>
    <row r="33" spans="1:6">
      <c r="A33" s="5"/>
      <c r="B33" s="17"/>
      <c r="C33" s="12"/>
      <c r="D33" s="13"/>
      <c r="E33" s="74"/>
      <c r="F33" s="70"/>
    </row>
    <row r="34" spans="1:6">
      <c r="A34" s="5"/>
      <c r="B34" s="17"/>
      <c r="C34" s="12"/>
      <c r="D34" s="13"/>
      <c r="E34" s="74"/>
      <c r="F34" s="70"/>
    </row>
    <row r="35" spans="1:6">
      <c r="A35" s="5"/>
      <c r="B35" s="17"/>
      <c r="C35" s="12"/>
      <c r="D35" s="13"/>
      <c r="E35" s="74"/>
      <c r="F35" s="70"/>
    </row>
    <row r="36" spans="1:6">
      <c r="A36" s="5"/>
      <c r="B36" s="17"/>
      <c r="C36" s="12"/>
      <c r="D36" s="13"/>
      <c r="E36" s="74"/>
      <c r="F36" s="70"/>
    </row>
    <row r="37" spans="1:6">
      <c r="A37" s="5"/>
      <c r="B37" s="17"/>
      <c r="C37" s="12"/>
      <c r="D37" s="13"/>
      <c r="E37" s="74"/>
      <c r="F37" s="70"/>
    </row>
    <row r="38" spans="1:6">
      <c r="A38" s="5"/>
      <c r="B38" s="17"/>
      <c r="C38" s="12"/>
      <c r="D38" s="13"/>
      <c r="E38" s="74"/>
      <c r="F38" s="70"/>
    </row>
    <row r="39" spans="1:6">
      <c r="A39" s="5"/>
      <c r="B39" s="17"/>
      <c r="C39" s="12"/>
      <c r="D39" s="13"/>
      <c r="E39" s="74"/>
      <c r="F39" s="70"/>
    </row>
    <row r="40" spans="1:6" ht="12.75" thickBot="1">
      <c r="A40" s="33"/>
      <c r="B40" s="34"/>
      <c r="C40" s="35"/>
      <c r="D40" s="36"/>
      <c r="E40" s="75"/>
      <c r="F40" s="71"/>
    </row>
  </sheetData>
  <phoneticPr fontId="1"/>
  <dataValidations count="1">
    <dataValidation imeMode="off" allowBlank="1" showInputMessage="1" showErrorMessage="1" sqref="A6:B40 E6:E40"/>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I47"/>
  <sheetViews>
    <sheetView showGridLines="0" zoomScaleNormal="100" zoomScaleSheetLayoutView="90" workbookViewId="0">
      <selection activeCell="E12" sqref="E12"/>
    </sheetView>
  </sheetViews>
  <sheetFormatPr defaultColWidth="9.33203125" defaultRowHeight="12"/>
  <cols>
    <col min="1" max="1" width="10" style="1" customWidth="1"/>
    <col min="2" max="2" width="13.33203125" style="1" customWidth="1"/>
    <col min="3" max="3" width="53.33203125" style="1" customWidth="1"/>
    <col min="4" max="8" width="13.33203125" style="1" customWidth="1"/>
    <col min="9" max="9" width="23.33203125" style="1" customWidth="1"/>
    <col min="10" max="16384" width="9.33203125" style="1"/>
  </cols>
  <sheetData>
    <row r="1" spans="1:9" ht="12" customHeight="1"/>
    <row r="2" spans="1:9" ht="12" customHeight="1"/>
    <row r="3" spans="1:9" ht="12.75" customHeight="1"/>
    <row r="4" spans="1:9" ht="12.75" thickBot="1"/>
    <row r="5" spans="1:9">
      <c r="A5" s="25" t="s">
        <v>38</v>
      </c>
      <c r="B5" s="37" t="s">
        <v>14</v>
      </c>
      <c r="C5" s="22" t="s">
        <v>20</v>
      </c>
      <c r="D5" s="158" t="s">
        <v>29</v>
      </c>
      <c r="E5" s="159"/>
      <c r="F5" s="159"/>
      <c r="G5" s="160" t="s">
        <v>35</v>
      </c>
      <c r="H5" s="161"/>
      <c r="I5" s="162" t="s">
        <v>23</v>
      </c>
    </row>
    <row r="6" spans="1:9" ht="12.75" thickBot="1">
      <c r="A6" s="26"/>
      <c r="B6" s="38"/>
      <c r="C6" s="27"/>
      <c r="D6" s="23" t="s">
        <v>13</v>
      </c>
      <c r="E6" s="23" t="s">
        <v>25</v>
      </c>
      <c r="F6" s="23" t="s">
        <v>26</v>
      </c>
      <c r="G6" s="23" t="s">
        <v>25</v>
      </c>
      <c r="H6" s="64" t="s">
        <v>27</v>
      </c>
      <c r="I6" s="163"/>
    </row>
    <row r="7" spans="1:9" ht="12.75" customHeight="1" thickTop="1">
      <c r="A7" s="61" t="s">
        <v>56</v>
      </c>
      <c r="B7" s="62">
        <v>42978</v>
      </c>
      <c r="C7" s="16" t="s">
        <v>57</v>
      </c>
      <c r="D7" s="63" t="s">
        <v>58</v>
      </c>
      <c r="E7" s="63" t="s">
        <v>58</v>
      </c>
      <c r="F7" s="63" t="s">
        <v>59</v>
      </c>
      <c r="G7" s="63" t="s">
        <v>58</v>
      </c>
      <c r="H7" s="65" t="s">
        <v>58</v>
      </c>
      <c r="I7" s="68"/>
    </row>
    <row r="8" spans="1:9" ht="12.75" customHeight="1">
      <c r="A8" s="39"/>
      <c r="B8" s="40"/>
      <c r="C8" s="41"/>
      <c r="D8" s="42"/>
      <c r="E8" s="42"/>
      <c r="F8" s="42"/>
      <c r="G8" s="42"/>
      <c r="H8" s="66"/>
      <c r="I8" s="69"/>
    </row>
    <row r="9" spans="1:9">
      <c r="A9" s="24"/>
      <c r="B9" s="14"/>
      <c r="C9" s="12"/>
      <c r="D9" s="21"/>
      <c r="E9" s="21"/>
      <c r="F9" s="21"/>
      <c r="G9" s="21"/>
      <c r="H9" s="28"/>
      <c r="I9" s="70"/>
    </row>
    <row r="10" spans="1:9">
      <c r="A10" s="24"/>
      <c r="B10" s="14"/>
      <c r="C10" s="12"/>
      <c r="D10" s="21"/>
      <c r="E10" s="21"/>
      <c r="F10" s="21"/>
      <c r="G10" s="21"/>
      <c r="H10" s="28"/>
      <c r="I10" s="70"/>
    </row>
    <row r="11" spans="1:9">
      <c r="A11" s="24"/>
      <c r="B11" s="14"/>
      <c r="C11" s="12"/>
      <c r="D11" s="21"/>
      <c r="E11" s="21"/>
      <c r="F11" s="21"/>
      <c r="G11" s="21"/>
      <c r="H11" s="28"/>
      <c r="I11" s="70"/>
    </row>
    <row r="12" spans="1:9">
      <c r="A12" s="24"/>
      <c r="B12" s="14"/>
      <c r="C12" s="12"/>
      <c r="D12" s="21"/>
      <c r="E12" s="21"/>
      <c r="F12" s="21"/>
      <c r="G12" s="21"/>
      <c r="H12" s="28"/>
      <c r="I12" s="70"/>
    </row>
    <row r="13" spans="1:9">
      <c r="A13" s="24"/>
      <c r="B13" s="14"/>
      <c r="C13" s="12"/>
      <c r="D13" s="21"/>
      <c r="E13" s="21"/>
      <c r="F13" s="21"/>
      <c r="G13" s="21"/>
      <c r="H13" s="28"/>
      <c r="I13" s="70"/>
    </row>
    <row r="14" spans="1:9">
      <c r="A14" s="24"/>
      <c r="B14" s="14"/>
      <c r="C14" s="12"/>
      <c r="D14" s="21"/>
      <c r="E14" s="21"/>
      <c r="F14" s="21"/>
      <c r="G14" s="21"/>
      <c r="H14" s="28"/>
      <c r="I14" s="70"/>
    </row>
    <row r="15" spans="1:9">
      <c r="A15" s="24"/>
      <c r="B15" s="14"/>
      <c r="C15" s="12"/>
      <c r="D15" s="21"/>
      <c r="E15" s="21"/>
      <c r="F15" s="21"/>
      <c r="G15" s="21"/>
      <c r="H15" s="28"/>
      <c r="I15" s="70"/>
    </row>
    <row r="16" spans="1:9">
      <c r="A16" s="24"/>
      <c r="B16" s="14"/>
      <c r="C16" s="12"/>
      <c r="D16" s="21"/>
      <c r="E16" s="21"/>
      <c r="F16" s="21"/>
      <c r="G16" s="21"/>
      <c r="H16" s="28"/>
      <c r="I16" s="70"/>
    </row>
    <row r="17" spans="1:9">
      <c r="A17" s="24"/>
      <c r="B17" s="14"/>
      <c r="C17" s="12"/>
      <c r="D17" s="21"/>
      <c r="E17" s="21"/>
      <c r="F17" s="21"/>
      <c r="G17" s="21"/>
      <c r="H17" s="28"/>
      <c r="I17" s="70"/>
    </row>
    <row r="18" spans="1:9">
      <c r="A18" s="24"/>
      <c r="B18" s="14"/>
      <c r="C18" s="12"/>
      <c r="D18" s="21"/>
      <c r="E18" s="21"/>
      <c r="F18" s="21"/>
      <c r="G18" s="21"/>
      <c r="H18" s="28"/>
      <c r="I18" s="70"/>
    </row>
    <row r="19" spans="1:9">
      <c r="A19" s="24"/>
      <c r="B19" s="14"/>
      <c r="C19" s="12"/>
      <c r="D19" s="21"/>
      <c r="E19" s="21"/>
      <c r="F19" s="21"/>
      <c r="G19" s="21"/>
      <c r="H19" s="28"/>
      <c r="I19" s="70"/>
    </row>
    <row r="20" spans="1:9">
      <c r="A20" s="24"/>
      <c r="B20" s="14"/>
      <c r="C20" s="12"/>
      <c r="D20" s="21"/>
      <c r="E20" s="21"/>
      <c r="F20" s="21"/>
      <c r="G20" s="21"/>
      <c r="H20" s="28"/>
      <c r="I20" s="70"/>
    </row>
    <row r="21" spans="1:9">
      <c r="A21" s="24"/>
      <c r="B21" s="14"/>
      <c r="C21" s="12"/>
      <c r="D21" s="21"/>
      <c r="E21" s="21"/>
      <c r="F21" s="21"/>
      <c r="G21" s="21"/>
      <c r="H21" s="28"/>
      <c r="I21" s="70"/>
    </row>
    <row r="22" spans="1:9">
      <c r="A22" s="24"/>
      <c r="B22" s="14"/>
      <c r="C22" s="12"/>
      <c r="D22" s="21"/>
      <c r="E22" s="21"/>
      <c r="F22" s="21"/>
      <c r="G22" s="21"/>
      <c r="H22" s="28"/>
      <c r="I22" s="70"/>
    </row>
    <row r="23" spans="1:9">
      <c r="A23" s="24"/>
      <c r="B23" s="14"/>
      <c r="C23" s="12"/>
      <c r="D23" s="21"/>
      <c r="E23" s="21"/>
      <c r="F23" s="21"/>
      <c r="G23" s="21"/>
      <c r="H23" s="28"/>
      <c r="I23" s="70"/>
    </row>
    <row r="24" spans="1:9">
      <c r="A24" s="24"/>
      <c r="B24" s="14"/>
      <c r="C24" s="12"/>
      <c r="D24" s="21"/>
      <c r="E24" s="21"/>
      <c r="F24" s="21"/>
      <c r="G24" s="21"/>
      <c r="H24" s="28"/>
      <c r="I24" s="70"/>
    </row>
    <row r="25" spans="1:9">
      <c r="A25" s="24"/>
      <c r="B25" s="14"/>
      <c r="C25" s="12"/>
      <c r="D25" s="21"/>
      <c r="E25" s="21"/>
      <c r="F25" s="21"/>
      <c r="G25" s="21"/>
      <c r="H25" s="28"/>
      <c r="I25" s="70"/>
    </row>
    <row r="26" spans="1:9">
      <c r="A26" s="24"/>
      <c r="B26" s="14"/>
      <c r="C26" s="12"/>
      <c r="D26" s="21"/>
      <c r="E26" s="21"/>
      <c r="F26" s="21"/>
      <c r="G26" s="21"/>
      <c r="H26" s="28"/>
      <c r="I26" s="70"/>
    </row>
    <row r="27" spans="1:9">
      <c r="A27" s="24"/>
      <c r="B27" s="14"/>
      <c r="C27" s="12"/>
      <c r="D27" s="21"/>
      <c r="E27" s="21"/>
      <c r="F27" s="21"/>
      <c r="G27" s="21"/>
      <c r="H27" s="28"/>
      <c r="I27" s="70"/>
    </row>
    <row r="28" spans="1:9">
      <c r="A28" s="24"/>
      <c r="B28" s="14"/>
      <c r="C28" s="12"/>
      <c r="D28" s="28"/>
      <c r="E28" s="28"/>
      <c r="F28" s="28"/>
      <c r="G28" s="28"/>
      <c r="H28" s="28"/>
      <c r="I28" s="29"/>
    </row>
    <row r="29" spans="1:9">
      <c r="A29" s="24"/>
      <c r="B29" s="14"/>
      <c r="C29" s="12"/>
      <c r="D29" s="21"/>
      <c r="E29" s="21"/>
      <c r="F29" s="21"/>
      <c r="G29" s="21"/>
      <c r="H29" s="28"/>
      <c r="I29" s="70"/>
    </row>
    <row r="30" spans="1:9">
      <c r="A30" s="24"/>
      <c r="B30" s="14"/>
      <c r="C30" s="12"/>
      <c r="D30" s="21"/>
      <c r="E30" s="21"/>
      <c r="F30" s="21"/>
      <c r="G30" s="21"/>
      <c r="H30" s="28"/>
      <c r="I30" s="70"/>
    </row>
    <row r="31" spans="1:9">
      <c r="A31" s="24"/>
      <c r="B31" s="14"/>
      <c r="C31" s="12"/>
      <c r="D31" s="21"/>
      <c r="E31" s="21"/>
      <c r="F31" s="21"/>
      <c r="G31" s="21"/>
      <c r="H31" s="28"/>
      <c r="I31" s="70"/>
    </row>
    <row r="32" spans="1:9">
      <c r="A32" s="24"/>
      <c r="B32" s="14"/>
      <c r="C32" s="12"/>
      <c r="D32" s="21"/>
      <c r="E32" s="21"/>
      <c r="F32" s="21"/>
      <c r="G32" s="21"/>
      <c r="H32" s="28"/>
      <c r="I32" s="70"/>
    </row>
    <row r="33" spans="1:9">
      <c r="A33" s="24"/>
      <c r="B33" s="14"/>
      <c r="C33" s="12"/>
      <c r="D33" s="21"/>
      <c r="E33" s="21"/>
      <c r="F33" s="21"/>
      <c r="G33" s="21"/>
      <c r="H33" s="28"/>
      <c r="I33" s="70"/>
    </row>
    <row r="34" spans="1:9">
      <c r="A34" s="24"/>
      <c r="B34" s="14"/>
      <c r="C34" s="12"/>
      <c r="D34" s="21"/>
      <c r="E34" s="21"/>
      <c r="F34" s="21"/>
      <c r="G34" s="21"/>
      <c r="H34" s="28"/>
      <c r="I34" s="70"/>
    </row>
    <row r="35" spans="1:9">
      <c r="A35" s="24"/>
      <c r="B35" s="14"/>
      <c r="C35" s="12"/>
      <c r="D35" s="21"/>
      <c r="E35" s="21"/>
      <c r="F35" s="21"/>
      <c r="G35" s="21"/>
      <c r="H35" s="28"/>
      <c r="I35" s="70"/>
    </row>
    <row r="36" spans="1:9">
      <c r="A36" s="24"/>
      <c r="B36" s="14"/>
      <c r="C36" s="12"/>
      <c r="D36" s="21"/>
      <c r="E36" s="21"/>
      <c r="F36" s="21"/>
      <c r="G36" s="21"/>
      <c r="H36" s="28"/>
      <c r="I36" s="70"/>
    </row>
    <row r="37" spans="1:9">
      <c r="A37" s="24"/>
      <c r="B37" s="14"/>
      <c r="C37" s="12"/>
      <c r="D37" s="21"/>
      <c r="E37" s="21"/>
      <c r="F37" s="21"/>
      <c r="G37" s="21"/>
      <c r="H37" s="28"/>
      <c r="I37" s="70"/>
    </row>
    <row r="38" spans="1:9">
      <c r="A38" s="24"/>
      <c r="B38" s="14"/>
      <c r="C38" s="12"/>
      <c r="D38" s="21"/>
      <c r="E38" s="21"/>
      <c r="F38" s="21"/>
      <c r="G38" s="21"/>
      <c r="H38" s="28"/>
      <c r="I38" s="70"/>
    </row>
    <row r="39" spans="1:9">
      <c r="A39" s="24"/>
      <c r="B39" s="14"/>
      <c r="C39" s="12"/>
      <c r="D39" s="21"/>
      <c r="E39" s="21"/>
      <c r="F39" s="21"/>
      <c r="G39" s="21"/>
      <c r="H39" s="28"/>
      <c r="I39" s="70"/>
    </row>
    <row r="40" spans="1:9">
      <c r="A40" s="24"/>
      <c r="B40" s="14"/>
      <c r="C40" s="12"/>
      <c r="D40" s="21"/>
      <c r="E40" s="21"/>
      <c r="F40" s="21"/>
      <c r="G40" s="21"/>
      <c r="H40" s="28"/>
      <c r="I40" s="70"/>
    </row>
    <row r="41" spans="1:9">
      <c r="A41" s="24"/>
      <c r="B41" s="14"/>
      <c r="C41" s="12"/>
      <c r="D41" s="21"/>
      <c r="E41" s="21"/>
      <c r="F41" s="21"/>
      <c r="G41" s="21"/>
      <c r="H41" s="28"/>
      <c r="I41" s="70"/>
    </row>
    <row r="42" spans="1:9">
      <c r="A42" s="24"/>
      <c r="B42" s="14"/>
      <c r="C42" s="12"/>
      <c r="D42" s="21"/>
      <c r="E42" s="21"/>
      <c r="F42" s="21"/>
      <c r="G42" s="21"/>
      <c r="H42" s="28"/>
      <c r="I42" s="70"/>
    </row>
    <row r="43" spans="1:9">
      <c r="A43" s="24"/>
      <c r="B43" s="14"/>
      <c r="C43" s="12"/>
      <c r="D43" s="21"/>
      <c r="E43" s="21"/>
      <c r="F43" s="21"/>
      <c r="G43" s="21"/>
      <c r="H43" s="28"/>
      <c r="I43" s="70"/>
    </row>
    <row r="44" spans="1:9">
      <c r="A44" s="24"/>
      <c r="B44" s="14"/>
      <c r="C44" s="12"/>
      <c r="D44" s="21"/>
      <c r="E44" s="21"/>
      <c r="F44" s="21"/>
      <c r="G44" s="21"/>
      <c r="H44" s="28"/>
      <c r="I44" s="70"/>
    </row>
    <row r="45" spans="1:9">
      <c r="A45" s="24"/>
      <c r="B45" s="14"/>
      <c r="C45" s="12"/>
      <c r="D45" s="21"/>
      <c r="E45" s="21"/>
      <c r="F45" s="21"/>
      <c r="G45" s="21"/>
      <c r="H45" s="28"/>
      <c r="I45" s="70"/>
    </row>
    <row r="46" spans="1:9">
      <c r="A46" s="24"/>
      <c r="B46" s="14"/>
      <c r="C46" s="12"/>
      <c r="D46" s="21"/>
      <c r="E46" s="21"/>
      <c r="F46" s="21"/>
      <c r="G46" s="21"/>
      <c r="H46" s="28"/>
      <c r="I46" s="70"/>
    </row>
    <row r="47" spans="1:9" ht="12.75" thickBot="1">
      <c r="A47" s="43"/>
      <c r="B47" s="44"/>
      <c r="C47" s="35"/>
      <c r="D47" s="45"/>
      <c r="E47" s="45"/>
      <c r="F47" s="45"/>
      <c r="G47" s="45"/>
      <c r="H47" s="67"/>
      <c r="I47" s="71"/>
    </row>
  </sheetData>
  <mergeCells count="3">
    <mergeCell ref="D5:F5"/>
    <mergeCell ref="G5:H5"/>
    <mergeCell ref="I5:I6"/>
  </mergeCells>
  <phoneticPr fontId="1"/>
  <dataValidations count="1">
    <dataValidation imeMode="off" allowBlank="1" showInputMessage="1" showErrorMessage="1" sqref="A7:B47"/>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3:AX26"/>
  <sheetViews>
    <sheetView showGridLines="0" tabSelected="1" zoomScaleNormal="100" zoomScaleSheetLayoutView="90" workbookViewId="0">
      <selection activeCell="BC15" sqref="BC15"/>
    </sheetView>
  </sheetViews>
  <sheetFormatPr defaultColWidth="9.33203125" defaultRowHeight="12"/>
  <cols>
    <col min="1" max="50" width="3.33203125" style="1" customWidth="1"/>
    <col min="51" max="51" width="1.5" style="1" customWidth="1"/>
    <col min="52" max="16384" width="9.33203125" style="1"/>
  </cols>
  <sheetData>
    <row r="3" spans="1:50" ht="12.75" customHeight="1"/>
    <row r="5" spans="1:50" ht="12.75" thickBot="1">
      <c r="A5" s="164" t="s">
        <v>128</v>
      </c>
      <c r="B5" s="165"/>
      <c r="C5" s="165"/>
      <c r="D5" s="165"/>
      <c r="E5" s="165"/>
      <c r="F5" s="165"/>
      <c r="G5" s="165"/>
      <c r="H5" s="165"/>
      <c r="I5" s="165"/>
      <c r="J5" s="165"/>
      <c r="K5" s="165"/>
      <c r="L5" s="165"/>
      <c r="M5" s="165"/>
      <c r="N5" s="165"/>
      <c r="O5" s="165"/>
      <c r="P5" s="165"/>
      <c r="Q5" s="165"/>
      <c r="R5" s="165"/>
      <c r="S5" s="165"/>
      <c r="T5" s="165"/>
      <c r="U5" s="165"/>
      <c r="V5" s="165"/>
      <c r="W5" s="165"/>
      <c r="X5" s="166"/>
      <c r="Y5" s="166"/>
      <c r="Z5" s="166"/>
      <c r="AA5" s="166"/>
      <c r="AB5" s="167"/>
      <c r="AC5" s="167"/>
      <c r="AD5" s="167"/>
      <c r="AE5" s="167"/>
      <c r="AF5" s="167"/>
      <c r="AG5" s="167"/>
      <c r="AH5" s="167"/>
      <c r="AI5" s="167"/>
      <c r="AJ5" s="165"/>
      <c r="AK5" s="165"/>
      <c r="AL5" s="165"/>
      <c r="AM5" s="165"/>
      <c r="AN5" s="168"/>
      <c r="AO5" s="168"/>
      <c r="AP5" s="168"/>
      <c r="AQ5" s="168"/>
      <c r="AR5" s="165"/>
      <c r="AS5" s="165"/>
      <c r="AT5" s="165"/>
      <c r="AU5" s="165"/>
      <c r="AV5" s="165"/>
      <c r="AW5" s="165"/>
      <c r="AX5" s="165"/>
    </row>
    <row r="6" spans="1:50" ht="12.75" thickBot="1">
      <c r="A6" s="169" t="s">
        <v>129</v>
      </c>
      <c r="B6" s="170"/>
      <c r="C6" s="171" t="s">
        <v>130</v>
      </c>
      <c r="D6" s="171"/>
      <c r="E6" s="171"/>
      <c r="F6" s="171"/>
      <c r="G6" s="171"/>
      <c r="H6" s="171"/>
      <c r="I6" s="171" t="s">
        <v>131</v>
      </c>
      <c r="J6" s="171"/>
      <c r="K6" s="171"/>
      <c r="L6" s="171"/>
      <c r="M6" s="171"/>
      <c r="N6" s="171"/>
      <c r="O6" s="171"/>
      <c r="P6" s="171"/>
      <c r="Q6" s="171"/>
      <c r="R6" s="171"/>
      <c r="S6" s="171"/>
      <c r="T6" s="171"/>
      <c r="U6" s="171"/>
      <c r="V6" s="171"/>
      <c r="W6" s="172" t="s">
        <v>132</v>
      </c>
      <c r="X6" s="173"/>
      <c r="Y6" s="173"/>
      <c r="Z6" s="173"/>
      <c r="AA6" s="173"/>
      <c r="AB6" s="173"/>
      <c r="AC6" s="173"/>
      <c r="AD6" s="173"/>
      <c r="AE6" s="173"/>
      <c r="AF6" s="173"/>
      <c r="AG6" s="173"/>
      <c r="AH6" s="173"/>
      <c r="AI6" s="173"/>
      <c r="AJ6" s="173"/>
      <c r="AK6" s="173"/>
      <c r="AL6" s="174"/>
      <c r="AM6" s="175" t="s">
        <v>23</v>
      </c>
      <c r="AN6" s="176"/>
      <c r="AO6" s="176"/>
      <c r="AP6" s="176"/>
      <c r="AQ6" s="176"/>
      <c r="AR6" s="176"/>
      <c r="AS6" s="176"/>
      <c r="AT6" s="176"/>
      <c r="AU6" s="176"/>
      <c r="AV6" s="176"/>
      <c r="AW6" s="176"/>
      <c r="AX6" s="177"/>
    </row>
    <row r="7" spans="1:50" ht="12.75" customHeight="1" thickTop="1">
      <c r="A7" s="178">
        <v>1</v>
      </c>
      <c r="B7" s="179"/>
      <c r="C7" s="180">
        <v>42988</v>
      </c>
      <c r="D7" s="179"/>
      <c r="E7" s="179"/>
      <c r="F7" s="179"/>
      <c r="G7" s="179"/>
      <c r="H7" s="179"/>
      <c r="I7" s="181" t="s">
        <v>133</v>
      </c>
      <c r="J7" s="181"/>
      <c r="K7" s="181"/>
      <c r="L7" s="181"/>
      <c r="M7" s="181"/>
      <c r="N7" s="181"/>
      <c r="O7" s="181"/>
      <c r="P7" s="181"/>
      <c r="Q7" s="181"/>
      <c r="R7" s="181"/>
      <c r="S7" s="181"/>
      <c r="T7" s="181"/>
      <c r="U7" s="181"/>
      <c r="V7" s="181"/>
      <c r="W7" s="182" t="s">
        <v>134</v>
      </c>
      <c r="X7" s="183"/>
      <c r="Y7" s="183"/>
      <c r="Z7" s="183"/>
      <c r="AA7" s="183"/>
      <c r="AB7" s="183"/>
      <c r="AC7" s="183"/>
      <c r="AD7" s="183"/>
      <c r="AE7" s="183"/>
      <c r="AF7" s="183"/>
      <c r="AG7" s="183"/>
      <c r="AH7" s="183"/>
      <c r="AI7" s="183"/>
      <c r="AJ7" s="183"/>
      <c r="AK7" s="183"/>
      <c r="AL7" s="184"/>
      <c r="AM7" s="185"/>
      <c r="AN7" s="186"/>
      <c r="AO7" s="186"/>
      <c r="AP7" s="186"/>
      <c r="AQ7" s="186"/>
      <c r="AR7" s="186"/>
      <c r="AS7" s="186"/>
      <c r="AT7" s="186"/>
      <c r="AU7" s="186"/>
      <c r="AV7" s="186"/>
      <c r="AW7" s="186"/>
      <c r="AX7" s="187"/>
    </row>
    <row r="8" spans="1:50" ht="12.75" customHeight="1">
      <c r="A8" s="188"/>
      <c r="B8" s="189"/>
      <c r="C8" s="189"/>
      <c r="D8" s="189"/>
      <c r="E8" s="189"/>
      <c r="F8" s="189"/>
      <c r="G8" s="189"/>
      <c r="H8" s="189"/>
      <c r="I8" s="190"/>
      <c r="J8" s="190"/>
      <c r="K8" s="190"/>
      <c r="L8" s="190"/>
      <c r="M8" s="190"/>
      <c r="N8" s="190"/>
      <c r="O8" s="190"/>
      <c r="P8" s="190"/>
      <c r="Q8" s="190"/>
      <c r="R8" s="190"/>
      <c r="S8" s="190"/>
      <c r="T8" s="190"/>
      <c r="U8" s="190"/>
      <c r="V8" s="190"/>
      <c r="W8" s="191" t="s">
        <v>135</v>
      </c>
      <c r="X8" s="192"/>
      <c r="Y8" s="192"/>
      <c r="Z8" s="192"/>
      <c r="AA8" s="192"/>
      <c r="AB8" s="192"/>
      <c r="AC8" s="192"/>
      <c r="AD8" s="192"/>
      <c r="AE8" s="192"/>
      <c r="AF8" s="192"/>
      <c r="AG8" s="192"/>
      <c r="AH8" s="192"/>
      <c r="AI8" s="192"/>
      <c r="AJ8" s="192"/>
      <c r="AK8" s="192"/>
      <c r="AL8" s="193"/>
      <c r="AM8" s="194"/>
      <c r="AN8" s="195"/>
      <c r="AO8" s="195"/>
      <c r="AP8" s="195"/>
      <c r="AQ8" s="195"/>
      <c r="AR8" s="195"/>
      <c r="AS8" s="195"/>
      <c r="AT8" s="195"/>
      <c r="AU8" s="195"/>
      <c r="AV8" s="195"/>
      <c r="AW8" s="195"/>
      <c r="AX8" s="196"/>
    </row>
    <row r="9" spans="1:50">
      <c r="A9" s="188"/>
      <c r="B9" s="189"/>
      <c r="C9" s="189"/>
      <c r="D9" s="189"/>
      <c r="E9" s="189"/>
      <c r="F9" s="189"/>
      <c r="G9" s="189"/>
      <c r="H9" s="189"/>
      <c r="I9" s="190"/>
      <c r="J9" s="190"/>
      <c r="K9" s="190"/>
      <c r="L9" s="190"/>
      <c r="M9" s="190"/>
      <c r="N9" s="190"/>
      <c r="O9" s="190"/>
      <c r="P9" s="190"/>
      <c r="Q9" s="190"/>
      <c r="R9" s="190"/>
      <c r="S9" s="190"/>
      <c r="T9" s="190"/>
      <c r="U9" s="190"/>
      <c r="V9" s="190"/>
      <c r="W9" s="191" t="s">
        <v>136</v>
      </c>
      <c r="X9" s="192"/>
      <c r="Y9" s="192"/>
      <c r="Z9" s="192"/>
      <c r="AA9" s="192"/>
      <c r="AB9" s="192"/>
      <c r="AC9" s="192"/>
      <c r="AD9" s="192"/>
      <c r="AE9" s="192"/>
      <c r="AF9" s="192"/>
      <c r="AG9" s="192"/>
      <c r="AH9" s="192"/>
      <c r="AI9" s="192"/>
      <c r="AJ9" s="192"/>
      <c r="AK9" s="192"/>
      <c r="AL9" s="193"/>
      <c r="AM9" s="194"/>
      <c r="AN9" s="195"/>
      <c r="AO9" s="195"/>
      <c r="AP9" s="195"/>
      <c r="AQ9" s="195"/>
      <c r="AR9" s="195"/>
      <c r="AS9" s="195"/>
      <c r="AT9" s="195"/>
      <c r="AU9" s="195"/>
      <c r="AV9" s="195"/>
      <c r="AW9" s="195"/>
      <c r="AX9" s="196"/>
    </row>
    <row r="10" spans="1:50">
      <c r="A10" s="188"/>
      <c r="B10" s="189"/>
      <c r="C10" s="197"/>
      <c r="D10" s="189"/>
      <c r="E10" s="189"/>
      <c r="F10" s="189"/>
      <c r="G10" s="189"/>
      <c r="H10" s="189"/>
      <c r="I10" s="190"/>
      <c r="J10" s="190"/>
      <c r="K10" s="190"/>
      <c r="L10" s="190"/>
      <c r="M10" s="190"/>
      <c r="N10" s="190"/>
      <c r="O10" s="190"/>
      <c r="P10" s="190"/>
      <c r="Q10" s="190"/>
      <c r="R10" s="190"/>
      <c r="S10" s="190"/>
      <c r="T10" s="190"/>
      <c r="U10" s="190"/>
      <c r="V10" s="190"/>
      <c r="W10" s="198"/>
      <c r="X10" s="199"/>
      <c r="Y10" s="199"/>
      <c r="Z10" s="199"/>
      <c r="AA10" s="199"/>
      <c r="AB10" s="199"/>
      <c r="AC10" s="199"/>
      <c r="AD10" s="199"/>
      <c r="AE10" s="199"/>
      <c r="AF10" s="199"/>
      <c r="AG10" s="199"/>
      <c r="AH10" s="199"/>
      <c r="AI10" s="199"/>
      <c r="AJ10" s="199"/>
      <c r="AK10" s="199"/>
      <c r="AL10" s="200"/>
      <c r="AM10" s="194"/>
      <c r="AN10" s="195"/>
      <c r="AO10" s="195"/>
      <c r="AP10" s="195"/>
      <c r="AQ10" s="195"/>
      <c r="AR10" s="195"/>
      <c r="AS10" s="195"/>
      <c r="AT10" s="195"/>
      <c r="AU10" s="195"/>
      <c r="AV10" s="195"/>
      <c r="AW10" s="195"/>
      <c r="AX10" s="196"/>
    </row>
    <row r="11" spans="1:50">
      <c r="A11" s="188"/>
      <c r="B11" s="189"/>
      <c r="C11" s="189"/>
      <c r="D11" s="189"/>
      <c r="E11" s="189"/>
      <c r="F11" s="189"/>
      <c r="G11" s="189"/>
      <c r="H11" s="189"/>
      <c r="I11" s="190"/>
      <c r="J11" s="190"/>
      <c r="K11" s="190"/>
      <c r="L11" s="190"/>
      <c r="M11" s="190"/>
      <c r="N11" s="190"/>
      <c r="O11" s="190"/>
      <c r="P11" s="190"/>
      <c r="Q11" s="190"/>
      <c r="R11" s="190"/>
      <c r="S11" s="190"/>
      <c r="T11" s="190"/>
      <c r="U11" s="190"/>
      <c r="V11" s="190"/>
      <c r="W11" s="191"/>
      <c r="X11" s="192"/>
      <c r="Y11" s="192"/>
      <c r="Z11" s="192"/>
      <c r="AA11" s="192"/>
      <c r="AB11" s="192"/>
      <c r="AC11" s="192"/>
      <c r="AD11" s="192"/>
      <c r="AE11" s="192"/>
      <c r="AF11" s="192"/>
      <c r="AG11" s="192"/>
      <c r="AH11" s="192"/>
      <c r="AI11" s="192"/>
      <c r="AJ11" s="192"/>
      <c r="AK11" s="192"/>
      <c r="AL11" s="193"/>
      <c r="AM11" s="194"/>
      <c r="AN11" s="195"/>
      <c r="AO11" s="195"/>
      <c r="AP11" s="195"/>
      <c r="AQ11" s="195"/>
      <c r="AR11" s="195"/>
      <c r="AS11" s="195"/>
      <c r="AT11" s="195"/>
      <c r="AU11" s="195"/>
      <c r="AV11" s="195"/>
      <c r="AW11" s="195"/>
      <c r="AX11" s="196"/>
    </row>
    <row r="12" spans="1:50" ht="12.75" thickBot="1">
      <c r="A12" s="201"/>
      <c r="B12" s="202"/>
      <c r="C12" s="202"/>
      <c r="D12" s="202"/>
      <c r="E12" s="202"/>
      <c r="F12" s="202"/>
      <c r="G12" s="202"/>
      <c r="H12" s="202"/>
      <c r="I12" s="203"/>
      <c r="J12" s="203"/>
      <c r="K12" s="203"/>
      <c r="L12" s="203"/>
      <c r="M12" s="203"/>
      <c r="N12" s="203"/>
      <c r="O12" s="203"/>
      <c r="P12" s="203"/>
      <c r="Q12" s="203"/>
      <c r="R12" s="203"/>
      <c r="S12" s="203"/>
      <c r="T12" s="203"/>
      <c r="U12" s="203"/>
      <c r="V12" s="203"/>
      <c r="W12" s="204"/>
      <c r="X12" s="205"/>
      <c r="Y12" s="205"/>
      <c r="Z12" s="205"/>
      <c r="AA12" s="205"/>
      <c r="AB12" s="205"/>
      <c r="AC12" s="205"/>
      <c r="AD12" s="205"/>
      <c r="AE12" s="205"/>
      <c r="AF12" s="205"/>
      <c r="AG12" s="205"/>
      <c r="AH12" s="205"/>
      <c r="AI12" s="205"/>
      <c r="AJ12" s="205"/>
      <c r="AK12" s="205"/>
      <c r="AL12" s="206"/>
      <c r="AM12" s="207"/>
      <c r="AN12" s="208"/>
      <c r="AO12" s="208"/>
      <c r="AP12" s="208"/>
      <c r="AQ12" s="208"/>
      <c r="AR12" s="208"/>
      <c r="AS12" s="208"/>
      <c r="AT12" s="208"/>
      <c r="AU12" s="208"/>
      <c r="AV12" s="208"/>
      <c r="AW12" s="208"/>
      <c r="AX12" s="209"/>
    </row>
    <row r="13" spans="1:50">
      <c r="A13" s="210"/>
      <c r="B13" s="210"/>
      <c r="C13" s="210"/>
      <c r="D13" s="211"/>
      <c r="E13" s="211"/>
      <c r="F13" s="211"/>
      <c r="G13" s="211"/>
      <c r="H13" s="211"/>
      <c r="I13" s="211"/>
      <c r="J13" s="211"/>
      <c r="K13" s="211"/>
      <c r="L13" s="211"/>
      <c r="M13" s="211"/>
      <c r="N13" s="211"/>
      <c r="O13" s="211"/>
      <c r="P13" s="211"/>
      <c r="Q13" s="211"/>
      <c r="R13" s="211"/>
      <c r="S13" s="211"/>
      <c r="T13" s="211"/>
      <c r="U13" s="211"/>
      <c r="V13" s="211"/>
      <c r="W13" s="211"/>
      <c r="X13" s="212"/>
      <c r="Y13" s="212"/>
      <c r="Z13" s="212"/>
      <c r="AA13" s="212"/>
      <c r="AB13" s="212"/>
      <c r="AC13" s="212"/>
      <c r="AD13" s="212"/>
      <c r="AE13" s="212"/>
      <c r="AF13" s="212"/>
      <c r="AG13" s="212"/>
      <c r="AH13" s="212"/>
      <c r="AI13" s="212"/>
      <c r="AJ13" s="212"/>
      <c r="AK13" s="212"/>
      <c r="AL13" s="212"/>
      <c r="AM13" s="212"/>
      <c r="AN13" s="212"/>
      <c r="AO13" s="212"/>
      <c r="AP13" s="212"/>
      <c r="AQ13" s="212"/>
      <c r="AR13" s="211"/>
      <c r="AS13" s="211"/>
      <c r="AT13" s="211"/>
      <c r="AU13" s="211"/>
      <c r="AV13" s="211"/>
      <c r="AW13" s="211"/>
      <c r="AX13" s="211"/>
    </row>
    <row r="14" spans="1:50" ht="12.75" thickBot="1">
      <c r="A14" s="164" t="s">
        <v>137</v>
      </c>
      <c r="B14" s="210"/>
      <c r="C14" s="210"/>
      <c r="D14" s="211"/>
      <c r="E14" s="211"/>
      <c r="F14" s="211"/>
      <c r="G14" s="211"/>
      <c r="H14" s="211"/>
      <c r="I14" s="211"/>
      <c r="J14" s="211"/>
      <c r="K14" s="211"/>
      <c r="L14" s="211"/>
      <c r="M14" s="211"/>
      <c r="N14" s="211"/>
      <c r="O14" s="211"/>
      <c r="P14" s="211"/>
      <c r="Q14" s="211"/>
      <c r="R14" s="211"/>
      <c r="S14" s="211"/>
      <c r="T14" s="211"/>
      <c r="U14" s="211"/>
      <c r="V14" s="211"/>
      <c r="W14" s="211"/>
      <c r="X14" s="212"/>
      <c r="Y14" s="212"/>
      <c r="Z14" s="212"/>
      <c r="AA14" s="212"/>
      <c r="AB14" s="212"/>
      <c r="AC14" s="212"/>
      <c r="AD14" s="212"/>
      <c r="AE14" s="212"/>
      <c r="AF14" s="212"/>
      <c r="AG14" s="212"/>
      <c r="AH14" s="212"/>
      <c r="AI14" s="212"/>
      <c r="AJ14" s="212"/>
      <c r="AK14" s="212"/>
      <c r="AL14" s="212"/>
      <c r="AM14" s="212"/>
      <c r="AN14" s="212"/>
      <c r="AO14" s="212"/>
      <c r="AP14" s="212"/>
      <c r="AQ14" s="212"/>
      <c r="AR14" s="211"/>
      <c r="AS14" s="211"/>
      <c r="AT14" s="211"/>
      <c r="AU14" s="211"/>
      <c r="AV14" s="211"/>
      <c r="AW14" s="211"/>
      <c r="AX14" s="211"/>
    </row>
    <row r="15" spans="1:50">
      <c r="A15" s="213" t="s">
        <v>138</v>
      </c>
      <c r="B15" s="214"/>
      <c r="C15" s="214" t="s">
        <v>139</v>
      </c>
      <c r="D15" s="214"/>
      <c r="E15" s="214"/>
      <c r="F15" s="214"/>
      <c r="G15" s="214"/>
      <c r="H15" s="214"/>
      <c r="I15" s="214"/>
      <c r="J15" s="214"/>
      <c r="K15" s="214"/>
      <c r="L15" s="214"/>
      <c r="M15" s="214"/>
      <c r="N15" s="214"/>
      <c r="O15" s="214"/>
      <c r="P15" s="214"/>
      <c r="Q15" s="214"/>
      <c r="R15" s="214"/>
      <c r="S15" s="214"/>
      <c r="T15" s="214"/>
      <c r="U15" s="214"/>
      <c r="V15" s="214"/>
      <c r="W15" s="214"/>
      <c r="X15" s="214" t="s">
        <v>140</v>
      </c>
      <c r="Y15" s="214"/>
      <c r="Z15" s="214"/>
      <c r="AA15" s="214"/>
      <c r="AB15" s="214"/>
      <c r="AC15" s="214"/>
      <c r="AD15" s="214"/>
      <c r="AE15" s="214"/>
      <c r="AF15" s="214"/>
      <c r="AG15" s="214"/>
      <c r="AH15" s="214"/>
      <c r="AI15" s="214"/>
      <c r="AJ15" s="214"/>
      <c r="AK15" s="214"/>
      <c r="AL15" s="214"/>
      <c r="AM15" s="214"/>
      <c r="AN15" s="214"/>
      <c r="AO15" s="214"/>
      <c r="AP15" s="214"/>
      <c r="AQ15" s="214"/>
      <c r="AR15" s="214"/>
      <c r="AS15" s="215" t="s">
        <v>141</v>
      </c>
      <c r="AT15" s="215"/>
      <c r="AU15" s="215"/>
      <c r="AV15" s="215"/>
      <c r="AW15" s="215"/>
      <c r="AX15" s="216"/>
    </row>
    <row r="16" spans="1:50" ht="12.75" thickBot="1">
      <c r="A16" s="217"/>
      <c r="B16" s="218"/>
      <c r="C16" s="218" t="s">
        <v>142</v>
      </c>
      <c r="D16" s="218"/>
      <c r="E16" s="218"/>
      <c r="F16" s="218"/>
      <c r="G16" s="218" t="s">
        <v>143</v>
      </c>
      <c r="H16" s="218"/>
      <c r="I16" s="218"/>
      <c r="J16" s="218"/>
      <c r="K16" s="218"/>
      <c r="L16" s="218"/>
      <c r="M16" s="218"/>
      <c r="N16" s="218"/>
      <c r="O16" s="218"/>
      <c r="P16" s="218"/>
      <c r="Q16" s="218"/>
      <c r="R16" s="218"/>
      <c r="S16" s="218"/>
      <c r="T16" s="218"/>
      <c r="U16" s="218"/>
      <c r="V16" s="218"/>
      <c r="W16" s="218"/>
      <c r="X16" s="218" t="s">
        <v>142</v>
      </c>
      <c r="Y16" s="218"/>
      <c r="Z16" s="218"/>
      <c r="AA16" s="218"/>
      <c r="AB16" s="218" t="s">
        <v>143</v>
      </c>
      <c r="AC16" s="218"/>
      <c r="AD16" s="218"/>
      <c r="AE16" s="218"/>
      <c r="AF16" s="218"/>
      <c r="AG16" s="218"/>
      <c r="AH16" s="218"/>
      <c r="AI16" s="218"/>
      <c r="AJ16" s="218"/>
      <c r="AK16" s="218"/>
      <c r="AL16" s="218"/>
      <c r="AM16" s="218"/>
      <c r="AN16" s="218"/>
      <c r="AO16" s="218"/>
      <c r="AP16" s="218"/>
      <c r="AQ16" s="218"/>
      <c r="AR16" s="218"/>
      <c r="AS16" s="219"/>
      <c r="AT16" s="219"/>
      <c r="AU16" s="219"/>
      <c r="AV16" s="219"/>
      <c r="AW16" s="219"/>
      <c r="AX16" s="220"/>
    </row>
    <row r="17" spans="1:50" ht="12.75" thickTop="1">
      <c r="A17" s="221">
        <v>1</v>
      </c>
      <c r="B17" s="222"/>
      <c r="C17" s="223" t="s">
        <v>144</v>
      </c>
      <c r="D17" s="224"/>
      <c r="E17" s="224"/>
      <c r="F17" s="225"/>
      <c r="G17" s="226"/>
      <c r="H17" s="227"/>
      <c r="I17" s="227"/>
      <c r="J17" s="227"/>
      <c r="K17" s="227"/>
      <c r="L17" s="227"/>
      <c r="M17" s="227"/>
      <c r="N17" s="227"/>
      <c r="O17" s="227"/>
      <c r="P17" s="227"/>
      <c r="Q17" s="227"/>
      <c r="R17" s="227"/>
      <c r="S17" s="227"/>
      <c r="T17" s="227"/>
      <c r="U17" s="227"/>
      <c r="V17" s="227"/>
      <c r="W17" s="228"/>
      <c r="X17" s="229" t="s">
        <v>145</v>
      </c>
      <c r="Y17" s="230"/>
      <c r="Z17" s="230"/>
      <c r="AA17" s="222"/>
      <c r="AB17" s="226"/>
      <c r="AC17" s="227"/>
      <c r="AD17" s="227"/>
      <c r="AE17" s="227"/>
      <c r="AF17" s="227"/>
      <c r="AG17" s="227"/>
      <c r="AH17" s="227"/>
      <c r="AI17" s="227"/>
      <c r="AJ17" s="227"/>
      <c r="AK17" s="227"/>
      <c r="AL17" s="227"/>
      <c r="AM17" s="227"/>
      <c r="AN17" s="227"/>
      <c r="AO17" s="227"/>
      <c r="AP17" s="227"/>
      <c r="AQ17" s="227"/>
      <c r="AR17" s="228"/>
      <c r="AS17" s="231">
        <v>42998</v>
      </c>
      <c r="AT17" s="232"/>
      <c r="AU17" s="232"/>
      <c r="AV17" s="232"/>
      <c r="AW17" s="232"/>
      <c r="AX17" s="233"/>
    </row>
    <row r="18" spans="1:50">
      <c r="A18" s="221"/>
      <c r="B18" s="222"/>
      <c r="C18" s="223"/>
      <c r="D18" s="224"/>
      <c r="E18" s="224"/>
      <c r="F18" s="225"/>
      <c r="G18" s="226"/>
      <c r="H18" s="227"/>
      <c r="I18" s="227"/>
      <c r="J18" s="227"/>
      <c r="K18" s="227"/>
      <c r="L18" s="227"/>
      <c r="M18" s="227"/>
      <c r="N18" s="227"/>
      <c r="O18" s="227"/>
      <c r="P18" s="227"/>
      <c r="Q18" s="227"/>
      <c r="R18" s="227"/>
      <c r="S18" s="227"/>
      <c r="T18" s="227"/>
      <c r="U18" s="227"/>
      <c r="V18" s="227"/>
      <c r="W18" s="228"/>
      <c r="X18" s="229"/>
      <c r="Y18" s="230"/>
      <c r="Z18" s="230"/>
      <c r="AA18" s="222"/>
      <c r="AB18" s="226"/>
      <c r="AC18" s="227"/>
      <c r="AD18" s="227"/>
      <c r="AE18" s="227"/>
      <c r="AF18" s="227"/>
      <c r="AG18" s="227"/>
      <c r="AH18" s="227"/>
      <c r="AI18" s="227"/>
      <c r="AJ18" s="227"/>
      <c r="AK18" s="227"/>
      <c r="AL18" s="227"/>
      <c r="AM18" s="227"/>
      <c r="AN18" s="227"/>
      <c r="AO18" s="227"/>
      <c r="AP18" s="227"/>
      <c r="AQ18" s="227"/>
      <c r="AR18" s="228"/>
      <c r="AS18" s="231"/>
      <c r="AT18" s="232"/>
      <c r="AU18" s="232"/>
      <c r="AV18" s="232"/>
      <c r="AW18" s="232"/>
      <c r="AX18" s="233"/>
    </row>
    <row r="19" spans="1:50">
      <c r="A19" s="221"/>
      <c r="B19" s="222"/>
      <c r="C19" s="223"/>
      <c r="D19" s="224"/>
      <c r="E19" s="224"/>
      <c r="F19" s="225"/>
      <c r="G19" s="226"/>
      <c r="H19" s="227"/>
      <c r="I19" s="227"/>
      <c r="J19" s="227"/>
      <c r="K19" s="227"/>
      <c r="L19" s="227"/>
      <c r="M19" s="227"/>
      <c r="N19" s="227"/>
      <c r="O19" s="227"/>
      <c r="P19" s="227"/>
      <c r="Q19" s="227"/>
      <c r="R19" s="227"/>
      <c r="S19" s="227"/>
      <c r="T19" s="227"/>
      <c r="U19" s="227"/>
      <c r="V19" s="227"/>
      <c r="W19" s="228"/>
      <c r="X19" s="229"/>
      <c r="Y19" s="230"/>
      <c r="Z19" s="230"/>
      <c r="AA19" s="222"/>
      <c r="AB19" s="226"/>
      <c r="AC19" s="227"/>
      <c r="AD19" s="227"/>
      <c r="AE19" s="227"/>
      <c r="AF19" s="227"/>
      <c r="AG19" s="227"/>
      <c r="AH19" s="227"/>
      <c r="AI19" s="227"/>
      <c r="AJ19" s="227"/>
      <c r="AK19" s="227"/>
      <c r="AL19" s="227"/>
      <c r="AM19" s="227"/>
      <c r="AN19" s="227"/>
      <c r="AO19" s="227"/>
      <c r="AP19" s="227"/>
      <c r="AQ19" s="227"/>
      <c r="AR19" s="228"/>
      <c r="AS19" s="231"/>
      <c r="AT19" s="232"/>
      <c r="AU19" s="232"/>
      <c r="AV19" s="232"/>
      <c r="AW19" s="232"/>
      <c r="AX19" s="233"/>
    </row>
    <row r="20" spans="1:50">
      <c r="A20" s="221"/>
      <c r="B20" s="222"/>
      <c r="C20" s="223"/>
      <c r="D20" s="224"/>
      <c r="E20" s="224"/>
      <c r="F20" s="225"/>
      <c r="G20" s="226"/>
      <c r="H20" s="227"/>
      <c r="I20" s="227"/>
      <c r="J20" s="227"/>
      <c r="K20" s="227"/>
      <c r="L20" s="227"/>
      <c r="M20" s="227"/>
      <c r="N20" s="227"/>
      <c r="O20" s="227"/>
      <c r="P20" s="227"/>
      <c r="Q20" s="227"/>
      <c r="R20" s="227"/>
      <c r="S20" s="227"/>
      <c r="T20" s="227"/>
      <c r="U20" s="227"/>
      <c r="V20" s="227"/>
      <c r="W20" s="228"/>
      <c r="X20" s="229"/>
      <c r="Y20" s="230"/>
      <c r="Z20" s="230"/>
      <c r="AA20" s="222"/>
      <c r="AB20" s="226"/>
      <c r="AC20" s="227"/>
      <c r="AD20" s="227"/>
      <c r="AE20" s="227"/>
      <c r="AF20" s="227"/>
      <c r="AG20" s="227"/>
      <c r="AH20" s="227"/>
      <c r="AI20" s="227"/>
      <c r="AJ20" s="227"/>
      <c r="AK20" s="227"/>
      <c r="AL20" s="227"/>
      <c r="AM20" s="227"/>
      <c r="AN20" s="227"/>
      <c r="AO20" s="227"/>
      <c r="AP20" s="227"/>
      <c r="AQ20" s="227"/>
      <c r="AR20" s="228"/>
      <c r="AS20" s="231"/>
      <c r="AT20" s="232"/>
      <c r="AU20" s="232"/>
      <c r="AV20" s="232"/>
      <c r="AW20" s="232"/>
      <c r="AX20" s="233"/>
    </row>
    <row r="21" spans="1:50">
      <c r="A21" s="221"/>
      <c r="B21" s="222"/>
      <c r="C21" s="223"/>
      <c r="D21" s="224"/>
      <c r="E21" s="224"/>
      <c r="F21" s="225"/>
      <c r="G21" s="226"/>
      <c r="H21" s="227"/>
      <c r="I21" s="227"/>
      <c r="J21" s="227"/>
      <c r="K21" s="227"/>
      <c r="L21" s="227"/>
      <c r="M21" s="227"/>
      <c r="N21" s="227"/>
      <c r="O21" s="227"/>
      <c r="P21" s="227"/>
      <c r="Q21" s="227"/>
      <c r="R21" s="227"/>
      <c r="S21" s="227"/>
      <c r="T21" s="227"/>
      <c r="U21" s="227"/>
      <c r="V21" s="227"/>
      <c r="W21" s="228"/>
      <c r="X21" s="229"/>
      <c r="Y21" s="230"/>
      <c r="Z21" s="230"/>
      <c r="AA21" s="222"/>
      <c r="AB21" s="226"/>
      <c r="AC21" s="227"/>
      <c r="AD21" s="227"/>
      <c r="AE21" s="227"/>
      <c r="AF21" s="227"/>
      <c r="AG21" s="227"/>
      <c r="AH21" s="227"/>
      <c r="AI21" s="227"/>
      <c r="AJ21" s="227"/>
      <c r="AK21" s="227"/>
      <c r="AL21" s="227"/>
      <c r="AM21" s="227"/>
      <c r="AN21" s="227"/>
      <c r="AO21" s="227"/>
      <c r="AP21" s="227"/>
      <c r="AQ21" s="227"/>
      <c r="AR21" s="228"/>
      <c r="AS21" s="231"/>
      <c r="AT21" s="232"/>
      <c r="AU21" s="232"/>
      <c r="AV21" s="232"/>
      <c r="AW21" s="232"/>
      <c r="AX21" s="233"/>
    </row>
    <row r="22" spans="1:50">
      <c r="A22" s="221"/>
      <c r="B22" s="222"/>
      <c r="C22" s="223"/>
      <c r="D22" s="224"/>
      <c r="E22" s="224"/>
      <c r="F22" s="225"/>
      <c r="G22" s="226"/>
      <c r="H22" s="227"/>
      <c r="I22" s="227"/>
      <c r="J22" s="227"/>
      <c r="K22" s="227"/>
      <c r="L22" s="227"/>
      <c r="M22" s="227"/>
      <c r="N22" s="227"/>
      <c r="O22" s="227"/>
      <c r="P22" s="227"/>
      <c r="Q22" s="227"/>
      <c r="R22" s="227"/>
      <c r="S22" s="227"/>
      <c r="T22" s="227"/>
      <c r="U22" s="227"/>
      <c r="V22" s="227"/>
      <c r="W22" s="228"/>
      <c r="X22" s="229"/>
      <c r="Y22" s="230"/>
      <c r="Z22" s="230"/>
      <c r="AA22" s="222"/>
      <c r="AB22" s="226"/>
      <c r="AC22" s="227"/>
      <c r="AD22" s="227"/>
      <c r="AE22" s="227"/>
      <c r="AF22" s="227"/>
      <c r="AG22" s="227"/>
      <c r="AH22" s="227"/>
      <c r="AI22" s="227"/>
      <c r="AJ22" s="227"/>
      <c r="AK22" s="227"/>
      <c r="AL22" s="227"/>
      <c r="AM22" s="227"/>
      <c r="AN22" s="227"/>
      <c r="AO22" s="227"/>
      <c r="AP22" s="227"/>
      <c r="AQ22" s="227"/>
      <c r="AR22" s="228"/>
      <c r="AS22" s="231"/>
      <c r="AT22" s="232"/>
      <c r="AU22" s="232"/>
      <c r="AV22" s="232"/>
      <c r="AW22" s="232"/>
      <c r="AX22" s="233"/>
    </row>
    <row r="23" spans="1:50">
      <c r="A23" s="221"/>
      <c r="B23" s="222"/>
      <c r="C23" s="223"/>
      <c r="D23" s="224"/>
      <c r="E23" s="224"/>
      <c r="F23" s="225"/>
      <c r="G23" s="226"/>
      <c r="H23" s="227"/>
      <c r="I23" s="227"/>
      <c r="J23" s="227"/>
      <c r="K23" s="227"/>
      <c r="L23" s="227"/>
      <c r="M23" s="227"/>
      <c r="N23" s="227"/>
      <c r="O23" s="227"/>
      <c r="P23" s="227"/>
      <c r="Q23" s="227"/>
      <c r="R23" s="227"/>
      <c r="S23" s="227"/>
      <c r="T23" s="227"/>
      <c r="U23" s="227"/>
      <c r="V23" s="227"/>
      <c r="W23" s="228"/>
      <c r="X23" s="229"/>
      <c r="Y23" s="230"/>
      <c r="Z23" s="230"/>
      <c r="AA23" s="222"/>
      <c r="AB23" s="226"/>
      <c r="AC23" s="227"/>
      <c r="AD23" s="227"/>
      <c r="AE23" s="227"/>
      <c r="AF23" s="227"/>
      <c r="AG23" s="227"/>
      <c r="AH23" s="227"/>
      <c r="AI23" s="227"/>
      <c r="AJ23" s="227"/>
      <c r="AK23" s="227"/>
      <c r="AL23" s="227"/>
      <c r="AM23" s="227"/>
      <c r="AN23" s="227"/>
      <c r="AO23" s="227"/>
      <c r="AP23" s="227"/>
      <c r="AQ23" s="227"/>
      <c r="AR23" s="228"/>
      <c r="AS23" s="231"/>
      <c r="AT23" s="232"/>
      <c r="AU23" s="232"/>
      <c r="AV23" s="232"/>
      <c r="AW23" s="232"/>
      <c r="AX23" s="233"/>
    </row>
    <row r="24" spans="1:50">
      <c r="A24" s="221"/>
      <c r="B24" s="222"/>
      <c r="C24" s="223"/>
      <c r="D24" s="224"/>
      <c r="E24" s="224"/>
      <c r="F24" s="225"/>
      <c r="G24" s="226"/>
      <c r="H24" s="227"/>
      <c r="I24" s="227"/>
      <c r="J24" s="227"/>
      <c r="K24" s="227"/>
      <c r="L24" s="227"/>
      <c r="M24" s="227"/>
      <c r="N24" s="227"/>
      <c r="O24" s="227"/>
      <c r="P24" s="227"/>
      <c r="Q24" s="227"/>
      <c r="R24" s="227"/>
      <c r="S24" s="227"/>
      <c r="T24" s="227"/>
      <c r="U24" s="227"/>
      <c r="V24" s="227"/>
      <c r="W24" s="228"/>
      <c r="X24" s="229"/>
      <c r="Y24" s="230"/>
      <c r="Z24" s="230"/>
      <c r="AA24" s="222"/>
      <c r="AB24" s="226"/>
      <c r="AC24" s="227"/>
      <c r="AD24" s="227"/>
      <c r="AE24" s="227"/>
      <c r="AF24" s="227"/>
      <c r="AG24" s="227"/>
      <c r="AH24" s="227"/>
      <c r="AI24" s="227"/>
      <c r="AJ24" s="227"/>
      <c r="AK24" s="227"/>
      <c r="AL24" s="227"/>
      <c r="AM24" s="227"/>
      <c r="AN24" s="227"/>
      <c r="AO24" s="227"/>
      <c r="AP24" s="227"/>
      <c r="AQ24" s="227"/>
      <c r="AR24" s="228"/>
      <c r="AS24" s="231"/>
      <c r="AT24" s="232"/>
      <c r="AU24" s="232"/>
      <c r="AV24" s="232"/>
      <c r="AW24" s="232"/>
      <c r="AX24" s="233"/>
    </row>
    <row r="25" spans="1:50">
      <c r="A25" s="221"/>
      <c r="B25" s="222"/>
      <c r="C25" s="223"/>
      <c r="D25" s="224"/>
      <c r="E25" s="224"/>
      <c r="F25" s="225"/>
      <c r="G25" s="226"/>
      <c r="H25" s="227"/>
      <c r="I25" s="227"/>
      <c r="J25" s="227"/>
      <c r="K25" s="227"/>
      <c r="L25" s="227"/>
      <c r="M25" s="227"/>
      <c r="N25" s="227"/>
      <c r="O25" s="227"/>
      <c r="P25" s="227"/>
      <c r="Q25" s="227"/>
      <c r="R25" s="227"/>
      <c r="S25" s="227"/>
      <c r="T25" s="227"/>
      <c r="U25" s="227"/>
      <c r="V25" s="227"/>
      <c r="W25" s="228"/>
      <c r="X25" s="229"/>
      <c r="Y25" s="230"/>
      <c r="Z25" s="230"/>
      <c r="AA25" s="222"/>
      <c r="AB25" s="226"/>
      <c r="AC25" s="227"/>
      <c r="AD25" s="227"/>
      <c r="AE25" s="227"/>
      <c r="AF25" s="227"/>
      <c r="AG25" s="227"/>
      <c r="AH25" s="227"/>
      <c r="AI25" s="227"/>
      <c r="AJ25" s="227"/>
      <c r="AK25" s="227"/>
      <c r="AL25" s="227"/>
      <c r="AM25" s="227"/>
      <c r="AN25" s="227"/>
      <c r="AO25" s="227"/>
      <c r="AP25" s="227"/>
      <c r="AQ25" s="227"/>
      <c r="AR25" s="228"/>
      <c r="AS25" s="231"/>
      <c r="AT25" s="232"/>
      <c r="AU25" s="232"/>
      <c r="AV25" s="232"/>
      <c r="AW25" s="232"/>
      <c r="AX25" s="233"/>
    </row>
    <row r="26" spans="1:50" ht="12.75" thickBot="1">
      <c r="A26" s="234"/>
      <c r="B26" s="235"/>
      <c r="C26" s="236"/>
      <c r="D26" s="237"/>
      <c r="E26" s="237"/>
      <c r="F26" s="238"/>
      <c r="G26" s="239"/>
      <c r="H26" s="240"/>
      <c r="I26" s="240"/>
      <c r="J26" s="240"/>
      <c r="K26" s="240"/>
      <c r="L26" s="240"/>
      <c r="M26" s="240"/>
      <c r="N26" s="240"/>
      <c r="O26" s="240"/>
      <c r="P26" s="240"/>
      <c r="Q26" s="240"/>
      <c r="R26" s="240"/>
      <c r="S26" s="240"/>
      <c r="T26" s="240"/>
      <c r="U26" s="240"/>
      <c r="V26" s="240"/>
      <c r="W26" s="241"/>
      <c r="X26" s="242"/>
      <c r="Y26" s="243"/>
      <c r="Z26" s="243"/>
      <c r="AA26" s="235"/>
      <c r="AB26" s="239"/>
      <c r="AC26" s="240"/>
      <c r="AD26" s="240"/>
      <c r="AE26" s="240"/>
      <c r="AF26" s="240"/>
      <c r="AG26" s="240"/>
      <c r="AH26" s="240"/>
      <c r="AI26" s="240"/>
      <c r="AJ26" s="240"/>
      <c r="AK26" s="240"/>
      <c r="AL26" s="240"/>
      <c r="AM26" s="240"/>
      <c r="AN26" s="240"/>
      <c r="AO26" s="240"/>
      <c r="AP26" s="240"/>
      <c r="AQ26" s="240"/>
      <c r="AR26" s="241"/>
      <c r="AS26" s="244"/>
      <c r="AT26" s="245"/>
      <c r="AU26" s="245"/>
      <c r="AV26" s="245"/>
      <c r="AW26" s="245"/>
      <c r="AX26" s="246"/>
    </row>
  </sheetData>
  <mergeCells count="87">
    <mergeCell ref="A26:B26"/>
    <mergeCell ref="C26:F26"/>
    <mergeCell ref="G26:W26"/>
    <mergeCell ref="X26:AA26"/>
    <mergeCell ref="AB26:AR26"/>
    <mergeCell ref="AS26:AX26"/>
    <mergeCell ref="A25:B25"/>
    <mergeCell ref="C25:F25"/>
    <mergeCell ref="G25:W25"/>
    <mergeCell ref="X25:AA25"/>
    <mergeCell ref="AB25:AR25"/>
    <mergeCell ref="AS25:AX25"/>
    <mergeCell ref="A24:B24"/>
    <mergeCell ref="C24:F24"/>
    <mergeCell ref="G24:W24"/>
    <mergeCell ref="X24:AA24"/>
    <mergeCell ref="AB24:AR24"/>
    <mergeCell ref="AS24:AX24"/>
    <mergeCell ref="A23:B23"/>
    <mergeCell ref="C23:F23"/>
    <mergeCell ref="G23:W23"/>
    <mergeCell ref="X23:AA23"/>
    <mergeCell ref="AB23:AR23"/>
    <mergeCell ref="AS23:AX23"/>
    <mergeCell ref="A22:B22"/>
    <mergeCell ref="C22:F22"/>
    <mergeCell ref="G22:W22"/>
    <mergeCell ref="X22:AA22"/>
    <mergeCell ref="AB22:AR22"/>
    <mergeCell ref="AS22:AX22"/>
    <mergeCell ref="A21:B21"/>
    <mergeCell ref="C21:F21"/>
    <mergeCell ref="G21:W21"/>
    <mergeCell ref="X21:AA21"/>
    <mergeCell ref="AB21:AR21"/>
    <mergeCell ref="AS21:AX21"/>
    <mergeCell ref="A20:B20"/>
    <mergeCell ref="C20:F20"/>
    <mergeCell ref="G20:W20"/>
    <mergeCell ref="X20:AA20"/>
    <mergeCell ref="AB20:AR20"/>
    <mergeCell ref="AS20:AX20"/>
    <mergeCell ref="A19:B19"/>
    <mergeCell ref="C19:F19"/>
    <mergeCell ref="G19:W19"/>
    <mergeCell ref="X19:AA19"/>
    <mergeCell ref="AB19:AR19"/>
    <mergeCell ref="AS19:AX19"/>
    <mergeCell ref="A18:B18"/>
    <mergeCell ref="C18:F18"/>
    <mergeCell ref="G18:W18"/>
    <mergeCell ref="X18:AA18"/>
    <mergeCell ref="AB18:AR18"/>
    <mergeCell ref="AS18:AX18"/>
    <mergeCell ref="A17:B17"/>
    <mergeCell ref="C17:F17"/>
    <mergeCell ref="G17:W17"/>
    <mergeCell ref="X17:AA17"/>
    <mergeCell ref="AB17:AR17"/>
    <mergeCell ref="AS17:AX17"/>
    <mergeCell ref="A15:B16"/>
    <mergeCell ref="C15:W15"/>
    <mergeCell ref="X15:AR15"/>
    <mergeCell ref="AS15:AX16"/>
    <mergeCell ref="C16:F16"/>
    <mergeCell ref="G16:W16"/>
    <mergeCell ref="X16:AA16"/>
    <mergeCell ref="AB16:AR16"/>
    <mergeCell ref="A10:B12"/>
    <mergeCell ref="C10:H12"/>
    <mergeCell ref="I10:V12"/>
    <mergeCell ref="W10:AL10"/>
    <mergeCell ref="AM10:AX12"/>
    <mergeCell ref="W11:AL11"/>
    <mergeCell ref="W12:AL12"/>
    <mergeCell ref="W6:AL6"/>
    <mergeCell ref="AM6:AX6"/>
    <mergeCell ref="A7:B9"/>
    <mergeCell ref="C7:H9"/>
    <mergeCell ref="I7:V9"/>
    <mergeCell ref="W7:AL7"/>
    <mergeCell ref="AM7:AX9"/>
    <mergeCell ref="W8:AL8"/>
    <mergeCell ref="W9:AL9"/>
    <mergeCell ref="A6:B6"/>
    <mergeCell ref="C6:H6"/>
    <mergeCell ref="I6:V6"/>
  </mergeCells>
  <phoneticPr fontId="1"/>
  <dataValidations count="1">
    <dataValidation imeMode="off" allowBlank="1" showInputMessage="1" showErrorMessage="1" sqref="A27:B47 D13:D14 A7 A10 A13 A17:A26"/>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F42"/>
  <sheetViews>
    <sheetView showGridLines="0" showZeros="0" zoomScaleNormal="100" zoomScaleSheetLayoutView="40" workbookViewId="0">
      <pane ySplit="5" topLeftCell="A10" activePane="bottomLeft" state="frozen"/>
      <selection activeCell="E12" sqref="E12"/>
      <selection pane="bottomLeft" activeCell="E10" sqref="E10"/>
    </sheetView>
  </sheetViews>
  <sheetFormatPr defaultColWidth="12" defaultRowHeight="14.25"/>
  <cols>
    <col min="1" max="1" width="6.6640625" style="76" customWidth="1"/>
    <col min="2" max="2" width="16.83203125" style="76" customWidth="1"/>
    <col min="3" max="3" width="20.83203125" style="77" customWidth="1"/>
    <col min="4" max="4" width="67.5" style="78" customWidth="1"/>
    <col min="5" max="5" width="74.1640625" style="78" customWidth="1"/>
    <col min="6" max="6" width="44.83203125" style="76" customWidth="1"/>
    <col min="7" max="16384" width="12" style="79"/>
  </cols>
  <sheetData>
    <row r="1" spans="1:6" ht="15.75" customHeight="1"/>
    <row r="2" spans="1:6" ht="15.75" customHeight="1"/>
    <row r="3" spans="1:6" ht="15.75" customHeight="1"/>
    <row r="4" spans="1:6" ht="15.75" customHeight="1" thickBot="1"/>
    <row r="5" spans="1:6" s="83" customFormat="1" ht="15.75" customHeight="1">
      <c r="A5" s="108" t="s">
        <v>120</v>
      </c>
      <c r="B5" s="80" t="s">
        <v>62</v>
      </c>
      <c r="C5" s="80" t="s">
        <v>63</v>
      </c>
      <c r="D5" s="81" t="s">
        <v>64</v>
      </c>
      <c r="E5" s="81" t="s">
        <v>65</v>
      </c>
      <c r="F5" s="82" t="s">
        <v>23</v>
      </c>
    </row>
    <row r="6" spans="1:6" s="87" customFormat="1" ht="123" customHeight="1">
      <c r="A6" s="109"/>
      <c r="B6" s="111" t="s">
        <v>66</v>
      </c>
      <c r="C6" s="85" t="s">
        <v>67</v>
      </c>
      <c r="D6" s="85" t="s">
        <v>68</v>
      </c>
      <c r="E6" s="85" t="s">
        <v>69</v>
      </c>
      <c r="F6" s="86"/>
    </row>
    <row r="7" spans="1:6" s="87" customFormat="1" ht="144" customHeight="1">
      <c r="A7" s="109"/>
      <c r="B7" s="111" t="s">
        <v>70</v>
      </c>
      <c r="C7" s="85" t="s">
        <v>71</v>
      </c>
      <c r="D7" s="85" t="s">
        <v>72</v>
      </c>
      <c r="E7" s="85" t="s">
        <v>124</v>
      </c>
      <c r="F7" s="86"/>
    </row>
    <row r="8" spans="1:6" s="87" customFormat="1" ht="361.5" customHeight="1">
      <c r="A8" s="109"/>
      <c r="B8" s="111" t="s">
        <v>73</v>
      </c>
      <c r="C8" s="85" t="s">
        <v>74</v>
      </c>
      <c r="D8" s="85" t="s">
        <v>75</v>
      </c>
      <c r="E8" s="85" t="s">
        <v>76</v>
      </c>
      <c r="F8" s="86"/>
    </row>
    <row r="9" spans="1:6" s="87" customFormat="1" ht="409.5" customHeight="1">
      <c r="A9" s="109"/>
      <c r="B9" s="111" t="s">
        <v>77</v>
      </c>
      <c r="C9" s="85" t="s">
        <v>78</v>
      </c>
      <c r="D9" s="88" t="s">
        <v>79</v>
      </c>
      <c r="E9" s="88" t="s">
        <v>80</v>
      </c>
      <c r="F9" s="86"/>
    </row>
    <row r="10" spans="1:6" s="87" customFormat="1" ht="158.25" customHeight="1">
      <c r="A10" s="109"/>
      <c r="B10" s="111" t="s">
        <v>81</v>
      </c>
      <c r="C10" s="85" t="s">
        <v>82</v>
      </c>
      <c r="D10" s="88" t="s">
        <v>83</v>
      </c>
      <c r="E10" s="88" t="s">
        <v>84</v>
      </c>
      <c r="F10" s="86"/>
    </row>
    <row r="11" spans="1:6" s="87" customFormat="1" ht="165" customHeight="1">
      <c r="A11" s="109"/>
      <c r="B11" s="111" t="s">
        <v>85</v>
      </c>
      <c r="C11" s="85" t="s">
        <v>86</v>
      </c>
      <c r="D11" s="88" t="s">
        <v>87</v>
      </c>
      <c r="E11" s="88" t="s">
        <v>88</v>
      </c>
      <c r="F11" s="86"/>
    </row>
    <row r="12" spans="1:6" s="87" customFormat="1" ht="108" customHeight="1">
      <c r="A12" s="84"/>
      <c r="B12" s="111" t="s">
        <v>89</v>
      </c>
      <c r="C12" s="85" t="s">
        <v>90</v>
      </c>
      <c r="D12" s="88" t="s">
        <v>91</v>
      </c>
      <c r="E12" s="88" t="s">
        <v>92</v>
      </c>
      <c r="F12" s="86"/>
    </row>
    <row r="13" spans="1:6" s="118" customFormat="1" ht="72" thickBot="1">
      <c r="A13" s="113" t="s">
        <v>121</v>
      </c>
      <c r="B13" s="114" t="s">
        <v>119</v>
      </c>
      <c r="C13" s="115" t="s">
        <v>122</v>
      </c>
      <c r="D13" s="116" t="s">
        <v>123</v>
      </c>
      <c r="E13" s="116" t="s">
        <v>125</v>
      </c>
      <c r="F13" s="117"/>
    </row>
    <row r="14" spans="1:6" ht="15.75">
      <c r="B14" s="91"/>
      <c r="C14" s="92"/>
      <c r="D14" s="93"/>
      <c r="E14" s="93"/>
      <c r="F14" s="94"/>
    </row>
    <row r="15" spans="1:6" ht="15.75">
      <c r="B15" s="91"/>
      <c r="C15" s="92"/>
      <c r="D15" s="95"/>
      <c r="E15" s="95"/>
      <c r="F15" s="96"/>
    </row>
    <row r="16" spans="1:6" ht="15.75">
      <c r="B16" s="91"/>
      <c r="C16" s="92"/>
      <c r="D16" s="93"/>
      <c r="E16" s="93"/>
      <c r="F16" s="94"/>
    </row>
    <row r="17" spans="2:6" ht="15.75">
      <c r="B17" s="91"/>
      <c r="C17" s="92"/>
      <c r="D17" s="95"/>
      <c r="E17" s="95"/>
      <c r="F17" s="96"/>
    </row>
    <row r="18" spans="2:6" ht="15.75">
      <c r="B18" s="91"/>
      <c r="C18" s="92"/>
      <c r="D18" s="8"/>
      <c r="E18" s="93"/>
      <c r="F18" s="94"/>
    </row>
    <row r="19" spans="2:6" ht="15.75">
      <c r="B19" s="97"/>
      <c r="C19" s="92"/>
      <c r="D19" s="8"/>
      <c r="E19" s="98"/>
      <c r="F19" s="97"/>
    </row>
    <row r="20" spans="2:6" ht="15.75">
      <c r="B20" s="97"/>
      <c r="C20" s="92"/>
      <c r="D20" s="98"/>
      <c r="E20" s="98"/>
      <c r="F20" s="97"/>
    </row>
    <row r="21" spans="2:6" ht="15.75">
      <c r="B21" s="91"/>
      <c r="C21" s="92"/>
      <c r="D21" s="99"/>
      <c r="E21" s="99"/>
      <c r="F21" s="100"/>
    </row>
    <row r="22" spans="2:6" ht="15.75">
      <c r="B22" s="91"/>
      <c r="C22" s="92"/>
      <c r="D22" s="95"/>
      <c r="E22" s="95"/>
      <c r="F22" s="96"/>
    </row>
    <row r="23" spans="2:6" ht="15.75">
      <c r="B23" s="91"/>
      <c r="C23" s="92"/>
      <c r="D23" s="99"/>
      <c r="E23" s="99"/>
      <c r="F23" s="100"/>
    </row>
    <row r="24" spans="2:6" ht="15.75">
      <c r="B24" s="97"/>
      <c r="C24" s="92"/>
      <c r="D24" s="98"/>
      <c r="E24" s="98"/>
      <c r="F24" s="97"/>
    </row>
    <row r="25" spans="2:6" ht="15.75">
      <c r="B25" s="97"/>
      <c r="C25" s="92"/>
      <c r="D25" s="98"/>
      <c r="E25" s="98"/>
      <c r="F25" s="97"/>
    </row>
    <row r="26" spans="2:6" ht="15.75">
      <c r="B26" s="97"/>
      <c r="C26" s="92"/>
      <c r="D26" s="98"/>
      <c r="E26" s="98"/>
      <c r="F26" s="97"/>
    </row>
    <row r="27" spans="2:6" ht="15.75">
      <c r="B27" s="91"/>
      <c r="C27" s="92"/>
      <c r="D27" s="99"/>
      <c r="E27" s="99"/>
      <c r="F27" s="100"/>
    </row>
    <row r="28" spans="2:6" ht="15.75">
      <c r="B28" s="91"/>
      <c r="C28" s="92"/>
      <c r="D28" s="95"/>
      <c r="E28" s="95"/>
      <c r="F28" s="96"/>
    </row>
    <row r="29" spans="2:6" ht="15.75">
      <c r="B29" s="91"/>
      <c r="C29" s="92"/>
      <c r="D29" s="99"/>
      <c r="E29" s="99"/>
      <c r="F29" s="100"/>
    </row>
    <row r="30" spans="2:6" ht="15.75">
      <c r="B30" s="97"/>
      <c r="C30" s="92"/>
      <c r="D30" s="98"/>
      <c r="E30" s="98"/>
      <c r="F30" s="97"/>
    </row>
    <row r="31" spans="2:6" ht="15.75">
      <c r="B31" s="101"/>
      <c r="C31" s="92"/>
      <c r="D31" s="102"/>
      <c r="E31" s="102"/>
      <c r="F31" s="101"/>
    </row>
    <row r="32" spans="2:6" ht="15.75">
      <c r="B32" s="101"/>
      <c r="C32" s="92"/>
      <c r="D32" s="102"/>
      <c r="E32" s="102"/>
      <c r="F32" s="101"/>
    </row>
    <row r="33" spans="2:6" ht="15.75">
      <c r="B33" s="101"/>
      <c r="C33" s="92"/>
      <c r="D33" s="102"/>
      <c r="E33" s="102"/>
      <c r="F33" s="101"/>
    </row>
    <row r="34" spans="2:6" ht="15.75">
      <c r="B34" s="101"/>
      <c r="C34" s="92"/>
      <c r="D34" s="102"/>
      <c r="E34" s="102"/>
      <c r="F34" s="101"/>
    </row>
    <row r="35" spans="2:6" ht="15.75">
      <c r="B35" s="101"/>
      <c r="C35" s="92"/>
      <c r="D35" s="102"/>
      <c r="E35" s="102"/>
      <c r="F35" s="101"/>
    </row>
    <row r="36" spans="2:6" ht="15.75">
      <c r="B36" s="101"/>
      <c r="C36" s="92"/>
      <c r="D36" s="102"/>
      <c r="E36" s="102"/>
      <c r="F36" s="101"/>
    </row>
    <row r="37" spans="2:6" ht="15.75">
      <c r="B37" s="101"/>
      <c r="C37" s="92"/>
      <c r="D37" s="102"/>
      <c r="E37" s="102"/>
      <c r="F37" s="101"/>
    </row>
    <row r="38" spans="2:6" ht="15.75">
      <c r="B38" s="101"/>
      <c r="C38" s="92"/>
      <c r="D38" s="102"/>
      <c r="E38" s="102"/>
      <c r="F38" s="101"/>
    </row>
    <row r="39" spans="2:6" ht="15.75">
      <c r="B39" s="101"/>
      <c r="C39" s="92"/>
      <c r="D39" s="102"/>
      <c r="E39" s="102"/>
      <c r="F39" s="101"/>
    </row>
    <row r="40" spans="2:6" ht="15.75">
      <c r="B40" s="103"/>
      <c r="C40" s="104"/>
      <c r="D40" s="105"/>
      <c r="E40" s="105"/>
      <c r="F40" s="103"/>
    </row>
    <row r="41" spans="2:6" ht="15.75">
      <c r="B41" s="103"/>
      <c r="C41" s="104"/>
      <c r="D41" s="105"/>
      <c r="E41" s="105"/>
      <c r="F41" s="103"/>
    </row>
    <row r="42" spans="2:6" ht="15.75">
      <c r="B42" s="103"/>
      <c r="C42" s="104"/>
      <c r="D42" s="105"/>
      <c r="E42" s="105"/>
      <c r="F42" s="103"/>
    </row>
  </sheetData>
  <phoneticPr fontId="1"/>
  <conditionalFormatting sqref="D18:D19">
    <cfRule type="expression" dxfId="0" priority="1">
      <formula>EXACT(ISBLANK($B18),FALSE)</formula>
    </cfRule>
  </conditionalFormatting>
  <pageMargins left="0.51181102362204722" right="0.74803149606299213" top="0.70866141732283472" bottom="0.43307086614173229" header="0.51181102362204722" footer="0.19685039370078741"/>
  <pageSetup paperSize="9" scale="73" fitToHeight="0" orientation="landscape" r:id="rId1"/>
  <headerFooter alignWithMargins="0">
    <oddFooter>&amp;L&amp;"Meiryo UI,標準"&amp;10埋込画面一覧（ＳＣＭ)&amp;C&amp;"Meiryo UI,標準"&amp;10&amp;P&amp;R&amp;"Meiryo UI,標準"&amp;10(C)Toyo Business Engineering Corp.[Confidential]</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F12"/>
  <sheetViews>
    <sheetView showGridLines="0" showZeros="0" zoomScaleNormal="100" zoomScaleSheetLayoutView="55" workbookViewId="0">
      <pane ySplit="5" topLeftCell="A12" activePane="bottomLeft" state="frozen"/>
      <selection activeCell="B7" sqref="B7"/>
      <selection pane="bottomLeft" activeCell="E12" sqref="E12"/>
    </sheetView>
  </sheetViews>
  <sheetFormatPr defaultColWidth="12" defaultRowHeight="14.25"/>
  <cols>
    <col min="1" max="1" width="6.6640625" style="76" customWidth="1"/>
    <col min="2" max="2" width="16.83203125" style="76" customWidth="1"/>
    <col min="3" max="3" width="20.83203125" style="77" customWidth="1"/>
    <col min="4" max="4" width="67.5" style="76" customWidth="1"/>
    <col min="5" max="5" width="74.1640625" style="76" customWidth="1"/>
    <col min="6" max="6" width="44.83203125" style="76" customWidth="1"/>
    <col min="7" max="16384" width="12" style="79"/>
  </cols>
  <sheetData>
    <row r="1" spans="1:6" ht="15.75" customHeight="1"/>
    <row r="2" spans="1:6" ht="15.75" customHeight="1"/>
    <row r="3" spans="1:6" ht="15.75" customHeight="1"/>
    <row r="4" spans="1:6" ht="15.75" customHeight="1" thickBot="1"/>
    <row r="5" spans="1:6" s="83" customFormat="1" ht="15.75" customHeight="1">
      <c r="A5" s="108" t="s">
        <v>120</v>
      </c>
      <c r="B5" s="80" t="s">
        <v>62</v>
      </c>
      <c r="C5" s="80" t="s">
        <v>63</v>
      </c>
      <c r="D5" s="81" t="s">
        <v>64</v>
      </c>
      <c r="E5" s="80" t="s">
        <v>65</v>
      </c>
      <c r="F5" s="82" t="s">
        <v>23</v>
      </c>
    </row>
    <row r="6" spans="1:6" s="87" customFormat="1" ht="98.25" customHeight="1">
      <c r="A6" s="109"/>
      <c r="B6" s="111" t="s">
        <v>93</v>
      </c>
      <c r="C6" s="85" t="s">
        <v>94</v>
      </c>
      <c r="D6" s="85" t="s">
        <v>68</v>
      </c>
      <c r="E6" s="85" t="s">
        <v>95</v>
      </c>
      <c r="F6" s="106"/>
    </row>
    <row r="7" spans="1:6" s="87" customFormat="1" ht="341.25" customHeight="1">
      <c r="A7" s="109"/>
      <c r="B7" s="111" t="s">
        <v>96</v>
      </c>
      <c r="C7" s="85" t="s">
        <v>97</v>
      </c>
      <c r="D7" s="88" t="s">
        <v>79</v>
      </c>
      <c r="E7" s="88" t="s">
        <v>98</v>
      </c>
      <c r="F7" s="106"/>
    </row>
    <row r="8" spans="1:6" s="87" customFormat="1" ht="369.75" customHeight="1">
      <c r="A8" s="109"/>
      <c r="B8" s="111" t="s">
        <v>99</v>
      </c>
      <c r="C8" s="85" t="s">
        <v>100</v>
      </c>
      <c r="D8" s="85" t="s">
        <v>75</v>
      </c>
      <c r="E8" s="85" t="s">
        <v>76</v>
      </c>
      <c r="F8" s="106"/>
    </row>
    <row r="9" spans="1:6" s="87" customFormat="1" ht="284.25" customHeight="1">
      <c r="A9" s="109"/>
      <c r="B9" s="111" t="s">
        <v>101</v>
      </c>
      <c r="C9" s="85" t="s">
        <v>102</v>
      </c>
      <c r="D9" s="88" t="s">
        <v>103</v>
      </c>
      <c r="E9" s="88" t="s">
        <v>104</v>
      </c>
      <c r="F9" s="106"/>
    </row>
    <row r="10" spans="1:6" s="87" customFormat="1" ht="193.5" customHeight="1">
      <c r="A10" s="109"/>
      <c r="B10" s="111" t="s">
        <v>105</v>
      </c>
      <c r="C10" s="88" t="s">
        <v>106</v>
      </c>
      <c r="D10" s="88" t="s">
        <v>107</v>
      </c>
      <c r="E10" s="88" t="s">
        <v>108</v>
      </c>
      <c r="F10" s="107"/>
    </row>
    <row r="11" spans="1:6" s="87" customFormat="1" ht="199.5" customHeight="1">
      <c r="A11" s="109"/>
      <c r="B11" s="111" t="s">
        <v>109</v>
      </c>
      <c r="C11" s="88" t="s">
        <v>110</v>
      </c>
      <c r="D11" s="88" t="s">
        <v>111</v>
      </c>
      <c r="E11" s="88" t="s">
        <v>112</v>
      </c>
      <c r="F11" s="107"/>
    </row>
    <row r="12" spans="1:6" s="87" customFormat="1" ht="351.75" customHeight="1" thickBot="1">
      <c r="A12" s="110"/>
      <c r="B12" s="112" t="s">
        <v>113</v>
      </c>
      <c r="C12" s="89" t="s">
        <v>114</v>
      </c>
      <c r="D12" s="89" t="s">
        <v>115</v>
      </c>
      <c r="E12" s="89" t="s">
        <v>116</v>
      </c>
      <c r="F12" s="90"/>
    </row>
  </sheetData>
  <phoneticPr fontId="1"/>
  <pageMargins left="0.51181102362204722" right="0.74803149606299213" top="0.70866141732283472" bottom="0.43307086614173229" header="0.51181102362204722" footer="0.19685039370078741"/>
  <pageSetup paperSize="9" scale="73" fitToHeight="0" orientation="landscape" r:id="rId1"/>
  <headerFooter alignWithMargins="0">
    <oddFooter>&amp;L&amp;"Meiryo UI,標準"&amp;10埋込画面一覧（ＳＣＭ)&amp;C&amp;"Meiryo UI,標準"&amp;10&amp;P&amp;R&amp;"Meiryo UI,標準"&amp;10(C)Toyo Business Engineering Corp.[Confidential]</oddFooter>
  </headerFooter>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Y11:BO48"/>
  <sheetViews>
    <sheetView topLeftCell="A49" zoomScaleNormal="100" workbookViewId="0">
      <selection activeCell="BR66" sqref="BR66"/>
    </sheetView>
  </sheetViews>
  <sheetFormatPr defaultColWidth="1.1640625" defaultRowHeight="12" customHeight="1"/>
  <sheetData>
    <row r="11" spans="25:25" ht="12" customHeight="1">
      <c r="Y11" s="6"/>
    </row>
    <row r="48" spans="66:67" ht="12" customHeight="1">
      <c r="BN48" s="7"/>
      <c r="BO48" s="7"/>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EVCTUWYQZQYC-538864054-23884</_dlc_DocId>
    <_dlc_DocIdUrl xmlns="276bdb53-d102-4a67-8437-273e78fbb7dc">
      <Url>https://mitsubishielectricgroup.sharepoint.com/sites/009989/_layouts/15/DocIdRedir.aspx?ID=EVCTUWYQZQYC-538864054-23884</Url>
      <Description>EVCTUWYQZQYC-538864054-23884</Description>
    </_dlc_DocIdUrl>
  </documentManagement>
</p:properties>
</file>

<file path=customXml/itemProps1.xml><?xml version="1.0" encoding="utf-8"?>
<ds:datastoreItem xmlns:ds="http://schemas.openxmlformats.org/officeDocument/2006/customXml" ds:itemID="{24E53B69-ADA5-4513-83FB-907F219B9FF9}"/>
</file>

<file path=customXml/itemProps2.xml><?xml version="1.0" encoding="utf-8"?>
<ds:datastoreItem xmlns:ds="http://schemas.openxmlformats.org/officeDocument/2006/customXml" ds:itemID="{6EF69BCA-73A0-405F-B4D0-5E5FAE5ED3CD}"/>
</file>

<file path=customXml/itemProps3.xml><?xml version="1.0" encoding="utf-8"?>
<ds:datastoreItem xmlns:ds="http://schemas.openxmlformats.org/officeDocument/2006/customXml" ds:itemID="{6642AD13-FB79-4684-917E-FB68BC8232AE}"/>
</file>

<file path=customXml/itemProps4.xml><?xml version="1.0" encoding="utf-8"?>
<ds:datastoreItem xmlns:ds="http://schemas.openxmlformats.org/officeDocument/2006/customXml" ds:itemID="{330ECF78-61C6-4052-80D3-2A2D82A87EB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26</vt:i4>
      </vt:variant>
    </vt:vector>
  </HeadingPairs>
  <TitlesOfParts>
    <vt:vector size="33" baseType="lpstr">
      <vt:lpstr>表紙</vt:lpstr>
      <vt:lpstr>来歴</vt:lpstr>
      <vt:lpstr>承認票</vt:lpstr>
      <vt:lpstr>レビュー記録</vt:lpstr>
      <vt:lpstr>一覧（ヘッダ）</vt:lpstr>
      <vt:lpstr>一覧（明細）</vt:lpstr>
      <vt:lpstr>レイアウト素材</vt:lpstr>
      <vt:lpstr>レビュー記録!Print_Area</vt:lpstr>
      <vt:lpstr>'一覧（ヘッダ）'!Print_Area</vt:lpstr>
      <vt:lpstr>'一覧（明細）'!Print_Area</vt:lpstr>
      <vt:lpstr>承認票!Print_Area</vt:lpstr>
      <vt:lpstr>表紙!Print_Area</vt:lpstr>
      <vt:lpstr>来歴!Print_Area</vt:lpstr>
      <vt:lpstr>レビュー記録!Print_Titles</vt:lpstr>
      <vt:lpstr>'一覧（ヘッダ）'!Print_Titles</vt:lpstr>
      <vt:lpstr>'一覧（明細）'!Print_Titles</vt:lpstr>
      <vt:lpstr>承認票!Print_Titles</vt:lpstr>
      <vt:lpstr>来歴!Print_Titles</vt:lpstr>
      <vt:lpstr>Rev</vt:lpstr>
      <vt:lpstr>Version</vt:lpstr>
      <vt:lpstr>サブシステム</vt:lpstr>
      <vt:lpstr>システム</vt:lpstr>
      <vt:lpstr>プロジェクト名</vt:lpstr>
      <vt:lpstr>機能ID</vt:lpstr>
      <vt:lpstr>機能名</vt:lpstr>
      <vt:lpstr>顧客名</vt:lpstr>
      <vt:lpstr>作成者</vt:lpstr>
      <vt:lpstr>作成日</vt:lpstr>
      <vt:lpstr>修正者</vt:lpstr>
      <vt:lpstr>修正日</vt:lpstr>
      <vt:lpstr>分類ID</vt:lpstr>
      <vt:lpstr>分類名</vt:lpstr>
      <vt:lpstr>文書番号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Yoshikawa Hideharu</dc:creator>
  <cp:lastModifiedBy>Itou Keita</cp:lastModifiedBy>
  <cp:lastPrinted>2017-10-11T06:02:04Z</cp:lastPrinted>
  <dcterms:created xsi:type="dcterms:W3CDTF">1997-01-08T22:48:59Z</dcterms:created>
  <dcterms:modified xsi:type="dcterms:W3CDTF">2019-05-16T04:31:19Z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a50cb2d4-4a3a-42f3-9ed0-862f35853cad</vt:lpwstr>
  </property>
</Properties>
</file>