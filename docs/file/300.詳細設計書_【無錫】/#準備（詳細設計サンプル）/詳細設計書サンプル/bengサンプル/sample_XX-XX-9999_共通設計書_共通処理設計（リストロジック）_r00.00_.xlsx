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6.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keita-itou\Desktop\【共通T作業】\mDOC\svn\branches\V1.1\sample\"/>
    </mc:Choice>
  </mc:AlternateContent>
  <bookViews>
    <workbookView xWindow="17835" yWindow="105" windowWidth="15645" windowHeight="7440" tabRatio="759" activeTab="3"/>
  </bookViews>
  <sheets>
    <sheet name="表紙" sheetId="1" r:id="rId1"/>
    <sheet name="来歴" sheetId="79" r:id="rId2"/>
    <sheet name="承認票" sheetId="80" r:id="rId3"/>
    <sheet name="レビュー記録" sheetId="84" r:id="rId4"/>
    <sheet name="一覧（通信）" sheetId="81" r:id="rId5"/>
    <sheet name="一覧（非通信）" sheetId="82" r:id="rId6"/>
    <sheet name="一覧（入力補助画面用カラム名クラス）" sheetId="83" r:id="rId7"/>
    <sheet name="レイアウト素材" sheetId="24" state="hidden" r:id="rId8"/>
  </sheets>
  <externalReferences>
    <externalReference r:id="rId9"/>
  </externalReferences>
  <definedNames>
    <definedName name="_xlnm._FilterDatabase" localSheetId="4" hidden="1">'一覧（通信）'!$B$5:$I$31</definedName>
    <definedName name="_xlnm._FilterDatabase" localSheetId="6" hidden="1">'一覧（入力補助画面用カラム名クラス）'!$B$5:$I$13</definedName>
    <definedName name="_xlnm._FilterDatabase" localSheetId="5" hidden="1">'一覧（非通信）'!$B$5:$H$136</definedName>
    <definedName name="_xlnm.Print_Area" localSheetId="3">レビュー記録!$A$1:$I$47</definedName>
    <definedName name="_xlnm.Print_Area" localSheetId="4">'一覧（通信）'!$B$4:$G$31</definedName>
    <definedName name="_xlnm.Print_Area" localSheetId="6">'一覧（入力補助画面用カラム名クラス）'!$B$1:$G$13</definedName>
    <definedName name="_xlnm.Print_Area" localSheetId="5">'一覧（非通信）'!$B$1:$G$136</definedName>
    <definedName name="_xlnm.Print_Area" localSheetId="2">承認票!$A$1:$I$47</definedName>
    <definedName name="_xlnm.Print_Area" localSheetId="0">表紙!$A$1:$AX$40</definedName>
    <definedName name="_xlnm.Print_Area" localSheetId="1">来歴!$A$1:$F$40</definedName>
    <definedName name="_xlnm.Print_Titles" localSheetId="3">レビュー記録!$4:$6</definedName>
    <definedName name="_xlnm.Print_Titles" localSheetId="4">'一覧（通信）'!$4:$4</definedName>
    <definedName name="_xlnm.Print_Titles" localSheetId="6">'一覧（入力補助画面用カラム名クラス）'!$1:$4</definedName>
    <definedName name="_xlnm.Print_Titles" localSheetId="5">'一覧（非通信）'!$1:$4</definedName>
    <definedName name="_xlnm.Print_Titles" localSheetId="2">承認票!$4:$6</definedName>
    <definedName name="_xlnm.Print_Titles" localSheetId="1">来歴!$4:$5</definedName>
    <definedName name="Rev">表紙!$G$60</definedName>
    <definedName name="Version">表紙!$G$50</definedName>
    <definedName name="サブシステム">表紙!$G$51</definedName>
    <definedName name="システム">表紙!$G$49</definedName>
    <definedName name="プロジェクト名">表紙!$G$48</definedName>
    <definedName name="機能ID">表紙!$G$53</definedName>
    <definedName name="機能名">表紙!$G$55</definedName>
    <definedName name="顧客名">表紙!$G$47</definedName>
    <definedName name="作成者">表紙!$G$56</definedName>
    <definedName name="作成日">表紙!$G$58</definedName>
    <definedName name="修正者">表紙!$G$57</definedName>
    <definedName name="修正日">表紙!$G$59</definedName>
    <definedName name="分類ID">表紙!$G$52</definedName>
    <definedName name="分類名">表紙!$G$54</definedName>
    <definedName name="文書番号">表紙!$G$61</definedName>
  </definedNames>
  <calcPr calcId="162913" concurrentCalc="0"/>
</workbook>
</file>

<file path=xl/calcChain.xml><?xml version="1.0" encoding="utf-8"?>
<calcChain xmlns="http://schemas.openxmlformats.org/spreadsheetml/2006/main">
  <c r="BI69" i="1" l="1"/>
  <c r="BE69" i="1"/>
  <c r="BC69" i="1"/>
  <c r="BJ68" i="1"/>
  <c r="BI68" i="1"/>
  <c r="BG68" i="1"/>
  <c r="BE68" i="1"/>
  <c r="BC68" i="1"/>
  <c r="BI67" i="1"/>
  <c r="BG67" i="1"/>
  <c r="BE67" i="1"/>
  <c r="BC67" i="1"/>
  <c r="H28" i="81"/>
  <c r="I28" i="81"/>
  <c r="BI65" i="1"/>
  <c r="BE65" i="1"/>
  <c r="BC65" i="1"/>
  <c r="BJ64" i="1"/>
  <c r="BI64" i="1"/>
  <c r="BG64" i="1"/>
  <c r="BE64" i="1"/>
  <c r="BC64" i="1"/>
  <c r="BI63" i="1"/>
  <c r="BG63" i="1"/>
  <c r="BE63" i="1"/>
  <c r="BC63" i="1"/>
  <c r="BI61" i="1"/>
  <c r="BE61" i="1"/>
  <c r="BC61" i="1"/>
  <c r="BJ60" i="1"/>
  <c r="BI60" i="1"/>
  <c r="BG60" i="1"/>
  <c r="BE60" i="1"/>
  <c r="BC60" i="1"/>
  <c r="BI59" i="1"/>
  <c r="BG59" i="1"/>
  <c r="BE59" i="1"/>
  <c r="BC59" i="1"/>
  <c r="BI57" i="1"/>
  <c r="BE57" i="1"/>
  <c r="BC57" i="1"/>
  <c r="BJ56" i="1"/>
  <c r="BI56" i="1"/>
  <c r="BG56" i="1"/>
  <c r="BE56" i="1"/>
  <c r="BC56" i="1"/>
  <c r="BI55" i="1"/>
  <c r="BG55" i="1"/>
  <c r="BE55" i="1"/>
  <c r="BC55" i="1"/>
  <c r="I13" i="83"/>
  <c r="H13" i="83"/>
  <c r="I12" i="83"/>
  <c r="H12" i="83"/>
  <c r="I11" i="83"/>
  <c r="H11" i="83"/>
  <c r="I10" i="83"/>
  <c r="H10" i="83"/>
  <c r="I9" i="83"/>
  <c r="H9" i="83"/>
  <c r="I8" i="83"/>
  <c r="H8" i="83"/>
  <c r="I7" i="83"/>
  <c r="H7" i="83"/>
  <c r="I6" i="83"/>
  <c r="H6" i="83"/>
  <c r="H136" i="82"/>
  <c r="H135" i="82"/>
  <c r="H134" i="82"/>
  <c r="H133" i="82"/>
  <c r="H132" i="82"/>
  <c r="H131" i="82"/>
  <c r="H130" i="82"/>
  <c r="H129" i="82"/>
  <c r="H128" i="82"/>
  <c r="H127" i="82"/>
  <c r="H126" i="82"/>
  <c r="H125" i="82"/>
  <c r="H124" i="82"/>
  <c r="H123" i="82"/>
  <c r="H122" i="82"/>
  <c r="H121" i="82"/>
  <c r="H120" i="82"/>
  <c r="H119" i="82"/>
  <c r="H118" i="82"/>
  <c r="H117" i="82"/>
  <c r="H116" i="82"/>
  <c r="H115" i="82"/>
  <c r="H114" i="82"/>
  <c r="H113" i="82"/>
  <c r="H112" i="82"/>
  <c r="H111" i="82"/>
  <c r="H110" i="82"/>
  <c r="H109" i="82"/>
  <c r="H108" i="82"/>
  <c r="H107" i="82"/>
  <c r="H106" i="82"/>
  <c r="H105" i="82"/>
  <c r="H104" i="82"/>
  <c r="H103" i="82"/>
  <c r="H102" i="82"/>
  <c r="H101" i="82"/>
  <c r="H100" i="82"/>
  <c r="H99" i="82"/>
  <c r="H98" i="82"/>
  <c r="H97" i="82"/>
  <c r="H96" i="82"/>
  <c r="H95" i="82"/>
  <c r="H94" i="82"/>
  <c r="H93" i="82"/>
  <c r="H92" i="82"/>
  <c r="H91" i="82"/>
  <c r="H90" i="82"/>
  <c r="H89" i="82"/>
  <c r="H88" i="82"/>
  <c r="H87" i="82"/>
  <c r="H86" i="82"/>
  <c r="H85" i="82"/>
  <c r="H84" i="82"/>
  <c r="H83" i="82"/>
  <c r="H82" i="82"/>
  <c r="H81" i="82"/>
  <c r="H80" i="82"/>
  <c r="H79" i="82"/>
  <c r="H78" i="82"/>
  <c r="H77" i="82"/>
  <c r="H76" i="82"/>
  <c r="H75" i="82"/>
  <c r="H74" i="82"/>
  <c r="H73" i="82"/>
  <c r="H72" i="82"/>
  <c r="H71" i="82"/>
  <c r="H70" i="82"/>
  <c r="H69" i="82"/>
  <c r="H68" i="82"/>
  <c r="H67" i="82"/>
  <c r="H66" i="82"/>
  <c r="H65" i="82"/>
  <c r="H64" i="82"/>
  <c r="H63" i="82"/>
  <c r="H62" i="82"/>
  <c r="H61" i="82"/>
  <c r="H60" i="82"/>
  <c r="H59" i="82"/>
  <c r="H58" i="82"/>
  <c r="H57" i="82"/>
  <c r="H56" i="82"/>
  <c r="H55" i="82"/>
  <c r="H54" i="82"/>
  <c r="H53" i="82"/>
  <c r="H52" i="82"/>
  <c r="H51" i="82"/>
  <c r="H50" i="82"/>
  <c r="H49" i="82"/>
  <c r="H48" i="82"/>
  <c r="H47" i="82"/>
  <c r="H46" i="82"/>
  <c r="H45" i="82"/>
  <c r="H44" i="82"/>
  <c r="H43" i="82"/>
  <c r="H42" i="82"/>
  <c r="H41" i="82"/>
  <c r="H40" i="82"/>
  <c r="H39" i="82"/>
  <c r="H38" i="82"/>
  <c r="H37" i="82"/>
  <c r="H36" i="82"/>
  <c r="H35" i="82"/>
  <c r="H34" i="82"/>
  <c r="H33" i="82"/>
  <c r="H32" i="82"/>
  <c r="H31" i="82"/>
  <c r="H30" i="82"/>
  <c r="H29" i="82"/>
  <c r="H28" i="82"/>
  <c r="H27" i="82"/>
  <c r="H26" i="82"/>
  <c r="H25" i="82"/>
  <c r="H24" i="82"/>
  <c r="H23" i="82"/>
  <c r="H22" i="82"/>
  <c r="H21" i="82"/>
  <c r="H20" i="82"/>
  <c r="H19" i="82"/>
  <c r="H18" i="82"/>
  <c r="H17" i="82"/>
  <c r="H16" i="82"/>
  <c r="H15" i="82"/>
  <c r="H14" i="82"/>
  <c r="H13" i="82"/>
  <c r="H12" i="82"/>
  <c r="H11" i="82"/>
  <c r="H10" i="82"/>
  <c r="H9" i="82"/>
  <c r="H8" i="82"/>
  <c r="H7" i="82"/>
  <c r="H6" i="82"/>
  <c r="I31" i="81"/>
  <c r="H31" i="81"/>
  <c r="I30" i="81"/>
  <c r="H30" i="81"/>
  <c r="I29" i="81"/>
  <c r="H29" i="81"/>
  <c r="I27" i="81"/>
  <c r="H27" i="81"/>
  <c r="I26" i="81"/>
  <c r="H26" i="81"/>
  <c r="I25" i="81"/>
  <c r="H25" i="81"/>
  <c r="I24" i="81"/>
  <c r="H24" i="81"/>
  <c r="I23" i="81"/>
  <c r="H23" i="81"/>
  <c r="I22" i="81"/>
  <c r="H22" i="81"/>
  <c r="I21" i="81"/>
  <c r="H21" i="81"/>
  <c r="I20" i="81"/>
  <c r="H20" i="81"/>
  <c r="I19" i="81"/>
  <c r="H19" i="81"/>
  <c r="I18" i="81"/>
  <c r="H18" i="81"/>
  <c r="I17" i="81"/>
  <c r="H17" i="81"/>
  <c r="I16" i="81"/>
  <c r="H16" i="81"/>
  <c r="I15" i="81"/>
  <c r="H15" i="81"/>
  <c r="I14" i="81"/>
  <c r="H14" i="81"/>
  <c r="I13" i="81"/>
  <c r="H13" i="81"/>
  <c r="I12" i="81"/>
  <c r="H12" i="81"/>
  <c r="I11" i="81"/>
  <c r="H11" i="81"/>
  <c r="I10" i="81"/>
  <c r="H10" i="81"/>
  <c r="I9" i="81"/>
  <c r="H9" i="81"/>
  <c r="I8" i="81"/>
  <c r="H8" i="81"/>
  <c r="I7" i="81"/>
  <c r="H7" i="81"/>
  <c r="I6" i="81"/>
  <c r="H6" i="81"/>
  <c r="G60" i="1"/>
  <c r="BI49" i="1"/>
  <c r="G59" i="1"/>
  <c r="BI52" i="1"/>
  <c r="G58" i="1"/>
  <c r="BI51" i="1"/>
  <c r="BE53" i="1"/>
  <c r="BC53" i="1"/>
  <c r="BJ52" i="1"/>
  <c r="BG52" i="1"/>
  <c r="BE52" i="1"/>
  <c r="BC52" i="1"/>
  <c r="BG51" i="1"/>
  <c r="BE51" i="1"/>
  <c r="BC51" i="1"/>
  <c r="BE49" i="1"/>
  <c r="BC49" i="1"/>
  <c r="BJ48" i="1"/>
  <c r="BG48" i="1"/>
  <c r="BE48" i="1"/>
  <c r="BC48" i="1"/>
  <c r="BI47" i="1"/>
  <c r="BG47" i="1"/>
  <c r="BE47" i="1"/>
  <c r="BC47" i="1"/>
  <c r="BI53" i="1"/>
  <c r="BI48" i="1"/>
  <c r="V29" i="1"/>
  <c r="V31" i="1"/>
  <c r="V30" i="1"/>
  <c r="AB29" i="1"/>
  <c r="V28" i="1"/>
  <c r="V27" i="1"/>
  <c r="AL5" i="1"/>
  <c r="AF5" i="1"/>
  <c r="AR5" i="1"/>
</calcChain>
</file>

<file path=xl/sharedStrings.xml><?xml version="1.0" encoding="utf-8"?>
<sst xmlns="http://schemas.openxmlformats.org/spreadsheetml/2006/main" count="902" uniqueCount="491">
  <si>
    <t>文書番号</t>
    <rPh sb="0" eb="2">
      <t>ブンショ</t>
    </rPh>
    <rPh sb="2" eb="4">
      <t>バンゴウ</t>
    </rPh>
    <phoneticPr fontId="1"/>
  </si>
  <si>
    <t>Revision</t>
    <phoneticPr fontId="1"/>
  </si>
  <si>
    <t>顧客名</t>
    <rPh sb="0" eb="2">
      <t>コキャク</t>
    </rPh>
    <rPh sb="2" eb="3">
      <t>メイ</t>
    </rPh>
    <phoneticPr fontId="1"/>
  </si>
  <si>
    <t>プロジェクト名</t>
    <rPh sb="6" eb="7">
      <t>メイ</t>
    </rPh>
    <phoneticPr fontId="1"/>
  </si>
  <si>
    <t>分類ID/機能ID</t>
    <rPh sb="0" eb="2">
      <t>ブンルイ</t>
    </rPh>
    <rPh sb="5" eb="7">
      <t>キノウ</t>
    </rPh>
    <phoneticPr fontId="1"/>
  </si>
  <si>
    <t>分類名</t>
    <rPh sb="0" eb="2">
      <t>ブンルイ</t>
    </rPh>
    <rPh sb="2" eb="3">
      <t>メイ</t>
    </rPh>
    <phoneticPr fontId="1"/>
  </si>
  <si>
    <t>機能名</t>
    <rPh sb="0" eb="3">
      <t>キノウメイ</t>
    </rPh>
    <phoneticPr fontId="1"/>
  </si>
  <si>
    <t>修正者</t>
    <rPh sb="0" eb="2">
      <t>シュウセイ</t>
    </rPh>
    <rPh sb="2" eb="3">
      <t>シャ</t>
    </rPh>
    <phoneticPr fontId="1"/>
  </si>
  <si>
    <t>修正日</t>
    <rPh sb="0" eb="2">
      <t>シュウセイ</t>
    </rPh>
    <rPh sb="2" eb="3">
      <t>ビ</t>
    </rPh>
    <phoneticPr fontId="1"/>
  </si>
  <si>
    <t>機能ID</t>
    <rPh sb="0" eb="2">
      <t>キノウ</t>
    </rPh>
    <phoneticPr fontId="1"/>
  </si>
  <si>
    <t>システム</t>
    <phoneticPr fontId="1"/>
  </si>
  <si>
    <t>サブシステム</t>
    <phoneticPr fontId="1"/>
  </si>
  <si>
    <t>作成者</t>
    <rPh sb="0" eb="3">
      <t>サクセイシャ</t>
    </rPh>
    <phoneticPr fontId="1"/>
  </si>
  <si>
    <t>作成日</t>
    <rPh sb="0" eb="3">
      <t>サクセイビ</t>
    </rPh>
    <phoneticPr fontId="1"/>
  </si>
  <si>
    <t>Rev</t>
    <phoneticPr fontId="1"/>
  </si>
  <si>
    <t>分類ID</t>
    <rPh sb="0" eb="2">
      <t>ブンルイ</t>
    </rPh>
    <phoneticPr fontId="1"/>
  </si>
  <si>
    <t>Version</t>
    <phoneticPr fontId="1"/>
  </si>
  <si>
    <t>※ここを変更してください</t>
    <rPh sb="4" eb="6">
      <t>ヘンコウ</t>
    </rPh>
    <phoneticPr fontId="1"/>
  </si>
  <si>
    <t>来歴</t>
    <rPh sb="0" eb="2">
      <t>ライレキ</t>
    </rPh>
    <phoneticPr fontId="1"/>
  </si>
  <si>
    <t>変更内容及び変更理由</t>
    <rPh sb="0" eb="2">
      <t>ヘンコウ</t>
    </rPh>
    <rPh sb="2" eb="4">
      <t>ナイヨウ</t>
    </rPh>
    <rPh sb="4" eb="5">
      <t>オヨ</t>
    </rPh>
    <rPh sb="6" eb="8">
      <t>ヘンコウ</t>
    </rPh>
    <rPh sb="8" eb="10">
      <t>リユウ</t>
    </rPh>
    <phoneticPr fontId="1"/>
  </si>
  <si>
    <t>最終更新者</t>
    <rPh sb="0" eb="2">
      <t>サイシュウ</t>
    </rPh>
    <rPh sb="2" eb="5">
      <t>コウシンシャ</t>
    </rPh>
    <phoneticPr fontId="1"/>
  </si>
  <si>
    <t>最終更新日</t>
    <rPh sb="0" eb="2">
      <t>サイシュウ</t>
    </rPh>
    <rPh sb="2" eb="5">
      <t>コウシンビ</t>
    </rPh>
    <phoneticPr fontId="1"/>
  </si>
  <si>
    <t>備考</t>
    <rPh sb="0" eb="2">
      <t>ビコウ</t>
    </rPh>
    <phoneticPr fontId="1"/>
  </si>
  <si>
    <t>承認票</t>
    <rPh sb="0" eb="2">
      <t>ショウニン</t>
    </rPh>
    <rPh sb="2" eb="3">
      <t>ヒョウ</t>
    </rPh>
    <phoneticPr fontId="1"/>
  </si>
  <si>
    <t>確認者</t>
    <rPh sb="0" eb="2">
      <t>カクニン</t>
    </rPh>
    <rPh sb="2" eb="3">
      <t>シャ</t>
    </rPh>
    <phoneticPr fontId="1"/>
  </si>
  <si>
    <t>承認者</t>
    <rPh sb="0" eb="2">
      <t>ショウニン</t>
    </rPh>
    <rPh sb="2" eb="3">
      <t>シャ</t>
    </rPh>
    <phoneticPr fontId="1"/>
  </si>
  <si>
    <t>責任者</t>
    <rPh sb="0" eb="3">
      <t>セキニンシャ</t>
    </rPh>
    <phoneticPr fontId="1"/>
  </si>
  <si>
    <t>計算</t>
    <rPh sb="0" eb="2">
      <t>ケイサン</t>
    </rPh>
    <phoneticPr fontId="1"/>
  </si>
  <si>
    <t>東洋ﾋﾞｼﾞﾈｽｴﾝｼﾞﾆｱﾘﾝｸﾞ㈱</t>
    <rPh sb="0" eb="2">
      <t>トウヨウ</t>
    </rPh>
    <phoneticPr fontId="1"/>
  </si>
  <si>
    <t>新基幹システム構築プロジェクト</t>
    <phoneticPr fontId="1"/>
  </si>
  <si>
    <t>mcframe7</t>
    <phoneticPr fontId="1"/>
  </si>
  <si>
    <t>機能概要</t>
    <rPh sb="0" eb="2">
      <t>キノウ</t>
    </rPh>
    <rPh sb="2" eb="4">
      <t>ガイヨウ</t>
    </rPh>
    <phoneticPr fontId="1"/>
  </si>
  <si>
    <t>MS</t>
    <phoneticPr fontId="1"/>
  </si>
  <si>
    <t>株式会社XXXX殿</t>
    <phoneticPr fontId="1"/>
  </si>
  <si>
    <t>XX</t>
    <phoneticPr fontId="1"/>
  </si>
  <si>
    <t>XX-XX-9999</t>
    <phoneticPr fontId="1"/>
  </si>
  <si>
    <t>株式会社XXXX殿</t>
    <rPh sb="0" eb="4">
      <t>カブシキガイシャ</t>
    </rPh>
    <rPh sb="8" eb="9">
      <t>トノ</t>
    </rPh>
    <phoneticPr fontId="1"/>
  </si>
  <si>
    <t>7.0.1.1</t>
    <phoneticPr fontId="1"/>
  </si>
  <si>
    <t>共通設計（リストロジック）</t>
    <rPh sb="0" eb="2">
      <t>キョウツウ</t>
    </rPh>
    <rPh sb="2" eb="4">
      <t>セッケイ</t>
    </rPh>
    <phoneticPr fontId="1"/>
  </si>
  <si>
    <t>No</t>
    <phoneticPr fontId="1"/>
  </si>
  <si>
    <t>Rev.</t>
    <phoneticPr fontId="1"/>
  </si>
  <si>
    <t>新規作成</t>
    <rPh sb="0" eb="4">
      <t>シンキサクセイ</t>
    </rPh>
    <phoneticPr fontId="1"/>
  </si>
  <si>
    <t>システム</t>
    <phoneticPr fontId="1"/>
  </si>
  <si>
    <t>システム</t>
    <phoneticPr fontId="1"/>
  </si>
  <si>
    <t>プロジェクト</t>
    <phoneticPr fontId="1"/>
  </si>
  <si>
    <t>サブシステム</t>
    <phoneticPr fontId="1"/>
  </si>
  <si>
    <t>プロジェクト</t>
    <phoneticPr fontId="1"/>
  </si>
  <si>
    <t>サブシステム</t>
    <phoneticPr fontId="1"/>
  </si>
  <si>
    <t>Rev.</t>
    <phoneticPr fontId="1"/>
  </si>
  <si>
    <t>MSBD</t>
    <phoneticPr fontId="1"/>
  </si>
  <si>
    <t>共通処理設計（リストロジック）</t>
    <rPh sb="0" eb="2">
      <t>キョウツウ</t>
    </rPh>
    <rPh sb="2" eb="4">
      <t>ショリ</t>
    </rPh>
    <rPh sb="4" eb="6">
      <t>セッケイ</t>
    </rPh>
    <phoneticPr fontId="1"/>
  </si>
  <si>
    <t>r00.00</t>
  </si>
  <si>
    <t>XX</t>
  </si>
  <si>
    <t>r00.01</t>
  </si>
  <si>
    <t>内部レビュー指摘修正</t>
    <rPh sb="0" eb="2">
      <t>ナイブ</t>
    </rPh>
    <rPh sb="6" eb="8">
      <t>シテキ</t>
    </rPh>
    <rPh sb="8" eb="10">
      <t>シュウセイ</t>
    </rPh>
    <phoneticPr fontId="1"/>
  </si>
  <si>
    <t>r01.00</t>
  </si>
  <si>
    <t>基本設計フェーズ成果物として納品</t>
    <rPh sb="0" eb="2">
      <t>キホン</t>
    </rPh>
    <rPh sb="2" eb="4">
      <t>セッケイ</t>
    </rPh>
    <phoneticPr fontId="1"/>
  </si>
  <si>
    <t>r01.01</t>
  </si>
  <si>
    <t>r02.00</t>
  </si>
  <si>
    <t>詳細設計フェーズ成果物として納品</t>
    <rPh sb="0" eb="2">
      <t>ショウサイ</t>
    </rPh>
    <rPh sb="2" eb="4">
      <t>セッケイ</t>
    </rPh>
    <phoneticPr fontId="1"/>
  </si>
  <si>
    <t>XX-XX-9999_共通設計書_共通処理設計（リストロジック）_r00.00をもとに新規作成</t>
    <rPh sb="43" eb="45">
      <t>シンキ</t>
    </rPh>
    <rPh sb="45" eb="47">
      <t>サクセイ</t>
    </rPh>
    <phoneticPr fontId="1"/>
  </si>
  <si>
    <t>r01.00</t>
    <phoneticPr fontId="1"/>
  </si>
  <si>
    <t>基本設計フェーズ成果物として納品</t>
    <phoneticPr fontId="1"/>
  </si>
  <si>
    <t>XX</t>
    <phoneticPr fontId="1"/>
  </si>
  <si>
    <t>PM(XX)</t>
    <phoneticPr fontId="1"/>
  </si>
  <si>
    <t>定義書</t>
    <rPh sb="0" eb="3">
      <t>テイギショ</t>
    </rPh>
    <phoneticPr fontId="1"/>
  </si>
  <si>
    <t>ソース</t>
    <phoneticPr fontId="1"/>
  </si>
  <si>
    <t>リストロジックＩＤ</t>
    <phoneticPr fontId="1"/>
  </si>
  <si>
    <t>リストロジック名</t>
    <rPh sb="7" eb="8">
      <t>メイ</t>
    </rPh>
    <phoneticPr fontId="1"/>
  </si>
  <si>
    <t>リストロジックＩＤ（クライアント）</t>
  </si>
  <si>
    <t>リストロジックＩＤ（サーバ）</t>
  </si>
  <si>
    <t>MSUA(P/C/L)0010</t>
  </si>
  <si>
    <t>SpplByLoc</t>
    <phoneticPr fontId="1"/>
  </si>
  <si>
    <t>発注先（場所対応）</t>
    <phoneticPr fontId="1"/>
  </si>
  <si>
    <t>指定した場所に対応する発注先を場所マスタから取得する</t>
    <phoneticPr fontId="1"/>
  </si>
  <si>
    <t>MSBB</t>
    <phoneticPr fontId="1"/>
  </si>
  <si>
    <t>MSUA(P/C/L)0030</t>
  </si>
  <si>
    <t>ActSts</t>
    <phoneticPr fontId="1"/>
  </si>
  <si>
    <t>活動状況</t>
    <rPh sb="0" eb="2">
      <t>カツドウ</t>
    </rPh>
    <rPh sb="2" eb="4">
      <t>ジョウキョウ</t>
    </rPh>
    <phoneticPr fontId="1"/>
  </si>
  <si>
    <t>案件管理から、案件管理区分が「3：案件活動状況」のものだけを取得する</t>
    <rPh sb="17" eb="19">
      <t>アンケン</t>
    </rPh>
    <rPh sb="19" eb="21">
      <t>カツドウ</t>
    </rPh>
    <rPh sb="21" eb="23">
      <t>ジョウキョウ</t>
    </rPh>
    <phoneticPr fontId="1"/>
  </si>
  <si>
    <t>MSBB</t>
  </si>
  <si>
    <t>CstSloStkGd</t>
  </si>
  <si>
    <t>受注引当可能格付
（得意先対応）</t>
    <phoneticPr fontId="1"/>
  </si>
  <si>
    <t>受注引当格付マスタに登録され、かつ受注可能な格付（格付マスタの受注フラグがオン）を取得する</t>
    <rPh sb="41" eb="43">
      <t>シュトク</t>
    </rPh>
    <phoneticPr fontId="1"/>
  </si>
  <si>
    <t>DmndLoc</t>
  </si>
  <si>
    <t>需要場所</t>
    <rPh sb="0" eb="2">
      <t>ジュ</t>
    </rPh>
    <rPh sb="2" eb="4">
      <t>バショ</t>
    </rPh>
    <phoneticPr fontId="1"/>
  </si>
  <si>
    <t>受注引当マスタに登録している場所を取得する</t>
    <rPh sb="17" eb="19">
      <t>シュトク</t>
    </rPh>
    <phoneticPr fontId="1"/>
  </si>
  <si>
    <t>MSBB</t>
    <phoneticPr fontId="1"/>
  </si>
  <si>
    <t>QtnRsltRsn</t>
    <phoneticPr fontId="1"/>
  </si>
  <si>
    <t>見積結果理由</t>
    <rPh sb="0" eb="2">
      <t>ミツモリ</t>
    </rPh>
    <rPh sb="2" eb="4">
      <t>ケッカ</t>
    </rPh>
    <rPh sb="4" eb="6">
      <t>リユウ</t>
    </rPh>
    <phoneticPr fontId="1"/>
  </si>
  <si>
    <t>見積受注理由から、見積結果がオンのものだけを取得する</t>
    <rPh sb="0" eb="2">
      <t>ミツモリ</t>
    </rPh>
    <rPh sb="2" eb="4">
      <t>ジュチュウ</t>
    </rPh>
    <rPh sb="4" eb="6">
      <t>リユウ</t>
    </rPh>
    <rPh sb="9" eb="11">
      <t>ミツ</t>
    </rPh>
    <rPh sb="11" eb="13">
      <t>ケッカ</t>
    </rPh>
    <phoneticPr fontId="1"/>
  </si>
  <si>
    <t>QtnSloRsn</t>
    <phoneticPr fontId="1"/>
  </si>
  <si>
    <t>見積受注理由</t>
    <rPh sb="0" eb="2">
      <t>ミツモリ</t>
    </rPh>
    <rPh sb="2" eb="4">
      <t>ジュチュウ</t>
    </rPh>
    <rPh sb="4" eb="6">
      <t>リユウ</t>
    </rPh>
    <phoneticPr fontId="1"/>
  </si>
  <si>
    <t>見積受注理由を取得する</t>
    <rPh sb="0" eb="2">
      <t>ミツモリ</t>
    </rPh>
    <rPh sb="2" eb="4">
      <t>ジュチュウ</t>
    </rPh>
    <rPh sb="4" eb="6">
      <t>リユウ</t>
    </rPh>
    <rPh sb="7" eb="9">
      <t>シュトク</t>
    </rPh>
    <phoneticPr fontId="1"/>
  </si>
  <si>
    <t>QtnTerm</t>
    <phoneticPr fontId="1"/>
  </si>
  <si>
    <t>見積条件</t>
    <rPh sb="0" eb="2">
      <t>ミツモリ</t>
    </rPh>
    <rPh sb="2" eb="4">
      <t>ジョウケン</t>
    </rPh>
    <phoneticPr fontId="1"/>
  </si>
  <si>
    <t>見積受注理由から、見積条件がオンのものだけを取得する</t>
    <rPh sb="0" eb="2">
      <t>ミツモリ</t>
    </rPh>
    <rPh sb="2" eb="4">
      <t>ジュチュウ</t>
    </rPh>
    <rPh sb="4" eb="6">
      <t>リユウ</t>
    </rPh>
    <rPh sb="9" eb="11">
      <t>ミツ</t>
    </rPh>
    <rPh sb="11" eb="13">
      <t>ジョウケン</t>
    </rPh>
    <phoneticPr fontId="1"/>
  </si>
  <si>
    <t>MSBB</t>
    <phoneticPr fontId="1"/>
  </si>
  <si>
    <t>SloAcc</t>
    <phoneticPr fontId="1"/>
  </si>
  <si>
    <t>受注確度</t>
    <rPh sb="0" eb="2">
      <t>ジュチュウ</t>
    </rPh>
    <rPh sb="2" eb="4">
      <t>カクド</t>
    </rPh>
    <phoneticPr fontId="1"/>
  </si>
  <si>
    <t>案件管理から、案件管理区分が「2：受注確度」のものだけを取得する</t>
    <rPh sb="17" eb="19">
      <t>ジュチュウ</t>
    </rPh>
    <rPh sb="19" eb="21">
      <t>カクド</t>
    </rPh>
    <phoneticPr fontId="1"/>
  </si>
  <si>
    <t>SloAllocGrp</t>
    <phoneticPr fontId="1"/>
  </si>
  <si>
    <t>受注総量引当場所グループ</t>
    <phoneticPr fontId="1"/>
  </si>
  <si>
    <t>受注引当マスタに登録している総量引当場所グループを取得する</t>
  </si>
  <si>
    <t>SloCanRsn</t>
    <phoneticPr fontId="1"/>
  </si>
  <si>
    <t>受注取消理由</t>
    <rPh sb="0" eb="2">
      <t>ジュチュウ</t>
    </rPh>
    <rPh sb="2" eb="4">
      <t>トリケシ</t>
    </rPh>
    <rPh sb="4" eb="6">
      <t>リユウ</t>
    </rPh>
    <phoneticPr fontId="1"/>
  </si>
  <si>
    <t>見積受注理由から、受注取消がオンのものだけを取得する</t>
    <rPh sb="0" eb="2">
      <t>ミツモリ</t>
    </rPh>
    <rPh sb="2" eb="4">
      <t>ジュチュウ</t>
    </rPh>
    <rPh sb="4" eb="6">
      <t>リユウ</t>
    </rPh>
    <rPh sb="9" eb="11">
      <t>ジュチュウ</t>
    </rPh>
    <rPh sb="11" eb="13">
      <t>トリケシ</t>
    </rPh>
    <phoneticPr fontId="1"/>
  </si>
  <si>
    <t>SloLgGrp</t>
  </si>
  <si>
    <t>受注物流グループ</t>
    <phoneticPr fontId="1"/>
  </si>
  <si>
    <t>受注引当マスタに登録している物流グループを取得する</t>
    <rPh sb="21" eb="23">
      <t>シュトク</t>
    </rPh>
    <phoneticPr fontId="1"/>
  </si>
  <si>
    <t>SloLoc</t>
  </si>
  <si>
    <t>受注場所</t>
    <phoneticPr fontId="1"/>
  </si>
  <si>
    <t>受注引当マスタに登録している場所を取得する</t>
    <phoneticPr fontId="1"/>
  </si>
  <si>
    <t>MSBB</t>
    <phoneticPr fontId="1"/>
  </si>
  <si>
    <t>SlsBdgGrp</t>
    <phoneticPr fontId="1"/>
  </si>
  <si>
    <t>予算分類</t>
    <rPh sb="0" eb="2">
      <t>ヨサン</t>
    </rPh>
    <rPh sb="2" eb="4">
      <t>ブンルイ</t>
    </rPh>
    <phoneticPr fontId="1"/>
  </si>
  <si>
    <t>販売予算から、検索権限のある販売予算の予算分類を取得する</t>
    <rPh sb="0" eb="2">
      <t>ハンバイ</t>
    </rPh>
    <rPh sb="2" eb="4">
      <t>ヨサン</t>
    </rPh>
    <rPh sb="7" eb="9">
      <t>ケンサク</t>
    </rPh>
    <rPh sb="9" eb="11">
      <t>ケンゲン</t>
    </rPh>
    <rPh sb="14" eb="16">
      <t>ハンバイ</t>
    </rPh>
    <rPh sb="16" eb="18">
      <t>ヨサン</t>
    </rPh>
    <rPh sb="19" eb="21">
      <t>ヨサン</t>
    </rPh>
    <rPh sb="21" eb="23">
      <t>ブンルイ</t>
    </rPh>
    <phoneticPr fontId="1"/>
  </si>
  <si>
    <t>SplnVers</t>
    <phoneticPr fontId="1"/>
  </si>
  <si>
    <t>集計別販売計画バージョン</t>
  </si>
  <si>
    <t>集計別の月次販売計画のバージョンを取得する</t>
    <rPh sb="17" eb="19">
      <t>シュトク</t>
    </rPh>
    <phoneticPr fontId="1"/>
  </si>
  <si>
    <t>WrkMng</t>
    <phoneticPr fontId="1"/>
  </si>
  <si>
    <t>案件管理</t>
    <rPh sb="0" eb="2">
      <t>アンケン</t>
    </rPh>
    <rPh sb="2" eb="4">
      <t>カンリ</t>
    </rPh>
    <phoneticPr fontId="1"/>
  </si>
  <si>
    <t>案件管理から、指定した案件管理区分に対応するものを取得する</t>
    <rPh sb="0" eb="2">
      <t>アンケン</t>
    </rPh>
    <rPh sb="2" eb="4">
      <t>カンリ</t>
    </rPh>
    <rPh sb="7" eb="9">
      <t>シテイ</t>
    </rPh>
    <rPh sb="11" eb="13">
      <t>アンケン</t>
    </rPh>
    <rPh sb="13" eb="15">
      <t>カンリ</t>
    </rPh>
    <rPh sb="15" eb="17">
      <t>クブン</t>
    </rPh>
    <rPh sb="18" eb="20">
      <t>タイオウ</t>
    </rPh>
    <phoneticPr fontId="1"/>
  </si>
  <si>
    <t>MSUA(P/C/L)0030</t>
    <phoneticPr fontId="1"/>
  </si>
  <si>
    <t>WrkSts</t>
    <phoneticPr fontId="1"/>
  </si>
  <si>
    <t>案件状況</t>
    <rPh sb="0" eb="2">
      <t>アンケン</t>
    </rPh>
    <rPh sb="2" eb="4">
      <t>ジョウキョウ</t>
    </rPh>
    <phoneticPr fontId="1"/>
  </si>
  <si>
    <t>案件管理から、案件管理区分が「1：案件状況」のものだけを取得する</t>
    <rPh sb="0" eb="2">
      <t>アンケン</t>
    </rPh>
    <rPh sb="2" eb="4">
      <t>カンリ</t>
    </rPh>
    <rPh sb="7" eb="9">
      <t>アンケン</t>
    </rPh>
    <rPh sb="9" eb="11">
      <t>カンリ</t>
    </rPh>
    <rPh sb="11" eb="13">
      <t>クブン</t>
    </rPh>
    <rPh sb="17" eb="19">
      <t>アンケン</t>
    </rPh>
    <rPh sb="19" eb="21">
      <t>ジョウキョウ</t>
    </rPh>
    <rPh sb="28" eb="30">
      <t>シュトク</t>
    </rPh>
    <phoneticPr fontId="1"/>
  </si>
  <si>
    <t>MSBC</t>
    <phoneticPr fontId="1"/>
  </si>
  <si>
    <t>MSUA(P/C/L)0040</t>
  </si>
  <si>
    <t>DivSeq</t>
    <phoneticPr fontId="1"/>
  </si>
  <si>
    <t>製造指図ＮＯ分割枝番</t>
    <rPh sb="0" eb="2">
      <t>セイゾウ</t>
    </rPh>
    <rPh sb="2" eb="4">
      <t>サシズ</t>
    </rPh>
    <rPh sb="6" eb="8">
      <t>ブンカツ</t>
    </rPh>
    <rPh sb="8" eb="10">
      <t>エダバン</t>
    </rPh>
    <phoneticPr fontId="1"/>
  </si>
  <si>
    <t>指定した製造指図ＮＯに対応する分割連番などの情報を、製造指図、実績から取得する</t>
    <phoneticPr fontId="1"/>
  </si>
  <si>
    <t>ItmDtlBomPtn</t>
    <phoneticPr fontId="1"/>
  </si>
  <si>
    <t>計画製造構成パタン</t>
    <rPh sb="0" eb="2">
      <t>ケイカク</t>
    </rPh>
    <rPh sb="2" eb="4">
      <t>セイゾウ</t>
    </rPh>
    <rPh sb="4" eb="6">
      <t>コウセイ</t>
    </rPh>
    <phoneticPr fontId="1"/>
  </si>
  <si>
    <t>品目詳細マスタに登録している構成パタンを取得する</t>
    <rPh sb="0" eb="2">
      <t>ヒンモク</t>
    </rPh>
    <rPh sb="2" eb="4">
      <t>ショウサイ</t>
    </rPh>
    <rPh sb="8" eb="10">
      <t>トウロク</t>
    </rPh>
    <rPh sb="14" eb="16">
      <t>コウセイ</t>
    </rPh>
    <phoneticPr fontId="1"/>
  </si>
  <si>
    <t>ItmDtlMaker</t>
    <phoneticPr fontId="1"/>
  </si>
  <si>
    <t>計画メーカ</t>
    <rPh sb="0" eb="2">
      <t>ケイカク</t>
    </rPh>
    <phoneticPr fontId="1"/>
  </si>
  <si>
    <t>品目詳細マスタに登録しているメーカを取得する</t>
    <rPh sb="0" eb="2">
      <t>ヒンモク</t>
    </rPh>
    <rPh sb="2" eb="4">
      <t>ショウサイ</t>
    </rPh>
    <rPh sb="8" eb="10">
      <t>トウロク</t>
    </rPh>
    <phoneticPr fontId="1"/>
  </si>
  <si>
    <t>ItmDtlMfgLoc</t>
    <phoneticPr fontId="1"/>
  </si>
  <si>
    <t>計画製造場所</t>
    <rPh sb="0" eb="2">
      <t>ケイカク</t>
    </rPh>
    <rPh sb="2" eb="4">
      <t>セイゾウ</t>
    </rPh>
    <rPh sb="4" eb="6">
      <t>バショ</t>
    </rPh>
    <phoneticPr fontId="1"/>
  </si>
  <si>
    <t>品目詳細マスタに登録している製造場所を取得する</t>
    <rPh sb="0" eb="2">
      <t>ヒンモク</t>
    </rPh>
    <rPh sb="2" eb="4">
      <t>ショウサイ</t>
    </rPh>
    <rPh sb="8" eb="10">
      <t>トウロク</t>
    </rPh>
    <rPh sb="14" eb="16">
      <t>セイゾウ</t>
    </rPh>
    <rPh sb="16" eb="18">
      <t>バショ</t>
    </rPh>
    <rPh sb="19" eb="21">
      <t>シュトク</t>
    </rPh>
    <phoneticPr fontId="1"/>
  </si>
  <si>
    <t>ItmDtlSppl</t>
    <phoneticPr fontId="1"/>
  </si>
  <si>
    <t>計画発注先</t>
    <rPh sb="0" eb="2">
      <t>ケイカク</t>
    </rPh>
    <rPh sb="2" eb="4">
      <t>ハッチュウ</t>
    </rPh>
    <rPh sb="4" eb="5">
      <t>サキ</t>
    </rPh>
    <phoneticPr fontId="1"/>
  </si>
  <si>
    <t>品目詳細マスタに登録している発注先を取得する</t>
    <rPh sb="0" eb="2">
      <t>ヒンモク</t>
    </rPh>
    <rPh sb="2" eb="4">
      <t>ショウサイ</t>
    </rPh>
    <rPh sb="8" eb="10">
      <t>トウロク</t>
    </rPh>
    <rPh sb="14" eb="16">
      <t>ハッチュウ</t>
    </rPh>
    <rPh sb="16" eb="17">
      <t>サキ</t>
    </rPh>
    <phoneticPr fontId="1"/>
  </si>
  <si>
    <t>MpsItmGrp</t>
    <phoneticPr fontId="1"/>
  </si>
  <si>
    <t>ＭＰＳ品目グループ</t>
    <rPh sb="3" eb="5">
      <t>ヒンモク</t>
    </rPh>
    <phoneticPr fontId="1"/>
  </si>
  <si>
    <t>ＭＰＳ品目マスタに登録しているＭＰＳグループ情報を取得する</t>
  </si>
  <si>
    <t>MSBE</t>
    <phoneticPr fontId="1"/>
  </si>
  <si>
    <t>MSUA(P/C/L)0060</t>
  </si>
  <si>
    <t>StkBp</t>
    <phoneticPr fontId="1"/>
  </si>
  <si>
    <t>在庫取引先</t>
    <phoneticPr fontId="1"/>
  </si>
  <si>
    <t>在庫識別区分から求めた取引先入力補助検索区分をもとに抽出した取引先マスタの情報を取得する
NULL文字を使用する場合は、mode_nullval_flgにtrueを設定する</t>
    <rPh sb="0" eb="2">
      <t>ザイコ</t>
    </rPh>
    <rPh sb="2" eb="4">
      <t>シキベツ</t>
    </rPh>
    <rPh sb="4" eb="6">
      <t>クブン</t>
    </rPh>
    <rPh sb="8" eb="9">
      <t>モト</t>
    </rPh>
    <rPh sb="11" eb="14">
      <t>トリヒキサキ</t>
    </rPh>
    <rPh sb="14" eb="16">
      <t>ニュウリョク</t>
    </rPh>
    <rPh sb="16" eb="18">
      <t>ホジョ</t>
    </rPh>
    <rPh sb="18" eb="22">
      <t>ケンサククブン</t>
    </rPh>
    <rPh sb="26" eb="28">
      <t>チュウシュツ</t>
    </rPh>
    <rPh sb="30" eb="33">
      <t>トリヒキサキ</t>
    </rPh>
    <rPh sb="37" eb="39">
      <t>ジョウホウ</t>
    </rPh>
    <rPh sb="40" eb="42">
      <t>シュトク</t>
    </rPh>
    <phoneticPr fontId="1"/>
  </si>
  <si>
    <t>MSBF</t>
    <phoneticPr fontId="1"/>
  </si>
  <si>
    <t>MSUA(P/C/L)0070</t>
  </si>
  <si>
    <t>SublotNo</t>
    <phoneticPr fontId="1"/>
  </si>
  <si>
    <t>サブロットＮＯ</t>
    <phoneticPr fontId="1"/>
  </si>
  <si>
    <t>指定した品目と枝番１、枝番２、枝番３、ロットＮＯに対応するロット管理情報を取得する</t>
    <rPh sb="32" eb="34">
      <t>カンリ</t>
    </rPh>
    <rPh sb="34" eb="36">
      <t>ジョウホウ</t>
    </rPh>
    <phoneticPr fontId="1"/>
  </si>
  <si>
    <t>MSBG</t>
  </si>
  <si>
    <t>MSUA(P/C/L)0080</t>
  </si>
  <si>
    <t>SttlRcv</t>
    <phoneticPr fontId="1"/>
  </si>
  <si>
    <t>決済方法（入金）</t>
  </si>
  <si>
    <t>決済方法マスタから、債権決済区分が入金に関連するもの（「1：現金」または「2：振込」または「3：手形」）の決済方法情報を取得する
振込人名を取得する場合は、入金先を指定する
また、複数の入金登録区分に紐づく決済方法情報を取得したい場合は、入金登録区分１～３に指定する</t>
    <phoneticPr fontId="1"/>
  </si>
  <si>
    <t>ソース</t>
    <phoneticPr fontId="1"/>
  </si>
  <si>
    <t>MS</t>
  </si>
  <si>
    <t>MSUA(P/C/L)0010</t>
    <phoneticPr fontId="1"/>
  </si>
  <si>
    <t>InXfrTyp</t>
  </si>
  <si>
    <t>積送品区分</t>
  </si>
  <si>
    <t>MSUA(P/C/L)0010</t>
    <phoneticPr fontId="1"/>
  </si>
  <si>
    <t>StkIdTyp</t>
  </si>
  <si>
    <t>在庫識別区分</t>
  </si>
  <si>
    <t>ItmOrdLdStsTyp</t>
  </si>
  <si>
    <t>品目オーダ負荷状況区分</t>
  </si>
  <si>
    <t>LdDtlTyp</t>
  </si>
  <si>
    <t>負荷明細区分</t>
  </si>
  <si>
    <t>LdSubCalcTyp</t>
  </si>
  <si>
    <t>負荷内訳計算区分</t>
  </si>
  <si>
    <t>DmndTyp</t>
  </si>
  <si>
    <t>需要区分</t>
  </si>
  <si>
    <t>IoTyp</t>
  </si>
  <si>
    <t>入出庫区分</t>
  </si>
  <si>
    <t>TrnTyp</t>
  </si>
  <si>
    <t>トランザクション区分</t>
  </si>
  <si>
    <t>IoActTyp</t>
  </si>
  <si>
    <t>受払区分</t>
  </si>
  <si>
    <t>FixNoTyp</t>
  </si>
  <si>
    <t>確定ＮＯ区分</t>
  </si>
  <si>
    <t>StkInspTyp</t>
  </si>
  <si>
    <t>在庫検査区分</t>
  </si>
  <si>
    <t>InToIdTyp</t>
  </si>
  <si>
    <t>納入先識別区分</t>
  </si>
  <si>
    <t>DlvIdTyp</t>
  </si>
  <si>
    <t>納品先識別区分</t>
  </si>
  <si>
    <t>ShipToIdTyp</t>
  </si>
  <si>
    <t>送付先識別区分</t>
  </si>
  <si>
    <t>ShipRqstIdTyp</t>
  </si>
  <si>
    <t>出荷依頼先識別区分</t>
  </si>
  <si>
    <t>ShipAssortTyp</t>
  </si>
  <si>
    <t>出荷品揃区分</t>
  </si>
  <si>
    <t>AdvShipCtrlTyp</t>
  </si>
  <si>
    <t>前受金出荷制御区分</t>
  </si>
  <si>
    <t>SlsSchdSrcTyp</t>
  </si>
  <si>
    <t>売上予定作成元区分</t>
  </si>
  <si>
    <t>SretSchdStsTyp</t>
  </si>
  <si>
    <t>売上返品予定状況区分</t>
  </si>
  <si>
    <t>AccptStsTyp</t>
  </si>
  <si>
    <t>検収状況区分</t>
  </si>
  <si>
    <t>SlsTgtTyp</t>
  </si>
  <si>
    <t>売上対象区分</t>
  </si>
  <si>
    <t>AllocStsTyp</t>
  </si>
  <si>
    <t>引当状況区分</t>
    <rPh sb="0" eb="2">
      <t>ヒキアテ</t>
    </rPh>
    <rPh sb="2" eb="4">
      <t>ジョウキョウ</t>
    </rPh>
    <rPh sb="4" eb="6">
      <t>クブン</t>
    </rPh>
    <phoneticPr fontId="12"/>
  </si>
  <si>
    <t>PrStsTyp</t>
  </si>
  <si>
    <t>進捗状況区分</t>
  </si>
  <si>
    <t>SlsStsTyp</t>
  </si>
  <si>
    <t>販売状況区分</t>
  </si>
  <si>
    <t>SlsSrchTgtTyp</t>
  </si>
  <si>
    <t>販売検索対象区分</t>
  </si>
  <si>
    <t>PurcSrchTgtTyp</t>
  </si>
  <si>
    <t>購買検索対象区分</t>
  </si>
  <si>
    <t>ProdSrchTgtTyp</t>
  </si>
  <si>
    <t>生産検索対象区分</t>
  </si>
  <si>
    <t>StkSrchTgtTyp</t>
  </si>
  <si>
    <t>在庫物流検索対象区分</t>
  </si>
  <si>
    <t>PoSchdSrcTyp</t>
  </si>
  <si>
    <t>発注予定作成元区分</t>
  </si>
  <si>
    <t>PurcSrcTyp</t>
  </si>
  <si>
    <t>仕入作成元区分</t>
  </si>
  <si>
    <t>MSUA(P/C/L)0010</t>
    <phoneticPr fontId="1"/>
  </si>
  <si>
    <t>PoSchdChgTyp</t>
  </si>
  <si>
    <t>発注予定変更区分</t>
  </si>
  <si>
    <t>UpriModTyp</t>
  </si>
  <si>
    <t>単価訂正理由区分</t>
  </si>
  <si>
    <t>PoSchdStsTyp</t>
  </si>
  <si>
    <t>発注予定状況区分</t>
  </si>
  <si>
    <t>PurcStsTyp</t>
  </si>
  <si>
    <t>購買状況区分</t>
  </si>
  <si>
    <t>DrctDlvTyp</t>
  </si>
  <si>
    <t>直納区分</t>
  </si>
  <si>
    <t>PurcUnfixStr</t>
  </si>
  <si>
    <t>仕入未確定文字列</t>
    <rPh sb="2" eb="5">
      <t>ミカクテイ</t>
    </rPh>
    <phoneticPr fontId="12"/>
  </si>
  <si>
    <t>OpRplMtdTyp</t>
  </si>
  <si>
    <t>発注点在庫補充方法区分</t>
  </si>
  <si>
    <t>MSUA(P/C/L)0010</t>
    <phoneticPr fontId="1"/>
  </si>
  <si>
    <t>WrkMngTyp</t>
  </si>
  <si>
    <t>案件管理区分</t>
  </si>
  <si>
    <t>QtnTyp</t>
  </si>
  <si>
    <t>見積区分</t>
  </si>
  <si>
    <t>IoSchdTyp</t>
  </si>
  <si>
    <t>受払予定区分</t>
  </si>
  <si>
    <t>リストロジック対象の受払予定区分を取得する</t>
    <rPh sb="7" eb="9">
      <t>タイショウ</t>
    </rPh>
    <rPh sb="17" eb="19">
      <t>シュトク</t>
    </rPh>
    <phoneticPr fontId="1"/>
  </si>
  <si>
    <t>IoSchdStsTyp</t>
  </si>
  <si>
    <t>受払予定状況区分</t>
  </si>
  <si>
    <t>IoSchdSubTyp</t>
  </si>
  <si>
    <t>受払予定予備区分</t>
  </si>
  <si>
    <t>ShortOpeTyp</t>
  </si>
  <si>
    <t>不足時処理区分</t>
  </si>
  <si>
    <t>SchdStkTyp</t>
  </si>
  <si>
    <t>予定在庫区分</t>
  </si>
  <si>
    <t>OrdGnrtTyp</t>
  </si>
  <si>
    <t>オーダ生成区分</t>
  </si>
  <si>
    <t>RqmtGnrtTyp</t>
  </si>
  <si>
    <t>日次生産依頼生成区分</t>
  </si>
  <si>
    <t>ItmOrdTyp</t>
  </si>
  <si>
    <t>品目オーダ区分</t>
  </si>
  <si>
    <t>ItmOrdStsTyp</t>
  </si>
  <si>
    <t>品目オーダ状況区分</t>
  </si>
  <si>
    <t>MrpRqmtTyp</t>
  </si>
  <si>
    <t>ＭＲＰ所要区分</t>
  </si>
  <si>
    <t>OperOrdStsTyp</t>
  </si>
  <si>
    <t>工程オーダ状況区分</t>
  </si>
  <si>
    <t>MrpCntrTyp</t>
  </si>
  <si>
    <t>ＭＲＰカウンタ区分</t>
  </si>
  <si>
    <t>SimMrpTyp</t>
  </si>
  <si>
    <t>シミュレーションＭＲＰ区分</t>
  </si>
  <si>
    <t>MrpTyp</t>
  </si>
  <si>
    <t>ＭＲＰ区分</t>
  </si>
  <si>
    <t>MrpDataTyp</t>
  </si>
  <si>
    <t>ＭＲＰ用データ区分</t>
  </si>
  <si>
    <t>MfgSoAprvTyp</t>
  </si>
  <si>
    <t>製造所出荷承認結果区分</t>
  </si>
  <si>
    <t>QualityMngTyp</t>
  </si>
  <si>
    <t>品質管理結果区分</t>
  </si>
  <si>
    <t>MfgMngTyp</t>
  </si>
  <si>
    <t>製造管理結果区分</t>
  </si>
  <si>
    <t>DeviantTyp</t>
  </si>
  <si>
    <t>逸脱区分</t>
  </si>
  <si>
    <t>DeviantMsrTyp</t>
  </si>
  <si>
    <t>逸脱措置区分</t>
  </si>
  <si>
    <t>ProdItmInfoTyp</t>
  </si>
  <si>
    <t>製品品質情報区分</t>
  </si>
  <si>
    <t>ChdItmInfoTyp</t>
  </si>
  <si>
    <t>原材料品質情報区分</t>
  </si>
  <si>
    <t>NumSysTyp</t>
  </si>
  <si>
    <t>発番システム区分</t>
  </si>
  <si>
    <t>SloStsTyp</t>
  </si>
  <si>
    <t>受注状況区分</t>
  </si>
  <si>
    <t>QtnStsTyp</t>
  </si>
  <si>
    <t>見積状況区分</t>
  </si>
  <si>
    <t>ArOpeTyp</t>
  </si>
  <si>
    <t>債権更新処理区分</t>
  </si>
  <si>
    <t>BillClStsTyp</t>
  </si>
  <si>
    <t>請求締状況区分</t>
  </si>
  <si>
    <t>BillTaxCalcTyp</t>
  </si>
  <si>
    <t>請求税計算区分</t>
  </si>
  <si>
    <t>BillDTyp</t>
  </si>
  <si>
    <t>請求明細区分</t>
  </si>
  <si>
    <t>RcvDatTyp</t>
  </si>
  <si>
    <t>入金情報区分</t>
  </si>
  <si>
    <t>SloTyp</t>
  </si>
  <si>
    <t>受注区分</t>
  </si>
  <si>
    <t>WrkOpeTyp</t>
  </si>
  <si>
    <t>案件処理区分</t>
  </si>
  <si>
    <t>MfgStsTyp</t>
  </si>
  <si>
    <t>製造状況区分</t>
  </si>
  <si>
    <t>MfgMtdTyp</t>
  </si>
  <si>
    <t>生産方法区分</t>
  </si>
  <si>
    <t>MiPrntStr</t>
  </si>
  <si>
    <t>製造指図書文字列</t>
  </si>
  <si>
    <t>MrPrntStr</t>
  </si>
  <si>
    <t>製造記録書文字列</t>
  </si>
  <si>
    <t>VerChgStsTyp</t>
  </si>
  <si>
    <t>版切替状況区分</t>
  </si>
  <si>
    <t>ReExtTyp</t>
  </si>
  <si>
    <t>指図再展開区分</t>
  </si>
  <si>
    <t>SlipSplitTyp</t>
  </si>
  <si>
    <t>伝票分割区分</t>
  </si>
  <si>
    <t>MfgAprvStsTyp</t>
  </si>
  <si>
    <t>製造承認状況区分</t>
  </si>
  <si>
    <t>WgRqstTyp</t>
  </si>
  <si>
    <t>ＷＧ間依頼種類区分</t>
  </si>
  <si>
    <t>WgRqstStsTyp</t>
  </si>
  <si>
    <t>ＷＧ間依頼状況区分</t>
  </si>
  <si>
    <t>WgRqstSrcTyp</t>
  </si>
  <si>
    <t>ＷＧ間依頼作成元区分</t>
  </si>
  <si>
    <t>WgRqstNtcDayTyp</t>
  </si>
  <si>
    <t>ＷＧ間依頼通知日区分</t>
    <rPh sb="5" eb="7">
      <t>ツウチ</t>
    </rPh>
    <phoneticPr fontId="12"/>
  </si>
  <si>
    <t>ProvSrcSchdTyp</t>
  </si>
  <si>
    <t>支給元予定区分</t>
  </si>
  <si>
    <t>ProvSrcActTyp</t>
  </si>
  <si>
    <t>支給元実績区分</t>
  </si>
  <si>
    <t>XfrSrcTyp</t>
  </si>
  <si>
    <t>移動・移送元区分</t>
  </si>
  <si>
    <t>StktkTyp</t>
  </si>
  <si>
    <t>棚卸種別区分</t>
  </si>
  <si>
    <t>SplnDtlTyp</t>
  </si>
  <si>
    <t>販売計画明細区分</t>
  </si>
  <si>
    <t>PfDtlTyp</t>
  </si>
  <si>
    <t>購買内示明細区分</t>
  </si>
  <si>
    <t>InspPrntStr</t>
  </si>
  <si>
    <t>検査帳票文字列</t>
  </si>
  <si>
    <t>InspTyp</t>
  </si>
  <si>
    <t>検査種類区分</t>
  </si>
  <si>
    <t>InspStsTyp</t>
  </si>
  <si>
    <t>検査状況区分</t>
  </si>
  <si>
    <t>InspAprvStsTyp</t>
  </si>
  <si>
    <t>検査承認状況区分</t>
  </si>
  <si>
    <t>StdInspRsltTyp</t>
  </si>
  <si>
    <t>規格検査結果区分</t>
  </si>
  <si>
    <t>InspJudgRsltTyp</t>
  </si>
  <si>
    <t>検査判定結果区分</t>
  </si>
  <si>
    <t>PlntAprvStsTyp</t>
  </si>
  <si>
    <t>工場出荷承認状況区分</t>
  </si>
  <si>
    <t>MrktJudgStsTyp</t>
  </si>
  <si>
    <t>市場出荷判定状況区分</t>
  </si>
  <si>
    <t>MrktJudgSrcTyp</t>
  </si>
  <si>
    <t>市場出荷判定作成元区分</t>
  </si>
  <si>
    <t>SchdActTyp</t>
  </si>
  <si>
    <t>予定実績区分</t>
  </si>
  <si>
    <t>CompItmInspTyp</t>
  </si>
  <si>
    <t>構成品検査区分</t>
  </si>
  <si>
    <t>CompItmQualityTyp</t>
  </si>
  <si>
    <t>構成品良品区分</t>
  </si>
  <si>
    <t>CompItmMfgAprvTyp</t>
  </si>
  <si>
    <t>構成品製造承認区分</t>
  </si>
  <si>
    <t>PurcPrntTyp</t>
  </si>
  <si>
    <t>購買帳票発行区分</t>
  </si>
  <si>
    <t>BillMtdTyp</t>
  </si>
  <si>
    <t>請求方式区分</t>
    <rPh sb="0" eb="2">
      <t>セイキュウ</t>
    </rPh>
    <rPh sb="2" eb="4">
      <t>ホウシキ</t>
    </rPh>
    <rPh sb="4" eb="6">
      <t>クブン</t>
    </rPh>
    <phoneticPr fontId="12"/>
  </si>
  <si>
    <t>ArSlipPrntTyp</t>
  </si>
  <si>
    <t>債権伝票帳票区分</t>
  </si>
  <si>
    <t>CredUpdTyp</t>
  </si>
  <si>
    <t>与信更新区分</t>
  </si>
  <si>
    <t>InstTyp</t>
  </si>
  <si>
    <t>指図区分</t>
    <rPh sb="0" eb="2">
      <t>サシズ</t>
    </rPh>
    <rPh sb="2" eb="4">
      <t>クブン</t>
    </rPh>
    <phoneticPr fontId="12"/>
  </si>
  <si>
    <t>AutoApplStsTyp</t>
  </si>
  <si>
    <t>自動消込状況区分</t>
  </si>
  <si>
    <t>StktkStsTyp</t>
  </si>
  <si>
    <t>棚卸状況区分</t>
  </si>
  <si>
    <t>ArrPtnTyp</t>
  </si>
  <si>
    <t>入荷パタン区分</t>
  </si>
  <si>
    <t>SlsAdjstTyp</t>
  </si>
  <si>
    <t>売上調整区分</t>
  </si>
  <si>
    <t>AdjstMtdTyp</t>
  </si>
  <si>
    <t>調整方法区分</t>
  </si>
  <si>
    <t>CstSlctTyp</t>
  </si>
  <si>
    <t>得意先抽出区分</t>
  </si>
  <si>
    <t>EiajDlvSlipStr</t>
  </si>
  <si>
    <t>ＥＩＡＪ納品書用文字列</t>
  </si>
  <si>
    <t>PoStr</t>
  </si>
  <si>
    <t>注文書用文字列</t>
  </si>
  <si>
    <t>PurcAdjstTyp</t>
  </si>
  <si>
    <t>仕入調整区分</t>
  </si>
  <si>
    <t>PlPrntStr</t>
  </si>
  <si>
    <t>パッキングリスト文字列</t>
  </si>
  <si>
    <t>IvPrntStr</t>
  </si>
  <si>
    <t>インボイス文字列</t>
  </si>
  <si>
    <t>PretSchdStsTyp</t>
  </si>
  <si>
    <t>仕入返品予定状況区分</t>
  </si>
  <si>
    <t>ShipInstStr</t>
  </si>
  <si>
    <t>出荷指図書用文字列</t>
  </si>
  <si>
    <t>PickListStr</t>
  </si>
  <si>
    <t>ピッキングリスト用文字列</t>
  </si>
  <si>
    <t>BillPrntStr</t>
  </si>
  <si>
    <t>請求書文字列</t>
  </si>
  <si>
    <t>PrntNum</t>
  </si>
  <si>
    <t>帳票設定値</t>
  </si>
  <si>
    <t>DlyMrk</t>
  </si>
  <si>
    <t>遅延マーク</t>
  </si>
  <si>
    <t>StktkListStr</t>
  </si>
  <si>
    <t>棚卸帳票用文字列</t>
  </si>
  <si>
    <t>DlvSlipStr</t>
  </si>
  <si>
    <t>納品書用文字列</t>
  </si>
  <si>
    <t>MSBA</t>
    <phoneticPr fontId="1"/>
  </si>
  <si>
    <t>MSUA(P/C/L)0020</t>
    <phoneticPr fontId="1"/>
  </si>
  <si>
    <t>WgRqstTyp</t>
    <phoneticPr fontId="1"/>
  </si>
  <si>
    <t>依頼方法区分</t>
  </si>
  <si>
    <t>MSUA(P/C/L)0050</t>
    <phoneticPr fontId="1"/>
  </si>
  <si>
    <t>PurcSrchTgtTyp</t>
    <phoneticPr fontId="1"/>
  </si>
  <si>
    <t>購買管理サブモジュールで検索対象区分で指定できるＮＯを表す区分を取得する</t>
    <phoneticPr fontId="1"/>
  </si>
  <si>
    <t>MSBE</t>
  </si>
  <si>
    <t>ProvTyp</t>
  </si>
  <si>
    <t>支給区分</t>
  </si>
  <si>
    <t>支給区分を取得する
有償支給先の場合は有償支給先フラグ、資産管理区分を指定する</t>
    <rPh sb="0" eb="2">
      <t>シキュウ</t>
    </rPh>
    <rPh sb="2" eb="4">
      <t>クブン</t>
    </rPh>
    <rPh sb="5" eb="7">
      <t>シュトク</t>
    </rPh>
    <rPh sb="16" eb="18">
      <t>バアイ</t>
    </rPh>
    <rPh sb="35" eb="37">
      <t>シテイ</t>
    </rPh>
    <phoneticPr fontId="1"/>
  </si>
  <si>
    <t>以下の条件に応じて、入出庫に関する在庫識別区分を取得する
出庫発注先、入庫発注先、インボイス取引フラグ、移動実績フラグ、出荷実績フラグ</t>
    <rPh sb="3" eb="5">
      <t>ジョウケン</t>
    </rPh>
    <rPh sb="6" eb="7">
      <t>オウ</t>
    </rPh>
    <rPh sb="17" eb="19">
      <t>ザイコ</t>
    </rPh>
    <phoneticPr fontId="1"/>
  </si>
  <si>
    <t>MSBG</t>
    <phoneticPr fontId="1"/>
  </si>
  <si>
    <t>MSUA(P/C/L)0080</t>
    <phoneticPr fontId="1"/>
  </si>
  <si>
    <t>ArOpeTyp</t>
    <phoneticPr fontId="1"/>
  </si>
  <si>
    <t>リストロジックＩＤ</t>
    <phoneticPr fontId="1"/>
  </si>
  <si>
    <t>SloNo</t>
    <phoneticPr fontId="1"/>
  </si>
  <si>
    <t>受注ＮＯ</t>
  </si>
  <si>
    <t>受注ヘッダと受注明細を結合したビューから、取消していない受注の受注ＮＯを取得する</t>
    <rPh sb="0" eb="2">
      <t>ジュチュウ</t>
    </rPh>
    <rPh sb="6" eb="10">
      <t>ジュチュウメイサイ</t>
    </rPh>
    <rPh sb="11" eb="13">
      <t>ケツゴウ</t>
    </rPh>
    <rPh sb="21" eb="23">
      <t>トリケシ</t>
    </rPh>
    <rPh sb="28" eb="30">
      <t>ジュチュウ</t>
    </rPh>
    <rPh sb="31" eb="33">
      <t>ジュチュウ</t>
    </rPh>
    <rPh sb="36" eb="38">
      <t>シュトク</t>
    </rPh>
    <phoneticPr fontId="1"/>
  </si>
  <si>
    <t>Sno1_WrkNo</t>
    <phoneticPr fontId="1"/>
  </si>
  <si>
    <t>手配ＮＯ１＿案件ＮＯ</t>
    <phoneticPr fontId="1"/>
  </si>
  <si>
    <t>案件と案件手配紐付き情報を結合したビューから、取消していない手配ＮＯ及び案件情報を取得する</t>
    <rPh sb="30" eb="32">
      <t>テハイ</t>
    </rPh>
    <rPh sb="34" eb="35">
      <t>オヨ</t>
    </rPh>
    <rPh sb="36" eb="38">
      <t>アンケン</t>
    </rPh>
    <rPh sb="38" eb="40">
      <t>ジョウホウ</t>
    </rPh>
    <rPh sb="41" eb="43">
      <t>シュトク</t>
    </rPh>
    <phoneticPr fontId="1"/>
  </si>
  <si>
    <t>WrkNo</t>
    <phoneticPr fontId="1"/>
  </si>
  <si>
    <t>案件ＮＯ</t>
    <rPh sb="0" eb="2">
      <t>アンケン</t>
    </rPh>
    <phoneticPr fontId="1"/>
  </si>
  <si>
    <t>案件に登録している案件情報を取得する</t>
    <phoneticPr fontId="1"/>
  </si>
  <si>
    <t>MSBC</t>
  </si>
  <si>
    <t>MfgInstNo</t>
    <phoneticPr fontId="1"/>
  </si>
  <si>
    <t>製造指図ＮＯ</t>
    <rPh sb="0" eb="2">
      <t>セイゾウ</t>
    </rPh>
    <rPh sb="2" eb="4">
      <t>サシズ</t>
    </rPh>
    <phoneticPr fontId="1"/>
  </si>
  <si>
    <t>製造指図、実績から製造指図ＮＯに関連した情報を取得する</t>
    <phoneticPr fontId="1"/>
  </si>
  <si>
    <t>DlvId</t>
    <phoneticPr fontId="1"/>
  </si>
  <si>
    <t>納品先</t>
    <rPh sb="0" eb="2">
      <t>ノウヒン</t>
    </rPh>
    <rPh sb="2" eb="3">
      <t>サキ</t>
    </rPh>
    <phoneticPr fontId="1"/>
  </si>
  <si>
    <t>納品先識別ビューから納品先情報を取得する</t>
    <phoneticPr fontId="1"/>
  </si>
  <si>
    <t>ShipRqstId</t>
    <phoneticPr fontId="1"/>
  </si>
  <si>
    <t>出荷依頼先</t>
    <rPh sb="0" eb="2">
      <t>シュッカ</t>
    </rPh>
    <rPh sb="2" eb="4">
      <t>イライ</t>
    </rPh>
    <rPh sb="4" eb="5">
      <t>サキ</t>
    </rPh>
    <phoneticPr fontId="1"/>
  </si>
  <si>
    <t>出荷依頼先識別ビューから出荷依頼先情報を取得する</t>
    <phoneticPr fontId="1"/>
  </si>
  <si>
    <t>ShipToId</t>
    <phoneticPr fontId="1"/>
  </si>
  <si>
    <t>送付先</t>
    <rPh sb="0" eb="3">
      <t>ソウフサキ</t>
    </rPh>
    <phoneticPr fontId="1"/>
  </si>
  <si>
    <t>送付先識別ビューから送付先情報を取得する</t>
    <phoneticPr fontId="1"/>
  </si>
  <si>
    <t>MSBF</t>
  </si>
  <si>
    <t>LotNo</t>
    <phoneticPr fontId="1"/>
  </si>
  <si>
    <t>ロットＮＯ</t>
    <phoneticPr fontId="1"/>
  </si>
  <si>
    <t>ロット管理情報に登録している情報を取得する</t>
    <rPh sb="3" eb="5">
      <t>カンリ</t>
    </rPh>
    <rPh sb="5" eb="7">
      <t>ジョウホウ</t>
    </rPh>
    <phoneticPr fontId="1"/>
  </si>
  <si>
    <t>一覧（通信）</t>
    <rPh sb="0" eb="2">
      <t>イチラン</t>
    </rPh>
    <rPh sb="3" eb="5">
      <t>ツウシン</t>
    </rPh>
    <phoneticPr fontId="1"/>
  </si>
  <si>
    <t>一覧（非通信）</t>
    <rPh sb="0" eb="2">
      <t>イチラン</t>
    </rPh>
    <rPh sb="3" eb="4">
      <t>ヒ</t>
    </rPh>
    <rPh sb="4" eb="6">
      <t>ツウシン</t>
    </rPh>
    <phoneticPr fontId="1"/>
  </si>
  <si>
    <t>一覧（入力補助画面用カラム名クラス）</t>
    <rPh sb="0" eb="2">
      <t>イチラン</t>
    </rPh>
    <rPh sb="3" eb="5">
      <t>ニュウリョク</t>
    </rPh>
    <rPh sb="5" eb="7">
      <t>ホジョ</t>
    </rPh>
    <rPh sb="7" eb="10">
      <t>ガメンヨウ</t>
    </rPh>
    <rPh sb="13" eb="14">
      <t>メイ</t>
    </rPh>
    <phoneticPr fontId="1"/>
  </si>
  <si>
    <t>MSUA(P/C/L)0040</t>
    <phoneticPr fontId="1"/>
  </si>
  <si>
    <t>PurcSpecNo</t>
    <phoneticPr fontId="1"/>
  </si>
  <si>
    <t>初物判定</t>
    <rPh sb="0" eb="2">
      <t>ハツモノ</t>
    </rPh>
    <rPh sb="2" eb="4">
      <t>ハンテイ</t>
    </rPh>
    <phoneticPr fontId="1"/>
  </si>
  <si>
    <t>購入仕様書Noを元に発注情報から初物FLGを取得する。</t>
    <rPh sb="0" eb="2">
      <t>コウニュウ</t>
    </rPh>
    <rPh sb="2" eb="5">
      <t>シヨウショ</t>
    </rPh>
    <rPh sb="8" eb="9">
      <t>モト</t>
    </rPh>
    <rPh sb="10" eb="12">
      <t>ハッチュウ</t>
    </rPh>
    <rPh sb="12" eb="14">
      <t>ジョウホウ</t>
    </rPh>
    <rPh sb="16" eb="18">
      <t>ハツモノ</t>
    </rPh>
    <rPh sb="22" eb="24">
      <t>シュトク</t>
    </rPh>
    <phoneticPr fontId="1"/>
  </si>
  <si>
    <t>種別</t>
    <rPh sb="0" eb="2">
      <t>シュベツ</t>
    </rPh>
    <phoneticPr fontId="1"/>
  </si>
  <si>
    <t>ア</t>
    <phoneticPr fontId="1"/>
  </si>
  <si>
    <t>レビュー記録</t>
    <rPh sb="4" eb="6">
      <t>キロク</t>
    </rPh>
    <phoneticPr fontId="1"/>
  </si>
  <si>
    <t>レビュー実施記録</t>
    <rPh sb="4" eb="6">
      <t>ジッシ</t>
    </rPh>
    <rPh sb="6" eb="8">
      <t>キロク</t>
    </rPh>
    <phoneticPr fontId="1"/>
  </si>
  <si>
    <t>レビュー日</t>
    <rPh sb="4" eb="5">
      <t>ビ</t>
    </rPh>
    <phoneticPr fontId="1"/>
  </si>
  <si>
    <t>開催場所</t>
    <rPh sb="0" eb="2">
      <t>カイサイ</t>
    </rPh>
    <rPh sb="2" eb="4">
      <t>バショ</t>
    </rPh>
    <phoneticPr fontId="1"/>
  </si>
  <si>
    <t>参加者</t>
    <rPh sb="0" eb="3">
      <t>サンカシャ</t>
    </rPh>
    <phoneticPr fontId="1"/>
  </si>
  <si>
    <t>本社</t>
    <rPh sb="0" eb="2">
      <t>ホンシャ</t>
    </rPh>
    <phoneticPr fontId="1"/>
  </si>
  <si>
    <t>EU：××、××</t>
    <phoneticPr fontId="1"/>
  </si>
  <si>
    <t>レビュー指摘・確認対応記録</t>
    <rPh sb="4" eb="6">
      <t>シテキ</t>
    </rPh>
    <rPh sb="7" eb="9">
      <t>カクニン</t>
    </rPh>
    <rPh sb="9" eb="11">
      <t>タイオウ</t>
    </rPh>
    <rPh sb="11" eb="13">
      <t>キロク</t>
    </rPh>
    <phoneticPr fontId="1"/>
  </si>
  <si>
    <t>NO</t>
    <phoneticPr fontId="1"/>
  </si>
  <si>
    <t>指摘・確認事項</t>
    <rPh sb="0" eb="2">
      <t>シテキ</t>
    </rPh>
    <rPh sb="3" eb="5">
      <t>カクニン</t>
    </rPh>
    <rPh sb="5" eb="7">
      <t>ジコウ</t>
    </rPh>
    <phoneticPr fontId="1"/>
  </si>
  <si>
    <t>回答</t>
    <rPh sb="0" eb="2">
      <t>カイトウ</t>
    </rPh>
    <phoneticPr fontId="1"/>
  </si>
  <si>
    <t>確認日</t>
    <rPh sb="0" eb="2">
      <t>カクニン</t>
    </rPh>
    <rPh sb="2" eb="3">
      <t>ビ</t>
    </rPh>
    <phoneticPr fontId="1"/>
  </si>
  <si>
    <t>担当者</t>
    <rPh sb="0" eb="3">
      <t>タントウシャ</t>
    </rPh>
    <phoneticPr fontId="1"/>
  </si>
  <si>
    <t>内容</t>
    <rPh sb="0" eb="2">
      <t>ナイヨウ</t>
    </rPh>
    <phoneticPr fontId="1"/>
  </si>
  <si>
    <t>××</t>
    <phoneticPr fontId="1"/>
  </si>
  <si>
    <t>BP：××、××</t>
    <phoneticPr fontId="1"/>
  </si>
  <si>
    <t>B-ENG：××、××</t>
    <phoneticPr fontId="1"/>
  </si>
  <si>
    <t>NO</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</si>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</sst>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6">
    <font>
      <sz val="9"/>
      <name val="ＭＳ Ｐゴシック"/>
      <family val="3"/>
      <charset val="128"/>
    </font>
    <font>
      <sz val="6"/>
      <name val="ＭＳ Ｐゴシック"/>
      <family val="3"/>
      <charset val="128"/>
    </font>
    <font>
      <b/>
      <sz val="9"/>
      <name val="ＭＳ Ｐゴシック"/>
      <family val="3"/>
      <charset val="128"/>
    </font>
    <font>
      <sz val="9"/>
      <name val="Meiryo UI"/>
      <family val="3"/>
      <charset val="128"/>
    </font>
    <font>
      <b/>
      <sz val="11"/>
      <name val="Meiryo UI"/>
      <family val="3"/>
      <charset val="128"/>
    </font>
    <font>
      <sz val="11"/>
      <name val="Meiryo UI"/>
      <family val="3"/>
      <charset val="128"/>
    </font>
    <font>
      <b/>
      <sz val="20"/>
      <color indexed="10"/>
      <name val="Meiryo UI"/>
      <family val="3"/>
      <charset val="128"/>
    </font>
    <font>
      <b/>
      <sz val="9"/>
      <color rgb="FFFF0000"/>
      <name val="Meiryo UI"/>
      <family val="3"/>
      <charset val="128"/>
    </font>
    <font>
      <b/>
      <sz val="12"/>
      <name val="Meiryo UI"/>
      <family val="3"/>
      <charset val="128"/>
    </font>
    <font>
      <b/>
      <sz val="10"/>
      <name val="Meiryo UI"/>
      <family val="3"/>
      <charset val="128"/>
    </font>
    <font>
      <sz val="10"/>
      <name val="Meiryo UI"/>
      <family val="3"/>
      <charset val="128"/>
    </font>
    <font>
      <b/>
      <sz val="9"/>
      <name val="Meiryo UI"/>
      <family val="3"/>
      <charset val="128"/>
    </font>
    <font>
      <sz val="11"/>
      <name val="ＭＳ Ｐゴシック"/>
      <family val="3"/>
      <charset val="128"/>
    </font>
    <font>
      <sz val="10"/>
      <color rgb="FF00B0F0"/>
      <name val="Meiryo UI"/>
      <family val="3"/>
      <charset val="128"/>
    </font>
    <font>
      <sz val="10"/>
      <color theme="0"/>
      <name val="Meiryo UI"/>
      <family val="3"/>
      <charset val="128"/>
    </font>
    <font>
      <sz val="9"/>
      <name val="ＭＳ Ｐゴシック"/>
      <family val="3"/>
      <charset val="128"/>
    </font>
  </fonts>
  <fills count="8">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rgb="FFCCFFCC"/>
        <bgColor indexed="64"/>
      </patternFill>
    </fill>
    <fill>
      <patternFill patternType="solid">
        <fgColor rgb="FFFFFF99"/>
        <bgColor indexed="64"/>
      </patternFill>
    </fill>
    <fill>
      <patternFill patternType="solid">
        <fgColor theme="5" tint="0.79998168889431442"/>
        <bgColor indexed="64"/>
      </patternFill>
    </fill>
    <fill>
      <patternFill patternType="solid">
        <fgColor rgb="FFFF0000"/>
        <bgColor indexed="64"/>
      </patternFill>
    </fill>
  </fills>
  <borders count="88">
    <border>
      <left/>
      <right/>
      <top/>
      <bottom/>
      <diagonal/>
    </border>
    <border>
      <left/>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top style="medium">
        <color indexed="64"/>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double">
        <color indexed="64"/>
      </top>
      <bottom style="thin">
        <color indexed="64"/>
      </bottom>
      <diagonal/>
    </border>
    <border>
      <left style="medium">
        <color indexed="64"/>
      </left>
      <right/>
      <top/>
      <bottom style="double">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style="hair">
        <color indexed="64"/>
      </right>
      <top style="thin">
        <color indexed="64"/>
      </top>
      <bottom style="double">
        <color indexed="64"/>
      </bottom>
      <diagonal/>
    </border>
    <border>
      <left style="medium">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2" fillId="0" borderId="0"/>
  </cellStyleXfs>
  <cellXfs count="254">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Fill="1">
      <alignment vertical="center"/>
    </xf>
    <xf numFmtId="0" fontId="7" fillId="0" borderId="0" xfId="0" applyFont="1" applyFill="1">
      <alignment vertical="center"/>
    </xf>
    <xf numFmtId="0" fontId="3" fillId="0" borderId="9" xfId="0" applyNumberFormat="1" applyFont="1" applyBorder="1" applyAlignment="1">
      <alignment horizontal="center" vertical="top"/>
    </xf>
    <xf numFmtId="0" fontId="0" fillId="0" borderId="0" xfId="0" applyAlignment="1">
      <alignment horizontal="center" vertical="center"/>
    </xf>
    <xf numFmtId="0" fontId="2" fillId="0" borderId="0" xfId="0" applyFont="1">
      <alignment vertical="center"/>
    </xf>
    <xf numFmtId="0" fontId="3" fillId="0" borderId="11" xfId="0" applyFont="1" applyBorder="1">
      <alignment vertical="center"/>
    </xf>
    <xf numFmtId="0" fontId="3" fillId="0" borderId="1" xfId="0" applyFont="1" applyBorder="1">
      <alignment vertical="center"/>
    </xf>
    <xf numFmtId="0" fontId="3" fillId="0" borderId="21" xfId="0" applyFont="1" applyBorder="1">
      <alignment vertical="center"/>
    </xf>
    <xf numFmtId="0" fontId="3" fillId="0" borderId="7" xfId="0" applyFont="1" applyBorder="1" applyAlignment="1">
      <alignment vertical="top" wrapText="1"/>
    </xf>
    <xf numFmtId="0" fontId="3" fillId="0" borderId="23" xfId="0" applyFont="1" applyBorder="1" applyAlignment="1">
      <alignment horizontal="center" vertical="top"/>
    </xf>
    <xf numFmtId="0" fontId="3" fillId="0" borderId="22" xfId="0" applyFont="1" applyBorder="1" applyAlignment="1">
      <alignment horizontal="center" vertical="top"/>
    </xf>
    <xf numFmtId="0" fontId="11" fillId="2" borderId="5" xfId="0" applyFont="1" applyFill="1" applyBorder="1" applyAlignment="1">
      <alignment horizontal="center"/>
    </xf>
    <xf numFmtId="0" fontId="3" fillId="0" borderId="6" xfId="0" applyFont="1" applyBorder="1" applyAlignment="1">
      <alignment vertical="top" wrapText="1"/>
    </xf>
    <xf numFmtId="177" fontId="3" fillId="0" borderId="7" xfId="0" applyNumberFormat="1" applyFont="1" applyBorder="1" applyAlignment="1">
      <alignment horizontal="center" vertical="top"/>
    </xf>
    <xf numFmtId="14" fontId="3" fillId="0" borderId="23" xfId="0" applyNumberFormat="1" applyFont="1" applyBorder="1" applyAlignment="1">
      <alignment horizontal="center" vertical="top"/>
    </xf>
    <xf numFmtId="0" fontId="3" fillId="0" borderId="25" xfId="0" applyFont="1" applyBorder="1" applyAlignment="1">
      <alignment horizontal="center" vertical="top"/>
    </xf>
    <xf numFmtId="0" fontId="11" fillId="2" borderId="24" xfId="0" applyFont="1" applyFill="1" applyBorder="1" applyAlignment="1">
      <alignment horizontal="center"/>
    </xf>
    <xf numFmtId="0" fontId="3" fillId="0" borderId="23" xfId="0" applyNumberFormat="1" applyFont="1" applyBorder="1" applyAlignment="1">
      <alignment horizontal="center" vertical="top"/>
    </xf>
    <xf numFmtId="0" fontId="11" fillId="2" borderId="27" xfId="0" applyFont="1" applyFill="1" applyBorder="1" applyAlignment="1">
      <alignment horizontal="center"/>
    </xf>
    <xf numFmtId="0" fontId="11" fillId="2" borderId="29" xfId="0" applyFont="1" applyFill="1" applyBorder="1" applyAlignment="1">
      <alignment horizontal="center"/>
    </xf>
    <xf numFmtId="177" fontId="3" fillId="0" borderId="3" xfId="0" applyNumberFormat="1" applyFont="1" applyBorder="1" applyAlignment="1">
      <alignment horizontal="center" vertical="top"/>
    </xf>
    <xf numFmtId="0" fontId="11" fillId="2" borderId="20" xfId="0" applyFont="1" applyFill="1" applyBorder="1" applyAlignment="1">
      <alignment horizontal="center"/>
    </xf>
    <xf numFmtId="0" fontId="3" fillId="4" borderId="26" xfId="0" applyFont="1" applyFill="1" applyBorder="1" applyAlignment="1">
      <alignment horizontal="center"/>
    </xf>
    <xf numFmtId="0" fontId="3" fillId="4" borderId="28" xfId="0" applyFont="1" applyFill="1" applyBorder="1" applyAlignment="1">
      <alignment horizontal="center"/>
    </xf>
    <xf numFmtId="0" fontId="3" fillId="0" borderId="7" xfId="0" applyNumberFormat="1" applyFont="1" applyBorder="1" applyAlignment="1">
      <alignment horizontal="center" vertical="top"/>
    </xf>
    <xf numFmtId="0" fontId="3" fillId="0" borderId="7" xfId="0" applyFont="1" applyBorder="1" applyAlignment="1">
      <alignment horizontal="left" vertical="top"/>
    </xf>
    <xf numFmtId="0" fontId="11" fillId="2" borderId="30" xfId="0" applyFont="1" applyFill="1" applyBorder="1" applyAlignment="1">
      <alignment horizontal="center"/>
    </xf>
    <xf numFmtId="0" fontId="11" fillId="2" borderId="31" xfId="0" applyFont="1" applyFill="1" applyBorder="1" applyAlignment="1">
      <alignment horizontal="center"/>
    </xf>
    <xf numFmtId="177" fontId="3" fillId="0" borderId="32" xfId="0" applyNumberFormat="1" applyFont="1" applyBorder="1" applyAlignment="1">
      <alignment horizontal="center" vertical="top"/>
    </xf>
    <xf numFmtId="0" fontId="3" fillId="0" borderId="33" xfId="0" applyNumberFormat="1" applyFont="1" applyBorder="1" applyAlignment="1">
      <alignment horizontal="center" vertical="top"/>
    </xf>
    <xf numFmtId="177" fontId="3" fillId="0" borderId="15" xfId="0" applyNumberFormat="1" applyFont="1" applyBorder="1" applyAlignment="1">
      <alignment horizontal="center" vertical="top"/>
    </xf>
    <xf numFmtId="0" fontId="3" fillId="0" borderId="15" xfId="0" applyFont="1" applyBorder="1" applyAlignment="1">
      <alignment vertical="top" wrapText="1"/>
    </xf>
    <xf numFmtId="0" fontId="3" fillId="0" borderId="34" xfId="0" applyFont="1" applyBorder="1" applyAlignment="1">
      <alignment horizontal="center" vertical="top"/>
    </xf>
    <xf numFmtId="0" fontId="11" fillId="2" borderId="35" xfId="0" applyFont="1" applyFill="1" applyBorder="1" applyAlignment="1">
      <alignment horizontal="center"/>
    </xf>
    <xf numFmtId="0" fontId="3" fillId="4" borderId="36" xfId="0" applyFont="1" applyFill="1" applyBorder="1" applyAlignment="1">
      <alignment horizontal="center"/>
    </xf>
    <xf numFmtId="177" fontId="3" fillId="0" borderId="37" xfId="0" applyNumberFormat="1" applyFont="1" applyBorder="1" applyAlignment="1">
      <alignment horizontal="center" vertical="top"/>
    </xf>
    <xf numFmtId="14" fontId="3" fillId="0" borderId="38" xfId="0" applyNumberFormat="1" applyFont="1" applyBorder="1" applyAlignment="1">
      <alignment horizontal="center" vertical="top"/>
    </xf>
    <xf numFmtId="0" fontId="3" fillId="0" borderId="14" xfId="0" applyFont="1" applyBorder="1" applyAlignment="1">
      <alignment vertical="top" wrapText="1"/>
    </xf>
    <xf numFmtId="0" fontId="3" fillId="0" borderId="39" xfId="0" applyNumberFormat="1" applyFont="1" applyBorder="1" applyAlignment="1">
      <alignment horizontal="center" vertical="top"/>
    </xf>
    <xf numFmtId="177" fontId="3" fillId="0" borderId="40" xfId="0" applyNumberFormat="1" applyFont="1" applyBorder="1" applyAlignment="1">
      <alignment horizontal="center" vertical="top"/>
    </xf>
    <xf numFmtId="0" fontId="3" fillId="0" borderId="41" xfId="0" applyFont="1" applyBorder="1" applyAlignment="1">
      <alignment horizontal="center" vertical="top"/>
    </xf>
    <xf numFmtId="0" fontId="3" fillId="0" borderId="34" xfId="0" applyNumberFormat="1" applyFont="1" applyBorder="1" applyAlignment="1">
      <alignment horizontal="center" vertical="top"/>
    </xf>
    <xf numFmtId="0" fontId="11" fillId="5" borderId="19" xfId="0" applyFont="1" applyFill="1" applyBorder="1">
      <alignment vertical="center"/>
    </xf>
    <xf numFmtId="0" fontId="3" fillId="0" borderId="43" xfId="0" applyFont="1" applyBorder="1">
      <alignment vertical="center"/>
    </xf>
    <xf numFmtId="0" fontId="11" fillId="5" borderId="43" xfId="0" applyFont="1" applyFill="1" applyBorder="1">
      <alignment vertical="center"/>
    </xf>
    <xf numFmtId="14" fontId="3" fillId="0" borderId="43" xfId="0" applyNumberFormat="1" applyFont="1" applyFill="1" applyBorder="1" applyAlignment="1">
      <alignment horizontal="center" shrinkToFit="1"/>
    </xf>
    <xf numFmtId="0" fontId="11" fillId="5" borderId="44" xfId="0" applyFont="1" applyFill="1" applyBorder="1">
      <alignment vertical="center"/>
    </xf>
    <xf numFmtId="0" fontId="11" fillId="5" borderId="8" xfId="0" applyFont="1" applyFill="1" applyBorder="1">
      <alignment vertical="center"/>
    </xf>
    <xf numFmtId="0" fontId="3" fillId="0" borderId="22" xfId="0" applyFont="1" applyBorder="1">
      <alignment vertical="center"/>
    </xf>
    <xf numFmtId="0" fontId="11" fillId="5" borderId="22" xfId="0" applyFont="1" applyFill="1" applyBorder="1">
      <alignment vertical="center"/>
    </xf>
    <xf numFmtId="14" fontId="3" fillId="0" borderId="22" xfId="0" applyNumberFormat="1" applyFont="1" applyBorder="1" applyAlignment="1">
      <alignment horizontal="center" shrinkToFit="1"/>
    </xf>
    <xf numFmtId="0" fontId="11" fillId="5" borderId="16" xfId="0" applyFont="1" applyFill="1" applyBorder="1">
      <alignment vertical="center"/>
    </xf>
    <xf numFmtId="0" fontId="3" fillId="0" borderId="41" xfId="0" applyFont="1" applyBorder="1">
      <alignment vertical="center"/>
    </xf>
    <xf numFmtId="0" fontId="11" fillId="5" borderId="41" xfId="0" applyFont="1" applyFill="1" applyBorder="1">
      <alignment vertical="center"/>
    </xf>
    <xf numFmtId="177" fontId="3" fillId="0" borderId="41" xfId="0" applyNumberFormat="1" applyFont="1" applyFill="1" applyBorder="1" applyAlignment="1">
      <alignment horizontal="center" shrinkToFit="1"/>
    </xf>
    <xf numFmtId="0" fontId="11" fillId="0" borderId="0" xfId="0" applyFont="1" applyAlignment="1">
      <alignment horizontal="center" vertical="center"/>
    </xf>
    <xf numFmtId="0" fontId="3" fillId="0" borderId="47" xfId="0" applyNumberFormat="1" applyFont="1" applyBorder="1" applyAlignment="1">
      <alignment horizontal="center" vertical="top"/>
    </xf>
    <xf numFmtId="177" fontId="3" fillId="0" borderId="4" xfId="0" applyNumberFormat="1" applyFont="1" applyBorder="1" applyAlignment="1">
      <alignment horizontal="center" vertical="top"/>
    </xf>
    <xf numFmtId="14" fontId="3" fillId="0" borderId="32" xfId="0" applyNumberFormat="1" applyFont="1" applyBorder="1" applyAlignment="1">
      <alignment horizontal="center" vertical="top" shrinkToFit="1"/>
    </xf>
    <xf numFmtId="0" fontId="3" fillId="0" borderId="25" xfId="0" applyNumberFormat="1" applyFont="1" applyBorder="1" applyAlignment="1">
      <alignment horizontal="center"/>
    </xf>
    <xf numFmtId="0" fontId="11" fillId="2" borderId="48" xfId="0" applyFont="1" applyFill="1" applyBorder="1" applyAlignment="1">
      <alignment horizontal="center"/>
    </xf>
    <xf numFmtId="0" fontId="3" fillId="0" borderId="6" xfId="0" applyNumberFormat="1" applyFont="1" applyBorder="1" applyAlignment="1">
      <alignment horizontal="center" shrinkToFit="1"/>
    </xf>
    <xf numFmtId="0" fontId="3" fillId="0" borderId="14" xfId="0" applyNumberFormat="1" applyFont="1" applyBorder="1" applyAlignment="1">
      <alignment horizontal="center" vertical="top"/>
    </xf>
    <xf numFmtId="0" fontId="3" fillId="0" borderId="15" xfId="0" applyNumberFormat="1" applyFont="1" applyBorder="1" applyAlignment="1">
      <alignment horizontal="center" vertical="top"/>
    </xf>
    <xf numFmtId="0" fontId="3" fillId="0" borderId="25" xfId="0" applyFont="1" applyBorder="1" applyAlignment="1">
      <alignment horizontal="left" vertical="top"/>
    </xf>
    <xf numFmtId="0" fontId="3" fillId="0" borderId="39" xfId="0" applyFont="1" applyBorder="1" applyAlignment="1">
      <alignment horizontal="left" vertical="top"/>
    </xf>
    <xf numFmtId="0" fontId="3" fillId="0" borderId="23" xfId="0" applyFont="1" applyBorder="1" applyAlignment="1">
      <alignment horizontal="left" vertical="top"/>
    </xf>
    <xf numFmtId="0" fontId="3" fillId="0" borderId="34" xfId="0" applyFont="1" applyBorder="1" applyAlignment="1">
      <alignment horizontal="left" vertical="top"/>
    </xf>
    <xf numFmtId="14" fontId="3" fillId="0" borderId="6" xfId="0" applyNumberFormat="1" applyFont="1" applyBorder="1" applyAlignment="1">
      <alignment horizontal="center" vertical="top" shrinkToFit="1"/>
    </xf>
    <xf numFmtId="14" fontId="3" fillId="0" borderId="7" xfId="0" applyNumberFormat="1" applyFont="1" applyBorder="1" applyAlignment="1">
      <alignment horizontal="center" vertical="top"/>
    </xf>
    <xf numFmtId="0" fontId="3" fillId="0" borderId="7" xfId="0" applyFont="1" applyBorder="1" applyAlignment="1">
      <alignment horizontal="center" vertical="top"/>
    </xf>
    <xf numFmtId="0" fontId="3" fillId="0" borderId="15" xfId="0" applyFont="1" applyBorder="1" applyAlignment="1">
      <alignment horizontal="center" vertical="top"/>
    </xf>
    <xf numFmtId="0" fontId="10" fillId="0" borderId="0" xfId="1" applyFont="1" applyAlignment="1">
      <alignment vertical="center"/>
    </xf>
    <xf numFmtId="0" fontId="9" fillId="6" borderId="49" xfId="1" applyFont="1" applyFill="1" applyBorder="1" applyAlignment="1">
      <alignment horizontal="center" vertical="center"/>
    </xf>
    <xf numFmtId="0" fontId="9" fillId="6" borderId="43" xfId="1" applyFont="1" applyFill="1" applyBorder="1" applyAlignment="1">
      <alignment horizontal="center" vertical="center"/>
    </xf>
    <xf numFmtId="0" fontId="9" fillId="6" borderId="44" xfId="1" applyFont="1" applyFill="1" applyBorder="1" applyAlignment="1">
      <alignment horizontal="center" vertical="center"/>
    </xf>
    <xf numFmtId="0" fontId="10" fillId="6" borderId="0" xfId="1" applyFont="1" applyFill="1" applyAlignment="1">
      <alignment horizontal="center" vertical="center"/>
    </xf>
    <xf numFmtId="0" fontId="10" fillId="0" borderId="9" xfId="1" applyFont="1" applyFill="1" applyBorder="1" applyAlignment="1">
      <alignment vertical="center"/>
    </xf>
    <xf numFmtId="0" fontId="10" fillId="0" borderId="22" xfId="1" applyFont="1" applyFill="1" applyBorder="1" applyAlignment="1">
      <alignment vertical="center"/>
    </xf>
    <xf numFmtId="0" fontId="10" fillId="0" borderId="22" xfId="1" applyFont="1" applyFill="1" applyBorder="1" applyAlignment="1">
      <alignment vertical="center" wrapText="1"/>
    </xf>
    <xf numFmtId="0" fontId="10" fillId="0" borderId="50" xfId="1" applyFont="1" applyFill="1" applyBorder="1" applyAlignment="1">
      <alignment vertical="center"/>
    </xf>
    <xf numFmtId="0" fontId="10" fillId="0" borderId="9" xfId="1" applyFont="1" applyBorder="1" applyAlignment="1">
      <alignment vertical="center"/>
    </xf>
    <xf numFmtId="0" fontId="10" fillId="0" borderId="50" xfId="1" applyFont="1" applyBorder="1" applyAlignment="1">
      <alignment vertical="center"/>
    </xf>
    <xf numFmtId="0" fontId="10" fillId="0" borderId="50" xfId="1" applyFont="1" applyFill="1" applyBorder="1" applyAlignment="1">
      <alignment vertical="center" wrapText="1"/>
    </xf>
    <xf numFmtId="0" fontId="10" fillId="0" borderId="22" xfId="1" applyFont="1" applyFill="1" applyBorder="1" applyAlignment="1">
      <alignment vertical="center" wrapText="1" shrinkToFit="1"/>
    </xf>
    <xf numFmtId="0" fontId="13" fillId="0" borderId="50" xfId="1" applyFont="1" applyFill="1" applyBorder="1" applyAlignment="1">
      <alignment vertical="center" wrapText="1"/>
    </xf>
    <xf numFmtId="0" fontId="10" fillId="0" borderId="33" xfId="1" applyFont="1" applyFill="1" applyBorder="1" applyAlignment="1">
      <alignment vertical="center"/>
    </xf>
    <xf numFmtId="0" fontId="10" fillId="0" borderId="41" xfId="1" applyFont="1" applyFill="1" applyBorder="1" applyAlignment="1">
      <alignment vertical="center"/>
    </xf>
    <xf numFmtId="0" fontId="10" fillId="0" borderId="41" xfId="1" applyFont="1" applyFill="1" applyBorder="1" applyAlignment="1">
      <alignment vertical="center" wrapText="1"/>
    </xf>
    <xf numFmtId="0" fontId="10" fillId="0" borderId="51" xfId="1" applyFont="1" applyFill="1" applyBorder="1" applyAlignment="1">
      <alignment vertical="center" wrapText="1"/>
    </xf>
    <xf numFmtId="0" fontId="10" fillId="0" borderId="33" xfId="1" applyFont="1" applyBorder="1" applyAlignment="1">
      <alignment vertical="center"/>
    </xf>
    <xf numFmtId="0" fontId="10" fillId="0" borderId="51" xfId="1" applyFont="1" applyBorder="1" applyAlignment="1">
      <alignment vertical="center"/>
    </xf>
    <xf numFmtId="0" fontId="10" fillId="0" borderId="0" xfId="1" applyFont="1" applyAlignment="1">
      <alignment horizontal="center" vertical="center"/>
    </xf>
    <xf numFmtId="0" fontId="10" fillId="0" borderId="0" xfId="1" applyFont="1" applyAlignment="1">
      <alignment vertical="top"/>
    </xf>
    <xf numFmtId="0" fontId="10" fillId="0" borderId="0" xfId="1" applyFont="1"/>
    <xf numFmtId="0" fontId="9" fillId="6" borderId="52" xfId="1" applyFont="1" applyFill="1" applyBorder="1" applyAlignment="1">
      <alignment horizontal="center" vertical="center"/>
    </xf>
    <xf numFmtId="0" fontId="10" fillId="0" borderId="53" xfId="1" applyFont="1" applyBorder="1" applyAlignment="1">
      <alignment vertical="center"/>
    </xf>
    <xf numFmtId="0" fontId="10" fillId="0" borderId="54" xfId="1" applyFont="1" applyFill="1" applyBorder="1" applyAlignment="1">
      <alignment vertical="center"/>
    </xf>
    <xf numFmtId="0" fontId="10" fillId="0" borderId="54" xfId="1" applyFont="1" applyFill="1" applyBorder="1" applyAlignment="1">
      <alignment vertical="center" wrapText="1"/>
    </xf>
    <xf numFmtId="0" fontId="10" fillId="0" borderId="55" xfId="1" applyFont="1" applyFill="1" applyBorder="1" applyAlignment="1">
      <alignment vertical="center"/>
    </xf>
    <xf numFmtId="0" fontId="10" fillId="0" borderId="56" xfId="1" applyFont="1" applyBorder="1" applyAlignment="1">
      <alignment vertical="center"/>
    </xf>
    <xf numFmtId="0" fontId="10" fillId="0" borderId="0" xfId="1" applyFont="1" applyAlignment="1">
      <alignment wrapText="1"/>
    </xf>
    <xf numFmtId="0" fontId="9" fillId="6" borderId="43" xfId="1" applyFont="1" applyFill="1" applyBorder="1" applyAlignment="1">
      <alignment horizontal="center" vertical="center" wrapText="1"/>
    </xf>
    <xf numFmtId="0" fontId="10" fillId="0" borderId="22" xfId="1" applyFont="1" applyBorder="1" applyAlignment="1">
      <alignment vertical="center"/>
    </xf>
    <xf numFmtId="0" fontId="10" fillId="0" borderId="50" xfId="1" applyFont="1" applyBorder="1" applyAlignment="1">
      <alignment horizontal="left" vertical="center"/>
    </xf>
    <xf numFmtId="0" fontId="10" fillId="0" borderId="41" xfId="1" applyFont="1" applyBorder="1" applyAlignment="1">
      <alignment vertical="center"/>
    </xf>
    <xf numFmtId="0" fontId="10" fillId="0" borderId="51" xfId="1" applyFont="1" applyBorder="1" applyAlignment="1">
      <alignment horizontal="center" vertical="center"/>
    </xf>
    <xf numFmtId="0" fontId="14" fillId="7" borderId="9" xfId="1" applyFont="1" applyFill="1" applyBorder="1" applyAlignment="1">
      <alignment vertical="center"/>
    </xf>
    <xf numFmtId="0" fontId="14" fillId="7" borderId="22" xfId="1" applyFont="1" applyFill="1" applyBorder="1" applyAlignment="1">
      <alignment vertical="center"/>
    </xf>
    <xf numFmtId="0" fontId="14" fillId="7" borderId="22" xfId="1" applyFont="1" applyFill="1" applyBorder="1" applyAlignment="1">
      <alignment vertical="center" wrapText="1"/>
    </xf>
    <xf numFmtId="0" fontId="14" fillId="7" borderId="50" xfId="1" applyFont="1" applyFill="1" applyBorder="1" applyAlignment="1">
      <alignment vertical="center"/>
    </xf>
    <xf numFmtId="0" fontId="14" fillId="7" borderId="0" xfId="1" applyFont="1" applyFill="1" applyAlignment="1">
      <alignment vertical="center"/>
    </xf>
    <xf numFmtId="0" fontId="9" fillId="6" borderId="57" xfId="1" applyFont="1" applyFill="1" applyBorder="1" applyAlignment="1">
      <alignment horizontal="center" vertical="center"/>
    </xf>
    <xf numFmtId="0" fontId="10" fillId="0" borderId="3" xfId="1" applyFont="1" applyFill="1" applyBorder="1" applyAlignment="1">
      <alignment vertical="center"/>
    </xf>
    <xf numFmtId="0" fontId="9" fillId="6" borderId="19" xfId="1" applyFont="1" applyFill="1" applyBorder="1" applyAlignment="1">
      <alignment horizontal="center" vertical="center"/>
    </xf>
    <xf numFmtId="0" fontId="10" fillId="0" borderId="8" xfId="1" applyFont="1" applyFill="1" applyBorder="1" applyAlignment="1">
      <alignment vertical="center"/>
    </xf>
    <xf numFmtId="0" fontId="14" fillId="7" borderId="8" xfId="1" applyFont="1" applyFill="1" applyBorder="1" applyAlignment="1">
      <alignment vertical="center"/>
    </xf>
    <xf numFmtId="0" fontId="10" fillId="0" borderId="16" xfId="1" applyFont="1" applyFill="1" applyBorder="1" applyAlignment="1">
      <alignment vertical="center"/>
    </xf>
    <xf numFmtId="0" fontId="10" fillId="0" borderId="8" xfId="1" applyFont="1" applyBorder="1" applyAlignment="1">
      <alignment vertical="center" wrapText="1"/>
    </xf>
    <xf numFmtId="0" fontId="10" fillId="0" borderId="16" xfId="1" applyFont="1" applyBorder="1" applyAlignment="1">
      <alignment vertical="center" wrapText="1"/>
    </xf>
    <xf numFmtId="0" fontId="4" fillId="3" borderId="10" xfId="0" applyFont="1" applyFill="1" applyBorder="1" applyAlignment="1">
      <alignment horizontal="center" vertical="center" wrapText="1"/>
    </xf>
    <xf numFmtId="0" fontId="5" fillId="3" borderId="12" xfId="0" applyFont="1" applyFill="1" applyBorder="1">
      <alignment vertical="center"/>
    </xf>
    <xf numFmtId="0" fontId="5" fillId="3" borderId="13" xfId="0" applyFont="1" applyFill="1" applyBorder="1">
      <alignment vertical="center"/>
    </xf>
    <xf numFmtId="0" fontId="5" fillId="0" borderId="10" xfId="0" applyFont="1" applyBorder="1" applyAlignment="1">
      <alignment horizontal="left"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14" fontId="4" fillId="3" borderId="7"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5" fillId="0" borderId="7" xfId="0" applyFont="1" applyBorder="1" applyAlignment="1">
      <alignment horizontal="left" vertical="center" wrapText="1"/>
    </xf>
    <xf numFmtId="0" fontId="5" fillId="0" borderId="2" xfId="0" applyFont="1" applyBorder="1" applyAlignment="1">
      <alignment horizontal="left" vertical="center"/>
    </xf>
    <xf numFmtId="0" fontId="5" fillId="0" borderId="8" xfId="0" applyFont="1" applyBorder="1" applyAlignment="1">
      <alignment horizontal="left" vertical="center"/>
    </xf>
    <xf numFmtId="0" fontId="5" fillId="0" borderId="7" xfId="0" applyFont="1" applyBorder="1" applyAlignment="1">
      <alignment horizontal="left" vertical="center"/>
    </xf>
    <xf numFmtId="0" fontId="4" fillId="3" borderId="7" xfId="0" applyFont="1" applyFill="1" applyBorder="1" applyAlignment="1">
      <alignment horizontal="center" vertical="center" wrapText="1"/>
    </xf>
    <xf numFmtId="0" fontId="5" fillId="3" borderId="2" xfId="0" applyFont="1" applyFill="1" applyBorder="1">
      <alignment vertical="center"/>
    </xf>
    <xf numFmtId="0" fontId="5" fillId="3" borderId="8" xfId="0" applyFont="1" applyFill="1" applyBorder="1">
      <alignment vertical="center"/>
    </xf>
    <xf numFmtId="176" fontId="5" fillId="0" borderId="10" xfId="0" applyNumberFormat="1" applyFont="1" applyBorder="1" applyAlignment="1">
      <alignment horizontal="left" vertical="center"/>
    </xf>
    <xf numFmtId="176" fontId="5" fillId="0" borderId="12" xfId="0" applyNumberFormat="1" applyFont="1" applyBorder="1" applyAlignment="1">
      <alignment horizontal="left" vertical="center"/>
    </xf>
    <xf numFmtId="176" fontId="5" fillId="0" borderId="13" xfId="0" applyNumberFormat="1" applyFont="1" applyBorder="1" applyAlignment="1">
      <alignment horizontal="left" vertical="center"/>
    </xf>
    <xf numFmtId="0" fontId="4" fillId="3" borderId="7"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8" xfId="0" applyFont="1" applyFill="1" applyBorder="1" applyAlignment="1">
      <alignment horizontal="center" vertical="center"/>
    </xf>
    <xf numFmtId="14" fontId="5" fillId="0" borderId="7"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5" fillId="0" borderId="22" xfId="0" applyFont="1" applyBorder="1" applyAlignment="1">
      <alignment horizontal="center" vertical="center"/>
    </xf>
    <xf numFmtId="177" fontId="5" fillId="0" borderId="7" xfId="0" applyNumberFormat="1" applyFont="1" applyBorder="1" applyAlignment="1">
      <alignment horizontal="center" vertical="center"/>
    </xf>
    <xf numFmtId="177" fontId="5" fillId="0" borderId="2" xfId="0" applyNumberFormat="1" applyFont="1" applyBorder="1" applyAlignment="1">
      <alignment horizontal="center" vertical="center"/>
    </xf>
    <xf numFmtId="177" fontId="5" fillId="0" borderId="8" xfId="0" applyNumberFormat="1" applyFont="1" applyBorder="1" applyAlignment="1">
      <alignment horizontal="center" vertical="center"/>
    </xf>
    <xf numFmtId="0" fontId="4" fillId="3" borderId="22" xfId="0" applyFont="1" applyFill="1" applyBorder="1" applyAlignment="1">
      <alignment horizontal="center" vertical="center" wrapText="1"/>
    </xf>
    <xf numFmtId="0" fontId="5" fillId="0" borderId="7" xfId="0" quotePrefix="1" applyFont="1" applyBorder="1" applyAlignment="1">
      <alignment horizontal="left" vertical="center"/>
    </xf>
    <xf numFmtId="0" fontId="5" fillId="0" borderId="7" xfId="0" applyNumberFormat="1" applyFont="1" applyBorder="1" applyAlignment="1">
      <alignment horizontal="left" vertical="center"/>
    </xf>
    <xf numFmtId="0" fontId="5" fillId="0" borderId="2" xfId="0" applyNumberFormat="1" applyFont="1" applyBorder="1" applyAlignment="1">
      <alignment horizontal="left" vertical="center"/>
    </xf>
    <xf numFmtId="0" fontId="5" fillId="0" borderId="8" xfId="0" applyNumberFormat="1" applyFont="1" applyBorder="1" applyAlignment="1">
      <alignment horizontal="left" vertical="center"/>
    </xf>
    <xf numFmtId="14" fontId="5" fillId="0" borderId="7" xfId="0" applyNumberFormat="1" applyFont="1" applyBorder="1" applyAlignment="1">
      <alignment horizontal="left" vertical="center"/>
    </xf>
    <xf numFmtId="0" fontId="8" fillId="4" borderId="42"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9" fillId="4" borderId="42" xfId="0" applyFont="1" applyFill="1" applyBorder="1" applyAlignment="1">
      <alignment horizontal="center" vertical="center" wrapText="1"/>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xf numFmtId="0" fontId="11" fillId="2" borderId="17" xfId="0" applyFont="1" applyFill="1" applyBorder="1" applyAlignment="1">
      <alignment horizontal="center" shrinkToFit="1"/>
    </xf>
    <xf numFmtId="0" fontId="3" fillId="0" borderId="18" xfId="0" applyFont="1" applyBorder="1" applyAlignment="1">
      <alignment horizontal="center" shrinkToFit="1"/>
    </xf>
    <xf numFmtId="0" fontId="11" fillId="2" borderId="17" xfId="0" applyFont="1" applyFill="1" applyBorder="1" applyAlignment="1">
      <alignment horizontal="center"/>
    </xf>
    <xf numFmtId="0" fontId="3" fillId="0" borderId="18" xfId="0" applyFont="1" applyBorder="1" applyAlignment="1">
      <alignment horizontal="center"/>
    </xf>
    <xf numFmtId="0" fontId="11" fillId="2" borderId="27" xfId="0" applyFont="1" applyFill="1" applyBorder="1" applyAlignment="1">
      <alignment horizontal="center"/>
    </xf>
    <xf numFmtId="0" fontId="3" fillId="0" borderId="28" xfId="0" applyFont="1" applyBorder="1" applyAlignment="1">
      <alignment horizontal="center"/>
    </xf>
    <xf numFmtId="0" fontId="11" fillId="0" borderId="0" xfId="0" applyFont="1" applyFill="1" applyBorder="1" applyAlignment="1">
      <alignment horizontal="left"/>
    </xf>
    <xf numFmtId="0" fontId="11" fillId="0" borderId="0" xfId="0" applyFont="1" applyFill="1" applyBorder="1" applyAlignment="1">
      <alignment horizontal="center"/>
    </xf>
    <xf numFmtId="0" fontId="11" fillId="0" borderId="0" xfId="0" applyFont="1" applyFill="1" applyBorder="1" applyAlignment="1">
      <alignment horizontal="center" shrinkToFit="1"/>
    </xf>
    <xf numFmtId="0" fontId="3" fillId="0" borderId="0" xfId="0" applyFont="1" applyFill="1" applyBorder="1" applyAlignment="1">
      <alignment horizontal="center" shrinkToFit="1"/>
    </xf>
    <xf numFmtId="0" fontId="3" fillId="0" borderId="0" xfId="0" applyFont="1" applyFill="1" applyBorder="1" applyAlignment="1">
      <alignment horizontal="center"/>
    </xf>
    <xf numFmtId="0" fontId="3" fillId="2" borderId="58" xfId="0" applyFont="1" applyFill="1" applyBorder="1" applyAlignment="1">
      <alignment horizontal="center" vertical="top"/>
    </xf>
    <xf numFmtId="0" fontId="15" fillId="0" borderId="31" xfId="0" applyFont="1" applyBorder="1" applyAlignment="1">
      <alignment horizontal="center" vertical="top"/>
    </xf>
    <xf numFmtId="0" fontId="3" fillId="2" borderId="31" xfId="0" applyFont="1" applyFill="1" applyBorder="1" applyAlignment="1">
      <alignment horizontal="center" vertical="top"/>
    </xf>
    <xf numFmtId="0" fontId="3" fillId="2" borderId="5" xfId="0" applyFont="1" applyFill="1" applyBorder="1" applyAlignment="1">
      <alignment horizontal="center" vertical="top"/>
    </xf>
    <xf numFmtId="0" fontId="3" fillId="2" borderId="59" xfId="0" applyFont="1" applyFill="1" applyBorder="1" applyAlignment="1">
      <alignment horizontal="center" vertical="top"/>
    </xf>
    <xf numFmtId="0" fontId="3" fillId="2" borderId="60" xfId="0" applyFont="1" applyFill="1" applyBorder="1" applyAlignment="1">
      <alignment horizontal="center" vertical="top"/>
    </xf>
    <xf numFmtId="0" fontId="3" fillId="2" borderId="27" xfId="0" applyFont="1" applyFill="1" applyBorder="1" applyAlignment="1">
      <alignment horizontal="center" vertical="top"/>
    </xf>
    <xf numFmtId="0" fontId="3" fillId="2" borderId="61" xfId="0" applyFont="1" applyFill="1" applyBorder="1" applyAlignment="1">
      <alignment horizontal="center" vertical="top"/>
    </xf>
    <xf numFmtId="0" fontId="3" fillId="2" borderId="62" xfId="0" applyFont="1" applyFill="1" applyBorder="1" applyAlignment="1">
      <alignment horizontal="center" vertical="top"/>
    </xf>
    <xf numFmtId="0" fontId="3" fillId="0" borderId="47" xfId="0" applyNumberFormat="1" applyFont="1" applyBorder="1" applyAlignment="1">
      <alignment horizontal="center" vertical="top"/>
    </xf>
    <xf numFmtId="0" fontId="3" fillId="0" borderId="32" xfId="0" applyNumberFormat="1" applyFont="1" applyBorder="1" applyAlignment="1">
      <alignment horizontal="center" vertical="top"/>
    </xf>
    <xf numFmtId="14" fontId="3" fillId="0" borderId="32" xfId="0" applyNumberFormat="1" applyFont="1" applyBorder="1" applyAlignment="1">
      <alignment horizontal="center" vertical="top"/>
    </xf>
    <xf numFmtId="0" fontId="3" fillId="0" borderId="32" xfId="0" applyFont="1" applyBorder="1" applyAlignment="1">
      <alignment horizontal="center" vertical="top"/>
    </xf>
    <xf numFmtId="0" fontId="3" fillId="0" borderId="63" xfId="0" applyFont="1" applyBorder="1" applyAlignment="1">
      <alignment horizontal="left" vertical="top"/>
    </xf>
    <xf numFmtId="0" fontId="3" fillId="0" borderId="64" xfId="0" applyFont="1" applyBorder="1" applyAlignment="1">
      <alignment horizontal="left" vertical="top"/>
    </xf>
    <xf numFmtId="0" fontId="3" fillId="0" borderId="65" xfId="0" applyFont="1" applyBorder="1" applyAlignment="1">
      <alignment horizontal="left" vertical="top"/>
    </xf>
    <xf numFmtId="0" fontId="3" fillId="0" borderId="6" xfId="0" applyNumberFormat="1" applyFont="1" applyBorder="1" applyAlignment="1">
      <alignment horizontal="center" vertical="top"/>
    </xf>
    <xf numFmtId="0" fontId="3" fillId="0" borderId="66" xfId="0" applyNumberFormat="1" applyFont="1" applyBorder="1" applyAlignment="1">
      <alignment horizontal="center" vertical="top"/>
    </xf>
    <xf numFmtId="0" fontId="3" fillId="0" borderId="67" xfId="0" applyNumberFormat="1" applyFont="1" applyBorder="1" applyAlignment="1">
      <alignment horizontal="center" vertical="top"/>
    </xf>
    <xf numFmtId="0" fontId="3" fillId="0" borderId="9" xfId="0" applyNumberFormat="1" applyFont="1" applyBorder="1" applyAlignment="1">
      <alignment horizontal="center" vertical="top"/>
    </xf>
    <xf numFmtId="0" fontId="3" fillId="0" borderId="22" xfId="0" applyNumberFormat="1" applyFont="1" applyBorder="1" applyAlignment="1">
      <alignment horizontal="center" vertical="top"/>
    </xf>
    <xf numFmtId="0" fontId="3" fillId="0" borderId="22" xfId="0" applyFont="1" applyBorder="1" applyAlignment="1">
      <alignment horizontal="center" vertical="top"/>
    </xf>
    <xf numFmtId="0" fontId="3" fillId="0" borderId="68" xfId="0" applyFont="1" applyBorder="1" applyAlignment="1">
      <alignment horizontal="left" vertical="top"/>
    </xf>
    <xf numFmtId="0" fontId="3" fillId="0" borderId="0" xfId="0" applyFont="1" applyBorder="1" applyAlignment="1">
      <alignment horizontal="left" vertical="top"/>
    </xf>
    <xf numFmtId="0" fontId="3" fillId="0" borderId="69" xfId="0" applyFont="1" applyBorder="1" applyAlignment="1">
      <alignment horizontal="left" vertical="top"/>
    </xf>
    <xf numFmtId="0" fontId="3" fillId="0" borderId="7" xfId="0" applyNumberFormat="1" applyFont="1" applyBorder="1" applyAlignment="1">
      <alignment horizontal="center" vertical="top"/>
    </xf>
    <xf numFmtId="0" fontId="3" fillId="0" borderId="2" xfId="0" applyNumberFormat="1" applyFont="1" applyBorder="1" applyAlignment="1">
      <alignment horizontal="center" vertical="top"/>
    </xf>
    <xf numFmtId="0" fontId="3" fillId="0" borderId="70" xfId="0" applyNumberFormat="1" applyFont="1" applyBorder="1" applyAlignment="1">
      <alignment horizontal="center" vertical="top"/>
    </xf>
    <xf numFmtId="14" fontId="3" fillId="0" borderId="22" xfId="0" applyNumberFormat="1" applyFont="1" applyBorder="1" applyAlignment="1">
      <alignment horizontal="center" vertical="top"/>
    </xf>
    <xf numFmtId="0" fontId="3" fillId="0" borderId="10" xfId="0" applyFont="1" applyBorder="1" applyAlignment="1">
      <alignment horizontal="left" vertical="top"/>
    </xf>
    <xf numFmtId="0" fontId="3" fillId="0" borderId="12" xfId="0" applyFont="1" applyBorder="1" applyAlignment="1">
      <alignment horizontal="left" vertical="top"/>
    </xf>
    <xf numFmtId="0" fontId="3" fillId="0" borderId="13" xfId="0" applyFont="1" applyBorder="1" applyAlignment="1">
      <alignment horizontal="left" vertical="top"/>
    </xf>
    <xf numFmtId="0" fontId="3" fillId="0" borderId="33" xfId="0" applyNumberFormat="1" applyFont="1" applyBorder="1" applyAlignment="1">
      <alignment horizontal="center" vertical="top"/>
    </xf>
    <xf numFmtId="0" fontId="3" fillId="0" borderId="41" xfId="0" applyNumberFormat="1" applyFont="1" applyBorder="1" applyAlignment="1">
      <alignment horizontal="center" vertical="top"/>
    </xf>
    <xf numFmtId="0" fontId="3" fillId="0" borderId="41" xfId="0" applyFont="1" applyBorder="1" applyAlignment="1">
      <alignment horizontal="center" vertical="top"/>
    </xf>
    <xf numFmtId="0" fontId="3" fillId="0" borderId="71" xfId="0" applyFont="1" applyBorder="1" applyAlignment="1">
      <alignment horizontal="left" vertical="top"/>
    </xf>
    <xf numFmtId="0" fontId="3" fillId="0" borderId="1" xfId="0" applyFont="1" applyBorder="1" applyAlignment="1">
      <alignment horizontal="left" vertical="top"/>
    </xf>
    <xf numFmtId="0" fontId="3" fillId="0" borderId="72" xfId="0" applyFont="1" applyBorder="1" applyAlignment="1">
      <alignment horizontal="left" vertical="top"/>
    </xf>
    <xf numFmtId="0" fontId="3" fillId="0" borderId="15" xfId="0" applyNumberFormat="1" applyFont="1" applyBorder="1" applyAlignment="1">
      <alignment horizontal="center" vertical="top"/>
    </xf>
    <xf numFmtId="0" fontId="3" fillId="0" borderId="73" xfId="0" applyNumberFormat="1" applyFont="1" applyBorder="1" applyAlignment="1">
      <alignment horizontal="center" vertical="top"/>
    </xf>
    <xf numFmtId="0" fontId="3" fillId="0" borderId="74" xfId="0" applyNumberFormat="1" applyFont="1" applyBorder="1" applyAlignment="1">
      <alignment horizontal="center" vertical="top"/>
    </xf>
    <xf numFmtId="177" fontId="3" fillId="0" borderId="0" xfId="0" applyNumberFormat="1" applyFont="1" applyBorder="1" applyAlignment="1">
      <alignment horizontal="center"/>
    </xf>
    <xf numFmtId="0" fontId="3" fillId="0" borderId="0" xfId="0" applyFont="1" applyBorder="1" applyAlignment="1">
      <alignment horizontal="center"/>
    </xf>
    <xf numFmtId="0" fontId="3" fillId="0" borderId="0" xfId="0" applyNumberFormat="1" applyFont="1" applyBorder="1" applyAlignment="1">
      <alignment horizontal="center"/>
    </xf>
    <xf numFmtId="0" fontId="3" fillId="4" borderId="49" xfId="0" applyFont="1" applyFill="1" applyBorder="1" applyAlignment="1">
      <alignment horizontal="center" vertical="top"/>
    </xf>
    <xf numFmtId="0" fontId="3" fillId="4" borderId="43" xfId="0" applyFont="1" applyFill="1" applyBorder="1" applyAlignment="1">
      <alignment horizontal="center" vertical="top"/>
    </xf>
    <xf numFmtId="0" fontId="3" fillId="2" borderId="43" xfId="0" applyFont="1" applyFill="1" applyBorder="1" applyAlignment="1">
      <alignment horizontal="center" vertical="top"/>
    </xf>
    <xf numFmtId="0" fontId="3" fillId="2" borderId="44" xfId="0" applyFont="1" applyFill="1" applyBorder="1" applyAlignment="1">
      <alignment horizontal="center" vertical="top"/>
    </xf>
    <xf numFmtId="0" fontId="3" fillId="4" borderId="75" xfId="0" applyFont="1" applyFill="1" applyBorder="1" applyAlignment="1">
      <alignment horizontal="center" vertical="top"/>
    </xf>
    <xf numFmtId="0" fontId="3" fillId="4" borderId="76" xfId="0" applyFont="1" applyFill="1" applyBorder="1" applyAlignment="1">
      <alignment horizontal="center" vertical="top"/>
    </xf>
    <xf numFmtId="0" fontId="3" fillId="2" borderId="76" xfId="0" applyFont="1" applyFill="1" applyBorder="1" applyAlignment="1">
      <alignment horizontal="center" vertical="top"/>
    </xf>
    <xf numFmtId="0" fontId="3" fillId="2" borderId="77" xfId="0" applyFont="1" applyFill="1" applyBorder="1" applyAlignment="1">
      <alignment horizontal="center" vertical="top"/>
    </xf>
    <xf numFmtId="0" fontId="3" fillId="0" borderId="78" xfId="0" applyNumberFormat="1" applyFont="1" applyBorder="1" applyAlignment="1">
      <alignment horizontal="center" vertical="top"/>
    </xf>
    <xf numFmtId="0" fontId="3" fillId="0" borderId="79" xfId="0" applyNumberFormat="1" applyFont="1" applyBorder="1" applyAlignment="1">
      <alignment horizontal="center" vertical="top"/>
    </xf>
    <xf numFmtId="177" fontId="3" fillId="0" borderId="80" xfId="0" applyNumberFormat="1" applyFont="1" applyBorder="1" applyAlignment="1">
      <alignment horizontal="center" vertical="top"/>
    </xf>
    <xf numFmtId="177" fontId="3" fillId="0" borderId="81" xfId="0" applyNumberFormat="1" applyFont="1" applyBorder="1" applyAlignment="1">
      <alignment horizontal="center" vertical="top"/>
    </xf>
    <xf numFmtId="177" fontId="3" fillId="0" borderId="79" xfId="0" applyNumberFormat="1" applyFont="1" applyBorder="1" applyAlignment="1">
      <alignment horizontal="center" vertical="top"/>
    </xf>
    <xf numFmtId="0" fontId="3" fillId="0" borderId="80" xfId="0" applyFont="1" applyBorder="1" applyAlignment="1">
      <alignment vertical="top" wrapText="1"/>
    </xf>
    <xf numFmtId="0" fontId="3" fillId="0" borderId="81" xfId="0" applyFont="1" applyBorder="1" applyAlignment="1">
      <alignment vertical="top"/>
    </xf>
    <xf numFmtId="0" fontId="3" fillId="0" borderId="79" xfId="0" applyFont="1" applyBorder="1" applyAlignment="1">
      <alignment vertical="top"/>
    </xf>
    <xf numFmtId="0" fontId="3" fillId="0" borderId="80" xfId="0" applyNumberFormat="1" applyFont="1" applyBorder="1" applyAlignment="1">
      <alignment horizontal="center" vertical="top"/>
    </xf>
    <xf numFmtId="0" fontId="3" fillId="0" borderId="81" xfId="0" applyNumberFormat="1" applyFont="1" applyBorder="1" applyAlignment="1">
      <alignment horizontal="center" vertical="top"/>
    </xf>
    <xf numFmtId="14" fontId="3" fillId="0" borderId="80" xfId="0" applyNumberFormat="1" applyFont="1" applyBorder="1" applyAlignment="1">
      <alignment horizontal="center" vertical="top"/>
    </xf>
    <xf numFmtId="14" fontId="3" fillId="0" borderId="81" xfId="0" applyNumberFormat="1" applyFont="1" applyBorder="1" applyAlignment="1">
      <alignment horizontal="center" vertical="top"/>
    </xf>
    <xf numFmtId="14" fontId="3" fillId="0" borderId="82" xfId="0" applyNumberFormat="1" applyFont="1" applyBorder="1" applyAlignment="1">
      <alignment horizontal="center" vertical="top"/>
    </xf>
    <xf numFmtId="0" fontId="3" fillId="0" borderId="83" xfId="0" applyNumberFormat="1" applyFont="1" applyBorder="1" applyAlignment="1">
      <alignment horizontal="center" vertical="top"/>
    </xf>
    <xf numFmtId="0" fontId="3" fillId="0" borderId="84" xfId="0" applyNumberFormat="1" applyFont="1" applyBorder="1" applyAlignment="1">
      <alignment horizontal="center" vertical="top"/>
    </xf>
    <xf numFmtId="177" fontId="3" fillId="0" borderId="85" xfId="0" applyNumberFormat="1" applyFont="1" applyBorder="1" applyAlignment="1">
      <alignment horizontal="center" vertical="top"/>
    </xf>
    <xf numFmtId="177" fontId="3" fillId="0" borderId="86" xfId="0" applyNumberFormat="1" applyFont="1" applyBorder="1" applyAlignment="1">
      <alignment horizontal="center" vertical="top"/>
    </xf>
    <xf numFmtId="177" fontId="3" fillId="0" borderId="84" xfId="0" applyNumberFormat="1" applyFont="1" applyBorder="1" applyAlignment="1">
      <alignment horizontal="center" vertical="top"/>
    </xf>
    <xf numFmtId="0" fontId="3" fillId="0" borderId="85" xfId="0" applyFont="1" applyBorder="1" applyAlignment="1">
      <alignment horizontal="left" vertical="top" wrapText="1"/>
    </xf>
    <xf numFmtId="0" fontId="3" fillId="0" borderId="86" xfId="0" applyFont="1" applyBorder="1" applyAlignment="1">
      <alignment horizontal="left" vertical="top" wrapText="1"/>
    </xf>
    <xf numFmtId="0" fontId="3" fillId="0" borderId="84" xfId="0" applyFont="1" applyBorder="1" applyAlignment="1">
      <alignment horizontal="left" vertical="top" wrapText="1"/>
    </xf>
    <xf numFmtId="0" fontId="3" fillId="0" borderId="85" xfId="0" applyNumberFormat="1" applyFont="1" applyBorder="1" applyAlignment="1">
      <alignment horizontal="center" vertical="top"/>
    </xf>
    <xf numFmtId="0" fontId="3" fillId="0" borderId="86" xfId="0" applyNumberFormat="1" applyFont="1" applyBorder="1" applyAlignment="1">
      <alignment horizontal="center" vertical="top"/>
    </xf>
    <xf numFmtId="14" fontId="3" fillId="0" borderId="85" xfId="0" applyNumberFormat="1" applyFont="1" applyBorder="1" applyAlignment="1">
      <alignment horizontal="center" vertical="top"/>
    </xf>
    <xf numFmtId="14" fontId="3" fillId="0" borderId="86" xfId="0" applyNumberFormat="1" applyFont="1" applyBorder="1" applyAlignment="1">
      <alignment horizontal="center" vertical="top"/>
    </xf>
    <xf numFmtId="14" fontId="3" fillId="0" borderId="87" xfId="0" applyNumberFormat="1" applyFont="1" applyBorder="1" applyAlignment="1">
      <alignment horizontal="center" vertical="top"/>
    </xf>
  </cellXfs>
  <cellStyles count="2">
    <cellStyle name="標準" xfId="0" builtinId="0"/>
    <cellStyle name="標準 2" xfId="1"/>
  </cellStyles>
  <dxfs count="0"/>
  <tableStyles count="0" defaultTableStyle="TableStyleMedium9" defaultPivotStyle="PivotStyleLight16"/>
  <colors>
    <mruColors>
      <color rgb="FFCCFFCC"/>
      <color rgb="FFFFCCFF"/>
      <color rgb="FFD9D9D9"/>
      <color rgb="FFCCFFFF"/>
      <color rgb="FFFFFF99"/>
      <color rgb="FFFFFFCC"/>
      <color rgb="FFA7FFA7"/>
      <color rgb="FFFF99FF"/>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drawing7.x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10</xdr:col>
      <xdr:colOff>48746</xdr:colOff>
      <xdr:row>37</xdr:row>
      <xdr:rowOff>76760</xdr:rowOff>
    </xdr:from>
    <xdr:to>
      <xdr:col>39</xdr:col>
      <xdr:colOff>10646</xdr:colOff>
      <xdr:row>39</xdr:row>
      <xdr:rowOff>86285</xdr:rowOff>
    </xdr:to>
    <xdr:grpSp>
      <xdr:nvGrpSpPr>
        <xdr:cNvPr id="1136" name="Group 2"/>
        <xdr:cNvGrpSpPr>
          <a:grpSpLocks/>
        </xdr:cNvGrpSpPr>
      </xdr:nvGrpSpPr>
      <xdr:grpSpPr bwMode="auto">
        <a:xfrm>
          <a:off x="1953746" y="6334685"/>
          <a:ext cx="5486400" cy="295275"/>
          <a:chOff x="288" y="656"/>
          <a:chExt cx="576" cy="31"/>
        </a:xfrm>
      </xdr:grpSpPr>
      <xdr:pic>
        <xdr:nvPicPr>
          <xdr:cNvPr id="1140" name="Picture 3" descr="BL-J_Bw"/>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41"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8</xdr:row>
      <xdr:rowOff>66675</xdr:rowOff>
    </xdr:from>
    <xdr:to>
      <xdr:col>41</xdr:col>
      <xdr:colOff>38100</xdr:colOff>
      <xdr:row>20</xdr:row>
      <xdr:rowOff>19050</xdr:rowOff>
    </xdr:to>
    <xdr:sp macro="" textlink="">
      <xdr:nvSpPr>
        <xdr:cNvPr id="1033" name="AutoShape 5"/>
        <xdr:cNvSpPr>
          <a:spLocks noChangeArrowheads="1"/>
        </xdr:cNvSpPr>
      </xdr:nvSpPr>
      <xdr:spPr bwMode="auto">
        <a:xfrm>
          <a:off x="1666875" y="1247775"/>
          <a:ext cx="6181725" cy="1781175"/>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共通設計書</a:t>
          </a:r>
          <a:endParaRPr lang="en-US" altLang="ja-JP" sz="3600" b="0" i="0" u="none" strike="noStrike" baseline="0">
            <a:solidFill>
              <a:srgbClr val="000000"/>
            </a:solidFill>
            <a:latin typeface="ＭＳ Ｐゴシック"/>
            <a:ea typeface="ＭＳ Ｐゴシック"/>
          </a:endParaRPr>
        </a:p>
        <a:p>
          <a:pPr algn="ctr" rtl="0">
            <a:defRPr sz="1000"/>
          </a:pPr>
          <a:r>
            <a:rPr lang="ja-JP" altLang="en-US" sz="3600" b="0" i="0" u="none" strike="noStrike" baseline="0">
              <a:solidFill>
                <a:srgbClr val="000000"/>
              </a:solidFill>
              <a:latin typeface="ＭＳ Ｐゴシック"/>
              <a:ea typeface="ＭＳ Ｐゴシック"/>
            </a:rPr>
            <a:t>（リストロジック）</a:t>
          </a:r>
        </a:p>
      </xdr:txBody>
    </xdr:sp>
    <xdr:clientData/>
  </xdr:twoCellAnchor>
  <xdr:twoCellAnchor editAs="oneCell">
    <xdr:from>
      <xdr:col>44</xdr:col>
      <xdr:colOff>152400</xdr:colOff>
      <xdr:row>0</xdr:row>
      <xdr:rowOff>0</xdr:rowOff>
    </xdr:from>
    <xdr:to>
      <xdr:col>48</xdr:col>
      <xdr:colOff>9525</xdr:colOff>
      <xdr:row>1</xdr:row>
      <xdr:rowOff>41275</xdr:rowOff>
    </xdr:to>
    <xdr:sp macro="" textlink="">
      <xdr:nvSpPr>
        <xdr:cNvPr id="144391" name="Rectangle 7"/>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取扱注意</a:t>
          </a:r>
        </a:p>
      </xdr:txBody>
    </xdr:sp>
    <xdr:clientData/>
  </xdr:twoCellAnchor>
  <xdr:twoCellAnchor>
    <xdr:from>
      <xdr:col>0</xdr:col>
      <xdr:colOff>0</xdr:colOff>
      <xdr:row>43</xdr:row>
      <xdr:rowOff>38100</xdr:rowOff>
    </xdr:from>
    <xdr:to>
      <xdr:col>50</xdr:col>
      <xdr:colOff>0</xdr:colOff>
      <xdr:row>43</xdr:row>
      <xdr:rowOff>38100</xdr:rowOff>
    </xdr:to>
    <xdr:sp macro="" textlink="">
      <xdr:nvSpPr>
        <xdr:cNvPr id="1139" name="Line 12"/>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48451</xdr:colOff>
      <xdr:row>4</xdr:row>
      <xdr:rowOff>91059</xdr:rowOff>
    </xdr:to>
    <xdr:pic>
      <xdr:nvPicPr>
        <xdr:cNvPr id="11" name="図 10"/>
        <xdr:cNvPicPr>
          <a:picLocks noChangeAspect="1"/>
        </xdr:cNvPicPr>
      </xdr:nvPicPr>
      <xdr:blipFill>
        <a:blip xmlns:r="http://schemas.openxmlformats.org/officeDocument/2006/relationships" r:embed="rId3"/>
        <a:stretch>
          <a:fillRect/>
        </a:stretch>
      </xdr:blipFill>
      <xdr:spPr>
        <a:xfrm>
          <a:off x="412376" y="268941"/>
          <a:ext cx="2316522"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0</xdr:colOff>
          <xdr:row>3</xdr:row>
          <xdr:rowOff>2117</xdr:rowOff>
        </xdr:to>
        <xdr:pic>
          <xdr:nvPicPr>
            <xdr:cNvPr id="4" name="図 3"/>
            <xdr:cNvPicPr>
              <a:picLocks noChangeAspect="1" noChangeArrowheads="1"/>
              <a:extLst>
                <a:ext uri="{84589F7E-364E-4C9E-8A38-B11213B215E9}">
                  <a14:cameraTool cellRange="表紙!$BA$47:$BJ$49" spid="_x0000_s16404"/>
                </a:ext>
              </a:extLst>
            </xdr:cNvPicPr>
          </xdr:nvPicPr>
          <xdr:blipFill>
            <a:blip xmlns:r="http://schemas.openxmlformats.org/officeDocument/2006/relationships" r:embed="rId1"/>
            <a:srcRect/>
            <a:stretch>
              <a:fillRect/>
            </a:stretch>
          </xdr:blipFill>
          <xdr:spPr bwMode="auto">
            <a:xfrm>
              <a:off x="0" y="0"/>
              <a:ext cx="952500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0</xdr:colOff>
          <xdr:row>3</xdr:row>
          <xdr:rowOff>2117</xdr:rowOff>
        </xdr:to>
        <xdr:pic>
          <xdr:nvPicPr>
            <xdr:cNvPr id="3" name="図 2"/>
            <xdr:cNvPicPr>
              <a:picLocks noChangeAspect="1" noChangeArrowheads="1"/>
              <a:extLst>
                <a:ext uri="{84589F7E-364E-4C9E-8A38-B11213B215E9}">
                  <a14:cameraTool cellRange="表紙!$BA$51:$BJ$53" spid="_x0000_s17426"/>
                </a:ext>
              </a:extLst>
            </xdr:cNvPicPr>
          </xdr:nvPicPr>
          <xdr:blipFill>
            <a:blip xmlns:r="http://schemas.openxmlformats.org/officeDocument/2006/relationships" r:embed="rId1"/>
            <a:srcRect/>
            <a:stretch>
              <a:fillRect/>
            </a:stretch>
          </xdr:blipFill>
          <xdr:spPr bwMode="auto">
            <a:xfrm>
              <a:off x="0" y="0"/>
              <a:ext cx="952500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50</xdr:col>
          <xdr:colOff>0</xdr:colOff>
          <xdr:row>3</xdr:row>
          <xdr:rowOff>2117</xdr:rowOff>
        </xdr:to>
        <xdr:pic>
          <xdr:nvPicPr>
            <xdr:cNvPr id="4" name="図 3"/>
            <xdr:cNvPicPr>
              <a:picLocks noChangeAspect="1" noChangeArrowheads="1"/>
              <a:extLst>
                <a:ext uri="{84589F7E-364E-4C9E-8A38-B11213B215E9}">
                  <a14:cameraTool cellRange="表紙!$BA$67:$BJ$69" spid="_x0000_s24578"/>
                </a:ext>
              </a:extLst>
            </xdr:cNvPicPr>
          </xdr:nvPicPr>
          <xdr:blipFill>
            <a:blip xmlns:r="http://schemas.openxmlformats.org/officeDocument/2006/relationships" r:embed="rId1"/>
            <a:srcRect/>
            <a:stretch>
              <a:fillRect/>
            </a:stretch>
          </xdr:blipFill>
          <xdr:spPr bwMode="auto">
            <a:xfrm>
              <a:off x="0" y="0"/>
              <a:ext cx="9525000" cy="468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0</xdr:row>
          <xdr:rowOff>19050</xdr:rowOff>
        </xdr:from>
        <xdr:to>
          <xdr:col>5</xdr:col>
          <xdr:colOff>3571875</xdr:colOff>
          <xdr:row>2</xdr:row>
          <xdr:rowOff>123825</xdr:rowOff>
        </xdr:to>
        <xdr:pic>
          <xdr:nvPicPr>
            <xdr:cNvPr id="3" name="図 2"/>
            <xdr:cNvPicPr>
              <a:picLocks noChangeAspect="1" noChangeArrowheads="1"/>
              <a:extLst>
                <a:ext uri="{84589F7E-364E-4C9E-8A38-B11213B215E9}">
                  <a14:cameraTool cellRange="表紙!$BA$55:$BJ$57" spid="_x0000_s20489"/>
                </a:ext>
              </a:extLst>
            </xdr:cNvPicPr>
          </xdr:nvPicPr>
          <xdr:blipFill>
            <a:blip xmlns:r="http://schemas.openxmlformats.org/officeDocument/2006/relationships" r:embed="rId1"/>
            <a:srcRect/>
            <a:stretch>
              <a:fillRect/>
            </a:stretch>
          </xdr:blipFill>
          <xdr:spPr bwMode="auto">
            <a:xfrm>
              <a:off x="19050" y="19050"/>
              <a:ext cx="9534525"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0</xdr:row>
          <xdr:rowOff>9525</xdr:rowOff>
        </xdr:from>
        <xdr:to>
          <xdr:col>5</xdr:col>
          <xdr:colOff>3305175</xdr:colOff>
          <xdr:row>2</xdr:row>
          <xdr:rowOff>76200</xdr:rowOff>
        </xdr:to>
        <xdr:pic>
          <xdr:nvPicPr>
            <xdr:cNvPr id="3" name="図 2"/>
            <xdr:cNvPicPr>
              <a:picLocks noChangeAspect="1" noChangeArrowheads="1"/>
              <a:extLst>
                <a:ext uri="{84589F7E-364E-4C9E-8A38-B11213B215E9}">
                  <a14:cameraTool cellRange="表紙!$BA$59:$BJ$61" spid="_x0000_s21513"/>
                </a:ext>
              </a:extLst>
            </xdr:cNvPicPr>
          </xdr:nvPicPr>
          <xdr:blipFill>
            <a:blip xmlns:r="http://schemas.openxmlformats.org/officeDocument/2006/relationships" r:embed="rId1"/>
            <a:srcRect/>
            <a:stretch>
              <a:fillRect/>
            </a:stretch>
          </xdr:blipFill>
          <xdr:spPr bwMode="auto">
            <a:xfrm>
              <a:off x="9525" y="9525"/>
              <a:ext cx="9534525"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0</xdr:row>
          <xdr:rowOff>19050</xdr:rowOff>
        </xdr:from>
        <xdr:to>
          <xdr:col>5</xdr:col>
          <xdr:colOff>3562350</xdr:colOff>
          <xdr:row>2</xdr:row>
          <xdr:rowOff>95250</xdr:rowOff>
        </xdr:to>
        <xdr:pic>
          <xdr:nvPicPr>
            <xdr:cNvPr id="4" name="図 3"/>
            <xdr:cNvPicPr>
              <a:picLocks noChangeAspect="1" noChangeArrowheads="1"/>
              <a:extLst>
                <a:ext uri="{84589F7E-364E-4C9E-8A38-B11213B215E9}">
                  <a14:cameraTool cellRange="表紙!$BA$63:$BJ$65" spid="_x0000_s22538"/>
                </a:ext>
              </a:extLst>
            </xdr:cNvPicPr>
          </xdr:nvPicPr>
          <xdr:blipFill>
            <a:blip xmlns:r="http://schemas.openxmlformats.org/officeDocument/2006/relationships" r:embed="rId1"/>
            <a:srcRect/>
            <a:stretch>
              <a:fillRect/>
            </a:stretch>
          </xdr:blipFill>
          <xdr:spPr bwMode="auto">
            <a:xfrm>
              <a:off x="9525" y="1905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7</xdr:col>
      <xdr:colOff>0</xdr:colOff>
      <xdr:row>4</xdr:row>
      <xdr:rowOff>0</xdr:rowOff>
    </xdr:from>
    <xdr:to>
      <xdr:col>24</xdr:col>
      <xdr:colOff>68292</xdr:colOff>
      <xdr:row>4</xdr:row>
      <xdr:rowOff>150962</xdr:rowOff>
    </xdr:to>
    <xdr:grpSp>
      <xdr:nvGrpSpPr>
        <xdr:cNvPr id="5" name="グループ化 4"/>
        <xdr:cNvGrpSpPr/>
      </xdr:nvGrpSpPr>
      <xdr:grpSpPr>
        <a:xfrm>
          <a:off x="466725" y="609600"/>
          <a:ext cx="1201767" cy="150962"/>
          <a:chOff x="1270770" y="762000"/>
          <a:chExt cx="3659650" cy="152400"/>
        </a:xfrm>
      </xdr:grpSpPr>
      <xdr:sp macro="" textlink="">
        <xdr:nvSpPr>
          <xdr:cNvPr id="2" name="テキスト ボックス 1"/>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 name="テキスト ボックス 3"/>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xdr:col>
      <xdr:colOff>65048</xdr:colOff>
      <xdr:row>6</xdr:row>
      <xdr:rowOff>0</xdr:rowOff>
    </xdr:from>
    <xdr:to>
      <xdr:col>33</xdr:col>
      <xdr:colOff>0</xdr:colOff>
      <xdr:row>7</xdr:row>
      <xdr:rowOff>0</xdr:rowOff>
    </xdr:to>
    <xdr:grpSp>
      <xdr:nvGrpSpPr>
        <xdr:cNvPr id="29" name="グループ化 28"/>
        <xdr:cNvGrpSpPr/>
      </xdr:nvGrpSpPr>
      <xdr:grpSpPr>
        <a:xfrm>
          <a:off x="465098" y="914400"/>
          <a:ext cx="1735177" cy="152400"/>
          <a:chOff x="465098" y="914400"/>
          <a:chExt cx="1735177" cy="152400"/>
        </a:xfrm>
      </xdr:grpSpPr>
      <xdr:sp macro="" textlink="">
        <xdr:nvSpPr>
          <xdr:cNvPr id="26" name="テキスト ボックス 25"/>
          <xdr:cNvSpPr txBox="1"/>
        </xdr:nvSpPr>
        <xdr:spPr>
          <a:xfrm>
            <a:off x="465098" y="914400"/>
            <a:ext cx="7350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 name="テキスト ボックス 26"/>
          <xdr:cNvSpPr txBox="1"/>
        </xdr:nvSpPr>
        <xdr:spPr>
          <a:xfrm>
            <a:off x="1267090" y="914400"/>
            <a:ext cx="131458"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sp macro="" textlink="">
        <xdr:nvSpPr>
          <xdr:cNvPr id="28" name="テキスト ボックス 27"/>
          <xdr:cNvSpPr txBox="1"/>
        </xdr:nvSpPr>
        <xdr:spPr>
          <a:xfrm>
            <a:off x="1466850" y="914400"/>
            <a:ext cx="733425"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7</xdr:col>
      <xdr:colOff>0</xdr:colOff>
      <xdr:row>2</xdr:row>
      <xdr:rowOff>0</xdr:rowOff>
    </xdr:from>
    <xdr:to>
      <xdr:col>47</xdr:col>
      <xdr:colOff>1618</xdr:colOff>
      <xdr:row>3</xdr:row>
      <xdr:rowOff>0</xdr:rowOff>
    </xdr:to>
    <xdr:grpSp>
      <xdr:nvGrpSpPr>
        <xdr:cNvPr id="37" name="グループ化 36"/>
        <xdr:cNvGrpSpPr/>
      </xdr:nvGrpSpPr>
      <xdr:grpSpPr>
        <a:xfrm>
          <a:off x="466725" y="304800"/>
          <a:ext cx="2668618" cy="152400"/>
          <a:chOff x="466725" y="304800"/>
          <a:chExt cx="2668618" cy="152400"/>
        </a:xfrm>
      </xdr:grpSpPr>
      <xdr:grpSp>
        <xdr:nvGrpSpPr>
          <xdr:cNvPr id="30" name="グループ化 29"/>
          <xdr:cNvGrpSpPr/>
        </xdr:nvGrpSpPr>
        <xdr:grpSpPr>
          <a:xfrm>
            <a:off x="466725" y="304800"/>
            <a:ext cx="1201767" cy="150962"/>
            <a:chOff x="1270770" y="762000"/>
            <a:chExt cx="3659650" cy="152400"/>
          </a:xfrm>
        </xdr:grpSpPr>
        <xdr:sp macro="" textlink="">
          <xdr:nvSpPr>
            <xdr:cNvPr id="31" name="テキスト ボックス 30"/>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テキスト ボックス 31"/>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33" name="テキスト ボックス 32"/>
          <xdr:cNvSpPr txBox="1"/>
        </xdr:nvSpPr>
        <xdr:spPr>
          <a:xfrm>
            <a:off x="1733550" y="304800"/>
            <a:ext cx="12955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34" name="グループ化 33"/>
          <xdr:cNvGrpSpPr/>
        </xdr:nvGrpSpPr>
        <xdr:grpSpPr>
          <a:xfrm>
            <a:off x="1933575" y="304800"/>
            <a:ext cx="1201768" cy="150962"/>
            <a:chOff x="1270770" y="762000"/>
            <a:chExt cx="3659650" cy="152400"/>
          </a:xfrm>
        </xdr:grpSpPr>
        <xdr:sp macro="" textlink="">
          <xdr:nvSpPr>
            <xdr:cNvPr id="35" name="テキスト ボックス 3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6" name="テキスト ボックス 3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clientData/>
  </xdr:twoCellAnchor>
  <xdr:twoCellAnchor>
    <xdr:from>
      <xdr:col>66</xdr:col>
      <xdr:colOff>0</xdr:colOff>
      <xdr:row>2</xdr:row>
      <xdr:rowOff>0</xdr:rowOff>
    </xdr:from>
    <xdr:to>
      <xdr:col>113</xdr:col>
      <xdr:colOff>3121</xdr:colOff>
      <xdr:row>3</xdr:row>
      <xdr:rowOff>1</xdr:rowOff>
    </xdr:to>
    <xdr:grpSp>
      <xdr:nvGrpSpPr>
        <xdr:cNvPr id="49" name="グループ化 48"/>
        <xdr:cNvGrpSpPr/>
      </xdr:nvGrpSpPr>
      <xdr:grpSpPr>
        <a:xfrm>
          <a:off x="4400550" y="304800"/>
          <a:ext cx="3136846" cy="152401"/>
          <a:chOff x="586447" y="1353553"/>
          <a:chExt cx="3064750" cy="150395"/>
        </a:xfrm>
      </xdr:grpSpPr>
      <xdr:sp macro="" textlink="">
        <xdr:nvSpPr>
          <xdr:cNvPr id="50" name="テキスト ボックス 49"/>
          <xdr:cNvSpPr txBox="1"/>
        </xdr:nvSpPr>
        <xdr:spPr>
          <a:xfrm>
            <a:off x="586447" y="1353553"/>
            <a:ext cx="391150" cy="15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依頼日</a:t>
            </a:r>
          </a:p>
        </xdr:txBody>
      </xdr:sp>
      <xdr:grpSp>
        <xdr:nvGrpSpPr>
          <xdr:cNvPr id="51" name="グループ化 50"/>
          <xdr:cNvGrpSpPr/>
        </xdr:nvGrpSpPr>
        <xdr:grpSpPr>
          <a:xfrm>
            <a:off x="1042737" y="1353553"/>
            <a:ext cx="2608460" cy="150395"/>
            <a:chOff x="466725" y="304800"/>
            <a:chExt cx="2668618" cy="152400"/>
          </a:xfrm>
        </xdr:grpSpPr>
        <xdr:grpSp>
          <xdr:nvGrpSpPr>
            <xdr:cNvPr id="52" name="グループ化 51"/>
            <xdr:cNvGrpSpPr/>
          </xdr:nvGrpSpPr>
          <xdr:grpSpPr>
            <a:xfrm>
              <a:off x="466725" y="304800"/>
              <a:ext cx="1201767" cy="150962"/>
              <a:chOff x="1270770" y="762000"/>
              <a:chExt cx="3659650" cy="152400"/>
            </a:xfrm>
          </xdr:grpSpPr>
          <xdr:sp macro="" textlink="">
            <xdr:nvSpPr>
              <xdr:cNvPr id="57" name="テキスト ボックス 56"/>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8" name="テキスト ボックス 57"/>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53" name="テキスト ボックス 52"/>
            <xdr:cNvSpPr txBox="1"/>
          </xdr:nvSpPr>
          <xdr:spPr>
            <a:xfrm>
              <a:off x="1733550" y="304800"/>
              <a:ext cx="129551"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54" name="グループ化 53"/>
            <xdr:cNvGrpSpPr/>
          </xdr:nvGrpSpPr>
          <xdr:grpSpPr>
            <a:xfrm>
              <a:off x="1933575" y="304800"/>
              <a:ext cx="1201768" cy="150962"/>
              <a:chOff x="1270770" y="762000"/>
              <a:chExt cx="3659650" cy="152400"/>
            </a:xfrm>
          </xdr:grpSpPr>
          <xdr:sp macro="" textlink="">
            <xdr:nvSpPr>
              <xdr:cNvPr id="55" name="テキスト ボックス 5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6" name="テキスト ボックス 5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grpSp>
    <xdr:clientData/>
  </xdr:twoCellAnchor>
  <xdr:twoCellAnchor>
    <xdr:from>
      <xdr:col>66</xdr:col>
      <xdr:colOff>1</xdr:colOff>
      <xdr:row>4</xdr:row>
      <xdr:rowOff>0</xdr:rowOff>
    </xdr:from>
    <xdr:to>
      <xdr:col>99</xdr:col>
      <xdr:colOff>266</xdr:colOff>
      <xdr:row>5</xdr:row>
      <xdr:rowOff>0</xdr:rowOff>
    </xdr:to>
    <xdr:grpSp>
      <xdr:nvGrpSpPr>
        <xdr:cNvPr id="67" name="グループ化 66"/>
        <xdr:cNvGrpSpPr/>
      </xdr:nvGrpSpPr>
      <xdr:grpSpPr>
        <a:xfrm>
          <a:off x="4400551" y="609600"/>
          <a:ext cx="2200540" cy="152400"/>
          <a:chOff x="4335518" y="604345"/>
          <a:chExt cx="2168024" cy="151086"/>
        </a:xfrm>
      </xdr:grpSpPr>
      <xdr:sp macro="" textlink="">
        <xdr:nvSpPr>
          <xdr:cNvPr id="59" name="テキスト ボックス 58"/>
          <xdr:cNvSpPr txBox="1"/>
        </xdr:nvSpPr>
        <xdr:spPr>
          <a:xfrm>
            <a:off x="4335518" y="604345"/>
            <a:ext cx="394137" cy="151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検索日</a:t>
            </a:r>
          </a:p>
        </xdr:txBody>
      </xdr:sp>
      <xdr:grpSp>
        <xdr:nvGrpSpPr>
          <xdr:cNvPr id="63" name="グループ化 62"/>
          <xdr:cNvGrpSpPr/>
        </xdr:nvGrpSpPr>
        <xdr:grpSpPr>
          <a:xfrm>
            <a:off x="4795345" y="604345"/>
            <a:ext cx="1708197" cy="151086"/>
            <a:chOff x="465098" y="914400"/>
            <a:chExt cx="1735177" cy="152400"/>
          </a:xfrm>
        </xdr:grpSpPr>
        <xdr:sp macro="" textlink="">
          <xdr:nvSpPr>
            <xdr:cNvPr id="64" name="テキスト ボックス 63"/>
            <xdr:cNvSpPr txBox="1"/>
          </xdr:nvSpPr>
          <xdr:spPr>
            <a:xfrm>
              <a:off x="465098" y="914400"/>
              <a:ext cx="7350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テキスト ボックス 64"/>
            <xdr:cNvSpPr txBox="1"/>
          </xdr:nvSpPr>
          <xdr:spPr>
            <a:xfrm>
              <a:off x="1267090" y="914400"/>
              <a:ext cx="131458"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sp macro="" textlink="">
          <xdr:nvSpPr>
            <xdr:cNvPr id="66" name="テキスト ボックス 65"/>
            <xdr:cNvSpPr txBox="1"/>
          </xdr:nvSpPr>
          <xdr:spPr>
            <a:xfrm>
              <a:off x="1466850" y="914400"/>
              <a:ext cx="733425"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clientData/>
  </xdr:twoCellAnchor>
  <xdr:twoCellAnchor>
    <xdr:from>
      <xdr:col>74</xdr:col>
      <xdr:colOff>0</xdr:colOff>
      <xdr:row>9</xdr:row>
      <xdr:rowOff>1</xdr:rowOff>
    </xdr:from>
    <xdr:to>
      <xdr:col>117</xdr:col>
      <xdr:colOff>1</xdr:colOff>
      <xdr:row>10</xdr:row>
      <xdr:rowOff>1</xdr:rowOff>
    </xdr:to>
    <xdr:grpSp>
      <xdr:nvGrpSpPr>
        <xdr:cNvPr id="74" name="グループ化 73"/>
        <xdr:cNvGrpSpPr/>
      </xdr:nvGrpSpPr>
      <xdr:grpSpPr>
        <a:xfrm>
          <a:off x="4933950" y="1371601"/>
          <a:ext cx="2867026" cy="152400"/>
          <a:chOff x="4191000" y="1083469"/>
          <a:chExt cx="2815829" cy="154782"/>
        </a:xfrm>
      </xdr:grpSpPr>
      <xdr:grpSp>
        <xdr:nvGrpSpPr>
          <xdr:cNvPr id="75" name="グループ化 74"/>
          <xdr:cNvGrpSpPr/>
        </xdr:nvGrpSpPr>
        <xdr:grpSpPr>
          <a:xfrm>
            <a:off x="4786312" y="1083469"/>
            <a:ext cx="2220517" cy="154781"/>
            <a:chOff x="806164" y="1219201"/>
            <a:chExt cx="2260892" cy="152400"/>
          </a:xfrm>
        </xdr:grpSpPr>
        <xdr:sp macro="" textlink="">
          <xdr:nvSpPr>
            <xdr:cNvPr id="78" name="テキスト ボックス 77"/>
            <xdr:cNvSpPr txBox="1"/>
          </xdr:nvSpPr>
          <xdr:spPr>
            <a:xfrm>
              <a:off x="806164" y="1221940"/>
              <a:ext cx="73342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9" name="テキスト ボックス 78"/>
            <xdr:cNvSpPr txBox="1"/>
          </xdr:nvSpPr>
          <xdr:spPr>
            <a:xfrm>
              <a:off x="1600204" y="1219201"/>
              <a:ext cx="14668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76" name="テキスト ボックス 75"/>
          <xdr:cNvSpPr txBox="1"/>
        </xdr:nvSpPr>
        <xdr:spPr>
          <a:xfrm>
            <a:off x="4191000" y="1083469"/>
            <a:ext cx="523875" cy="154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出荷場所</a:t>
            </a:r>
          </a:p>
        </xdr:txBody>
      </xdr:sp>
    </xdr:grpSp>
    <xdr:clientData/>
  </xdr:twoCellAnchor>
  <xdr:twoCellAnchor>
    <xdr:from>
      <xdr:col>68</xdr:col>
      <xdr:colOff>1359</xdr:colOff>
      <xdr:row>11</xdr:row>
      <xdr:rowOff>0</xdr:rowOff>
    </xdr:from>
    <xdr:to>
      <xdr:col>73</xdr:col>
      <xdr:colOff>68164</xdr:colOff>
      <xdr:row>12</xdr:row>
      <xdr:rowOff>1</xdr:rowOff>
    </xdr:to>
    <xdr:grpSp>
      <xdr:nvGrpSpPr>
        <xdr:cNvPr id="10" name="グループ化 9"/>
        <xdr:cNvGrpSpPr/>
      </xdr:nvGrpSpPr>
      <xdr:grpSpPr>
        <a:xfrm>
          <a:off x="4535259" y="1676400"/>
          <a:ext cx="400180" cy="152401"/>
          <a:chOff x="4533898" y="1676400"/>
          <a:chExt cx="399974" cy="152401"/>
        </a:xfrm>
      </xdr:grpSpPr>
      <xdr:grpSp>
        <xdr:nvGrpSpPr>
          <xdr:cNvPr id="9" name="グループ化 8"/>
          <xdr:cNvGrpSpPr/>
        </xdr:nvGrpSpPr>
        <xdr:grpSpPr>
          <a:xfrm>
            <a:off x="4788351" y="1676400"/>
            <a:ext cx="145521" cy="152401"/>
            <a:chOff x="4681574" y="1654342"/>
            <a:chExt cx="141084" cy="150396"/>
          </a:xfrm>
        </xdr:grpSpPr>
        <xdr:sp macro="" textlink="">
          <xdr:nvSpPr>
            <xdr:cNvPr id="60" name="テキスト ボックス 59"/>
            <xdr:cNvSpPr txBox="1"/>
          </xdr:nvSpPr>
          <xdr:spPr>
            <a:xfrm>
              <a:off x="4681574" y="1654342"/>
              <a:ext cx="141084" cy="15039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1">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 name="上矢印 7"/>
            <xdr:cNvSpPr/>
          </xdr:nvSpPr>
          <xdr:spPr>
            <a:xfrm>
              <a:off x="4692737" y="1663352"/>
              <a:ext cx="128895" cy="117893"/>
            </a:xfrm>
            <a:prstGeom prst="upArrow">
              <a:avLst>
                <a:gd name="adj1" fmla="val 30769"/>
                <a:gd name="adj2" fmla="val 50000"/>
              </a:avLst>
            </a:prstGeom>
            <a:solidFill>
              <a:sysClr val="window" lastClr="FFFFFF"/>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62" name="グループ化 61"/>
          <xdr:cNvGrpSpPr/>
        </xdr:nvGrpSpPr>
        <xdr:grpSpPr>
          <a:xfrm>
            <a:off x="4533898" y="1676400"/>
            <a:ext cx="144042" cy="152401"/>
            <a:chOff x="4681574" y="1654342"/>
            <a:chExt cx="141084" cy="150396"/>
          </a:xfrm>
        </xdr:grpSpPr>
        <xdr:sp macro="" textlink="">
          <xdr:nvSpPr>
            <xdr:cNvPr id="77" name="テキスト ボックス 76"/>
            <xdr:cNvSpPr txBox="1"/>
          </xdr:nvSpPr>
          <xdr:spPr>
            <a:xfrm>
              <a:off x="4681574" y="1654342"/>
              <a:ext cx="141084" cy="15039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1">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0" name="上矢印 79"/>
            <xdr:cNvSpPr/>
          </xdr:nvSpPr>
          <xdr:spPr>
            <a:xfrm>
              <a:off x="4686816" y="1663352"/>
              <a:ext cx="128895" cy="117893"/>
            </a:xfrm>
            <a:prstGeom prst="upArrow">
              <a:avLst>
                <a:gd name="adj1" fmla="val 30769"/>
                <a:gd name="adj2" fmla="val 50000"/>
              </a:avLst>
            </a:prstGeom>
            <a:solidFill>
              <a:sysClr val="window" lastClr="FFFFFF"/>
            </a:solidFill>
            <a:ln>
              <a:noFill/>
            </a:ln>
            <a:effectLst/>
            <a:scene3d>
              <a:camera prst="orthographicFront">
                <a:rot lat="0" lon="0" rev="10800000"/>
              </a:camera>
              <a:lightRig rig="threePt" dir="t"/>
            </a:scene3d>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clientData/>
  </xdr:twoCellAnchor>
  <xdr:twoCellAnchor>
    <xdr:from>
      <xdr:col>77</xdr:col>
      <xdr:colOff>65170</xdr:colOff>
      <xdr:row>11</xdr:row>
      <xdr:rowOff>0</xdr:rowOff>
    </xdr:from>
    <xdr:to>
      <xdr:col>87</xdr:col>
      <xdr:colOff>65170</xdr:colOff>
      <xdr:row>12</xdr:row>
      <xdr:rowOff>0</xdr:rowOff>
    </xdr:to>
    <xdr:sp macro="" textlink="">
      <xdr:nvSpPr>
        <xdr:cNvPr id="11" name="角丸四角形 10"/>
        <xdr:cNvSpPr/>
      </xdr:nvSpPr>
      <xdr:spPr>
        <a:xfrm>
          <a:off x="5083341" y="1654342"/>
          <a:ext cx="651711" cy="150395"/>
        </a:xfrm>
        <a:prstGeom prst="roundRect">
          <a:avLst/>
        </a:prstGeom>
        <a:solidFill>
          <a:srgbClr val="00CC99"/>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検索する</a:t>
          </a:r>
        </a:p>
      </xdr:txBody>
    </xdr:sp>
    <xdr:clientData/>
  </xdr:twoCellAnchor>
  <xdr:twoCellAnchor>
    <xdr:from>
      <xdr:col>91</xdr:col>
      <xdr:colOff>0</xdr:colOff>
      <xdr:row>11</xdr:row>
      <xdr:rowOff>0</xdr:rowOff>
    </xdr:from>
    <xdr:to>
      <xdr:col>100</xdr:col>
      <xdr:colOff>65171</xdr:colOff>
      <xdr:row>12</xdr:row>
      <xdr:rowOff>0</xdr:rowOff>
    </xdr:to>
    <xdr:sp macro="" textlink="">
      <xdr:nvSpPr>
        <xdr:cNvPr id="82" name="角丸四角形 81"/>
        <xdr:cNvSpPr/>
      </xdr:nvSpPr>
      <xdr:spPr>
        <a:xfrm>
          <a:off x="5930566" y="1654342"/>
          <a:ext cx="651710" cy="150395"/>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更新する</a:t>
          </a:r>
        </a:p>
      </xdr:txBody>
    </xdr:sp>
    <xdr:clientData/>
  </xdr:twoCellAnchor>
  <xdr:twoCellAnchor>
    <xdr:from>
      <xdr:col>68</xdr:col>
      <xdr:colOff>3</xdr:colOff>
      <xdr:row>13</xdr:row>
      <xdr:rowOff>0</xdr:rowOff>
    </xdr:from>
    <xdr:to>
      <xdr:col>108</xdr:col>
      <xdr:colOff>64861</xdr:colOff>
      <xdr:row>13</xdr:row>
      <xdr:rowOff>149660</xdr:rowOff>
    </xdr:to>
    <xdr:grpSp>
      <xdr:nvGrpSpPr>
        <xdr:cNvPr id="14" name="グループ化 13"/>
        <xdr:cNvGrpSpPr/>
      </xdr:nvGrpSpPr>
      <xdr:grpSpPr>
        <a:xfrm>
          <a:off x="4533903" y="1981200"/>
          <a:ext cx="2731858" cy="149660"/>
          <a:chOff x="4431635" y="1955132"/>
          <a:chExt cx="2671700" cy="149660"/>
        </a:xfrm>
      </xdr:grpSpPr>
      <xdr:grpSp>
        <xdr:nvGrpSpPr>
          <xdr:cNvPr id="12" name="グループ化 11"/>
          <xdr:cNvGrpSpPr/>
        </xdr:nvGrpSpPr>
        <xdr:grpSpPr>
          <a:xfrm>
            <a:off x="4431635" y="1955132"/>
            <a:ext cx="519321" cy="149660"/>
            <a:chOff x="4455488" y="2012156"/>
            <a:chExt cx="521324" cy="149660"/>
          </a:xfrm>
        </xdr:grpSpPr>
        <xdr:sp macro="" textlink="">
          <xdr:nvSpPr>
            <xdr:cNvPr id="84" name="テキスト ボックス 83"/>
            <xdr:cNvSpPr txBox="1"/>
          </xdr:nvSpPr>
          <xdr:spPr>
            <a:xfrm>
              <a:off x="4583907" y="2012156"/>
              <a:ext cx="392905"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未確定</a:t>
              </a:r>
            </a:p>
          </xdr:txBody>
        </xdr:sp>
        <xdr:sp macro="" textlink="">
          <xdr:nvSpPr>
            <xdr:cNvPr id="83" name="テキスト ボックス 82"/>
            <xdr:cNvSpPr txBox="1"/>
          </xdr:nvSpPr>
          <xdr:spPr>
            <a:xfrm>
              <a:off x="4455488"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88" name="テキスト ボックス 87"/>
          <xdr:cNvSpPr txBox="1"/>
        </xdr:nvSpPr>
        <xdr:spPr>
          <a:xfrm>
            <a:off x="5211894" y="1955132"/>
            <a:ext cx="32636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確定</a:t>
            </a:r>
          </a:p>
        </xdr:txBody>
      </xdr:sp>
      <xdr:sp macro="" textlink="">
        <xdr:nvSpPr>
          <xdr:cNvPr id="91" name="テキスト ボックス 90"/>
          <xdr:cNvSpPr txBox="1"/>
        </xdr:nvSpPr>
        <xdr:spPr>
          <a:xfrm>
            <a:off x="5798676" y="1955132"/>
            <a:ext cx="71756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指図・発注済</a:t>
            </a:r>
          </a:p>
        </xdr:txBody>
      </xdr:sp>
      <xdr:sp macro="" textlink="">
        <xdr:nvSpPr>
          <xdr:cNvPr id="94" name="テキスト ボックス 93"/>
          <xdr:cNvSpPr txBox="1"/>
        </xdr:nvSpPr>
        <xdr:spPr>
          <a:xfrm>
            <a:off x="6777171" y="1955132"/>
            <a:ext cx="326164"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完了</a:t>
            </a:r>
          </a:p>
        </xdr:txBody>
      </xdr:sp>
      <xdr:sp macro="" textlink="">
        <xdr:nvSpPr>
          <xdr:cNvPr id="95" name="テキスト ボックス 94"/>
          <xdr:cNvSpPr txBox="1"/>
        </xdr:nvSpPr>
        <xdr:spPr>
          <a:xfrm>
            <a:off x="5083342"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6" name="テキスト ボックス 95"/>
          <xdr:cNvSpPr txBox="1"/>
        </xdr:nvSpPr>
        <xdr:spPr>
          <a:xfrm>
            <a:off x="5672516" y="1974506"/>
            <a:ext cx="109932"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7" name="テキスト ボックス 96"/>
          <xdr:cNvSpPr txBox="1"/>
        </xdr:nvSpPr>
        <xdr:spPr>
          <a:xfrm>
            <a:off x="6647447"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64</xdr:col>
      <xdr:colOff>20321</xdr:colOff>
      <xdr:row>17</xdr:row>
      <xdr:rowOff>0</xdr:rowOff>
    </xdr:from>
    <xdr:to>
      <xdr:col>87</xdr:col>
      <xdr:colOff>68579</xdr:colOff>
      <xdr:row>17</xdr:row>
      <xdr:rowOff>149660</xdr:rowOff>
    </xdr:to>
    <xdr:grpSp>
      <xdr:nvGrpSpPr>
        <xdr:cNvPr id="103" name="グループ化 102"/>
        <xdr:cNvGrpSpPr/>
      </xdr:nvGrpSpPr>
      <xdr:grpSpPr>
        <a:xfrm>
          <a:off x="4287521" y="2590800"/>
          <a:ext cx="1581783" cy="149660"/>
          <a:chOff x="4128874" y="1955132"/>
          <a:chExt cx="1542025" cy="149660"/>
        </a:xfrm>
      </xdr:grpSpPr>
      <xdr:grpSp>
        <xdr:nvGrpSpPr>
          <xdr:cNvPr id="104" name="グループ化 103"/>
          <xdr:cNvGrpSpPr/>
        </xdr:nvGrpSpPr>
        <xdr:grpSpPr>
          <a:xfrm>
            <a:off x="4128874" y="1955132"/>
            <a:ext cx="696319" cy="149660"/>
            <a:chOff x="4151576" y="2012156"/>
            <a:chExt cx="699007" cy="149660"/>
          </a:xfrm>
        </xdr:grpSpPr>
        <xdr:sp macro="" textlink="">
          <xdr:nvSpPr>
            <xdr:cNvPr id="111" name="テキスト ボックス 110"/>
            <xdr:cNvSpPr txBox="1"/>
          </xdr:nvSpPr>
          <xdr:spPr>
            <a:xfrm>
              <a:off x="4262831" y="2012156"/>
              <a:ext cx="58775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回答未確認</a:t>
              </a:r>
            </a:p>
          </xdr:txBody>
        </xdr:sp>
        <xdr:sp macro="" textlink="">
          <xdr:nvSpPr>
            <xdr:cNvPr id="112" name="テキスト ボックス 111"/>
            <xdr:cNvSpPr txBox="1"/>
          </xdr:nvSpPr>
          <xdr:spPr>
            <a:xfrm>
              <a:off x="4151576"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05" name="テキスト ボックス 104"/>
          <xdr:cNvSpPr txBox="1"/>
        </xdr:nvSpPr>
        <xdr:spPr>
          <a:xfrm>
            <a:off x="5085408" y="1955132"/>
            <a:ext cx="585491"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再調整依頼</a:t>
            </a:r>
          </a:p>
        </xdr:txBody>
      </xdr:sp>
      <xdr:sp macro="" textlink="">
        <xdr:nvSpPr>
          <xdr:cNvPr id="108" name="テキスト ボックス 107"/>
          <xdr:cNvSpPr txBox="1"/>
        </xdr:nvSpPr>
        <xdr:spPr>
          <a:xfrm>
            <a:off x="4955301"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103</xdr:col>
      <xdr:colOff>65170</xdr:colOff>
      <xdr:row>11</xdr:row>
      <xdr:rowOff>0</xdr:rowOff>
    </xdr:from>
    <xdr:to>
      <xdr:col>126</xdr:col>
      <xdr:colOff>65170</xdr:colOff>
      <xdr:row>12</xdr:row>
      <xdr:rowOff>0</xdr:rowOff>
    </xdr:to>
    <xdr:grpSp>
      <xdr:nvGrpSpPr>
        <xdr:cNvPr id="19" name="グループ化 18"/>
        <xdr:cNvGrpSpPr/>
      </xdr:nvGrpSpPr>
      <xdr:grpSpPr>
        <a:xfrm>
          <a:off x="6932695" y="1676400"/>
          <a:ext cx="1533525" cy="152400"/>
          <a:chOff x="6792541" y="1676400"/>
          <a:chExt cx="1502229" cy="152400"/>
        </a:xfrm>
      </xdr:grpSpPr>
      <xdr:sp macro="" textlink="">
        <xdr:nvSpPr>
          <xdr:cNvPr id="113" name="角丸四角形 112"/>
          <xdr:cNvSpPr/>
        </xdr:nvSpPr>
        <xdr:spPr>
          <a:xfrm>
            <a:off x="6792541" y="1676400"/>
            <a:ext cx="1502229"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シュミレーション用依頼登録</a:t>
            </a:r>
          </a:p>
        </xdr:txBody>
      </xdr:sp>
      <xdr:sp macro="" textlink="">
        <xdr:nvSpPr>
          <xdr:cNvPr id="18" name="角丸四角形 17"/>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67</xdr:col>
      <xdr:colOff>65314</xdr:colOff>
      <xdr:row>19</xdr:row>
      <xdr:rowOff>0</xdr:rowOff>
    </xdr:from>
    <xdr:to>
      <xdr:col>74</xdr:col>
      <xdr:colOff>11593</xdr:colOff>
      <xdr:row>20</xdr:row>
      <xdr:rowOff>1</xdr:rowOff>
    </xdr:to>
    <xdr:grpSp>
      <xdr:nvGrpSpPr>
        <xdr:cNvPr id="25" name="グループ化 24"/>
        <xdr:cNvGrpSpPr/>
      </xdr:nvGrpSpPr>
      <xdr:grpSpPr>
        <a:xfrm>
          <a:off x="4532539" y="2895600"/>
          <a:ext cx="413004" cy="152401"/>
          <a:chOff x="4532539" y="2895600"/>
          <a:chExt cx="413004" cy="152401"/>
        </a:xfrm>
      </xdr:grpSpPr>
      <xdr:grpSp>
        <xdr:nvGrpSpPr>
          <xdr:cNvPr id="21" name="グループ化 20"/>
          <xdr:cNvGrpSpPr/>
        </xdr:nvGrpSpPr>
        <xdr:grpSpPr>
          <a:xfrm>
            <a:off x="4532539" y="2895600"/>
            <a:ext cx="144715" cy="152401"/>
            <a:chOff x="4532539" y="2895600"/>
            <a:chExt cx="144715" cy="152401"/>
          </a:xfrm>
        </xdr:grpSpPr>
        <xdr:sp macro="" textlink="">
          <xdr:nvSpPr>
            <xdr:cNvPr id="114" name="テキスト ボックス 113"/>
            <xdr:cNvSpPr txBox="1"/>
          </xdr:nvSpPr>
          <xdr:spPr>
            <a:xfrm>
              <a:off x="4532539" y="2895600"/>
              <a:ext cx="144715" cy="152401"/>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正方形/長方形 19"/>
            <xdr:cNvSpPr/>
          </xdr:nvSpPr>
          <xdr:spPr>
            <a:xfrm>
              <a:off x="4551773" y="2966780"/>
              <a:ext cx="109731" cy="21600"/>
            </a:xfrm>
            <a:prstGeom prst="rect">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4" name="グループ化 23"/>
          <xdr:cNvGrpSpPr/>
        </xdr:nvGrpSpPr>
        <xdr:grpSpPr>
          <a:xfrm>
            <a:off x="4800600" y="2895600"/>
            <a:ext cx="144943" cy="152401"/>
            <a:chOff x="4933950" y="2895600"/>
            <a:chExt cx="143211" cy="152401"/>
          </a:xfrm>
        </xdr:grpSpPr>
        <xdr:grpSp>
          <xdr:nvGrpSpPr>
            <xdr:cNvPr id="116" name="グループ化 115"/>
            <xdr:cNvGrpSpPr/>
          </xdr:nvGrpSpPr>
          <xdr:grpSpPr>
            <a:xfrm>
              <a:off x="4933950" y="2895600"/>
              <a:ext cx="143211" cy="152401"/>
              <a:chOff x="4532539" y="2895600"/>
              <a:chExt cx="144715" cy="152401"/>
            </a:xfrm>
          </xdr:grpSpPr>
          <xdr:sp macro="" textlink="">
            <xdr:nvSpPr>
              <xdr:cNvPr id="117" name="テキスト ボックス 116"/>
              <xdr:cNvSpPr txBox="1"/>
            </xdr:nvSpPr>
            <xdr:spPr>
              <a:xfrm>
                <a:off x="4532539" y="2895600"/>
                <a:ext cx="144715" cy="152401"/>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8" name="正方形/長方形 117"/>
              <xdr:cNvSpPr/>
            </xdr:nvSpPr>
            <xdr:spPr>
              <a:xfrm>
                <a:off x="4551773" y="3002339"/>
                <a:ext cx="109731" cy="21600"/>
              </a:xfrm>
              <a:prstGeom prst="rect">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sp macro="" textlink="">
          <xdr:nvSpPr>
            <xdr:cNvPr id="23" name="右矢印 22"/>
            <xdr:cNvSpPr/>
          </xdr:nvSpPr>
          <xdr:spPr>
            <a:xfrm>
              <a:off x="4958165" y="2913679"/>
              <a:ext cx="94264" cy="78181"/>
            </a:xfrm>
            <a:prstGeom prst="rightArrow">
              <a:avLst>
                <a:gd name="adj1" fmla="val 26271"/>
                <a:gd name="adj2" fmla="val 52542"/>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bg1"/>
                </a:solidFill>
                <a:effectLst/>
                <a:latin typeface="+mn-lt"/>
                <a:ea typeface="+mn-ea"/>
                <a:cs typeface="+mn-cs"/>
              </a:endParaRPr>
            </a:p>
          </xdr:txBody>
        </xdr:sp>
      </xdr:grpSp>
    </xdr:grpSp>
    <xdr:clientData/>
  </xdr:twoCellAnchor>
  <xdr:twoCellAnchor>
    <xdr:from>
      <xdr:col>130</xdr:col>
      <xdr:colOff>0</xdr:colOff>
      <xdr:row>11</xdr:row>
      <xdr:rowOff>0</xdr:rowOff>
    </xdr:from>
    <xdr:to>
      <xdr:col>137</xdr:col>
      <xdr:colOff>65165</xdr:colOff>
      <xdr:row>12</xdr:row>
      <xdr:rowOff>0</xdr:rowOff>
    </xdr:to>
    <xdr:grpSp>
      <xdr:nvGrpSpPr>
        <xdr:cNvPr id="119" name="グループ化 118"/>
        <xdr:cNvGrpSpPr/>
      </xdr:nvGrpSpPr>
      <xdr:grpSpPr>
        <a:xfrm>
          <a:off x="8667750" y="1676400"/>
          <a:ext cx="531890" cy="152400"/>
          <a:chOff x="6792541" y="1676400"/>
          <a:chExt cx="522508" cy="152400"/>
        </a:xfrm>
      </xdr:grpSpPr>
      <xdr:sp macro="" textlink="">
        <xdr:nvSpPr>
          <xdr:cNvPr id="120" name="角丸四角形 119"/>
          <xdr:cNvSpPr/>
        </xdr:nvSpPr>
        <xdr:spPr>
          <a:xfrm>
            <a:off x="6792541" y="1676400"/>
            <a:ext cx="522508"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詳細</a:t>
            </a:r>
          </a:p>
        </xdr:txBody>
      </xdr:sp>
      <xdr:sp macro="" textlink="">
        <xdr:nvSpPr>
          <xdr:cNvPr id="121" name="角丸四角形 120"/>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82</xdr:col>
      <xdr:colOff>65169</xdr:colOff>
      <xdr:row>19</xdr:row>
      <xdr:rowOff>3</xdr:rowOff>
    </xdr:from>
    <xdr:to>
      <xdr:col>88</xdr:col>
      <xdr:colOff>36371</xdr:colOff>
      <xdr:row>19</xdr:row>
      <xdr:rowOff>139868</xdr:rowOff>
    </xdr:to>
    <xdr:grpSp>
      <xdr:nvGrpSpPr>
        <xdr:cNvPr id="39" name="グループ化 38"/>
        <xdr:cNvGrpSpPr/>
      </xdr:nvGrpSpPr>
      <xdr:grpSpPr>
        <a:xfrm>
          <a:off x="5532519" y="2895603"/>
          <a:ext cx="371252" cy="139865"/>
          <a:chOff x="5409195" y="2857502"/>
          <a:chExt cx="402477" cy="155406"/>
        </a:xfrm>
      </xdr:grpSpPr>
      <xdr:grpSp>
        <xdr:nvGrpSpPr>
          <xdr:cNvPr id="143" name="グループ化 142"/>
          <xdr:cNvGrpSpPr/>
        </xdr:nvGrpSpPr>
        <xdr:grpSpPr>
          <a:xfrm>
            <a:off x="5409195" y="2857502"/>
            <a:ext cx="402477" cy="150405"/>
            <a:chOff x="4532547" y="2895581"/>
            <a:chExt cx="413006" cy="152409"/>
          </a:xfrm>
          <a:solidFill>
            <a:schemeClr val="bg1"/>
          </a:solidFill>
        </xdr:grpSpPr>
        <xdr:sp macro="" textlink="">
          <xdr:nvSpPr>
            <xdr:cNvPr id="150" name="テキスト ボックス 149"/>
            <xdr:cNvSpPr txBox="1"/>
          </xdr:nvSpPr>
          <xdr:spPr>
            <a:xfrm>
              <a:off x="4532547" y="2895581"/>
              <a:ext cx="144715" cy="152400"/>
            </a:xfrm>
            <a:prstGeom prst="rect">
              <a:avLst/>
            </a:prstGeom>
            <a:grpFill/>
            <a:ln w="19050" cmpd="sng">
              <a:solidFill>
                <a:srgbClr val="3366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8" name="テキスト ボックス 147"/>
            <xdr:cNvSpPr txBox="1"/>
          </xdr:nvSpPr>
          <xdr:spPr>
            <a:xfrm>
              <a:off x="4800610" y="2895590"/>
              <a:ext cx="144943" cy="152400"/>
            </a:xfrm>
            <a:prstGeom prst="rect">
              <a:avLst/>
            </a:prstGeom>
            <a:grpFill/>
            <a:ln w="19050" cmpd="sng">
              <a:solidFill>
                <a:srgbClr val="3366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52" name="テキスト ボックス 151"/>
          <xdr:cNvSpPr txBox="1"/>
        </xdr:nvSpPr>
        <xdr:spPr>
          <a:xfrm>
            <a:off x="5424236" y="2863248"/>
            <a:ext cx="130342" cy="149660"/>
          </a:xfrm>
          <a:prstGeom prst="rect">
            <a:avLst/>
          </a:prstGeom>
          <a:noFill/>
          <a:ln w="9525" cmpd="sng">
            <a:noFill/>
          </a:ln>
          <a:scene3d>
            <a:camera prst="orthographicFront">
              <a:rot lat="0" lon="0" rev="16200000"/>
            </a:camera>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1400">
                <a:latin typeface="Meiryo UI" panose="020B0604030504040204" pitchFamily="50" charset="-128"/>
                <a:ea typeface="Meiryo UI" panose="020B0604030504040204" pitchFamily="50" charset="-128"/>
                <a:cs typeface="Meiryo UI" panose="020B0604030504040204" pitchFamily="50" charset="-128"/>
              </a:rPr>
              <a:t>ゝ</a:t>
            </a:r>
          </a:p>
        </xdr:txBody>
      </xdr:sp>
    </xdr:grpSp>
    <xdr:clientData/>
  </xdr:twoCellAnchor>
  <xdr:twoCellAnchor>
    <xdr:from>
      <xdr:col>72</xdr:col>
      <xdr:colOff>0</xdr:colOff>
      <xdr:row>7</xdr:row>
      <xdr:rowOff>0</xdr:rowOff>
    </xdr:from>
    <xdr:to>
      <xdr:col>118</xdr:col>
      <xdr:colOff>62383</xdr:colOff>
      <xdr:row>8</xdr:row>
      <xdr:rowOff>2</xdr:rowOff>
    </xdr:to>
    <xdr:grpSp>
      <xdr:nvGrpSpPr>
        <xdr:cNvPr id="124" name="グループ化 123"/>
        <xdr:cNvGrpSpPr/>
      </xdr:nvGrpSpPr>
      <xdr:grpSpPr>
        <a:xfrm>
          <a:off x="4800600" y="1066800"/>
          <a:ext cx="3129433" cy="152402"/>
          <a:chOff x="4683511" y="1072374"/>
          <a:chExt cx="3057748" cy="154260"/>
        </a:xfrm>
      </xdr:grpSpPr>
      <xdr:grpSp>
        <xdr:nvGrpSpPr>
          <xdr:cNvPr id="125" name="グループ化 124"/>
          <xdr:cNvGrpSpPr/>
        </xdr:nvGrpSpPr>
        <xdr:grpSpPr>
          <a:xfrm>
            <a:off x="4683511" y="1072374"/>
            <a:ext cx="3057748" cy="154260"/>
            <a:chOff x="4649332" y="1083468"/>
            <a:chExt cx="3078042" cy="154783"/>
          </a:xfrm>
        </xdr:grpSpPr>
        <xdr:grpSp>
          <xdr:nvGrpSpPr>
            <xdr:cNvPr id="127" name="グループ化 126"/>
            <xdr:cNvGrpSpPr/>
          </xdr:nvGrpSpPr>
          <xdr:grpSpPr>
            <a:xfrm>
              <a:off x="5369651" y="1083468"/>
              <a:ext cx="2357723" cy="154783"/>
              <a:chOff x="1400110" y="1219192"/>
              <a:chExt cx="2400593" cy="152401"/>
            </a:xfrm>
          </xdr:grpSpPr>
          <xdr:sp macro="" textlink="">
            <xdr:nvSpPr>
              <xdr:cNvPr id="129" name="テキスト ボックス 128"/>
              <xdr:cNvSpPr txBox="1"/>
            </xdr:nvSpPr>
            <xdr:spPr>
              <a:xfrm>
                <a:off x="2136173"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0" name="テキスト ボックス 129"/>
              <xdr:cNvSpPr txBox="1"/>
            </xdr:nvSpPr>
            <xdr:spPr>
              <a:xfrm>
                <a:off x="1400110" y="1221932"/>
                <a:ext cx="73301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1" name="テキスト ボックス 130"/>
              <xdr:cNvSpPr txBox="1"/>
            </xdr:nvSpPr>
            <xdr:spPr>
              <a:xfrm>
                <a:off x="2333337" y="1219192"/>
                <a:ext cx="1467366"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28" name="テキスト ボックス 127"/>
            <xdr:cNvSpPr txBox="1"/>
          </xdr:nvSpPr>
          <xdr:spPr>
            <a:xfrm>
              <a:off x="4649332" y="1083469"/>
              <a:ext cx="654833"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sp macro="" textlink="">
        <xdr:nvSpPr>
          <xdr:cNvPr id="126" name="二等辺三角形 125"/>
          <xdr:cNvSpPr>
            <a:spLocks/>
          </xdr:cNvSpPr>
        </xdr:nvSpPr>
        <xdr:spPr>
          <a:xfrm flipV="1">
            <a:off x="6136320"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92</xdr:col>
      <xdr:colOff>5</xdr:colOff>
      <xdr:row>17</xdr:row>
      <xdr:rowOff>0</xdr:rowOff>
    </xdr:from>
    <xdr:to>
      <xdr:col>110</xdr:col>
      <xdr:colOff>17738</xdr:colOff>
      <xdr:row>17</xdr:row>
      <xdr:rowOff>149660</xdr:rowOff>
    </xdr:to>
    <xdr:grpSp>
      <xdr:nvGrpSpPr>
        <xdr:cNvPr id="132" name="グループ化 131"/>
        <xdr:cNvGrpSpPr/>
      </xdr:nvGrpSpPr>
      <xdr:grpSpPr>
        <a:xfrm>
          <a:off x="6134105" y="2590800"/>
          <a:ext cx="1217883" cy="149660"/>
          <a:chOff x="4128877" y="1955132"/>
          <a:chExt cx="1186798" cy="149660"/>
        </a:xfrm>
      </xdr:grpSpPr>
      <xdr:grpSp>
        <xdr:nvGrpSpPr>
          <xdr:cNvPr id="133" name="グループ化 132"/>
          <xdr:cNvGrpSpPr/>
        </xdr:nvGrpSpPr>
        <xdr:grpSpPr>
          <a:xfrm>
            <a:off x="4128877" y="1955132"/>
            <a:ext cx="542794" cy="149660"/>
            <a:chOff x="4151576" y="2012156"/>
            <a:chExt cx="544889" cy="149660"/>
          </a:xfrm>
        </xdr:grpSpPr>
        <xdr:sp macro="" textlink="">
          <xdr:nvSpPr>
            <xdr:cNvPr id="136" name="テキスト ボックス 135"/>
            <xdr:cNvSpPr txBox="1"/>
          </xdr:nvSpPr>
          <xdr:spPr>
            <a:xfrm>
              <a:off x="4262831" y="2012156"/>
              <a:ext cx="433634"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未確認</a:t>
              </a:r>
            </a:p>
          </xdr:txBody>
        </xdr:sp>
        <xdr:sp macro="" textlink="">
          <xdr:nvSpPr>
            <xdr:cNvPr id="137" name="テキスト ボックス 136"/>
            <xdr:cNvSpPr txBox="1"/>
          </xdr:nvSpPr>
          <xdr:spPr>
            <a:xfrm>
              <a:off x="4151576"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34" name="テキスト ボックス 133"/>
          <xdr:cNvSpPr txBox="1"/>
        </xdr:nvSpPr>
        <xdr:spPr>
          <a:xfrm>
            <a:off x="4908268" y="1955132"/>
            <a:ext cx="407407"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確認済</a:t>
            </a:r>
          </a:p>
        </xdr:txBody>
      </xdr:sp>
      <xdr:sp macro="" textlink="">
        <xdr:nvSpPr>
          <xdr:cNvPr id="135" name="テキスト ボックス 134"/>
          <xdr:cNvSpPr txBox="1"/>
        </xdr:nvSpPr>
        <xdr:spPr>
          <a:xfrm>
            <a:off x="4778370"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64849</xdr:colOff>
      <xdr:row>21</xdr:row>
      <xdr:rowOff>0</xdr:rowOff>
    </xdr:from>
    <xdr:to>
      <xdr:col>91</xdr:col>
      <xdr:colOff>0</xdr:colOff>
      <xdr:row>21</xdr:row>
      <xdr:rowOff>149660</xdr:rowOff>
    </xdr:to>
    <xdr:grpSp>
      <xdr:nvGrpSpPr>
        <xdr:cNvPr id="106" name="グループ化 105"/>
        <xdr:cNvGrpSpPr/>
      </xdr:nvGrpSpPr>
      <xdr:grpSpPr>
        <a:xfrm>
          <a:off x="4465399" y="3200400"/>
          <a:ext cx="1602026" cy="149660"/>
          <a:chOff x="4431633" y="1955132"/>
          <a:chExt cx="1563920" cy="149660"/>
        </a:xfrm>
      </xdr:grpSpPr>
      <xdr:grpSp>
        <xdr:nvGrpSpPr>
          <xdr:cNvPr id="107" name="グループ化 106"/>
          <xdr:cNvGrpSpPr/>
        </xdr:nvGrpSpPr>
        <xdr:grpSpPr>
          <a:xfrm>
            <a:off x="4431633" y="1955132"/>
            <a:ext cx="435779" cy="149660"/>
            <a:chOff x="4455488" y="2012156"/>
            <a:chExt cx="437460" cy="149660"/>
          </a:xfrm>
        </xdr:grpSpPr>
        <xdr:sp macro="" textlink="">
          <xdr:nvSpPr>
            <xdr:cNvPr id="139" name="テキスト ボックス 138"/>
            <xdr:cNvSpPr txBox="1"/>
          </xdr:nvSpPr>
          <xdr:spPr>
            <a:xfrm>
              <a:off x="4583907" y="2012156"/>
              <a:ext cx="309041"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確定</a:t>
              </a:r>
            </a:p>
          </xdr:txBody>
        </xdr:sp>
        <xdr:sp macro="" textlink="">
          <xdr:nvSpPr>
            <xdr:cNvPr id="140" name="テキスト ボックス 139"/>
            <xdr:cNvSpPr txBox="1"/>
          </xdr:nvSpPr>
          <xdr:spPr>
            <a:xfrm>
              <a:off x="4455488"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09" name="テキスト ボックス 108"/>
          <xdr:cNvSpPr txBox="1"/>
        </xdr:nvSpPr>
        <xdr:spPr>
          <a:xfrm>
            <a:off x="5083268" y="1955132"/>
            <a:ext cx="32636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通知</a:t>
            </a:r>
          </a:p>
        </xdr:txBody>
      </xdr:sp>
      <xdr:sp macro="" textlink="">
        <xdr:nvSpPr>
          <xdr:cNvPr id="110" name="テキスト ボックス 109"/>
          <xdr:cNvSpPr txBox="1"/>
        </xdr:nvSpPr>
        <xdr:spPr>
          <a:xfrm>
            <a:off x="5604573" y="1955132"/>
            <a:ext cx="39098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再通知</a:t>
            </a:r>
          </a:p>
        </xdr:txBody>
      </xdr:sp>
      <xdr:sp macro="" textlink="">
        <xdr:nvSpPr>
          <xdr:cNvPr id="122" name="テキスト ボックス 121"/>
          <xdr:cNvSpPr txBox="1"/>
        </xdr:nvSpPr>
        <xdr:spPr>
          <a:xfrm>
            <a:off x="4952941"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23" name="テキスト ボックス 122"/>
          <xdr:cNvSpPr txBox="1"/>
        </xdr:nvSpPr>
        <xdr:spPr>
          <a:xfrm>
            <a:off x="5474247" y="1974506"/>
            <a:ext cx="109932"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63</xdr:col>
      <xdr:colOff>11</xdr:colOff>
      <xdr:row>23</xdr:row>
      <xdr:rowOff>0</xdr:rowOff>
    </xdr:from>
    <xdr:to>
      <xdr:col>95</xdr:col>
      <xdr:colOff>65170</xdr:colOff>
      <xdr:row>24</xdr:row>
      <xdr:rowOff>2</xdr:rowOff>
    </xdr:to>
    <xdr:grpSp>
      <xdr:nvGrpSpPr>
        <xdr:cNvPr id="141" name="グループ化 140"/>
        <xdr:cNvGrpSpPr/>
      </xdr:nvGrpSpPr>
      <xdr:grpSpPr>
        <a:xfrm>
          <a:off x="4200536" y="3505200"/>
          <a:ext cx="2198759" cy="152402"/>
          <a:chOff x="4683509" y="1072374"/>
          <a:chExt cx="2148869" cy="154260"/>
        </a:xfrm>
      </xdr:grpSpPr>
      <xdr:grpSp>
        <xdr:nvGrpSpPr>
          <xdr:cNvPr id="142" name="グループ化 141"/>
          <xdr:cNvGrpSpPr/>
        </xdr:nvGrpSpPr>
        <xdr:grpSpPr>
          <a:xfrm>
            <a:off x="4683509" y="1072374"/>
            <a:ext cx="2148869" cy="154260"/>
            <a:chOff x="4649332" y="1083468"/>
            <a:chExt cx="2163133" cy="154783"/>
          </a:xfrm>
        </xdr:grpSpPr>
        <xdr:grpSp>
          <xdr:nvGrpSpPr>
            <xdr:cNvPr id="145" name="グループ化 144"/>
            <xdr:cNvGrpSpPr/>
          </xdr:nvGrpSpPr>
          <xdr:grpSpPr>
            <a:xfrm>
              <a:off x="4911542" y="1083468"/>
              <a:ext cx="1900923" cy="154783"/>
              <a:chOff x="933671" y="1219192"/>
              <a:chExt cx="1935486" cy="152401"/>
            </a:xfrm>
          </xdr:grpSpPr>
          <xdr:sp macro="" textlink="">
            <xdr:nvSpPr>
              <xdr:cNvPr id="147" name="テキスト ボックス 146"/>
              <xdr:cNvSpPr txBox="1"/>
            </xdr:nvSpPr>
            <xdr:spPr>
              <a:xfrm>
                <a:off x="1133907"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9" name="テキスト ボックス 148"/>
              <xdr:cNvSpPr txBox="1"/>
            </xdr:nvSpPr>
            <xdr:spPr>
              <a:xfrm>
                <a:off x="933671" y="1219192"/>
                <a:ext cx="200236"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JN</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1" name="テキスト ボックス 150"/>
              <xdr:cNvSpPr txBox="1"/>
            </xdr:nvSpPr>
            <xdr:spPr>
              <a:xfrm>
                <a:off x="1335048" y="1219192"/>
                <a:ext cx="1534109"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12345678901234567890</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46" name="テキスト ボックス 145"/>
            <xdr:cNvSpPr txBox="1"/>
          </xdr:nvSpPr>
          <xdr:spPr>
            <a:xfrm>
              <a:off x="4649332" y="1083469"/>
              <a:ext cx="196659"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a:t>
              </a:r>
            </a:p>
          </xdr:txBody>
        </xdr:sp>
      </xdr:grpSp>
      <xdr:sp macro="" textlink="">
        <xdr:nvSpPr>
          <xdr:cNvPr id="144" name="二等辺三角形 143"/>
          <xdr:cNvSpPr>
            <a:spLocks/>
          </xdr:cNvSpPr>
        </xdr:nvSpPr>
        <xdr:spPr>
          <a:xfrm flipV="1">
            <a:off x="5158443"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63</xdr:col>
      <xdr:colOff>121</xdr:colOff>
      <xdr:row>24</xdr:row>
      <xdr:rowOff>150394</xdr:rowOff>
    </xdr:from>
    <xdr:to>
      <xdr:col>121</xdr:col>
      <xdr:colOff>124</xdr:colOff>
      <xdr:row>26</xdr:row>
      <xdr:rowOff>1142</xdr:rowOff>
    </xdr:to>
    <xdr:grpSp>
      <xdr:nvGrpSpPr>
        <xdr:cNvPr id="153" name="グループ化 152"/>
        <xdr:cNvGrpSpPr/>
      </xdr:nvGrpSpPr>
      <xdr:grpSpPr>
        <a:xfrm>
          <a:off x="4200646" y="3807994"/>
          <a:ext cx="3867153" cy="155548"/>
          <a:chOff x="4683512" y="1072375"/>
          <a:chExt cx="3918282" cy="154261"/>
        </a:xfrm>
      </xdr:grpSpPr>
      <xdr:grpSp>
        <xdr:nvGrpSpPr>
          <xdr:cNvPr id="154" name="グループ化 153"/>
          <xdr:cNvGrpSpPr/>
        </xdr:nvGrpSpPr>
        <xdr:grpSpPr>
          <a:xfrm>
            <a:off x="4683512" y="1072375"/>
            <a:ext cx="3918282" cy="154261"/>
            <a:chOff x="4649332" y="1083469"/>
            <a:chExt cx="3944288" cy="154784"/>
          </a:xfrm>
        </xdr:grpSpPr>
        <xdr:grpSp>
          <xdr:nvGrpSpPr>
            <xdr:cNvPr id="156" name="グループ化 155"/>
            <xdr:cNvGrpSpPr/>
          </xdr:nvGrpSpPr>
          <xdr:grpSpPr>
            <a:xfrm>
              <a:off x="5380665" y="1083469"/>
              <a:ext cx="3212955" cy="154784"/>
              <a:chOff x="1411324" y="1219192"/>
              <a:chExt cx="3271376" cy="152402"/>
            </a:xfrm>
          </xdr:grpSpPr>
          <xdr:sp macro="" textlink="">
            <xdr:nvSpPr>
              <xdr:cNvPr id="158" name="テキスト ボックス 157"/>
              <xdr:cNvSpPr txBox="1"/>
            </xdr:nvSpPr>
            <xdr:spPr>
              <a:xfrm>
                <a:off x="2190006" y="1219193"/>
                <a:ext cx="13394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9" name="テキスト ボックス 158"/>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0" name="テキスト ボックス 159"/>
              <xdr:cNvSpPr txBox="1"/>
            </xdr:nvSpPr>
            <xdr:spPr>
              <a:xfrm>
                <a:off x="2397602"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57" name="テキスト ボックス 156"/>
            <xdr:cNvSpPr txBox="1"/>
          </xdr:nvSpPr>
          <xdr:spPr>
            <a:xfrm>
              <a:off x="4649332" y="1083469"/>
              <a:ext cx="680051"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sp macro="" textlink="">
        <xdr:nvSpPr>
          <xdr:cNvPr id="155" name="二等辺三角形 154"/>
          <xdr:cNvSpPr>
            <a:spLocks/>
          </xdr:cNvSpPr>
        </xdr:nvSpPr>
        <xdr:spPr>
          <a:xfrm flipV="1">
            <a:off x="619227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63</xdr:col>
      <xdr:colOff>2</xdr:colOff>
      <xdr:row>27</xdr:row>
      <xdr:rowOff>0</xdr:rowOff>
    </xdr:from>
    <xdr:to>
      <xdr:col>83</xdr:col>
      <xdr:colOff>65168</xdr:colOff>
      <xdr:row>28</xdr:row>
      <xdr:rowOff>1142</xdr:rowOff>
    </xdr:to>
    <xdr:grpSp>
      <xdr:nvGrpSpPr>
        <xdr:cNvPr id="161" name="グループ化 160"/>
        <xdr:cNvGrpSpPr/>
      </xdr:nvGrpSpPr>
      <xdr:grpSpPr>
        <a:xfrm>
          <a:off x="4200527" y="4114800"/>
          <a:ext cx="1398666" cy="153542"/>
          <a:chOff x="4683518" y="1072375"/>
          <a:chExt cx="1372169" cy="154261"/>
        </a:xfrm>
      </xdr:grpSpPr>
      <xdr:grpSp>
        <xdr:nvGrpSpPr>
          <xdr:cNvPr id="162" name="グループ化 161"/>
          <xdr:cNvGrpSpPr/>
        </xdr:nvGrpSpPr>
        <xdr:grpSpPr>
          <a:xfrm>
            <a:off x="4683518" y="1072375"/>
            <a:ext cx="1372169" cy="154261"/>
            <a:chOff x="4649330" y="1083469"/>
            <a:chExt cx="1381275" cy="154784"/>
          </a:xfrm>
        </xdr:grpSpPr>
        <xdr:grpSp>
          <xdr:nvGrpSpPr>
            <xdr:cNvPr id="164" name="グループ化 163"/>
            <xdr:cNvGrpSpPr/>
          </xdr:nvGrpSpPr>
          <xdr:grpSpPr>
            <a:xfrm>
              <a:off x="5369650" y="1083469"/>
              <a:ext cx="660955" cy="154784"/>
              <a:chOff x="1400110" y="1219192"/>
              <a:chExt cx="672973" cy="152402"/>
            </a:xfrm>
          </xdr:grpSpPr>
          <xdr:sp macro="" textlink="">
            <xdr:nvSpPr>
              <xdr:cNvPr id="166" name="テキスト ボックス 165"/>
              <xdr:cNvSpPr txBox="1"/>
            </xdr:nvSpPr>
            <xdr:spPr>
              <a:xfrm>
                <a:off x="1537317"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7" name="テキスト ボックス 166"/>
              <xdr:cNvSpPr txBox="1"/>
            </xdr:nvSpPr>
            <xdr:spPr>
              <a:xfrm>
                <a:off x="1400110" y="1219192"/>
                <a:ext cx="137207"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8" name="テキスト ボックス 167"/>
              <xdr:cNvSpPr txBox="1"/>
            </xdr:nvSpPr>
            <xdr:spPr>
              <a:xfrm>
                <a:off x="1738223" y="1219194"/>
                <a:ext cx="334860"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65" name="テキスト ボックス 164"/>
            <xdr:cNvSpPr txBox="1"/>
          </xdr:nvSpPr>
          <xdr:spPr>
            <a:xfrm>
              <a:off x="4649330" y="1083469"/>
              <a:ext cx="654834"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国内／海外</a:t>
              </a:r>
            </a:p>
          </xdr:txBody>
        </xdr:sp>
      </xdr:grpSp>
      <xdr:sp macro="" textlink="">
        <xdr:nvSpPr>
          <xdr:cNvPr id="163" name="二等辺三角形 162"/>
          <xdr:cNvSpPr>
            <a:spLocks/>
          </xdr:cNvSpPr>
        </xdr:nvSpPr>
        <xdr:spPr>
          <a:xfrm flipV="1">
            <a:off x="5552036"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65171</xdr:colOff>
      <xdr:row>31</xdr:row>
      <xdr:rowOff>0</xdr:rowOff>
    </xdr:from>
    <xdr:to>
      <xdr:col>91</xdr:col>
      <xdr:colOff>1</xdr:colOff>
      <xdr:row>32</xdr:row>
      <xdr:rowOff>1139</xdr:rowOff>
    </xdr:to>
    <xdr:grpSp>
      <xdr:nvGrpSpPr>
        <xdr:cNvPr id="3" name="グループ化 2"/>
        <xdr:cNvGrpSpPr/>
      </xdr:nvGrpSpPr>
      <xdr:grpSpPr>
        <a:xfrm>
          <a:off x="4332371" y="4724400"/>
          <a:ext cx="1735055" cy="153539"/>
          <a:chOff x="4236118" y="4662237"/>
          <a:chExt cx="1694449" cy="151534"/>
        </a:xfrm>
      </xdr:grpSpPr>
      <xdr:sp macro="" textlink="">
        <xdr:nvSpPr>
          <xdr:cNvPr id="177" name="テキスト ボックス 176"/>
          <xdr:cNvSpPr txBox="1"/>
        </xdr:nvSpPr>
        <xdr:spPr>
          <a:xfrm>
            <a:off x="4236118" y="4662237"/>
            <a:ext cx="521369"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受注ＮＯ</a:t>
            </a:r>
          </a:p>
        </xdr:txBody>
      </xdr:sp>
      <xdr:sp macro="" textlink="">
        <xdr:nvSpPr>
          <xdr:cNvPr id="178" name="テキスト ボックス 177"/>
          <xdr:cNvSpPr txBox="1"/>
        </xdr:nvSpPr>
        <xdr:spPr>
          <a:xfrm>
            <a:off x="4822659" y="4662237"/>
            <a:ext cx="1107908" cy="15039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67</xdr:col>
      <xdr:colOff>0</xdr:colOff>
      <xdr:row>32</xdr:row>
      <xdr:rowOff>150394</xdr:rowOff>
    </xdr:from>
    <xdr:to>
      <xdr:col>118</xdr:col>
      <xdr:colOff>17660</xdr:colOff>
      <xdr:row>34</xdr:row>
      <xdr:rowOff>2006</xdr:rowOff>
    </xdr:to>
    <xdr:grpSp>
      <xdr:nvGrpSpPr>
        <xdr:cNvPr id="179" name="グループ化 178"/>
        <xdr:cNvGrpSpPr/>
      </xdr:nvGrpSpPr>
      <xdr:grpSpPr>
        <a:xfrm>
          <a:off x="4467225" y="5027194"/>
          <a:ext cx="3418085" cy="156412"/>
          <a:chOff x="386619" y="1353553"/>
          <a:chExt cx="3264578" cy="150395"/>
        </a:xfrm>
      </xdr:grpSpPr>
      <xdr:sp macro="" textlink="">
        <xdr:nvSpPr>
          <xdr:cNvPr id="180" name="テキスト ボックス 179"/>
          <xdr:cNvSpPr txBox="1"/>
        </xdr:nvSpPr>
        <xdr:spPr>
          <a:xfrm>
            <a:off x="386619" y="1353553"/>
            <a:ext cx="656119" cy="15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出荷予定日</a:t>
            </a:r>
          </a:p>
        </xdr:txBody>
      </xdr:sp>
      <xdr:grpSp>
        <xdr:nvGrpSpPr>
          <xdr:cNvPr id="181" name="グループ化 180"/>
          <xdr:cNvGrpSpPr/>
        </xdr:nvGrpSpPr>
        <xdr:grpSpPr>
          <a:xfrm>
            <a:off x="1042737" y="1353553"/>
            <a:ext cx="2608460" cy="150395"/>
            <a:chOff x="466725" y="304800"/>
            <a:chExt cx="2668618" cy="152400"/>
          </a:xfrm>
        </xdr:grpSpPr>
        <xdr:grpSp>
          <xdr:nvGrpSpPr>
            <xdr:cNvPr id="182" name="グループ化 181"/>
            <xdr:cNvGrpSpPr/>
          </xdr:nvGrpSpPr>
          <xdr:grpSpPr>
            <a:xfrm>
              <a:off x="466725" y="304800"/>
              <a:ext cx="1201767" cy="150962"/>
              <a:chOff x="1270770" y="762000"/>
              <a:chExt cx="3659650" cy="152400"/>
            </a:xfrm>
          </xdr:grpSpPr>
          <xdr:sp macro="" textlink="">
            <xdr:nvSpPr>
              <xdr:cNvPr id="187" name="テキスト ボックス 186"/>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8" name="テキスト ボックス 187"/>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83" name="テキスト ボックス 182"/>
            <xdr:cNvSpPr txBox="1"/>
          </xdr:nvSpPr>
          <xdr:spPr>
            <a:xfrm>
              <a:off x="1733550" y="304800"/>
              <a:ext cx="129551"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184" name="グループ化 183"/>
            <xdr:cNvGrpSpPr/>
          </xdr:nvGrpSpPr>
          <xdr:grpSpPr>
            <a:xfrm>
              <a:off x="1933575" y="304800"/>
              <a:ext cx="1201768" cy="150962"/>
              <a:chOff x="1270770" y="762000"/>
              <a:chExt cx="3659650" cy="152400"/>
            </a:xfrm>
          </xdr:grpSpPr>
          <xdr:sp macro="" textlink="">
            <xdr:nvSpPr>
              <xdr:cNvPr id="185" name="テキスト ボックス 18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テキスト ボックス 18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grpSp>
    <xdr:clientData/>
  </xdr:twoCellAnchor>
  <xdr:twoCellAnchor>
    <xdr:from>
      <xdr:col>67</xdr:col>
      <xdr:colOff>125</xdr:colOff>
      <xdr:row>28</xdr:row>
      <xdr:rowOff>150394</xdr:rowOff>
    </xdr:from>
    <xdr:to>
      <xdr:col>123</xdr:col>
      <xdr:colOff>65046</xdr:colOff>
      <xdr:row>30</xdr:row>
      <xdr:rowOff>1140</xdr:rowOff>
    </xdr:to>
    <xdr:grpSp>
      <xdr:nvGrpSpPr>
        <xdr:cNvPr id="6" name="グループ化 5"/>
        <xdr:cNvGrpSpPr/>
      </xdr:nvGrpSpPr>
      <xdr:grpSpPr>
        <a:xfrm>
          <a:off x="4467350" y="4417594"/>
          <a:ext cx="3798721" cy="155546"/>
          <a:chOff x="4366458" y="4361446"/>
          <a:chExt cx="3714635" cy="151535"/>
        </a:xfrm>
      </xdr:grpSpPr>
      <xdr:grpSp>
        <xdr:nvGrpSpPr>
          <xdr:cNvPr id="170" name="グループ化 169"/>
          <xdr:cNvGrpSpPr/>
        </xdr:nvGrpSpPr>
        <xdr:grpSpPr>
          <a:xfrm>
            <a:off x="4366458" y="4361446"/>
            <a:ext cx="1498937" cy="151535"/>
            <a:chOff x="4912432" y="1083468"/>
            <a:chExt cx="1512834" cy="154782"/>
          </a:xfrm>
        </xdr:grpSpPr>
        <xdr:sp macro="" textlink="">
          <xdr:nvSpPr>
            <xdr:cNvPr id="175" name="テキスト ボックス 174"/>
            <xdr:cNvSpPr txBox="1"/>
          </xdr:nvSpPr>
          <xdr:spPr>
            <a:xfrm>
              <a:off x="5369652" y="1083468"/>
              <a:ext cx="1055614" cy="15361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3" name="テキスト ボックス 172"/>
            <xdr:cNvSpPr txBox="1"/>
          </xdr:nvSpPr>
          <xdr:spPr>
            <a:xfrm>
              <a:off x="4912432" y="1083469"/>
              <a:ext cx="39173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得意先</a:t>
              </a:r>
            </a:p>
          </xdr:txBody>
        </xdr:sp>
      </xdr:grpSp>
      <xdr:sp macro="" textlink="">
        <xdr:nvSpPr>
          <xdr:cNvPr id="197" name="テキスト ボックス 196"/>
          <xdr:cNvSpPr txBox="1"/>
        </xdr:nvSpPr>
        <xdr:spPr>
          <a:xfrm>
            <a:off x="5930442" y="4364272"/>
            <a:ext cx="2150651" cy="14870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8</xdr:colOff>
      <xdr:row>36</xdr:row>
      <xdr:rowOff>153327</xdr:rowOff>
    </xdr:from>
    <xdr:to>
      <xdr:col>139</xdr:col>
      <xdr:colOff>65048</xdr:colOff>
      <xdr:row>38</xdr:row>
      <xdr:rowOff>4074</xdr:rowOff>
    </xdr:to>
    <xdr:grpSp>
      <xdr:nvGrpSpPr>
        <xdr:cNvPr id="13" name="グループ化 12"/>
        <xdr:cNvGrpSpPr/>
      </xdr:nvGrpSpPr>
      <xdr:grpSpPr>
        <a:xfrm>
          <a:off x="4400558" y="5639727"/>
          <a:ext cx="4932315" cy="155547"/>
          <a:chOff x="4293228" y="5673181"/>
          <a:chExt cx="4813600" cy="157405"/>
        </a:xfrm>
      </xdr:grpSpPr>
      <xdr:grpSp>
        <xdr:nvGrpSpPr>
          <xdr:cNvPr id="201" name="グループ化 200"/>
          <xdr:cNvGrpSpPr/>
        </xdr:nvGrpSpPr>
        <xdr:grpSpPr>
          <a:xfrm>
            <a:off x="4293228" y="5673181"/>
            <a:ext cx="4813600" cy="157405"/>
            <a:chOff x="4366464" y="4361445"/>
            <a:chExt cx="4822657" cy="151536"/>
          </a:xfrm>
        </xdr:grpSpPr>
        <xdr:sp macro="" textlink="">
          <xdr:nvSpPr>
            <xdr:cNvPr id="207" name="テキスト ボックス 206"/>
            <xdr:cNvSpPr txBox="1"/>
          </xdr:nvSpPr>
          <xdr:spPr>
            <a:xfrm>
              <a:off x="4366464" y="4361447"/>
              <a:ext cx="388134"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納品先</a:t>
              </a:r>
            </a:p>
          </xdr:txBody>
        </xdr:sp>
        <xdr:sp macro="" textlink="">
          <xdr:nvSpPr>
            <xdr:cNvPr id="205" name="テキスト ボックス 204"/>
            <xdr:cNvSpPr txBox="1"/>
          </xdr:nvSpPr>
          <xdr:spPr>
            <a:xfrm>
              <a:off x="7038473" y="4361445"/>
              <a:ext cx="2150648" cy="147614"/>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08" name="テキスト ボックス 207"/>
          <xdr:cNvSpPr txBox="1"/>
        </xdr:nvSpPr>
        <xdr:spPr>
          <a:xfrm>
            <a:off x="4748561" y="5673183"/>
            <a:ext cx="2146609" cy="15332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79</xdr:col>
      <xdr:colOff>2313</xdr:colOff>
      <xdr:row>34</xdr:row>
      <xdr:rowOff>149086</xdr:rowOff>
    </xdr:from>
    <xdr:to>
      <xdr:col>191</xdr:col>
      <xdr:colOff>65640</xdr:colOff>
      <xdr:row>36</xdr:row>
      <xdr:rowOff>1191</xdr:rowOff>
    </xdr:to>
    <xdr:grpSp>
      <xdr:nvGrpSpPr>
        <xdr:cNvPr id="22" name="グループ化 21"/>
        <xdr:cNvGrpSpPr/>
      </xdr:nvGrpSpPr>
      <xdr:grpSpPr>
        <a:xfrm>
          <a:off x="5269638" y="5330686"/>
          <a:ext cx="7530927" cy="156905"/>
          <a:chOff x="5236922" y="5218043"/>
          <a:chExt cx="7484544" cy="150278"/>
        </a:xfrm>
      </xdr:grpSpPr>
      <xdr:grpSp>
        <xdr:nvGrpSpPr>
          <xdr:cNvPr id="17" name="グループ化 16"/>
          <xdr:cNvGrpSpPr/>
        </xdr:nvGrpSpPr>
        <xdr:grpSpPr>
          <a:xfrm>
            <a:off x="5236922" y="5218062"/>
            <a:ext cx="7484544" cy="150259"/>
            <a:chOff x="5269846" y="5333020"/>
            <a:chExt cx="7532443" cy="154527"/>
          </a:xfrm>
        </xdr:grpSpPr>
        <xdr:grpSp>
          <xdr:nvGrpSpPr>
            <xdr:cNvPr id="190" name="グループ化 189"/>
            <xdr:cNvGrpSpPr/>
          </xdr:nvGrpSpPr>
          <xdr:grpSpPr>
            <a:xfrm>
              <a:off x="5269846" y="5333020"/>
              <a:ext cx="7532443" cy="154527"/>
              <a:chOff x="5471911" y="1079399"/>
              <a:chExt cx="6172362" cy="158851"/>
            </a:xfrm>
          </xdr:grpSpPr>
          <xdr:grpSp>
            <xdr:nvGrpSpPr>
              <xdr:cNvPr id="192" name="グループ化 191"/>
              <xdr:cNvGrpSpPr/>
            </xdr:nvGrpSpPr>
            <xdr:grpSpPr>
              <a:xfrm>
                <a:off x="5852512" y="1079399"/>
                <a:ext cx="5791761" cy="157703"/>
                <a:chOff x="1891751" y="1215192"/>
                <a:chExt cx="5897073" cy="155277"/>
              </a:xfrm>
            </xdr:grpSpPr>
            <xdr:sp macro="" textlink="">
              <xdr:nvSpPr>
                <xdr:cNvPr id="195" name="テキスト ボックス 194"/>
                <xdr:cNvSpPr txBox="1"/>
              </xdr:nvSpPr>
              <xdr:spPr>
                <a:xfrm>
                  <a:off x="1891751" y="1215192"/>
                  <a:ext cx="1668748" cy="150662"/>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123456789801234567898012345</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6" name="テキスト ボックス 195"/>
                <xdr:cNvSpPr txBox="1"/>
              </xdr:nvSpPr>
              <xdr:spPr>
                <a:xfrm>
                  <a:off x="4284171" y="1216189"/>
                  <a:ext cx="3504653" cy="15428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93" name="テキスト ボックス 192"/>
              <xdr:cNvSpPr txBox="1"/>
            </xdr:nvSpPr>
            <xdr:spPr>
              <a:xfrm>
                <a:off x="5471911" y="1083469"/>
                <a:ext cx="325957"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品目</a:t>
                </a:r>
              </a:p>
            </xdr:txBody>
          </xdr:sp>
        </xdr:grpSp>
        <xdr:sp macro="" textlink="">
          <xdr:nvSpPr>
            <xdr:cNvPr id="210" name="テキスト ボックス 209"/>
            <xdr:cNvSpPr txBox="1"/>
          </xdr:nvSpPr>
          <xdr:spPr>
            <a:xfrm>
              <a:off x="7801636" y="5334000"/>
              <a:ext cx="600074"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21" name="テキスト ボックス 220"/>
          <xdr:cNvSpPr txBox="1"/>
        </xdr:nvSpPr>
        <xdr:spPr>
          <a:xfrm>
            <a:off x="8352449" y="5218043"/>
            <a:ext cx="128942" cy="150227"/>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22" name="二等辺三角形 221"/>
          <xdr:cNvSpPr>
            <a:spLocks/>
          </xdr:cNvSpPr>
        </xdr:nvSpPr>
        <xdr:spPr>
          <a:xfrm flipV="1">
            <a:off x="8371781" y="5277768"/>
            <a:ext cx="96088" cy="52589"/>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35092</xdr:colOff>
      <xdr:row>39</xdr:row>
      <xdr:rowOff>0</xdr:rowOff>
    </xdr:from>
    <xdr:to>
      <xdr:col>79</xdr:col>
      <xdr:colOff>60158</xdr:colOff>
      <xdr:row>39</xdr:row>
      <xdr:rowOff>149086</xdr:rowOff>
    </xdr:to>
    <xdr:sp macro="" textlink="">
      <xdr:nvSpPr>
        <xdr:cNvPr id="232" name="角丸四角形 231"/>
        <xdr:cNvSpPr/>
      </xdr:nvSpPr>
      <xdr:spPr>
        <a:xfrm>
          <a:off x="4424212" y="5943600"/>
          <a:ext cx="1053766" cy="149086"/>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出荷予定連絡票</a:t>
          </a:r>
        </a:p>
      </xdr:txBody>
    </xdr:sp>
    <xdr:clientData/>
  </xdr:twoCellAnchor>
  <xdr:twoCellAnchor>
    <xdr:from>
      <xdr:col>65</xdr:col>
      <xdr:colOff>0</xdr:colOff>
      <xdr:row>41</xdr:row>
      <xdr:rowOff>1621</xdr:rowOff>
    </xdr:from>
    <xdr:to>
      <xdr:col>81</xdr:col>
      <xdr:colOff>0</xdr:colOff>
      <xdr:row>42</xdr:row>
      <xdr:rowOff>0</xdr:rowOff>
    </xdr:to>
    <xdr:grpSp>
      <xdr:nvGrpSpPr>
        <xdr:cNvPr id="240" name="グループ化 239"/>
        <xdr:cNvGrpSpPr/>
      </xdr:nvGrpSpPr>
      <xdr:grpSpPr>
        <a:xfrm>
          <a:off x="4333875" y="6250021"/>
          <a:ext cx="1066800" cy="150779"/>
          <a:chOff x="4457700" y="6250021"/>
          <a:chExt cx="1097280" cy="150779"/>
        </a:xfrm>
      </xdr:grpSpPr>
      <xdr:sp macro="" textlink="">
        <xdr:nvSpPr>
          <xdr:cNvPr id="234" name="角丸四角形 233"/>
          <xdr:cNvSpPr/>
        </xdr:nvSpPr>
        <xdr:spPr>
          <a:xfrm>
            <a:off x="4457700" y="6250021"/>
            <a:ext cx="1097280" cy="150779"/>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　ケースマーク</a:t>
            </a:r>
            <a:r>
              <a:rPr kumimoji="1" lang="en-US" altLang="ja-JP"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CSV</a:t>
            </a:r>
            <a:endPar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6" name="下矢印 235"/>
          <xdr:cNvSpPr/>
        </xdr:nvSpPr>
        <xdr:spPr>
          <a:xfrm>
            <a:off x="4495800" y="6267450"/>
            <a:ext cx="108000" cy="93224"/>
          </a:xfrm>
          <a:prstGeom prst="downArrow">
            <a:avLst/>
          </a:prstGeom>
          <a:solidFill>
            <a:schemeClr val="bg1"/>
          </a:solidFill>
          <a:ln w="3175">
            <a:solidFill>
              <a:schemeClr val="bg1"/>
            </a:solid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xnSp macro="">
        <xdr:nvCxnSpPr>
          <xdr:cNvPr id="238" name="直線コネクタ 237"/>
          <xdr:cNvCxnSpPr/>
        </xdr:nvCxnSpPr>
        <xdr:spPr>
          <a:xfrm>
            <a:off x="4480479" y="6374130"/>
            <a:ext cx="133431"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84</xdr:col>
      <xdr:colOff>0</xdr:colOff>
      <xdr:row>39</xdr:row>
      <xdr:rowOff>0</xdr:rowOff>
    </xdr:from>
    <xdr:to>
      <xdr:col>84</xdr:col>
      <xdr:colOff>32400</xdr:colOff>
      <xdr:row>40</xdr:row>
      <xdr:rowOff>11430</xdr:rowOff>
    </xdr:to>
    <xdr:sp macro="" textlink="">
      <xdr:nvSpPr>
        <xdr:cNvPr id="241" name="角丸四角形 240"/>
        <xdr:cNvSpPr/>
      </xdr:nvSpPr>
      <xdr:spPr>
        <a:xfrm>
          <a:off x="5760720" y="5943600"/>
          <a:ext cx="32400" cy="163830"/>
        </a:xfrm>
        <a:prstGeom prst="roundRect">
          <a:avLst/>
        </a:prstGeom>
        <a:solidFill>
          <a:srgbClr val="FF99FF"/>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96</xdr:col>
      <xdr:colOff>0</xdr:colOff>
      <xdr:row>41</xdr:row>
      <xdr:rowOff>0</xdr:rowOff>
    </xdr:from>
    <xdr:to>
      <xdr:col>96</xdr:col>
      <xdr:colOff>32400</xdr:colOff>
      <xdr:row>41</xdr:row>
      <xdr:rowOff>136800</xdr:rowOff>
    </xdr:to>
    <xdr:sp macro="" textlink="">
      <xdr:nvSpPr>
        <xdr:cNvPr id="245" name="角丸四角形 244"/>
        <xdr:cNvSpPr/>
      </xdr:nvSpPr>
      <xdr:spPr>
        <a:xfrm>
          <a:off x="6583680" y="6248400"/>
          <a:ext cx="32400" cy="136800"/>
        </a:xfrm>
        <a:prstGeom prst="roundRect">
          <a:avLst/>
        </a:prstGeom>
        <a:solidFill>
          <a:srgbClr val="FF99FF"/>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63</xdr:col>
      <xdr:colOff>61851</xdr:colOff>
      <xdr:row>15</xdr:row>
      <xdr:rowOff>0</xdr:rowOff>
    </xdr:from>
    <xdr:to>
      <xdr:col>97</xdr:col>
      <xdr:colOff>68033</xdr:colOff>
      <xdr:row>15</xdr:row>
      <xdr:rowOff>149660</xdr:rowOff>
    </xdr:to>
    <xdr:grpSp>
      <xdr:nvGrpSpPr>
        <xdr:cNvPr id="248" name="グループ化 247"/>
        <xdr:cNvGrpSpPr/>
      </xdr:nvGrpSpPr>
      <xdr:grpSpPr>
        <a:xfrm>
          <a:off x="4262376" y="2286000"/>
          <a:ext cx="2273132" cy="149660"/>
          <a:chOff x="4382391" y="2286000"/>
          <a:chExt cx="2337902" cy="149660"/>
        </a:xfrm>
      </xdr:grpSpPr>
      <xdr:grpSp>
        <xdr:nvGrpSpPr>
          <xdr:cNvPr id="16" name="グループ化 15"/>
          <xdr:cNvGrpSpPr/>
        </xdr:nvGrpSpPr>
        <xdr:grpSpPr>
          <a:xfrm>
            <a:off x="4382391" y="2286000"/>
            <a:ext cx="1649382" cy="149660"/>
            <a:chOff x="4263822" y="2286000"/>
            <a:chExt cx="1602736" cy="149660"/>
          </a:xfrm>
        </xdr:grpSpPr>
        <xdr:sp macro="" textlink="">
          <xdr:nvSpPr>
            <xdr:cNvPr id="101" name="テキスト ボックス 100"/>
            <xdr:cNvSpPr txBox="1"/>
          </xdr:nvSpPr>
          <xdr:spPr>
            <a:xfrm>
              <a:off x="5399486" y="2286000"/>
              <a:ext cx="46707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取消する</a:t>
              </a:r>
            </a:p>
          </xdr:txBody>
        </xdr:sp>
        <xdr:sp macro="" textlink="">
          <xdr:nvSpPr>
            <xdr:cNvPr id="99" name="テキスト ボックス 98"/>
            <xdr:cNvSpPr txBox="1"/>
          </xdr:nvSpPr>
          <xdr:spPr>
            <a:xfrm>
              <a:off x="4400627" y="2286000"/>
              <a:ext cx="800023"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登録・訂正する</a:t>
              </a:r>
            </a:p>
          </xdr:txBody>
        </xdr:sp>
        <xdr:sp macro="" textlink="">
          <xdr:nvSpPr>
            <xdr:cNvPr id="15" name="円/楕円 14"/>
            <xdr:cNvSpPr/>
          </xdr:nvSpPr>
          <xdr:spPr>
            <a:xfrm>
              <a:off x="4263822" y="2294334"/>
              <a:ext cx="136799"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100" name="円/楕円 99"/>
            <xdr:cNvSpPr/>
          </xdr:nvSpPr>
          <xdr:spPr>
            <a:xfrm>
              <a:off x="4300224" y="2329798"/>
              <a:ext cx="59104" cy="57600"/>
            </a:xfrm>
            <a:prstGeom prst="ellipse">
              <a:avLst/>
            </a:prstGeom>
            <a:solidFill>
              <a:schemeClr val="tx1"/>
            </a:solid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102" name="円/楕円 101"/>
            <xdr:cNvSpPr/>
          </xdr:nvSpPr>
          <xdr:spPr>
            <a:xfrm>
              <a:off x="5267325" y="2295525"/>
              <a:ext cx="136800"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sp macro="" textlink="">
        <xdr:nvSpPr>
          <xdr:cNvPr id="246" name="テキスト ボックス 245"/>
          <xdr:cNvSpPr txBox="1"/>
        </xdr:nvSpPr>
        <xdr:spPr>
          <a:xfrm>
            <a:off x="6239627" y="2286000"/>
            <a:ext cx="480666"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参照する</a:t>
            </a:r>
          </a:p>
        </xdr:txBody>
      </xdr:sp>
      <xdr:sp macro="" textlink="">
        <xdr:nvSpPr>
          <xdr:cNvPr id="247" name="円/楕円 246"/>
          <xdr:cNvSpPr/>
        </xdr:nvSpPr>
        <xdr:spPr>
          <a:xfrm>
            <a:off x="6103620" y="2295525"/>
            <a:ext cx="140781"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98</xdr:col>
      <xdr:colOff>0</xdr:colOff>
      <xdr:row>21</xdr:row>
      <xdr:rowOff>0</xdr:rowOff>
    </xdr:from>
    <xdr:to>
      <xdr:col>104</xdr:col>
      <xdr:colOff>48188</xdr:colOff>
      <xdr:row>21</xdr:row>
      <xdr:rowOff>149660</xdr:rowOff>
    </xdr:to>
    <xdr:grpSp>
      <xdr:nvGrpSpPr>
        <xdr:cNvPr id="251" name="グループ化 250"/>
        <xdr:cNvGrpSpPr/>
      </xdr:nvGrpSpPr>
      <xdr:grpSpPr>
        <a:xfrm>
          <a:off x="6534150" y="3200400"/>
          <a:ext cx="448238" cy="149660"/>
          <a:chOff x="6720840" y="3200400"/>
          <a:chExt cx="459668" cy="149660"/>
        </a:xfrm>
      </xdr:grpSpPr>
      <xdr:sp macro="" textlink="">
        <xdr:nvSpPr>
          <xdr:cNvPr id="249" name="テキスト ボックス 248"/>
          <xdr:cNvSpPr txBox="1"/>
        </xdr:nvSpPr>
        <xdr:spPr>
          <a:xfrm>
            <a:off x="6855778" y="3200400"/>
            <a:ext cx="32473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国外</a:t>
            </a:r>
          </a:p>
        </xdr:txBody>
      </xdr:sp>
      <xdr:sp macro="" textlink="">
        <xdr:nvSpPr>
          <xdr:cNvPr id="250" name="テキスト ボックス 249"/>
          <xdr:cNvSpPr txBox="1"/>
        </xdr:nvSpPr>
        <xdr:spPr>
          <a:xfrm>
            <a:off x="6720840" y="3219774"/>
            <a:ext cx="116905"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1</xdr:colOff>
      <xdr:row>43</xdr:row>
      <xdr:rowOff>53106</xdr:rowOff>
    </xdr:from>
    <xdr:to>
      <xdr:col>66</xdr:col>
      <xdr:colOff>53749</xdr:colOff>
      <xdr:row>43</xdr:row>
      <xdr:rowOff>152399</xdr:rowOff>
    </xdr:to>
    <xdr:sp macro="" textlink="">
      <xdr:nvSpPr>
        <xdr:cNvPr id="252" name="二等辺三角形 251"/>
        <xdr:cNvSpPr>
          <a:spLocks/>
        </xdr:cNvSpPr>
      </xdr:nvSpPr>
      <xdr:spPr>
        <a:xfrm rot="5400000" flipV="1">
          <a:off x="4503508" y="6629079"/>
          <a:ext cx="99293" cy="53748"/>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71</xdr:col>
      <xdr:colOff>0</xdr:colOff>
      <xdr:row>43</xdr:row>
      <xdr:rowOff>53106</xdr:rowOff>
    </xdr:from>
    <xdr:to>
      <xdr:col>71</xdr:col>
      <xdr:colOff>53748</xdr:colOff>
      <xdr:row>43</xdr:row>
      <xdr:rowOff>152399</xdr:rowOff>
    </xdr:to>
    <xdr:sp macro="" textlink="">
      <xdr:nvSpPr>
        <xdr:cNvPr id="253" name="二等辺三角形 252"/>
        <xdr:cNvSpPr>
          <a:spLocks/>
        </xdr:cNvSpPr>
      </xdr:nvSpPr>
      <xdr:spPr>
        <a:xfrm rot="16200000" flipV="1">
          <a:off x="4846407" y="6629079"/>
          <a:ext cx="99293" cy="53748"/>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66</xdr:col>
      <xdr:colOff>1575</xdr:colOff>
      <xdr:row>45</xdr:row>
      <xdr:rowOff>881</xdr:rowOff>
    </xdr:from>
    <xdr:to>
      <xdr:col>99</xdr:col>
      <xdr:colOff>0</xdr:colOff>
      <xdr:row>46</xdr:row>
      <xdr:rowOff>0</xdr:rowOff>
    </xdr:to>
    <xdr:sp macro="" textlink="">
      <xdr:nvSpPr>
        <xdr:cNvPr id="254" name="テキスト ボックス 253"/>
        <xdr:cNvSpPr txBox="1"/>
      </xdr:nvSpPr>
      <xdr:spPr>
        <a:xfrm>
          <a:off x="4527855" y="6858881"/>
          <a:ext cx="2261565" cy="151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800">
              <a:solidFill>
                <a:schemeClr val="tx2"/>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800">
            <a:solidFill>
              <a:schemeClr val="tx2"/>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64942</xdr:colOff>
      <xdr:row>47</xdr:row>
      <xdr:rowOff>1139</xdr:rowOff>
    </xdr:from>
    <xdr:to>
      <xdr:col>76</xdr:col>
      <xdr:colOff>10026</xdr:colOff>
      <xdr:row>47</xdr:row>
      <xdr:rowOff>149913</xdr:rowOff>
    </xdr:to>
    <xdr:sp macro="" textlink="">
      <xdr:nvSpPr>
        <xdr:cNvPr id="257" name="角丸四角形 256"/>
        <xdr:cNvSpPr/>
      </xdr:nvSpPr>
      <xdr:spPr>
        <a:xfrm>
          <a:off x="4235889" y="7069692"/>
          <a:ext cx="727137" cy="148774"/>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　取り消す</a:t>
          </a:r>
        </a:p>
      </xdr:txBody>
    </xdr:sp>
    <xdr:clientData/>
  </xdr:twoCellAnchor>
  <xdr:twoCellAnchor>
    <xdr:from>
      <xdr:col>65</xdr:col>
      <xdr:colOff>18171</xdr:colOff>
      <xdr:row>47</xdr:row>
      <xdr:rowOff>19050</xdr:rowOff>
    </xdr:from>
    <xdr:to>
      <xdr:col>67</xdr:col>
      <xdr:colOff>45720</xdr:colOff>
      <xdr:row>48</xdr:row>
      <xdr:rowOff>51288</xdr:rowOff>
    </xdr:to>
    <xdr:sp macro="" textlink="">
      <xdr:nvSpPr>
        <xdr:cNvPr id="42" name="環状矢印 41"/>
        <xdr:cNvSpPr/>
      </xdr:nvSpPr>
      <xdr:spPr>
        <a:xfrm>
          <a:off x="4475871" y="7181850"/>
          <a:ext cx="164709" cy="184638"/>
        </a:xfrm>
        <a:prstGeom prst="circularArrow">
          <a:avLst/>
        </a:prstGeom>
        <a:solidFill>
          <a:srgbClr val="FF0000"/>
        </a:solidFill>
        <a:ln>
          <a:noFill/>
        </a:ln>
        <a:effectLst/>
        <a:scene3d>
          <a:camera prst="orthographicFront">
            <a:rot lat="0" lon="10800000" rev="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65</xdr:col>
      <xdr:colOff>65171</xdr:colOff>
      <xdr:row>51</xdr:row>
      <xdr:rowOff>0</xdr:rowOff>
    </xdr:from>
    <xdr:to>
      <xdr:col>88</xdr:col>
      <xdr:colOff>0</xdr:colOff>
      <xdr:row>51</xdr:row>
      <xdr:rowOff>144646</xdr:rowOff>
    </xdr:to>
    <xdr:grpSp>
      <xdr:nvGrpSpPr>
        <xdr:cNvPr id="198" name="グループ化 197"/>
        <xdr:cNvGrpSpPr/>
      </xdr:nvGrpSpPr>
      <xdr:grpSpPr>
        <a:xfrm>
          <a:off x="4399046" y="7772400"/>
          <a:ext cx="1468354" cy="144646"/>
          <a:chOff x="6720840" y="3200400"/>
          <a:chExt cx="1433764" cy="144646"/>
        </a:xfrm>
      </xdr:grpSpPr>
      <xdr:sp macro="" textlink="">
        <xdr:nvSpPr>
          <xdr:cNvPr id="199" name="テキスト ボックス 198"/>
          <xdr:cNvSpPr txBox="1"/>
        </xdr:nvSpPr>
        <xdr:spPr>
          <a:xfrm>
            <a:off x="6916354" y="3200400"/>
            <a:ext cx="1238250" cy="144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出荷予定連絡書発行済</a:t>
            </a:r>
          </a:p>
        </xdr:txBody>
      </xdr:sp>
      <xdr:sp macro="" textlink="">
        <xdr:nvSpPr>
          <xdr:cNvPr id="200" name="テキスト ボックス 199"/>
          <xdr:cNvSpPr txBox="1"/>
        </xdr:nvSpPr>
        <xdr:spPr>
          <a:xfrm>
            <a:off x="6720840" y="3219774"/>
            <a:ext cx="116905"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89</xdr:col>
      <xdr:colOff>1</xdr:colOff>
      <xdr:row>47</xdr:row>
      <xdr:rowOff>0</xdr:rowOff>
    </xdr:from>
    <xdr:to>
      <xdr:col>104</xdr:col>
      <xdr:colOff>1</xdr:colOff>
      <xdr:row>48</xdr:row>
      <xdr:rowOff>1</xdr:rowOff>
    </xdr:to>
    <xdr:grpSp>
      <xdr:nvGrpSpPr>
        <xdr:cNvPr id="206" name="グループ化 205"/>
        <xdr:cNvGrpSpPr/>
      </xdr:nvGrpSpPr>
      <xdr:grpSpPr>
        <a:xfrm>
          <a:off x="5934076" y="7162800"/>
          <a:ext cx="1000125" cy="152401"/>
          <a:chOff x="6792541" y="1676400"/>
          <a:chExt cx="979713" cy="152400"/>
        </a:xfrm>
      </xdr:grpSpPr>
      <xdr:sp macro="" textlink="">
        <xdr:nvSpPr>
          <xdr:cNvPr id="209" name="角丸四角形 208"/>
          <xdr:cNvSpPr/>
        </xdr:nvSpPr>
        <xdr:spPr>
          <a:xfrm>
            <a:off x="6792541" y="1676400"/>
            <a:ext cx="979713"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インボイス登録</a:t>
            </a:r>
          </a:p>
        </xdr:txBody>
      </xdr:sp>
      <xdr:sp macro="" textlink="">
        <xdr:nvSpPr>
          <xdr:cNvPr id="211" name="角丸四角形 210"/>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65171</xdr:colOff>
      <xdr:row>53</xdr:row>
      <xdr:rowOff>0</xdr:rowOff>
    </xdr:from>
    <xdr:to>
      <xdr:col>99</xdr:col>
      <xdr:colOff>0</xdr:colOff>
      <xdr:row>54</xdr:row>
      <xdr:rowOff>2</xdr:rowOff>
    </xdr:to>
    <xdr:grpSp>
      <xdr:nvGrpSpPr>
        <xdr:cNvPr id="212" name="グループ化 211"/>
        <xdr:cNvGrpSpPr/>
      </xdr:nvGrpSpPr>
      <xdr:grpSpPr>
        <a:xfrm>
          <a:off x="4332371" y="8077200"/>
          <a:ext cx="2268454" cy="152402"/>
          <a:chOff x="4683510" y="1072374"/>
          <a:chExt cx="2213999" cy="154260"/>
        </a:xfrm>
      </xdr:grpSpPr>
      <xdr:grpSp>
        <xdr:nvGrpSpPr>
          <xdr:cNvPr id="213" name="グループ化 212"/>
          <xdr:cNvGrpSpPr/>
        </xdr:nvGrpSpPr>
        <xdr:grpSpPr>
          <a:xfrm>
            <a:off x="4683510" y="1072374"/>
            <a:ext cx="2213999" cy="154260"/>
            <a:chOff x="4649332" y="1083468"/>
            <a:chExt cx="2228695" cy="154783"/>
          </a:xfrm>
        </xdr:grpSpPr>
        <xdr:grpSp>
          <xdr:nvGrpSpPr>
            <xdr:cNvPr id="215" name="グループ化 214"/>
            <xdr:cNvGrpSpPr/>
          </xdr:nvGrpSpPr>
          <xdr:grpSpPr>
            <a:xfrm>
              <a:off x="4911541" y="1083468"/>
              <a:ext cx="1966486" cy="154783"/>
              <a:chOff x="933670" y="1219192"/>
              <a:chExt cx="2002241" cy="152401"/>
            </a:xfrm>
          </xdr:grpSpPr>
          <xdr:sp macro="" textlink="">
            <xdr:nvSpPr>
              <xdr:cNvPr id="217" name="テキスト ボックス 216"/>
              <xdr:cNvSpPr txBox="1"/>
            </xdr:nvSpPr>
            <xdr:spPr>
              <a:xfrm>
                <a:off x="1203683"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8" name="テキスト ボックス 217"/>
              <xdr:cNvSpPr txBox="1"/>
            </xdr:nvSpPr>
            <xdr:spPr>
              <a:xfrm>
                <a:off x="933670" y="1219192"/>
                <a:ext cx="266957"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en-US" altLang="ja-JP" sz="900">
                    <a:latin typeface="Meiryo UI" panose="020B0604030504040204" pitchFamily="50" charset="-128"/>
                    <a:ea typeface="Meiryo UI" panose="020B0604030504040204" pitchFamily="50" charset="-128"/>
                    <a:cs typeface="Meiryo UI" panose="020B0604030504040204" pitchFamily="50" charset="-128"/>
                  </a:rPr>
                  <a:t>CN</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9" name="テキスト ボックス 218"/>
              <xdr:cNvSpPr txBox="1"/>
            </xdr:nvSpPr>
            <xdr:spPr>
              <a:xfrm>
                <a:off x="1401802" y="1219192"/>
                <a:ext cx="1534109" cy="152400"/>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16" name="テキスト ボックス 215"/>
            <xdr:cNvSpPr txBox="1"/>
          </xdr:nvSpPr>
          <xdr:spPr>
            <a:xfrm>
              <a:off x="4649332" y="1083469"/>
              <a:ext cx="196659"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a:t>
              </a:r>
            </a:p>
          </xdr:txBody>
        </xdr:sp>
      </xdr:grpSp>
      <xdr:sp macro="" textlink="">
        <xdr:nvSpPr>
          <xdr:cNvPr id="214" name="二等辺三角形 213"/>
          <xdr:cNvSpPr>
            <a:spLocks/>
          </xdr:cNvSpPr>
        </xdr:nvSpPr>
        <xdr:spPr>
          <a:xfrm flipV="1">
            <a:off x="522654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58</xdr:col>
      <xdr:colOff>66674</xdr:colOff>
      <xdr:row>48</xdr:row>
      <xdr:rowOff>152399</xdr:rowOff>
    </xdr:from>
    <xdr:to>
      <xdr:col>99</xdr:col>
      <xdr:colOff>66119</xdr:colOff>
      <xdr:row>50</xdr:row>
      <xdr:rowOff>1139</xdr:rowOff>
    </xdr:to>
    <xdr:grpSp>
      <xdr:nvGrpSpPr>
        <xdr:cNvPr id="189" name="グループ化 188"/>
        <xdr:cNvGrpSpPr/>
      </xdr:nvGrpSpPr>
      <xdr:grpSpPr>
        <a:xfrm>
          <a:off x="3933824" y="7467599"/>
          <a:ext cx="2733120" cy="153540"/>
          <a:chOff x="3781581" y="4662237"/>
          <a:chExt cx="2670353" cy="151535"/>
        </a:xfrm>
      </xdr:grpSpPr>
      <xdr:sp macro="" textlink="">
        <xdr:nvSpPr>
          <xdr:cNvPr id="191" name="テキスト ボックス 190"/>
          <xdr:cNvSpPr txBox="1"/>
        </xdr:nvSpPr>
        <xdr:spPr>
          <a:xfrm>
            <a:off x="3781581" y="4662248"/>
            <a:ext cx="1497276" cy="151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輸出製品出荷予定連絡書</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NO</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4" name="テキスト ボックス 193"/>
          <xdr:cNvSpPr txBox="1"/>
        </xdr:nvSpPr>
        <xdr:spPr>
          <a:xfrm>
            <a:off x="5344026" y="4662237"/>
            <a:ext cx="1107908" cy="150396"/>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62</xdr:col>
      <xdr:colOff>65171</xdr:colOff>
      <xdr:row>55</xdr:row>
      <xdr:rowOff>0</xdr:rowOff>
    </xdr:from>
    <xdr:to>
      <xdr:col>91</xdr:col>
      <xdr:colOff>1</xdr:colOff>
      <xdr:row>56</xdr:row>
      <xdr:rowOff>1140</xdr:rowOff>
    </xdr:to>
    <xdr:grpSp>
      <xdr:nvGrpSpPr>
        <xdr:cNvPr id="223" name="グループ化 222"/>
        <xdr:cNvGrpSpPr/>
      </xdr:nvGrpSpPr>
      <xdr:grpSpPr>
        <a:xfrm>
          <a:off x="4199021" y="8382000"/>
          <a:ext cx="1868405" cy="153540"/>
          <a:chOff x="4105776" y="4662237"/>
          <a:chExt cx="1824791" cy="151534"/>
        </a:xfrm>
      </xdr:grpSpPr>
      <xdr:sp macro="" textlink="">
        <xdr:nvSpPr>
          <xdr:cNvPr id="224" name="テキスト ボックス 223"/>
          <xdr:cNvSpPr txBox="1"/>
        </xdr:nvSpPr>
        <xdr:spPr>
          <a:xfrm>
            <a:off x="4105776" y="4662237"/>
            <a:ext cx="651712"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Ｉ／Ｖ ＮＯ</a:t>
            </a:r>
          </a:p>
        </xdr:txBody>
      </xdr:sp>
      <xdr:sp macro="" textlink="">
        <xdr:nvSpPr>
          <xdr:cNvPr id="225" name="テキスト ボックス 224"/>
          <xdr:cNvSpPr txBox="1"/>
        </xdr:nvSpPr>
        <xdr:spPr>
          <a:xfrm>
            <a:off x="4822659" y="4662237"/>
            <a:ext cx="1107908" cy="150396"/>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en-US" altLang="ja-JP" sz="900">
                <a:latin typeface="Meiryo UI" panose="020B0604030504040204" pitchFamily="50" charset="-128"/>
                <a:ea typeface="Meiryo UI" panose="020B0604030504040204" pitchFamily="50" charset="-128"/>
                <a:cs typeface="Meiryo UI" panose="020B0604030504040204" pitchFamily="50" charset="-128"/>
              </a:rPr>
              <a:t>G69369</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0</xdr:colOff>
      <xdr:row>57</xdr:row>
      <xdr:rowOff>0</xdr:rowOff>
    </xdr:from>
    <xdr:to>
      <xdr:col>122</xdr:col>
      <xdr:colOff>5</xdr:colOff>
      <xdr:row>58</xdr:row>
      <xdr:rowOff>1142</xdr:rowOff>
    </xdr:to>
    <xdr:grpSp>
      <xdr:nvGrpSpPr>
        <xdr:cNvPr id="226" name="グループ化 225"/>
        <xdr:cNvGrpSpPr/>
      </xdr:nvGrpSpPr>
      <xdr:grpSpPr>
        <a:xfrm>
          <a:off x="4400550" y="8686800"/>
          <a:ext cx="3733805" cy="153542"/>
          <a:chOff x="4819698" y="1072375"/>
          <a:chExt cx="3782100" cy="154261"/>
        </a:xfrm>
      </xdr:grpSpPr>
      <xdr:grpSp>
        <xdr:nvGrpSpPr>
          <xdr:cNvPr id="227" name="グループ化 226"/>
          <xdr:cNvGrpSpPr/>
        </xdr:nvGrpSpPr>
        <xdr:grpSpPr>
          <a:xfrm>
            <a:off x="4819698" y="1072375"/>
            <a:ext cx="3782100" cy="154261"/>
            <a:chOff x="4786419" y="1083469"/>
            <a:chExt cx="3807201" cy="154784"/>
          </a:xfrm>
        </xdr:grpSpPr>
        <xdr:grpSp>
          <xdr:nvGrpSpPr>
            <xdr:cNvPr id="229" name="グループ化 228"/>
            <xdr:cNvGrpSpPr/>
          </xdr:nvGrpSpPr>
          <xdr:grpSpPr>
            <a:xfrm>
              <a:off x="5380665" y="1083469"/>
              <a:ext cx="3212955" cy="154784"/>
              <a:chOff x="1411324" y="1219192"/>
              <a:chExt cx="3271376" cy="152402"/>
            </a:xfrm>
          </xdr:grpSpPr>
          <xdr:sp macro="" textlink="">
            <xdr:nvSpPr>
              <xdr:cNvPr id="231" name="テキスト ボックス 230"/>
              <xdr:cNvSpPr txBox="1"/>
            </xdr:nvSpPr>
            <xdr:spPr>
              <a:xfrm>
                <a:off x="2190006" y="1219193"/>
                <a:ext cx="13394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3" name="テキスト ボックス 232"/>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5" name="テキスト ボックス 234"/>
              <xdr:cNvSpPr txBox="1"/>
            </xdr:nvSpPr>
            <xdr:spPr>
              <a:xfrm>
                <a:off x="2397602"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30" name="テキスト ボックス 229"/>
            <xdr:cNvSpPr txBox="1"/>
          </xdr:nvSpPr>
          <xdr:spPr>
            <a:xfrm>
              <a:off x="4786419" y="1083469"/>
              <a:ext cx="54296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出荷ＷＧ</a:t>
              </a:r>
            </a:p>
          </xdr:txBody>
        </xdr:sp>
      </xdr:grpSp>
      <xdr:sp macro="" textlink="">
        <xdr:nvSpPr>
          <xdr:cNvPr id="228" name="二等辺三角形 227"/>
          <xdr:cNvSpPr>
            <a:spLocks/>
          </xdr:cNvSpPr>
        </xdr:nvSpPr>
        <xdr:spPr>
          <a:xfrm flipV="1">
            <a:off x="619227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65</xdr:col>
      <xdr:colOff>66255</xdr:colOff>
      <xdr:row>58</xdr:row>
      <xdr:rowOff>147946</xdr:rowOff>
    </xdr:from>
    <xdr:to>
      <xdr:col>120</xdr:col>
      <xdr:colOff>745</xdr:colOff>
      <xdr:row>60</xdr:row>
      <xdr:rowOff>0</xdr:rowOff>
    </xdr:to>
    <xdr:grpSp>
      <xdr:nvGrpSpPr>
        <xdr:cNvPr id="239" name="グループ化 238"/>
        <xdr:cNvGrpSpPr/>
      </xdr:nvGrpSpPr>
      <xdr:grpSpPr>
        <a:xfrm>
          <a:off x="4400130" y="8987146"/>
          <a:ext cx="3601615" cy="156854"/>
          <a:chOff x="4786419" y="1083469"/>
          <a:chExt cx="3671994" cy="154784"/>
        </a:xfrm>
      </xdr:grpSpPr>
      <xdr:grpSp>
        <xdr:nvGrpSpPr>
          <xdr:cNvPr id="243" name="グループ化 242"/>
          <xdr:cNvGrpSpPr/>
        </xdr:nvGrpSpPr>
        <xdr:grpSpPr>
          <a:xfrm>
            <a:off x="5380665" y="1083469"/>
            <a:ext cx="3077748" cy="154784"/>
            <a:chOff x="1411324" y="1219192"/>
            <a:chExt cx="3133711" cy="152402"/>
          </a:xfrm>
        </xdr:grpSpPr>
        <xdr:sp macro="" textlink="">
          <xdr:nvSpPr>
            <xdr:cNvPr id="256" name="テキスト ボックス 255"/>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58" name="テキスト ボックス 257"/>
            <xdr:cNvSpPr txBox="1"/>
          </xdr:nvSpPr>
          <xdr:spPr>
            <a:xfrm>
              <a:off x="2259937"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44" name="テキスト ボックス 243"/>
          <xdr:cNvSpPr txBox="1"/>
        </xdr:nvSpPr>
        <xdr:spPr>
          <a:xfrm>
            <a:off x="4786419" y="1083469"/>
            <a:ext cx="54296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出荷ＷＧ</a:t>
            </a:r>
          </a:p>
        </xdr:txBody>
      </xdr:sp>
    </xdr:grpSp>
    <xdr:clientData/>
  </xdr:twoCellAnchor>
  <xdr:twoCellAnchor>
    <xdr:from>
      <xdr:col>66</xdr:col>
      <xdr:colOff>0</xdr:colOff>
      <xdr:row>61</xdr:row>
      <xdr:rowOff>0</xdr:rowOff>
    </xdr:from>
    <xdr:to>
      <xdr:col>110</xdr:col>
      <xdr:colOff>65048</xdr:colOff>
      <xdr:row>62</xdr:row>
      <xdr:rowOff>2</xdr:rowOff>
    </xdr:to>
    <xdr:grpSp>
      <xdr:nvGrpSpPr>
        <xdr:cNvPr id="260" name="グループ化 259"/>
        <xdr:cNvGrpSpPr/>
      </xdr:nvGrpSpPr>
      <xdr:grpSpPr>
        <a:xfrm>
          <a:off x="4400550" y="9296400"/>
          <a:ext cx="2998748" cy="152402"/>
          <a:chOff x="4649332" y="1083468"/>
          <a:chExt cx="2949503" cy="154783"/>
        </a:xfrm>
      </xdr:grpSpPr>
      <xdr:grpSp>
        <xdr:nvGrpSpPr>
          <xdr:cNvPr id="262" name="グループ化 261"/>
          <xdr:cNvGrpSpPr/>
        </xdr:nvGrpSpPr>
        <xdr:grpSpPr>
          <a:xfrm>
            <a:off x="5369651" y="1083468"/>
            <a:ext cx="2229184" cy="154783"/>
            <a:chOff x="1400110" y="1219192"/>
            <a:chExt cx="2269717" cy="152401"/>
          </a:xfrm>
        </xdr:grpSpPr>
        <xdr:sp macro="" textlink="">
          <xdr:nvSpPr>
            <xdr:cNvPr id="265" name="テキスト ボックス 264"/>
            <xdr:cNvSpPr txBox="1"/>
          </xdr:nvSpPr>
          <xdr:spPr>
            <a:xfrm>
              <a:off x="1400110" y="1221932"/>
              <a:ext cx="73301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6" name="テキスト ボックス 265"/>
            <xdr:cNvSpPr txBox="1"/>
          </xdr:nvSpPr>
          <xdr:spPr>
            <a:xfrm>
              <a:off x="2202461" y="1219192"/>
              <a:ext cx="1467366"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63" name="テキスト ボックス 262"/>
          <xdr:cNvSpPr txBox="1"/>
        </xdr:nvSpPr>
        <xdr:spPr>
          <a:xfrm>
            <a:off x="4649332" y="1083469"/>
            <a:ext cx="654833"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clientData/>
  </xdr:twoCellAnchor>
  <xdr:twoCellAnchor>
    <xdr:from>
      <xdr:col>97</xdr:col>
      <xdr:colOff>134</xdr:colOff>
      <xdr:row>18</xdr:row>
      <xdr:rowOff>139016</xdr:rowOff>
    </xdr:from>
    <xdr:to>
      <xdr:col>108</xdr:col>
      <xdr:colOff>0</xdr:colOff>
      <xdr:row>19</xdr:row>
      <xdr:rowOff>146411</xdr:rowOff>
    </xdr:to>
    <xdr:grpSp>
      <xdr:nvGrpSpPr>
        <xdr:cNvPr id="41" name="グループ化 40"/>
        <xdr:cNvGrpSpPr/>
      </xdr:nvGrpSpPr>
      <xdr:grpSpPr>
        <a:xfrm>
          <a:off x="6467609" y="2882216"/>
          <a:ext cx="733291" cy="159795"/>
          <a:chOff x="6467609" y="2882216"/>
          <a:chExt cx="733291" cy="159795"/>
        </a:xfrm>
      </xdr:grpSpPr>
      <xdr:grpSp>
        <xdr:nvGrpSpPr>
          <xdr:cNvPr id="40" name="グループ化 39"/>
          <xdr:cNvGrpSpPr/>
        </xdr:nvGrpSpPr>
        <xdr:grpSpPr>
          <a:xfrm>
            <a:off x="7067807" y="2882216"/>
            <a:ext cx="133093" cy="146584"/>
            <a:chOff x="6201032" y="2882216"/>
            <a:chExt cx="133093" cy="146584"/>
          </a:xfrm>
        </xdr:grpSpPr>
        <xdr:sp macro="" textlink="">
          <xdr:nvSpPr>
            <xdr:cNvPr id="237" name="テキスト ボックス 236"/>
            <xdr:cNvSpPr txBox="1"/>
          </xdr:nvSpPr>
          <xdr:spPr>
            <a:xfrm>
              <a:off x="6201032" y="2895600"/>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0" name="L 字 269"/>
            <xdr:cNvSpPr/>
          </xdr:nvSpPr>
          <xdr:spPr>
            <a:xfrm>
              <a:off x="6229089" y="2929062"/>
              <a:ext cx="71742" cy="72351"/>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271" name="L 字 270"/>
            <xdr:cNvSpPr/>
          </xdr:nvSpPr>
          <xdr:spPr>
            <a:xfrm>
              <a:off x="6230540" y="2882216"/>
              <a:ext cx="71742" cy="72865"/>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72" name="グループ化 271"/>
          <xdr:cNvGrpSpPr/>
        </xdr:nvGrpSpPr>
        <xdr:grpSpPr>
          <a:xfrm>
            <a:off x="6467609" y="2895600"/>
            <a:ext cx="133216" cy="146411"/>
            <a:chOff x="6201032" y="2882216"/>
            <a:chExt cx="133093" cy="146411"/>
          </a:xfrm>
        </xdr:grpSpPr>
        <xdr:sp macro="" textlink="">
          <xdr:nvSpPr>
            <xdr:cNvPr id="273" name="テキスト ボックス 272"/>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4" name="L 字 273"/>
            <xdr:cNvSpPr/>
          </xdr:nvSpPr>
          <xdr:spPr>
            <a:xfrm>
              <a:off x="6231468" y="2956276"/>
              <a:ext cx="71742" cy="72351"/>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275" name="L 字 274"/>
            <xdr:cNvSpPr/>
          </xdr:nvSpPr>
          <xdr:spPr>
            <a:xfrm>
              <a:off x="6230542" y="2909430"/>
              <a:ext cx="71742" cy="72865"/>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76" name="グループ化 275"/>
          <xdr:cNvGrpSpPr/>
        </xdr:nvGrpSpPr>
        <xdr:grpSpPr>
          <a:xfrm>
            <a:off x="6867525" y="2895600"/>
            <a:ext cx="133093" cy="133200"/>
            <a:chOff x="6201032" y="2882216"/>
            <a:chExt cx="133093" cy="133200"/>
          </a:xfrm>
        </xdr:grpSpPr>
        <xdr:sp macro="" textlink="">
          <xdr:nvSpPr>
            <xdr:cNvPr id="277" name="テキスト ボックス 276"/>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9" name="L 字 278"/>
            <xdr:cNvSpPr/>
          </xdr:nvSpPr>
          <xdr:spPr>
            <a:xfrm>
              <a:off x="6230540" y="2896502"/>
              <a:ext cx="71742" cy="72865"/>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81" name="グループ化 280"/>
          <xdr:cNvGrpSpPr/>
        </xdr:nvGrpSpPr>
        <xdr:grpSpPr>
          <a:xfrm>
            <a:off x="6667500" y="2895600"/>
            <a:ext cx="133216" cy="133200"/>
            <a:chOff x="6201032" y="2882216"/>
            <a:chExt cx="133093" cy="133200"/>
          </a:xfrm>
        </xdr:grpSpPr>
        <xdr:sp macro="" textlink="">
          <xdr:nvSpPr>
            <xdr:cNvPr id="282" name="テキスト ボックス 281"/>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4" name="L 字 283"/>
            <xdr:cNvSpPr/>
          </xdr:nvSpPr>
          <xdr:spPr>
            <a:xfrm>
              <a:off x="6230542" y="2926097"/>
              <a:ext cx="71742" cy="72865"/>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clientData/>
  </xdr:twoCellAnchor>
  <xdr:twoCellAnchor>
    <xdr:from>
      <xdr:col>60</xdr:col>
      <xdr:colOff>2</xdr:colOff>
      <xdr:row>63</xdr:row>
      <xdr:rowOff>0</xdr:rowOff>
    </xdr:from>
    <xdr:to>
      <xdr:col>92</xdr:col>
      <xdr:colOff>1505</xdr:colOff>
      <xdr:row>64</xdr:row>
      <xdr:rowOff>1139</xdr:rowOff>
    </xdr:to>
    <xdr:grpSp>
      <xdr:nvGrpSpPr>
        <xdr:cNvPr id="261" name="グループ化 260"/>
        <xdr:cNvGrpSpPr/>
      </xdr:nvGrpSpPr>
      <xdr:grpSpPr>
        <a:xfrm>
          <a:off x="4000502" y="9601200"/>
          <a:ext cx="2135103" cy="153539"/>
          <a:chOff x="3845432" y="4662237"/>
          <a:chExt cx="2085135" cy="151534"/>
        </a:xfrm>
      </xdr:grpSpPr>
      <xdr:sp macro="" textlink="">
        <xdr:nvSpPr>
          <xdr:cNvPr id="264" name="テキスト ボックス 263"/>
          <xdr:cNvSpPr txBox="1"/>
        </xdr:nvSpPr>
        <xdr:spPr>
          <a:xfrm>
            <a:off x="3845432" y="4662237"/>
            <a:ext cx="912056"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得意先注文ＮＯ</a:t>
            </a:r>
          </a:p>
        </xdr:txBody>
      </xdr:sp>
      <xdr:sp macro="" textlink="">
        <xdr:nvSpPr>
          <xdr:cNvPr id="267" name="テキスト ボックス 266"/>
          <xdr:cNvSpPr txBox="1"/>
        </xdr:nvSpPr>
        <xdr:spPr>
          <a:xfrm>
            <a:off x="4822659" y="4662237"/>
            <a:ext cx="1107908" cy="15039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_XX-XX-9999_&#12452;&#12531;&#12479;&#12501;&#12455;&#12540;&#12473;&#22522;&#26412;&#35373;&#35336;&#26360;&#65288;&#21463;&#20449;&#65289;&#21463;&#27880;&#21463;&#20449;&#65321;&#65295;&#65318;_r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来歴"/>
      <sheetName val="承認票"/>
      <sheetName val="レビュー記録"/>
      <sheetName val="機能概要"/>
      <sheetName val="処理・サービス関連図"/>
      <sheetName val="更新入出力仕様"/>
      <sheetName val="メッセージ一覧"/>
      <sheetName val="処理フロー"/>
      <sheetName val="処理詳細"/>
      <sheetName val="サービス呼出仕様"/>
      <sheetName val="補足_バッチログ実装"/>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900">
            <a:latin typeface="+mj-ea"/>
            <a:ea typeface="+mj-ea"/>
            <a:cs typeface="Meiryo UI" panose="020B0604030504040204" pitchFamily="50" charset="-128"/>
          </a:defRPr>
        </a:defPPr>
      </a:lstStyle>
      <a:style>
        <a:lnRef idx="2">
          <a:schemeClr val="accent1"/>
        </a:lnRef>
        <a:fillRef idx="1">
          <a:schemeClr val="lt1"/>
        </a:fillRef>
        <a:effectRef idx="0">
          <a:schemeClr val="accent1"/>
        </a:effectRef>
        <a:fontRef idx="minor">
          <a:schemeClr val="dk1"/>
        </a:fontRef>
      </a:style>
    </a:spDef>
    <a:txDef>
      <a:spPr>
        <a:solidFill>
          <a:schemeClr val="accent3">
            <a:lumMod val="75000"/>
          </a:schemeClr>
        </a:solidFill>
        <a:ln w="9525" cmpd="sng">
          <a:noFill/>
        </a:ln>
        <a:effectLst/>
      </a:spPr>
      <a:bodyPr vertOverflow="clip" horzOverflow="clip" wrap="square" lIns="18000" rIns="18000" rtlCol="0" anchor="ctr"/>
      <a:lstStyle>
        <a:defPPr algn="ctr">
          <a:defRPr kumimoji="1" sz="900" b="0">
            <a:solidFill>
              <a:schemeClr val="bg1"/>
            </a:solidFill>
            <a:latin typeface="Meiryo UI" panose="020B0604030504040204" pitchFamily="50" charset="-128"/>
            <a:ea typeface="Meiryo UI" panose="020B0604030504040204" pitchFamily="50" charset="-128"/>
            <a:cs typeface="Meiryo UI" panose="020B0604030504040204"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BJ69"/>
  <sheetViews>
    <sheetView showGridLines="0" topLeftCell="P37" zoomScaleNormal="100" zoomScaleSheetLayoutView="100" workbookViewId="0">
      <selection activeCell="BA70" sqref="BA70"/>
    </sheetView>
  </sheetViews>
  <sheetFormatPr defaultColWidth="9" defaultRowHeight="12"/>
  <cols>
    <col min="1" max="50" width="3.33203125" style="1" customWidth="1"/>
    <col min="51" max="52" width="9" style="1"/>
    <col min="53" max="53" width="23.33203125" style="1" customWidth="1"/>
    <col min="54" max="54" width="13.33203125" style="1" customWidth="1"/>
    <col min="55" max="55" width="23.33203125" style="1" customWidth="1"/>
    <col min="56" max="56" width="13.33203125" style="1" customWidth="1"/>
    <col min="57" max="57" width="23.33203125" style="1" customWidth="1"/>
    <col min="58" max="58" width="13.33203125" style="1" customWidth="1"/>
    <col min="59" max="59" width="16.6640625" style="1" customWidth="1"/>
    <col min="60" max="62" width="13.33203125" style="1" customWidth="1"/>
    <col min="63" max="16384" width="9" style="1"/>
  </cols>
  <sheetData>
    <row r="3" spans="32:49" ht="11.25" customHeight="1">
      <c r="AF3" s="136" t="s">
        <v>0</v>
      </c>
      <c r="AG3" s="146"/>
      <c r="AH3" s="146"/>
      <c r="AI3" s="146"/>
      <c r="AJ3" s="146"/>
      <c r="AK3" s="147"/>
      <c r="AL3" s="153" t="s">
        <v>16</v>
      </c>
      <c r="AM3" s="153"/>
      <c r="AN3" s="153"/>
      <c r="AO3" s="153"/>
      <c r="AP3" s="153"/>
      <c r="AQ3" s="153"/>
      <c r="AR3" s="142" t="s">
        <v>1</v>
      </c>
      <c r="AS3" s="143"/>
      <c r="AT3" s="143"/>
      <c r="AU3" s="143"/>
      <c r="AV3" s="143"/>
      <c r="AW3" s="144"/>
    </row>
    <row r="4" spans="32:49" ht="11.25" customHeight="1">
      <c r="AF4" s="148"/>
      <c r="AG4" s="146"/>
      <c r="AH4" s="146"/>
      <c r="AI4" s="146"/>
      <c r="AJ4" s="146"/>
      <c r="AK4" s="147"/>
      <c r="AL4" s="153"/>
      <c r="AM4" s="153"/>
      <c r="AN4" s="153"/>
      <c r="AO4" s="153"/>
      <c r="AP4" s="153"/>
      <c r="AQ4" s="153"/>
      <c r="AR4" s="142"/>
      <c r="AS4" s="143"/>
      <c r="AT4" s="143"/>
      <c r="AU4" s="143"/>
      <c r="AV4" s="143"/>
      <c r="AW4" s="144"/>
    </row>
    <row r="5" spans="32:49" ht="11.25" customHeight="1">
      <c r="AF5" s="145" t="str">
        <f>IF(文書番号="","",文書番号)</f>
        <v>XX-XX-9999</v>
      </c>
      <c r="AG5" s="146"/>
      <c r="AH5" s="146"/>
      <c r="AI5" s="146"/>
      <c r="AJ5" s="146"/>
      <c r="AK5" s="147"/>
      <c r="AL5" s="149" t="str">
        <f>IF(Version="","",Version)</f>
        <v>7.0.1.1</v>
      </c>
      <c r="AM5" s="149"/>
      <c r="AN5" s="149"/>
      <c r="AO5" s="149"/>
      <c r="AP5" s="149"/>
      <c r="AQ5" s="149"/>
      <c r="AR5" s="150" t="str">
        <f>IF(Rev="","",Rev)</f>
        <v>r02.00</v>
      </c>
      <c r="AS5" s="151"/>
      <c r="AT5" s="151"/>
      <c r="AU5" s="151"/>
      <c r="AV5" s="151"/>
      <c r="AW5" s="152"/>
    </row>
    <row r="6" spans="32:49" ht="11.25" customHeight="1">
      <c r="AF6" s="148"/>
      <c r="AG6" s="146"/>
      <c r="AH6" s="146"/>
      <c r="AI6" s="146"/>
      <c r="AJ6" s="146"/>
      <c r="AK6" s="147"/>
      <c r="AL6" s="149"/>
      <c r="AM6" s="149"/>
      <c r="AN6" s="149"/>
      <c r="AO6" s="149"/>
      <c r="AP6" s="149"/>
      <c r="AQ6" s="149"/>
      <c r="AR6" s="150"/>
      <c r="AS6" s="151"/>
      <c r="AT6" s="151"/>
      <c r="AU6" s="151"/>
      <c r="AV6" s="151"/>
      <c r="AW6" s="152"/>
    </row>
    <row r="27" spans="16:33" ht="22.5" customHeight="1">
      <c r="P27" s="129" t="s">
        <v>2</v>
      </c>
      <c r="Q27" s="130"/>
      <c r="R27" s="130"/>
      <c r="S27" s="130"/>
      <c r="T27" s="130"/>
      <c r="U27" s="131"/>
      <c r="V27" s="126" t="str">
        <f>IF(顧客名="","",顧客名)</f>
        <v>株式会社XXXX殿</v>
      </c>
      <c r="W27" s="127"/>
      <c r="X27" s="127"/>
      <c r="Y27" s="127"/>
      <c r="Z27" s="127"/>
      <c r="AA27" s="127"/>
      <c r="AB27" s="127"/>
      <c r="AC27" s="127"/>
      <c r="AD27" s="127"/>
      <c r="AE27" s="127"/>
      <c r="AF27" s="127"/>
      <c r="AG27" s="128"/>
    </row>
    <row r="28" spans="16:33" ht="22.5" customHeight="1">
      <c r="P28" s="129" t="s">
        <v>3</v>
      </c>
      <c r="Q28" s="130"/>
      <c r="R28" s="130"/>
      <c r="S28" s="130"/>
      <c r="T28" s="130"/>
      <c r="U28" s="131"/>
      <c r="V28" s="126" t="str">
        <f>IF(プロジェクト名="","",プロジェクト名)</f>
        <v>新基幹システム構築プロジェクト</v>
      </c>
      <c r="W28" s="127"/>
      <c r="X28" s="127"/>
      <c r="Y28" s="127"/>
      <c r="Z28" s="127"/>
      <c r="AA28" s="127"/>
      <c r="AB28" s="127"/>
      <c r="AC28" s="127"/>
      <c r="AD28" s="127"/>
      <c r="AE28" s="127"/>
      <c r="AF28" s="127"/>
      <c r="AG28" s="128"/>
    </row>
    <row r="29" spans="16:33" ht="22.5" customHeight="1">
      <c r="P29" s="129" t="s">
        <v>4</v>
      </c>
      <c r="Q29" s="130"/>
      <c r="R29" s="130"/>
      <c r="S29" s="130"/>
      <c r="T29" s="130"/>
      <c r="U29" s="131"/>
      <c r="V29" s="126" t="str">
        <f>IF(分類ID="","",分類ID)</f>
        <v>MSBD</v>
      </c>
      <c r="W29" s="127"/>
      <c r="X29" s="127"/>
      <c r="Y29" s="127"/>
      <c r="Z29" s="127"/>
      <c r="AA29" s="128"/>
      <c r="AB29" s="139" t="str">
        <f>IF(機能ID="","",機能ID)</f>
        <v/>
      </c>
      <c r="AC29" s="140"/>
      <c r="AD29" s="140"/>
      <c r="AE29" s="140"/>
      <c r="AF29" s="140"/>
      <c r="AG29" s="141"/>
    </row>
    <row r="30" spans="16:33" ht="22.5" customHeight="1">
      <c r="P30" s="123" t="s">
        <v>5</v>
      </c>
      <c r="Q30" s="124"/>
      <c r="R30" s="124"/>
      <c r="S30" s="124"/>
      <c r="T30" s="124"/>
      <c r="U30" s="125"/>
      <c r="V30" s="126" t="str">
        <f>IF(分類名="","",分類名)</f>
        <v>共通処理設計（リストロジック）</v>
      </c>
      <c r="W30" s="127"/>
      <c r="X30" s="127"/>
      <c r="Y30" s="127"/>
      <c r="Z30" s="127"/>
      <c r="AA30" s="127"/>
      <c r="AB30" s="127"/>
      <c r="AC30" s="127"/>
      <c r="AD30" s="127"/>
      <c r="AE30" s="127"/>
      <c r="AF30" s="127"/>
      <c r="AG30" s="128"/>
    </row>
    <row r="31" spans="16:33" ht="22.5" customHeight="1">
      <c r="P31" s="136" t="s">
        <v>6</v>
      </c>
      <c r="Q31" s="137"/>
      <c r="R31" s="137"/>
      <c r="S31" s="137"/>
      <c r="T31" s="137"/>
      <c r="U31" s="138"/>
      <c r="V31" s="135" t="str">
        <f>IF(機能名="","",機能名)</f>
        <v/>
      </c>
      <c r="W31" s="133"/>
      <c r="X31" s="133"/>
      <c r="Y31" s="133"/>
      <c r="Z31" s="133"/>
      <c r="AA31" s="133"/>
      <c r="AB31" s="133"/>
      <c r="AC31" s="133"/>
      <c r="AD31" s="133"/>
      <c r="AE31" s="133"/>
      <c r="AF31" s="133"/>
      <c r="AG31" s="134"/>
    </row>
    <row r="37" spans="1:62" ht="11.25" customHeight="1"/>
    <row r="38" spans="1:62" ht="11.25" customHeight="1"/>
    <row r="39" spans="1:62" ht="11.25" customHeight="1"/>
    <row r="40" spans="1:62" ht="11.25" customHeight="1"/>
    <row r="46" spans="1:62" ht="29.25" thickBot="1">
      <c r="A46" s="2" t="s">
        <v>17</v>
      </c>
    </row>
    <row r="47" spans="1:62" ht="12" customHeight="1">
      <c r="A47" s="129" t="s">
        <v>2</v>
      </c>
      <c r="B47" s="130"/>
      <c r="C47" s="130"/>
      <c r="D47" s="130"/>
      <c r="E47" s="130"/>
      <c r="F47" s="131"/>
      <c r="G47" s="132" t="s">
        <v>33</v>
      </c>
      <c r="H47" s="133"/>
      <c r="I47" s="133"/>
      <c r="J47" s="133"/>
      <c r="K47" s="133"/>
      <c r="L47" s="133"/>
      <c r="M47" s="133"/>
      <c r="N47" s="133"/>
      <c r="O47" s="133"/>
      <c r="P47" s="133"/>
      <c r="Q47" s="133"/>
      <c r="R47" s="134"/>
      <c r="BA47" s="159" t="s">
        <v>18</v>
      </c>
      <c r="BB47" s="45" t="s">
        <v>2</v>
      </c>
      <c r="BC47" s="46" t="str">
        <f>IF(顧客名="","",顧客名)</f>
        <v>株式会社XXXX殿</v>
      </c>
      <c r="BD47" s="47" t="s">
        <v>43</v>
      </c>
      <c r="BE47" s="46" t="str">
        <f>IF(システム="","",システム)</f>
        <v>mcframe7</v>
      </c>
      <c r="BF47" s="47" t="s">
        <v>12</v>
      </c>
      <c r="BG47" s="46" t="str">
        <f>IF(作成者="","",作成者)</f>
        <v>XX</v>
      </c>
      <c r="BH47" s="47" t="s">
        <v>13</v>
      </c>
      <c r="BI47" s="48">
        <f>IF(作成日="","",作成日)</f>
        <v>42871</v>
      </c>
      <c r="BJ47" s="49" t="s">
        <v>0</v>
      </c>
    </row>
    <row r="48" spans="1:62" ht="12" customHeight="1">
      <c r="A48" s="129" t="s">
        <v>3</v>
      </c>
      <c r="B48" s="130"/>
      <c r="C48" s="130"/>
      <c r="D48" s="130"/>
      <c r="E48" s="130"/>
      <c r="F48" s="131"/>
      <c r="G48" s="135" t="s">
        <v>29</v>
      </c>
      <c r="H48" s="133"/>
      <c r="I48" s="133"/>
      <c r="J48" s="133"/>
      <c r="K48" s="133"/>
      <c r="L48" s="133"/>
      <c r="M48" s="133"/>
      <c r="N48" s="133"/>
      <c r="O48" s="133"/>
      <c r="P48" s="133"/>
      <c r="Q48" s="133"/>
      <c r="R48" s="134"/>
      <c r="BA48" s="160"/>
      <c r="BB48" s="50" t="s">
        <v>44</v>
      </c>
      <c r="BC48" s="51" t="str">
        <f>IF(プロジェクト名="","",プロジェクト名)</f>
        <v>新基幹システム構築プロジェクト</v>
      </c>
      <c r="BD48" s="52" t="s">
        <v>45</v>
      </c>
      <c r="BE48" s="51" t="str">
        <f>IF(サブシステム="","",サブシステム)</f>
        <v>共通設計（リストロジック）</v>
      </c>
      <c r="BF48" s="52" t="s">
        <v>7</v>
      </c>
      <c r="BG48" s="51" t="str">
        <f>IF(修正者="","",修正者)</f>
        <v>XX</v>
      </c>
      <c r="BH48" s="52" t="s">
        <v>8</v>
      </c>
      <c r="BI48" s="53">
        <f>IF(修正日="","",修正日)</f>
        <v>43006</v>
      </c>
      <c r="BJ48" s="8" t="str">
        <f>IF(文書番号="","",文書番号)</f>
        <v>XX-XX-9999</v>
      </c>
    </row>
    <row r="49" spans="1:62" ht="12" customHeight="1" thickBot="1">
      <c r="A49" s="129" t="s">
        <v>10</v>
      </c>
      <c r="B49" s="130"/>
      <c r="C49" s="130"/>
      <c r="D49" s="130"/>
      <c r="E49" s="130"/>
      <c r="F49" s="131"/>
      <c r="G49" s="135" t="s">
        <v>30</v>
      </c>
      <c r="H49" s="133"/>
      <c r="I49" s="133"/>
      <c r="J49" s="133"/>
      <c r="K49" s="133"/>
      <c r="L49" s="133"/>
      <c r="M49" s="133"/>
      <c r="N49" s="133"/>
      <c r="O49" s="133"/>
      <c r="P49" s="133"/>
      <c r="Q49" s="133"/>
      <c r="R49" s="134"/>
      <c r="BA49" s="161"/>
      <c r="BB49" s="54" t="s">
        <v>9</v>
      </c>
      <c r="BC49" s="55" t="str">
        <f>IF(機能ID="","",機能ID)</f>
        <v/>
      </c>
      <c r="BD49" s="56" t="s">
        <v>6</v>
      </c>
      <c r="BE49" s="9" t="str">
        <f>IF(機能名="","",機能名)</f>
        <v/>
      </c>
      <c r="BF49" s="9"/>
      <c r="BG49" s="9"/>
      <c r="BH49" s="56" t="s">
        <v>40</v>
      </c>
      <c r="BI49" s="57" t="str">
        <f>IF(Rev="","",Rev)</f>
        <v>r02.00</v>
      </c>
      <c r="BJ49" s="10"/>
    </row>
    <row r="50" spans="1:62" ht="12" customHeight="1" thickBot="1">
      <c r="A50" s="129" t="s">
        <v>16</v>
      </c>
      <c r="B50" s="130"/>
      <c r="C50" s="130"/>
      <c r="D50" s="130"/>
      <c r="E50" s="130"/>
      <c r="F50" s="131"/>
      <c r="G50" s="154" t="s">
        <v>37</v>
      </c>
      <c r="H50" s="133"/>
      <c r="I50" s="133"/>
      <c r="J50" s="133"/>
      <c r="K50" s="133"/>
      <c r="L50" s="133"/>
      <c r="M50" s="133"/>
      <c r="N50" s="133"/>
      <c r="O50" s="133"/>
      <c r="P50" s="133"/>
      <c r="Q50" s="133"/>
      <c r="R50" s="134"/>
      <c r="BA50" s="58"/>
    </row>
    <row r="51" spans="1:62" ht="12" customHeight="1">
      <c r="A51" s="129" t="s">
        <v>11</v>
      </c>
      <c r="B51" s="130"/>
      <c r="C51" s="130"/>
      <c r="D51" s="130"/>
      <c r="E51" s="130"/>
      <c r="F51" s="131"/>
      <c r="G51" s="135" t="s">
        <v>38</v>
      </c>
      <c r="H51" s="133"/>
      <c r="I51" s="133"/>
      <c r="J51" s="133"/>
      <c r="K51" s="133"/>
      <c r="L51" s="133"/>
      <c r="M51" s="133"/>
      <c r="N51" s="133"/>
      <c r="O51" s="133"/>
      <c r="P51" s="133"/>
      <c r="Q51" s="133"/>
      <c r="R51" s="134"/>
      <c r="BA51" s="159" t="s">
        <v>23</v>
      </c>
      <c r="BB51" s="45" t="s">
        <v>2</v>
      </c>
      <c r="BC51" s="46" t="str">
        <f>IF(顧客名="","",顧客名)</f>
        <v>株式会社XXXX殿</v>
      </c>
      <c r="BD51" s="47" t="s">
        <v>42</v>
      </c>
      <c r="BE51" s="46" t="str">
        <f>IF(システム="","",システム)</f>
        <v>mcframe7</v>
      </c>
      <c r="BF51" s="47" t="s">
        <v>12</v>
      </c>
      <c r="BG51" s="46" t="str">
        <f>IF(作成者="","",作成者)</f>
        <v>XX</v>
      </c>
      <c r="BH51" s="47" t="s">
        <v>13</v>
      </c>
      <c r="BI51" s="48">
        <f>IF(作成日="","",作成日)</f>
        <v>42871</v>
      </c>
      <c r="BJ51" s="49" t="s">
        <v>0</v>
      </c>
    </row>
    <row r="52" spans="1:62" ht="12" customHeight="1">
      <c r="A52" s="129" t="s">
        <v>15</v>
      </c>
      <c r="B52" s="130"/>
      <c r="C52" s="130"/>
      <c r="D52" s="130"/>
      <c r="E52" s="130"/>
      <c r="F52" s="131"/>
      <c r="G52" s="135" t="s">
        <v>49</v>
      </c>
      <c r="H52" s="133"/>
      <c r="I52" s="133"/>
      <c r="J52" s="133"/>
      <c r="K52" s="133"/>
      <c r="L52" s="133"/>
      <c r="M52" s="133"/>
      <c r="N52" s="133"/>
      <c r="O52" s="133"/>
      <c r="P52" s="133"/>
      <c r="Q52" s="133"/>
      <c r="R52" s="134"/>
      <c r="BA52" s="160"/>
      <c r="BB52" s="50" t="s">
        <v>46</v>
      </c>
      <c r="BC52" s="51" t="str">
        <f>IF(プロジェクト名="","",プロジェクト名)</f>
        <v>新基幹システム構築プロジェクト</v>
      </c>
      <c r="BD52" s="52" t="s">
        <v>47</v>
      </c>
      <c r="BE52" s="51" t="str">
        <f>IF(サブシステム="","",サブシステム)</f>
        <v>共通設計（リストロジック）</v>
      </c>
      <c r="BF52" s="52" t="s">
        <v>7</v>
      </c>
      <c r="BG52" s="51" t="str">
        <f>IF(修正者="","",修正者)</f>
        <v>XX</v>
      </c>
      <c r="BH52" s="52" t="s">
        <v>8</v>
      </c>
      <c r="BI52" s="53">
        <f>IF(修正日="","",修正日)</f>
        <v>43006</v>
      </c>
      <c r="BJ52" s="8" t="str">
        <f>IF(文書番号="","",文書番号)</f>
        <v>XX-XX-9999</v>
      </c>
    </row>
    <row r="53" spans="1:62" ht="12" customHeight="1" thickBot="1">
      <c r="A53" s="129" t="s">
        <v>9</v>
      </c>
      <c r="B53" s="130"/>
      <c r="C53" s="130"/>
      <c r="D53" s="130"/>
      <c r="E53" s="130"/>
      <c r="F53" s="131"/>
      <c r="G53" s="135"/>
      <c r="H53" s="133"/>
      <c r="I53" s="133"/>
      <c r="J53" s="133"/>
      <c r="K53" s="133"/>
      <c r="L53" s="133"/>
      <c r="M53" s="133"/>
      <c r="N53" s="133"/>
      <c r="O53" s="133"/>
      <c r="P53" s="133"/>
      <c r="Q53" s="133"/>
      <c r="R53" s="134"/>
      <c r="BA53" s="161"/>
      <c r="BB53" s="54" t="s">
        <v>9</v>
      </c>
      <c r="BC53" s="55" t="str">
        <f>IF(機能ID="","",機能ID)</f>
        <v/>
      </c>
      <c r="BD53" s="56" t="s">
        <v>6</v>
      </c>
      <c r="BE53" s="9" t="str">
        <f>IF(機能名="","",機能名)</f>
        <v/>
      </c>
      <c r="BF53" s="9"/>
      <c r="BG53" s="9"/>
      <c r="BH53" s="56" t="s">
        <v>48</v>
      </c>
      <c r="BI53" s="57" t="str">
        <f>IF(Rev="","",Rev)</f>
        <v>r02.00</v>
      </c>
      <c r="BJ53" s="10"/>
    </row>
    <row r="54" spans="1:62" ht="12" customHeight="1" thickBot="1">
      <c r="A54" s="136" t="s">
        <v>5</v>
      </c>
      <c r="B54" s="137"/>
      <c r="C54" s="137"/>
      <c r="D54" s="137"/>
      <c r="E54" s="137"/>
      <c r="F54" s="138"/>
      <c r="G54" s="135" t="s">
        <v>50</v>
      </c>
      <c r="H54" s="133"/>
      <c r="I54" s="133"/>
      <c r="J54" s="133"/>
      <c r="K54" s="133"/>
      <c r="L54" s="133"/>
      <c r="M54" s="133"/>
      <c r="N54" s="133"/>
      <c r="O54" s="133"/>
      <c r="P54" s="133"/>
      <c r="Q54" s="133"/>
      <c r="R54" s="134"/>
      <c r="BA54" s="58"/>
    </row>
    <row r="55" spans="1:62" ht="12" customHeight="1">
      <c r="A55" s="136" t="s">
        <v>6</v>
      </c>
      <c r="B55" s="137"/>
      <c r="C55" s="137"/>
      <c r="D55" s="137"/>
      <c r="E55" s="137"/>
      <c r="F55" s="138"/>
      <c r="G55" s="135"/>
      <c r="H55" s="133"/>
      <c r="I55" s="133"/>
      <c r="J55" s="133"/>
      <c r="K55" s="133"/>
      <c r="L55" s="133"/>
      <c r="M55" s="133"/>
      <c r="N55" s="133"/>
      <c r="O55" s="133"/>
      <c r="P55" s="133"/>
      <c r="Q55" s="133"/>
      <c r="R55" s="134"/>
      <c r="BA55" s="159" t="s">
        <v>463</v>
      </c>
      <c r="BB55" s="45" t="s">
        <v>2</v>
      </c>
      <c r="BC55" s="46" t="str">
        <f>IF(顧客名="","",顧客名)</f>
        <v>株式会社XXXX殿</v>
      </c>
      <c r="BD55" s="47" t="s">
        <v>42</v>
      </c>
      <c r="BE55" s="46" t="str">
        <f>IF(システム="","",システム)</f>
        <v>mcframe7</v>
      </c>
      <c r="BF55" s="47" t="s">
        <v>12</v>
      </c>
      <c r="BG55" s="46" t="str">
        <f>IF(作成者="","",作成者)</f>
        <v>XX</v>
      </c>
      <c r="BH55" s="47" t="s">
        <v>13</v>
      </c>
      <c r="BI55" s="48">
        <f>IF(作成日="","",作成日)</f>
        <v>42871</v>
      </c>
      <c r="BJ55" s="49" t="s">
        <v>0</v>
      </c>
    </row>
    <row r="56" spans="1:62" ht="12" customHeight="1">
      <c r="A56" s="129" t="s">
        <v>12</v>
      </c>
      <c r="B56" s="130"/>
      <c r="C56" s="130"/>
      <c r="D56" s="130"/>
      <c r="E56" s="130"/>
      <c r="F56" s="131"/>
      <c r="G56" s="135" t="s">
        <v>34</v>
      </c>
      <c r="H56" s="133"/>
      <c r="I56" s="133"/>
      <c r="J56" s="133"/>
      <c r="K56" s="133"/>
      <c r="L56" s="133"/>
      <c r="M56" s="133"/>
      <c r="N56" s="133"/>
      <c r="O56" s="133"/>
      <c r="P56" s="133"/>
      <c r="Q56" s="133"/>
      <c r="R56" s="134"/>
      <c r="S56" s="1" t="s">
        <v>27</v>
      </c>
      <c r="BA56" s="160"/>
      <c r="BB56" s="50" t="s">
        <v>46</v>
      </c>
      <c r="BC56" s="51" t="str">
        <f>IF(プロジェクト名="","",プロジェクト名)</f>
        <v>新基幹システム構築プロジェクト</v>
      </c>
      <c r="BD56" s="52" t="s">
        <v>11</v>
      </c>
      <c r="BE56" s="51" t="str">
        <f>IF(サブシステム="","",サブシステム)</f>
        <v>共通設計（リストロジック）</v>
      </c>
      <c r="BF56" s="52" t="s">
        <v>7</v>
      </c>
      <c r="BG56" s="51" t="str">
        <f>IF(修正者="","",修正者)</f>
        <v>XX</v>
      </c>
      <c r="BH56" s="52" t="s">
        <v>8</v>
      </c>
      <c r="BI56" s="53">
        <f>IF(修正日="","",修正日)</f>
        <v>43006</v>
      </c>
      <c r="BJ56" s="8" t="str">
        <f>IF(文書番号="","",文書番号)</f>
        <v>XX-XX-9999</v>
      </c>
    </row>
    <row r="57" spans="1:62" ht="12" customHeight="1" thickBot="1">
      <c r="A57" s="129" t="s">
        <v>7</v>
      </c>
      <c r="B57" s="130"/>
      <c r="C57" s="130"/>
      <c r="D57" s="130"/>
      <c r="E57" s="130"/>
      <c r="F57" s="131"/>
      <c r="G57" s="155" t="s">
        <v>34</v>
      </c>
      <c r="H57" s="156"/>
      <c r="I57" s="156"/>
      <c r="J57" s="156"/>
      <c r="K57" s="156"/>
      <c r="L57" s="156"/>
      <c r="M57" s="156"/>
      <c r="N57" s="156"/>
      <c r="O57" s="156"/>
      <c r="P57" s="156"/>
      <c r="Q57" s="156"/>
      <c r="R57" s="157"/>
      <c r="S57" s="1" t="s">
        <v>27</v>
      </c>
      <c r="BA57" s="161"/>
      <c r="BB57" s="54" t="s">
        <v>9</v>
      </c>
      <c r="BC57" s="55" t="str">
        <f>IF(機能ID="","",機能ID)</f>
        <v/>
      </c>
      <c r="BD57" s="56" t="s">
        <v>6</v>
      </c>
      <c r="BE57" s="9" t="str">
        <f>IF(機能名="","",機能名)</f>
        <v/>
      </c>
      <c r="BF57" s="9"/>
      <c r="BG57" s="9"/>
      <c r="BH57" s="56" t="s">
        <v>40</v>
      </c>
      <c r="BI57" s="57" t="str">
        <f>IF(Rev="","",Rev)</f>
        <v>r02.00</v>
      </c>
      <c r="BJ57" s="10"/>
    </row>
    <row r="58" spans="1:62" ht="12" customHeight="1" thickBot="1">
      <c r="A58" s="129" t="s">
        <v>13</v>
      </c>
      <c r="B58" s="130"/>
      <c r="C58" s="130"/>
      <c r="D58" s="130"/>
      <c r="E58" s="130"/>
      <c r="F58" s="131"/>
      <c r="G58" s="158">
        <f>来歴!E6</f>
        <v>42871</v>
      </c>
      <c r="H58" s="133"/>
      <c r="I58" s="133"/>
      <c r="J58" s="133"/>
      <c r="K58" s="133"/>
      <c r="L58" s="133"/>
      <c r="M58" s="133"/>
      <c r="N58" s="133"/>
      <c r="O58" s="133"/>
      <c r="P58" s="133"/>
      <c r="Q58" s="133"/>
      <c r="R58" s="134"/>
      <c r="S58" s="1" t="s">
        <v>27</v>
      </c>
    </row>
    <row r="59" spans="1:62" ht="12" customHeight="1">
      <c r="A59" s="129" t="s">
        <v>8</v>
      </c>
      <c r="B59" s="130"/>
      <c r="C59" s="130"/>
      <c r="D59" s="130"/>
      <c r="E59" s="130"/>
      <c r="F59" s="131"/>
      <c r="G59" s="158">
        <f>IF(VLOOKUP(MAXA(来歴!A6:A40),来歴!A6:F40,5)="","",VLOOKUP(MAXA(来歴!A6:A40),来歴!A6:F40,5))</f>
        <v>43006</v>
      </c>
      <c r="H59" s="133"/>
      <c r="I59" s="133"/>
      <c r="J59" s="133"/>
      <c r="K59" s="133"/>
      <c r="L59" s="133"/>
      <c r="M59" s="133"/>
      <c r="N59" s="133"/>
      <c r="O59" s="133"/>
      <c r="P59" s="133"/>
      <c r="Q59" s="133"/>
      <c r="R59" s="134"/>
      <c r="S59" s="1" t="s">
        <v>27</v>
      </c>
      <c r="BA59" s="159" t="s">
        <v>464</v>
      </c>
      <c r="BB59" s="45" t="s">
        <v>2</v>
      </c>
      <c r="BC59" s="46" t="str">
        <f>IF(顧客名="","",顧客名)</f>
        <v>株式会社XXXX殿</v>
      </c>
      <c r="BD59" s="47" t="s">
        <v>42</v>
      </c>
      <c r="BE59" s="46" t="str">
        <f>IF(システム="","",システム)</f>
        <v>mcframe7</v>
      </c>
      <c r="BF59" s="47" t="s">
        <v>12</v>
      </c>
      <c r="BG59" s="46" t="str">
        <f>IF(作成者="","",作成者)</f>
        <v>XX</v>
      </c>
      <c r="BH59" s="47" t="s">
        <v>13</v>
      </c>
      <c r="BI59" s="48">
        <f>IF(作成日="","",作成日)</f>
        <v>42871</v>
      </c>
      <c r="BJ59" s="49" t="s">
        <v>0</v>
      </c>
    </row>
    <row r="60" spans="1:62" ht="12" customHeight="1">
      <c r="A60" s="129" t="s">
        <v>14</v>
      </c>
      <c r="B60" s="130"/>
      <c r="C60" s="130"/>
      <c r="D60" s="130"/>
      <c r="E60" s="130"/>
      <c r="F60" s="131"/>
      <c r="G60" s="155" t="str">
        <f>IF(VLOOKUP(MAXA(来歴!A6:A40),来歴!A6:F40,2)="","",VLOOKUP(MAXA(来歴!A6:A40),来歴!A6:F40,2))</f>
        <v>r02.00</v>
      </c>
      <c r="H60" s="156"/>
      <c r="I60" s="156"/>
      <c r="J60" s="156"/>
      <c r="K60" s="156"/>
      <c r="L60" s="156"/>
      <c r="M60" s="156"/>
      <c r="N60" s="156"/>
      <c r="O60" s="156"/>
      <c r="P60" s="156"/>
      <c r="Q60" s="156"/>
      <c r="R60" s="157"/>
      <c r="S60" s="1" t="s">
        <v>27</v>
      </c>
      <c r="BA60" s="160"/>
      <c r="BB60" s="50" t="s">
        <v>46</v>
      </c>
      <c r="BC60" s="51" t="str">
        <f>IF(プロジェクト名="","",プロジェクト名)</f>
        <v>新基幹システム構築プロジェクト</v>
      </c>
      <c r="BD60" s="52" t="s">
        <v>11</v>
      </c>
      <c r="BE60" s="51" t="str">
        <f>IF(サブシステム="","",サブシステム)</f>
        <v>共通設計（リストロジック）</v>
      </c>
      <c r="BF60" s="52" t="s">
        <v>7</v>
      </c>
      <c r="BG60" s="51" t="str">
        <f>IF(修正者="","",修正者)</f>
        <v>XX</v>
      </c>
      <c r="BH60" s="52" t="s">
        <v>8</v>
      </c>
      <c r="BI60" s="53">
        <f>IF(修正日="","",修正日)</f>
        <v>43006</v>
      </c>
      <c r="BJ60" s="8" t="str">
        <f>IF(文書番号="","",文書番号)</f>
        <v>XX-XX-9999</v>
      </c>
    </row>
    <row r="61" spans="1:62" ht="12" customHeight="1" thickBot="1">
      <c r="A61" s="129" t="s">
        <v>0</v>
      </c>
      <c r="B61" s="130"/>
      <c r="C61" s="130"/>
      <c r="D61" s="130"/>
      <c r="E61" s="130"/>
      <c r="F61" s="131"/>
      <c r="G61" s="135" t="s">
        <v>35</v>
      </c>
      <c r="H61" s="133"/>
      <c r="I61" s="133"/>
      <c r="J61" s="133"/>
      <c r="K61" s="133"/>
      <c r="L61" s="133"/>
      <c r="M61" s="133"/>
      <c r="N61" s="133"/>
      <c r="O61" s="133"/>
      <c r="P61" s="133"/>
      <c r="Q61" s="133"/>
      <c r="R61" s="134"/>
      <c r="AZ61" s="3"/>
      <c r="BA61" s="161"/>
      <c r="BB61" s="54" t="s">
        <v>9</v>
      </c>
      <c r="BC61" s="55" t="str">
        <f>IF(機能ID="","",機能ID)</f>
        <v/>
      </c>
      <c r="BD61" s="56" t="s">
        <v>6</v>
      </c>
      <c r="BE61" s="9" t="str">
        <f>IF(機能名="","",機能名)</f>
        <v/>
      </c>
      <c r="BF61" s="9"/>
      <c r="BG61" s="9"/>
      <c r="BH61" s="56" t="s">
        <v>40</v>
      </c>
      <c r="BI61" s="57" t="str">
        <f>IF(Rev="","",Rev)</f>
        <v>r02.00</v>
      </c>
      <c r="BJ61" s="10"/>
    </row>
    <row r="62" spans="1:62" ht="12" customHeight="1" thickBot="1">
      <c r="AZ62" s="3"/>
      <c r="BA62" s="58"/>
    </row>
    <row r="63" spans="1:62">
      <c r="AZ63" s="4"/>
      <c r="BA63" s="162" t="s">
        <v>465</v>
      </c>
      <c r="BB63" s="45" t="s">
        <v>2</v>
      </c>
      <c r="BC63" s="46" t="str">
        <f>IF(顧客名="","",顧客名)</f>
        <v>株式会社XXXX殿</v>
      </c>
      <c r="BD63" s="47" t="s">
        <v>42</v>
      </c>
      <c r="BE63" s="46" t="str">
        <f>IF(システム="","",システム)</f>
        <v>mcframe7</v>
      </c>
      <c r="BF63" s="47" t="s">
        <v>12</v>
      </c>
      <c r="BG63" s="46" t="str">
        <f>IF(作成者="","",作成者)</f>
        <v>XX</v>
      </c>
      <c r="BH63" s="47" t="s">
        <v>13</v>
      </c>
      <c r="BI63" s="48">
        <f>IF(作成日="","",作成日)</f>
        <v>42871</v>
      </c>
      <c r="BJ63" s="49" t="s">
        <v>0</v>
      </c>
    </row>
    <row r="64" spans="1:62">
      <c r="AZ64" s="3"/>
      <c r="BA64" s="163"/>
      <c r="BB64" s="50" t="s">
        <v>46</v>
      </c>
      <c r="BC64" s="51" t="str">
        <f>IF(プロジェクト名="","",プロジェクト名)</f>
        <v>新基幹システム構築プロジェクト</v>
      </c>
      <c r="BD64" s="52" t="s">
        <v>11</v>
      </c>
      <c r="BE64" s="51" t="str">
        <f>IF(サブシステム="","",サブシステム)</f>
        <v>共通設計（リストロジック）</v>
      </c>
      <c r="BF64" s="52" t="s">
        <v>7</v>
      </c>
      <c r="BG64" s="51" t="str">
        <f>IF(修正者="","",修正者)</f>
        <v>XX</v>
      </c>
      <c r="BH64" s="52" t="s">
        <v>8</v>
      </c>
      <c r="BI64" s="53">
        <f>IF(修正日="","",修正日)</f>
        <v>43006</v>
      </c>
      <c r="BJ64" s="8" t="str">
        <f>IF(文書番号="","",文書番号)</f>
        <v>XX-XX-9999</v>
      </c>
    </row>
    <row r="65" spans="53:62" ht="12.75" thickBot="1">
      <c r="BA65" s="164"/>
      <c r="BB65" s="54" t="s">
        <v>9</v>
      </c>
      <c r="BC65" s="55" t="str">
        <f>IF(機能ID="","",機能ID)</f>
        <v/>
      </c>
      <c r="BD65" s="56" t="s">
        <v>6</v>
      </c>
      <c r="BE65" s="9" t="str">
        <f>IF(機能名="","",機能名)</f>
        <v/>
      </c>
      <c r="BF65" s="9"/>
      <c r="BG65" s="9"/>
      <c r="BH65" s="56" t="s">
        <v>40</v>
      </c>
      <c r="BI65" s="57" t="str">
        <f>IF(Rev="","",Rev)</f>
        <v>r02.00</v>
      </c>
      <c r="BJ65" s="10"/>
    </row>
    <row r="66" spans="53:62" ht="12.75" thickBot="1"/>
    <row r="67" spans="53:62">
      <c r="BA67" s="159" t="s">
        <v>472</v>
      </c>
      <c r="BB67" s="45" t="s">
        <v>2</v>
      </c>
      <c r="BC67" s="46" t="str">
        <f>IF(顧客名="","",顧客名)</f>
        <v>株式会社XXXX殿</v>
      </c>
      <c r="BD67" s="47" t="s">
        <v>10</v>
      </c>
      <c r="BE67" s="46" t="str">
        <f>IF(システム="","",システム)</f>
        <v>mcframe7</v>
      </c>
      <c r="BF67" s="47" t="s">
        <v>12</v>
      </c>
      <c r="BG67" s="46" t="str">
        <f>IF(作成者="","",作成者)</f>
        <v>XX</v>
      </c>
      <c r="BH67" s="47" t="s">
        <v>13</v>
      </c>
      <c r="BI67" s="48">
        <f>IF(作成日="","",作成日)</f>
        <v>42871</v>
      </c>
      <c r="BJ67" s="49" t="s">
        <v>0</v>
      </c>
    </row>
    <row r="68" spans="53:62">
      <c r="BA68" s="160"/>
      <c r="BB68" s="50" t="s">
        <v>44</v>
      </c>
      <c r="BC68" s="51" t="str">
        <f>IF(プロジェクト名="","",プロジェクト名)</f>
        <v>新基幹システム構築プロジェクト</v>
      </c>
      <c r="BD68" s="52" t="s">
        <v>45</v>
      </c>
      <c r="BE68" s="51" t="str">
        <f>IF(サブシステム="","",サブシステム)</f>
        <v>共通設計（リストロジック）</v>
      </c>
      <c r="BF68" s="52" t="s">
        <v>7</v>
      </c>
      <c r="BG68" s="51" t="str">
        <f>IF(修正者="","",修正者)</f>
        <v>XX</v>
      </c>
      <c r="BH68" s="52" t="s">
        <v>8</v>
      </c>
      <c r="BI68" s="53">
        <f>IF(修正日="","",修正日)</f>
        <v>43006</v>
      </c>
      <c r="BJ68" s="8" t="str">
        <f>IF(文書番号="","",文書番号)</f>
        <v>XX-XX-9999</v>
      </c>
    </row>
    <row r="69" spans="53:62" ht="12.75" thickBot="1">
      <c r="BA69" s="161"/>
      <c r="BB69" s="54" t="s">
        <v>9</v>
      </c>
      <c r="BC69" s="55" t="str">
        <f>IF(機能ID="","",機能ID)</f>
        <v/>
      </c>
      <c r="BD69" s="56" t="s">
        <v>6</v>
      </c>
      <c r="BE69" s="9" t="str">
        <f>IF(機能名="","",機能名)</f>
        <v/>
      </c>
      <c r="BF69" s="9"/>
      <c r="BG69" s="9"/>
      <c r="BH69" s="56" t="s">
        <v>40</v>
      </c>
      <c r="BI69" s="57" t="str">
        <f>IF(Rev="","",Rev)</f>
        <v>r02.00</v>
      </c>
      <c r="BJ69" s="10"/>
    </row>
  </sheetData>
  <mergeCells count="53">
    <mergeCell ref="BA67:BA69"/>
    <mergeCell ref="BA55:BA57"/>
    <mergeCell ref="BA59:BA61"/>
    <mergeCell ref="BA63:BA65"/>
    <mergeCell ref="BA47:BA49"/>
    <mergeCell ref="BA51:BA53"/>
    <mergeCell ref="A61:F61"/>
    <mergeCell ref="G61:R61"/>
    <mergeCell ref="A58:F58"/>
    <mergeCell ref="G58:R58"/>
    <mergeCell ref="A59:F59"/>
    <mergeCell ref="G59:R59"/>
    <mergeCell ref="A60:F60"/>
    <mergeCell ref="G60:R60"/>
    <mergeCell ref="A54:F54"/>
    <mergeCell ref="G54:R54"/>
    <mergeCell ref="G52:R52"/>
    <mergeCell ref="G56:R56"/>
    <mergeCell ref="A57:F57"/>
    <mergeCell ref="G57:R57"/>
    <mergeCell ref="A55:F55"/>
    <mergeCell ref="G55:R55"/>
    <mergeCell ref="A56:F56"/>
    <mergeCell ref="A53:F53"/>
    <mergeCell ref="G53:R53"/>
    <mergeCell ref="A52:F52"/>
    <mergeCell ref="A49:F49"/>
    <mergeCell ref="G49:R49"/>
    <mergeCell ref="A51:F51"/>
    <mergeCell ref="G51:R51"/>
    <mergeCell ref="A50:F50"/>
    <mergeCell ref="G50:R50"/>
    <mergeCell ref="AR3:AW4"/>
    <mergeCell ref="AF5:AK6"/>
    <mergeCell ref="AL5:AQ6"/>
    <mergeCell ref="AR5:AW6"/>
    <mergeCell ref="AF3:AK4"/>
    <mergeCell ref="AL3:AQ4"/>
    <mergeCell ref="P27:U27"/>
    <mergeCell ref="V27:AG27"/>
    <mergeCell ref="P29:U29"/>
    <mergeCell ref="V29:AA29"/>
    <mergeCell ref="AB29:AG29"/>
    <mergeCell ref="P28:U28"/>
    <mergeCell ref="V28:AG28"/>
    <mergeCell ref="P30:U30"/>
    <mergeCell ref="V30:AG30"/>
    <mergeCell ref="A47:F47"/>
    <mergeCell ref="G47:R47"/>
    <mergeCell ref="A48:F48"/>
    <mergeCell ref="G48:R48"/>
    <mergeCell ref="P31:U31"/>
    <mergeCell ref="V31:AG31"/>
  </mergeCells>
  <phoneticPr fontId="1"/>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0"/>
  <sheetViews>
    <sheetView showGridLines="0" zoomScaleNormal="100" zoomScaleSheetLayoutView="90" workbookViewId="0">
      <selection activeCell="B9" sqref="B9"/>
    </sheetView>
  </sheetViews>
  <sheetFormatPr defaultColWidth="9.33203125" defaultRowHeight="12"/>
  <cols>
    <col min="1" max="1" width="3.33203125" style="1" customWidth="1"/>
    <col min="2" max="2" width="10" style="1" customWidth="1"/>
    <col min="3" max="3" width="103.33203125" style="1" customWidth="1"/>
    <col min="4" max="5" width="13.33203125" style="1" customWidth="1"/>
    <col min="6" max="6" width="23.33203125" style="1" customWidth="1"/>
    <col min="7" max="7" width="1.83203125" style="1" customWidth="1"/>
    <col min="8" max="16384" width="9.33203125" style="1"/>
  </cols>
  <sheetData>
    <row r="1" spans="1:6" ht="12" customHeight="1"/>
    <row r="2" spans="1:6" ht="12" customHeight="1"/>
    <row r="3" spans="1:6" ht="12.75" customHeight="1"/>
    <row r="4" spans="1:6" ht="12.75" thickBot="1"/>
    <row r="5" spans="1:6" ht="12.75" thickBot="1">
      <c r="A5" s="29" t="s">
        <v>39</v>
      </c>
      <c r="B5" s="30" t="s">
        <v>40</v>
      </c>
      <c r="C5" s="14" t="s">
        <v>19</v>
      </c>
      <c r="D5" s="19" t="s">
        <v>20</v>
      </c>
      <c r="E5" s="14" t="s">
        <v>21</v>
      </c>
      <c r="F5" s="19" t="s">
        <v>22</v>
      </c>
    </row>
    <row r="6" spans="1:6" ht="12.75" thickTop="1">
      <c r="A6" s="59">
        <v>1</v>
      </c>
      <c r="B6" s="31" t="s">
        <v>51</v>
      </c>
      <c r="C6" s="15" t="s">
        <v>41</v>
      </c>
      <c r="D6" s="18" t="s">
        <v>52</v>
      </c>
      <c r="E6" s="71">
        <v>42871</v>
      </c>
      <c r="F6" s="67"/>
    </row>
    <row r="7" spans="1:6">
      <c r="A7" s="5">
        <v>2</v>
      </c>
      <c r="B7" s="16" t="s">
        <v>53</v>
      </c>
      <c r="C7" s="11" t="s">
        <v>54</v>
      </c>
      <c r="D7" s="17" t="s">
        <v>52</v>
      </c>
      <c r="E7" s="72">
        <v>42872</v>
      </c>
      <c r="F7" s="69"/>
    </row>
    <row r="8" spans="1:6">
      <c r="A8" s="5">
        <v>3</v>
      </c>
      <c r="B8" s="16" t="s">
        <v>55</v>
      </c>
      <c r="C8" s="11" t="s">
        <v>56</v>
      </c>
      <c r="D8" s="12" t="s">
        <v>52</v>
      </c>
      <c r="E8" s="72">
        <v>42978</v>
      </c>
      <c r="F8" s="69"/>
    </row>
    <row r="9" spans="1:6">
      <c r="A9" s="5">
        <v>4</v>
      </c>
      <c r="B9" s="16" t="s">
        <v>57</v>
      </c>
      <c r="C9" s="11" t="s">
        <v>60</v>
      </c>
      <c r="D9" s="12" t="s">
        <v>52</v>
      </c>
      <c r="E9" s="72">
        <v>43006</v>
      </c>
      <c r="F9" s="69"/>
    </row>
    <row r="10" spans="1:6">
      <c r="A10" s="5">
        <v>5</v>
      </c>
      <c r="B10" s="16" t="s">
        <v>58</v>
      </c>
      <c r="C10" s="11" t="s">
        <v>59</v>
      </c>
      <c r="D10" s="13" t="s">
        <v>52</v>
      </c>
      <c r="E10" s="72">
        <v>43006</v>
      </c>
      <c r="F10" s="69"/>
    </row>
    <row r="11" spans="1:6">
      <c r="A11" s="5"/>
      <c r="B11" s="16"/>
      <c r="C11" s="11"/>
      <c r="D11" s="12"/>
      <c r="E11" s="73"/>
      <c r="F11" s="69"/>
    </row>
    <row r="12" spans="1:6">
      <c r="A12" s="5"/>
      <c r="B12" s="16"/>
      <c r="C12" s="11"/>
      <c r="D12" s="12"/>
      <c r="E12" s="73"/>
      <c r="F12" s="69"/>
    </row>
    <row r="13" spans="1:6">
      <c r="A13" s="5"/>
      <c r="B13" s="16"/>
      <c r="C13" s="11"/>
      <c r="D13" s="12"/>
      <c r="E13" s="73"/>
      <c r="F13" s="69"/>
    </row>
    <row r="14" spans="1:6">
      <c r="A14" s="5"/>
      <c r="B14" s="16"/>
      <c r="C14" s="11"/>
      <c r="D14" s="12"/>
      <c r="E14" s="73"/>
      <c r="F14" s="69"/>
    </row>
    <row r="15" spans="1:6">
      <c r="A15" s="5"/>
      <c r="B15" s="16"/>
      <c r="C15" s="11"/>
      <c r="D15" s="12"/>
      <c r="E15" s="73"/>
      <c r="F15" s="69"/>
    </row>
    <row r="16" spans="1:6">
      <c r="A16" s="5"/>
      <c r="B16" s="16"/>
      <c r="C16" s="11"/>
      <c r="D16" s="12"/>
      <c r="E16" s="73"/>
      <c r="F16" s="69"/>
    </row>
    <row r="17" spans="1:6">
      <c r="A17" s="5"/>
      <c r="B17" s="16"/>
      <c r="C17" s="11"/>
      <c r="D17" s="12"/>
      <c r="E17" s="73"/>
      <c r="F17" s="69"/>
    </row>
    <row r="18" spans="1:6">
      <c r="A18" s="5"/>
      <c r="B18" s="16"/>
      <c r="C18" s="11"/>
      <c r="D18" s="12"/>
      <c r="E18" s="73"/>
      <c r="F18" s="69"/>
    </row>
    <row r="19" spans="1:6">
      <c r="A19" s="5"/>
      <c r="B19" s="16"/>
      <c r="C19" s="11"/>
      <c r="D19" s="12"/>
      <c r="E19" s="73"/>
      <c r="F19" s="69"/>
    </row>
    <row r="20" spans="1:6">
      <c r="A20" s="5"/>
      <c r="B20" s="16"/>
      <c r="C20" s="11"/>
      <c r="D20" s="12"/>
      <c r="E20" s="73"/>
      <c r="F20" s="69"/>
    </row>
    <row r="21" spans="1:6">
      <c r="A21" s="5"/>
      <c r="B21" s="16"/>
      <c r="C21" s="11"/>
      <c r="D21" s="12"/>
      <c r="E21" s="73"/>
      <c r="F21" s="69"/>
    </row>
    <row r="22" spans="1:6">
      <c r="A22" s="5"/>
      <c r="B22" s="16"/>
      <c r="C22" s="11"/>
      <c r="D22" s="12"/>
      <c r="E22" s="73"/>
      <c r="F22" s="69"/>
    </row>
    <row r="23" spans="1:6">
      <c r="A23" s="5"/>
      <c r="B23" s="16"/>
      <c r="C23" s="11"/>
      <c r="D23" s="12"/>
      <c r="E23" s="73"/>
      <c r="F23" s="69"/>
    </row>
    <row r="24" spans="1:6">
      <c r="A24" s="5"/>
      <c r="B24" s="16"/>
      <c r="C24" s="11"/>
      <c r="D24" s="12"/>
      <c r="E24" s="73"/>
      <c r="F24" s="69"/>
    </row>
    <row r="25" spans="1:6">
      <c r="A25" s="5"/>
      <c r="B25" s="16"/>
      <c r="C25" s="11"/>
      <c r="D25" s="12"/>
      <c r="E25" s="73"/>
      <c r="F25" s="69"/>
    </row>
    <row r="26" spans="1:6">
      <c r="A26" s="5"/>
      <c r="B26" s="16"/>
      <c r="C26" s="11"/>
      <c r="D26" s="12"/>
      <c r="E26" s="73"/>
      <c r="F26" s="69"/>
    </row>
    <row r="27" spans="1:6">
      <c r="A27" s="5"/>
      <c r="B27" s="16"/>
      <c r="C27" s="11"/>
      <c r="D27" s="12"/>
      <c r="E27" s="73"/>
      <c r="F27" s="69"/>
    </row>
    <row r="28" spans="1:6">
      <c r="A28" s="5"/>
      <c r="B28" s="16"/>
      <c r="C28" s="11"/>
      <c r="D28" s="12"/>
      <c r="E28" s="73"/>
      <c r="F28" s="69"/>
    </row>
    <row r="29" spans="1:6">
      <c r="A29" s="5"/>
      <c r="B29" s="16"/>
      <c r="C29" s="11"/>
      <c r="D29" s="12"/>
      <c r="E29" s="73"/>
      <c r="F29" s="69"/>
    </row>
    <row r="30" spans="1:6">
      <c r="A30" s="5"/>
      <c r="B30" s="16"/>
      <c r="C30" s="11"/>
      <c r="D30" s="12"/>
      <c r="E30" s="73"/>
      <c r="F30" s="69"/>
    </row>
    <row r="31" spans="1:6">
      <c r="A31" s="5"/>
      <c r="B31" s="16"/>
      <c r="C31" s="11"/>
      <c r="D31" s="12"/>
      <c r="E31" s="73"/>
      <c r="F31" s="69"/>
    </row>
    <row r="32" spans="1:6">
      <c r="A32" s="5"/>
      <c r="B32" s="16"/>
      <c r="C32" s="11"/>
      <c r="D32" s="12"/>
      <c r="E32" s="73"/>
      <c r="F32" s="69"/>
    </row>
    <row r="33" spans="1:6">
      <c r="A33" s="5"/>
      <c r="B33" s="16"/>
      <c r="C33" s="11"/>
      <c r="D33" s="12"/>
      <c r="E33" s="73"/>
      <c r="F33" s="69"/>
    </row>
    <row r="34" spans="1:6">
      <c r="A34" s="5"/>
      <c r="B34" s="16"/>
      <c r="C34" s="11"/>
      <c r="D34" s="12"/>
      <c r="E34" s="73"/>
      <c r="F34" s="69"/>
    </row>
    <row r="35" spans="1:6">
      <c r="A35" s="5"/>
      <c r="B35" s="16"/>
      <c r="C35" s="11"/>
      <c r="D35" s="12"/>
      <c r="E35" s="73"/>
      <c r="F35" s="69"/>
    </row>
    <row r="36" spans="1:6">
      <c r="A36" s="5"/>
      <c r="B36" s="16"/>
      <c r="C36" s="11"/>
      <c r="D36" s="12"/>
      <c r="E36" s="73"/>
      <c r="F36" s="69"/>
    </row>
    <row r="37" spans="1:6">
      <c r="A37" s="5"/>
      <c r="B37" s="16"/>
      <c r="C37" s="11"/>
      <c r="D37" s="12"/>
      <c r="E37" s="73"/>
      <c r="F37" s="69"/>
    </row>
    <row r="38" spans="1:6">
      <c r="A38" s="5"/>
      <c r="B38" s="16"/>
      <c r="C38" s="11"/>
      <c r="D38" s="12"/>
      <c r="E38" s="73"/>
      <c r="F38" s="69"/>
    </row>
    <row r="39" spans="1:6">
      <c r="A39" s="5"/>
      <c r="B39" s="16"/>
      <c r="C39" s="11"/>
      <c r="D39" s="12"/>
      <c r="E39" s="73"/>
      <c r="F39" s="69"/>
    </row>
    <row r="40" spans="1:6" ht="12.75" thickBot="1">
      <c r="A40" s="32"/>
      <c r="B40" s="33"/>
      <c r="C40" s="34"/>
      <c r="D40" s="35"/>
      <c r="E40" s="74"/>
      <c r="F40" s="70"/>
    </row>
  </sheetData>
  <phoneticPr fontId="1"/>
  <dataValidations count="1">
    <dataValidation imeMode="off" allowBlank="1" showInputMessage="1" showErrorMessage="1" sqref="A6:B40 E6:E40"/>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B9" sqref="B9"/>
    </sheetView>
  </sheetViews>
  <sheetFormatPr defaultColWidth="9.33203125" defaultRowHeight="12"/>
  <cols>
    <col min="1" max="1" width="10" style="1" customWidth="1"/>
    <col min="2" max="2" width="13.33203125" style="1" customWidth="1"/>
    <col min="3" max="3" width="53.33203125" style="1" customWidth="1"/>
    <col min="4" max="8" width="13.33203125" style="1" customWidth="1"/>
    <col min="9" max="9" width="23.33203125" style="1" customWidth="1"/>
    <col min="10" max="16384" width="9.33203125" style="1"/>
  </cols>
  <sheetData>
    <row r="1" spans="1:9" ht="12" customHeight="1"/>
    <row r="2" spans="1:9" ht="12" customHeight="1"/>
    <row r="3" spans="1:9" ht="12.75" customHeight="1"/>
    <row r="4" spans="1:9" ht="12.75" thickBot="1"/>
    <row r="5" spans="1:9">
      <c r="A5" s="24" t="s">
        <v>40</v>
      </c>
      <c r="B5" s="36" t="s">
        <v>13</v>
      </c>
      <c r="C5" s="21" t="s">
        <v>19</v>
      </c>
      <c r="D5" s="165" t="s">
        <v>28</v>
      </c>
      <c r="E5" s="166"/>
      <c r="F5" s="166"/>
      <c r="G5" s="167" t="s">
        <v>36</v>
      </c>
      <c r="H5" s="168"/>
      <c r="I5" s="169" t="s">
        <v>22</v>
      </c>
    </row>
    <row r="6" spans="1:9" ht="12.75" thickBot="1">
      <c r="A6" s="25"/>
      <c r="B6" s="37"/>
      <c r="C6" s="26"/>
      <c r="D6" s="22" t="s">
        <v>12</v>
      </c>
      <c r="E6" s="22" t="s">
        <v>24</v>
      </c>
      <c r="F6" s="22" t="s">
        <v>25</v>
      </c>
      <c r="G6" s="22" t="s">
        <v>24</v>
      </c>
      <c r="H6" s="63" t="s">
        <v>26</v>
      </c>
      <c r="I6" s="170"/>
    </row>
    <row r="7" spans="1:9" ht="12.75" customHeight="1" thickTop="1">
      <c r="A7" s="60" t="s">
        <v>61</v>
      </c>
      <c r="B7" s="61">
        <v>42978</v>
      </c>
      <c r="C7" s="15" t="s">
        <v>62</v>
      </c>
      <c r="D7" s="62" t="s">
        <v>63</v>
      </c>
      <c r="E7" s="62" t="s">
        <v>63</v>
      </c>
      <c r="F7" s="62" t="s">
        <v>64</v>
      </c>
      <c r="G7" s="62" t="s">
        <v>63</v>
      </c>
      <c r="H7" s="64" t="s">
        <v>63</v>
      </c>
      <c r="I7" s="67"/>
    </row>
    <row r="8" spans="1:9" ht="12.75" customHeight="1">
      <c r="A8" s="38"/>
      <c r="B8" s="39"/>
      <c r="C8" s="40"/>
      <c r="D8" s="41"/>
      <c r="E8" s="41"/>
      <c r="F8" s="41"/>
      <c r="G8" s="41"/>
      <c r="H8" s="65"/>
      <c r="I8" s="68"/>
    </row>
    <row r="9" spans="1:9">
      <c r="A9" s="23"/>
      <c r="B9" s="13"/>
      <c r="C9" s="11"/>
      <c r="D9" s="20"/>
      <c r="E9" s="20"/>
      <c r="F9" s="20"/>
      <c r="G9" s="20"/>
      <c r="H9" s="27"/>
      <c r="I9" s="69"/>
    </row>
    <row r="10" spans="1:9">
      <c r="A10" s="23"/>
      <c r="B10" s="13"/>
      <c r="C10" s="11"/>
      <c r="D10" s="20"/>
      <c r="E10" s="20"/>
      <c r="F10" s="20"/>
      <c r="G10" s="20"/>
      <c r="H10" s="27"/>
      <c r="I10" s="69"/>
    </row>
    <row r="11" spans="1:9">
      <c r="A11" s="23"/>
      <c r="B11" s="13"/>
      <c r="C11" s="11"/>
      <c r="D11" s="20"/>
      <c r="E11" s="20"/>
      <c r="F11" s="20"/>
      <c r="G11" s="20"/>
      <c r="H11" s="27"/>
      <c r="I11" s="69"/>
    </row>
    <row r="12" spans="1:9">
      <c r="A12" s="23"/>
      <c r="B12" s="13"/>
      <c r="C12" s="11"/>
      <c r="D12" s="20"/>
      <c r="E12" s="20"/>
      <c r="F12" s="20"/>
      <c r="G12" s="20"/>
      <c r="H12" s="27"/>
      <c r="I12" s="69"/>
    </row>
    <row r="13" spans="1:9">
      <c r="A13" s="23"/>
      <c r="B13" s="13"/>
      <c r="C13" s="11"/>
      <c r="D13" s="20"/>
      <c r="E13" s="20"/>
      <c r="F13" s="20"/>
      <c r="G13" s="20"/>
      <c r="H13" s="27"/>
      <c r="I13" s="69"/>
    </row>
    <row r="14" spans="1:9">
      <c r="A14" s="23"/>
      <c r="B14" s="13"/>
      <c r="C14" s="11"/>
      <c r="D14" s="20"/>
      <c r="E14" s="20"/>
      <c r="F14" s="20"/>
      <c r="G14" s="20"/>
      <c r="H14" s="27"/>
      <c r="I14" s="69"/>
    </row>
    <row r="15" spans="1:9">
      <c r="A15" s="23"/>
      <c r="B15" s="13"/>
      <c r="C15" s="11"/>
      <c r="D15" s="20"/>
      <c r="E15" s="20"/>
      <c r="F15" s="20"/>
      <c r="G15" s="20"/>
      <c r="H15" s="27"/>
      <c r="I15" s="69"/>
    </row>
    <row r="16" spans="1:9">
      <c r="A16" s="23"/>
      <c r="B16" s="13"/>
      <c r="C16" s="11"/>
      <c r="D16" s="20"/>
      <c r="E16" s="20"/>
      <c r="F16" s="20"/>
      <c r="G16" s="20"/>
      <c r="H16" s="27"/>
      <c r="I16" s="69"/>
    </row>
    <row r="17" spans="1:9">
      <c r="A17" s="23"/>
      <c r="B17" s="13"/>
      <c r="C17" s="11"/>
      <c r="D17" s="20"/>
      <c r="E17" s="20"/>
      <c r="F17" s="20"/>
      <c r="G17" s="20"/>
      <c r="H17" s="27"/>
      <c r="I17" s="69"/>
    </row>
    <row r="18" spans="1:9">
      <c r="A18" s="23"/>
      <c r="B18" s="13"/>
      <c r="C18" s="11"/>
      <c r="D18" s="20"/>
      <c r="E18" s="20"/>
      <c r="F18" s="20"/>
      <c r="G18" s="20"/>
      <c r="H18" s="27"/>
      <c r="I18" s="69"/>
    </row>
    <row r="19" spans="1:9">
      <c r="A19" s="23"/>
      <c r="B19" s="13"/>
      <c r="C19" s="11"/>
      <c r="D19" s="20"/>
      <c r="E19" s="20"/>
      <c r="F19" s="20"/>
      <c r="G19" s="20"/>
      <c r="H19" s="27"/>
      <c r="I19" s="69"/>
    </row>
    <row r="20" spans="1:9">
      <c r="A20" s="23"/>
      <c r="B20" s="13"/>
      <c r="C20" s="11"/>
      <c r="D20" s="20"/>
      <c r="E20" s="20"/>
      <c r="F20" s="20"/>
      <c r="G20" s="20"/>
      <c r="H20" s="27"/>
      <c r="I20" s="69"/>
    </row>
    <row r="21" spans="1:9">
      <c r="A21" s="23"/>
      <c r="B21" s="13"/>
      <c r="C21" s="11"/>
      <c r="D21" s="20"/>
      <c r="E21" s="20"/>
      <c r="F21" s="20"/>
      <c r="G21" s="20"/>
      <c r="H21" s="27"/>
      <c r="I21" s="69"/>
    </row>
    <row r="22" spans="1:9">
      <c r="A22" s="23"/>
      <c r="B22" s="13"/>
      <c r="C22" s="11"/>
      <c r="D22" s="20"/>
      <c r="E22" s="20"/>
      <c r="F22" s="20"/>
      <c r="G22" s="20"/>
      <c r="H22" s="27"/>
      <c r="I22" s="69"/>
    </row>
    <row r="23" spans="1:9">
      <c r="A23" s="23"/>
      <c r="B23" s="13"/>
      <c r="C23" s="11"/>
      <c r="D23" s="20"/>
      <c r="E23" s="20"/>
      <c r="F23" s="20"/>
      <c r="G23" s="20"/>
      <c r="H23" s="27"/>
      <c r="I23" s="69"/>
    </row>
    <row r="24" spans="1:9">
      <c r="A24" s="23"/>
      <c r="B24" s="13"/>
      <c r="C24" s="11"/>
      <c r="D24" s="20"/>
      <c r="E24" s="20"/>
      <c r="F24" s="20"/>
      <c r="G24" s="20"/>
      <c r="H24" s="27"/>
      <c r="I24" s="69"/>
    </row>
    <row r="25" spans="1:9">
      <c r="A25" s="23"/>
      <c r="B25" s="13"/>
      <c r="C25" s="11"/>
      <c r="D25" s="20"/>
      <c r="E25" s="20"/>
      <c r="F25" s="20"/>
      <c r="G25" s="20"/>
      <c r="H25" s="27"/>
      <c r="I25" s="69"/>
    </row>
    <row r="26" spans="1:9">
      <c r="A26" s="23"/>
      <c r="B26" s="13"/>
      <c r="C26" s="11"/>
      <c r="D26" s="20"/>
      <c r="E26" s="20"/>
      <c r="F26" s="20"/>
      <c r="G26" s="20"/>
      <c r="H26" s="27"/>
      <c r="I26" s="69"/>
    </row>
    <row r="27" spans="1:9">
      <c r="A27" s="23"/>
      <c r="B27" s="13"/>
      <c r="C27" s="11"/>
      <c r="D27" s="20"/>
      <c r="E27" s="20"/>
      <c r="F27" s="20"/>
      <c r="G27" s="20"/>
      <c r="H27" s="27"/>
      <c r="I27" s="69"/>
    </row>
    <row r="28" spans="1:9">
      <c r="A28" s="23"/>
      <c r="B28" s="13"/>
      <c r="C28" s="11"/>
      <c r="D28" s="27"/>
      <c r="E28" s="27"/>
      <c r="F28" s="27"/>
      <c r="G28" s="27"/>
      <c r="H28" s="27"/>
      <c r="I28" s="28"/>
    </row>
    <row r="29" spans="1:9">
      <c r="A29" s="23"/>
      <c r="B29" s="13"/>
      <c r="C29" s="11"/>
      <c r="D29" s="20"/>
      <c r="E29" s="20"/>
      <c r="F29" s="20"/>
      <c r="G29" s="20"/>
      <c r="H29" s="27"/>
      <c r="I29" s="69"/>
    </row>
    <row r="30" spans="1:9">
      <c r="A30" s="23"/>
      <c r="B30" s="13"/>
      <c r="C30" s="11"/>
      <c r="D30" s="20"/>
      <c r="E30" s="20"/>
      <c r="F30" s="20"/>
      <c r="G30" s="20"/>
      <c r="H30" s="27"/>
      <c r="I30" s="69"/>
    </row>
    <row r="31" spans="1:9">
      <c r="A31" s="23"/>
      <c r="B31" s="13"/>
      <c r="C31" s="11"/>
      <c r="D31" s="20"/>
      <c r="E31" s="20"/>
      <c r="F31" s="20"/>
      <c r="G31" s="20"/>
      <c r="H31" s="27"/>
      <c r="I31" s="69"/>
    </row>
    <row r="32" spans="1:9">
      <c r="A32" s="23"/>
      <c r="B32" s="13"/>
      <c r="C32" s="11"/>
      <c r="D32" s="20"/>
      <c r="E32" s="20"/>
      <c r="F32" s="20"/>
      <c r="G32" s="20"/>
      <c r="H32" s="27"/>
      <c r="I32" s="69"/>
    </row>
    <row r="33" spans="1:9">
      <c r="A33" s="23"/>
      <c r="B33" s="13"/>
      <c r="C33" s="11"/>
      <c r="D33" s="20"/>
      <c r="E33" s="20"/>
      <c r="F33" s="20"/>
      <c r="G33" s="20"/>
      <c r="H33" s="27"/>
      <c r="I33" s="69"/>
    </row>
    <row r="34" spans="1:9">
      <c r="A34" s="23"/>
      <c r="B34" s="13"/>
      <c r="C34" s="11"/>
      <c r="D34" s="20"/>
      <c r="E34" s="20"/>
      <c r="F34" s="20"/>
      <c r="G34" s="20"/>
      <c r="H34" s="27"/>
      <c r="I34" s="69"/>
    </row>
    <row r="35" spans="1:9">
      <c r="A35" s="23"/>
      <c r="B35" s="13"/>
      <c r="C35" s="11"/>
      <c r="D35" s="20"/>
      <c r="E35" s="20"/>
      <c r="F35" s="20"/>
      <c r="G35" s="20"/>
      <c r="H35" s="27"/>
      <c r="I35" s="69"/>
    </row>
    <row r="36" spans="1:9">
      <c r="A36" s="23"/>
      <c r="B36" s="13"/>
      <c r="C36" s="11"/>
      <c r="D36" s="20"/>
      <c r="E36" s="20"/>
      <c r="F36" s="20"/>
      <c r="G36" s="20"/>
      <c r="H36" s="27"/>
      <c r="I36" s="69"/>
    </row>
    <row r="37" spans="1:9">
      <c r="A37" s="23"/>
      <c r="B37" s="13"/>
      <c r="C37" s="11"/>
      <c r="D37" s="20"/>
      <c r="E37" s="20"/>
      <c r="F37" s="20"/>
      <c r="G37" s="20"/>
      <c r="H37" s="27"/>
      <c r="I37" s="69"/>
    </row>
    <row r="38" spans="1:9">
      <c r="A38" s="23"/>
      <c r="B38" s="13"/>
      <c r="C38" s="11"/>
      <c r="D38" s="20"/>
      <c r="E38" s="20"/>
      <c r="F38" s="20"/>
      <c r="G38" s="20"/>
      <c r="H38" s="27"/>
      <c r="I38" s="69"/>
    </row>
    <row r="39" spans="1:9">
      <c r="A39" s="23"/>
      <c r="B39" s="13"/>
      <c r="C39" s="11"/>
      <c r="D39" s="20"/>
      <c r="E39" s="20"/>
      <c r="F39" s="20"/>
      <c r="G39" s="20"/>
      <c r="H39" s="27"/>
      <c r="I39" s="69"/>
    </row>
    <row r="40" spans="1:9">
      <c r="A40" s="23"/>
      <c r="B40" s="13"/>
      <c r="C40" s="11"/>
      <c r="D40" s="20"/>
      <c r="E40" s="20"/>
      <c r="F40" s="20"/>
      <c r="G40" s="20"/>
      <c r="H40" s="27"/>
      <c r="I40" s="69"/>
    </row>
    <row r="41" spans="1:9">
      <c r="A41" s="23"/>
      <c r="B41" s="13"/>
      <c r="C41" s="11"/>
      <c r="D41" s="20"/>
      <c r="E41" s="20"/>
      <c r="F41" s="20"/>
      <c r="G41" s="20"/>
      <c r="H41" s="27"/>
      <c r="I41" s="69"/>
    </row>
    <row r="42" spans="1:9">
      <c r="A42" s="23"/>
      <c r="B42" s="13"/>
      <c r="C42" s="11"/>
      <c r="D42" s="20"/>
      <c r="E42" s="20"/>
      <c r="F42" s="20"/>
      <c r="G42" s="20"/>
      <c r="H42" s="27"/>
      <c r="I42" s="69"/>
    </row>
    <row r="43" spans="1:9">
      <c r="A43" s="23"/>
      <c r="B43" s="13"/>
      <c r="C43" s="11"/>
      <c r="D43" s="20"/>
      <c r="E43" s="20"/>
      <c r="F43" s="20"/>
      <c r="G43" s="20"/>
      <c r="H43" s="27"/>
      <c r="I43" s="69"/>
    </row>
    <row r="44" spans="1:9">
      <c r="A44" s="23"/>
      <c r="B44" s="13"/>
      <c r="C44" s="11"/>
      <c r="D44" s="20"/>
      <c r="E44" s="20"/>
      <c r="F44" s="20"/>
      <c r="G44" s="20"/>
      <c r="H44" s="27"/>
      <c r="I44" s="69"/>
    </row>
    <row r="45" spans="1:9">
      <c r="A45" s="23"/>
      <c r="B45" s="13"/>
      <c r="C45" s="11"/>
      <c r="D45" s="20"/>
      <c r="E45" s="20"/>
      <c r="F45" s="20"/>
      <c r="G45" s="20"/>
      <c r="H45" s="27"/>
      <c r="I45" s="69"/>
    </row>
    <row r="46" spans="1:9">
      <c r="A46" s="23"/>
      <c r="B46" s="13"/>
      <c r="C46" s="11"/>
      <c r="D46" s="20"/>
      <c r="E46" s="20"/>
      <c r="F46" s="20"/>
      <c r="G46" s="20"/>
      <c r="H46" s="27"/>
      <c r="I46" s="69"/>
    </row>
    <row r="47" spans="1:9" ht="12.75" thickBot="1">
      <c r="A47" s="42"/>
      <c r="B47" s="43"/>
      <c r="C47" s="34"/>
      <c r="D47" s="44"/>
      <c r="E47" s="44"/>
      <c r="F47" s="44"/>
      <c r="G47" s="44"/>
      <c r="H47" s="66"/>
      <c r="I47" s="70"/>
    </row>
  </sheetData>
  <mergeCells count="3">
    <mergeCell ref="D5:F5"/>
    <mergeCell ref="G5:H5"/>
    <mergeCell ref="I5:I6"/>
  </mergeCells>
  <phoneticPr fontId="1"/>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AX26"/>
  <sheetViews>
    <sheetView showGridLines="0" tabSelected="1" zoomScaleNormal="100" zoomScaleSheetLayoutView="90" workbookViewId="0">
      <selection activeCell="X19" sqref="X19:AA19"/>
    </sheetView>
  </sheetViews>
  <sheetFormatPr defaultColWidth="9.33203125" defaultRowHeight="12"/>
  <cols>
    <col min="1" max="50" width="3.33203125" style="1" customWidth="1"/>
    <col min="51" max="51" width="1.5" style="1" customWidth="1"/>
    <col min="52" max="16384" width="9.33203125" style="1"/>
  </cols>
  <sheetData>
    <row r="3" spans="1:50" ht="12.75" customHeight="1"/>
    <row r="5" spans="1:50" ht="12.75" thickBot="1">
      <c r="A5" s="171" t="s">
        <v>473</v>
      </c>
      <c r="B5" s="172"/>
      <c r="C5" s="172"/>
      <c r="D5" s="172"/>
      <c r="E5" s="172"/>
      <c r="F5" s="172"/>
      <c r="G5" s="172"/>
      <c r="H5" s="172"/>
      <c r="I5" s="172"/>
      <c r="J5" s="172"/>
      <c r="K5" s="172"/>
      <c r="L5" s="172"/>
      <c r="M5" s="172"/>
      <c r="N5" s="172"/>
      <c r="O5" s="172"/>
      <c r="P5" s="172"/>
      <c r="Q5" s="172"/>
      <c r="R5" s="172"/>
      <c r="S5" s="172"/>
      <c r="T5" s="172"/>
      <c r="U5" s="172"/>
      <c r="V5" s="172"/>
      <c r="W5" s="172"/>
      <c r="X5" s="173"/>
      <c r="Y5" s="173"/>
      <c r="Z5" s="173"/>
      <c r="AA5" s="173"/>
      <c r="AB5" s="174"/>
      <c r="AC5" s="174"/>
      <c r="AD5" s="174"/>
      <c r="AE5" s="174"/>
      <c r="AF5" s="174"/>
      <c r="AG5" s="174"/>
      <c r="AH5" s="174"/>
      <c r="AI5" s="174"/>
      <c r="AJ5" s="172"/>
      <c r="AK5" s="172"/>
      <c r="AL5" s="172"/>
      <c r="AM5" s="172"/>
      <c r="AN5" s="175"/>
      <c r="AO5" s="175"/>
      <c r="AP5" s="175"/>
      <c r="AQ5" s="175"/>
      <c r="AR5" s="172"/>
      <c r="AS5" s="172"/>
      <c r="AT5" s="172"/>
      <c r="AU5" s="172"/>
      <c r="AV5" s="172"/>
      <c r="AW5" s="172"/>
      <c r="AX5" s="172"/>
    </row>
    <row r="6" spans="1:50" ht="12.75" thickBot="1">
      <c r="A6" s="176" t="s">
        <v>480</v>
      </c>
      <c r="B6" s="177"/>
      <c r="C6" s="178" t="s">
        <v>474</v>
      </c>
      <c r="D6" s="178"/>
      <c r="E6" s="178"/>
      <c r="F6" s="178"/>
      <c r="G6" s="178"/>
      <c r="H6" s="178"/>
      <c r="I6" s="178" t="s">
        <v>475</v>
      </c>
      <c r="J6" s="178"/>
      <c r="K6" s="178"/>
      <c r="L6" s="178"/>
      <c r="M6" s="178"/>
      <c r="N6" s="178"/>
      <c r="O6" s="178"/>
      <c r="P6" s="178"/>
      <c r="Q6" s="178"/>
      <c r="R6" s="178"/>
      <c r="S6" s="178"/>
      <c r="T6" s="178"/>
      <c r="U6" s="178"/>
      <c r="V6" s="178"/>
      <c r="W6" s="179" t="s">
        <v>476</v>
      </c>
      <c r="X6" s="180"/>
      <c r="Y6" s="180"/>
      <c r="Z6" s="180"/>
      <c r="AA6" s="180"/>
      <c r="AB6" s="180"/>
      <c r="AC6" s="180"/>
      <c r="AD6" s="180"/>
      <c r="AE6" s="180"/>
      <c r="AF6" s="180"/>
      <c r="AG6" s="180"/>
      <c r="AH6" s="180"/>
      <c r="AI6" s="180"/>
      <c r="AJ6" s="180"/>
      <c r="AK6" s="180"/>
      <c r="AL6" s="181"/>
      <c r="AM6" s="182" t="s">
        <v>22</v>
      </c>
      <c r="AN6" s="183"/>
      <c r="AO6" s="183"/>
      <c r="AP6" s="183"/>
      <c r="AQ6" s="183"/>
      <c r="AR6" s="183"/>
      <c r="AS6" s="183"/>
      <c r="AT6" s="183"/>
      <c r="AU6" s="183"/>
      <c r="AV6" s="183"/>
      <c r="AW6" s="183"/>
      <c r="AX6" s="184"/>
    </row>
    <row r="7" spans="1:50" ht="12.75" customHeight="1" thickTop="1">
      <c r="A7" s="185">
        <v>1</v>
      </c>
      <c r="B7" s="186"/>
      <c r="C7" s="187">
        <v>42988</v>
      </c>
      <c r="D7" s="186"/>
      <c r="E7" s="186"/>
      <c r="F7" s="186"/>
      <c r="G7" s="186"/>
      <c r="H7" s="186"/>
      <c r="I7" s="188" t="s">
        <v>477</v>
      </c>
      <c r="J7" s="188"/>
      <c r="K7" s="188"/>
      <c r="L7" s="188"/>
      <c r="M7" s="188"/>
      <c r="N7" s="188"/>
      <c r="O7" s="188"/>
      <c r="P7" s="188"/>
      <c r="Q7" s="188"/>
      <c r="R7" s="188"/>
      <c r="S7" s="188"/>
      <c r="T7" s="188"/>
      <c r="U7" s="188"/>
      <c r="V7" s="188"/>
      <c r="W7" s="189" t="s">
        <v>478</v>
      </c>
      <c r="X7" s="190"/>
      <c r="Y7" s="190"/>
      <c r="Z7" s="190"/>
      <c r="AA7" s="190"/>
      <c r="AB7" s="190"/>
      <c r="AC7" s="190"/>
      <c r="AD7" s="190"/>
      <c r="AE7" s="190"/>
      <c r="AF7" s="190"/>
      <c r="AG7" s="190"/>
      <c r="AH7" s="190"/>
      <c r="AI7" s="190"/>
      <c r="AJ7" s="190"/>
      <c r="AK7" s="190"/>
      <c r="AL7" s="191"/>
      <c r="AM7" s="192"/>
      <c r="AN7" s="193"/>
      <c r="AO7" s="193"/>
      <c r="AP7" s="193"/>
      <c r="AQ7" s="193"/>
      <c r="AR7" s="193"/>
      <c r="AS7" s="193"/>
      <c r="AT7" s="193"/>
      <c r="AU7" s="193"/>
      <c r="AV7" s="193"/>
      <c r="AW7" s="193"/>
      <c r="AX7" s="194"/>
    </row>
    <row r="8" spans="1:50">
      <c r="A8" s="195"/>
      <c r="B8" s="196"/>
      <c r="C8" s="196"/>
      <c r="D8" s="196"/>
      <c r="E8" s="196"/>
      <c r="F8" s="196"/>
      <c r="G8" s="196"/>
      <c r="H8" s="196"/>
      <c r="I8" s="197"/>
      <c r="J8" s="197"/>
      <c r="K8" s="197"/>
      <c r="L8" s="197"/>
      <c r="M8" s="197"/>
      <c r="N8" s="197"/>
      <c r="O8" s="197"/>
      <c r="P8" s="197"/>
      <c r="Q8" s="197"/>
      <c r="R8" s="197"/>
      <c r="S8" s="197"/>
      <c r="T8" s="197"/>
      <c r="U8" s="197"/>
      <c r="V8" s="197"/>
      <c r="W8" s="198" t="s">
        <v>487</v>
      </c>
      <c r="X8" s="199"/>
      <c r="Y8" s="199"/>
      <c r="Z8" s="199"/>
      <c r="AA8" s="199"/>
      <c r="AB8" s="199"/>
      <c r="AC8" s="199"/>
      <c r="AD8" s="199"/>
      <c r="AE8" s="199"/>
      <c r="AF8" s="199"/>
      <c r="AG8" s="199"/>
      <c r="AH8" s="199"/>
      <c r="AI8" s="199"/>
      <c r="AJ8" s="199"/>
      <c r="AK8" s="199"/>
      <c r="AL8" s="200"/>
      <c r="AM8" s="201"/>
      <c r="AN8" s="202"/>
      <c r="AO8" s="202"/>
      <c r="AP8" s="202"/>
      <c r="AQ8" s="202"/>
      <c r="AR8" s="202"/>
      <c r="AS8" s="202"/>
      <c r="AT8" s="202"/>
      <c r="AU8" s="202"/>
      <c r="AV8" s="202"/>
      <c r="AW8" s="202"/>
      <c r="AX8" s="203"/>
    </row>
    <row r="9" spans="1:50">
      <c r="A9" s="195"/>
      <c r="B9" s="196"/>
      <c r="C9" s="196"/>
      <c r="D9" s="196"/>
      <c r="E9" s="196"/>
      <c r="F9" s="196"/>
      <c r="G9" s="196"/>
      <c r="H9" s="196"/>
      <c r="I9" s="197"/>
      <c r="J9" s="197"/>
      <c r="K9" s="197"/>
      <c r="L9" s="197"/>
      <c r="M9" s="197"/>
      <c r="N9" s="197"/>
      <c r="O9" s="197"/>
      <c r="P9" s="197"/>
      <c r="Q9" s="197"/>
      <c r="R9" s="197"/>
      <c r="S9" s="197"/>
      <c r="T9" s="197"/>
      <c r="U9" s="197"/>
      <c r="V9" s="197"/>
      <c r="W9" s="198" t="s">
        <v>488</v>
      </c>
      <c r="X9" s="199"/>
      <c r="Y9" s="199"/>
      <c r="Z9" s="199"/>
      <c r="AA9" s="199"/>
      <c r="AB9" s="199"/>
      <c r="AC9" s="199"/>
      <c r="AD9" s="199"/>
      <c r="AE9" s="199"/>
      <c r="AF9" s="199"/>
      <c r="AG9" s="199"/>
      <c r="AH9" s="199"/>
      <c r="AI9" s="199"/>
      <c r="AJ9" s="199"/>
      <c r="AK9" s="199"/>
      <c r="AL9" s="200"/>
      <c r="AM9" s="201"/>
      <c r="AN9" s="202"/>
      <c r="AO9" s="202"/>
      <c r="AP9" s="202"/>
      <c r="AQ9" s="202"/>
      <c r="AR9" s="202"/>
      <c r="AS9" s="202"/>
      <c r="AT9" s="202"/>
      <c r="AU9" s="202"/>
      <c r="AV9" s="202"/>
      <c r="AW9" s="202"/>
      <c r="AX9" s="203"/>
    </row>
    <row r="10" spans="1:50">
      <c r="A10" s="195"/>
      <c r="B10" s="196"/>
      <c r="C10" s="204"/>
      <c r="D10" s="196"/>
      <c r="E10" s="196"/>
      <c r="F10" s="196"/>
      <c r="G10" s="196"/>
      <c r="H10" s="196"/>
      <c r="I10" s="197"/>
      <c r="J10" s="197"/>
      <c r="K10" s="197"/>
      <c r="L10" s="197"/>
      <c r="M10" s="197"/>
      <c r="N10" s="197"/>
      <c r="O10" s="197"/>
      <c r="P10" s="197"/>
      <c r="Q10" s="197"/>
      <c r="R10" s="197"/>
      <c r="S10" s="197"/>
      <c r="T10" s="197"/>
      <c r="U10" s="197"/>
      <c r="V10" s="197"/>
      <c r="W10" s="205"/>
      <c r="X10" s="206"/>
      <c r="Y10" s="206"/>
      <c r="Z10" s="206"/>
      <c r="AA10" s="206"/>
      <c r="AB10" s="206"/>
      <c r="AC10" s="206"/>
      <c r="AD10" s="206"/>
      <c r="AE10" s="206"/>
      <c r="AF10" s="206"/>
      <c r="AG10" s="206"/>
      <c r="AH10" s="206"/>
      <c r="AI10" s="206"/>
      <c r="AJ10" s="206"/>
      <c r="AK10" s="206"/>
      <c r="AL10" s="207"/>
      <c r="AM10" s="201"/>
      <c r="AN10" s="202"/>
      <c r="AO10" s="202"/>
      <c r="AP10" s="202"/>
      <c r="AQ10" s="202"/>
      <c r="AR10" s="202"/>
      <c r="AS10" s="202"/>
      <c r="AT10" s="202"/>
      <c r="AU10" s="202"/>
      <c r="AV10" s="202"/>
      <c r="AW10" s="202"/>
      <c r="AX10" s="203"/>
    </row>
    <row r="11" spans="1:50">
      <c r="A11" s="195"/>
      <c r="B11" s="196"/>
      <c r="C11" s="196"/>
      <c r="D11" s="196"/>
      <c r="E11" s="196"/>
      <c r="F11" s="196"/>
      <c r="G11" s="196"/>
      <c r="H11" s="196"/>
      <c r="I11" s="197"/>
      <c r="J11" s="197"/>
      <c r="K11" s="197"/>
      <c r="L11" s="197"/>
      <c r="M11" s="197"/>
      <c r="N11" s="197"/>
      <c r="O11" s="197"/>
      <c r="P11" s="197"/>
      <c r="Q11" s="197"/>
      <c r="R11" s="197"/>
      <c r="S11" s="197"/>
      <c r="T11" s="197"/>
      <c r="U11" s="197"/>
      <c r="V11" s="197"/>
      <c r="W11" s="198"/>
      <c r="X11" s="199"/>
      <c r="Y11" s="199"/>
      <c r="Z11" s="199"/>
      <c r="AA11" s="199"/>
      <c r="AB11" s="199"/>
      <c r="AC11" s="199"/>
      <c r="AD11" s="199"/>
      <c r="AE11" s="199"/>
      <c r="AF11" s="199"/>
      <c r="AG11" s="199"/>
      <c r="AH11" s="199"/>
      <c r="AI11" s="199"/>
      <c r="AJ11" s="199"/>
      <c r="AK11" s="199"/>
      <c r="AL11" s="200"/>
      <c r="AM11" s="201"/>
      <c r="AN11" s="202"/>
      <c r="AO11" s="202"/>
      <c r="AP11" s="202"/>
      <c r="AQ11" s="202"/>
      <c r="AR11" s="202"/>
      <c r="AS11" s="202"/>
      <c r="AT11" s="202"/>
      <c r="AU11" s="202"/>
      <c r="AV11" s="202"/>
      <c r="AW11" s="202"/>
      <c r="AX11" s="203"/>
    </row>
    <row r="12" spans="1:50" ht="12.75" thickBot="1">
      <c r="A12" s="208"/>
      <c r="B12" s="209"/>
      <c r="C12" s="209"/>
      <c r="D12" s="209"/>
      <c r="E12" s="209"/>
      <c r="F12" s="209"/>
      <c r="G12" s="209"/>
      <c r="H12" s="209"/>
      <c r="I12" s="210"/>
      <c r="J12" s="210"/>
      <c r="K12" s="210"/>
      <c r="L12" s="210"/>
      <c r="M12" s="210"/>
      <c r="N12" s="210"/>
      <c r="O12" s="210"/>
      <c r="P12" s="210"/>
      <c r="Q12" s="210"/>
      <c r="R12" s="210"/>
      <c r="S12" s="210"/>
      <c r="T12" s="210"/>
      <c r="U12" s="210"/>
      <c r="V12" s="210"/>
      <c r="W12" s="211"/>
      <c r="X12" s="212"/>
      <c r="Y12" s="212"/>
      <c r="Z12" s="212"/>
      <c r="AA12" s="212"/>
      <c r="AB12" s="212"/>
      <c r="AC12" s="212"/>
      <c r="AD12" s="212"/>
      <c r="AE12" s="212"/>
      <c r="AF12" s="212"/>
      <c r="AG12" s="212"/>
      <c r="AH12" s="212"/>
      <c r="AI12" s="212"/>
      <c r="AJ12" s="212"/>
      <c r="AK12" s="212"/>
      <c r="AL12" s="213"/>
      <c r="AM12" s="214"/>
      <c r="AN12" s="215"/>
      <c r="AO12" s="215"/>
      <c r="AP12" s="215"/>
      <c r="AQ12" s="215"/>
      <c r="AR12" s="215"/>
      <c r="AS12" s="215"/>
      <c r="AT12" s="215"/>
      <c r="AU12" s="215"/>
      <c r="AV12" s="215"/>
      <c r="AW12" s="215"/>
      <c r="AX12" s="216"/>
    </row>
    <row r="13" spans="1:50">
      <c r="A13" s="217"/>
      <c r="B13" s="217"/>
      <c r="C13" s="217"/>
      <c r="D13" s="218"/>
      <c r="E13" s="218"/>
      <c r="F13" s="218"/>
      <c r="G13" s="218"/>
      <c r="H13" s="218"/>
      <c r="I13" s="218"/>
      <c r="J13" s="218"/>
      <c r="K13" s="218"/>
      <c r="L13" s="218"/>
      <c r="M13" s="218"/>
      <c r="N13" s="218"/>
      <c r="O13" s="218"/>
      <c r="P13" s="218"/>
      <c r="Q13" s="218"/>
      <c r="R13" s="218"/>
      <c r="S13" s="218"/>
      <c r="T13" s="218"/>
      <c r="U13" s="218"/>
      <c r="V13" s="218"/>
      <c r="W13" s="218"/>
      <c r="X13" s="219"/>
      <c r="Y13" s="219"/>
      <c r="Z13" s="219"/>
      <c r="AA13" s="219"/>
      <c r="AB13" s="219"/>
      <c r="AC13" s="219"/>
      <c r="AD13" s="219"/>
      <c r="AE13" s="219"/>
      <c r="AF13" s="219"/>
      <c r="AG13" s="219"/>
      <c r="AH13" s="219"/>
      <c r="AI13" s="219"/>
      <c r="AJ13" s="219"/>
      <c r="AK13" s="219"/>
      <c r="AL13" s="219"/>
      <c r="AM13" s="219"/>
      <c r="AN13" s="219"/>
      <c r="AO13" s="219"/>
      <c r="AP13" s="219"/>
      <c r="AQ13" s="219"/>
      <c r="AR13" s="218"/>
      <c r="AS13" s="218"/>
      <c r="AT13" s="218"/>
      <c r="AU13" s="218"/>
      <c r="AV13" s="218"/>
      <c r="AW13" s="218"/>
      <c r="AX13" s="218"/>
    </row>
    <row r="14" spans="1:50" ht="12.75" thickBot="1">
      <c r="A14" s="171" t="s">
        <v>479</v>
      </c>
      <c r="B14" s="217"/>
      <c r="C14" s="217"/>
      <c r="D14" s="218"/>
      <c r="E14" s="218"/>
      <c r="F14" s="218"/>
      <c r="G14" s="218"/>
      <c r="H14" s="218"/>
      <c r="I14" s="218"/>
      <c r="J14" s="218"/>
      <c r="K14" s="218"/>
      <c r="L14" s="218"/>
      <c r="M14" s="218"/>
      <c r="N14" s="218"/>
      <c r="O14" s="218"/>
      <c r="P14" s="218"/>
      <c r="Q14" s="218"/>
      <c r="R14" s="218"/>
      <c r="S14" s="218"/>
      <c r="T14" s="218"/>
      <c r="U14" s="218"/>
      <c r="V14" s="218"/>
      <c r="W14" s="218"/>
      <c r="X14" s="219"/>
      <c r="Y14" s="219"/>
      <c r="Z14" s="219"/>
      <c r="AA14" s="219"/>
      <c r="AB14" s="219"/>
      <c r="AC14" s="219"/>
      <c r="AD14" s="219"/>
      <c r="AE14" s="219"/>
      <c r="AF14" s="219"/>
      <c r="AG14" s="219"/>
      <c r="AH14" s="219"/>
      <c r="AI14" s="219"/>
      <c r="AJ14" s="219"/>
      <c r="AK14" s="219"/>
      <c r="AL14" s="219"/>
      <c r="AM14" s="219"/>
      <c r="AN14" s="219"/>
      <c r="AO14" s="219"/>
      <c r="AP14" s="219"/>
      <c r="AQ14" s="219"/>
      <c r="AR14" s="218"/>
      <c r="AS14" s="218"/>
      <c r="AT14" s="218"/>
      <c r="AU14" s="218"/>
      <c r="AV14" s="218"/>
      <c r="AW14" s="218"/>
      <c r="AX14" s="218"/>
    </row>
    <row r="15" spans="1:50">
      <c r="A15" s="220" t="s">
        <v>489</v>
      </c>
      <c r="B15" s="221"/>
      <c r="C15" s="221" t="s">
        <v>481</v>
      </c>
      <c r="D15" s="221"/>
      <c r="E15" s="221"/>
      <c r="F15" s="221"/>
      <c r="G15" s="221"/>
      <c r="H15" s="221"/>
      <c r="I15" s="221"/>
      <c r="J15" s="221"/>
      <c r="K15" s="221"/>
      <c r="L15" s="221"/>
      <c r="M15" s="221"/>
      <c r="N15" s="221"/>
      <c r="O15" s="221"/>
      <c r="P15" s="221"/>
      <c r="Q15" s="221"/>
      <c r="R15" s="221"/>
      <c r="S15" s="221"/>
      <c r="T15" s="221"/>
      <c r="U15" s="221"/>
      <c r="V15" s="221"/>
      <c r="W15" s="221"/>
      <c r="X15" s="221" t="s">
        <v>482</v>
      </c>
      <c r="Y15" s="221"/>
      <c r="Z15" s="221"/>
      <c r="AA15" s="221"/>
      <c r="AB15" s="221"/>
      <c r="AC15" s="221"/>
      <c r="AD15" s="221"/>
      <c r="AE15" s="221"/>
      <c r="AF15" s="221"/>
      <c r="AG15" s="221"/>
      <c r="AH15" s="221"/>
      <c r="AI15" s="221"/>
      <c r="AJ15" s="221"/>
      <c r="AK15" s="221"/>
      <c r="AL15" s="221"/>
      <c r="AM15" s="221"/>
      <c r="AN15" s="221"/>
      <c r="AO15" s="221"/>
      <c r="AP15" s="221"/>
      <c r="AQ15" s="221"/>
      <c r="AR15" s="221"/>
      <c r="AS15" s="222" t="s">
        <v>483</v>
      </c>
      <c r="AT15" s="222"/>
      <c r="AU15" s="222"/>
      <c r="AV15" s="222"/>
      <c r="AW15" s="222"/>
      <c r="AX15" s="223"/>
    </row>
    <row r="16" spans="1:50" ht="12.75" thickBot="1">
      <c r="A16" s="224"/>
      <c r="B16" s="225"/>
      <c r="C16" s="225" t="s">
        <v>484</v>
      </c>
      <c r="D16" s="225"/>
      <c r="E16" s="225"/>
      <c r="F16" s="225"/>
      <c r="G16" s="225" t="s">
        <v>485</v>
      </c>
      <c r="H16" s="225"/>
      <c r="I16" s="225"/>
      <c r="J16" s="225"/>
      <c r="K16" s="225"/>
      <c r="L16" s="225"/>
      <c r="M16" s="225"/>
      <c r="N16" s="225"/>
      <c r="O16" s="225"/>
      <c r="P16" s="225"/>
      <c r="Q16" s="225"/>
      <c r="R16" s="225"/>
      <c r="S16" s="225"/>
      <c r="T16" s="225"/>
      <c r="U16" s="225"/>
      <c r="V16" s="225"/>
      <c r="W16" s="225"/>
      <c r="X16" s="225" t="s">
        <v>484</v>
      </c>
      <c r="Y16" s="225"/>
      <c r="Z16" s="225"/>
      <c r="AA16" s="225"/>
      <c r="AB16" s="225" t="s">
        <v>485</v>
      </c>
      <c r="AC16" s="225"/>
      <c r="AD16" s="225"/>
      <c r="AE16" s="225"/>
      <c r="AF16" s="225"/>
      <c r="AG16" s="225"/>
      <c r="AH16" s="225"/>
      <c r="AI16" s="225"/>
      <c r="AJ16" s="225"/>
      <c r="AK16" s="225"/>
      <c r="AL16" s="225"/>
      <c r="AM16" s="225"/>
      <c r="AN16" s="225"/>
      <c r="AO16" s="225"/>
      <c r="AP16" s="225"/>
      <c r="AQ16" s="225"/>
      <c r="AR16" s="225"/>
      <c r="AS16" s="226"/>
      <c r="AT16" s="226"/>
      <c r="AU16" s="226"/>
      <c r="AV16" s="226"/>
      <c r="AW16" s="226"/>
      <c r="AX16" s="227"/>
    </row>
    <row r="17" spans="1:50" ht="24" customHeight="1" thickTop="1">
      <c r="A17" s="228">
        <v>1</v>
      </c>
      <c r="B17" s="229"/>
      <c r="C17" s="230" t="s">
        <v>486</v>
      </c>
      <c r="D17" s="231"/>
      <c r="E17" s="231"/>
      <c r="F17" s="232"/>
      <c r="G17" s="233"/>
      <c r="H17" s="234"/>
      <c r="I17" s="234"/>
      <c r="J17" s="234"/>
      <c r="K17" s="234"/>
      <c r="L17" s="234"/>
      <c r="M17" s="234"/>
      <c r="N17" s="234"/>
      <c r="O17" s="234"/>
      <c r="P17" s="234"/>
      <c r="Q17" s="234"/>
      <c r="R17" s="234"/>
      <c r="S17" s="234"/>
      <c r="T17" s="234"/>
      <c r="U17" s="234"/>
      <c r="V17" s="234"/>
      <c r="W17" s="235"/>
      <c r="X17" s="236" t="s">
        <v>490</v>
      </c>
      <c r="Y17" s="237"/>
      <c r="Z17" s="237"/>
      <c r="AA17" s="229"/>
      <c r="AB17" s="233"/>
      <c r="AC17" s="234"/>
      <c r="AD17" s="234"/>
      <c r="AE17" s="234"/>
      <c r="AF17" s="234"/>
      <c r="AG17" s="234"/>
      <c r="AH17" s="234"/>
      <c r="AI17" s="234"/>
      <c r="AJ17" s="234"/>
      <c r="AK17" s="234"/>
      <c r="AL17" s="234"/>
      <c r="AM17" s="234"/>
      <c r="AN17" s="234"/>
      <c r="AO17" s="234"/>
      <c r="AP17" s="234"/>
      <c r="AQ17" s="234"/>
      <c r="AR17" s="235"/>
      <c r="AS17" s="238">
        <v>42998</v>
      </c>
      <c r="AT17" s="239"/>
      <c r="AU17" s="239"/>
      <c r="AV17" s="239"/>
      <c r="AW17" s="239"/>
      <c r="AX17" s="240"/>
    </row>
    <row r="18" spans="1:50" ht="24" customHeight="1">
      <c r="A18" s="228"/>
      <c r="B18" s="229"/>
      <c r="C18" s="230"/>
      <c r="D18" s="231"/>
      <c r="E18" s="231"/>
      <c r="F18" s="232"/>
      <c r="G18" s="233"/>
      <c r="H18" s="234"/>
      <c r="I18" s="234"/>
      <c r="J18" s="234"/>
      <c r="K18" s="234"/>
      <c r="L18" s="234"/>
      <c r="M18" s="234"/>
      <c r="N18" s="234"/>
      <c r="O18" s="234"/>
      <c r="P18" s="234"/>
      <c r="Q18" s="234"/>
      <c r="R18" s="234"/>
      <c r="S18" s="234"/>
      <c r="T18" s="234"/>
      <c r="U18" s="234"/>
      <c r="V18" s="234"/>
      <c r="W18" s="235"/>
      <c r="X18" s="236"/>
      <c r="Y18" s="237"/>
      <c r="Z18" s="237"/>
      <c r="AA18" s="229"/>
      <c r="AB18" s="233"/>
      <c r="AC18" s="234"/>
      <c r="AD18" s="234"/>
      <c r="AE18" s="234"/>
      <c r="AF18" s="234"/>
      <c r="AG18" s="234"/>
      <c r="AH18" s="234"/>
      <c r="AI18" s="234"/>
      <c r="AJ18" s="234"/>
      <c r="AK18" s="234"/>
      <c r="AL18" s="234"/>
      <c r="AM18" s="234"/>
      <c r="AN18" s="234"/>
      <c r="AO18" s="234"/>
      <c r="AP18" s="234"/>
      <c r="AQ18" s="234"/>
      <c r="AR18" s="235"/>
      <c r="AS18" s="238"/>
      <c r="AT18" s="239"/>
      <c r="AU18" s="239"/>
      <c r="AV18" s="239"/>
      <c r="AW18" s="239"/>
      <c r="AX18" s="240"/>
    </row>
    <row r="19" spans="1:50" ht="24" customHeight="1">
      <c r="A19" s="228"/>
      <c r="B19" s="229"/>
      <c r="C19" s="230"/>
      <c r="D19" s="231"/>
      <c r="E19" s="231"/>
      <c r="F19" s="232"/>
      <c r="G19" s="233"/>
      <c r="H19" s="234"/>
      <c r="I19" s="234"/>
      <c r="J19" s="234"/>
      <c r="K19" s="234"/>
      <c r="L19" s="234"/>
      <c r="M19" s="234"/>
      <c r="N19" s="234"/>
      <c r="O19" s="234"/>
      <c r="P19" s="234"/>
      <c r="Q19" s="234"/>
      <c r="R19" s="234"/>
      <c r="S19" s="234"/>
      <c r="T19" s="234"/>
      <c r="U19" s="234"/>
      <c r="V19" s="234"/>
      <c r="W19" s="235"/>
      <c r="X19" s="236"/>
      <c r="Y19" s="237"/>
      <c r="Z19" s="237"/>
      <c r="AA19" s="229"/>
      <c r="AB19" s="233"/>
      <c r="AC19" s="234"/>
      <c r="AD19" s="234"/>
      <c r="AE19" s="234"/>
      <c r="AF19" s="234"/>
      <c r="AG19" s="234"/>
      <c r="AH19" s="234"/>
      <c r="AI19" s="234"/>
      <c r="AJ19" s="234"/>
      <c r="AK19" s="234"/>
      <c r="AL19" s="234"/>
      <c r="AM19" s="234"/>
      <c r="AN19" s="234"/>
      <c r="AO19" s="234"/>
      <c r="AP19" s="234"/>
      <c r="AQ19" s="234"/>
      <c r="AR19" s="235"/>
      <c r="AS19" s="238"/>
      <c r="AT19" s="239"/>
      <c r="AU19" s="239"/>
      <c r="AV19" s="239"/>
      <c r="AW19" s="239"/>
      <c r="AX19" s="240"/>
    </row>
    <row r="20" spans="1:50" ht="24" customHeight="1">
      <c r="A20" s="228"/>
      <c r="B20" s="229"/>
      <c r="C20" s="230"/>
      <c r="D20" s="231"/>
      <c r="E20" s="231"/>
      <c r="F20" s="232"/>
      <c r="G20" s="233"/>
      <c r="H20" s="234"/>
      <c r="I20" s="234"/>
      <c r="J20" s="234"/>
      <c r="K20" s="234"/>
      <c r="L20" s="234"/>
      <c r="M20" s="234"/>
      <c r="N20" s="234"/>
      <c r="O20" s="234"/>
      <c r="P20" s="234"/>
      <c r="Q20" s="234"/>
      <c r="R20" s="234"/>
      <c r="S20" s="234"/>
      <c r="T20" s="234"/>
      <c r="U20" s="234"/>
      <c r="V20" s="234"/>
      <c r="W20" s="235"/>
      <c r="X20" s="236"/>
      <c r="Y20" s="237"/>
      <c r="Z20" s="237"/>
      <c r="AA20" s="229"/>
      <c r="AB20" s="233"/>
      <c r="AC20" s="234"/>
      <c r="AD20" s="234"/>
      <c r="AE20" s="234"/>
      <c r="AF20" s="234"/>
      <c r="AG20" s="234"/>
      <c r="AH20" s="234"/>
      <c r="AI20" s="234"/>
      <c r="AJ20" s="234"/>
      <c r="AK20" s="234"/>
      <c r="AL20" s="234"/>
      <c r="AM20" s="234"/>
      <c r="AN20" s="234"/>
      <c r="AO20" s="234"/>
      <c r="AP20" s="234"/>
      <c r="AQ20" s="234"/>
      <c r="AR20" s="235"/>
      <c r="AS20" s="238"/>
      <c r="AT20" s="239"/>
      <c r="AU20" s="239"/>
      <c r="AV20" s="239"/>
      <c r="AW20" s="239"/>
      <c r="AX20" s="240"/>
    </row>
    <row r="21" spans="1:50" ht="24" customHeight="1">
      <c r="A21" s="228"/>
      <c r="B21" s="229"/>
      <c r="C21" s="230"/>
      <c r="D21" s="231"/>
      <c r="E21" s="231"/>
      <c r="F21" s="232"/>
      <c r="G21" s="233"/>
      <c r="H21" s="234"/>
      <c r="I21" s="234"/>
      <c r="J21" s="234"/>
      <c r="K21" s="234"/>
      <c r="L21" s="234"/>
      <c r="M21" s="234"/>
      <c r="N21" s="234"/>
      <c r="O21" s="234"/>
      <c r="P21" s="234"/>
      <c r="Q21" s="234"/>
      <c r="R21" s="234"/>
      <c r="S21" s="234"/>
      <c r="T21" s="234"/>
      <c r="U21" s="234"/>
      <c r="V21" s="234"/>
      <c r="W21" s="235"/>
      <c r="X21" s="236"/>
      <c r="Y21" s="237"/>
      <c r="Z21" s="237"/>
      <c r="AA21" s="229"/>
      <c r="AB21" s="233"/>
      <c r="AC21" s="234"/>
      <c r="AD21" s="234"/>
      <c r="AE21" s="234"/>
      <c r="AF21" s="234"/>
      <c r="AG21" s="234"/>
      <c r="AH21" s="234"/>
      <c r="AI21" s="234"/>
      <c r="AJ21" s="234"/>
      <c r="AK21" s="234"/>
      <c r="AL21" s="234"/>
      <c r="AM21" s="234"/>
      <c r="AN21" s="234"/>
      <c r="AO21" s="234"/>
      <c r="AP21" s="234"/>
      <c r="AQ21" s="234"/>
      <c r="AR21" s="235"/>
      <c r="AS21" s="238"/>
      <c r="AT21" s="239"/>
      <c r="AU21" s="239"/>
      <c r="AV21" s="239"/>
      <c r="AW21" s="239"/>
      <c r="AX21" s="240"/>
    </row>
    <row r="22" spans="1:50" ht="24" customHeight="1">
      <c r="A22" s="228"/>
      <c r="B22" s="229"/>
      <c r="C22" s="230"/>
      <c r="D22" s="231"/>
      <c r="E22" s="231"/>
      <c r="F22" s="232"/>
      <c r="G22" s="233"/>
      <c r="H22" s="234"/>
      <c r="I22" s="234"/>
      <c r="J22" s="234"/>
      <c r="K22" s="234"/>
      <c r="L22" s="234"/>
      <c r="M22" s="234"/>
      <c r="N22" s="234"/>
      <c r="O22" s="234"/>
      <c r="P22" s="234"/>
      <c r="Q22" s="234"/>
      <c r="R22" s="234"/>
      <c r="S22" s="234"/>
      <c r="T22" s="234"/>
      <c r="U22" s="234"/>
      <c r="V22" s="234"/>
      <c r="W22" s="235"/>
      <c r="X22" s="236"/>
      <c r="Y22" s="237"/>
      <c r="Z22" s="237"/>
      <c r="AA22" s="229"/>
      <c r="AB22" s="233"/>
      <c r="AC22" s="234"/>
      <c r="AD22" s="234"/>
      <c r="AE22" s="234"/>
      <c r="AF22" s="234"/>
      <c r="AG22" s="234"/>
      <c r="AH22" s="234"/>
      <c r="AI22" s="234"/>
      <c r="AJ22" s="234"/>
      <c r="AK22" s="234"/>
      <c r="AL22" s="234"/>
      <c r="AM22" s="234"/>
      <c r="AN22" s="234"/>
      <c r="AO22" s="234"/>
      <c r="AP22" s="234"/>
      <c r="AQ22" s="234"/>
      <c r="AR22" s="235"/>
      <c r="AS22" s="238"/>
      <c r="AT22" s="239"/>
      <c r="AU22" s="239"/>
      <c r="AV22" s="239"/>
      <c r="AW22" s="239"/>
      <c r="AX22" s="240"/>
    </row>
    <row r="23" spans="1:50" ht="24" customHeight="1">
      <c r="A23" s="228"/>
      <c r="B23" s="229"/>
      <c r="C23" s="230"/>
      <c r="D23" s="231"/>
      <c r="E23" s="231"/>
      <c r="F23" s="232"/>
      <c r="G23" s="233"/>
      <c r="H23" s="234"/>
      <c r="I23" s="234"/>
      <c r="J23" s="234"/>
      <c r="K23" s="234"/>
      <c r="L23" s="234"/>
      <c r="M23" s="234"/>
      <c r="N23" s="234"/>
      <c r="O23" s="234"/>
      <c r="P23" s="234"/>
      <c r="Q23" s="234"/>
      <c r="R23" s="234"/>
      <c r="S23" s="234"/>
      <c r="T23" s="234"/>
      <c r="U23" s="234"/>
      <c r="V23" s="234"/>
      <c r="W23" s="235"/>
      <c r="X23" s="236"/>
      <c r="Y23" s="237"/>
      <c r="Z23" s="237"/>
      <c r="AA23" s="229"/>
      <c r="AB23" s="233"/>
      <c r="AC23" s="234"/>
      <c r="AD23" s="234"/>
      <c r="AE23" s="234"/>
      <c r="AF23" s="234"/>
      <c r="AG23" s="234"/>
      <c r="AH23" s="234"/>
      <c r="AI23" s="234"/>
      <c r="AJ23" s="234"/>
      <c r="AK23" s="234"/>
      <c r="AL23" s="234"/>
      <c r="AM23" s="234"/>
      <c r="AN23" s="234"/>
      <c r="AO23" s="234"/>
      <c r="AP23" s="234"/>
      <c r="AQ23" s="234"/>
      <c r="AR23" s="235"/>
      <c r="AS23" s="238"/>
      <c r="AT23" s="239"/>
      <c r="AU23" s="239"/>
      <c r="AV23" s="239"/>
      <c r="AW23" s="239"/>
      <c r="AX23" s="240"/>
    </row>
    <row r="24" spans="1:50" ht="24" customHeight="1">
      <c r="A24" s="228"/>
      <c r="B24" s="229"/>
      <c r="C24" s="230"/>
      <c r="D24" s="231"/>
      <c r="E24" s="231"/>
      <c r="F24" s="232"/>
      <c r="G24" s="233"/>
      <c r="H24" s="234"/>
      <c r="I24" s="234"/>
      <c r="J24" s="234"/>
      <c r="K24" s="234"/>
      <c r="L24" s="234"/>
      <c r="M24" s="234"/>
      <c r="N24" s="234"/>
      <c r="O24" s="234"/>
      <c r="P24" s="234"/>
      <c r="Q24" s="234"/>
      <c r="R24" s="234"/>
      <c r="S24" s="234"/>
      <c r="T24" s="234"/>
      <c r="U24" s="234"/>
      <c r="V24" s="234"/>
      <c r="W24" s="235"/>
      <c r="X24" s="236"/>
      <c r="Y24" s="237"/>
      <c r="Z24" s="237"/>
      <c r="AA24" s="229"/>
      <c r="AB24" s="233"/>
      <c r="AC24" s="234"/>
      <c r="AD24" s="234"/>
      <c r="AE24" s="234"/>
      <c r="AF24" s="234"/>
      <c r="AG24" s="234"/>
      <c r="AH24" s="234"/>
      <c r="AI24" s="234"/>
      <c r="AJ24" s="234"/>
      <c r="AK24" s="234"/>
      <c r="AL24" s="234"/>
      <c r="AM24" s="234"/>
      <c r="AN24" s="234"/>
      <c r="AO24" s="234"/>
      <c r="AP24" s="234"/>
      <c r="AQ24" s="234"/>
      <c r="AR24" s="235"/>
      <c r="AS24" s="238"/>
      <c r="AT24" s="239"/>
      <c r="AU24" s="239"/>
      <c r="AV24" s="239"/>
      <c r="AW24" s="239"/>
      <c r="AX24" s="240"/>
    </row>
    <row r="25" spans="1:50" ht="24" customHeight="1">
      <c r="A25" s="228"/>
      <c r="B25" s="229"/>
      <c r="C25" s="230"/>
      <c r="D25" s="231"/>
      <c r="E25" s="231"/>
      <c r="F25" s="232"/>
      <c r="G25" s="233"/>
      <c r="H25" s="234"/>
      <c r="I25" s="234"/>
      <c r="J25" s="234"/>
      <c r="K25" s="234"/>
      <c r="L25" s="234"/>
      <c r="M25" s="234"/>
      <c r="N25" s="234"/>
      <c r="O25" s="234"/>
      <c r="P25" s="234"/>
      <c r="Q25" s="234"/>
      <c r="R25" s="234"/>
      <c r="S25" s="234"/>
      <c r="T25" s="234"/>
      <c r="U25" s="234"/>
      <c r="V25" s="234"/>
      <c r="W25" s="235"/>
      <c r="X25" s="236"/>
      <c r="Y25" s="237"/>
      <c r="Z25" s="237"/>
      <c r="AA25" s="229"/>
      <c r="AB25" s="233"/>
      <c r="AC25" s="234"/>
      <c r="AD25" s="234"/>
      <c r="AE25" s="234"/>
      <c r="AF25" s="234"/>
      <c r="AG25" s="234"/>
      <c r="AH25" s="234"/>
      <c r="AI25" s="234"/>
      <c r="AJ25" s="234"/>
      <c r="AK25" s="234"/>
      <c r="AL25" s="234"/>
      <c r="AM25" s="234"/>
      <c r="AN25" s="234"/>
      <c r="AO25" s="234"/>
      <c r="AP25" s="234"/>
      <c r="AQ25" s="234"/>
      <c r="AR25" s="235"/>
      <c r="AS25" s="238"/>
      <c r="AT25" s="239"/>
      <c r="AU25" s="239"/>
      <c r="AV25" s="239"/>
      <c r="AW25" s="239"/>
      <c r="AX25" s="240"/>
    </row>
    <row r="26" spans="1:50" ht="24" customHeight="1" thickBot="1">
      <c r="A26" s="241"/>
      <c r="B26" s="242"/>
      <c r="C26" s="243"/>
      <c r="D26" s="244"/>
      <c r="E26" s="244"/>
      <c r="F26" s="245"/>
      <c r="G26" s="246"/>
      <c r="H26" s="247"/>
      <c r="I26" s="247"/>
      <c r="J26" s="247"/>
      <c r="K26" s="247"/>
      <c r="L26" s="247"/>
      <c r="M26" s="247"/>
      <c r="N26" s="247"/>
      <c r="O26" s="247"/>
      <c r="P26" s="247"/>
      <c r="Q26" s="247"/>
      <c r="R26" s="247"/>
      <c r="S26" s="247"/>
      <c r="T26" s="247"/>
      <c r="U26" s="247"/>
      <c r="V26" s="247"/>
      <c r="W26" s="248"/>
      <c r="X26" s="249"/>
      <c r="Y26" s="250"/>
      <c r="Z26" s="250"/>
      <c r="AA26" s="242"/>
      <c r="AB26" s="246"/>
      <c r="AC26" s="247"/>
      <c r="AD26" s="247"/>
      <c r="AE26" s="247"/>
      <c r="AF26" s="247"/>
      <c r="AG26" s="247"/>
      <c r="AH26" s="247"/>
      <c r="AI26" s="247"/>
      <c r="AJ26" s="247"/>
      <c r="AK26" s="247"/>
      <c r="AL26" s="247"/>
      <c r="AM26" s="247"/>
      <c r="AN26" s="247"/>
      <c r="AO26" s="247"/>
      <c r="AP26" s="247"/>
      <c r="AQ26" s="247"/>
      <c r="AR26" s="248"/>
      <c r="AS26" s="251"/>
      <c r="AT26" s="252"/>
      <c r="AU26" s="252"/>
      <c r="AV26" s="252"/>
      <c r="AW26" s="252"/>
      <c r="AX26" s="253"/>
    </row>
  </sheetData>
  <mergeCells count="87">
    <mergeCell ref="A26:B26"/>
    <mergeCell ref="C26:F26"/>
    <mergeCell ref="G26:W26"/>
    <mergeCell ref="X26:AA26"/>
    <mergeCell ref="AB26:AR26"/>
    <mergeCell ref="AS26:AX26"/>
    <mergeCell ref="A25:B25"/>
    <mergeCell ref="C25:F25"/>
    <mergeCell ref="G25:W25"/>
    <mergeCell ref="X25:AA25"/>
    <mergeCell ref="AB25:AR25"/>
    <mergeCell ref="AS25:AX25"/>
    <mergeCell ref="A24:B24"/>
    <mergeCell ref="C24:F24"/>
    <mergeCell ref="G24:W24"/>
    <mergeCell ref="X24:AA24"/>
    <mergeCell ref="AB24:AR24"/>
    <mergeCell ref="AS24:AX24"/>
    <mergeCell ref="A23:B23"/>
    <mergeCell ref="C23:F23"/>
    <mergeCell ref="G23:W23"/>
    <mergeCell ref="X23:AA23"/>
    <mergeCell ref="AB23:AR23"/>
    <mergeCell ref="AS23:AX23"/>
    <mergeCell ref="A22:B22"/>
    <mergeCell ref="C22:F22"/>
    <mergeCell ref="G22:W22"/>
    <mergeCell ref="X22:AA22"/>
    <mergeCell ref="AB22:AR22"/>
    <mergeCell ref="AS22:AX22"/>
    <mergeCell ref="A21:B21"/>
    <mergeCell ref="C21:F21"/>
    <mergeCell ref="G21:W21"/>
    <mergeCell ref="X21:AA21"/>
    <mergeCell ref="AB21:AR21"/>
    <mergeCell ref="AS21:AX21"/>
    <mergeCell ref="A20:B20"/>
    <mergeCell ref="C20:F20"/>
    <mergeCell ref="G20:W20"/>
    <mergeCell ref="X20:AA20"/>
    <mergeCell ref="AB20:AR20"/>
    <mergeCell ref="AS20:AX20"/>
    <mergeCell ref="A19:B19"/>
    <mergeCell ref="C19:F19"/>
    <mergeCell ref="G19:W19"/>
    <mergeCell ref="X19:AA19"/>
    <mergeCell ref="AB19:AR19"/>
    <mergeCell ref="AS19:AX19"/>
    <mergeCell ref="A18:B18"/>
    <mergeCell ref="C18:F18"/>
    <mergeCell ref="G18:W18"/>
    <mergeCell ref="X18:AA18"/>
    <mergeCell ref="AB18:AR18"/>
    <mergeCell ref="AS18:AX18"/>
    <mergeCell ref="A17:B17"/>
    <mergeCell ref="C17:F17"/>
    <mergeCell ref="G17:W17"/>
    <mergeCell ref="X17:AA17"/>
    <mergeCell ref="AB17:AR17"/>
    <mergeCell ref="AS17:AX17"/>
    <mergeCell ref="A15:B16"/>
    <mergeCell ref="C15:W15"/>
    <mergeCell ref="X15:AR15"/>
    <mergeCell ref="AS15:AX16"/>
    <mergeCell ref="C16:F16"/>
    <mergeCell ref="G16:W16"/>
    <mergeCell ref="X16:AA16"/>
    <mergeCell ref="AB16:AR16"/>
    <mergeCell ref="A10:B12"/>
    <mergeCell ref="C10:H12"/>
    <mergeCell ref="I10:V12"/>
    <mergeCell ref="W10:AL10"/>
    <mergeCell ref="AM10:AX12"/>
    <mergeCell ref="W11:AL11"/>
    <mergeCell ref="W12:AL12"/>
    <mergeCell ref="W6:AL6"/>
    <mergeCell ref="AM6:AX6"/>
    <mergeCell ref="A7:B9"/>
    <mergeCell ref="C7:H9"/>
    <mergeCell ref="I7:V9"/>
    <mergeCell ref="W7:AL7"/>
    <mergeCell ref="AM7:AX9"/>
    <mergeCell ref="W8:AL8"/>
    <mergeCell ref="W9:AL9"/>
    <mergeCell ref="A6:B6"/>
    <mergeCell ref="C6:H6"/>
    <mergeCell ref="I6:V6"/>
  </mergeCells>
  <phoneticPr fontId="1"/>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4:I31"/>
  <sheetViews>
    <sheetView showGridLines="0" showZeros="0" zoomScaleNormal="100" zoomScaleSheetLayoutView="80" workbookViewId="0">
      <pane xSplit="3" ySplit="5" topLeftCell="D24" activePane="bottomRight" state="frozen"/>
      <selection activeCell="B9" sqref="B9"/>
      <selection pane="topRight" activeCell="B9" sqref="B9"/>
      <selection pane="bottomLeft" activeCell="B9" sqref="B9"/>
      <selection pane="bottomRight" activeCell="B9" sqref="B9"/>
    </sheetView>
  </sheetViews>
  <sheetFormatPr defaultColWidth="12" defaultRowHeight="14.25"/>
  <cols>
    <col min="1" max="1" width="6.6640625" style="95" customWidth="1"/>
    <col min="2" max="2" width="16.83203125" style="75" customWidth="1"/>
    <col min="3" max="3" width="24.83203125" style="75" customWidth="1"/>
    <col min="4" max="4" width="22.1640625" style="75" customWidth="1"/>
    <col min="5" max="5" width="34.1640625" style="75" customWidth="1"/>
    <col min="6" max="6" width="100.5" style="75" customWidth="1"/>
    <col min="7" max="7" width="34.1640625" style="75" customWidth="1"/>
    <col min="8" max="9" width="47.5" style="75" customWidth="1"/>
    <col min="10" max="16384" width="12" style="75"/>
  </cols>
  <sheetData>
    <row r="4" spans="1:9" ht="6.75" customHeight="1" thickBot="1"/>
    <row r="5" spans="1:9" s="79" customFormat="1" ht="15.75" customHeight="1">
      <c r="A5" s="76" t="s">
        <v>470</v>
      </c>
      <c r="B5" s="117" t="s">
        <v>65</v>
      </c>
      <c r="C5" s="77" t="s">
        <v>66</v>
      </c>
      <c r="D5" s="77" t="s">
        <v>67</v>
      </c>
      <c r="E5" s="77" t="s">
        <v>68</v>
      </c>
      <c r="F5" s="77" t="s">
        <v>31</v>
      </c>
      <c r="G5" s="78" t="s">
        <v>22</v>
      </c>
      <c r="H5" s="76" t="s">
        <v>69</v>
      </c>
      <c r="I5" s="78" t="s">
        <v>70</v>
      </c>
    </row>
    <row r="6" spans="1:9" ht="15.75" customHeight="1">
      <c r="A6" s="80"/>
      <c r="B6" s="118" t="s">
        <v>32</v>
      </c>
      <c r="C6" s="81" t="s">
        <v>71</v>
      </c>
      <c r="D6" s="81" t="s">
        <v>72</v>
      </c>
      <c r="E6" s="81" t="s">
        <v>73</v>
      </c>
      <c r="F6" s="82" t="s">
        <v>74</v>
      </c>
      <c r="G6" s="83"/>
      <c r="H6" s="84" t="str">
        <f>"MS."&amp;LEFT(C6,4)&amp;"P"&amp;RIGHT(C6,4)&amp;"."&amp;D6</f>
        <v>MS.MSUAP0010.SpplByLoc</v>
      </c>
      <c r="I6" s="85" t="str">
        <f>"MS."&amp;LEFT(C6,4)&amp;"L"&amp;RIGHT(C6,4)&amp;"."&amp;D6</f>
        <v>MS.MSUAL0010.SpplByLoc</v>
      </c>
    </row>
    <row r="7" spans="1:9" ht="15.75" customHeight="1">
      <c r="A7" s="80"/>
      <c r="B7" s="118" t="s">
        <v>75</v>
      </c>
      <c r="C7" s="81" t="s">
        <v>76</v>
      </c>
      <c r="D7" s="81" t="s">
        <v>77</v>
      </c>
      <c r="E7" s="81" t="s">
        <v>78</v>
      </c>
      <c r="F7" s="82" t="s">
        <v>79</v>
      </c>
      <c r="G7" s="86"/>
      <c r="H7" s="84" t="str">
        <f t="shared" ref="H7:H31" si="0">"MS."&amp;LEFT(C7,4)&amp;"P"&amp;RIGHT(C7,4)&amp;"."&amp;D7</f>
        <v>MS.MSUAP0030.ActSts</v>
      </c>
      <c r="I7" s="85" t="str">
        <f t="shared" ref="I7:I31" si="1">"MS."&amp;LEFT(C7,4)&amp;"L"&amp;RIGHT(C7,4)&amp;"."&amp;D7</f>
        <v>MS.MSUAL0030.ActSts</v>
      </c>
    </row>
    <row r="8" spans="1:9" ht="33" customHeight="1">
      <c r="A8" s="80"/>
      <c r="B8" s="118" t="s">
        <v>80</v>
      </c>
      <c r="C8" s="81" t="s">
        <v>76</v>
      </c>
      <c r="D8" s="81" t="s">
        <v>81</v>
      </c>
      <c r="E8" s="87" t="s">
        <v>82</v>
      </c>
      <c r="F8" s="82" t="s">
        <v>83</v>
      </c>
      <c r="G8" s="86"/>
      <c r="H8" s="84" t="str">
        <f t="shared" si="0"/>
        <v>MS.MSUAP0030.CstSloStkGd</v>
      </c>
      <c r="I8" s="85" t="str">
        <f t="shared" si="1"/>
        <v>MS.MSUAL0030.CstSloStkGd</v>
      </c>
    </row>
    <row r="9" spans="1:9" ht="15.75" customHeight="1">
      <c r="A9" s="80"/>
      <c r="B9" s="118" t="s">
        <v>80</v>
      </c>
      <c r="C9" s="81" t="s">
        <v>76</v>
      </c>
      <c r="D9" s="81" t="s">
        <v>84</v>
      </c>
      <c r="E9" s="81" t="s">
        <v>85</v>
      </c>
      <c r="F9" s="82" t="s">
        <v>86</v>
      </c>
      <c r="G9" s="86"/>
      <c r="H9" s="84" t="str">
        <f t="shared" si="0"/>
        <v>MS.MSUAP0030.DmndLoc</v>
      </c>
      <c r="I9" s="85" t="str">
        <f t="shared" si="1"/>
        <v>MS.MSUAL0030.DmndLoc</v>
      </c>
    </row>
    <row r="10" spans="1:9" ht="15.75" customHeight="1">
      <c r="A10" s="80"/>
      <c r="B10" s="118" t="s">
        <v>87</v>
      </c>
      <c r="C10" s="81" t="s">
        <v>76</v>
      </c>
      <c r="D10" s="81" t="s">
        <v>88</v>
      </c>
      <c r="E10" s="81" t="s">
        <v>89</v>
      </c>
      <c r="F10" s="82" t="s">
        <v>90</v>
      </c>
      <c r="G10" s="86"/>
      <c r="H10" s="84" t="str">
        <f t="shared" si="0"/>
        <v>MS.MSUAP0030.QtnRsltRsn</v>
      </c>
      <c r="I10" s="85" t="str">
        <f t="shared" si="1"/>
        <v>MS.MSUAL0030.QtnRsltRsn</v>
      </c>
    </row>
    <row r="11" spans="1:9" ht="15.75" customHeight="1">
      <c r="A11" s="80"/>
      <c r="B11" s="118" t="s">
        <v>87</v>
      </c>
      <c r="C11" s="81" t="s">
        <v>76</v>
      </c>
      <c r="D11" s="81" t="s">
        <v>91</v>
      </c>
      <c r="E11" s="81" t="s">
        <v>92</v>
      </c>
      <c r="F11" s="82" t="s">
        <v>93</v>
      </c>
      <c r="G11" s="86"/>
      <c r="H11" s="84" t="str">
        <f t="shared" si="0"/>
        <v>MS.MSUAP0030.QtnSloRsn</v>
      </c>
      <c r="I11" s="85" t="str">
        <f t="shared" si="1"/>
        <v>MS.MSUAL0030.QtnSloRsn</v>
      </c>
    </row>
    <row r="12" spans="1:9" ht="15.75" customHeight="1">
      <c r="A12" s="80"/>
      <c r="B12" s="118" t="s">
        <v>87</v>
      </c>
      <c r="C12" s="81" t="s">
        <v>76</v>
      </c>
      <c r="D12" s="81" t="s">
        <v>94</v>
      </c>
      <c r="E12" s="81" t="s">
        <v>95</v>
      </c>
      <c r="F12" s="82" t="s">
        <v>96</v>
      </c>
      <c r="G12" s="86"/>
      <c r="H12" s="84" t="str">
        <f t="shared" si="0"/>
        <v>MS.MSUAP0030.QtnTerm</v>
      </c>
      <c r="I12" s="85" t="str">
        <f t="shared" si="1"/>
        <v>MS.MSUAL0030.QtnTerm</v>
      </c>
    </row>
    <row r="13" spans="1:9" ht="15.75" customHeight="1">
      <c r="A13" s="80"/>
      <c r="B13" s="118" t="s">
        <v>97</v>
      </c>
      <c r="C13" s="81" t="s">
        <v>76</v>
      </c>
      <c r="D13" s="81" t="s">
        <v>98</v>
      </c>
      <c r="E13" s="81" t="s">
        <v>99</v>
      </c>
      <c r="F13" s="82" t="s">
        <v>100</v>
      </c>
      <c r="G13" s="86"/>
      <c r="H13" s="84" t="str">
        <f t="shared" si="0"/>
        <v>MS.MSUAP0030.SloAcc</v>
      </c>
      <c r="I13" s="85" t="str">
        <f t="shared" si="1"/>
        <v>MS.MSUAL0030.SloAcc</v>
      </c>
    </row>
    <row r="14" spans="1:9" ht="15.75" customHeight="1">
      <c r="A14" s="80"/>
      <c r="B14" s="118" t="s">
        <v>87</v>
      </c>
      <c r="C14" s="81" t="s">
        <v>76</v>
      </c>
      <c r="D14" s="81" t="s">
        <v>101</v>
      </c>
      <c r="E14" s="81" t="s">
        <v>102</v>
      </c>
      <c r="F14" s="82" t="s">
        <v>103</v>
      </c>
      <c r="G14" s="86"/>
      <c r="H14" s="84" t="str">
        <f t="shared" si="0"/>
        <v>MS.MSUAP0030.SloAllocGrp</v>
      </c>
      <c r="I14" s="85" t="str">
        <f t="shared" si="1"/>
        <v>MS.MSUAL0030.SloAllocGrp</v>
      </c>
    </row>
    <row r="15" spans="1:9" ht="15.75" customHeight="1">
      <c r="A15" s="80"/>
      <c r="B15" s="118" t="s">
        <v>87</v>
      </c>
      <c r="C15" s="81" t="s">
        <v>76</v>
      </c>
      <c r="D15" s="81" t="s">
        <v>104</v>
      </c>
      <c r="E15" s="81" t="s">
        <v>105</v>
      </c>
      <c r="F15" s="82" t="s">
        <v>106</v>
      </c>
      <c r="G15" s="86"/>
      <c r="H15" s="84" t="str">
        <f t="shared" si="0"/>
        <v>MS.MSUAP0030.SloCanRsn</v>
      </c>
      <c r="I15" s="85" t="str">
        <f t="shared" si="1"/>
        <v>MS.MSUAL0030.SloCanRsn</v>
      </c>
    </row>
    <row r="16" spans="1:9" ht="15.75" customHeight="1">
      <c r="A16" s="80"/>
      <c r="B16" s="118" t="s">
        <v>80</v>
      </c>
      <c r="C16" s="81" t="s">
        <v>76</v>
      </c>
      <c r="D16" s="81" t="s">
        <v>107</v>
      </c>
      <c r="E16" s="81" t="s">
        <v>108</v>
      </c>
      <c r="F16" s="82" t="s">
        <v>109</v>
      </c>
      <c r="G16" s="86"/>
      <c r="H16" s="84" t="str">
        <f t="shared" si="0"/>
        <v>MS.MSUAP0030.SloLgGrp</v>
      </c>
      <c r="I16" s="85" t="str">
        <f t="shared" si="1"/>
        <v>MS.MSUAL0030.SloLgGrp</v>
      </c>
    </row>
    <row r="17" spans="1:9" ht="15.75" customHeight="1">
      <c r="A17" s="80"/>
      <c r="B17" s="118" t="s">
        <v>80</v>
      </c>
      <c r="C17" s="81" t="s">
        <v>76</v>
      </c>
      <c r="D17" s="81" t="s">
        <v>110</v>
      </c>
      <c r="E17" s="81" t="s">
        <v>111</v>
      </c>
      <c r="F17" s="82" t="s">
        <v>112</v>
      </c>
      <c r="G17" s="86"/>
      <c r="H17" s="84" t="str">
        <f t="shared" si="0"/>
        <v>MS.MSUAP0030.SloLoc</v>
      </c>
      <c r="I17" s="85" t="str">
        <f t="shared" si="1"/>
        <v>MS.MSUAL0030.SloLoc</v>
      </c>
    </row>
    <row r="18" spans="1:9" ht="15.75" customHeight="1">
      <c r="A18" s="80"/>
      <c r="B18" s="118" t="s">
        <v>113</v>
      </c>
      <c r="C18" s="81" t="s">
        <v>76</v>
      </c>
      <c r="D18" s="81" t="s">
        <v>114</v>
      </c>
      <c r="E18" s="81" t="s">
        <v>115</v>
      </c>
      <c r="F18" s="82" t="s">
        <v>116</v>
      </c>
      <c r="G18" s="88"/>
      <c r="H18" s="84" t="str">
        <f t="shared" si="0"/>
        <v>MS.MSUAP0030.SlsBdgGrp</v>
      </c>
      <c r="I18" s="85" t="str">
        <f t="shared" si="1"/>
        <v>MS.MSUAL0030.SlsBdgGrp</v>
      </c>
    </row>
    <row r="19" spans="1:9" ht="15.75" customHeight="1">
      <c r="A19" s="80"/>
      <c r="B19" s="118" t="s">
        <v>80</v>
      </c>
      <c r="C19" s="81" t="s">
        <v>76</v>
      </c>
      <c r="D19" s="81" t="s">
        <v>117</v>
      </c>
      <c r="E19" s="81" t="s">
        <v>118</v>
      </c>
      <c r="F19" s="82" t="s">
        <v>119</v>
      </c>
      <c r="G19" s="86"/>
      <c r="H19" s="84" t="str">
        <f t="shared" si="0"/>
        <v>MS.MSUAP0030.SplnVers</v>
      </c>
      <c r="I19" s="85" t="str">
        <f t="shared" si="1"/>
        <v>MS.MSUAL0030.SplnVers</v>
      </c>
    </row>
    <row r="20" spans="1:9" ht="15.75" customHeight="1">
      <c r="A20" s="80"/>
      <c r="B20" s="118" t="s">
        <v>87</v>
      </c>
      <c r="C20" s="81" t="s">
        <v>76</v>
      </c>
      <c r="D20" s="81" t="s">
        <v>120</v>
      </c>
      <c r="E20" s="81" t="s">
        <v>121</v>
      </c>
      <c r="F20" s="82" t="s">
        <v>122</v>
      </c>
      <c r="G20" s="86"/>
      <c r="H20" s="84" t="str">
        <f t="shared" si="0"/>
        <v>MS.MSUAP0030.WrkMng</v>
      </c>
      <c r="I20" s="85" t="str">
        <f t="shared" si="1"/>
        <v>MS.MSUAL0030.WrkMng</v>
      </c>
    </row>
    <row r="21" spans="1:9" ht="15.75" customHeight="1">
      <c r="A21" s="80"/>
      <c r="B21" s="118" t="s">
        <v>113</v>
      </c>
      <c r="C21" s="81" t="s">
        <v>123</v>
      </c>
      <c r="D21" s="81" t="s">
        <v>124</v>
      </c>
      <c r="E21" s="81" t="s">
        <v>125</v>
      </c>
      <c r="F21" s="82" t="s">
        <v>126</v>
      </c>
      <c r="G21" s="86"/>
      <c r="H21" s="84" t="str">
        <f t="shared" si="0"/>
        <v>MS.MSUAP0030.WrkSts</v>
      </c>
      <c r="I21" s="85" t="str">
        <f t="shared" si="1"/>
        <v>MS.MSUAL0030.WrkSts</v>
      </c>
    </row>
    <row r="22" spans="1:9" ht="15.75" customHeight="1">
      <c r="A22" s="80"/>
      <c r="B22" s="118" t="s">
        <v>127</v>
      </c>
      <c r="C22" s="81" t="s">
        <v>128</v>
      </c>
      <c r="D22" s="81" t="s">
        <v>129</v>
      </c>
      <c r="E22" s="81" t="s">
        <v>130</v>
      </c>
      <c r="F22" s="82" t="s">
        <v>131</v>
      </c>
      <c r="G22" s="83"/>
      <c r="H22" s="84" t="str">
        <f t="shared" si="0"/>
        <v>MS.MSUAP0040.DivSeq</v>
      </c>
      <c r="I22" s="85" t="str">
        <f t="shared" si="1"/>
        <v>MS.MSUAL0040.DivSeq</v>
      </c>
    </row>
    <row r="23" spans="1:9" ht="15.75" customHeight="1">
      <c r="A23" s="80"/>
      <c r="B23" s="118" t="s">
        <v>127</v>
      </c>
      <c r="C23" s="81" t="s">
        <v>128</v>
      </c>
      <c r="D23" s="81" t="s">
        <v>132</v>
      </c>
      <c r="E23" s="81" t="s">
        <v>133</v>
      </c>
      <c r="F23" s="82" t="s">
        <v>134</v>
      </c>
      <c r="G23" s="83"/>
      <c r="H23" s="84" t="str">
        <f t="shared" si="0"/>
        <v>MS.MSUAP0040.ItmDtlBomPtn</v>
      </c>
      <c r="I23" s="85" t="str">
        <f t="shared" si="1"/>
        <v>MS.MSUAL0040.ItmDtlBomPtn</v>
      </c>
    </row>
    <row r="24" spans="1:9" ht="15.75" customHeight="1">
      <c r="A24" s="80"/>
      <c r="B24" s="118" t="s">
        <v>127</v>
      </c>
      <c r="C24" s="81" t="s">
        <v>128</v>
      </c>
      <c r="D24" s="81" t="s">
        <v>135</v>
      </c>
      <c r="E24" s="81" t="s">
        <v>136</v>
      </c>
      <c r="F24" s="82" t="s">
        <v>137</v>
      </c>
      <c r="G24" s="83"/>
      <c r="H24" s="84" t="str">
        <f t="shared" si="0"/>
        <v>MS.MSUAP0040.ItmDtlMaker</v>
      </c>
      <c r="I24" s="85" t="str">
        <f t="shared" si="1"/>
        <v>MS.MSUAL0040.ItmDtlMaker</v>
      </c>
    </row>
    <row r="25" spans="1:9" ht="15.75" customHeight="1">
      <c r="A25" s="80"/>
      <c r="B25" s="118" t="s">
        <v>127</v>
      </c>
      <c r="C25" s="81" t="s">
        <v>128</v>
      </c>
      <c r="D25" s="81" t="s">
        <v>138</v>
      </c>
      <c r="E25" s="81" t="s">
        <v>139</v>
      </c>
      <c r="F25" s="82" t="s">
        <v>140</v>
      </c>
      <c r="G25" s="83"/>
      <c r="H25" s="84" t="str">
        <f t="shared" si="0"/>
        <v>MS.MSUAP0040.ItmDtlMfgLoc</v>
      </c>
      <c r="I25" s="85" t="str">
        <f t="shared" si="1"/>
        <v>MS.MSUAL0040.ItmDtlMfgLoc</v>
      </c>
    </row>
    <row r="26" spans="1:9" ht="15.75" customHeight="1">
      <c r="A26" s="80"/>
      <c r="B26" s="118" t="s">
        <v>127</v>
      </c>
      <c r="C26" s="81" t="s">
        <v>128</v>
      </c>
      <c r="D26" s="81" t="s">
        <v>141</v>
      </c>
      <c r="E26" s="81" t="s">
        <v>142</v>
      </c>
      <c r="F26" s="82" t="s">
        <v>143</v>
      </c>
      <c r="G26" s="83"/>
      <c r="H26" s="84" t="str">
        <f t="shared" si="0"/>
        <v>MS.MSUAP0040.ItmDtlSppl</v>
      </c>
      <c r="I26" s="85" t="str">
        <f t="shared" si="1"/>
        <v>MS.MSUAL0040.ItmDtlSppl</v>
      </c>
    </row>
    <row r="27" spans="1:9" ht="15.75" customHeight="1">
      <c r="A27" s="80"/>
      <c r="B27" s="118" t="s">
        <v>127</v>
      </c>
      <c r="C27" s="81" t="s">
        <v>466</v>
      </c>
      <c r="D27" s="81" t="s">
        <v>144</v>
      </c>
      <c r="E27" s="81" t="s">
        <v>145</v>
      </c>
      <c r="F27" s="82" t="s">
        <v>146</v>
      </c>
      <c r="G27" s="83"/>
      <c r="H27" s="84" t="str">
        <f t="shared" si="0"/>
        <v>MS.MSUAP0040.MpsItmGrp</v>
      </c>
      <c r="I27" s="85" t="str">
        <f t="shared" si="1"/>
        <v>MS.MSUAL0040.MpsItmGrp</v>
      </c>
    </row>
    <row r="28" spans="1:9" s="114" customFormat="1" ht="15.75" customHeight="1">
      <c r="A28" s="110" t="s">
        <v>471</v>
      </c>
      <c r="B28" s="119" t="s">
        <v>49</v>
      </c>
      <c r="C28" s="111" t="s">
        <v>425</v>
      </c>
      <c r="D28" s="111" t="s">
        <v>467</v>
      </c>
      <c r="E28" s="111" t="s">
        <v>468</v>
      </c>
      <c r="F28" s="112" t="s">
        <v>469</v>
      </c>
      <c r="G28" s="113"/>
      <c r="H28" s="110" t="str">
        <f t="shared" si="0"/>
        <v>MS.MSUAP0050.PurcSpecNo</v>
      </c>
      <c r="I28" s="113" t="str">
        <f t="shared" si="1"/>
        <v>MS.MSUAL0050.PurcSpecNo</v>
      </c>
    </row>
    <row r="29" spans="1:9" ht="33" customHeight="1">
      <c r="A29" s="80"/>
      <c r="B29" s="118" t="s">
        <v>147</v>
      </c>
      <c r="C29" s="81" t="s">
        <v>148</v>
      </c>
      <c r="D29" s="81" t="s">
        <v>149</v>
      </c>
      <c r="E29" s="81" t="s">
        <v>150</v>
      </c>
      <c r="F29" s="82" t="s">
        <v>151</v>
      </c>
      <c r="G29" s="86"/>
      <c r="H29" s="84" t="str">
        <f t="shared" si="0"/>
        <v>MS.MSUAP0060.StkBp</v>
      </c>
      <c r="I29" s="85" t="str">
        <f t="shared" si="1"/>
        <v>MS.MSUAL0060.StkBp</v>
      </c>
    </row>
    <row r="30" spans="1:9" ht="15.75" customHeight="1">
      <c r="A30" s="80"/>
      <c r="B30" s="118" t="s">
        <v>152</v>
      </c>
      <c r="C30" s="81" t="s">
        <v>153</v>
      </c>
      <c r="D30" s="81" t="s">
        <v>154</v>
      </c>
      <c r="E30" s="81" t="s">
        <v>155</v>
      </c>
      <c r="F30" s="82" t="s">
        <v>156</v>
      </c>
      <c r="G30" s="83"/>
      <c r="H30" s="84" t="str">
        <f t="shared" si="0"/>
        <v>MS.MSUAP0070.SublotNo</v>
      </c>
      <c r="I30" s="85" t="str">
        <f t="shared" si="1"/>
        <v>MS.MSUAL0070.SublotNo</v>
      </c>
    </row>
    <row r="31" spans="1:9" ht="80.099999999999994" customHeight="1" thickBot="1">
      <c r="A31" s="89"/>
      <c r="B31" s="120" t="s">
        <v>157</v>
      </c>
      <c r="C31" s="90" t="s">
        <v>158</v>
      </c>
      <c r="D31" s="90" t="s">
        <v>159</v>
      </c>
      <c r="E31" s="90" t="s">
        <v>160</v>
      </c>
      <c r="F31" s="91" t="s">
        <v>161</v>
      </c>
      <c r="G31" s="92"/>
      <c r="H31" s="93" t="str">
        <f t="shared" si="0"/>
        <v>MS.MSUAP0080.SttlRcv</v>
      </c>
      <c r="I31" s="94" t="str">
        <f t="shared" si="1"/>
        <v>MS.MSUAL0080.SttlRcv</v>
      </c>
    </row>
  </sheetData>
  <phoneticPr fontId="1"/>
  <pageMargins left="0.51181102362204722" right="0.74803149606299213" top="0.70866141732283472" bottom="0.43307086614173229" header="0.51181102362204722" footer="0.35433070866141736"/>
  <pageSetup paperSize="9" scale="70" fitToHeight="0" orientation="landscape" r:id="rId1"/>
  <headerFooter alignWithMargins="0">
    <oddFooter>&amp;L&amp;"Meiryo UI,標準"&amp;10リストロジック一覧（ＳＣＭ)&amp;C&amp;"Meiryo UI,標準"&amp;10&amp;P&amp;R&amp;"Meiryo UI,標準"&amp;10(C)Toyo Business Engineering Corp.[Confidential]</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153"/>
  <sheetViews>
    <sheetView showGridLines="0" showZeros="0" zoomScaleNormal="100" zoomScaleSheetLayoutView="80" workbookViewId="0">
      <pane xSplit="3" ySplit="5" topLeftCell="D107" activePane="bottomRight" state="frozen"/>
      <selection activeCell="B9" sqref="B9"/>
      <selection pane="topRight" activeCell="B9" sqref="B9"/>
      <selection pane="bottomLeft" activeCell="B9" sqref="B9"/>
      <selection pane="bottomRight" activeCell="B9" sqref="B9"/>
    </sheetView>
  </sheetViews>
  <sheetFormatPr defaultColWidth="12" defaultRowHeight="14.25"/>
  <cols>
    <col min="1" max="1" width="6.6640625" style="95" customWidth="1"/>
    <col min="2" max="2" width="16.83203125" style="95" customWidth="1"/>
    <col min="3" max="3" width="24.83203125" style="96" customWidth="1"/>
    <col min="4" max="4" width="26.6640625" style="95" customWidth="1"/>
    <col min="5" max="5" width="34.1640625" style="75" customWidth="1"/>
    <col min="6" max="6" width="94.1640625" style="97" customWidth="1"/>
    <col min="7" max="7" width="34.1640625" style="97" customWidth="1"/>
    <col min="8" max="8" width="47.5" style="75" customWidth="1"/>
    <col min="9" max="16384" width="12" style="97"/>
  </cols>
  <sheetData>
    <row r="1" spans="1:8" ht="15.75" customHeight="1"/>
    <row r="2" spans="1:8" ht="15.75" customHeight="1"/>
    <row r="3" spans="1:8" ht="15.75" customHeight="1"/>
    <row r="4" spans="1:8" ht="6.75" customHeight="1" thickBot="1"/>
    <row r="5" spans="1:8" s="95" customFormat="1" ht="15.75" customHeight="1">
      <c r="A5" s="115" t="s">
        <v>470</v>
      </c>
      <c r="B5" s="77" t="s">
        <v>65</v>
      </c>
      <c r="C5" s="77" t="s">
        <v>162</v>
      </c>
      <c r="D5" s="77" t="s">
        <v>67</v>
      </c>
      <c r="E5" s="77" t="s">
        <v>68</v>
      </c>
      <c r="F5" s="77" t="s">
        <v>31</v>
      </c>
      <c r="G5" s="78" t="s">
        <v>22</v>
      </c>
      <c r="H5" s="98" t="s">
        <v>69</v>
      </c>
    </row>
    <row r="6" spans="1:8" s="75" customFormat="1" ht="15.75" customHeight="1">
      <c r="A6" s="116"/>
      <c r="B6" s="82" t="s">
        <v>163</v>
      </c>
      <c r="C6" s="81" t="s">
        <v>164</v>
      </c>
      <c r="D6" s="81" t="s">
        <v>165</v>
      </c>
      <c r="E6" s="81" t="s">
        <v>166</v>
      </c>
      <c r="F6" s="81"/>
      <c r="G6" s="83"/>
      <c r="H6" s="99" t="str">
        <f>"MS."&amp;LEFT(C6,4)&amp;"P"&amp;RIGHT(C6,4)&amp;"."&amp;D6</f>
        <v>MS.MSUAP0010.InXfrTyp</v>
      </c>
    </row>
    <row r="7" spans="1:8" s="75" customFormat="1" ht="15.75" customHeight="1">
      <c r="A7" s="116"/>
      <c r="B7" s="82" t="s">
        <v>163</v>
      </c>
      <c r="C7" s="81" t="s">
        <v>167</v>
      </c>
      <c r="D7" s="81" t="s">
        <v>168</v>
      </c>
      <c r="E7" s="81" t="s">
        <v>169</v>
      </c>
      <c r="F7" s="81"/>
      <c r="G7" s="83"/>
      <c r="H7" s="99" t="str">
        <f t="shared" ref="H7:H135" si="0">"MS."&amp;LEFT(C7,4)&amp;"P"&amp;RIGHT(C7,4)&amp;"."&amp;D7</f>
        <v>MS.MSUAP0010.StkIdTyp</v>
      </c>
    </row>
    <row r="8" spans="1:8" s="75" customFormat="1" ht="15.75" customHeight="1">
      <c r="A8" s="116"/>
      <c r="B8" s="82" t="s">
        <v>163</v>
      </c>
      <c r="C8" s="81" t="s">
        <v>167</v>
      </c>
      <c r="D8" s="81" t="s">
        <v>170</v>
      </c>
      <c r="E8" s="81" t="s">
        <v>171</v>
      </c>
      <c r="F8" s="81"/>
      <c r="G8" s="83"/>
      <c r="H8" s="99" t="str">
        <f t="shared" si="0"/>
        <v>MS.MSUAP0010.ItmOrdLdStsTyp</v>
      </c>
    </row>
    <row r="9" spans="1:8" s="75" customFormat="1" ht="15.75" customHeight="1">
      <c r="A9" s="116"/>
      <c r="B9" s="82" t="s">
        <v>163</v>
      </c>
      <c r="C9" s="81" t="s">
        <v>167</v>
      </c>
      <c r="D9" s="81" t="s">
        <v>172</v>
      </c>
      <c r="E9" s="81" t="s">
        <v>173</v>
      </c>
      <c r="F9" s="81"/>
      <c r="G9" s="83"/>
      <c r="H9" s="99" t="str">
        <f t="shared" si="0"/>
        <v>MS.MSUAP0010.LdDtlTyp</v>
      </c>
    </row>
    <row r="10" spans="1:8" s="75" customFormat="1" ht="15.75" customHeight="1">
      <c r="A10" s="116"/>
      <c r="B10" s="82" t="s">
        <v>163</v>
      </c>
      <c r="C10" s="81" t="s">
        <v>167</v>
      </c>
      <c r="D10" s="81" t="s">
        <v>174</v>
      </c>
      <c r="E10" s="81" t="s">
        <v>175</v>
      </c>
      <c r="F10" s="82"/>
      <c r="G10" s="83"/>
      <c r="H10" s="99" t="str">
        <f t="shared" si="0"/>
        <v>MS.MSUAP0010.LdSubCalcTyp</v>
      </c>
    </row>
    <row r="11" spans="1:8" s="75" customFormat="1" ht="15.75" customHeight="1">
      <c r="A11" s="116"/>
      <c r="B11" s="82" t="s">
        <v>163</v>
      </c>
      <c r="C11" s="81" t="s">
        <v>167</v>
      </c>
      <c r="D11" s="100" t="s">
        <v>176</v>
      </c>
      <c r="E11" s="100" t="s">
        <v>177</v>
      </c>
      <c r="F11" s="101"/>
      <c r="G11" s="102"/>
      <c r="H11" s="99" t="str">
        <f t="shared" si="0"/>
        <v>MS.MSUAP0010.DmndTyp</v>
      </c>
    </row>
    <row r="12" spans="1:8" s="75" customFormat="1" ht="15.75" customHeight="1">
      <c r="A12" s="116"/>
      <c r="B12" s="82" t="s">
        <v>163</v>
      </c>
      <c r="C12" s="81" t="s">
        <v>164</v>
      </c>
      <c r="D12" s="100" t="s">
        <v>178</v>
      </c>
      <c r="E12" s="100" t="s">
        <v>179</v>
      </c>
      <c r="F12" s="101"/>
      <c r="G12" s="102"/>
      <c r="H12" s="99" t="str">
        <f t="shared" si="0"/>
        <v>MS.MSUAP0010.IoTyp</v>
      </c>
    </row>
    <row r="13" spans="1:8" s="75" customFormat="1" ht="15.75" customHeight="1">
      <c r="A13" s="116"/>
      <c r="B13" s="82" t="s">
        <v>163</v>
      </c>
      <c r="C13" s="81" t="s">
        <v>164</v>
      </c>
      <c r="D13" s="100" t="s">
        <v>180</v>
      </c>
      <c r="E13" s="100" t="s">
        <v>181</v>
      </c>
      <c r="F13" s="101"/>
      <c r="G13" s="102"/>
      <c r="H13" s="99" t="str">
        <f t="shared" si="0"/>
        <v>MS.MSUAP0010.TrnTyp</v>
      </c>
    </row>
    <row r="14" spans="1:8" s="75" customFormat="1" ht="15.75" customHeight="1">
      <c r="A14" s="116"/>
      <c r="B14" s="82" t="s">
        <v>163</v>
      </c>
      <c r="C14" s="81" t="s">
        <v>167</v>
      </c>
      <c r="D14" s="100" t="s">
        <v>182</v>
      </c>
      <c r="E14" s="100" t="s">
        <v>183</v>
      </c>
      <c r="F14" s="101"/>
      <c r="G14" s="102"/>
      <c r="H14" s="99" t="str">
        <f t="shared" si="0"/>
        <v>MS.MSUAP0010.IoActTyp</v>
      </c>
    </row>
    <row r="15" spans="1:8" s="75" customFormat="1" ht="15.75" customHeight="1">
      <c r="A15" s="116"/>
      <c r="B15" s="82" t="s">
        <v>163</v>
      </c>
      <c r="C15" s="81" t="s">
        <v>164</v>
      </c>
      <c r="D15" s="100" t="s">
        <v>184</v>
      </c>
      <c r="E15" s="100" t="s">
        <v>185</v>
      </c>
      <c r="F15" s="101"/>
      <c r="G15" s="102"/>
      <c r="H15" s="99" t="str">
        <f t="shared" si="0"/>
        <v>MS.MSUAP0010.FixNoTyp</v>
      </c>
    </row>
    <row r="16" spans="1:8" s="75" customFormat="1" ht="15.75" customHeight="1">
      <c r="A16" s="116"/>
      <c r="B16" s="82" t="s">
        <v>163</v>
      </c>
      <c r="C16" s="81" t="s">
        <v>164</v>
      </c>
      <c r="D16" s="100" t="s">
        <v>186</v>
      </c>
      <c r="E16" s="100" t="s">
        <v>187</v>
      </c>
      <c r="F16" s="101"/>
      <c r="G16" s="102"/>
      <c r="H16" s="99" t="str">
        <f t="shared" si="0"/>
        <v>MS.MSUAP0010.StkInspTyp</v>
      </c>
    </row>
    <row r="17" spans="1:8" s="75" customFormat="1" ht="15.75" customHeight="1">
      <c r="A17" s="116"/>
      <c r="B17" s="82" t="s">
        <v>163</v>
      </c>
      <c r="C17" s="81" t="s">
        <v>164</v>
      </c>
      <c r="D17" s="100" t="s">
        <v>188</v>
      </c>
      <c r="E17" s="100" t="s">
        <v>189</v>
      </c>
      <c r="F17" s="101"/>
      <c r="G17" s="102"/>
      <c r="H17" s="99" t="str">
        <f t="shared" si="0"/>
        <v>MS.MSUAP0010.InToIdTyp</v>
      </c>
    </row>
    <row r="18" spans="1:8" s="75" customFormat="1" ht="15.75" customHeight="1">
      <c r="A18" s="116"/>
      <c r="B18" s="82" t="s">
        <v>163</v>
      </c>
      <c r="C18" s="81" t="s">
        <v>164</v>
      </c>
      <c r="D18" s="100" t="s">
        <v>190</v>
      </c>
      <c r="E18" s="100" t="s">
        <v>191</v>
      </c>
      <c r="F18" s="101"/>
      <c r="G18" s="102"/>
      <c r="H18" s="99" t="str">
        <f t="shared" si="0"/>
        <v>MS.MSUAP0010.DlvIdTyp</v>
      </c>
    </row>
    <row r="19" spans="1:8" s="75" customFormat="1" ht="15.75" customHeight="1">
      <c r="A19" s="116"/>
      <c r="B19" s="82" t="s">
        <v>163</v>
      </c>
      <c r="C19" s="81" t="s">
        <v>167</v>
      </c>
      <c r="D19" s="100" t="s">
        <v>192</v>
      </c>
      <c r="E19" s="100" t="s">
        <v>193</v>
      </c>
      <c r="F19" s="101"/>
      <c r="G19" s="102"/>
      <c r="H19" s="99" t="str">
        <f t="shared" si="0"/>
        <v>MS.MSUAP0010.ShipToIdTyp</v>
      </c>
    </row>
    <row r="20" spans="1:8" s="75" customFormat="1" ht="15.75" customHeight="1">
      <c r="A20" s="116"/>
      <c r="B20" s="82" t="s">
        <v>163</v>
      </c>
      <c r="C20" s="81" t="s">
        <v>164</v>
      </c>
      <c r="D20" s="100" t="s">
        <v>194</v>
      </c>
      <c r="E20" s="100" t="s">
        <v>195</v>
      </c>
      <c r="F20" s="101"/>
      <c r="G20" s="102"/>
      <c r="H20" s="99" t="str">
        <f t="shared" si="0"/>
        <v>MS.MSUAP0010.ShipRqstIdTyp</v>
      </c>
    </row>
    <row r="21" spans="1:8" s="75" customFormat="1" ht="15.75" customHeight="1">
      <c r="A21" s="116"/>
      <c r="B21" s="82" t="s">
        <v>163</v>
      </c>
      <c r="C21" s="81" t="s">
        <v>164</v>
      </c>
      <c r="D21" s="100" t="s">
        <v>196</v>
      </c>
      <c r="E21" s="100" t="s">
        <v>197</v>
      </c>
      <c r="F21" s="101"/>
      <c r="G21" s="102"/>
      <c r="H21" s="99" t="str">
        <f t="shared" si="0"/>
        <v>MS.MSUAP0010.ShipAssortTyp</v>
      </c>
    </row>
    <row r="22" spans="1:8" s="75" customFormat="1" ht="15.75" customHeight="1">
      <c r="A22" s="116"/>
      <c r="B22" s="82" t="s">
        <v>163</v>
      </c>
      <c r="C22" s="81" t="s">
        <v>167</v>
      </c>
      <c r="D22" s="100" t="s">
        <v>198</v>
      </c>
      <c r="E22" s="100" t="s">
        <v>199</v>
      </c>
      <c r="F22" s="101"/>
      <c r="G22" s="102"/>
      <c r="H22" s="99" t="str">
        <f t="shared" si="0"/>
        <v>MS.MSUAP0010.AdvShipCtrlTyp</v>
      </c>
    </row>
    <row r="23" spans="1:8" s="75" customFormat="1" ht="15.75" customHeight="1">
      <c r="A23" s="116"/>
      <c r="B23" s="82" t="s">
        <v>163</v>
      </c>
      <c r="C23" s="81" t="s">
        <v>167</v>
      </c>
      <c r="D23" s="100" t="s">
        <v>200</v>
      </c>
      <c r="E23" s="100" t="s">
        <v>201</v>
      </c>
      <c r="F23" s="101"/>
      <c r="G23" s="102"/>
      <c r="H23" s="99" t="str">
        <f t="shared" si="0"/>
        <v>MS.MSUAP0010.SlsSchdSrcTyp</v>
      </c>
    </row>
    <row r="24" spans="1:8" s="75" customFormat="1" ht="15.75" customHeight="1">
      <c r="A24" s="116"/>
      <c r="B24" s="82" t="s">
        <v>163</v>
      </c>
      <c r="C24" s="81" t="s">
        <v>164</v>
      </c>
      <c r="D24" s="100" t="s">
        <v>202</v>
      </c>
      <c r="E24" s="100" t="s">
        <v>203</v>
      </c>
      <c r="F24" s="101"/>
      <c r="G24" s="102"/>
      <c r="H24" s="99" t="str">
        <f t="shared" si="0"/>
        <v>MS.MSUAP0010.SretSchdStsTyp</v>
      </c>
    </row>
    <row r="25" spans="1:8" s="75" customFormat="1" ht="15.75" customHeight="1">
      <c r="A25" s="116"/>
      <c r="B25" s="82" t="s">
        <v>163</v>
      </c>
      <c r="C25" s="81" t="s">
        <v>167</v>
      </c>
      <c r="D25" s="100" t="s">
        <v>204</v>
      </c>
      <c r="E25" s="100" t="s">
        <v>205</v>
      </c>
      <c r="F25" s="101"/>
      <c r="G25" s="102"/>
      <c r="H25" s="99" t="str">
        <f t="shared" si="0"/>
        <v>MS.MSUAP0010.AccptStsTyp</v>
      </c>
    </row>
    <row r="26" spans="1:8" s="75" customFormat="1" ht="15.75" customHeight="1">
      <c r="A26" s="116"/>
      <c r="B26" s="82" t="s">
        <v>163</v>
      </c>
      <c r="C26" s="81" t="s">
        <v>164</v>
      </c>
      <c r="D26" s="100" t="s">
        <v>206</v>
      </c>
      <c r="E26" s="100" t="s">
        <v>207</v>
      </c>
      <c r="F26" s="101"/>
      <c r="G26" s="102"/>
      <c r="H26" s="99" t="str">
        <f t="shared" si="0"/>
        <v>MS.MSUAP0010.SlsTgtTyp</v>
      </c>
    </row>
    <row r="27" spans="1:8" s="75" customFormat="1" ht="15.75" customHeight="1">
      <c r="A27" s="116"/>
      <c r="B27" s="82" t="s">
        <v>163</v>
      </c>
      <c r="C27" s="81" t="s">
        <v>164</v>
      </c>
      <c r="D27" s="100" t="s">
        <v>208</v>
      </c>
      <c r="E27" s="100" t="s">
        <v>209</v>
      </c>
      <c r="F27" s="101"/>
      <c r="G27" s="102"/>
      <c r="H27" s="99" t="str">
        <f t="shared" si="0"/>
        <v>MS.MSUAP0010.AllocStsTyp</v>
      </c>
    </row>
    <row r="28" spans="1:8" s="75" customFormat="1" ht="15.75" customHeight="1">
      <c r="A28" s="116"/>
      <c r="B28" s="82" t="s">
        <v>163</v>
      </c>
      <c r="C28" s="81" t="s">
        <v>164</v>
      </c>
      <c r="D28" s="100" t="s">
        <v>210</v>
      </c>
      <c r="E28" s="100" t="s">
        <v>211</v>
      </c>
      <c r="F28" s="101"/>
      <c r="G28" s="102"/>
      <c r="H28" s="99" t="str">
        <f t="shared" si="0"/>
        <v>MS.MSUAP0010.PrStsTyp</v>
      </c>
    </row>
    <row r="29" spans="1:8" s="75" customFormat="1" ht="15.75" customHeight="1">
      <c r="A29" s="116"/>
      <c r="B29" s="82" t="s">
        <v>163</v>
      </c>
      <c r="C29" s="81" t="s">
        <v>167</v>
      </c>
      <c r="D29" s="100" t="s">
        <v>212</v>
      </c>
      <c r="E29" s="100" t="s">
        <v>213</v>
      </c>
      <c r="F29" s="101"/>
      <c r="G29" s="102"/>
      <c r="H29" s="99" t="str">
        <f t="shared" si="0"/>
        <v>MS.MSUAP0010.SlsStsTyp</v>
      </c>
    </row>
    <row r="30" spans="1:8" s="75" customFormat="1" ht="15.75" customHeight="1">
      <c r="A30" s="116"/>
      <c r="B30" s="82" t="s">
        <v>163</v>
      </c>
      <c r="C30" s="81" t="s">
        <v>164</v>
      </c>
      <c r="D30" s="100" t="s">
        <v>214</v>
      </c>
      <c r="E30" s="100" t="s">
        <v>215</v>
      </c>
      <c r="F30" s="101"/>
      <c r="G30" s="102"/>
      <c r="H30" s="99" t="str">
        <f t="shared" si="0"/>
        <v>MS.MSUAP0010.SlsSrchTgtTyp</v>
      </c>
    </row>
    <row r="31" spans="1:8" s="75" customFormat="1" ht="15.75" customHeight="1">
      <c r="A31" s="116"/>
      <c r="B31" s="82" t="s">
        <v>163</v>
      </c>
      <c r="C31" s="81" t="s">
        <v>167</v>
      </c>
      <c r="D31" s="100" t="s">
        <v>216</v>
      </c>
      <c r="E31" s="100" t="s">
        <v>217</v>
      </c>
      <c r="F31" s="101"/>
      <c r="G31" s="102"/>
      <c r="H31" s="99" t="str">
        <f t="shared" si="0"/>
        <v>MS.MSUAP0010.PurcSrchTgtTyp</v>
      </c>
    </row>
    <row r="32" spans="1:8" s="75" customFormat="1" ht="15.75" customHeight="1">
      <c r="A32" s="116"/>
      <c r="B32" s="82" t="s">
        <v>163</v>
      </c>
      <c r="C32" s="81" t="s">
        <v>164</v>
      </c>
      <c r="D32" s="100" t="s">
        <v>218</v>
      </c>
      <c r="E32" s="100" t="s">
        <v>219</v>
      </c>
      <c r="F32" s="101"/>
      <c r="G32" s="102"/>
      <c r="H32" s="99" t="str">
        <f t="shared" si="0"/>
        <v>MS.MSUAP0010.ProdSrchTgtTyp</v>
      </c>
    </row>
    <row r="33" spans="1:8" s="75" customFormat="1" ht="15.75" customHeight="1">
      <c r="A33" s="116"/>
      <c r="B33" s="82" t="s">
        <v>163</v>
      </c>
      <c r="C33" s="81" t="s">
        <v>167</v>
      </c>
      <c r="D33" s="100" t="s">
        <v>220</v>
      </c>
      <c r="E33" s="100" t="s">
        <v>221</v>
      </c>
      <c r="F33" s="101"/>
      <c r="G33" s="102"/>
      <c r="H33" s="99" t="str">
        <f t="shared" si="0"/>
        <v>MS.MSUAP0010.StkSrchTgtTyp</v>
      </c>
    </row>
    <row r="34" spans="1:8" s="75" customFormat="1" ht="15.75" customHeight="1">
      <c r="A34" s="116"/>
      <c r="B34" s="82" t="s">
        <v>163</v>
      </c>
      <c r="C34" s="81" t="s">
        <v>167</v>
      </c>
      <c r="D34" s="100" t="s">
        <v>222</v>
      </c>
      <c r="E34" s="100" t="s">
        <v>223</v>
      </c>
      <c r="F34" s="101"/>
      <c r="G34" s="102"/>
      <c r="H34" s="99" t="str">
        <f t="shared" si="0"/>
        <v>MS.MSUAP0010.PoSchdSrcTyp</v>
      </c>
    </row>
    <row r="35" spans="1:8" s="75" customFormat="1" ht="15.75" customHeight="1">
      <c r="A35" s="116"/>
      <c r="B35" s="82" t="s">
        <v>163</v>
      </c>
      <c r="C35" s="81" t="s">
        <v>167</v>
      </c>
      <c r="D35" s="100" t="s">
        <v>224</v>
      </c>
      <c r="E35" s="100" t="s">
        <v>225</v>
      </c>
      <c r="F35" s="101"/>
      <c r="G35" s="102"/>
      <c r="H35" s="99" t="str">
        <f t="shared" si="0"/>
        <v>MS.MSUAP0010.PurcSrcTyp</v>
      </c>
    </row>
    <row r="36" spans="1:8" s="75" customFormat="1" ht="15.75" customHeight="1">
      <c r="A36" s="116"/>
      <c r="B36" s="82" t="s">
        <v>163</v>
      </c>
      <c r="C36" s="81" t="s">
        <v>226</v>
      </c>
      <c r="D36" s="100" t="s">
        <v>227</v>
      </c>
      <c r="E36" s="100" t="s">
        <v>228</v>
      </c>
      <c r="F36" s="101"/>
      <c r="G36" s="102"/>
      <c r="H36" s="99" t="str">
        <f t="shared" si="0"/>
        <v>MS.MSUAP0010.PoSchdChgTyp</v>
      </c>
    </row>
    <row r="37" spans="1:8" s="75" customFormat="1" ht="15.75" customHeight="1">
      <c r="A37" s="116"/>
      <c r="B37" s="82" t="s">
        <v>163</v>
      </c>
      <c r="C37" s="81" t="s">
        <v>226</v>
      </c>
      <c r="D37" s="100" t="s">
        <v>229</v>
      </c>
      <c r="E37" s="100" t="s">
        <v>230</v>
      </c>
      <c r="F37" s="101"/>
      <c r="G37" s="102"/>
      <c r="H37" s="99" t="str">
        <f t="shared" si="0"/>
        <v>MS.MSUAP0010.UpriModTyp</v>
      </c>
    </row>
    <row r="38" spans="1:8" s="75" customFormat="1" ht="15.75" customHeight="1">
      <c r="A38" s="116"/>
      <c r="B38" s="82" t="s">
        <v>163</v>
      </c>
      <c r="C38" s="81" t="s">
        <v>167</v>
      </c>
      <c r="D38" s="100" t="s">
        <v>231</v>
      </c>
      <c r="E38" s="100" t="s">
        <v>232</v>
      </c>
      <c r="F38" s="101"/>
      <c r="G38" s="102"/>
      <c r="H38" s="99" t="str">
        <f t="shared" si="0"/>
        <v>MS.MSUAP0010.PoSchdStsTyp</v>
      </c>
    </row>
    <row r="39" spans="1:8" s="75" customFormat="1" ht="15.75" customHeight="1">
      <c r="A39" s="116"/>
      <c r="B39" s="82" t="s">
        <v>163</v>
      </c>
      <c r="C39" s="81" t="s">
        <v>167</v>
      </c>
      <c r="D39" s="100" t="s">
        <v>233</v>
      </c>
      <c r="E39" s="100" t="s">
        <v>234</v>
      </c>
      <c r="F39" s="101"/>
      <c r="G39" s="102"/>
      <c r="H39" s="99" t="str">
        <f t="shared" si="0"/>
        <v>MS.MSUAP0010.PurcStsTyp</v>
      </c>
    </row>
    <row r="40" spans="1:8" s="75" customFormat="1" ht="15.75" customHeight="1">
      <c r="A40" s="116"/>
      <c r="B40" s="82" t="s">
        <v>163</v>
      </c>
      <c r="C40" s="81" t="s">
        <v>226</v>
      </c>
      <c r="D40" s="100" t="s">
        <v>235</v>
      </c>
      <c r="E40" s="100" t="s">
        <v>236</v>
      </c>
      <c r="F40" s="101"/>
      <c r="G40" s="102"/>
      <c r="H40" s="99" t="str">
        <f t="shared" si="0"/>
        <v>MS.MSUAP0010.DrctDlvTyp</v>
      </c>
    </row>
    <row r="41" spans="1:8" s="75" customFormat="1" ht="15.75" customHeight="1">
      <c r="A41" s="116"/>
      <c r="B41" s="82" t="s">
        <v>163</v>
      </c>
      <c r="C41" s="81" t="s">
        <v>226</v>
      </c>
      <c r="D41" s="100" t="s">
        <v>237</v>
      </c>
      <c r="E41" s="100" t="s">
        <v>238</v>
      </c>
      <c r="F41" s="101"/>
      <c r="G41" s="102"/>
      <c r="H41" s="99" t="str">
        <f t="shared" si="0"/>
        <v>MS.MSUAP0010.PurcUnfixStr</v>
      </c>
    </row>
    <row r="42" spans="1:8" s="75" customFormat="1" ht="15.75" customHeight="1">
      <c r="A42" s="116"/>
      <c r="B42" s="82" t="s">
        <v>163</v>
      </c>
      <c r="C42" s="81" t="s">
        <v>167</v>
      </c>
      <c r="D42" s="100" t="s">
        <v>239</v>
      </c>
      <c r="E42" s="100" t="s">
        <v>240</v>
      </c>
      <c r="F42" s="101"/>
      <c r="G42" s="102"/>
      <c r="H42" s="99" t="str">
        <f t="shared" si="0"/>
        <v>MS.MSUAP0010.OpRplMtdTyp</v>
      </c>
    </row>
    <row r="43" spans="1:8" s="75" customFormat="1" ht="15.75" customHeight="1">
      <c r="A43" s="116"/>
      <c r="B43" s="82" t="s">
        <v>163</v>
      </c>
      <c r="C43" s="81" t="s">
        <v>241</v>
      </c>
      <c r="D43" s="100" t="s">
        <v>242</v>
      </c>
      <c r="E43" s="100" t="s">
        <v>243</v>
      </c>
      <c r="F43" s="101"/>
      <c r="G43" s="102"/>
      <c r="H43" s="99" t="str">
        <f t="shared" si="0"/>
        <v>MS.MSUAP0010.WrkMngTyp</v>
      </c>
    </row>
    <row r="44" spans="1:8" s="75" customFormat="1" ht="15.75" customHeight="1">
      <c r="A44" s="116"/>
      <c r="B44" s="82" t="s">
        <v>163</v>
      </c>
      <c r="C44" s="81" t="s">
        <v>167</v>
      </c>
      <c r="D44" s="100" t="s">
        <v>244</v>
      </c>
      <c r="E44" s="100" t="s">
        <v>245</v>
      </c>
      <c r="F44" s="101"/>
      <c r="G44" s="102"/>
      <c r="H44" s="99" t="str">
        <f t="shared" si="0"/>
        <v>MS.MSUAP0010.QtnTyp</v>
      </c>
    </row>
    <row r="45" spans="1:8" s="75" customFormat="1" ht="15.75" customHeight="1">
      <c r="A45" s="116"/>
      <c r="B45" s="82" t="s">
        <v>163</v>
      </c>
      <c r="C45" s="81" t="s">
        <v>164</v>
      </c>
      <c r="D45" s="81" t="s">
        <v>246</v>
      </c>
      <c r="E45" s="81" t="s">
        <v>247</v>
      </c>
      <c r="F45" s="82" t="s">
        <v>248</v>
      </c>
      <c r="G45" s="83"/>
      <c r="H45" s="99" t="str">
        <f t="shared" si="0"/>
        <v>MS.MSUAP0010.IoSchdTyp</v>
      </c>
    </row>
    <row r="46" spans="1:8" s="75" customFormat="1" ht="15.75" customHeight="1">
      <c r="A46" s="116"/>
      <c r="B46" s="82" t="s">
        <v>163</v>
      </c>
      <c r="C46" s="81" t="s">
        <v>167</v>
      </c>
      <c r="D46" s="81" t="s">
        <v>249</v>
      </c>
      <c r="E46" s="81" t="s">
        <v>250</v>
      </c>
      <c r="F46" s="82"/>
      <c r="G46" s="83"/>
      <c r="H46" s="99" t="str">
        <f t="shared" si="0"/>
        <v>MS.MSUAP0010.IoSchdStsTyp</v>
      </c>
    </row>
    <row r="47" spans="1:8" s="75" customFormat="1" ht="15.75" customHeight="1">
      <c r="A47" s="116"/>
      <c r="B47" s="82" t="s">
        <v>163</v>
      </c>
      <c r="C47" s="81" t="s">
        <v>164</v>
      </c>
      <c r="D47" s="100" t="s">
        <v>251</v>
      </c>
      <c r="E47" s="100" t="s">
        <v>252</v>
      </c>
      <c r="F47" s="101"/>
      <c r="G47" s="102"/>
      <c r="H47" s="99" t="str">
        <f t="shared" si="0"/>
        <v>MS.MSUAP0010.IoSchdSubTyp</v>
      </c>
    </row>
    <row r="48" spans="1:8" s="75" customFormat="1" ht="15.75" customHeight="1">
      <c r="A48" s="116"/>
      <c r="B48" s="82" t="s">
        <v>163</v>
      </c>
      <c r="C48" s="81" t="s">
        <v>164</v>
      </c>
      <c r="D48" s="100" t="s">
        <v>253</v>
      </c>
      <c r="E48" s="100" t="s">
        <v>254</v>
      </c>
      <c r="F48" s="101"/>
      <c r="G48" s="102"/>
      <c r="H48" s="99" t="str">
        <f t="shared" si="0"/>
        <v>MS.MSUAP0010.ShortOpeTyp</v>
      </c>
    </row>
    <row r="49" spans="1:8" s="75" customFormat="1" ht="15.75" customHeight="1">
      <c r="A49" s="116"/>
      <c r="B49" s="82" t="s">
        <v>163</v>
      </c>
      <c r="C49" s="81" t="s">
        <v>167</v>
      </c>
      <c r="D49" s="100" t="s">
        <v>255</v>
      </c>
      <c r="E49" s="100" t="s">
        <v>256</v>
      </c>
      <c r="F49" s="101"/>
      <c r="G49" s="102"/>
      <c r="H49" s="99" t="str">
        <f t="shared" si="0"/>
        <v>MS.MSUAP0010.SchdStkTyp</v>
      </c>
    </row>
    <row r="50" spans="1:8" s="75" customFormat="1" ht="15.75" customHeight="1">
      <c r="A50" s="116"/>
      <c r="B50" s="82" t="s">
        <v>163</v>
      </c>
      <c r="C50" s="81" t="s">
        <v>164</v>
      </c>
      <c r="D50" s="100" t="s">
        <v>257</v>
      </c>
      <c r="E50" s="100" t="s">
        <v>258</v>
      </c>
      <c r="F50" s="101"/>
      <c r="G50" s="102"/>
      <c r="H50" s="99" t="str">
        <f t="shared" si="0"/>
        <v>MS.MSUAP0010.OrdGnrtTyp</v>
      </c>
    </row>
    <row r="51" spans="1:8" s="75" customFormat="1" ht="15.75" customHeight="1">
      <c r="A51" s="116"/>
      <c r="B51" s="82" t="s">
        <v>163</v>
      </c>
      <c r="C51" s="81" t="s">
        <v>167</v>
      </c>
      <c r="D51" s="100" t="s">
        <v>259</v>
      </c>
      <c r="E51" s="100" t="s">
        <v>260</v>
      </c>
      <c r="F51" s="101"/>
      <c r="G51" s="102"/>
      <c r="H51" s="99" t="str">
        <f t="shared" si="0"/>
        <v>MS.MSUAP0010.RqmtGnrtTyp</v>
      </c>
    </row>
    <row r="52" spans="1:8" s="75" customFormat="1" ht="15.75" customHeight="1">
      <c r="A52" s="116"/>
      <c r="B52" s="82" t="s">
        <v>163</v>
      </c>
      <c r="C52" s="81" t="s">
        <v>167</v>
      </c>
      <c r="D52" s="100" t="s">
        <v>261</v>
      </c>
      <c r="E52" s="100" t="s">
        <v>262</v>
      </c>
      <c r="F52" s="101"/>
      <c r="G52" s="102"/>
      <c r="H52" s="99" t="str">
        <f t="shared" si="0"/>
        <v>MS.MSUAP0010.ItmOrdTyp</v>
      </c>
    </row>
    <row r="53" spans="1:8" s="75" customFormat="1" ht="15.75" customHeight="1">
      <c r="A53" s="116"/>
      <c r="B53" s="82" t="s">
        <v>163</v>
      </c>
      <c r="C53" s="81" t="s">
        <v>164</v>
      </c>
      <c r="D53" s="100" t="s">
        <v>263</v>
      </c>
      <c r="E53" s="100" t="s">
        <v>264</v>
      </c>
      <c r="F53" s="101"/>
      <c r="G53" s="102"/>
      <c r="H53" s="99" t="str">
        <f t="shared" si="0"/>
        <v>MS.MSUAP0010.ItmOrdStsTyp</v>
      </c>
    </row>
    <row r="54" spans="1:8" s="75" customFormat="1" ht="15.75" customHeight="1">
      <c r="A54" s="116"/>
      <c r="B54" s="82" t="s">
        <v>163</v>
      </c>
      <c r="C54" s="81" t="s">
        <v>164</v>
      </c>
      <c r="D54" s="100" t="s">
        <v>265</v>
      </c>
      <c r="E54" s="100" t="s">
        <v>266</v>
      </c>
      <c r="F54" s="101"/>
      <c r="G54" s="102"/>
      <c r="H54" s="99" t="str">
        <f t="shared" si="0"/>
        <v>MS.MSUAP0010.MrpRqmtTyp</v>
      </c>
    </row>
    <row r="55" spans="1:8" s="75" customFormat="1" ht="15.75" customHeight="1">
      <c r="A55" s="116"/>
      <c r="B55" s="82" t="s">
        <v>163</v>
      </c>
      <c r="C55" s="81" t="s">
        <v>167</v>
      </c>
      <c r="D55" s="100" t="s">
        <v>267</v>
      </c>
      <c r="E55" s="100" t="s">
        <v>268</v>
      </c>
      <c r="F55" s="101"/>
      <c r="G55" s="102"/>
      <c r="H55" s="99" t="str">
        <f t="shared" si="0"/>
        <v>MS.MSUAP0010.OperOrdStsTyp</v>
      </c>
    </row>
    <row r="56" spans="1:8" s="75" customFormat="1" ht="15.75" customHeight="1">
      <c r="A56" s="116"/>
      <c r="B56" s="82" t="s">
        <v>163</v>
      </c>
      <c r="C56" s="81" t="s">
        <v>167</v>
      </c>
      <c r="D56" s="100" t="s">
        <v>269</v>
      </c>
      <c r="E56" s="100" t="s">
        <v>270</v>
      </c>
      <c r="F56" s="101"/>
      <c r="G56" s="102"/>
      <c r="H56" s="99" t="str">
        <f t="shared" si="0"/>
        <v>MS.MSUAP0010.MrpCntrTyp</v>
      </c>
    </row>
    <row r="57" spans="1:8" s="75" customFormat="1" ht="15.75" customHeight="1">
      <c r="A57" s="116"/>
      <c r="B57" s="82" t="s">
        <v>163</v>
      </c>
      <c r="C57" s="81" t="s">
        <v>164</v>
      </c>
      <c r="D57" s="100" t="s">
        <v>271</v>
      </c>
      <c r="E57" s="100" t="s">
        <v>272</v>
      </c>
      <c r="F57" s="101"/>
      <c r="G57" s="102"/>
      <c r="H57" s="99" t="str">
        <f t="shared" si="0"/>
        <v>MS.MSUAP0010.SimMrpTyp</v>
      </c>
    </row>
    <row r="58" spans="1:8" s="75" customFormat="1" ht="15.75" customHeight="1">
      <c r="A58" s="116"/>
      <c r="B58" s="82" t="s">
        <v>163</v>
      </c>
      <c r="C58" s="81" t="s">
        <v>164</v>
      </c>
      <c r="D58" s="100" t="s">
        <v>273</v>
      </c>
      <c r="E58" s="100" t="s">
        <v>274</v>
      </c>
      <c r="F58" s="101"/>
      <c r="G58" s="102"/>
      <c r="H58" s="99" t="str">
        <f t="shared" si="0"/>
        <v>MS.MSUAP0010.MrpTyp</v>
      </c>
    </row>
    <row r="59" spans="1:8" s="75" customFormat="1" ht="15.75" customHeight="1">
      <c r="A59" s="116"/>
      <c r="B59" s="82" t="s">
        <v>163</v>
      </c>
      <c r="C59" s="81" t="s">
        <v>167</v>
      </c>
      <c r="D59" s="100" t="s">
        <v>275</v>
      </c>
      <c r="E59" s="100" t="s">
        <v>276</v>
      </c>
      <c r="F59" s="101"/>
      <c r="G59" s="102"/>
      <c r="H59" s="99" t="str">
        <f t="shared" si="0"/>
        <v>MS.MSUAP0010.MrpDataTyp</v>
      </c>
    </row>
    <row r="60" spans="1:8" s="75" customFormat="1" ht="15.75" customHeight="1">
      <c r="A60" s="116"/>
      <c r="B60" s="82" t="s">
        <v>163</v>
      </c>
      <c r="C60" s="81" t="s">
        <v>167</v>
      </c>
      <c r="D60" s="100" t="s">
        <v>277</v>
      </c>
      <c r="E60" s="100" t="s">
        <v>278</v>
      </c>
      <c r="F60" s="101"/>
      <c r="G60" s="102"/>
      <c r="H60" s="99" t="str">
        <f t="shared" si="0"/>
        <v>MS.MSUAP0010.MfgSoAprvTyp</v>
      </c>
    </row>
    <row r="61" spans="1:8" s="75" customFormat="1" ht="15.75" customHeight="1">
      <c r="A61" s="116"/>
      <c r="B61" s="82" t="s">
        <v>163</v>
      </c>
      <c r="C61" s="81" t="s">
        <v>164</v>
      </c>
      <c r="D61" s="100" t="s">
        <v>279</v>
      </c>
      <c r="E61" s="100" t="s">
        <v>280</v>
      </c>
      <c r="F61" s="101"/>
      <c r="G61" s="102"/>
      <c r="H61" s="99" t="str">
        <f t="shared" si="0"/>
        <v>MS.MSUAP0010.QualityMngTyp</v>
      </c>
    </row>
    <row r="62" spans="1:8" s="75" customFormat="1" ht="15.75" customHeight="1">
      <c r="A62" s="116"/>
      <c r="B62" s="82" t="s">
        <v>163</v>
      </c>
      <c r="C62" s="81" t="s">
        <v>241</v>
      </c>
      <c r="D62" s="100" t="s">
        <v>281</v>
      </c>
      <c r="E62" s="100" t="s">
        <v>282</v>
      </c>
      <c r="F62" s="101"/>
      <c r="G62" s="102"/>
      <c r="H62" s="99" t="str">
        <f t="shared" si="0"/>
        <v>MS.MSUAP0010.MfgMngTyp</v>
      </c>
    </row>
    <row r="63" spans="1:8" s="75" customFormat="1" ht="15.75" customHeight="1">
      <c r="A63" s="116"/>
      <c r="B63" s="82" t="s">
        <v>163</v>
      </c>
      <c r="C63" s="81" t="s">
        <v>164</v>
      </c>
      <c r="D63" s="100" t="s">
        <v>283</v>
      </c>
      <c r="E63" s="100" t="s">
        <v>284</v>
      </c>
      <c r="F63" s="101"/>
      <c r="G63" s="102"/>
      <c r="H63" s="99" t="str">
        <f t="shared" si="0"/>
        <v>MS.MSUAP0010.DeviantTyp</v>
      </c>
    </row>
    <row r="64" spans="1:8" s="75" customFormat="1" ht="15.75" customHeight="1">
      <c r="A64" s="116"/>
      <c r="B64" s="82" t="s">
        <v>163</v>
      </c>
      <c r="C64" s="81" t="s">
        <v>167</v>
      </c>
      <c r="D64" s="100" t="s">
        <v>285</v>
      </c>
      <c r="E64" s="100" t="s">
        <v>286</v>
      </c>
      <c r="F64" s="101"/>
      <c r="G64" s="102"/>
      <c r="H64" s="99" t="str">
        <f t="shared" si="0"/>
        <v>MS.MSUAP0010.DeviantMsrTyp</v>
      </c>
    </row>
    <row r="65" spans="1:8" s="75" customFormat="1" ht="15.75" customHeight="1">
      <c r="A65" s="116"/>
      <c r="B65" s="82" t="s">
        <v>163</v>
      </c>
      <c r="C65" s="81" t="s">
        <v>167</v>
      </c>
      <c r="D65" s="100" t="s">
        <v>287</v>
      </c>
      <c r="E65" s="100" t="s">
        <v>288</v>
      </c>
      <c r="F65" s="101"/>
      <c r="G65" s="102"/>
      <c r="H65" s="99" t="str">
        <f t="shared" si="0"/>
        <v>MS.MSUAP0010.ProdItmInfoTyp</v>
      </c>
    </row>
    <row r="66" spans="1:8" s="75" customFormat="1" ht="15.75" customHeight="1">
      <c r="A66" s="116"/>
      <c r="B66" s="82" t="s">
        <v>163</v>
      </c>
      <c r="C66" s="81" t="s">
        <v>167</v>
      </c>
      <c r="D66" s="100" t="s">
        <v>289</v>
      </c>
      <c r="E66" s="100" t="s">
        <v>290</v>
      </c>
      <c r="F66" s="101"/>
      <c r="G66" s="102"/>
      <c r="H66" s="99" t="str">
        <f t="shared" si="0"/>
        <v>MS.MSUAP0010.ChdItmInfoTyp</v>
      </c>
    </row>
    <row r="67" spans="1:8" s="75" customFormat="1" ht="15.75" customHeight="1">
      <c r="A67" s="116"/>
      <c r="B67" s="82" t="s">
        <v>163</v>
      </c>
      <c r="C67" s="81" t="s">
        <v>167</v>
      </c>
      <c r="D67" s="100" t="s">
        <v>291</v>
      </c>
      <c r="E67" s="100" t="s">
        <v>292</v>
      </c>
      <c r="F67" s="101"/>
      <c r="G67" s="102"/>
      <c r="H67" s="99" t="str">
        <f t="shared" si="0"/>
        <v>MS.MSUAP0010.NumSysTyp</v>
      </c>
    </row>
    <row r="68" spans="1:8" s="75" customFormat="1" ht="15.75" customHeight="1">
      <c r="A68" s="116"/>
      <c r="B68" s="82" t="s">
        <v>163</v>
      </c>
      <c r="C68" s="81" t="s">
        <v>167</v>
      </c>
      <c r="D68" s="100" t="s">
        <v>293</v>
      </c>
      <c r="E68" s="100" t="s">
        <v>294</v>
      </c>
      <c r="F68" s="101"/>
      <c r="G68" s="102"/>
      <c r="H68" s="99" t="str">
        <f t="shared" si="0"/>
        <v>MS.MSUAP0010.SloStsTyp</v>
      </c>
    </row>
    <row r="69" spans="1:8" s="75" customFormat="1" ht="15.75" customHeight="1">
      <c r="A69" s="116"/>
      <c r="B69" s="82" t="s">
        <v>163</v>
      </c>
      <c r="C69" s="81" t="s">
        <v>167</v>
      </c>
      <c r="D69" s="100" t="s">
        <v>295</v>
      </c>
      <c r="E69" s="100" t="s">
        <v>296</v>
      </c>
      <c r="F69" s="101"/>
      <c r="G69" s="102"/>
      <c r="H69" s="99" t="str">
        <f t="shared" si="0"/>
        <v>MS.MSUAP0010.QtnStsTyp</v>
      </c>
    </row>
    <row r="70" spans="1:8" s="75" customFormat="1" ht="15.75" customHeight="1">
      <c r="A70" s="116"/>
      <c r="B70" s="82" t="s">
        <v>163</v>
      </c>
      <c r="C70" s="81" t="s">
        <v>167</v>
      </c>
      <c r="D70" s="100" t="s">
        <v>297</v>
      </c>
      <c r="E70" s="100" t="s">
        <v>298</v>
      </c>
      <c r="F70" s="101"/>
      <c r="G70" s="102"/>
      <c r="H70" s="99" t="str">
        <f t="shared" si="0"/>
        <v>MS.MSUAP0010.ArOpeTyp</v>
      </c>
    </row>
    <row r="71" spans="1:8" s="75" customFormat="1" ht="15.75" customHeight="1">
      <c r="A71" s="116"/>
      <c r="B71" s="82" t="s">
        <v>163</v>
      </c>
      <c r="C71" s="81" t="s">
        <v>167</v>
      </c>
      <c r="D71" s="100" t="s">
        <v>299</v>
      </c>
      <c r="E71" s="100" t="s">
        <v>300</v>
      </c>
      <c r="F71" s="101"/>
      <c r="G71" s="102"/>
      <c r="H71" s="99" t="str">
        <f t="shared" si="0"/>
        <v>MS.MSUAP0010.BillClStsTyp</v>
      </c>
    </row>
    <row r="72" spans="1:8" s="75" customFormat="1" ht="15.75" customHeight="1">
      <c r="A72" s="116"/>
      <c r="B72" s="82" t="s">
        <v>163</v>
      </c>
      <c r="C72" s="81" t="s">
        <v>167</v>
      </c>
      <c r="D72" s="100" t="s">
        <v>301</v>
      </c>
      <c r="E72" s="100" t="s">
        <v>302</v>
      </c>
      <c r="F72" s="101"/>
      <c r="G72" s="102"/>
      <c r="H72" s="99" t="str">
        <f t="shared" si="0"/>
        <v>MS.MSUAP0010.BillTaxCalcTyp</v>
      </c>
    </row>
    <row r="73" spans="1:8" s="75" customFormat="1" ht="15.75" customHeight="1">
      <c r="A73" s="116"/>
      <c r="B73" s="82" t="s">
        <v>163</v>
      </c>
      <c r="C73" s="81" t="s">
        <v>167</v>
      </c>
      <c r="D73" s="100" t="s">
        <v>303</v>
      </c>
      <c r="E73" s="100" t="s">
        <v>304</v>
      </c>
      <c r="F73" s="101"/>
      <c r="G73" s="102"/>
      <c r="H73" s="99" t="str">
        <f t="shared" si="0"/>
        <v>MS.MSUAP0010.BillDTyp</v>
      </c>
    </row>
    <row r="74" spans="1:8" s="75" customFormat="1" ht="15.75" customHeight="1">
      <c r="A74" s="116"/>
      <c r="B74" s="82" t="s">
        <v>163</v>
      </c>
      <c r="C74" s="81" t="s">
        <v>167</v>
      </c>
      <c r="D74" s="100" t="s">
        <v>305</v>
      </c>
      <c r="E74" s="100" t="s">
        <v>306</v>
      </c>
      <c r="F74" s="101"/>
      <c r="G74" s="102"/>
      <c r="H74" s="99" t="str">
        <f t="shared" si="0"/>
        <v>MS.MSUAP0010.RcvDatTyp</v>
      </c>
    </row>
    <row r="75" spans="1:8" s="75" customFormat="1" ht="15.75" customHeight="1">
      <c r="A75" s="116"/>
      <c r="B75" s="82" t="s">
        <v>163</v>
      </c>
      <c r="C75" s="81" t="s">
        <v>167</v>
      </c>
      <c r="D75" s="100" t="s">
        <v>307</v>
      </c>
      <c r="E75" s="100" t="s">
        <v>308</v>
      </c>
      <c r="F75" s="101"/>
      <c r="G75" s="102"/>
      <c r="H75" s="99" t="str">
        <f t="shared" si="0"/>
        <v>MS.MSUAP0010.SloTyp</v>
      </c>
    </row>
    <row r="76" spans="1:8" s="75" customFormat="1" ht="15.75" customHeight="1">
      <c r="A76" s="116"/>
      <c r="B76" s="82" t="s">
        <v>163</v>
      </c>
      <c r="C76" s="81" t="s">
        <v>167</v>
      </c>
      <c r="D76" s="100" t="s">
        <v>309</v>
      </c>
      <c r="E76" s="100" t="s">
        <v>310</v>
      </c>
      <c r="F76" s="101"/>
      <c r="G76" s="102"/>
      <c r="H76" s="99" t="str">
        <f t="shared" si="0"/>
        <v>MS.MSUAP0010.WrkOpeTyp</v>
      </c>
    </row>
    <row r="77" spans="1:8" s="75" customFormat="1" ht="15.75" customHeight="1">
      <c r="A77" s="116"/>
      <c r="B77" s="82" t="s">
        <v>163</v>
      </c>
      <c r="C77" s="81" t="s">
        <v>167</v>
      </c>
      <c r="D77" s="100" t="s">
        <v>311</v>
      </c>
      <c r="E77" s="100" t="s">
        <v>312</v>
      </c>
      <c r="F77" s="101"/>
      <c r="G77" s="102"/>
      <c r="H77" s="99" t="str">
        <f t="shared" si="0"/>
        <v>MS.MSUAP0010.MfgStsTyp</v>
      </c>
    </row>
    <row r="78" spans="1:8" s="75" customFormat="1" ht="15.75" customHeight="1">
      <c r="A78" s="116"/>
      <c r="B78" s="82" t="s">
        <v>163</v>
      </c>
      <c r="C78" s="81" t="s">
        <v>167</v>
      </c>
      <c r="D78" s="100" t="s">
        <v>313</v>
      </c>
      <c r="E78" s="100" t="s">
        <v>314</v>
      </c>
      <c r="F78" s="101"/>
      <c r="G78" s="102"/>
      <c r="H78" s="99" t="str">
        <f t="shared" si="0"/>
        <v>MS.MSUAP0010.MfgMtdTyp</v>
      </c>
    </row>
    <row r="79" spans="1:8" s="75" customFormat="1" ht="15.75" customHeight="1">
      <c r="A79" s="116"/>
      <c r="B79" s="82" t="s">
        <v>163</v>
      </c>
      <c r="C79" s="81" t="s">
        <v>167</v>
      </c>
      <c r="D79" s="100" t="s">
        <v>315</v>
      </c>
      <c r="E79" s="100" t="s">
        <v>316</v>
      </c>
      <c r="F79" s="101"/>
      <c r="G79" s="102"/>
      <c r="H79" s="99" t="str">
        <f t="shared" si="0"/>
        <v>MS.MSUAP0010.MiPrntStr</v>
      </c>
    </row>
    <row r="80" spans="1:8" s="75" customFormat="1" ht="15.75" customHeight="1">
      <c r="A80" s="116"/>
      <c r="B80" s="82" t="s">
        <v>163</v>
      </c>
      <c r="C80" s="81" t="s">
        <v>167</v>
      </c>
      <c r="D80" s="100" t="s">
        <v>317</v>
      </c>
      <c r="E80" s="100" t="s">
        <v>318</v>
      </c>
      <c r="F80" s="101"/>
      <c r="G80" s="102"/>
      <c r="H80" s="99" t="str">
        <f t="shared" si="0"/>
        <v>MS.MSUAP0010.MrPrntStr</v>
      </c>
    </row>
    <row r="81" spans="1:8" s="75" customFormat="1" ht="15.75" customHeight="1">
      <c r="A81" s="116"/>
      <c r="B81" s="82" t="s">
        <v>163</v>
      </c>
      <c r="C81" s="81" t="s">
        <v>167</v>
      </c>
      <c r="D81" s="100" t="s">
        <v>319</v>
      </c>
      <c r="E81" s="100" t="s">
        <v>320</v>
      </c>
      <c r="F81" s="101"/>
      <c r="G81" s="102"/>
      <c r="H81" s="99" t="str">
        <f t="shared" si="0"/>
        <v>MS.MSUAP0010.VerChgStsTyp</v>
      </c>
    </row>
    <row r="82" spans="1:8" s="75" customFormat="1" ht="15.75" customHeight="1">
      <c r="A82" s="116"/>
      <c r="B82" s="82" t="s">
        <v>163</v>
      </c>
      <c r="C82" s="81" t="s">
        <v>167</v>
      </c>
      <c r="D82" s="100" t="s">
        <v>321</v>
      </c>
      <c r="E82" s="100" t="s">
        <v>322</v>
      </c>
      <c r="F82" s="101"/>
      <c r="G82" s="102"/>
      <c r="H82" s="99" t="str">
        <f t="shared" si="0"/>
        <v>MS.MSUAP0010.ReExtTyp</v>
      </c>
    </row>
    <row r="83" spans="1:8" s="75" customFormat="1" ht="15.75" customHeight="1">
      <c r="A83" s="116"/>
      <c r="B83" s="82" t="s">
        <v>163</v>
      </c>
      <c r="C83" s="81" t="s">
        <v>167</v>
      </c>
      <c r="D83" s="100" t="s">
        <v>323</v>
      </c>
      <c r="E83" s="100" t="s">
        <v>324</v>
      </c>
      <c r="F83" s="101"/>
      <c r="G83" s="102"/>
      <c r="H83" s="99" t="str">
        <f t="shared" si="0"/>
        <v>MS.MSUAP0010.SlipSplitTyp</v>
      </c>
    </row>
    <row r="84" spans="1:8" s="75" customFormat="1" ht="15.75" customHeight="1">
      <c r="A84" s="116"/>
      <c r="B84" s="82" t="s">
        <v>163</v>
      </c>
      <c r="C84" s="81" t="s">
        <v>167</v>
      </c>
      <c r="D84" s="100" t="s">
        <v>325</v>
      </c>
      <c r="E84" s="100" t="s">
        <v>326</v>
      </c>
      <c r="F84" s="101"/>
      <c r="G84" s="102"/>
      <c r="H84" s="99" t="str">
        <f t="shared" si="0"/>
        <v>MS.MSUAP0010.MfgAprvStsTyp</v>
      </c>
    </row>
    <row r="85" spans="1:8" s="75" customFormat="1" ht="15.75" customHeight="1">
      <c r="A85" s="116"/>
      <c r="B85" s="82" t="s">
        <v>163</v>
      </c>
      <c r="C85" s="81" t="s">
        <v>167</v>
      </c>
      <c r="D85" s="100" t="s">
        <v>327</v>
      </c>
      <c r="E85" s="100" t="s">
        <v>328</v>
      </c>
      <c r="F85" s="101"/>
      <c r="G85" s="102"/>
      <c r="H85" s="99" t="str">
        <f t="shared" si="0"/>
        <v>MS.MSUAP0010.WgRqstTyp</v>
      </c>
    </row>
    <row r="86" spans="1:8" s="75" customFormat="1" ht="15.75" customHeight="1">
      <c r="A86" s="116"/>
      <c r="B86" s="82" t="s">
        <v>163</v>
      </c>
      <c r="C86" s="81" t="s">
        <v>167</v>
      </c>
      <c r="D86" s="81" t="s">
        <v>329</v>
      </c>
      <c r="E86" s="81" t="s">
        <v>330</v>
      </c>
      <c r="F86" s="82"/>
      <c r="G86" s="83"/>
      <c r="H86" s="99" t="str">
        <f t="shared" si="0"/>
        <v>MS.MSUAP0010.WgRqstStsTyp</v>
      </c>
    </row>
    <row r="87" spans="1:8" s="75" customFormat="1" ht="15.75" customHeight="1">
      <c r="A87" s="116"/>
      <c r="B87" s="82" t="s">
        <v>163</v>
      </c>
      <c r="C87" s="81" t="s">
        <v>167</v>
      </c>
      <c r="D87" s="81" t="s">
        <v>331</v>
      </c>
      <c r="E87" s="81" t="s">
        <v>332</v>
      </c>
      <c r="F87" s="82"/>
      <c r="G87" s="83"/>
      <c r="H87" s="99" t="str">
        <f t="shared" si="0"/>
        <v>MS.MSUAP0010.WgRqstSrcTyp</v>
      </c>
    </row>
    <row r="88" spans="1:8" s="75" customFormat="1" ht="15.75" customHeight="1">
      <c r="A88" s="116"/>
      <c r="B88" s="82" t="s">
        <v>163</v>
      </c>
      <c r="C88" s="81" t="s">
        <v>167</v>
      </c>
      <c r="D88" s="81" t="s">
        <v>333</v>
      </c>
      <c r="E88" s="81" t="s">
        <v>334</v>
      </c>
      <c r="F88" s="82"/>
      <c r="G88" s="83"/>
      <c r="H88" s="99" t="str">
        <f t="shared" si="0"/>
        <v>MS.MSUAP0010.WgRqstNtcDayTyp</v>
      </c>
    </row>
    <row r="89" spans="1:8" s="75" customFormat="1" ht="15.75" customHeight="1">
      <c r="A89" s="116"/>
      <c r="B89" s="82" t="s">
        <v>163</v>
      </c>
      <c r="C89" s="81" t="s">
        <v>167</v>
      </c>
      <c r="D89" s="81" t="s">
        <v>335</v>
      </c>
      <c r="E89" s="81" t="s">
        <v>336</v>
      </c>
      <c r="F89" s="82"/>
      <c r="G89" s="83"/>
      <c r="H89" s="99" t="str">
        <f t="shared" si="0"/>
        <v>MS.MSUAP0010.ProvSrcSchdTyp</v>
      </c>
    </row>
    <row r="90" spans="1:8" s="75" customFormat="1" ht="15.75" customHeight="1">
      <c r="A90" s="116"/>
      <c r="B90" s="82" t="s">
        <v>163</v>
      </c>
      <c r="C90" s="81" t="s">
        <v>167</v>
      </c>
      <c r="D90" s="100" t="s">
        <v>337</v>
      </c>
      <c r="E90" s="100" t="s">
        <v>338</v>
      </c>
      <c r="F90" s="101"/>
      <c r="G90" s="102"/>
      <c r="H90" s="99" t="str">
        <f t="shared" si="0"/>
        <v>MS.MSUAP0010.ProvSrcActTyp</v>
      </c>
    </row>
    <row r="91" spans="1:8" s="75" customFormat="1" ht="15.75" customHeight="1">
      <c r="A91" s="116"/>
      <c r="B91" s="82" t="s">
        <v>163</v>
      </c>
      <c r="C91" s="81" t="s">
        <v>167</v>
      </c>
      <c r="D91" s="100" t="s">
        <v>339</v>
      </c>
      <c r="E91" s="100" t="s">
        <v>340</v>
      </c>
      <c r="F91" s="101"/>
      <c r="G91" s="102"/>
      <c r="H91" s="99" t="str">
        <f t="shared" si="0"/>
        <v>MS.MSUAP0010.XfrSrcTyp</v>
      </c>
    </row>
    <row r="92" spans="1:8" s="75" customFormat="1" ht="15.75" customHeight="1">
      <c r="A92" s="116"/>
      <c r="B92" s="82" t="s">
        <v>163</v>
      </c>
      <c r="C92" s="81" t="s">
        <v>167</v>
      </c>
      <c r="D92" s="100" t="s">
        <v>341</v>
      </c>
      <c r="E92" s="100" t="s">
        <v>342</v>
      </c>
      <c r="F92" s="101"/>
      <c r="G92" s="102"/>
      <c r="H92" s="99" t="str">
        <f t="shared" si="0"/>
        <v>MS.MSUAP0010.StktkTyp</v>
      </c>
    </row>
    <row r="93" spans="1:8" s="75" customFormat="1" ht="15.75" customHeight="1">
      <c r="A93" s="116"/>
      <c r="B93" s="82" t="s">
        <v>163</v>
      </c>
      <c r="C93" s="81" t="s">
        <v>167</v>
      </c>
      <c r="D93" s="100" t="s">
        <v>343</v>
      </c>
      <c r="E93" s="100" t="s">
        <v>344</v>
      </c>
      <c r="F93" s="101"/>
      <c r="G93" s="102"/>
      <c r="H93" s="99" t="str">
        <f t="shared" si="0"/>
        <v>MS.MSUAP0010.SplnDtlTyp</v>
      </c>
    </row>
    <row r="94" spans="1:8" s="75" customFormat="1" ht="15.75" customHeight="1">
      <c r="A94" s="116"/>
      <c r="B94" s="82" t="s">
        <v>163</v>
      </c>
      <c r="C94" s="81" t="s">
        <v>167</v>
      </c>
      <c r="D94" s="100" t="s">
        <v>345</v>
      </c>
      <c r="E94" s="100" t="s">
        <v>346</v>
      </c>
      <c r="F94" s="101"/>
      <c r="G94" s="102"/>
      <c r="H94" s="99" t="str">
        <f t="shared" si="0"/>
        <v>MS.MSUAP0010.PfDtlTyp</v>
      </c>
    </row>
    <row r="95" spans="1:8" s="75" customFormat="1" ht="15.75" customHeight="1">
      <c r="A95" s="116"/>
      <c r="B95" s="82" t="s">
        <v>163</v>
      </c>
      <c r="C95" s="81" t="s">
        <v>167</v>
      </c>
      <c r="D95" s="100" t="s">
        <v>347</v>
      </c>
      <c r="E95" s="100" t="s">
        <v>348</v>
      </c>
      <c r="F95" s="101"/>
      <c r="G95" s="102"/>
      <c r="H95" s="99" t="str">
        <f t="shared" si="0"/>
        <v>MS.MSUAP0010.InspPrntStr</v>
      </c>
    </row>
    <row r="96" spans="1:8" s="75" customFormat="1" ht="15.75" customHeight="1">
      <c r="A96" s="116"/>
      <c r="B96" s="82" t="s">
        <v>163</v>
      </c>
      <c r="C96" s="81" t="s">
        <v>167</v>
      </c>
      <c r="D96" s="100" t="s">
        <v>349</v>
      </c>
      <c r="E96" s="100" t="s">
        <v>350</v>
      </c>
      <c r="F96" s="101"/>
      <c r="G96" s="102"/>
      <c r="H96" s="99" t="str">
        <f t="shared" si="0"/>
        <v>MS.MSUAP0010.InspTyp</v>
      </c>
    </row>
    <row r="97" spans="1:8" s="75" customFormat="1" ht="15.75" customHeight="1">
      <c r="A97" s="116"/>
      <c r="B97" s="82" t="s">
        <v>163</v>
      </c>
      <c r="C97" s="81" t="s">
        <v>167</v>
      </c>
      <c r="D97" s="100" t="s">
        <v>351</v>
      </c>
      <c r="E97" s="100" t="s">
        <v>352</v>
      </c>
      <c r="F97" s="101"/>
      <c r="G97" s="102"/>
      <c r="H97" s="99" t="str">
        <f t="shared" si="0"/>
        <v>MS.MSUAP0010.InspStsTyp</v>
      </c>
    </row>
    <row r="98" spans="1:8" s="75" customFormat="1" ht="15.75" customHeight="1">
      <c r="A98" s="116"/>
      <c r="B98" s="82" t="s">
        <v>163</v>
      </c>
      <c r="C98" s="81" t="s">
        <v>167</v>
      </c>
      <c r="D98" s="100" t="s">
        <v>353</v>
      </c>
      <c r="E98" s="100" t="s">
        <v>354</v>
      </c>
      <c r="F98" s="101"/>
      <c r="G98" s="102"/>
      <c r="H98" s="99" t="str">
        <f t="shared" si="0"/>
        <v>MS.MSUAP0010.InspAprvStsTyp</v>
      </c>
    </row>
    <row r="99" spans="1:8" s="75" customFormat="1" ht="15.75" customHeight="1">
      <c r="A99" s="116"/>
      <c r="B99" s="82" t="s">
        <v>163</v>
      </c>
      <c r="C99" s="81" t="s">
        <v>167</v>
      </c>
      <c r="D99" s="100" t="s">
        <v>355</v>
      </c>
      <c r="E99" s="100" t="s">
        <v>356</v>
      </c>
      <c r="F99" s="101"/>
      <c r="G99" s="102"/>
      <c r="H99" s="99" t="str">
        <f t="shared" si="0"/>
        <v>MS.MSUAP0010.StdInspRsltTyp</v>
      </c>
    </row>
    <row r="100" spans="1:8" s="75" customFormat="1" ht="15.75" customHeight="1">
      <c r="A100" s="116"/>
      <c r="B100" s="82" t="s">
        <v>163</v>
      </c>
      <c r="C100" s="81" t="s">
        <v>167</v>
      </c>
      <c r="D100" s="100" t="s">
        <v>357</v>
      </c>
      <c r="E100" s="100" t="s">
        <v>358</v>
      </c>
      <c r="F100" s="101"/>
      <c r="G100" s="102"/>
      <c r="H100" s="99" t="str">
        <f t="shared" si="0"/>
        <v>MS.MSUAP0010.InspJudgRsltTyp</v>
      </c>
    </row>
    <row r="101" spans="1:8" s="75" customFormat="1" ht="15.75" customHeight="1">
      <c r="A101" s="116"/>
      <c r="B101" s="82" t="s">
        <v>163</v>
      </c>
      <c r="C101" s="81" t="s">
        <v>167</v>
      </c>
      <c r="D101" s="100" t="s">
        <v>359</v>
      </c>
      <c r="E101" s="100" t="s">
        <v>360</v>
      </c>
      <c r="F101" s="101"/>
      <c r="G101" s="102"/>
      <c r="H101" s="99" t="str">
        <f t="shared" si="0"/>
        <v>MS.MSUAP0010.PlntAprvStsTyp</v>
      </c>
    </row>
    <row r="102" spans="1:8" s="75" customFormat="1" ht="15.75" customHeight="1">
      <c r="A102" s="116"/>
      <c r="B102" s="82" t="s">
        <v>163</v>
      </c>
      <c r="C102" s="81" t="s">
        <v>167</v>
      </c>
      <c r="D102" s="100" t="s">
        <v>361</v>
      </c>
      <c r="E102" s="100" t="s">
        <v>362</v>
      </c>
      <c r="F102" s="101"/>
      <c r="G102" s="102"/>
      <c r="H102" s="99" t="str">
        <f t="shared" si="0"/>
        <v>MS.MSUAP0010.MrktJudgStsTyp</v>
      </c>
    </row>
    <row r="103" spans="1:8" s="75" customFormat="1" ht="15.75" customHeight="1">
      <c r="A103" s="116"/>
      <c r="B103" s="82" t="s">
        <v>163</v>
      </c>
      <c r="C103" s="81" t="s">
        <v>167</v>
      </c>
      <c r="D103" s="100" t="s">
        <v>363</v>
      </c>
      <c r="E103" s="100" t="s">
        <v>364</v>
      </c>
      <c r="F103" s="101"/>
      <c r="G103" s="102"/>
      <c r="H103" s="99" t="str">
        <f t="shared" si="0"/>
        <v>MS.MSUAP0010.MrktJudgSrcTyp</v>
      </c>
    </row>
    <row r="104" spans="1:8" s="75" customFormat="1" ht="15.75" customHeight="1">
      <c r="A104" s="116"/>
      <c r="B104" s="82" t="s">
        <v>163</v>
      </c>
      <c r="C104" s="81" t="s">
        <v>167</v>
      </c>
      <c r="D104" s="100" t="s">
        <v>365</v>
      </c>
      <c r="E104" s="100" t="s">
        <v>366</v>
      </c>
      <c r="F104" s="101"/>
      <c r="G104" s="102"/>
      <c r="H104" s="99" t="str">
        <f t="shared" si="0"/>
        <v>MS.MSUAP0010.SchdActTyp</v>
      </c>
    </row>
    <row r="105" spans="1:8" s="75" customFormat="1" ht="15.75" customHeight="1">
      <c r="A105" s="116"/>
      <c r="B105" s="82" t="s">
        <v>163</v>
      </c>
      <c r="C105" s="81" t="s">
        <v>167</v>
      </c>
      <c r="D105" s="100" t="s">
        <v>367</v>
      </c>
      <c r="E105" s="100" t="s">
        <v>368</v>
      </c>
      <c r="F105" s="101"/>
      <c r="G105" s="102"/>
      <c r="H105" s="99" t="str">
        <f t="shared" si="0"/>
        <v>MS.MSUAP0010.CompItmInspTyp</v>
      </c>
    </row>
    <row r="106" spans="1:8" s="75" customFormat="1" ht="15.75" customHeight="1">
      <c r="A106" s="116"/>
      <c r="B106" s="82" t="s">
        <v>163</v>
      </c>
      <c r="C106" s="81" t="s">
        <v>167</v>
      </c>
      <c r="D106" s="100" t="s">
        <v>369</v>
      </c>
      <c r="E106" s="100" t="s">
        <v>370</v>
      </c>
      <c r="F106" s="101"/>
      <c r="G106" s="102"/>
      <c r="H106" s="99" t="str">
        <f t="shared" si="0"/>
        <v>MS.MSUAP0010.CompItmQualityTyp</v>
      </c>
    </row>
    <row r="107" spans="1:8" s="75" customFormat="1" ht="15.75" customHeight="1">
      <c r="A107" s="116"/>
      <c r="B107" s="82" t="s">
        <v>163</v>
      </c>
      <c r="C107" s="81" t="s">
        <v>167</v>
      </c>
      <c r="D107" s="100" t="s">
        <v>371</v>
      </c>
      <c r="E107" s="100" t="s">
        <v>372</v>
      </c>
      <c r="F107" s="101"/>
      <c r="G107" s="102"/>
      <c r="H107" s="99" t="str">
        <f t="shared" si="0"/>
        <v>MS.MSUAP0010.CompItmMfgAprvTyp</v>
      </c>
    </row>
    <row r="108" spans="1:8" s="75" customFormat="1" ht="15.75" customHeight="1">
      <c r="A108" s="116"/>
      <c r="B108" s="82" t="s">
        <v>163</v>
      </c>
      <c r="C108" s="81" t="s">
        <v>167</v>
      </c>
      <c r="D108" s="100" t="s">
        <v>373</v>
      </c>
      <c r="E108" s="100" t="s">
        <v>374</v>
      </c>
      <c r="F108" s="101"/>
      <c r="G108" s="102"/>
      <c r="H108" s="99" t="str">
        <f t="shared" si="0"/>
        <v>MS.MSUAP0010.PurcPrntTyp</v>
      </c>
    </row>
    <row r="109" spans="1:8" s="75" customFormat="1" ht="15.75" customHeight="1">
      <c r="A109" s="116"/>
      <c r="B109" s="82" t="s">
        <v>163</v>
      </c>
      <c r="C109" s="81" t="s">
        <v>167</v>
      </c>
      <c r="D109" s="100" t="s">
        <v>375</v>
      </c>
      <c r="E109" s="100" t="s">
        <v>376</v>
      </c>
      <c r="F109" s="101"/>
      <c r="G109" s="102"/>
      <c r="H109" s="99" t="str">
        <f t="shared" si="0"/>
        <v>MS.MSUAP0010.BillMtdTyp</v>
      </c>
    </row>
    <row r="110" spans="1:8" s="75" customFormat="1" ht="15.75" customHeight="1">
      <c r="A110" s="116"/>
      <c r="B110" s="82" t="s">
        <v>163</v>
      </c>
      <c r="C110" s="81" t="s">
        <v>167</v>
      </c>
      <c r="D110" s="100" t="s">
        <v>377</v>
      </c>
      <c r="E110" s="100" t="s">
        <v>378</v>
      </c>
      <c r="F110" s="101"/>
      <c r="G110" s="102"/>
      <c r="H110" s="99" t="str">
        <f t="shared" si="0"/>
        <v>MS.MSUAP0010.ArSlipPrntTyp</v>
      </c>
    </row>
    <row r="111" spans="1:8" s="75" customFormat="1" ht="15.75" customHeight="1">
      <c r="A111" s="116"/>
      <c r="B111" s="82" t="s">
        <v>163</v>
      </c>
      <c r="C111" s="81" t="s">
        <v>167</v>
      </c>
      <c r="D111" s="100" t="s">
        <v>379</v>
      </c>
      <c r="E111" s="100" t="s">
        <v>380</v>
      </c>
      <c r="F111" s="101"/>
      <c r="G111" s="102"/>
      <c r="H111" s="99" t="str">
        <f t="shared" si="0"/>
        <v>MS.MSUAP0010.CredUpdTyp</v>
      </c>
    </row>
    <row r="112" spans="1:8" s="75" customFormat="1" ht="15.75" customHeight="1">
      <c r="A112" s="116"/>
      <c r="B112" s="82" t="s">
        <v>163</v>
      </c>
      <c r="C112" s="81" t="s">
        <v>167</v>
      </c>
      <c r="D112" s="100" t="s">
        <v>381</v>
      </c>
      <c r="E112" s="100" t="s">
        <v>382</v>
      </c>
      <c r="F112" s="101"/>
      <c r="G112" s="102"/>
      <c r="H112" s="99" t="str">
        <f t="shared" si="0"/>
        <v>MS.MSUAP0010.InstTyp</v>
      </c>
    </row>
    <row r="113" spans="1:8" s="75" customFormat="1" ht="15.75" customHeight="1">
      <c r="A113" s="116"/>
      <c r="B113" s="82" t="s">
        <v>163</v>
      </c>
      <c r="C113" s="81" t="s">
        <v>167</v>
      </c>
      <c r="D113" s="100" t="s">
        <v>383</v>
      </c>
      <c r="E113" s="100" t="s">
        <v>384</v>
      </c>
      <c r="F113" s="101"/>
      <c r="G113" s="102"/>
      <c r="H113" s="99" t="str">
        <f t="shared" si="0"/>
        <v>MS.MSUAP0010.AutoApplStsTyp</v>
      </c>
    </row>
    <row r="114" spans="1:8" s="75" customFormat="1" ht="15.75" customHeight="1">
      <c r="A114" s="116"/>
      <c r="B114" s="82" t="s">
        <v>163</v>
      </c>
      <c r="C114" s="81" t="s">
        <v>167</v>
      </c>
      <c r="D114" s="100" t="s">
        <v>385</v>
      </c>
      <c r="E114" s="100" t="s">
        <v>386</v>
      </c>
      <c r="F114" s="101"/>
      <c r="G114" s="102"/>
      <c r="H114" s="99" t="str">
        <f t="shared" si="0"/>
        <v>MS.MSUAP0010.StktkStsTyp</v>
      </c>
    </row>
    <row r="115" spans="1:8" s="75" customFormat="1" ht="15.75" customHeight="1">
      <c r="A115" s="116"/>
      <c r="B115" s="82" t="s">
        <v>163</v>
      </c>
      <c r="C115" s="81" t="s">
        <v>167</v>
      </c>
      <c r="D115" s="100" t="s">
        <v>387</v>
      </c>
      <c r="E115" s="100" t="s">
        <v>388</v>
      </c>
      <c r="F115" s="101"/>
      <c r="G115" s="102"/>
      <c r="H115" s="99" t="str">
        <f t="shared" si="0"/>
        <v>MS.MSUAP0010.ArrPtnTyp</v>
      </c>
    </row>
    <row r="116" spans="1:8" s="75" customFormat="1" ht="15.75" customHeight="1">
      <c r="A116" s="116"/>
      <c r="B116" s="82" t="s">
        <v>163</v>
      </c>
      <c r="C116" s="81" t="s">
        <v>167</v>
      </c>
      <c r="D116" s="100" t="s">
        <v>389</v>
      </c>
      <c r="E116" s="100" t="s">
        <v>390</v>
      </c>
      <c r="F116" s="101"/>
      <c r="G116" s="102"/>
      <c r="H116" s="99" t="str">
        <f t="shared" si="0"/>
        <v>MS.MSUAP0010.SlsAdjstTyp</v>
      </c>
    </row>
    <row r="117" spans="1:8" s="75" customFormat="1" ht="15.75" customHeight="1">
      <c r="A117" s="116"/>
      <c r="B117" s="82" t="s">
        <v>163</v>
      </c>
      <c r="C117" s="81" t="s">
        <v>167</v>
      </c>
      <c r="D117" s="100" t="s">
        <v>391</v>
      </c>
      <c r="E117" s="100" t="s">
        <v>392</v>
      </c>
      <c r="F117" s="101"/>
      <c r="G117" s="102"/>
      <c r="H117" s="99" t="str">
        <f t="shared" si="0"/>
        <v>MS.MSUAP0010.AdjstMtdTyp</v>
      </c>
    </row>
    <row r="118" spans="1:8" s="75" customFormat="1" ht="15.75" customHeight="1">
      <c r="A118" s="116"/>
      <c r="B118" s="82" t="s">
        <v>163</v>
      </c>
      <c r="C118" s="81" t="s">
        <v>167</v>
      </c>
      <c r="D118" s="100" t="s">
        <v>393</v>
      </c>
      <c r="E118" s="100" t="s">
        <v>394</v>
      </c>
      <c r="F118" s="101"/>
      <c r="G118" s="102"/>
      <c r="H118" s="99" t="str">
        <f t="shared" si="0"/>
        <v>MS.MSUAP0010.CstSlctTyp</v>
      </c>
    </row>
    <row r="119" spans="1:8" s="75" customFormat="1" ht="15.75" customHeight="1">
      <c r="A119" s="116"/>
      <c r="B119" s="82" t="s">
        <v>163</v>
      </c>
      <c r="C119" s="81" t="s">
        <v>167</v>
      </c>
      <c r="D119" s="100" t="s">
        <v>395</v>
      </c>
      <c r="E119" s="100" t="s">
        <v>396</v>
      </c>
      <c r="F119" s="101"/>
      <c r="G119" s="102"/>
      <c r="H119" s="99" t="str">
        <f t="shared" si="0"/>
        <v>MS.MSUAP0010.EiajDlvSlipStr</v>
      </c>
    </row>
    <row r="120" spans="1:8" s="75" customFormat="1" ht="15.75" customHeight="1">
      <c r="A120" s="116"/>
      <c r="B120" s="82" t="s">
        <v>163</v>
      </c>
      <c r="C120" s="81" t="s">
        <v>167</v>
      </c>
      <c r="D120" s="100" t="s">
        <v>397</v>
      </c>
      <c r="E120" s="100" t="s">
        <v>398</v>
      </c>
      <c r="F120" s="101"/>
      <c r="G120" s="102"/>
      <c r="H120" s="99" t="str">
        <f t="shared" si="0"/>
        <v>MS.MSUAP0010.PoStr</v>
      </c>
    </row>
    <row r="121" spans="1:8" s="75" customFormat="1" ht="15.75" customHeight="1">
      <c r="A121" s="116"/>
      <c r="B121" s="82" t="s">
        <v>163</v>
      </c>
      <c r="C121" s="81" t="s">
        <v>167</v>
      </c>
      <c r="D121" s="100" t="s">
        <v>399</v>
      </c>
      <c r="E121" s="100" t="s">
        <v>400</v>
      </c>
      <c r="F121" s="101"/>
      <c r="G121" s="102"/>
      <c r="H121" s="99" t="str">
        <f t="shared" si="0"/>
        <v>MS.MSUAP0010.PurcAdjstTyp</v>
      </c>
    </row>
    <row r="122" spans="1:8" s="75" customFormat="1" ht="15.75" customHeight="1">
      <c r="A122" s="116"/>
      <c r="B122" s="82" t="s">
        <v>163</v>
      </c>
      <c r="C122" s="81" t="s">
        <v>167</v>
      </c>
      <c r="D122" s="100" t="s">
        <v>401</v>
      </c>
      <c r="E122" s="100" t="s">
        <v>402</v>
      </c>
      <c r="F122" s="101"/>
      <c r="G122" s="102"/>
      <c r="H122" s="99" t="str">
        <f t="shared" si="0"/>
        <v>MS.MSUAP0010.PlPrntStr</v>
      </c>
    </row>
    <row r="123" spans="1:8" s="75" customFormat="1" ht="15.75" customHeight="1">
      <c r="A123" s="116"/>
      <c r="B123" s="82" t="s">
        <v>163</v>
      </c>
      <c r="C123" s="81" t="s">
        <v>167</v>
      </c>
      <c r="D123" s="100" t="s">
        <v>403</v>
      </c>
      <c r="E123" s="100" t="s">
        <v>404</v>
      </c>
      <c r="F123" s="101"/>
      <c r="G123" s="102"/>
      <c r="H123" s="99" t="str">
        <f t="shared" si="0"/>
        <v>MS.MSUAP0010.IvPrntStr</v>
      </c>
    </row>
    <row r="124" spans="1:8" s="75" customFormat="1" ht="15.75" customHeight="1">
      <c r="A124" s="116"/>
      <c r="B124" s="82" t="s">
        <v>163</v>
      </c>
      <c r="C124" s="81" t="s">
        <v>167</v>
      </c>
      <c r="D124" s="100" t="s">
        <v>405</v>
      </c>
      <c r="E124" s="100" t="s">
        <v>406</v>
      </c>
      <c r="F124" s="101"/>
      <c r="G124" s="102"/>
      <c r="H124" s="99" t="str">
        <f t="shared" si="0"/>
        <v>MS.MSUAP0010.PretSchdStsTyp</v>
      </c>
    </row>
    <row r="125" spans="1:8" s="75" customFormat="1" ht="15.75" customHeight="1">
      <c r="A125" s="116"/>
      <c r="B125" s="82" t="s">
        <v>163</v>
      </c>
      <c r="C125" s="81" t="s">
        <v>167</v>
      </c>
      <c r="D125" s="100" t="s">
        <v>407</v>
      </c>
      <c r="E125" s="100" t="s">
        <v>408</v>
      </c>
      <c r="F125" s="101"/>
      <c r="G125" s="102"/>
      <c r="H125" s="99" t="str">
        <f t="shared" si="0"/>
        <v>MS.MSUAP0010.ShipInstStr</v>
      </c>
    </row>
    <row r="126" spans="1:8" s="75" customFormat="1" ht="15.75" customHeight="1">
      <c r="A126" s="116"/>
      <c r="B126" s="82" t="s">
        <v>163</v>
      </c>
      <c r="C126" s="81" t="s">
        <v>167</v>
      </c>
      <c r="D126" s="100" t="s">
        <v>409</v>
      </c>
      <c r="E126" s="100" t="s">
        <v>410</v>
      </c>
      <c r="F126" s="101"/>
      <c r="G126" s="102"/>
      <c r="H126" s="99" t="str">
        <f t="shared" si="0"/>
        <v>MS.MSUAP0010.PickListStr</v>
      </c>
    </row>
    <row r="127" spans="1:8" s="75" customFormat="1" ht="15.75" customHeight="1">
      <c r="A127" s="116"/>
      <c r="B127" s="82" t="s">
        <v>163</v>
      </c>
      <c r="C127" s="81" t="s">
        <v>167</v>
      </c>
      <c r="D127" s="81" t="s">
        <v>411</v>
      </c>
      <c r="E127" s="81" t="s">
        <v>412</v>
      </c>
      <c r="F127" s="82"/>
      <c r="G127" s="83"/>
      <c r="H127" s="99" t="str">
        <f t="shared" si="0"/>
        <v>MS.MSUAP0010.BillPrntStr</v>
      </c>
    </row>
    <row r="128" spans="1:8" s="75" customFormat="1" ht="15.75" customHeight="1">
      <c r="A128" s="116"/>
      <c r="B128" s="82" t="s">
        <v>163</v>
      </c>
      <c r="C128" s="81" t="s">
        <v>167</v>
      </c>
      <c r="D128" s="81" t="s">
        <v>413</v>
      </c>
      <c r="E128" s="81" t="s">
        <v>414</v>
      </c>
      <c r="F128" s="82"/>
      <c r="G128" s="83"/>
      <c r="H128" s="99" t="str">
        <f t="shared" si="0"/>
        <v>MS.MSUAP0010.PrntNum</v>
      </c>
    </row>
    <row r="129" spans="1:8" s="75" customFormat="1" ht="15.75" customHeight="1">
      <c r="A129" s="116"/>
      <c r="B129" s="82" t="s">
        <v>163</v>
      </c>
      <c r="C129" s="81" t="s">
        <v>167</v>
      </c>
      <c r="D129" s="100" t="s">
        <v>415</v>
      </c>
      <c r="E129" s="100" t="s">
        <v>416</v>
      </c>
      <c r="F129" s="101"/>
      <c r="G129" s="102"/>
      <c r="H129" s="99" t="str">
        <f t="shared" si="0"/>
        <v>MS.MSUAP0010.DlyMrk</v>
      </c>
    </row>
    <row r="130" spans="1:8" s="75" customFormat="1" ht="15.75" customHeight="1">
      <c r="A130" s="116"/>
      <c r="B130" s="82" t="s">
        <v>163</v>
      </c>
      <c r="C130" s="81" t="s">
        <v>167</v>
      </c>
      <c r="D130" s="81" t="s">
        <v>417</v>
      </c>
      <c r="E130" s="81" t="s">
        <v>418</v>
      </c>
      <c r="F130" s="82"/>
      <c r="G130" s="83"/>
      <c r="H130" s="99" t="str">
        <f t="shared" si="0"/>
        <v>MS.MSUAP0010.StktkListStr</v>
      </c>
    </row>
    <row r="131" spans="1:8" s="75" customFormat="1" ht="15.75" customHeight="1">
      <c r="A131" s="116"/>
      <c r="B131" s="82" t="s">
        <v>163</v>
      </c>
      <c r="C131" s="81" t="s">
        <v>167</v>
      </c>
      <c r="D131" s="81" t="s">
        <v>419</v>
      </c>
      <c r="E131" s="81" t="s">
        <v>420</v>
      </c>
      <c r="F131" s="82"/>
      <c r="G131" s="83"/>
      <c r="H131" s="99" t="str">
        <f t="shared" si="0"/>
        <v>MS.MSUAP0010.DlvSlipStr</v>
      </c>
    </row>
    <row r="132" spans="1:8" s="75" customFormat="1" ht="15.75" customHeight="1">
      <c r="A132" s="116"/>
      <c r="B132" s="101" t="s">
        <v>421</v>
      </c>
      <c r="C132" s="100" t="s">
        <v>422</v>
      </c>
      <c r="D132" s="100" t="s">
        <v>423</v>
      </c>
      <c r="E132" s="100" t="s">
        <v>424</v>
      </c>
      <c r="F132" s="101"/>
      <c r="G132" s="102"/>
      <c r="H132" s="99" t="str">
        <f>"MS."&amp;LEFT(C132,4)&amp;"P"&amp;RIGHT(C132,4)&amp;"."&amp;D132</f>
        <v>MS.MSUAP0020.WgRqstTyp</v>
      </c>
    </row>
    <row r="133" spans="1:8" s="75" customFormat="1" ht="15.75" customHeight="1">
      <c r="A133" s="116"/>
      <c r="B133" s="101" t="s">
        <v>49</v>
      </c>
      <c r="C133" s="100" t="s">
        <v>425</v>
      </c>
      <c r="D133" s="100" t="s">
        <v>426</v>
      </c>
      <c r="E133" s="100" t="s">
        <v>217</v>
      </c>
      <c r="F133" s="101" t="s">
        <v>427</v>
      </c>
      <c r="G133" s="102"/>
      <c r="H133" s="99" t="str">
        <f>"MS."&amp;LEFT(C133,4)&amp;"P"&amp;RIGHT(C133,4)&amp;"."&amp;D133</f>
        <v>MS.MSUAP0050.PurcSrchTgtTyp</v>
      </c>
    </row>
    <row r="134" spans="1:8" s="75" customFormat="1" ht="28.5">
      <c r="A134" s="116"/>
      <c r="B134" s="101" t="s">
        <v>428</v>
      </c>
      <c r="C134" s="100" t="s">
        <v>148</v>
      </c>
      <c r="D134" s="100" t="s">
        <v>429</v>
      </c>
      <c r="E134" s="100" t="s">
        <v>430</v>
      </c>
      <c r="F134" s="101" t="s">
        <v>431</v>
      </c>
      <c r="G134" s="102"/>
      <c r="H134" s="99" t="str">
        <f t="shared" si="0"/>
        <v>MS.MSUAP0060.ProvTyp</v>
      </c>
    </row>
    <row r="135" spans="1:8" s="75" customFormat="1" ht="28.5">
      <c r="A135" s="116"/>
      <c r="B135" s="101" t="s">
        <v>428</v>
      </c>
      <c r="C135" s="100" t="s">
        <v>148</v>
      </c>
      <c r="D135" s="100" t="s">
        <v>168</v>
      </c>
      <c r="E135" s="100" t="s">
        <v>169</v>
      </c>
      <c r="F135" s="101" t="s">
        <v>432</v>
      </c>
      <c r="G135" s="102"/>
      <c r="H135" s="99" t="str">
        <f t="shared" si="0"/>
        <v>MS.MSUAP0060.StkIdTyp</v>
      </c>
    </row>
    <row r="136" spans="1:8" s="75" customFormat="1" ht="15.75" customHeight="1" thickBot="1">
      <c r="A136" s="89"/>
      <c r="B136" s="91" t="s">
        <v>433</v>
      </c>
      <c r="C136" s="90" t="s">
        <v>434</v>
      </c>
      <c r="D136" s="90" t="s">
        <v>435</v>
      </c>
      <c r="E136" s="90" t="s">
        <v>298</v>
      </c>
      <c r="F136" s="90"/>
      <c r="G136" s="92"/>
      <c r="H136" s="103" t="str">
        <f t="shared" ref="H136" si="1">"MS."&amp;LEFT(C136,4)&amp;"P"&amp;RIGHT(C136,4)&amp;"."&amp;D136</f>
        <v>MS.MSUAP0080.ArOpeTyp</v>
      </c>
    </row>
    <row r="137" spans="1:8">
      <c r="H137" s="97"/>
    </row>
    <row r="138" spans="1:8">
      <c r="H138" s="97"/>
    </row>
    <row r="139" spans="1:8">
      <c r="H139" s="97"/>
    </row>
    <row r="140" spans="1:8">
      <c r="H140" s="97"/>
    </row>
    <row r="141" spans="1:8">
      <c r="H141" s="97"/>
    </row>
    <row r="142" spans="1:8">
      <c r="H142" s="97"/>
    </row>
    <row r="143" spans="1:8">
      <c r="H143" s="97"/>
    </row>
    <row r="144" spans="1:8">
      <c r="H144" s="97"/>
    </row>
    <row r="145" spans="8:8">
      <c r="H145" s="97"/>
    </row>
    <row r="146" spans="8:8">
      <c r="H146" s="97"/>
    </row>
    <row r="147" spans="8:8">
      <c r="H147" s="97"/>
    </row>
    <row r="148" spans="8:8">
      <c r="H148" s="97"/>
    </row>
    <row r="149" spans="8:8">
      <c r="H149" s="97"/>
    </row>
    <row r="150" spans="8:8">
      <c r="H150" s="97"/>
    </row>
    <row r="151" spans="8:8">
      <c r="H151" s="97"/>
    </row>
    <row r="152" spans="8:8">
      <c r="H152" s="97"/>
    </row>
    <row r="153" spans="8:8">
      <c r="H153" s="97"/>
    </row>
  </sheetData>
  <phoneticPr fontId="1"/>
  <pageMargins left="0.51181102362204722" right="0.74803149606299213" top="0.70866141732283472" bottom="0.43307086614173229" header="0.51181102362204722" footer="0.19685039370078741"/>
  <pageSetup paperSize="9" scale="71" fitToHeight="0" orientation="landscape" r:id="rId1"/>
  <headerFooter alignWithMargins="0">
    <oddFooter>&amp;L&amp;"Meiryo UI,標準"&amp;10リストロジック一覧（ＳＣＭ)&amp;C&amp;"Meiryo UI,標準"&amp;10&amp;P&amp;R&amp;"Meiryo UI,標準"&amp;10(C)Toyo Business Engineering Corp.[Confidential]</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13"/>
  <sheetViews>
    <sheetView showGridLines="0" showZeros="0" zoomScale="85" zoomScaleNormal="85" zoomScaleSheetLayoutView="80" workbookViewId="0">
      <pane ySplit="4" topLeftCell="A5" activePane="bottomLeft" state="frozen"/>
      <selection activeCell="A5" sqref="A5:XFD30"/>
      <selection pane="bottomLeft" activeCell="B9" sqref="B9"/>
    </sheetView>
  </sheetViews>
  <sheetFormatPr defaultColWidth="12" defaultRowHeight="14.25"/>
  <cols>
    <col min="1" max="1" width="6.6640625" style="95" customWidth="1"/>
    <col min="2" max="2" width="16.83203125" style="95" customWidth="1"/>
    <col min="3" max="3" width="24.83203125" style="96" customWidth="1"/>
    <col min="4" max="4" width="22.1640625" style="95" customWidth="1"/>
    <col min="5" max="5" width="34.1640625" style="75" customWidth="1"/>
    <col min="6" max="6" width="97.33203125" style="104" customWidth="1"/>
    <col min="7" max="7" width="34.1640625" style="97" customWidth="1"/>
    <col min="8" max="9" width="47.5" style="97" customWidth="1"/>
    <col min="10" max="16384" width="12" style="97"/>
  </cols>
  <sheetData>
    <row r="1" spans="1:9" ht="15.75" customHeight="1"/>
    <row r="2" spans="1:9" ht="15.75" customHeight="1"/>
    <row r="3" spans="1:9" ht="15.75" customHeight="1"/>
    <row r="4" spans="1:9" ht="6.75" customHeight="1" thickBot="1"/>
    <row r="5" spans="1:9" s="95" customFormat="1" ht="15.75" customHeight="1">
      <c r="A5" s="76" t="s">
        <v>470</v>
      </c>
      <c r="B5" s="117" t="s">
        <v>65</v>
      </c>
      <c r="C5" s="77" t="s">
        <v>66</v>
      </c>
      <c r="D5" s="77" t="s">
        <v>436</v>
      </c>
      <c r="E5" s="77" t="s">
        <v>68</v>
      </c>
      <c r="F5" s="105" t="s">
        <v>31</v>
      </c>
      <c r="G5" s="78" t="s">
        <v>22</v>
      </c>
      <c r="H5" s="76" t="s">
        <v>69</v>
      </c>
      <c r="I5" s="78" t="s">
        <v>70</v>
      </c>
    </row>
    <row r="6" spans="1:9" s="75" customFormat="1" ht="15.75" customHeight="1">
      <c r="A6" s="80"/>
      <c r="B6" s="121" t="s">
        <v>80</v>
      </c>
      <c r="C6" s="81" t="s">
        <v>76</v>
      </c>
      <c r="D6" s="106" t="s">
        <v>437</v>
      </c>
      <c r="E6" s="106" t="s">
        <v>438</v>
      </c>
      <c r="F6" s="82" t="s">
        <v>439</v>
      </c>
      <c r="G6" s="85"/>
      <c r="H6" s="84" t="str">
        <f>"MS."&amp;LEFT(C6,4)&amp;"P"&amp;RIGHT(C6,4)&amp;"."&amp;D6</f>
        <v>MS.MSUAP0030.SloNo</v>
      </c>
      <c r="I6" s="85" t="str">
        <f>"MS."&amp;LEFT(C6,4)&amp;"L"&amp;RIGHT(C6,4)&amp;"."&amp;D6</f>
        <v>MS.MSUAL0030.SloNo</v>
      </c>
    </row>
    <row r="7" spans="1:9" s="75" customFormat="1" ht="33" customHeight="1">
      <c r="A7" s="80"/>
      <c r="B7" s="121" t="s">
        <v>80</v>
      </c>
      <c r="C7" s="81" t="s">
        <v>76</v>
      </c>
      <c r="D7" s="106" t="s">
        <v>440</v>
      </c>
      <c r="E7" s="106" t="s">
        <v>441</v>
      </c>
      <c r="F7" s="82" t="s">
        <v>442</v>
      </c>
      <c r="G7" s="85"/>
      <c r="H7" s="84" t="str">
        <f t="shared" ref="H7:H13" si="0">"MS."&amp;LEFT(C7,4)&amp;"P"&amp;RIGHT(C7,4)&amp;"."&amp;D7</f>
        <v>MS.MSUAP0030.Sno1_WrkNo</v>
      </c>
      <c r="I7" s="85" t="str">
        <f t="shared" ref="I7:I13" si="1">"MS."&amp;LEFT(C7,4)&amp;"L"&amp;RIGHT(C7,4)&amp;"."&amp;D7</f>
        <v>MS.MSUAL0030.Sno1_WrkNo</v>
      </c>
    </row>
    <row r="8" spans="1:9" s="75" customFormat="1" ht="15.75" customHeight="1">
      <c r="A8" s="80"/>
      <c r="B8" s="121" t="s">
        <v>80</v>
      </c>
      <c r="C8" s="81" t="s">
        <v>76</v>
      </c>
      <c r="D8" s="106" t="s">
        <v>443</v>
      </c>
      <c r="E8" s="106" t="s">
        <v>444</v>
      </c>
      <c r="F8" s="82" t="s">
        <v>445</v>
      </c>
      <c r="G8" s="85"/>
      <c r="H8" s="84" t="str">
        <f t="shared" si="0"/>
        <v>MS.MSUAP0030.WrkNo</v>
      </c>
      <c r="I8" s="85" t="str">
        <f t="shared" si="1"/>
        <v>MS.MSUAL0030.WrkNo</v>
      </c>
    </row>
    <row r="9" spans="1:9" s="75" customFormat="1" ht="15.75" customHeight="1">
      <c r="A9" s="80"/>
      <c r="B9" s="121" t="s">
        <v>446</v>
      </c>
      <c r="C9" s="81" t="s">
        <v>128</v>
      </c>
      <c r="D9" s="106" t="s">
        <v>447</v>
      </c>
      <c r="E9" s="106" t="s">
        <v>448</v>
      </c>
      <c r="F9" s="82" t="s">
        <v>449</v>
      </c>
      <c r="G9" s="85"/>
      <c r="H9" s="84" t="str">
        <f t="shared" si="0"/>
        <v>MS.MSUAP0040.MfgInstNo</v>
      </c>
      <c r="I9" s="85" t="str">
        <f t="shared" si="1"/>
        <v>MS.MSUAL0040.MfgInstNo</v>
      </c>
    </row>
    <row r="10" spans="1:9" s="75" customFormat="1" ht="15.75" customHeight="1">
      <c r="A10" s="80"/>
      <c r="B10" s="121" t="s">
        <v>428</v>
      </c>
      <c r="C10" s="81" t="s">
        <v>148</v>
      </c>
      <c r="D10" s="106" t="s">
        <v>450</v>
      </c>
      <c r="E10" s="106" t="s">
        <v>451</v>
      </c>
      <c r="F10" s="82" t="s">
        <v>452</v>
      </c>
      <c r="G10" s="107"/>
      <c r="H10" s="84" t="str">
        <f t="shared" si="0"/>
        <v>MS.MSUAP0060.DlvId</v>
      </c>
      <c r="I10" s="85" t="str">
        <f t="shared" si="1"/>
        <v>MS.MSUAL0060.DlvId</v>
      </c>
    </row>
    <row r="11" spans="1:9" s="75" customFormat="1" ht="15.75" customHeight="1">
      <c r="A11" s="80"/>
      <c r="B11" s="121" t="s">
        <v>428</v>
      </c>
      <c r="C11" s="81" t="s">
        <v>148</v>
      </c>
      <c r="D11" s="106" t="s">
        <v>453</v>
      </c>
      <c r="E11" s="106" t="s">
        <v>454</v>
      </c>
      <c r="F11" s="82" t="s">
        <v>455</v>
      </c>
      <c r="G11" s="107"/>
      <c r="H11" s="84" t="str">
        <f t="shared" si="0"/>
        <v>MS.MSUAP0060.ShipRqstId</v>
      </c>
      <c r="I11" s="85" t="str">
        <f t="shared" si="1"/>
        <v>MS.MSUAL0060.ShipRqstId</v>
      </c>
    </row>
    <row r="12" spans="1:9" s="75" customFormat="1" ht="15.75" customHeight="1">
      <c r="A12" s="80"/>
      <c r="B12" s="121" t="s">
        <v>428</v>
      </c>
      <c r="C12" s="81" t="s">
        <v>148</v>
      </c>
      <c r="D12" s="106" t="s">
        <v>456</v>
      </c>
      <c r="E12" s="106" t="s">
        <v>457</v>
      </c>
      <c r="F12" s="82" t="s">
        <v>458</v>
      </c>
      <c r="G12" s="107"/>
      <c r="H12" s="84" t="str">
        <f t="shared" si="0"/>
        <v>MS.MSUAP0060.ShipToId</v>
      </c>
      <c r="I12" s="85" t="str">
        <f t="shared" si="1"/>
        <v>MS.MSUAL0060.ShipToId</v>
      </c>
    </row>
    <row r="13" spans="1:9" s="75" customFormat="1" ht="15.75" customHeight="1" thickBot="1">
      <c r="A13" s="89"/>
      <c r="B13" s="122" t="s">
        <v>459</v>
      </c>
      <c r="C13" s="90" t="s">
        <v>153</v>
      </c>
      <c r="D13" s="108" t="s">
        <v>460</v>
      </c>
      <c r="E13" s="108" t="s">
        <v>461</v>
      </c>
      <c r="F13" s="91" t="s">
        <v>462</v>
      </c>
      <c r="G13" s="109"/>
      <c r="H13" s="93" t="str">
        <f t="shared" si="0"/>
        <v>MS.MSUAP0070.LotNo</v>
      </c>
      <c r="I13" s="94" t="str">
        <f t="shared" si="1"/>
        <v>MS.MSUAL0070.LotNo</v>
      </c>
    </row>
  </sheetData>
  <phoneticPr fontId="1"/>
  <pageMargins left="0.51181102362204722" right="0.74803149606299213" top="0.70866141732283472" bottom="0.43307086614173229" header="0.51181102362204722" footer="0.35433070866141736"/>
  <pageSetup paperSize="9" scale="71" fitToHeight="0" orientation="landscape" r:id="rId1"/>
  <headerFooter alignWithMargins="0">
    <oddFooter>&amp;L&amp;"Meiryo UI,標準"&amp;10リストロジック一覧（ＳＣＭ)&amp;C&amp;"Meiryo UI,標準"&amp;10&amp;P&amp;R&amp;"Meiryo UI,標準"&amp;10(C)Toyo Business Engineering Corp.[Confidential]</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Y11:BO48"/>
  <sheetViews>
    <sheetView topLeftCell="A49" zoomScaleNormal="100" workbookViewId="0">
      <selection activeCell="BR66" sqref="BR66"/>
    </sheetView>
  </sheetViews>
  <sheetFormatPr defaultColWidth="1.1640625" defaultRowHeight="12" customHeight="1"/>
  <sheetData>
    <row r="11" spans="25:25" ht="12" customHeight="1">
      <c r="Y11" s="6"/>
    </row>
    <row r="48" spans="66:67" ht="12" customHeight="1">
      <c r="BN48" s="7"/>
      <c r="BO48" s="7"/>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EVCTUWYQZQYC-538864054-23883</_dlc_DocId>
    <_dlc_DocIdUrl xmlns="276bdb53-d102-4a67-8437-273e78fbb7dc">
      <Url>https://mitsubishielectricgroup.sharepoint.com/sites/009989/_layouts/15/DocIdRedir.aspx?ID=EVCTUWYQZQYC-538864054-23883</Url>
      <Description>EVCTUWYQZQYC-538864054-23883</Description>
    </_dlc_DocIdUrl>
  </documentManagement>
</p:properties>
</file>

<file path=customXml/itemProps1.xml><?xml version="1.0" encoding="utf-8"?>
<ds:datastoreItem xmlns:ds="http://schemas.openxmlformats.org/officeDocument/2006/customXml" ds:itemID="{2AABF17E-20D9-4251-9F30-587CD21BE940}"/>
</file>

<file path=customXml/itemProps2.xml><?xml version="1.0" encoding="utf-8"?>
<ds:datastoreItem xmlns:ds="http://schemas.openxmlformats.org/officeDocument/2006/customXml" ds:itemID="{01987DFC-D523-4430-87DB-C9525F767C47}"/>
</file>

<file path=customXml/itemProps3.xml><?xml version="1.0" encoding="utf-8"?>
<ds:datastoreItem xmlns:ds="http://schemas.openxmlformats.org/officeDocument/2006/customXml" ds:itemID="{0799E90C-DEFD-41BF-8525-4DDC69136780}"/>
</file>

<file path=customXml/itemProps4.xml><?xml version="1.0" encoding="utf-8"?>
<ds:datastoreItem xmlns:ds="http://schemas.openxmlformats.org/officeDocument/2006/customXml" ds:itemID="{53181BF2-E8D0-40D3-86CE-D1C3DACAD9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28</vt:i4>
      </vt:variant>
    </vt:vector>
  </HeadingPairs>
  <TitlesOfParts>
    <vt:vector size="36" baseType="lpstr">
      <vt:lpstr>表紙</vt:lpstr>
      <vt:lpstr>来歴</vt:lpstr>
      <vt:lpstr>承認票</vt:lpstr>
      <vt:lpstr>レビュー記録</vt:lpstr>
      <vt:lpstr>一覧（通信）</vt:lpstr>
      <vt:lpstr>一覧（非通信）</vt:lpstr>
      <vt:lpstr>一覧（入力補助画面用カラム名クラス）</vt:lpstr>
      <vt:lpstr>レイアウト素材</vt:lpstr>
      <vt:lpstr>レビュー記録!Print_Area</vt:lpstr>
      <vt:lpstr>'一覧（通信）'!Print_Area</vt:lpstr>
      <vt:lpstr>'一覧（入力補助画面用カラム名クラス）'!Print_Area</vt:lpstr>
      <vt:lpstr>'一覧（非通信）'!Print_Area</vt:lpstr>
      <vt:lpstr>承認票!Print_Area</vt:lpstr>
      <vt:lpstr>表紙!Print_Area</vt:lpstr>
      <vt:lpstr>来歴!Print_Area</vt:lpstr>
      <vt:lpstr>レビュー記録!Print_Titles</vt:lpstr>
      <vt:lpstr>'一覧（通信）'!Print_Titles</vt:lpstr>
      <vt:lpstr>'一覧（入力補助画面用カラム名クラス）'!Print_Titles</vt:lpstr>
      <vt:lpstr>'一覧（非通信）'!Print_Titles</vt:lpstr>
      <vt:lpstr>承認票!Print_Titles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Yoshikawa Hideharu</dc:creator>
  <cp:lastModifiedBy>Itou Keita</cp:lastModifiedBy>
  <cp:lastPrinted>2017-10-11T06:02:04Z</cp:lastPrinted>
  <dcterms:created xsi:type="dcterms:W3CDTF">1997-01-08T22:48:59Z</dcterms:created>
  <dcterms:modified xsi:type="dcterms:W3CDTF">2019-05-16T04:11:12Z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64e2e75c-2815-4954-bbbc-6ad7f016c987</vt:lpwstr>
  </property>
</Properties>
</file>