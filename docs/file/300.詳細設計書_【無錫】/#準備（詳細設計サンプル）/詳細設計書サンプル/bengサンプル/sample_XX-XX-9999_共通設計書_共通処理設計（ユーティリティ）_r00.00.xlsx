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drawings/drawing6.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keita-itou\Desktop\【共通T作業】\mDOC\svn\branches\V1.1\sample\"/>
    </mc:Choice>
  </mc:AlternateContent>
  <bookViews>
    <workbookView xWindow="10185" yWindow="105" windowWidth="15645" windowHeight="7440" tabRatio="759" activeTab="3"/>
  </bookViews>
  <sheets>
    <sheet name="表紙" sheetId="1" r:id="rId1"/>
    <sheet name="来歴" sheetId="80" r:id="rId2"/>
    <sheet name="承認票" sheetId="81" r:id="rId3"/>
    <sheet name="レビュー記録" sheetId="85" r:id="rId4"/>
    <sheet name="一覧（クライアント）" sheetId="82" r:id="rId5"/>
    <sheet name="一覧（サーバ）" sheetId="83" r:id="rId6"/>
    <sheet name="一覧（PLSQL）" sheetId="84" r:id="rId7"/>
    <sheet name="レイアウト素材" sheetId="24" state="hidden" r:id="rId8"/>
  </sheets>
  <externalReferences>
    <externalReference r:id="rId9"/>
  </externalReferences>
  <definedNames>
    <definedName name="_xlnm._FilterDatabase" localSheetId="6" hidden="1">'一覧（PLSQL）'!$B$5:$H$140</definedName>
    <definedName name="_xlnm._FilterDatabase" localSheetId="4" hidden="1">'一覧（クライアント）'!$B$5:$H$139</definedName>
    <definedName name="_xlnm._FilterDatabase" localSheetId="5" hidden="1">'一覧（サーバ）'!$B$5:$H$196</definedName>
    <definedName name="_xlnm.Print_Area" localSheetId="3">レビュー記録!$A$1:$I$47</definedName>
    <definedName name="_xlnm.Print_Area" localSheetId="6">'一覧（PLSQL）'!$B$1:$H$140</definedName>
    <definedName name="_xlnm.Print_Area" localSheetId="4">'一覧（クライアント）'!$B$1:$H$139</definedName>
    <definedName name="_xlnm.Print_Area" localSheetId="5">'一覧（サーバ）'!$B$1:$H$196</definedName>
    <definedName name="_xlnm.Print_Area" localSheetId="2">承認票!$A$1:$I$47</definedName>
    <definedName name="_xlnm.Print_Area" localSheetId="0">表紙!$A$1:$AX$40</definedName>
    <definedName name="_xlnm.Print_Area" localSheetId="1">来歴!$A$1:$F$40</definedName>
    <definedName name="_xlnm.Print_Titles" localSheetId="3">レビュー記録!$4:$6</definedName>
    <definedName name="_xlnm.Print_Titles" localSheetId="6">'一覧（PLSQL）'!$1:$5</definedName>
    <definedName name="_xlnm.Print_Titles" localSheetId="4">'一覧（クライアント）'!$1:$5</definedName>
    <definedName name="_xlnm.Print_Titles" localSheetId="5">'一覧（サーバ）'!$1:$5</definedName>
    <definedName name="_xlnm.Print_Titles" localSheetId="2">承認票!$4:$6</definedName>
    <definedName name="_xlnm.Print_Titles" localSheetId="1">来歴!$4:$5</definedName>
    <definedName name="Rev">表紙!$G$60</definedName>
    <definedName name="Version">表紙!$G$50</definedName>
    <definedName name="サブシステム">表紙!$G$51</definedName>
    <definedName name="システム">表紙!$G$49</definedName>
    <definedName name="プロジェクト名">表紙!$G$48</definedName>
    <definedName name="機能ID">表紙!$G$53</definedName>
    <definedName name="機能名">表紙!$G$55</definedName>
    <definedName name="顧客名">表紙!$G$47</definedName>
    <definedName name="作成者">表紙!$G$56</definedName>
    <definedName name="作成日">表紙!$G$58</definedName>
    <definedName name="修正者">表紙!$G$57</definedName>
    <definedName name="修正日">表紙!$G$59</definedName>
    <definedName name="分類ID">表紙!$G$52</definedName>
    <definedName name="分類名">表紙!$G$54</definedName>
    <definedName name="文書番号">表紙!$G$61</definedName>
  </definedNames>
  <calcPr calcId="162913" concurrentCalc="0"/>
</workbook>
</file>

<file path=xl/calcChain.xml><?xml version="1.0" encoding="utf-8"?>
<calcChain xmlns="http://schemas.openxmlformats.org/spreadsheetml/2006/main">
  <c r="BI73" i="1" l="1"/>
  <c r="BE73" i="1"/>
  <c r="BC73" i="1"/>
  <c r="BJ72" i="1"/>
  <c r="BI72" i="1"/>
  <c r="BG72" i="1"/>
  <c r="BE72" i="1"/>
  <c r="BC72" i="1"/>
  <c r="BI71" i="1"/>
  <c r="BG71" i="1"/>
  <c r="BE71" i="1"/>
  <c r="BC71" i="1"/>
  <c r="BI69" i="1"/>
  <c r="BE69" i="1"/>
  <c r="BC69" i="1"/>
  <c r="BJ68" i="1"/>
  <c r="BI68" i="1"/>
  <c r="BG68" i="1"/>
  <c r="BE68" i="1"/>
  <c r="BC68" i="1"/>
  <c r="BI67" i="1"/>
  <c r="BG67" i="1"/>
  <c r="BE67" i="1"/>
  <c r="BC67" i="1"/>
  <c r="BI65" i="1"/>
  <c r="BE65" i="1"/>
  <c r="BC65" i="1"/>
  <c r="BJ64" i="1"/>
  <c r="BI64" i="1"/>
  <c r="BG64" i="1"/>
  <c r="BE64" i="1"/>
  <c r="BC64" i="1"/>
  <c r="BI63" i="1"/>
  <c r="BG63" i="1"/>
  <c r="BE63" i="1"/>
  <c r="BC63" i="1"/>
  <c r="BI61" i="1"/>
  <c r="BE61" i="1"/>
  <c r="BC61" i="1"/>
  <c r="BJ60" i="1"/>
  <c r="BI60" i="1"/>
  <c r="BG60" i="1"/>
  <c r="BE60" i="1"/>
  <c r="BC60" i="1"/>
  <c r="BI59" i="1"/>
  <c r="BG59" i="1"/>
  <c r="BE59" i="1"/>
  <c r="BC59" i="1"/>
  <c r="BI57" i="1"/>
  <c r="BE57" i="1"/>
  <c r="BC57" i="1"/>
  <c r="BJ56" i="1"/>
  <c r="BI56" i="1"/>
  <c r="BG56" i="1"/>
  <c r="BE56" i="1"/>
  <c r="BC56" i="1"/>
  <c r="BI55" i="1"/>
  <c r="BG55" i="1"/>
  <c r="BE55" i="1"/>
  <c r="BC55" i="1"/>
  <c r="G60" i="1"/>
  <c r="BI49" i="1"/>
  <c r="G59" i="1"/>
  <c r="BI52" i="1"/>
  <c r="G58" i="1"/>
  <c r="BE53" i="1"/>
  <c r="BC53" i="1"/>
  <c r="BJ52" i="1"/>
  <c r="BG52" i="1"/>
  <c r="BE52" i="1"/>
  <c r="BC52" i="1"/>
  <c r="BI51" i="1"/>
  <c r="BG51" i="1"/>
  <c r="BE51" i="1"/>
  <c r="BC51" i="1"/>
  <c r="BE49" i="1"/>
  <c r="BC49" i="1"/>
  <c r="BJ48" i="1"/>
  <c r="BG48" i="1"/>
  <c r="BE48" i="1"/>
  <c r="BC48" i="1"/>
  <c r="BI47" i="1"/>
  <c r="BG47" i="1"/>
  <c r="BE47" i="1"/>
  <c r="BC47" i="1"/>
  <c r="BI53" i="1"/>
  <c r="BI48" i="1"/>
  <c r="V29" i="1"/>
  <c r="V31" i="1"/>
  <c r="V30" i="1"/>
  <c r="AB29" i="1"/>
  <c r="V28" i="1"/>
  <c r="V27" i="1"/>
  <c r="AL5" i="1"/>
  <c r="AF5" i="1"/>
  <c r="AR5" i="1"/>
</calcChain>
</file>

<file path=xl/sharedStrings.xml><?xml version="1.0" encoding="utf-8"?>
<sst xmlns="http://schemas.openxmlformats.org/spreadsheetml/2006/main" count="2951" uniqueCount="1556">
  <si>
    <t>文書番号</t>
    <rPh sb="0" eb="2">
      <t>ブンショ</t>
    </rPh>
    <rPh sb="2" eb="4">
      <t>バンゴウ</t>
    </rPh>
    <phoneticPr fontId="1"/>
  </si>
  <si>
    <t>Revision</t>
    <phoneticPr fontId="1"/>
  </si>
  <si>
    <t>顧客名</t>
    <rPh sb="0" eb="2">
      <t>コキャク</t>
    </rPh>
    <rPh sb="2" eb="3">
      <t>メイ</t>
    </rPh>
    <phoneticPr fontId="1"/>
  </si>
  <si>
    <t>プロジェクト名</t>
    <rPh sb="6" eb="7">
      <t>メイ</t>
    </rPh>
    <phoneticPr fontId="1"/>
  </si>
  <si>
    <t>分類ID/機能ID</t>
    <rPh sb="0" eb="2">
      <t>ブンルイ</t>
    </rPh>
    <rPh sb="5" eb="7">
      <t>キノウ</t>
    </rPh>
    <phoneticPr fontId="1"/>
  </si>
  <si>
    <t>分類名</t>
    <rPh sb="0" eb="2">
      <t>ブンルイ</t>
    </rPh>
    <rPh sb="2" eb="3">
      <t>メイ</t>
    </rPh>
    <phoneticPr fontId="1"/>
  </si>
  <si>
    <t>機能名</t>
    <rPh sb="0" eb="3">
      <t>キノウメイ</t>
    </rPh>
    <phoneticPr fontId="1"/>
  </si>
  <si>
    <t>システム</t>
    <phoneticPr fontId="1"/>
  </si>
  <si>
    <t>修正者</t>
    <rPh sb="0" eb="2">
      <t>シュウセイ</t>
    </rPh>
    <rPh sb="2" eb="3">
      <t>シャ</t>
    </rPh>
    <phoneticPr fontId="1"/>
  </si>
  <si>
    <t>修正日</t>
    <rPh sb="0" eb="2">
      <t>シュウセイ</t>
    </rPh>
    <rPh sb="2" eb="3">
      <t>ビ</t>
    </rPh>
    <phoneticPr fontId="1"/>
  </si>
  <si>
    <t>機能ID</t>
    <rPh sb="0" eb="2">
      <t>キノウ</t>
    </rPh>
    <phoneticPr fontId="1"/>
  </si>
  <si>
    <t>システム</t>
    <phoneticPr fontId="1"/>
  </si>
  <si>
    <t>サブシステム</t>
    <phoneticPr fontId="1"/>
  </si>
  <si>
    <t>作成者</t>
    <rPh sb="0" eb="3">
      <t>サクセイシャ</t>
    </rPh>
    <phoneticPr fontId="1"/>
  </si>
  <si>
    <t>作成日</t>
    <rPh sb="0" eb="3">
      <t>サクセイビ</t>
    </rPh>
    <phoneticPr fontId="1"/>
  </si>
  <si>
    <t>Rev</t>
    <phoneticPr fontId="1"/>
  </si>
  <si>
    <t>分類ID</t>
    <rPh sb="0" eb="2">
      <t>ブンルイ</t>
    </rPh>
    <phoneticPr fontId="1"/>
  </si>
  <si>
    <t>Version</t>
    <phoneticPr fontId="1"/>
  </si>
  <si>
    <t>※ここを変更してください</t>
    <rPh sb="4" eb="6">
      <t>ヘンコウ</t>
    </rPh>
    <phoneticPr fontId="1"/>
  </si>
  <si>
    <t>来歴</t>
    <rPh sb="0" eb="2">
      <t>ライレキ</t>
    </rPh>
    <phoneticPr fontId="1"/>
  </si>
  <si>
    <t>変更内容及び変更理由</t>
    <rPh sb="0" eb="2">
      <t>ヘンコウ</t>
    </rPh>
    <rPh sb="2" eb="4">
      <t>ナイヨウ</t>
    </rPh>
    <rPh sb="4" eb="5">
      <t>オヨ</t>
    </rPh>
    <rPh sb="6" eb="8">
      <t>ヘンコウ</t>
    </rPh>
    <rPh sb="8" eb="10">
      <t>リユウ</t>
    </rPh>
    <phoneticPr fontId="1"/>
  </si>
  <si>
    <t>最終更新者</t>
    <rPh sb="0" eb="2">
      <t>サイシュウ</t>
    </rPh>
    <rPh sb="2" eb="5">
      <t>コウシンシャ</t>
    </rPh>
    <phoneticPr fontId="1"/>
  </si>
  <si>
    <t>最終更新日</t>
    <rPh sb="0" eb="2">
      <t>サイシュウ</t>
    </rPh>
    <rPh sb="2" eb="5">
      <t>コウシンビ</t>
    </rPh>
    <phoneticPr fontId="1"/>
  </si>
  <si>
    <t>備考</t>
    <rPh sb="0" eb="2">
      <t>ビコウ</t>
    </rPh>
    <phoneticPr fontId="1"/>
  </si>
  <si>
    <t>Rev.</t>
    <phoneticPr fontId="1"/>
  </si>
  <si>
    <t>No</t>
    <phoneticPr fontId="1"/>
  </si>
  <si>
    <t>承認票</t>
    <rPh sb="0" eb="2">
      <t>ショウニン</t>
    </rPh>
    <rPh sb="2" eb="3">
      <t>ヒョウ</t>
    </rPh>
    <phoneticPr fontId="1"/>
  </si>
  <si>
    <t>確認者</t>
    <rPh sb="0" eb="2">
      <t>カクニン</t>
    </rPh>
    <rPh sb="2" eb="3">
      <t>シャ</t>
    </rPh>
    <phoneticPr fontId="1"/>
  </si>
  <si>
    <t>承認者</t>
    <rPh sb="0" eb="2">
      <t>ショウニン</t>
    </rPh>
    <rPh sb="2" eb="3">
      <t>シャ</t>
    </rPh>
    <phoneticPr fontId="1"/>
  </si>
  <si>
    <t>責任者</t>
    <rPh sb="0" eb="3">
      <t>セキニンシャ</t>
    </rPh>
    <phoneticPr fontId="1"/>
  </si>
  <si>
    <t>計算</t>
    <rPh sb="0" eb="2">
      <t>ケイサン</t>
    </rPh>
    <phoneticPr fontId="1"/>
  </si>
  <si>
    <t>東洋ﾋﾞｼﾞﾈｽｴﾝｼﾞﾆｱﾘﾝｸﾞ㈱</t>
    <rPh sb="0" eb="2">
      <t>トウヨウ</t>
    </rPh>
    <phoneticPr fontId="1"/>
  </si>
  <si>
    <t>新基幹システム構築プロジェクト</t>
    <phoneticPr fontId="1"/>
  </si>
  <si>
    <t>mcframe7</t>
    <phoneticPr fontId="1"/>
  </si>
  <si>
    <t>共通処理設計</t>
    <rPh sb="0" eb="2">
      <t>キョウツウ</t>
    </rPh>
    <rPh sb="2" eb="4">
      <t>ショリ</t>
    </rPh>
    <rPh sb="4" eb="6">
      <t>セッケイ</t>
    </rPh>
    <phoneticPr fontId="1"/>
  </si>
  <si>
    <t>共通設計一覧</t>
    <rPh sb="0" eb="2">
      <t>キョウツウ</t>
    </rPh>
    <rPh sb="2" eb="4">
      <t>セッケイ</t>
    </rPh>
    <rPh sb="4" eb="6">
      <t>イチラン</t>
    </rPh>
    <phoneticPr fontId="1"/>
  </si>
  <si>
    <t>機能概要</t>
    <rPh sb="0" eb="2">
      <t>キノウ</t>
    </rPh>
    <rPh sb="2" eb="4">
      <t>ガイヨウ</t>
    </rPh>
    <phoneticPr fontId="1"/>
  </si>
  <si>
    <t>共通設計（PLSQL）</t>
    <rPh sb="0" eb="2">
      <t>キョウツウ</t>
    </rPh>
    <rPh sb="2" eb="4">
      <t>セッケイ</t>
    </rPh>
    <phoneticPr fontId="1"/>
  </si>
  <si>
    <t>株式会社XXXX殿</t>
    <phoneticPr fontId="1"/>
  </si>
  <si>
    <t>XX</t>
    <phoneticPr fontId="1"/>
  </si>
  <si>
    <t>XX</t>
    <phoneticPr fontId="1"/>
  </si>
  <si>
    <t>XX-XX-9999</t>
    <phoneticPr fontId="1"/>
  </si>
  <si>
    <t>株式会社XXXX殿</t>
    <rPh sb="0" eb="4">
      <t>カブシキガイシャ</t>
    </rPh>
    <rPh sb="8" eb="9">
      <t>トノ</t>
    </rPh>
    <phoneticPr fontId="1"/>
  </si>
  <si>
    <t>7.0.1.1</t>
    <phoneticPr fontId="1"/>
  </si>
  <si>
    <t>r00.00</t>
  </si>
  <si>
    <t>新規作成</t>
    <rPh sb="0" eb="4">
      <t>シンキサクセイ</t>
    </rPh>
    <phoneticPr fontId="1"/>
  </si>
  <si>
    <t>XX</t>
  </si>
  <si>
    <t>r00.01</t>
  </si>
  <si>
    <t>内部レビュー指摘修正</t>
    <rPh sb="0" eb="2">
      <t>ナイブ</t>
    </rPh>
    <rPh sb="6" eb="8">
      <t>シテキ</t>
    </rPh>
    <rPh sb="8" eb="10">
      <t>シュウセイ</t>
    </rPh>
    <phoneticPr fontId="1"/>
  </si>
  <si>
    <t>r01.00</t>
  </si>
  <si>
    <t>基本設計フェーズ成果物として納品</t>
    <rPh sb="0" eb="2">
      <t>キホン</t>
    </rPh>
    <rPh sb="2" eb="4">
      <t>セッケイ</t>
    </rPh>
    <phoneticPr fontId="1"/>
  </si>
  <si>
    <t>r01.01</t>
  </si>
  <si>
    <t>r02.00</t>
  </si>
  <si>
    <t>詳細設計フェーズ成果物として納品</t>
    <rPh sb="0" eb="2">
      <t>ショウサイ</t>
    </rPh>
    <rPh sb="2" eb="4">
      <t>セッケイ</t>
    </rPh>
    <phoneticPr fontId="1"/>
  </si>
  <si>
    <t>Rev.</t>
    <phoneticPr fontId="1"/>
  </si>
  <si>
    <t>r01.00</t>
    <phoneticPr fontId="1"/>
  </si>
  <si>
    <t>基本設計フェーズ成果物として納品</t>
    <phoneticPr fontId="1"/>
  </si>
  <si>
    <t>XX</t>
    <phoneticPr fontId="1"/>
  </si>
  <si>
    <t>PM(XX)</t>
    <phoneticPr fontId="1"/>
  </si>
  <si>
    <t>プロジェクト</t>
    <phoneticPr fontId="1"/>
  </si>
  <si>
    <t>XX-XX-9999_共通設計書_共通処理設計（PLSQL）_r00.00をもとに新規作成</t>
    <rPh sb="41" eb="43">
      <t>シンキ</t>
    </rPh>
    <rPh sb="43" eb="45">
      <t>サクセイ</t>
    </rPh>
    <phoneticPr fontId="1"/>
  </si>
  <si>
    <t>MAPA_COMM</t>
    <phoneticPr fontId="1"/>
  </si>
  <si>
    <t>共通ユーティリティ</t>
    <rPh sb="0" eb="2">
      <t>キョウツウ</t>
    </rPh>
    <phoneticPr fontId="1"/>
  </si>
  <si>
    <t>F_GET_GP</t>
    <phoneticPr fontId="1"/>
  </si>
  <si>
    <t>指定した取引ＣＤに応じた取引情報を取得する</t>
    <phoneticPr fontId="1"/>
  </si>
  <si>
    <t>取引情報</t>
    <rPh sb="0" eb="4">
      <t>トリヒキジョウホウ</t>
    </rPh>
    <phoneticPr fontId="1"/>
  </si>
  <si>
    <t>第１引数：取引パタン区分</t>
    <rPh sb="0" eb="1">
      <t>ダイ</t>
    </rPh>
    <rPh sb="2" eb="4">
      <t>ヒキスウ</t>
    </rPh>
    <rPh sb="5" eb="7">
      <t>トリヒキ</t>
    </rPh>
    <rPh sb="10" eb="12">
      <t>クブン</t>
    </rPh>
    <phoneticPr fontId="1"/>
  </si>
  <si>
    <t>getTrdNoCache</t>
  </si>
  <si>
    <t>MAUCP1060</t>
  </si>
  <si>
    <t>指定した取引パタン区分で自動時採用フラグがオンのものをデフォルト取引ＣＤとして取得する</t>
    <rPh sb="39" eb="41">
      <t>シュトク</t>
    </rPh>
    <phoneticPr fontId="1"/>
  </si>
  <si>
    <t>取引ＣＤ</t>
    <rPh sb="0" eb="2">
      <t>トリヒキ</t>
    </rPh>
    <phoneticPr fontId="1"/>
  </si>
  <si>
    <t>getDefaultTrdCdNoCache</t>
  </si>
  <si>
    <t>MAUCP1060</t>
    <phoneticPr fontId="1"/>
  </si>
  <si>
    <t>全ての画面部品にNULL文字入力不可のVCイベントを追加する</t>
    <rPh sb="3" eb="5">
      <t>ガメン</t>
    </rPh>
    <rPh sb="5" eb="7">
      <t>ブヒン</t>
    </rPh>
    <phoneticPr fontId="1"/>
  </si>
  <si>
    <t>なし</t>
    <phoneticPr fontId="1"/>
  </si>
  <si>
    <t>第１引数：画面</t>
  </si>
  <si>
    <t>setNullValVC</t>
    <phoneticPr fontId="1"/>
  </si>
  <si>
    <t>Beansユーティリティ</t>
    <phoneticPr fontId="1"/>
  </si>
  <si>
    <t>MAUCP1050</t>
    <phoneticPr fontId="1"/>
  </si>
  <si>
    <t>指定したパネル内の全項目をクリアする</t>
    <rPh sb="0" eb="2">
      <t>シテイ</t>
    </rPh>
    <rPh sb="7" eb="8">
      <t>ナイ</t>
    </rPh>
    <rPh sb="9" eb="10">
      <t>ゼン</t>
    </rPh>
    <rPh sb="10" eb="12">
      <t>コウモク</t>
    </rPh>
    <phoneticPr fontId="1"/>
  </si>
  <si>
    <t>なし</t>
    <phoneticPr fontId="1"/>
  </si>
  <si>
    <t>第１引数：画面
第２引数：パネル</t>
    <rPh sb="0" eb="1">
      <t>ダイ</t>
    </rPh>
    <rPh sb="2" eb="4">
      <t>ヒキスウ</t>
    </rPh>
    <phoneticPr fontId="1"/>
  </si>
  <si>
    <t>setNull</t>
    <phoneticPr fontId="1"/>
  </si>
  <si>
    <t>MAUCP1050</t>
    <phoneticPr fontId="1"/>
  </si>
  <si>
    <t>指定したフィールドに初期値を設定する</t>
    <phoneticPr fontId="1"/>
  </si>
  <si>
    <t>なし</t>
    <phoneticPr fontId="1"/>
  </si>
  <si>
    <t>第１引数：フィールド
第２引数以降：カラム名</t>
    <rPh sb="0" eb="1">
      <t>ダイ</t>
    </rPh>
    <rPh sb="2" eb="4">
      <t>ヒキスウ</t>
    </rPh>
    <rPh sb="11" eb="12">
      <t>ダイ</t>
    </rPh>
    <rPh sb="13" eb="15">
      <t>ヒキスウ</t>
    </rPh>
    <rPh sb="15" eb="17">
      <t>イコウ</t>
    </rPh>
    <rPh sb="21" eb="22">
      <t>メイ</t>
    </rPh>
    <phoneticPr fontId="1"/>
  </si>
  <si>
    <t>setDefaultValue</t>
  </si>
  <si>
    <t>Beansユーティリティ</t>
  </si>
  <si>
    <t>MAUCP1050</t>
  </si>
  <si>
    <t>全行の指定したカラムに初期値を設定する</t>
  </si>
  <si>
    <t>なし</t>
    <phoneticPr fontId="1"/>
  </si>
  <si>
    <t>第１引数：テーブルカラム
第２引数以降：カラム名</t>
    <phoneticPr fontId="1"/>
  </si>
  <si>
    <t>全行の指定したカラムに初期値を設定する
指定したステータスと一致しない場合は設定しない</t>
    <rPh sb="0" eb="2">
      <t>ゼンギョウ</t>
    </rPh>
    <rPh sb="3" eb="5">
      <t>シテイ</t>
    </rPh>
    <rPh sb="11" eb="14">
      <t>ショキチ</t>
    </rPh>
    <rPh sb="15" eb="17">
      <t>セッテイ</t>
    </rPh>
    <phoneticPr fontId="1"/>
  </si>
  <si>
    <t>第１引数：テーブルカラム
第２引数：ステータスの配列
第３引数以降：カラム名</t>
    <phoneticPr fontId="1"/>
  </si>
  <si>
    <t>指定した行のカラムに初期値を設定する</t>
    <rPh sb="0" eb="2">
      <t>シテイ</t>
    </rPh>
    <rPh sb="4" eb="5">
      <t>ギョウ</t>
    </rPh>
    <rPh sb="10" eb="13">
      <t>ショキチ</t>
    </rPh>
    <rPh sb="14" eb="16">
      <t>セッテイ</t>
    </rPh>
    <phoneticPr fontId="1"/>
  </si>
  <si>
    <t>第１引数：テーブルカラム
第２引数：行番号
第３引数以降：カラム名</t>
    <phoneticPr fontId="1"/>
  </si>
  <si>
    <t>指定した行のカラムに初期値を設定する
指定したステータスと一致しない場合は設定しない</t>
    <rPh sb="0" eb="2">
      <t>シテイ</t>
    </rPh>
    <rPh sb="4" eb="5">
      <t>ギョウ</t>
    </rPh>
    <rPh sb="10" eb="13">
      <t>ショキチ</t>
    </rPh>
    <rPh sb="14" eb="16">
      <t>セッテイ</t>
    </rPh>
    <rPh sb="19" eb="21">
      <t>シテイ</t>
    </rPh>
    <rPh sb="29" eb="31">
      <t>イッチ</t>
    </rPh>
    <rPh sb="34" eb="36">
      <t>バアイ</t>
    </rPh>
    <rPh sb="37" eb="39">
      <t>セッテイ</t>
    </rPh>
    <phoneticPr fontId="1"/>
  </si>
  <si>
    <t>第１引数：テーブルカラム
第２引数：行番号
第３引数：ステータスの配列
第４引数以降：カラム名</t>
    <phoneticPr fontId="1"/>
  </si>
  <si>
    <t>引数で指定した画面部品を全ての画面ステータスで非表示状態にする</t>
    <rPh sb="7" eb="11">
      <t>ガメンブヒン</t>
    </rPh>
    <phoneticPr fontId="1"/>
  </si>
  <si>
    <t>第１引数：画面部品
第２引数：基底画面
第３引数：画面</t>
    <rPh sb="0" eb="1">
      <t>ダイ</t>
    </rPh>
    <rPh sb="2" eb="4">
      <t>ヒキスウ</t>
    </rPh>
    <rPh sb="5" eb="9">
      <t>ガメンブヒン</t>
    </rPh>
    <rPh sb="10" eb="11">
      <t>ダイ</t>
    </rPh>
    <rPh sb="12" eb="14">
      <t>ヒキスウ</t>
    </rPh>
    <rPh sb="15" eb="17">
      <t>キテイ</t>
    </rPh>
    <rPh sb="17" eb="19">
      <t>ガメン</t>
    </rPh>
    <rPh sb="20" eb="21">
      <t>ダイ</t>
    </rPh>
    <rPh sb="22" eb="24">
      <t>ヒキスウ</t>
    </rPh>
    <rPh sb="25" eb="27">
      <t>ガメン</t>
    </rPh>
    <phoneticPr fontId="1"/>
  </si>
  <si>
    <t>setComponentInvisibleAllStatus</t>
  </si>
  <si>
    <t>リストロジックのカラム名と画面のカラム名が違う場合の関連付けを行う</t>
    <rPh sb="31" eb="32">
      <t>オコナ</t>
    </rPh>
    <phoneticPr fontId="1"/>
  </si>
  <si>
    <t>第１引数：画面</t>
    <rPh sb="0" eb="1">
      <t>ダイ</t>
    </rPh>
    <rPh sb="2" eb="4">
      <t>ヒキスウ</t>
    </rPh>
    <rPh sb="5" eb="7">
      <t>ガメン</t>
    </rPh>
    <phoneticPr fontId="1"/>
  </si>
  <si>
    <t>listInitCustom</t>
  </si>
  <si>
    <t>表示制御キーに対応するシステムパラメータがオフ（非表示）のとき、trueを返す</t>
    <rPh sb="37" eb="38">
      <t>カエ</t>
    </rPh>
    <phoneticPr fontId="1"/>
  </si>
  <si>
    <t>非表示かどうか</t>
    <rPh sb="0" eb="3">
      <t>ヒヒョウジ</t>
    </rPh>
    <phoneticPr fontId="1"/>
  </si>
  <si>
    <t>第１引数：表示制御キー
第２引数：画面</t>
    <rPh sb="0" eb="1">
      <t>ダイ</t>
    </rPh>
    <rPh sb="2" eb="4">
      <t>ヒキスウ</t>
    </rPh>
    <rPh sb="5" eb="9">
      <t>ヒョウジセイギョ</t>
    </rPh>
    <rPh sb="12" eb="13">
      <t>ダイ</t>
    </rPh>
    <rPh sb="14" eb="16">
      <t>ヒキスウ</t>
    </rPh>
    <rPh sb="17" eb="19">
      <t>ガメン</t>
    </rPh>
    <phoneticPr fontId="1"/>
  </si>
  <si>
    <t>isInvisibleBySysParam</t>
  </si>
  <si>
    <t>入力可能なセルかどうかを返す</t>
    <rPh sb="0" eb="2">
      <t>ニュウリョク</t>
    </rPh>
    <rPh sb="2" eb="4">
      <t>カノウ</t>
    </rPh>
    <phoneticPr fontId="1"/>
  </si>
  <si>
    <t>入力可能かどうか</t>
    <rPh sb="0" eb="2">
      <t>ニュウリョク</t>
    </rPh>
    <rPh sb="2" eb="4">
      <t>カノウ</t>
    </rPh>
    <phoneticPr fontId="1"/>
  </si>
  <si>
    <t>第１引数：テーブルカラム
第２引数：行番号</t>
    <rPh sb="18" eb="21">
      <t>ギョウバンゴウ</t>
    </rPh>
    <phoneticPr fontId="1"/>
  </si>
  <si>
    <t>isCellEditable</t>
    <phoneticPr fontId="1"/>
  </si>
  <si>
    <t>テーブルカラムの値を取得する</t>
    <rPh sb="8" eb="9">
      <t>アタイ</t>
    </rPh>
    <rPh sb="10" eb="12">
      <t>シュトク</t>
    </rPh>
    <phoneticPr fontId="1"/>
  </si>
  <si>
    <t>値</t>
    <rPh sb="0" eb="1">
      <t>アタイ</t>
    </rPh>
    <phoneticPr fontId="1"/>
  </si>
  <si>
    <t>第１引数：テーブルカラム
第２引数：テーブル上の行番号</t>
    <rPh sb="0" eb="1">
      <t>ダイ</t>
    </rPh>
    <rPh sb="2" eb="4">
      <t>ヒキスウ</t>
    </rPh>
    <rPh sb="13" eb="14">
      <t>ダイ</t>
    </rPh>
    <rPh sb="15" eb="17">
      <t>ヒキスウ</t>
    </rPh>
    <rPh sb="22" eb="23">
      <t>ジョウ</t>
    </rPh>
    <rPh sb="24" eb="27">
      <t>ギョウバンゴウ</t>
    </rPh>
    <phoneticPr fontId="1"/>
  </si>
  <si>
    <t>getValueOf</t>
  </si>
  <si>
    <t>画面部品の値を取得する</t>
    <rPh sb="0" eb="4">
      <t>ガメンブヒン</t>
    </rPh>
    <rPh sb="5" eb="6">
      <t>アタイ</t>
    </rPh>
    <rPh sb="7" eb="9">
      <t>シュトク</t>
    </rPh>
    <phoneticPr fontId="1"/>
  </si>
  <si>
    <t>第１引数：画面部品</t>
    <rPh sb="0" eb="1">
      <t>ダイ</t>
    </rPh>
    <rPh sb="2" eb="4">
      <t>ヒキスウ</t>
    </rPh>
    <phoneticPr fontId="1"/>
  </si>
  <si>
    <t>画面部品からMCRowBeansのオブジェクトを取得する</t>
    <rPh sb="0" eb="2">
      <t>ガメン</t>
    </rPh>
    <rPh sb="2" eb="4">
      <t>ブヒン</t>
    </rPh>
    <rPh sb="24" eb="26">
      <t>シュトク</t>
    </rPh>
    <phoneticPr fontId="1"/>
  </si>
  <si>
    <t>ロウビーンズの配列</t>
    <rPh sb="7" eb="9">
      <t>ハイレツ</t>
    </rPh>
    <phoneticPr fontId="1"/>
  </si>
  <si>
    <t>第１引数以降：画面部品</t>
    <rPh sb="0" eb="1">
      <t>ダイ</t>
    </rPh>
    <rPh sb="2" eb="4">
      <t>ヒキスウ</t>
    </rPh>
    <rPh sb="4" eb="6">
      <t>イコウ</t>
    </rPh>
    <phoneticPr fontId="1"/>
  </si>
  <si>
    <t>getMCRowBeans</t>
  </si>
  <si>
    <t>画面部品からカラムコンフィグを取得する</t>
    <rPh sb="0" eb="4">
      <t>ガメンブヒン</t>
    </rPh>
    <rPh sb="15" eb="17">
      <t>シュトク</t>
    </rPh>
    <phoneticPr fontId="1"/>
  </si>
  <si>
    <t>カラムコンフィグの配列</t>
    <rPh sb="9" eb="11">
      <t>ハイレツ</t>
    </rPh>
    <phoneticPr fontId="1"/>
  </si>
  <si>
    <t>第１引数以降：画面部品</t>
    <rPh sb="0" eb="1">
      <t>ダイ</t>
    </rPh>
    <rPh sb="2" eb="4">
      <t>ヒキスウ</t>
    </rPh>
    <rPh sb="4" eb="6">
      <t>イコウ</t>
    </rPh>
    <rPh sb="7" eb="11">
      <t>ガメンブヒン</t>
    </rPh>
    <phoneticPr fontId="1"/>
  </si>
  <si>
    <t>getMCColumnConfig</t>
  </si>
  <si>
    <t>linkBeansToISPanelに渡す引数の配列を取得する</t>
    <rPh sb="27" eb="29">
      <t>シュトク</t>
    </rPh>
    <phoneticPr fontId="1"/>
  </si>
  <si>
    <t>引数配列</t>
    <rPh sb="0" eb="2">
      <t>ヒキスウ</t>
    </rPh>
    <rPh sb="2" eb="4">
      <t>ハイレツ</t>
    </rPh>
    <phoneticPr fontId="1"/>
  </si>
  <si>
    <t>第１引数：プッターの配列</t>
    <rPh sb="0" eb="1">
      <t>ダイ</t>
    </rPh>
    <rPh sb="2" eb="4">
      <t>ヒキスウ</t>
    </rPh>
    <rPh sb="10" eb="12">
      <t>ハイレツ</t>
    </rPh>
    <phoneticPr fontId="1"/>
  </si>
  <si>
    <t>getLinkBeansToISPanelArgs</t>
  </si>
  <si>
    <t>入力補助画面を紐付けるメソッド（linkBeansToISPanel）に渡す引数の配列を取得する</t>
    <rPh sb="7" eb="9">
      <t>ヒモズ</t>
    </rPh>
    <rPh sb="44" eb="46">
      <t>シュトク</t>
    </rPh>
    <phoneticPr fontId="1"/>
  </si>
  <si>
    <t>引数リスト</t>
    <rPh sb="0" eb="2">
      <t>ヒキスウ</t>
    </rPh>
    <phoneticPr fontId="1"/>
  </si>
  <si>
    <t>システムパラメータにより非表示となる項目の一覧を取得する</t>
    <rPh sb="12" eb="15">
      <t>ヒヒョウジ</t>
    </rPh>
    <rPh sb="18" eb="20">
      <t>コウモク</t>
    </rPh>
    <rPh sb="21" eb="23">
      <t>イチラン</t>
    </rPh>
    <rPh sb="24" eb="26">
      <t>シュトク</t>
    </rPh>
    <phoneticPr fontId="1"/>
  </si>
  <si>
    <t>項目一覧</t>
    <rPh sb="0" eb="2">
      <t>コウモク</t>
    </rPh>
    <rPh sb="2" eb="4">
      <t>イチラン</t>
    </rPh>
    <phoneticPr fontId="1"/>
  </si>
  <si>
    <t>getInvisibleBySysParam</t>
  </si>
  <si>
    <t>指定可能な最小の年を返す</t>
    <rPh sb="5" eb="7">
      <t>サイショウ</t>
    </rPh>
    <rPh sb="8" eb="9">
      <t>ネン</t>
    </rPh>
    <phoneticPr fontId="1"/>
  </si>
  <si>
    <t>年</t>
    <rPh sb="0" eb="1">
      <t>ネン</t>
    </rPh>
    <phoneticPr fontId="1"/>
  </si>
  <si>
    <t>getEnableMinYear</t>
    <phoneticPr fontId="1"/>
  </si>
  <si>
    <t>年用マスタユーティリティ</t>
    <rPh sb="0" eb="1">
      <t>ネン</t>
    </rPh>
    <rPh sb="1" eb="2">
      <t>ヨウ</t>
    </rPh>
    <phoneticPr fontId="1"/>
  </si>
  <si>
    <t>MAUCP1040</t>
    <phoneticPr fontId="1"/>
  </si>
  <si>
    <t>指定可能な最大の年を返す</t>
    <rPh sb="5" eb="7">
      <t>サイダイ</t>
    </rPh>
    <rPh sb="8" eb="9">
      <t>ネン</t>
    </rPh>
    <phoneticPr fontId="1"/>
  </si>
  <si>
    <t>getEnableMaxYear</t>
    <phoneticPr fontId="1"/>
  </si>
  <si>
    <t>MAUCP1040</t>
    <phoneticPr fontId="1"/>
  </si>
  <si>
    <t>年の入力可能最小値、最大値のチェックを行い、範囲外の場合、メッセージリストを返す</t>
    <rPh sb="22" eb="24">
      <t>ハンイ</t>
    </rPh>
    <rPh sb="24" eb="25">
      <t>ソト</t>
    </rPh>
    <rPh sb="26" eb="28">
      <t>バアイ</t>
    </rPh>
    <phoneticPr fontId="1"/>
  </si>
  <si>
    <t>チェック結果のメッセージリスト</t>
    <phoneticPr fontId="1"/>
  </si>
  <si>
    <t>第１引数：年
第２引数：画面
第３引数：関連するロウ
第４引数：関連するカラム</t>
    <phoneticPr fontId="1"/>
  </si>
  <si>
    <t>checkMinMax</t>
    <phoneticPr fontId="1"/>
  </si>
  <si>
    <t>MAUCP1040</t>
    <phoneticPr fontId="1"/>
  </si>
  <si>
    <t>チェック結果のメッセージリスト</t>
    <phoneticPr fontId="1"/>
  </si>
  <si>
    <t>checkMinMax</t>
    <phoneticPr fontId="1"/>
  </si>
  <si>
    <t>開始日／終了日制御対象の画面の場合、trueを返す</t>
    <rPh sb="2" eb="3">
      <t>ヒ</t>
    </rPh>
    <rPh sb="6" eb="7">
      <t>ヒ</t>
    </rPh>
    <rPh sb="15" eb="17">
      <t>バアイ</t>
    </rPh>
    <phoneticPr fontId="1"/>
  </si>
  <si>
    <t>チェック結果</t>
    <rPh sb="4" eb="6">
      <t>ケッカ</t>
    </rPh>
    <phoneticPr fontId="1"/>
  </si>
  <si>
    <t>isStEndDt</t>
    <phoneticPr fontId="1"/>
  </si>
  <si>
    <t>適用日マスタユーティリティ</t>
    <rPh sb="0" eb="2">
      <t>テキヨウ</t>
    </rPh>
    <rPh sb="2" eb="3">
      <t>ヒ</t>
    </rPh>
    <phoneticPr fontId="1"/>
  </si>
  <si>
    <t>MAUCP1010</t>
    <phoneticPr fontId="1"/>
  </si>
  <si>
    <t>ベースキーの配列を返す
ベースキーは開始日以外のキー項目の配列</t>
    <phoneticPr fontId="1"/>
  </si>
  <si>
    <t>配列</t>
    <rPh sb="0" eb="2">
      <t>ハイレツ</t>
    </rPh>
    <phoneticPr fontId="1"/>
  </si>
  <si>
    <t>getBaseKey</t>
    <phoneticPr fontId="1"/>
  </si>
  <si>
    <t>MAUCP1010</t>
    <phoneticPr fontId="1"/>
  </si>
  <si>
    <t>開始日／終了日の重複を補正し、結果をメッセージリストに設定する</t>
    <rPh sb="2" eb="3">
      <t>ヒ</t>
    </rPh>
    <rPh sb="6" eb="7">
      <t>ヒ</t>
    </rPh>
    <rPh sb="11" eb="13">
      <t>ホセイ</t>
    </rPh>
    <rPh sb="15" eb="17">
      <t>ケッカ</t>
    </rPh>
    <rPh sb="27" eb="29">
      <t>セッテイ</t>
    </rPh>
    <phoneticPr fontId="1"/>
  </si>
  <si>
    <t>なし</t>
    <phoneticPr fontId="1"/>
  </si>
  <si>
    <t>第１引数：リストコンテナ
第２引数：ベースキー配列
第３引数：メッセージリスト</t>
  </si>
  <si>
    <t>checkStEndDtValidAutoMod</t>
    <phoneticPr fontId="1"/>
  </si>
  <si>
    <t>MAUCP1010</t>
    <phoneticPr fontId="1"/>
  </si>
  <si>
    <t>開始日／終了日の重複をチェックし、結果をメッセージリストに設定する</t>
    <rPh sb="2" eb="3">
      <t>ヒ</t>
    </rPh>
    <rPh sb="6" eb="7">
      <t>ヒ</t>
    </rPh>
    <rPh sb="17" eb="19">
      <t>ケッカ</t>
    </rPh>
    <rPh sb="29" eb="31">
      <t>セッテイ</t>
    </rPh>
    <phoneticPr fontId="1"/>
  </si>
  <si>
    <t>checkStEndDtValid</t>
    <phoneticPr fontId="1"/>
  </si>
  <si>
    <t>MAUCP1010</t>
    <phoneticPr fontId="1"/>
  </si>
  <si>
    <t>縦横変換処理のＡＰＩを提供する 
例えば、需給調整の画面で使用しており、日付ごとのデータを本ＡＰＩを使用してカレンダ形式で表示している</t>
    <rPh sb="0" eb="2">
      <t>タテヨコ</t>
    </rPh>
    <rPh sb="2" eb="4">
      <t>ヘンカン</t>
    </rPh>
    <rPh sb="4" eb="6">
      <t>ショリ</t>
    </rPh>
    <rPh sb="11" eb="13">
      <t>テイキョウ</t>
    </rPh>
    <rPh sb="18" eb="19">
      <t>タト</t>
    </rPh>
    <rPh sb="22" eb="24">
      <t>ジュキュウ</t>
    </rPh>
    <rPh sb="24" eb="26">
      <t>チョウセイ</t>
    </rPh>
    <rPh sb="27" eb="29">
      <t>ガメン</t>
    </rPh>
    <rPh sb="30" eb="32">
      <t>シヨウ</t>
    </rPh>
    <rPh sb="37" eb="39">
      <t>ヒヅケ</t>
    </rPh>
    <rPh sb="46" eb="47">
      <t>ホン</t>
    </rPh>
    <rPh sb="51" eb="53">
      <t>シヨウ</t>
    </rPh>
    <rPh sb="59" eb="61">
      <t>ケイシキ</t>
    </rPh>
    <rPh sb="62" eb="64">
      <t>ヒョウジ</t>
    </rPh>
    <phoneticPr fontId="1"/>
  </si>
  <si>
    <t>MAUCP_VHMapper</t>
    <phoneticPr fontId="1"/>
  </si>
  <si>
    <t>縦横変換ユーティリティ</t>
    <rPh sb="0" eb="2">
      <t>タテヨコ</t>
    </rPh>
    <rPh sb="2" eb="4">
      <t>ヘンカン</t>
    </rPh>
    <phoneticPr fontId="1"/>
  </si>
  <si>
    <t>MAUCP0180</t>
    <phoneticPr fontId="1"/>
  </si>
  <si>
    <t>源泉税率を取得する</t>
    <phoneticPr fontId="1"/>
  </si>
  <si>
    <t>源泉税率</t>
    <rPh sb="0" eb="2">
      <t>ゲンセン</t>
    </rPh>
    <rPh sb="2" eb="4">
      <t>ゼイリツ</t>
    </rPh>
    <phoneticPr fontId="1"/>
  </si>
  <si>
    <t>第１引数：品目ＣＤ
第２引数：枝番１
第３引数：枝番２
第４引数：枝番３
第５引数：基準日
第６引数：画面</t>
    <rPh sb="5" eb="7">
      <t>ヒンモク</t>
    </rPh>
    <rPh sb="15" eb="17">
      <t>エダバン</t>
    </rPh>
    <rPh sb="24" eb="26">
      <t>エダバン</t>
    </rPh>
    <rPh sb="28" eb="29">
      <t>ダイ</t>
    </rPh>
    <rPh sb="30" eb="32">
      <t>ヒキスウ</t>
    </rPh>
    <rPh sb="33" eb="35">
      <t>エダバン</t>
    </rPh>
    <rPh sb="42" eb="44">
      <t>キジュン</t>
    </rPh>
    <rPh sb="44" eb="45">
      <t>ヒ</t>
    </rPh>
    <rPh sb="46" eb="47">
      <t>ダイ</t>
    </rPh>
    <rPh sb="48" eb="50">
      <t>ヒキスウ</t>
    </rPh>
    <rPh sb="51" eb="53">
      <t>ガメン</t>
    </rPh>
    <phoneticPr fontId="1"/>
  </si>
  <si>
    <t>getWtaxRate</t>
    <phoneticPr fontId="1"/>
  </si>
  <si>
    <t>品目関連ユーティリティ</t>
    <rPh sb="0" eb="2">
      <t>ヒンモク</t>
    </rPh>
    <rPh sb="2" eb="4">
      <t>カンレン</t>
    </rPh>
    <phoneticPr fontId="1"/>
  </si>
  <si>
    <t>MAUCP0160</t>
    <phoneticPr fontId="1"/>
  </si>
  <si>
    <t>品目マスタ(ロケール別情報)のロケール別情報を取得する</t>
    <phoneticPr fontId="1"/>
  </si>
  <si>
    <t>ロケール別情報</t>
    <rPh sb="4" eb="5">
      <t>ベツ</t>
    </rPh>
    <rPh sb="5" eb="7">
      <t>ジョウホウ</t>
    </rPh>
    <phoneticPr fontId="1"/>
  </si>
  <si>
    <t>第１引数：ロケールＣＤ
第２引数：品目ＣＤ
第３引数：枝番１
第４引数：枝番２
第５引数：枝番３
第６引数：画面</t>
    <rPh sb="17" eb="19">
      <t>ヒンモク</t>
    </rPh>
    <rPh sb="27" eb="29">
      <t>エダバン</t>
    </rPh>
    <rPh sb="36" eb="38">
      <t>エダバン</t>
    </rPh>
    <rPh sb="40" eb="41">
      <t>ダイ</t>
    </rPh>
    <rPh sb="42" eb="44">
      <t>ヒキスウ</t>
    </rPh>
    <rPh sb="45" eb="47">
      <t>エダバン</t>
    </rPh>
    <rPh sb="49" eb="50">
      <t>ダイ</t>
    </rPh>
    <rPh sb="51" eb="53">
      <t>ヒキスウ</t>
    </rPh>
    <rPh sb="54" eb="56">
      <t>ガメン</t>
    </rPh>
    <phoneticPr fontId="1"/>
  </si>
  <si>
    <t>getItmLcl</t>
    <phoneticPr fontId="1"/>
  </si>
  <si>
    <t>MAUCP0160</t>
    <phoneticPr fontId="1"/>
  </si>
  <si>
    <t>取引先品目情報を取得する</t>
    <phoneticPr fontId="1"/>
  </si>
  <si>
    <t>取引先品目情報</t>
    <rPh sb="0" eb="3">
      <t>トリヒキサキ</t>
    </rPh>
    <rPh sb="3" eb="5">
      <t>ヒンモク</t>
    </rPh>
    <rPh sb="5" eb="7">
      <t>ジョウホウ</t>
    </rPh>
    <phoneticPr fontId="1"/>
  </si>
  <si>
    <t>第１引数：取引先ＣＤ
第２引数：品目ＣＤ
第３引数：枝番１
第４引数：枝番２
第５引数：枝番３
第６引数：基準日
第７引数：画面</t>
    <rPh sb="5" eb="7">
      <t>トリヒキ</t>
    </rPh>
    <rPh sb="7" eb="8">
      <t>サキ</t>
    </rPh>
    <rPh sb="16" eb="18">
      <t>ヒンモク</t>
    </rPh>
    <rPh sb="26" eb="28">
      <t>エダバン</t>
    </rPh>
    <rPh sb="35" eb="37">
      <t>エダバン</t>
    </rPh>
    <rPh sb="39" eb="40">
      <t>ダイ</t>
    </rPh>
    <rPh sb="41" eb="43">
      <t>ヒキスウ</t>
    </rPh>
    <rPh sb="44" eb="46">
      <t>エダバン</t>
    </rPh>
    <rPh sb="53" eb="55">
      <t>キジュン</t>
    </rPh>
    <rPh sb="55" eb="56">
      <t>ヒ</t>
    </rPh>
    <rPh sb="57" eb="58">
      <t>ダイ</t>
    </rPh>
    <rPh sb="59" eb="61">
      <t>ヒキスウ</t>
    </rPh>
    <rPh sb="62" eb="64">
      <t>ガメン</t>
    </rPh>
    <phoneticPr fontId="1"/>
  </si>
  <si>
    <t>getBpItm</t>
    <phoneticPr fontId="1"/>
  </si>
  <si>
    <t>日付と時刻から日時を生成して、指定した日付カラムに設定する</t>
    <phoneticPr fontId="1"/>
  </si>
  <si>
    <t>第１引数：日付と時刻を項目として保持するロウコンテナ
第２引数：日付カラム
第３引数：時刻カラム</t>
    <phoneticPr fontId="1"/>
  </si>
  <si>
    <t>setYmdHm</t>
    <phoneticPr fontId="1"/>
  </si>
  <si>
    <t>日付関連ユーティリティ</t>
    <rPh sb="0" eb="2">
      <t>ヒヅケ</t>
    </rPh>
    <rPh sb="2" eb="4">
      <t>カンレン</t>
    </rPh>
    <phoneticPr fontId="1"/>
  </si>
  <si>
    <t>MAUCP0140</t>
    <phoneticPr fontId="1"/>
  </si>
  <si>
    <t>日付と時刻から日時を生成して、指定した日付カラムに設定する</t>
    <rPh sb="15" eb="17">
      <t>シテイ</t>
    </rPh>
    <phoneticPr fontId="1"/>
  </si>
  <si>
    <t>第１引数：日付と時刻を項目として保持するリストコンテナ
第２引数：日付カラム
第３引数：時刻カラム</t>
    <phoneticPr fontId="1"/>
  </si>
  <si>
    <t>MAUCP0140</t>
    <phoneticPr fontId="1"/>
  </si>
  <si>
    <t>対象年月の開始日を取得する</t>
    <rPh sb="2" eb="4">
      <t>ネンゲツ</t>
    </rPh>
    <phoneticPr fontId="1"/>
  </si>
  <si>
    <t>開始日</t>
    <rPh sb="0" eb="3">
      <t>カイシビ</t>
    </rPh>
    <phoneticPr fontId="1"/>
  </si>
  <si>
    <t>第１引数：対象年月
第２引数：会計締日
第３引数：会計月度基準</t>
    <rPh sb="5" eb="7">
      <t>タイショウ</t>
    </rPh>
    <rPh sb="7" eb="9">
      <t>ネンゲツ</t>
    </rPh>
    <rPh sb="10" eb="11">
      <t>ダイ</t>
    </rPh>
    <rPh sb="12" eb="14">
      <t>ヒキスウ</t>
    </rPh>
    <rPh sb="20" eb="21">
      <t>ダイ</t>
    </rPh>
    <rPh sb="22" eb="24">
      <t>ヒキスウ</t>
    </rPh>
    <phoneticPr fontId="1"/>
  </si>
  <si>
    <t>getYmStDt</t>
    <phoneticPr fontId="1"/>
  </si>
  <si>
    <t>MAUCP0140</t>
    <phoneticPr fontId="1"/>
  </si>
  <si>
    <t>対象年月の終了日を取得する</t>
    <rPh sb="2" eb="4">
      <t>ネンゲツ</t>
    </rPh>
    <phoneticPr fontId="1"/>
  </si>
  <si>
    <t>終了日</t>
    <rPh sb="0" eb="3">
      <t>シュウリョウビ</t>
    </rPh>
    <phoneticPr fontId="1"/>
  </si>
  <si>
    <t>getYmEndDt</t>
    <phoneticPr fontId="1"/>
  </si>
  <si>
    <t>MAUCP0140</t>
    <phoneticPr fontId="1"/>
  </si>
  <si>
    <t>会計締日から、対象日付の属する期間の開始日を取得する</t>
    <phoneticPr fontId="1"/>
  </si>
  <si>
    <t>年月日</t>
    <rPh sb="0" eb="3">
      <t>ネンガッピ</t>
    </rPh>
    <phoneticPr fontId="1"/>
  </si>
  <si>
    <t>第１引数：対象日付
第２引数：期間区分
第３引数：会計締日</t>
    <rPh sb="5" eb="7">
      <t>タイショウ</t>
    </rPh>
    <rPh sb="7" eb="9">
      <t>ヒヅケ</t>
    </rPh>
    <phoneticPr fontId="1"/>
  </si>
  <si>
    <t>getPeriodStDt</t>
    <phoneticPr fontId="1"/>
  </si>
  <si>
    <t>会計締日から、対象日付の属する期間の終了日を取得する</t>
    <rPh sb="18" eb="20">
      <t>シュウリョウ</t>
    </rPh>
    <phoneticPr fontId="1"/>
  </si>
  <si>
    <t>getPeriodEndDt</t>
    <phoneticPr fontId="1"/>
  </si>
  <si>
    <t>指定した日時の前後関係が正しいかチェックする
対象日時のどちらかの時刻が00:00ならば、日付で比較する</t>
    <rPh sb="0" eb="2">
      <t>シテイ</t>
    </rPh>
    <rPh sb="7" eb="9">
      <t>ゼンゴ</t>
    </rPh>
    <rPh sb="9" eb="11">
      <t>カンケイ</t>
    </rPh>
    <rPh sb="12" eb="13">
      <t>タダ</t>
    </rPh>
    <phoneticPr fontId="1"/>
  </si>
  <si>
    <t>チェック結果のメッセージリスト</t>
    <rPh sb="4" eb="6">
      <t>ケッカ</t>
    </rPh>
    <phoneticPr fontId="1"/>
  </si>
  <si>
    <t>第１引数：本来小さい日時
第２引数：本来大きい日時</t>
    <rPh sb="5" eb="7">
      <t>ホンライ</t>
    </rPh>
    <rPh sb="7" eb="8">
      <t>チイ</t>
    </rPh>
    <rPh sb="10" eb="12">
      <t>ニチジ</t>
    </rPh>
    <rPh sb="20" eb="21">
      <t>オオ</t>
    </rPh>
    <phoneticPr fontId="1"/>
  </si>
  <si>
    <t>chkBeforeAfter</t>
    <phoneticPr fontId="1"/>
  </si>
  <si>
    <t>対象日付の属する期間の開始日から加算期間先の開始日を取得する</t>
    <rPh sb="26" eb="28">
      <t>シュトク</t>
    </rPh>
    <phoneticPr fontId="1"/>
  </si>
  <si>
    <t>第１引数：対象日付
第２引数：期間区分
第３引数：加算期間
第４引数：会計締日</t>
    <rPh sb="5" eb="7">
      <t>タイショウ</t>
    </rPh>
    <rPh sb="7" eb="9">
      <t>ヒヅケ</t>
    </rPh>
    <phoneticPr fontId="1"/>
  </si>
  <si>
    <t>addPeriodStDt</t>
    <phoneticPr fontId="1"/>
  </si>
  <si>
    <t>開始年月／終了年月制御対象の画面の場合、trueを返す</t>
    <rPh sb="17" eb="19">
      <t>バアイ</t>
    </rPh>
    <phoneticPr fontId="1"/>
  </si>
  <si>
    <t>制御対象画面かどうか</t>
    <rPh sb="0" eb="2">
      <t>セイギョ</t>
    </rPh>
    <rPh sb="2" eb="4">
      <t>タイショウ</t>
    </rPh>
    <rPh sb="4" eb="6">
      <t>ガメン</t>
    </rPh>
    <phoneticPr fontId="1"/>
  </si>
  <si>
    <t>isStEndYm</t>
    <phoneticPr fontId="1"/>
  </si>
  <si>
    <t>適用年月期間ユーティリティ</t>
    <rPh sb="0" eb="2">
      <t>テキヨウ</t>
    </rPh>
    <rPh sb="2" eb="4">
      <t>ネンゲツ</t>
    </rPh>
    <rPh sb="4" eb="6">
      <t>キカン</t>
    </rPh>
    <phoneticPr fontId="1"/>
  </si>
  <si>
    <t>MAUCP0130</t>
    <phoneticPr fontId="1"/>
  </si>
  <si>
    <t>ベースキーの配列を返す
（ベースキーは開始年月以外のキー項目の配列）</t>
    <phoneticPr fontId="1"/>
  </si>
  <si>
    <t>getBaseKey</t>
    <phoneticPr fontId="1"/>
  </si>
  <si>
    <t>開始年月／終了年月の重複を補正し、結果をメッセージリストに設定する</t>
    <rPh sb="13" eb="15">
      <t>ホセイ</t>
    </rPh>
    <rPh sb="17" eb="19">
      <t>ケッカ</t>
    </rPh>
    <rPh sb="29" eb="31">
      <t>セッテイ</t>
    </rPh>
    <phoneticPr fontId="1"/>
  </si>
  <si>
    <t>なし</t>
    <phoneticPr fontId="1"/>
  </si>
  <si>
    <t>checkStEndYmValidAutoMod</t>
    <phoneticPr fontId="1"/>
  </si>
  <si>
    <t>MAUCP0130</t>
    <phoneticPr fontId="1"/>
  </si>
  <si>
    <t>開始年月／終了年月の重複をチェックし、結果をメッセージリストに設定する</t>
    <rPh sb="19" eb="21">
      <t>ケッカ</t>
    </rPh>
    <rPh sb="31" eb="33">
      <t>セッテイ</t>
    </rPh>
    <phoneticPr fontId="1"/>
  </si>
  <si>
    <t>checkStEndYmValid</t>
    <phoneticPr fontId="1"/>
  </si>
  <si>
    <t>数値フィールドの桁数を設定する</t>
    <phoneticPr fontId="1"/>
  </si>
  <si>
    <t>桁数</t>
    <rPh sb="0" eb="2">
      <t>ケタスウ</t>
    </rPh>
    <phoneticPr fontId="1"/>
  </si>
  <si>
    <t>第１引数：数値フィールド
第２引数：小数部有効桁数</t>
    <rPh sb="0" eb="1">
      <t>ダイ</t>
    </rPh>
    <rPh sb="2" eb="4">
      <t>ヒキスウ</t>
    </rPh>
    <phoneticPr fontId="1"/>
  </si>
  <si>
    <t>setLength</t>
    <phoneticPr fontId="1"/>
  </si>
  <si>
    <t>単位関連ユーティリティ</t>
    <rPh sb="0" eb="2">
      <t>タンイ</t>
    </rPh>
    <rPh sb="2" eb="4">
      <t>カンレン</t>
    </rPh>
    <phoneticPr fontId="1"/>
  </si>
  <si>
    <t>MAUCP0110</t>
    <phoneticPr fontId="1"/>
  </si>
  <si>
    <t>MCNumber型をint型に変換して返す
NULLの場合はゼロを返す</t>
    <rPh sb="8" eb="9">
      <t>カタ</t>
    </rPh>
    <rPh sb="13" eb="14">
      <t>カタ</t>
    </rPh>
    <rPh sb="15" eb="17">
      <t>ヘンカン</t>
    </rPh>
    <phoneticPr fontId="1"/>
  </si>
  <si>
    <t>数値</t>
    <rPh sb="0" eb="2">
      <t>スウチ</t>
    </rPh>
    <phoneticPr fontId="1"/>
  </si>
  <si>
    <t>第１引数：変換対象の数値</t>
    <rPh sb="5" eb="7">
      <t>ヘンカン</t>
    </rPh>
    <rPh sb="7" eb="9">
      <t>タイショウ</t>
    </rPh>
    <rPh sb="10" eb="12">
      <t>スウチ</t>
    </rPh>
    <phoneticPr fontId="1"/>
  </si>
  <si>
    <t>nullToZero</t>
    <phoneticPr fontId="1"/>
  </si>
  <si>
    <t>数値フィールドの桁数を取得する</t>
    <rPh sb="11" eb="13">
      <t>シュトク</t>
    </rPh>
    <phoneticPr fontId="1"/>
  </si>
  <si>
    <t>第１引数：メタ
第２引数：小数部有効桁数</t>
    <rPh sb="0" eb="1">
      <t>ダイ</t>
    </rPh>
    <rPh sb="2" eb="4">
      <t>ヒキスウ</t>
    </rPh>
    <phoneticPr fontId="1"/>
  </si>
  <si>
    <t>getLength</t>
    <phoneticPr fontId="1"/>
  </si>
  <si>
    <t>MAUCP0110</t>
    <phoneticPr fontId="1"/>
  </si>
  <si>
    <t>getLength</t>
    <phoneticPr fontId="1"/>
  </si>
  <si>
    <t>MAUCP0110</t>
    <phoneticPr fontId="1"/>
  </si>
  <si>
    <t>金額フィールドの桁数を設定する</t>
    <phoneticPr fontId="1"/>
  </si>
  <si>
    <t>第１引数：金額フィールド
第２引数：小数部有効桁数</t>
    <rPh sb="0" eb="1">
      <t>ダイ</t>
    </rPh>
    <rPh sb="2" eb="4">
      <t>ヒキスウ</t>
    </rPh>
    <phoneticPr fontId="1"/>
  </si>
  <si>
    <t>setAmtLength</t>
    <phoneticPr fontId="1"/>
  </si>
  <si>
    <t>金額ユーティリティ</t>
    <rPh sb="0" eb="2">
      <t>キンガク</t>
    </rPh>
    <phoneticPr fontId="1"/>
  </si>
  <si>
    <t>MAUCP0100</t>
    <phoneticPr fontId="1"/>
  </si>
  <si>
    <t>金額フィールドの桁数を設定する</t>
    <phoneticPr fontId="1"/>
  </si>
  <si>
    <t>setAmtLength</t>
    <phoneticPr fontId="1"/>
  </si>
  <si>
    <t>nullToZero</t>
    <phoneticPr fontId="1"/>
  </si>
  <si>
    <t>MAUCP0100</t>
    <phoneticPr fontId="1"/>
  </si>
  <si>
    <t>金額と値引額と数量から単価を取得する</t>
    <rPh sb="3" eb="5">
      <t>ネビキ</t>
    </rPh>
    <rPh sb="5" eb="6">
      <t>ガク</t>
    </rPh>
    <rPh sb="14" eb="16">
      <t>シュトク</t>
    </rPh>
    <phoneticPr fontId="1"/>
  </si>
  <si>
    <t>単価</t>
    <rPh sb="0" eb="2">
      <t>タンカ</t>
    </rPh>
    <phoneticPr fontId="1"/>
  </si>
  <si>
    <t>第１引数：金額　※値引後の金額
第２引数：数量
第３引数：単価小数部有効桁数
第４引数：値引額　※NULLの場合は0として扱う</t>
    <rPh sb="5" eb="7">
      <t>キンガク</t>
    </rPh>
    <rPh sb="11" eb="12">
      <t>アト</t>
    </rPh>
    <rPh sb="21" eb="23">
      <t>スウリョウ</t>
    </rPh>
    <rPh sb="39" eb="40">
      <t>ダイ</t>
    </rPh>
    <rPh sb="41" eb="43">
      <t>ヒキスウ</t>
    </rPh>
    <rPh sb="44" eb="46">
      <t>ネビキ</t>
    </rPh>
    <rPh sb="46" eb="47">
      <t>ガク</t>
    </rPh>
    <phoneticPr fontId="1"/>
  </si>
  <si>
    <t>getUpri</t>
    <phoneticPr fontId="1"/>
  </si>
  <si>
    <t>金額と数量から単価を取得する</t>
    <rPh sb="10" eb="12">
      <t>シュトク</t>
    </rPh>
    <phoneticPr fontId="1"/>
  </si>
  <si>
    <t>第１引数：金額
第２引数：数量
第３引数：単価小数部有効桁数</t>
    <rPh sb="5" eb="7">
      <t>キンガク</t>
    </rPh>
    <rPh sb="13" eb="15">
      <t>スウリョウ</t>
    </rPh>
    <phoneticPr fontId="1"/>
  </si>
  <si>
    <t>getUpri</t>
    <phoneticPr fontId="1"/>
  </si>
  <si>
    <t>MAUCP0100</t>
    <phoneticPr fontId="1"/>
  </si>
  <si>
    <t>金額と値引額と税率から税額を取得する</t>
    <phoneticPr fontId="1"/>
  </si>
  <si>
    <t>税金額</t>
    <rPh sb="0" eb="3">
      <t>ゼイキンガク</t>
    </rPh>
    <phoneticPr fontId="1"/>
  </si>
  <si>
    <t>第１引数：金額
第２引数：税率
第３引数：小数部有効桁数
第４引数：端数処理区分
第５引数：値引額
第６引数：金額が税込の場合に true</t>
    <rPh sb="0" eb="1">
      <t>ダイ</t>
    </rPh>
    <rPh sb="2" eb="4">
      <t>ヒキスウ</t>
    </rPh>
    <phoneticPr fontId="1"/>
  </si>
  <si>
    <t>getTaxAmt</t>
  </si>
  <si>
    <t>MAUCP0100</t>
  </si>
  <si>
    <t>税抜金額と値引額と税率から税金額を取得する</t>
    <rPh sb="5" eb="7">
      <t>ネビキ</t>
    </rPh>
    <rPh sb="7" eb="8">
      <t>ガク</t>
    </rPh>
    <rPh sb="17" eb="19">
      <t>シュトク</t>
    </rPh>
    <phoneticPr fontId="1"/>
  </si>
  <si>
    <t>第１引数：税抜金額
第２引数：税率
第３引数：金額小数部有効桁数
第４引数：税端数処理区分
第５引数：値引額</t>
    <phoneticPr fontId="1"/>
  </si>
  <si>
    <t>getTaxAmt</t>
    <phoneticPr fontId="1"/>
  </si>
  <si>
    <t>金額と税率から税額を取得する</t>
    <phoneticPr fontId="1"/>
  </si>
  <si>
    <t>金額と税率から税額を取得</t>
    <phoneticPr fontId="1"/>
  </si>
  <si>
    <t>第１引数：金額
第２引数：税率
第３引数：小数部有効桁数
第４引数：端数処理区分
第５引数：金額が税込の場合にtrue</t>
    <rPh sb="0" eb="1">
      <t>ダイ</t>
    </rPh>
    <rPh sb="2" eb="4">
      <t>ヒキスウ</t>
    </rPh>
    <phoneticPr fontId="1"/>
  </si>
  <si>
    <t>税抜金額と税率から税金額を取得する</t>
    <rPh sb="13" eb="15">
      <t>シュトク</t>
    </rPh>
    <phoneticPr fontId="1"/>
  </si>
  <si>
    <t>第１引数：税抜金額
第２引数：税率
第３引数：金額小数部有効桁数
第４引数：税端数処理区分</t>
    <phoneticPr fontId="1"/>
  </si>
  <si>
    <t>MAUCP0100</t>
    <phoneticPr fontId="1"/>
  </si>
  <si>
    <t>税込金額と値引額と税率から税金額を取得する</t>
    <rPh sb="5" eb="7">
      <t>ネビキ</t>
    </rPh>
    <rPh sb="7" eb="8">
      <t>ガク</t>
    </rPh>
    <rPh sb="17" eb="19">
      <t>シュトク</t>
    </rPh>
    <phoneticPr fontId="1"/>
  </si>
  <si>
    <t>第１引数：税込金額
第２引数：税率
第３引数：金額小数部有効桁数
第４引数：税端数処理区分
第５引数：値引額</t>
    <phoneticPr fontId="1"/>
  </si>
  <si>
    <t>getIncTaxAmt</t>
    <phoneticPr fontId="1"/>
  </si>
  <si>
    <t>税込金額と税率から税金額を取得する</t>
    <rPh sb="13" eb="15">
      <t>シュトク</t>
    </rPh>
    <phoneticPr fontId="1"/>
  </si>
  <si>
    <t>第１引数：税込金額
第２引数：税率
第３引数：金額小数部有効桁数
第４引数：税端数処理区分</t>
    <phoneticPr fontId="1"/>
  </si>
  <si>
    <t>getIncTaxAmt</t>
    <phoneticPr fontId="1"/>
  </si>
  <si>
    <t>デフォルトの為替レートを取得する
取得できない場合は、NULLを返す</t>
    <phoneticPr fontId="1"/>
  </si>
  <si>
    <t>為替レート</t>
    <rPh sb="0" eb="2">
      <t>カワセ</t>
    </rPh>
    <phoneticPr fontId="1"/>
  </si>
  <si>
    <t>第１引数：換算元通貨ＣＤ
第２引数：換算先通貨ＣＤ
第３引数：為替レートＣＤ
第４引数：基準日
第５引数：画面</t>
    <rPh sb="0" eb="1">
      <t>ダイ</t>
    </rPh>
    <rPh sb="2" eb="4">
      <t>ヒキスウ</t>
    </rPh>
    <phoneticPr fontId="1"/>
  </si>
  <si>
    <t>getDefXrateNE</t>
    <phoneticPr fontId="1"/>
  </si>
  <si>
    <t>デフォルトの為替レートを取得する</t>
    <phoneticPr fontId="1"/>
  </si>
  <si>
    <t>getDefXrate</t>
  </si>
  <si>
    <t>金額の桁数を計算して返す</t>
    <rPh sb="6" eb="8">
      <t>ケイサン</t>
    </rPh>
    <phoneticPr fontId="1"/>
  </si>
  <si>
    <t>getAmtLength</t>
    <phoneticPr fontId="1"/>
  </si>
  <si>
    <t>MAUCP0100</t>
    <phoneticPr fontId="1"/>
  </si>
  <si>
    <t>getAmtLength</t>
    <phoneticPr fontId="1"/>
  </si>
  <si>
    <t>金額、税額、税込金額を計算して返す</t>
    <rPh sb="11" eb="13">
      <t>ケイサン</t>
    </rPh>
    <phoneticPr fontId="1"/>
  </si>
  <si>
    <t>計算結果のロウ</t>
    <rPh sb="0" eb="2">
      <t>ケイサン</t>
    </rPh>
    <rPh sb="2" eb="4">
      <t>ケッカ</t>
    </rPh>
    <phoneticPr fontId="1"/>
  </si>
  <si>
    <t>第１引数：単価
第２引数：数量
第３引数：消費税率
第４引数：内税フラグ
第５引数：金額小数部有効桁数
第６引数：金額端数処理区分
第７引数：消費税端数処理区分
第８引数：値引額　※NULLの場合は0として扱う</t>
    <rPh sb="13" eb="15">
      <t>スウリョウ</t>
    </rPh>
    <rPh sb="86" eb="88">
      <t>ネビキ</t>
    </rPh>
    <rPh sb="88" eb="89">
      <t>ガク</t>
    </rPh>
    <phoneticPr fontId="1"/>
  </si>
  <si>
    <t>getAmtAndTax</t>
    <phoneticPr fontId="1"/>
  </si>
  <si>
    <t>第１引数：単価
第２引数：数量
第３引数：消費税率
第４引数：内税フラグ
第５引数：金額小数部有効桁数
第６引数：金額端数処理区分
第７引数：消費税端数処理区分</t>
    <rPh sb="13" eb="15">
      <t>スウリョウ</t>
    </rPh>
    <phoneticPr fontId="1"/>
  </si>
  <si>
    <t>単価と数量から金額を計算し、値引額を引いた値を返す</t>
    <rPh sb="10" eb="12">
      <t>ケイサン</t>
    </rPh>
    <rPh sb="14" eb="16">
      <t>ネビキ</t>
    </rPh>
    <rPh sb="16" eb="17">
      <t>ガク</t>
    </rPh>
    <rPh sb="18" eb="19">
      <t>ヒ</t>
    </rPh>
    <rPh sb="21" eb="22">
      <t>アタイ</t>
    </rPh>
    <phoneticPr fontId="1"/>
  </si>
  <si>
    <t>値引後の金額</t>
    <rPh sb="0" eb="2">
      <t>ネビキ</t>
    </rPh>
    <rPh sb="2" eb="3">
      <t>アト</t>
    </rPh>
    <rPh sb="4" eb="6">
      <t>キンガク</t>
    </rPh>
    <phoneticPr fontId="1"/>
  </si>
  <si>
    <t>第１引数：単価
第２引数：数量
第３引数：小数部有効桁数
第４引数：金額端数処理区分
第５引数：値引額　※NULLの場合は0として扱う</t>
    <rPh sb="13" eb="15">
      <t>スウリョウ</t>
    </rPh>
    <rPh sb="34" eb="36">
      <t>キンガク</t>
    </rPh>
    <rPh sb="43" eb="44">
      <t>ダイ</t>
    </rPh>
    <rPh sb="45" eb="47">
      <t>ヒキスウ</t>
    </rPh>
    <rPh sb="48" eb="50">
      <t>ネビキ</t>
    </rPh>
    <rPh sb="50" eb="51">
      <t>ガク</t>
    </rPh>
    <rPh sb="58" eb="60">
      <t>バアイ</t>
    </rPh>
    <rPh sb="65" eb="66">
      <t>アツカ</t>
    </rPh>
    <phoneticPr fontId="1"/>
  </si>
  <si>
    <t>getAmt</t>
    <phoneticPr fontId="1"/>
  </si>
  <si>
    <t>単価と数量から金額を計算して返す</t>
    <rPh sb="10" eb="12">
      <t>ケイサン</t>
    </rPh>
    <phoneticPr fontId="1"/>
  </si>
  <si>
    <t>金額</t>
    <rPh sb="0" eb="2">
      <t>キンガク</t>
    </rPh>
    <phoneticPr fontId="1"/>
  </si>
  <si>
    <t>第１引数：単価
第２引数：数量
第３引数：小数部有効桁数
第４引数：金額端数処理区分</t>
    <rPh sb="13" eb="15">
      <t>スウリョウ</t>
    </rPh>
    <rPh sb="34" eb="36">
      <t>キンガク</t>
    </rPh>
    <phoneticPr fontId="1"/>
  </si>
  <si>
    <t>getAmt</t>
    <phoneticPr fontId="1"/>
  </si>
  <si>
    <t>指定した日付に対応した期を対象期間マスタから取得し、標準単価マスタから標準単価を取得する</t>
    <phoneticPr fontId="1"/>
  </si>
  <si>
    <t>標準単価</t>
    <rPh sb="0" eb="4">
      <t>ヒョウジュンタンカ</t>
    </rPh>
    <phoneticPr fontId="1"/>
  </si>
  <si>
    <t>第１引数：品目ＣＤ
第２引数：枝番１
第３引数：枝番２
第４引数：枝番３
第５引数：日付
第６引数：ワーキンググループＣＤ
第７引数：標準単価取得区分</t>
    <phoneticPr fontId="1"/>
  </si>
  <si>
    <t>getStdCost</t>
    <phoneticPr fontId="1"/>
  </si>
  <si>
    <t>標準単価取得ユーティリティ</t>
    <phoneticPr fontId="1"/>
  </si>
  <si>
    <t>MAUCP0080</t>
    <phoneticPr fontId="1"/>
  </si>
  <si>
    <t>入力値チェック対象機能のリストを取得する</t>
    <rPh sb="16" eb="18">
      <t>シュトク</t>
    </rPh>
    <phoneticPr fontId="1"/>
  </si>
  <si>
    <t>機能リスト</t>
    <phoneticPr fontId="1"/>
  </si>
  <si>
    <t>第１引数：機能区分
第２引数：入力チェックのリスト</t>
    <rPh sb="5" eb="7">
      <t>キノウ</t>
    </rPh>
    <rPh sb="7" eb="9">
      <t>クブン</t>
    </rPh>
    <rPh sb="10" eb="11">
      <t>ダイ</t>
    </rPh>
    <rPh sb="12" eb="14">
      <t>ヒキスウ</t>
    </rPh>
    <rPh sb="15" eb="17">
      <t>ニュウリョク</t>
    </rPh>
    <phoneticPr fontId="1"/>
  </si>
  <si>
    <t>getInptChkFunc</t>
  </si>
  <si>
    <t>入力値チェックユーティリティ</t>
    <phoneticPr fontId="1"/>
  </si>
  <si>
    <t>MAUCP0050</t>
  </si>
  <si>
    <t>入力値チェックする</t>
    <phoneticPr fontId="1"/>
  </si>
  <si>
    <t>doInptChkNoCache</t>
  </si>
  <si>
    <t>入力値チェックユーティリティ</t>
    <phoneticPr fontId="1"/>
  </si>
  <si>
    <t>画面遷移に使用するＡＰＩを提供する</t>
    <rPh sb="0" eb="4">
      <t>ガメンセンイ</t>
    </rPh>
    <rPh sb="5" eb="7">
      <t>シヨウ</t>
    </rPh>
    <rPh sb="13" eb="15">
      <t>テイキョウ</t>
    </rPh>
    <phoneticPr fontId="1"/>
  </si>
  <si>
    <t>MAUCP_AppScreenOpener</t>
    <phoneticPr fontId="1"/>
  </si>
  <si>
    <t>画面遷移</t>
    <rPh sb="0" eb="4">
      <t>ガメンセンイ</t>
    </rPh>
    <phoneticPr fontId="1"/>
  </si>
  <si>
    <t>MAUCP0040</t>
  </si>
  <si>
    <t>一括してＤＡＣ情報を再取得し、キャッシュする</t>
    <phoneticPr fontId="1"/>
  </si>
  <si>
    <t>initAllDacInfo</t>
  </si>
  <si>
    <t>データアクセスコントロール</t>
    <phoneticPr fontId="1"/>
  </si>
  <si>
    <t>MAUCP0030</t>
  </si>
  <si>
    <t>年月からテーブルカラムのメッセージ用名称を取得する</t>
    <phoneticPr fontId="1"/>
  </si>
  <si>
    <t>メッセージ用名称</t>
    <rPh sb="5" eb="6">
      <t>ヨウ</t>
    </rPh>
    <rPh sb="6" eb="8">
      <t>メイショウ</t>
    </rPh>
    <phoneticPr fontId="1"/>
  </si>
  <si>
    <t>第１引数：画面
第２引数：年月</t>
    <rPh sb="0" eb="1">
      <t>ダイ</t>
    </rPh>
    <rPh sb="2" eb="4">
      <t>ヒキスウ</t>
    </rPh>
    <rPh sb="5" eb="7">
      <t>ガメン</t>
    </rPh>
    <rPh sb="8" eb="9">
      <t>ダイ</t>
    </rPh>
    <rPh sb="10" eb="12">
      <t>ヒキスウ</t>
    </rPh>
    <rPh sb="13" eb="15">
      <t>ネンゲツ</t>
    </rPh>
    <phoneticPr fontId="1"/>
  </si>
  <si>
    <t>toYMHeaderMessage</t>
  </si>
  <si>
    <t>アプリケーション用システム情報</t>
  </si>
  <si>
    <t>MAUCP0020</t>
  </si>
  <si>
    <t>年月からテーブルカラムのラベル名を取得する</t>
    <phoneticPr fontId="1"/>
  </si>
  <si>
    <t>ラベル名</t>
    <rPh sb="3" eb="4">
      <t>メイ</t>
    </rPh>
    <phoneticPr fontId="1"/>
  </si>
  <si>
    <t>toYMHeaderLabel</t>
  </si>
  <si>
    <t>現在の期を設定する</t>
    <phoneticPr fontId="1"/>
  </si>
  <si>
    <t>なし</t>
    <phoneticPr fontId="1"/>
  </si>
  <si>
    <t>第１引数：画面
第２引数：期</t>
    <rPh sb="0" eb="1">
      <t>ダイ</t>
    </rPh>
    <rPh sb="2" eb="4">
      <t>ヒキスウ</t>
    </rPh>
    <rPh sb="5" eb="7">
      <t>ガメン</t>
    </rPh>
    <rPh sb="8" eb="9">
      <t>ダイ</t>
    </rPh>
    <rPh sb="10" eb="12">
      <t>ヒキスウ</t>
    </rPh>
    <rPh sb="13" eb="14">
      <t>キ</t>
    </rPh>
    <phoneticPr fontId="1"/>
  </si>
  <si>
    <t>setTerm</t>
  </si>
  <si>
    <t>計画データをExcelで入出力するフラグを設定する</t>
    <phoneticPr fontId="1"/>
  </si>
  <si>
    <t>第１引数：Excel入出力するか</t>
    <rPh sb="0" eb="1">
      <t>ダイ</t>
    </rPh>
    <rPh sb="2" eb="4">
      <t>ヒキスウ</t>
    </rPh>
    <rPh sb="10" eb="13">
      <t>ニュウシュツリョク</t>
    </rPh>
    <phoneticPr fontId="1"/>
  </si>
  <si>
    <t>setExcelPlnFlg</t>
  </si>
  <si>
    <t>計画データをExcelで入出力するフラグを設定する</t>
    <phoneticPr fontId="1"/>
  </si>
  <si>
    <t>配賦データをExcelで入出力するフラグを設定する</t>
    <phoneticPr fontId="1"/>
  </si>
  <si>
    <t>setExcelAlcFlg</t>
  </si>
  <si>
    <t>アプリケーション用システム情報</t>
    <phoneticPr fontId="1"/>
  </si>
  <si>
    <t>配賦データをExcelで入出力するフラグを設定する</t>
    <phoneticPr fontId="1"/>
  </si>
  <si>
    <t>アプリケーション用システム情報</t>
    <phoneticPr fontId="1"/>
  </si>
  <si>
    <t>実績データをExcelで入出力するフラグを設定する</t>
    <phoneticPr fontId="1"/>
  </si>
  <si>
    <t>setExcelActFlg</t>
  </si>
  <si>
    <t>実績データをExcelで入出力するフラグを設定する</t>
    <phoneticPr fontId="1"/>
  </si>
  <si>
    <t>原価単価小数部表示桁を設定する</t>
    <phoneticPr fontId="1"/>
  </si>
  <si>
    <t>第１引数：表示桁</t>
    <rPh sb="5" eb="8">
      <t>ヒョウジケタ</t>
    </rPh>
    <phoneticPr fontId="1"/>
  </si>
  <si>
    <t>setCostUnitDispDigit</t>
  </si>
  <si>
    <t>原価標準小数部表示桁を設定する</t>
    <phoneticPr fontId="1"/>
  </si>
  <si>
    <t>setCostStdDispDigit</t>
  </si>
  <si>
    <t>原価比率小数部表示桁を設定する</t>
    <phoneticPr fontId="1"/>
  </si>
  <si>
    <t>setCostRateDispDigit</t>
  </si>
  <si>
    <t>原価金額小数部表示桁を設定する</t>
    <phoneticPr fontId="1"/>
  </si>
  <si>
    <t>setCostAmtDispDigit</t>
    <phoneticPr fontId="1"/>
  </si>
  <si>
    <t>ログインユーザ及び運用日付に該当する担当者権限マスタの情報を取得する</t>
    <rPh sb="7" eb="8">
      <t>オヨ</t>
    </rPh>
    <rPh sb="9" eb="11">
      <t>ウンヨウ</t>
    </rPh>
    <rPh sb="11" eb="13">
      <t>ヒヅケ</t>
    </rPh>
    <rPh sb="14" eb="16">
      <t>ガイトウ</t>
    </rPh>
    <rPh sb="18" eb="21">
      <t>タントウシャ</t>
    </rPh>
    <rPh sb="21" eb="23">
      <t>ケンゲン</t>
    </rPh>
    <rPh sb="27" eb="29">
      <t>ジョウホウ</t>
    </rPh>
    <rPh sb="30" eb="32">
      <t>シュトク</t>
    </rPh>
    <phoneticPr fontId="1"/>
  </si>
  <si>
    <t>担当者権限情報</t>
    <rPh sb="0" eb="3">
      <t>タントウシャ</t>
    </rPh>
    <rPh sb="3" eb="5">
      <t>ケンゲン</t>
    </rPh>
    <rPh sb="5" eb="7">
      <t>ジョウホウ</t>
    </rPh>
    <phoneticPr fontId="1"/>
  </si>
  <si>
    <t>getUsrAclNoCache</t>
    <phoneticPr fontId="1"/>
  </si>
  <si>
    <t>対象期間マスタ情報を取得する</t>
    <phoneticPr fontId="1"/>
  </si>
  <si>
    <t>対象期間マスタ情報</t>
    <rPh sb="0" eb="2">
      <t>タイショウ</t>
    </rPh>
    <rPh sb="2" eb="4">
      <t>キカン</t>
    </rPh>
    <rPh sb="7" eb="9">
      <t>ジョウホウ</t>
    </rPh>
    <phoneticPr fontId="1"/>
  </si>
  <si>
    <t>getTermListNoCache</t>
    <phoneticPr fontId="1"/>
  </si>
  <si>
    <t>対象の日付が所属する期の情報を取得する</t>
    <rPh sb="15" eb="17">
      <t>シュトク</t>
    </rPh>
    <phoneticPr fontId="1"/>
  </si>
  <si>
    <t>期情報</t>
    <rPh sb="0" eb="3">
      <t>キジョウホウ</t>
    </rPh>
    <phoneticPr fontId="1"/>
  </si>
  <si>
    <t>第１引数：画面
第２引数：日付</t>
    <rPh sb="8" eb="9">
      <t>ダイ</t>
    </rPh>
    <rPh sb="10" eb="12">
      <t>ヒキスウ</t>
    </rPh>
    <rPh sb="13" eb="15">
      <t>ヒヅケ</t>
    </rPh>
    <phoneticPr fontId="1"/>
  </si>
  <si>
    <t>getTermInfoYMD</t>
    <phoneticPr fontId="1"/>
  </si>
  <si>
    <t>対象の年月が所属する期の情報を取得する</t>
    <rPh sb="15" eb="17">
      <t>シュトク</t>
    </rPh>
    <phoneticPr fontId="1"/>
  </si>
  <si>
    <t>第１引数：画面
第２引数：年月</t>
    <rPh sb="8" eb="9">
      <t>ダイ</t>
    </rPh>
    <rPh sb="10" eb="12">
      <t>ヒキスウ</t>
    </rPh>
    <phoneticPr fontId="1"/>
  </si>
  <si>
    <t>getTermInfoYM</t>
  </si>
  <si>
    <t>期に対応する情報を取得する</t>
    <rPh sb="0" eb="1">
      <t>キ</t>
    </rPh>
    <rPh sb="2" eb="4">
      <t>タイオウ</t>
    </rPh>
    <rPh sb="6" eb="8">
      <t>ジョウホウ</t>
    </rPh>
    <rPh sb="9" eb="11">
      <t>シュトク</t>
    </rPh>
    <phoneticPr fontId="1"/>
  </si>
  <si>
    <t>第１引数：画面
第２引数：期</t>
    <rPh sb="8" eb="9">
      <t>ダイ</t>
    </rPh>
    <rPh sb="10" eb="12">
      <t>ヒキスウ</t>
    </rPh>
    <rPh sb="13" eb="14">
      <t>キ</t>
    </rPh>
    <phoneticPr fontId="1"/>
  </si>
  <si>
    <t>getTermInfo</t>
    <phoneticPr fontId="1"/>
  </si>
  <si>
    <t>現在の対象期の情報を取得する</t>
    <rPh sb="10" eb="12">
      <t>シュトク</t>
    </rPh>
    <phoneticPr fontId="1"/>
  </si>
  <si>
    <t>getTermInfo</t>
  </si>
  <si>
    <t>現在の対象期を取得する</t>
    <rPh sb="7" eb="9">
      <t>シュトク</t>
    </rPh>
    <phoneticPr fontId="1"/>
  </si>
  <si>
    <t>期</t>
    <rPh sb="0" eb="1">
      <t>キ</t>
    </rPh>
    <phoneticPr fontId="1"/>
  </si>
  <si>
    <t>第１引数：画面</t>
    <phoneticPr fontId="1"/>
  </si>
  <si>
    <t>getTerm</t>
  </si>
  <si>
    <t>システムパラメータを取得する</t>
    <phoneticPr fontId="1"/>
  </si>
  <si>
    <t>システムパラメータ</t>
    <phoneticPr fontId="1"/>
  </si>
  <si>
    <t>なし</t>
    <phoneticPr fontId="1"/>
  </si>
  <si>
    <t>getSysParmAllNoCache</t>
  </si>
  <si>
    <t>システムパラメータ（SNO_TYP）を取得する</t>
    <rPh sb="19" eb="21">
      <t>シュトク</t>
    </rPh>
    <phoneticPr fontId="1"/>
  </si>
  <si>
    <t>システムパラメータ（SNO_TYP）</t>
    <phoneticPr fontId="1"/>
  </si>
  <si>
    <t>第１引数：画面</t>
    <phoneticPr fontId="1"/>
  </si>
  <si>
    <t>getSnoTyp</t>
    <phoneticPr fontId="1"/>
  </si>
  <si>
    <t>有効桁数が変更可能な比率（％）を計算する際の、小数点以下の桁数を取得する</t>
    <rPh sb="32" eb="34">
      <t>シュトク</t>
    </rPh>
    <phoneticPr fontId="1"/>
  </si>
  <si>
    <t>getRateDivScale</t>
  </si>
  <si>
    <t>納税通貨情報を取得する</t>
    <phoneticPr fontId="1"/>
  </si>
  <si>
    <t>納税通貨情報</t>
    <phoneticPr fontId="1"/>
  </si>
  <si>
    <t>getPtaxCurNoCache</t>
  </si>
  <si>
    <t>対象年月が所属する期の前の期の情報を取得する</t>
    <rPh sb="15" eb="17">
      <t>ジョウホウ</t>
    </rPh>
    <rPh sb="18" eb="20">
      <t>シュトク</t>
    </rPh>
    <phoneticPr fontId="1"/>
  </si>
  <si>
    <t>期情報</t>
    <rPh sb="0" eb="1">
      <t>キ</t>
    </rPh>
    <rPh sb="1" eb="3">
      <t>ジョウホウ</t>
    </rPh>
    <phoneticPr fontId="1"/>
  </si>
  <si>
    <t>第１引数：画面
第２引数：対象年月</t>
    <rPh sb="8" eb="9">
      <t>ダイ</t>
    </rPh>
    <rPh sb="10" eb="12">
      <t>ヒキスウ</t>
    </rPh>
    <rPh sb="13" eb="15">
      <t>タイショウ</t>
    </rPh>
    <rPh sb="15" eb="17">
      <t>ネンゲツ</t>
    </rPh>
    <phoneticPr fontId="1"/>
  </si>
  <si>
    <t>getPrevTermInfoYM</t>
  </si>
  <si>
    <t>対象年月が所属する期の次の期の情報を取得する</t>
    <rPh sb="15" eb="17">
      <t>ジョウホウ</t>
    </rPh>
    <rPh sb="18" eb="20">
      <t>シュトク</t>
    </rPh>
    <phoneticPr fontId="1"/>
  </si>
  <si>
    <t>getNextTermInfoYM</t>
    <phoneticPr fontId="1"/>
  </si>
  <si>
    <t>マスタ参照用データベースリンク情報を取得する</t>
    <rPh sb="18" eb="20">
      <t>シュトク</t>
    </rPh>
    <phoneticPr fontId="1"/>
  </si>
  <si>
    <t>マスタ参照用データベースリンク情報</t>
  </si>
  <si>
    <t>なし</t>
    <phoneticPr fontId="1"/>
  </si>
  <si>
    <t>getMstDblinkNoCache</t>
  </si>
  <si>
    <t>ライセンス情報を取得する</t>
    <phoneticPr fontId="1"/>
  </si>
  <si>
    <t>ライセンス情報</t>
    <rPh sb="5" eb="7">
      <t>ジョウホウ</t>
    </rPh>
    <phoneticPr fontId="1"/>
  </si>
  <si>
    <t>getLicenceInfoNoCache</t>
  </si>
  <si>
    <t>システムパラメータ（ITM_SUB_TYP）を取得する</t>
    <rPh sb="23" eb="25">
      <t>シュトク</t>
    </rPh>
    <phoneticPr fontId="1"/>
  </si>
  <si>
    <t>システムパラメータ（ITM_SUB_TYP）</t>
    <phoneticPr fontId="1"/>
  </si>
  <si>
    <t>getItmSubTyp</t>
  </si>
  <si>
    <t>当該ログインで有効な、計画データをExcelで入出力するフラグを取得する</t>
    <rPh sb="32" eb="34">
      <t>シュトク</t>
    </rPh>
    <phoneticPr fontId="1"/>
  </si>
  <si>
    <t>Excel入出力フラグ</t>
    <rPh sb="5" eb="8">
      <t>ニュウシュツリョク</t>
    </rPh>
    <phoneticPr fontId="1"/>
  </si>
  <si>
    <t>getExcelPlnFlg</t>
  </si>
  <si>
    <t>当該ログインで有効な、配賦データをExcelで入出力するフラグを取得する</t>
    <rPh sb="32" eb="34">
      <t>シュトク</t>
    </rPh>
    <phoneticPr fontId="1"/>
  </si>
  <si>
    <t>getExcelAlcFlg</t>
  </si>
  <si>
    <t>当該ログインで有効な、実績データをExcelで入出力するフラグを取得する</t>
    <rPh sb="32" eb="34">
      <t>シュトク</t>
    </rPh>
    <phoneticPr fontId="1"/>
  </si>
  <si>
    <t>getExcelActFlg</t>
  </si>
  <si>
    <t>デフォルト格付情報を取得する</t>
    <rPh sb="10" eb="12">
      <t>シュトク</t>
    </rPh>
    <phoneticPr fontId="1"/>
  </si>
  <si>
    <t>デフォルト格付情報</t>
  </si>
  <si>
    <t>getDefaultFeedStkGdNoCache</t>
  </si>
  <si>
    <t>原価単価小数部表示桁を取得する</t>
    <rPh sb="11" eb="13">
      <t>シュトク</t>
    </rPh>
    <phoneticPr fontId="1"/>
  </si>
  <si>
    <t>原価単価小数部表示桁</t>
  </si>
  <si>
    <t>getCostUnitDispDigit</t>
  </si>
  <si>
    <t>MAUCP0020</t>
    <phoneticPr fontId="1"/>
  </si>
  <si>
    <t>原価標準小数部表示桁を取得する</t>
    <rPh sb="11" eb="13">
      <t>シュトク</t>
    </rPh>
    <phoneticPr fontId="1"/>
  </si>
  <si>
    <t>原価標準小数部表示桁</t>
  </si>
  <si>
    <t>getCostStdDispDigit</t>
  </si>
  <si>
    <t>原価比率小数部表示桁を取得する</t>
    <rPh sb="11" eb="13">
      <t>シュトク</t>
    </rPh>
    <phoneticPr fontId="1"/>
  </si>
  <si>
    <t>原価比率小数部表示桁</t>
  </si>
  <si>
    <t>getCostRateDispDigit</t>
  </si>
  <si>
    <t>原価金額小数部表示桁を取得する</t>
    <rPh sb="11" eb="13">
      <t>シュトク</t>
    </rPh>
    <phoneticPr fontId="1"/>
  </si>
  <si>
    <t>原価金額小数部表示桁</t>
    <phoneticPr fontId="1"/>
  </si>
  <si>
    <t>getCostAmtDispDigit</t>
  </si>
  <si>
    <t>原価会社パラメータ情報を取得する</t>
    <rPh sb="0" eb="2">
      <t>ゲンカ</t>
    </rPh>
    <rPh sb="2" eb="4">
      <t>カイシャ</t>
    </rPh>
    <rPh sb="9" eb="11">
      <t>ジョウホウ</t>
    </rPh>
    <rPh sb="12" eb="14">
      <t>シュトク</t>
    </rPh>
    <phoneticPr fontId="1"/>
  </si>
  <si>
    <t>原価会社パラメータ情報</t>
    <rPh sb="0" eb="2">
      <t>ゲンカ</t>
    </rPh>
    <rPh sb="2" eb="4">
      <t>カイシャ</t>
    </rPh>
    <rPh sb="9" eb="11">
      <t>ジョウホウ</t>
    </rPh>
    <phoneticPr fontId="1"/>
  </si>
  <si>
    <t>getCoParmNoCache</t>
  </si>
  <si>
    <t>会社情報を取得する</t>
    <rPh sb="0" eb="2">
      <t>カイシャ</t>
    </rPh>
    <rPh sb="2" eb="4">
      <t>ジョウホウ</t>
    </rPh>
    <rPh sb="5" eb="7">
      <t>シュトク</t>
    </rPh>
    <phoneticPr fontId="1"/>
  </si>
  <si>
    <t>会社情報</t>
    <rPh sb="0" eb="4">
      <t>カイシャジョウホウ</t>
    </rPh>
    <phoneticPr fontId="1"/>
  </si>
  <si>
    <t>getCoNoCache</t>
  </si>
  <si>
    <t>基準通貨情報を取得する</t>
    <phoneticPr fontId="1"/>
  </si>
  <si>
    <t>基準通貨情報</t>
    <rPh sb="0" eb="4">
      <t>キジュンツウカ</t>
    </rPh>
    <rPh sb="4" eb="6">
      <t>ジョウホウ</t>
    </rPh>
    <phoneticPr fontId="1"/>
  </si>
  <si>
    <t>getBaseCurNoCache</t>
  </si>
  <si>
    <t>日付に対応する計上月度を取得する</t>
    <phoneticPr fontId="1"/>
  </si>
  <si>
    <t>計上月度</t>
    <phoneticPr fontId="1"/>
  </si>
  <si>
    <t>第１引数：日付</t>
  </si>
  <si>
    <t>getAcYm</t>
    <phoneticPr fontId="1"/>
  </si>
  <si>
    <t>アプリケーション用システム情報</t>
    <rPh sb="8" eb="9">
      <t>ヨウ</t>
    </rPh>
    <rPh sb="13" eb="15">
      <t>ジョウホウ</t>
    </rPh>
    <phoneticPr fontId="1"/>
  </si>
  <si>
    <t>MAUCP0020</t>
    <phoneticPr fontId="1"/>
  </si>
  <si>
    <t>基準単位以外の単位から、別の基準単位以外の単位へ変換した数量を返す
端数が生じた場合は、換算単位の端数処理区分に応じて端数処理する</t>
    <rPh sb="24" eb="26">
      <t>ヘンカン</t>
    </rPh>
    <rPh sb="28" eb="30">
      <t>スウリョウ</t>
    </rPh>
    <phoneticPr fontId="1"/>
  </si>
  <si>
    <t>変換先単位の数量</t>
    <rPh sb="0" eb="3">
      <t>ヘンカンサキ</t>
    </rPh>
    <rPh sb="3" eb="5">
      <t>タンイ</t>
    </rPh>
    <rPh sb="6" eb="8">
      <t>スウリョウ</t>
    </rPh>
    <phoneticPr fontId="1"/>
  </si>
  <si>
    <t>第１引数：数量
第２引数：変換元単位の基準数
第３引数：変換元単位の単位換算数
第４引数：基準単位の小数部有効桁数
第５引数：基準単位の端数処理区分
第６引数：変換先単位の基準数
第７引数：変換先単位の単位換算数
第８引数：変換先単位の小数部有効桁数
第９引数：変換先単位の端数処理区分</t>
    <rPh sb="19" eb="21">
      <t>キジュン</t>
    </rPh>
    <rPh sb="21" eb="22">
      <t>スウ</t>
    </rPh>
    <rPh sb="30" eb="31">
      <t>モト</t>
    </rPh>
    <rPh sb="82" eb="83">
      <t>サキ</t>
    </rPh>
    <phoneticPr fontId="1"/>
  </si>
  <si>
    <t>unitConv</t>
  </si>
  <si>
    <t>MCData用ユーティリティ</t>
  </si>
  <si>
    <t>MAUCP0010</t>
  </si>
  <si>
    <t>基準単位以外の単位から、別の基準単位以外の単位へ変換した数量を返す
端数チェックフラグtrue指定時、単位換算時に、端数が生じたらNULLを返す</t>
    <rPh sb="24" eb="26">
      <t>ヘンカン</t>
    </rPh>
    <rPh sb="28" eb="30">
      <t>スウリョウ</t>
    </rPh>
    <phoneticPr fontId="1"/>
  </si>
  <si>
    <t>第１引数：数量
第２引数：変換元単位の基準数
第３引数：変換元単位の単位換算数
第４引数：基準単位の小数部有効桁数
第５引数：基準単位の端数処理区分
第６引数：変換先単位の基準数
第７引数：変換先単位の単位換算数
第８引数：変換先単位の小数部有効桁数
第９引数：変換先単位の端数処理区分
第10引数：端数チェックフラグ</t>
    <rPh sb="19" eb="21">
      <t>キジュン</t>
    </rPh>
    <rPh sb="21" eb="22">
      <t>スウ</t>
    </rPh>
    <rPh sb="30" eb="31">
      <t>モト</t>
    </rPh>
    <rPh sb="82" eb="83">
      <t>サキ</t>
    </rPh>
    <phoneticPr fontId="1"/>
  </si>
  <si>
    <t>unitConv</t>
    <phoneticPr fontId="1"/>
  </si>
  <si>
    <t>MAUCP0010</t>
    <phoneticPr fontId="1"/>
  </si>
  <si>
    <t>手配ＮＯ１～４を連結した文字列を返す
システムパラメータ「SNO_TYP」を加味して、表示する手配ＮＯのみを連結する</t>
    <rPh sb="38" eb="40">
      <t>カミ</t>
    </rPh>
    <rPh sb="43" eb="45">
      <t>ヒョウジ</t>
    </rPh>
    <phoneticPr fontId="1"/>
  </si>
  <si>
    <t>手配ＮＯ１～４を連結した文字列</t>
    <phoneticPr fontId="1"/>
  </si>
  <si>
    <t>第１引数：手配ＮＯ１
第２引数：手配ＮＯ２
第３引数：手配ＮＯ３
第４引数：手配ＮＯ４
第５引数：画面</t>
    <rPh sb="5" eb="7">
      <t>テハイ</t>
    </rPh>
    <rPh sb="16" eb="18">
      <t>テハイ</t>
    </rPh>
    <rPh sb="27" eb="29">
      <t>テハイ</t>
    </rPh>
    <rPh sb="38" eb="40">
      <t>テハイ</t>
    </rPh>
    <rPh sb="49" eb="51">
      <t>ガメン</t>
    </rPh>
    <phoneticPr fontId="1"/>
  </si>
  <si>
    <t>toDispSno</t>
    <phoneticPr fontId="1"/>
  </si>
  <si>
    <t>品目ＣＤ、枝番１～３を連結した文字列を返す
 システムパラメータ「ITM_SUB_TYP」を加味して、表示する枝番のみを連結する</t>
    <rPh sb="11" eb="13">
      <t>レンケツ</t>
    </rPh>
    <rPh sb="15" eb="18">
      <t>モジレツ</t>
    </rPh>
    <rPh sb="19" eb="20">
      <t>カエ</t>
    </rPh>
    <rPh sb="46" eb="48">
      <t>カミ</t>
    </rPh>
    <rPh sb="51" eb="53">
      <t>ヒョウジ</t>
    </rPh>
    <rPh sb="60" eb="62">
      <t>レンケツ</t>
    </rPh>
    <phoneticPr fontId="1"/>
  </si>
  <si>
    <t>品目ＣＤ、枝番１～３を連結した文字列</t>
    <phoneticPr fontId="1"/>
  </si>
  <si>
    <t>第１引数：品目ＣＤ
第２引数：枝番１
第３引数：枝番２
第４引数：枝番３
第５引数：パネル</t>
    <rPh sb="5" eb="7">
      <t>ヒンモク</t>
    </rPh>
    <rPh sb="15" eb="17">
      <t>エダバン</t>
    </rPh>
    <rPh sb="24" eb="26">
      <t>エダバン</t>
    </rPh>
    <rPh sb="33" eb="35">
      <t>エダバン</t>
    </rPh>
    <rPh sb="37" eb="38">
      <t>ダイ</t>
    </rPh>
    <rPh sb="39" eb="41">
      <t>ヒキスウ</t>
    </rPh>
    <phoneticPr fontId="1"/>
  </si>
  <si>
    <t>toDispItm</t>
    <phoneticPr fontId="1"/>
  </si>
  <si>
    <t>MAUCP0010</t>
    <phoneticPr fontId="1"/>
  </si>
  <si>
    <t>メッセージにバインドする行番号を返す</t>
    <phoneticPr fontId="1"/>
  </si>
  <si>
    <t>行番号</t>
    <rPh sb="0" eb="3">
      <t>ギョウバンゴウ</t>
    </rPh>
    <phoneticPr fontId="1"/>
  </si>
  <si>
    <t>第１引数：ロウコンテナ</t>
    <phoneticPr fontId="1"/>
  </si>
  <si>
    <t>toDispGUIIndex</t>
    <phoneticPr fontId="1"/>
  </si>
  <si>
    <t>MAUCP0010</t>
    <phoneticPr fontId="1"/>
  </si>
  <si>
    <t>基準単位から基準単位以外の単位へ変換した数量を返す
端数が生じた場合は、換算単位の端数処理区分に応じて端数処理する</t>
    <rPh sb="16" eb="18">
      <t>ヘンカン</t>
    </rPh>
    <rPh sb="20" eb="22">
      <t>スウリョウ</t>
    </rPh>
    <rPh sb="36" eb="38">
      <t>カンザン</t>
    </rPh>
    <rPh sb="38" eb="40">
      <t>タンイ</t>
    </rPh>
    <phoneticPr fontId="1"/>
  </si>
  <si>
    <t>変換した数量</t>
    <phoneticPr fontId="1"/>
  </si>
  <si>
    <t>第１引数：基準単位数量
第２引数：基準数
第３引数：単位換算数
第４引数：小数部有効桁数
第５引数：端数処理区分</t>
    <phoneticPr fontId="1"/>
  </si>
  <si>
    <t>rvrsBaseUnitConv</t>
  </si>
  <si>
    <t>基準単位から基準単位以外の単位へ変換した数量を返す
端数チェックフラグtrue指定時、単位換算時に、端数が生じたらNULLを返す</t>
    <rPh sb="20" eb="22">
      <t>スウリョウ</t>
    </rPh>
    <rPh sb="39" eb="41">
      <t>シテイ</t>
    </rPh>
    <rPh sb="41" eb="42">
      <t>ジ</t>
    </rPh>
    <rPh sb="47" eb="48">
      <t>ジ</t>
    </rPh>
    <rPh sb="62" eb="63">
      <t>カエ</t>
    </rPh>
    <phoneticPr fontId="1"/>
  </si>
  <si>
    <t>変換した数量</t>
    <phoneticPr fontId="1"/>
  </si>
  <si>
    <t>第１引数：基準単位数量
第２引数：基準数
第３引数：単位換算数
第４引数：小数部有効桁数
第５引数：端数処理区分
第６引数：端数チェックフラグ</t>
    <rPh sb="17" eb="19">
      <t>キジュン</t>
    </rPh>
    <rPh sb="19" eb="20">
      <t>スウ</t>
    </rPh>
    <phoneticPr fontId="1"/>
  </si>
  <si>
    <t>rvrsBaseUnitConv</t>
    <phoneticPr fontId="1"/>
  </si>
  <si>
    <t>リストコンテナの指定した項目に対して、NULL文字の場合はNULLにする</t>
    <rPh sb="8" eb="10">
      <t>シテイ</t>
    </rPh>
    <rPh sb="12" eb="14">
      <t>コウモク</t>
    </rPh>
    <rPh sb="15" eb="16">
      <t>タイ</t>
    </rPh>
    <rPh sb="23" eb="25">
      <t>モジ</t>
    </rPh>
    <rPh sb="26" eb="28">
      <t>バアイ</t>
    </rPh>
    <phoneticPr fontId="1"/>
  </si>
  <si>
    <t>第１引数：変換対象のリストコンテナ
第２引数：変換対象カラム</t>
    <phoneticPr fontId="1"/>
  </si>
  <si>
    <t>nullValToNull</t>
    <phoneticPr fontId="1"/>
  </si>
  <si>
    <t>MAUCP0010</t>
    <phoneticPr fontId="1"/>
  </si>
  <si>
    <t>ロウコンテナの指定した項目に対して、NULL文字の場合はNULLにする</t>
    <rPh sb="7" eb="9">
      <t>シテイ</t>
    </rPh>
    <rPh sb="11" eb="13">
      <t>コウモク</t>
    </rPh>
    <rPh sb="14" eb="15">
      <t>タイ</t>
    </rPh>
    <rPh sb="22" eb="24">
      <t>モジ</t>
    </rPh>
    <rPh sb="25" eb="27">
      <t>バアイ</t>
    </rPh>
    <phoneticPr fontId="1"/>
  </si>
  <si>
    <t>第１引数：変換対象のロウコンテナ
第２引数：変換対象カラム</t>
    <phoneticPr fontId="1"/>
  </si>
  <si>
    <t>nullValToNull</t>
    <phoneticPr fontId="1"/>
  </si>
  <si>
    <t>NULL文字の場合、NULLを返す
それ以外は指定した文字列のまま返す</t>
    <phoneticPr fontId="1"/>
  </si>
  <si>
    <t>変換後の文字列</t>
    <rPh sb="0" eb="3">
      <t>ヘンカンゴ</t>
    </rPh>
    <rPh sb="4" eb="7">
      <t>モジレツ</t>
    </rPh>
    <phoneticPr fontId="1"/>
  </si>
  <si>
    <t>第１引数：変換対象の文字列</t>
    <rPh sb="0" eb="1">
      <t>ダイ</t>
    </rPh>
    <rPh sb="2" eb="4">
      <t>ヒキスウ</t>
    </rPh>
    <rPh sb="5" eb="7">
      <t>ヘンカン</t>
    </rPh>
    <rPh sb="7" eb="9">
      <t>タイショウ</t>
    </rPh>
    <rPh sb="10" eb="13">
      <t>モジレツ</t>
    </rPh>
    <phoneticPr fontId="1"/>
  </si>
  <si>
    <t>NULLまたはNULL文字の場合にtrueを返す</t>
    <rPh sb="11" eb="13">
      <t>モジ</t>
    </rPh>
    <rPh sb="14" eb="16">
      <t>バアイ</t>
    </rPh>
    <rPh sb="22" eb="23">
      <t>カエ</t>
    </rPh>
    <phoneticPr fontId="1"/>
  </si>
  <si>
    <t>NULL文字かどうか</t>
    <rPh sb="4" eb="6">
      <t>モジ</t>
    </rPh>
    <phoneticPr fontId="1"/>
  </si>
  <si>
    <t>第１引数：文字列</t>
    <rPh sb="5" eb="8">
      <t>モジレツ</t>
    </rPh>
    <phoneticPr fontId="1"/>
  </si>
  <si>
    <t>isNullOrNullVal</t>
    <phoneticPr fontId="1"/>
  </si>
  <si>
    <t>ASCII文字のみの場合、trueを返す</t>
    <rPh sb="5" eb="7">
      <t>モジ</t>
    </rPh>
    <rPh sb="10" eb="12">
      <t>バアイ</t>
    </rPh>
    <rPh sb="18" eb="19">
      <t>カエ</t>
    </rPh>
    <phoneticPr fontId="1"/>
  </si>
  <si>
    <t>ASCII文字列のみか</t>
    <rPh sb="5" eb="8">
      <t>モジレツ</t>
    </rPh>
    <phoneticPr fontId="1"/>
  </si>
  <si>
    <t>第１引数：文字列</t>
    <rPh sb="0" eb="1">
      <t>ダイ</t>
    </rPh>
    <rPh sb="2" eb="4">
      <t>ヒキスウ</t>
    </rPh>
    <rPh sb="5" eb="8">
      <t>モジレツ</t>
    </rPh>
    <phoneticPr fontId="1"/>
  </si>
  <si>
    <t>isASCII</t>
  </si>
  <si>
    <t>品目単位マスタの情報を取得する</t>
    <phoneticPr fontId="1"/>
  </si>
  <si>
    <t>品目単位マスタのロウ</t>
    <rPh sb="0" eb="2">
      <t>ヒンモク</t>
    </rPh>
    <rPh sb="2" eb="4">
      <t>タンイ</t>
    </rPh>
    <phoneticPr fontId="1"/>
  </si>
  <si>
    <t>第１引数：品目ＣＤ
第２引数：枝番１
第３引数：枝番２
第４引数：枝番３
第５引数：単位ＣＤ
第６引数：画面</t>
    <rPh sb="0" eb="1">
      <t>ダイ</t>
    </rPh>
    <rPh sb="2" eb="4">
      <t>ヒキスウ</t>
    </rPh>
    <rPh sb="5" eb="7">
      <t>ヒンモク</t>
    </rPh>
    <rPh sb="10" eb="11">
      <t>ダイ</t>
    </rPh>
    <rPh sb="12" eb="14">
      <t>ヒキスウ</t>
    </rPh>
    <rPh sb="15" eb="17">
      <t>エダバン</t>
    </rPh>
    <rPh sb="19" eb="20">
      <t>ダイ</t>
    </rPh>
    <rPh sb="21" eb="23">
      <t>ヒキスウ</t>
    </rPh>
    <rPh sb="24" eb="26">
      <t>エダバン</t>
    </rPh>
    <rPh sb="28" eb="29">
      <t>ダイ</t>
    </rPh>
    <rPh sb="30" eb="32">
      <t>ヒキスウ</t>
    </rPh>
    <rPh sb="33" eb="35">
      <t>エダバン</t>
    </rPh>
    <rPh sb="37" eb="38">
      <t>ダイ</t>
    </rPh>
    <rPh sb="39" eb="41">
      <t>ヒキスウ</t>
    </rPh>
    <rPh sb="42" eb="44">
      <t>タンイ</t>
    </rPh>
    <rPh sb="47" eb="48">
      <t>ダイ</t>
    </rPh>
    <rPh sb="49" eb="51">
      <t>ヒキスウ</t>
    </rPh>
    <rPh sb="52" eb="54">
      <t>ガメン</t>
    </rPh>
    <phoneticPr fontId="1"/>
  </si>
  <si>
    <t>getItmUnit</t>
  </si>
  <si>
    <t>基準単位から有効成分単位へ変換した有効成分数量を返す</t>
    <rPh sb="21" eb="23">
      <t>スウリョウ</t>
    </rPh>
    <phoneticPr fontId="1"/>
  </si>
  <si>
    <t>有効成分</t>
    <phoneticPr fontId="1"/>
  </si>
  <si>
    <t>第１引数：基準単位数量
第２引数：標準有効成分係数
第３引数：有効成分小数部有効桁数
第４引数：有効成分換算端数処理区分</t>
    <rPh sb="17" eb="19">
      <t>ヒョウジュン</t>
    </rPh>
    <phoneticPr fontId="1"/>
  </si>
  <si>
    <t>convToContFctrUnit</t>
    <phoneticPr fontId="1"/>
  </si>
  <si>
    <t>MAUCP0010</t>
    <phoneticPr fontId="1"/>
  </si>
  <si>
    <t>有効成分単位から基準単位へ変換した基準単位数量を返す</t>
    <rPh sb="17" eb="19">
      <t>キジュン</t>
    </rPh>
    <rPh sb="19" eb="21">
      <t>タンイ</t>
    </rPh>
    <rPh sb="21" eb="23">
      <t>スウリョウ</t>
    </rPh>
    <phoneticPr fontId="1"/>
  </si>
  <si>
    <t>基準単位数量</t>
  </si>
  <si>
    <t>第１引数：有効成分数量
第２引数：標準有効成分係数
第３引数：基準単位の小数部有効桁数
第４引数：基準単位の端数処理区分</t>
    <rPh sb="17" eb="19">
      <t>ヒョウジュン</t>
    </rPh>
    <phoneticPr fontId="1"/>
  </si>
  <si>
    <t>convToBaseUnitFromContFctrUnit</t>
    <phoneticPr fontId="1"/>
  </si>
  <si>
    <t>基準単位以外の単位から基準単位へ変換した数量を返す
端数が生じた場合は、基準単位の端数処理区分に応じて端数処理する</t>
    <rPh sb="26" eb="28">
      <t>ハスウ</t>
    </rPh>
    <rPh sb="29" eb="30">
      <t>ショウ</t>
    </rPh>
    <rPh sb="32" eb="34">
      <t>バアイ</t>
    </rPh>
    <rPh sb="48" eb="49">
      <t>オウ</t>
    </rPh>
    <rPh sb="51" eb="55">
      <t>ハスウショリ</t>
    </rPh>
    <phoneticPr fontId="1"/>
  </si>
  <si>
    <t>基準単位数量</t>
    <phoneticPr fontId="1"/>
  </si>
  <si>
    <t>第１引数：数量
第２引数：変換元単位の基準数
第３引数：変換元単位の単位換算数
第４引数：基準単位の小数部有効桁数
第５引数：基準単位の端数処理区分</t>
    <rPh sb="19" eb="21">
      <t>キジュン</t>
    </rPh>
    <phoneticPr fontId="1"/>
  </si>
  <si>
    <t>convToBaseUnit</t>
  </si>
  <si>
    <t>基準単位以外の単位から基準単位へ変換した数量を返す
端数チェックフラグtrue指定時、単位換算時に、端数が生じたらNULLを返す</t>
    <rPh sb="16" eb="18">
      <t>ヘンカン</t>
    </rPh>
    <rPh sb="20" eb="22">
      <t>スウリョウ</t>
    </rPh>
    <phoneticPr fontId="1"/>
  </si>
  <si>
    <t>第１引数：数量
第２引数：変換元単位の基準数
第３引数：変換元単位の単位換算数
第４引数：基準単位の小数部有効桁数
第５引数：基準単位の端数処理区分
第６引数：端数チェックフラグ</t>
    <rPh sb="19" eb="21">
      <t>キジュン</t>
    </rPh>
    <phoneticPr fontId="1"/>
  </si>
  <si>
    <t>convToBaseUnit</t>
    <phoneticPr fontId="1"/>
  </si>
  <si>
    <t>基準通貨以外の通貨から基準通貨へ変換する</t>
    <phoneticPr fontId="1"/>
  </si>
  <si>
    <t>基準通貨金額または単価</t>
    <phoneticPr fontId="1"/>
  </si>
  <si>
    <t>第１引数：金額または単価
第２引数：為替レート
第３引数：通貨の金額または単価小数部有効桁数
第４引数：通貨の為替端数処理区分</t>
    <phoneticPr fontId="1"/>
  </si>
  <si>
    <t>convToBaseCur</t>
  </si>
  <si>
    <t>通貨金額に為替レートを掛け通貨変換する</t>
    <phoneticPr fontId="1"/>
  </si>
  <si>
    <t>通貨金額または単価</t>
    <phoneticPr fontId="1"/>
  </si>
  <si>
    <t>第１引数：金額または単価
第２引数：為替レート
第３引数：通貨の金額または単価小数部有効桁数
第４引数：通貨の為替端数処理区分</t>
    <phoneticPr fontId="1"/>
  </si>
  <si>
    <t>convCur</t>
    <phoneticPr fontId="1"/>
  </si>
  <si>
    <t>MCData用ユーティリティ</t>
    <phoneticPr fontId="1"/>
  </si>
  <si>
    <t>住所１から住所４を半角スペース区切りで連結する</t>
    <rPh sb="5" eb="7">
      <t>ジュウショ</t>
    </rPh>
    <phoneticPr fontId="1"/>
  </si>
  <si>
    <t>住所</t>
    <phoneticPr fontId="1"/>
  </si>
  <si>
    <t>第１引数：住所１
第２引数：住所２
第３引数：住所３
第４引数：住所４</t>
    <rPh sb="5" eb="7">
      <t>ジュウショ</t>
    </rPh>
    <rPh sb="14" eb="16">
      <t>ジュウショ</t>
    </rPh>
    <rPh sb="23" eb="25">
      <t>ジュウショ</t>
    </rPh>
    <rPh sb="32" eb="34">
      <t>ジュウショ</t>
    </rPh>
    <phoneticPr fontId="1"/>
  </si>
  <si>
    <t>concatAddress</t>
    <phoneticPr fontId="1"/>
  </si>
  <si>
    <t>MCData用ユーティリティ</t>
    <phoneticPr fontId="1"/>
  </si>
  <si>
    <t>基準単位数量から有効成分係数取得する</t>
    <rPh sb="14" eb="16">
      <t>シュトク</t>
    </rPh>
    <phoneticPr fontId="1"/>
  </si>
  <si>
    <t>有効成分係数</t>
    <phoneticPr fontId="1"/>
  </si>
  <si>
    <t>第１引数：基準単位数量
第２引数：有効成分数量
第３引数：有効成分小数部有効桁数</t>
    <rPh sb="17" eb="19">
      <t>ユウコウ</t>
    </rPh>
    <rPh sb="19" eb="21">
      <t>セイブン</t>
    </rPh>
    <rPh sb="21" eb="23">
      <t>スウリョウ</t>
    </rPh>
    <phoneticPr fontId="1"/>
  </si>
  <si>
    <t>calcContFctr</t>
    <phoneticPr fontId="1"/>
  </si>
  <si>
    <t>MCData用ユーティリティ</t>
    <phoneticPr fontId="1"/>
  </si>
  <si>
    <t>戻り値</t>
    <rPh sb="0" eb="1">
      <t>モド</t>
    </rPh>
    <rPh sb="2" eb="3">
      <t>チ</t>
    </rPh>
    <phoneticPr fontId="1"/>
  </si>
  <si>
    <t>引数</t>
    <rPh sb="0" eb="2">
      <t>ヒキスウ</t>
    </rPh>
    <phoneticPr fontId="1"/>
  </si>
  <si>
    <t>ユーティリティID（メソッド名）</t>
    <rPh sb="14" eb="15">
      <t>メイ</t>
    </rPh>
    <phoneticPr fontId="1"/>
  </si>
  <si>
    <t>機能ＩＤ</t>
    <rPh sb="0" eb="2">
      <t>キノウ</t>
    </rPh>
    <phoneticPr fontId="1"/>
  </si>
  <si>
    <t>主キーワークテーブルと結合して検索するように設定する</t>
    <phoneticPr fontId="1"/>
  </si>
  <si>
    <t>なし</t>
    <phoneticPr fontId="1"/>
  </si>
  <si>
    <t>第１引数：ＤＢコンテナ
第２引数：ワークテーブル
第３引数：ロックするかどうか
第４引数以降：カラム名</t>
    <rPh sb="40" eb="41">
      <t>ダイ</t>
    </rPh>
    <rPh sb="42" eb="44">
      <t>ヒキスウ</t>
    </rPh>
    <rPh sb="44" eb="46">
      <t>イコウ</t>
    </rPh>
    <rPh sb="50" eb="51">
      <t>メイ</t>
    </rPh>
    <phoneticPr fontId="1"/>
  </si>
  <si>
    <t>setSelPkWk</t>
  </si>
  <si>
    <t>Database関連ユーティリティ</t>
    <phoneticPr fontId="1"/>
  </si>
  <si>
    <t>MAUCL2080</t>
  </si>
  <si>
    <t>主キーワークテーブルを使用して、テーブルの検索を行う</t>
    <rPh sb="24" eb="25">
      <t>オコナ</t>
    </rPh>
    <phoneticPr fontId="1"/>
  </si>
  <si>
    <t>第１引数：ＤＢコンテナ
第２引数：バインドリスト
第３引数：「FOR UPDATE NO WAIT」をつけるかどうか
第４引数：キー項目以外で追加で検索する項目</t>
    <rPh sb="59" eb="60">
      <t>ダイ</t>
    </rPh>
    <rPh sb="61" eb="63">
      <t>ヒキスウ</t>
    </rPh>
    <rPh sb="66" eb="68">
      <t>コウモク</t>
    </rPh>
    <rPh sb="68" eb="70">
      <t>イガイ</t>
    </rPh>
    <phoneticPr fontId="1"/>
  </si>
  <si>
    <t>selectPkWk</t>
  </si>
  <si>
    <t>主キーワークテーブルを使用して、テーブルのロックを行う</t>
    <rPh sb="25" eb="26">
      <t>オコナ</t>
    </rPh>
    <phoneticPr fontId="1"/>
  </si>
  <si>
    <t>なし</t>
    <phoneticPr fontId="1"/>
  </si>
  <si>
    <t>第１引数：ＤＢコンテナ
第２引数：バインドリスト
第３引数以降：カラム名</t>
    <rPh sb="12" eb="13">
      <t>ダイ</t>
    </rPh>
    <rPh sb="14" eb="16">
      <t>ヒキスウ</t>
    </rPh>
    <rPh sb="29" eb="31">
      <t>イコウ</t>
    </rPh>
    <rPh sb="35" eb="36">
      <t>メイ</t>
    </rPh>
    <phoneticPr fontId="1"/>
  </si>
  <si>
    <t>selectForUpdateNoWaitPkWk</t>
  </si>
  <si>
    <t>主キーワークテーブルにデータを格納する</t>
    <phoneticPr fontId="1"/>
  </si>
  <si>
    <t>第１引数：ワークテーブル
第２引数：ＤＢコンテナ
第３引数：バインドリスト</t>
    <rPh sb="13" eb="14">
      <t>ダイ</t>
    </rPh>
    <rPh sb="15" eb="17">
      <t>ヒキスウ</t>
    </rPh>
    <phoneticPr fontId="1"/>
  </si>
  <si>
    <t>insPkWk</t>
  </si>
  <si>
    <t>Database関連ユーティリティ</t>
    <phoneticPr fontId="1"/>
  </si>
  <si>
    <t>第１引数：ワークテーブル
第２引数：バインドリスト</t>
    <phoneticPr fontId="1"/>
  </si>
  <si>
    <t>対応するキーのデータが存在しない場合のエラーメッセージを返す</t>
    <phoneticPr fontId="1"/>
  </si>
  <si>
    <t>第１引数：モジュールＩＤ
第２引数：ＤＢ名
第３引数：キーカラムの配列
第４引数：キーの値
第５引数：チェック対象のロウ</t>
    <rPh sb="20" eb="21">
      <t>メイ</t>
    </rPh>
    <rPh sb="33" eb="35">
      <t>ハイレツ</t>
    </rPh>
    <rPh sb="36" eb="37">
      <t>ダイ</t>
    </rPh>
    <rPh sb="38" eb="40">
      <t>ヒキスウ</t>
    </rPh>
    <rPh sb="44" eb="45">
      <t>アタイ</t>
    </rPh>
    <rPh sb="46" eb="47">
      <t>ダイ</t>
    </rPh>
    <rPh sb="48" eb="50">
      <t>ヒキスウ</t>
    </rPh>
    <rPh sb="55" eb="57">
      <t>タイショウ</t>
    </rPh>
    <phoneticPr fontId="1"/>
  </si>
  <si>
    <t>getRecordNotFoundMsg</t>
  </si>
  <si>
    <t>対応するキーのデータが存在しない場合のエラーメッセージを返す
品目、年月、年月日がキー情報にあった場合、表示用に変換する</t>
    <phoneticPr fontId="1"/>
  </si>
  <si>
    <t>第１引数：モジュールＩＤ
第２引数：ＤＢコンテナ
第３引数：チェック対象のロウ</t>
    <rPh sb="34" eb="36">
      <t>タイショウ</t>
    </rPh>
    <phoneticPr fontId="1"/>
  </si>
  <si>
    <t>対応するデータが保持するキーが上り電文と一致しない場合のエラーメッセージを返す</t>
    <phoneticPr fontId="1"/>
  </si>
  <si>
    <t>第１引数：カラム名
第２引数：ＤＢ上の値
第３引数：チェック対象のロウ</t>
    <rPh sb="8" eb="9">
      <t>メイ</t>
    </rPh>
    <rPh sb="17" eb="18">
      <t>ジョウ</t>
    </rPh>
    <rPh sb="19" eb="20">
      <t>アタイ</t>
    </rPh>
    <rPh sb="30" eb="32">
      <t>タイショウ</t>
    </rPh>
    <phoneticPr fontId="1"/>
  </si>
  <si>
    <t>getRecordInvalidMsg</t>
  </si>
  <si>
    <t>対応するキーのデータが既に登録済みの場合のエラーメッセージを返す</t>
    <phoneticPr fontId="1"/>
  </si>
  <si>
    <t>getRecordFoundMsg</t>
  </si>
  <si>
    <t>排他チェックを行う</t>
    <rPh sb="0" eb="2">
      <t>ハイタ</t>
    </rPh>
    <rPh sb="7" eb="8">
      <t>オコナ</t>
    </rPh>
    <phoneticPr fontId="1"/>
  </si>
  <si>
    <t>第１引数：更新対象のロウ
第２引数：更新カウンタカラム
第３引数：排他対象のロウ</t>
    <phoneticPr fontId="1"/>
  </si>
  <si>
    <t>checkUpdCntrNE</t>
  </si>
  <si>
    <t>引数のカラム名の先頭に「crt_」を付加して返却する</t>
    <rPh sb="0" eb="2">
      <t>ヒキスウ</t>
    </rPh>
    <rPh sb="6" eb="7">
      <t>メイ</t>
    </rPh>
    <rPh sb="8" eb="10">
      <t>セントウ</t>
    </rPh>
    <rPh sb="18" eb="20">
      <t>フカ</t>
    </rPh>
    <rPh sb="22" eb="24">
      <t>ヘンキャク</t>
    </rPh>
    <phoneticPr fontId="1"/>
  </si>
  <si>
    <t>編集後の文字列</t>
    <rPh sb="0" eb="2">
      <t>ヘンシュウ</t>
    </rPh>
    <rPh sb="2" eb="3">
      <t>ゴ</t>
    </rPh>
    <rPh sb="4" eb="7">
      <t>モジレツ</t>
    </rPh>
    <phoneticPr fontId="1"/>
  </si>
  <si>
    <t>第１引数：カラム名</t>
    <rPh sb="0" eb="1">
      <t>ダイ</t>
    </rPh>
    <rPh sb="2" eb="4">
      <t>ヒキスウ</t>
    </rPh>
    <rPh sb="8" eb="9">
      <t>メイ</t>
    </rPh>
    <phoneticPr fontId="1"/>
  </si>
  <si>
    <t>getCrtColumn</t>
    <phoneticPr fontId="1"/>
  </si>
  <si>
    <t>新部門取得共通ユーティリティ</t>
    <rPh sb="0" eb="1">
      <t>シン</t>
    </rPh>
    <rPh sb="1" eb="3">
      <t>ブモン</t>
    </rPh>
    <rPh sb="3" eb="5">
      <t>シュトク</t>
    </rPh>
    <rPh sb="5" eb="7">
      <t>キョウツウ</t>
    </rPh>
    <phoneticPr fontId="1"/>
  </si>
  <si>
    <t>MAUCL1110</t>
    <phoneticPr fontId="1"/>
  </si>
  <si>
    <t>リストの行毎に、計上日を基準にして処理対象の部門ＣＤを判定し、無効な場合はリストに設定されている新規データの部門を処理対象の部門ＣＤに上書きしてリストを返却する
有効な場合は上書きせずにそのままリストを返却する
※引数で対象部門ＣＤカラム配列で指定のある部門ＣＤを処理する</t>
    <rPh sb="4" eb="5">
      <t>ギョウ</t>
    </rPh>
    <rPh sb="5" eb="6">
      <t>ゴト</t>
    </rPh>
    <rPh sb="12" eb="14">
      <t>キジュン</t>
    </rPh>
    <rPh sb="17" eb="19">
      <t>ショリ</t>
    </rPh>
    <rPh sb="19" eb="21">
      <t>タイショウ</t>
    </rPh>
    <rPh sb="22" eb="24">
      <t>ブモン</t>
    </rPh>
    <rPh sb="27" eb="29">
      <t>ハンテイ</t>
    </rPh>
    <rPh sb="31" eb="33">
      <t>ムコウ</t>
    </rPh>
    <rPh sb="34" eb="36">
      <t>バアイ</t>
    </rPh>
    <rPh sb="41" eb="43">
      <t>セッテイ</t>
    </rPh>
    <rPh sb="48" eb="50">
      <t>シンキ</t>
    </rPh>
    <rPh sb="54" eb="56">
      <t>ブモン</t>
    </rPh>
    <rPh sb="57" eb="59">
      <t>ショリ</t>
    </rPh>
    <rPh sb="59" eb="61">
      <t>タイショウ</t>
    </rPh>
    <rPh sb="62" eb="64">
      <t>ブモン</t>
    </rPh>
    <rPh sb="67" eb="69">
      <t>ウワガ</t>
    </rPh>
    <rPh sb="76" eb="78">
      <t>ヘンキャク</t>
    </rPh>
    <rPh sb="81" eb="83">
      <t>ユウコウ</t>
    </rPh>
    <rPh sb="84" eb="86">
      <t>バアイ</t>
    </rPh>
    <rPh sb="87" eb="89">
      <t>ウワガ</t>
    </rPh>
    <rPh sb="101" eb="103">
      <t>ヘンキャク</t>
    </rPh>
    <rPh sb="107" eb="109">
      <t>ヒキスウ</t>
    </rPh>
    <rPh sb="110" eb="112">
      <t>タイショウ</t>
    </rPh>
    <rPh sb="112" eb="114">
      <t>ブモン</t>
    </rPh>
    <rPh sb="119" eb="121">
      <t>ハイレツ</t>
    </rPh>
    <rPh sb="122" eb="124">
      <t>シテイ</t>
    </rPh>
    <rPh sb="127" eb="129">
      <t>ブモン</t>
    </rPh>
    <rPh sb="132" eb="134">
      <t>ショリ</t>
    </rPh>
    <phoneticPr fontId="1"/>
  </si>
  <si>
    <t>処理結果のリスト</t>
    <rPh sb="0" eb="2">
      <t>ショリ</t>
    </rPh>
    <rPh sb="2" eb="4">
      <t>ケッカ</t>
    </rPh>
    <phoneticPr fontId="1"/>
  </si>
  <si>
    <t>第１引数：処理対象のリスト
第２引数：処理対象の部門ＣＤカラム配列
第３引数：カラム変換マップ</t>
    <rPh sb="0" eb="1">
      <t>ダイ</t>
    </rPh>
    <rPh sb="2" eb="4">
      <t>ヒキスウ</t>
    </rPh>
    <rPh sb="5" eb="7">
      <t>ショリ</t>
    </rPh>
    <rPh sb="7" eb="9">
      <t>タイショウ</t>
    </rPh>
    <rPh sb="14" eb="15">
      <t>ダイ</t>
    </rPh>
    <rPh sb="16" eb="18">
      <t>ヒキスウ</t>
    </rPh>
    <rPh sb="19" eb="21">
      <t>ショリ</t>
    </rPh>
    <rPh sb="21" eb="23">
      <t>タイショウ</t>
    </rPh>
    <rPh sb="24" eb="26">
      <t>ブモン</t>
    </rPh>
    <rPh sb="31" eb="33">
      <t>ハイレツ</t>
    </rPh>
    <rPh sb="34" eb="35">
      <t>ダイ</t>
    </rPh>
    <rPh sb="36" eb="38">
      <t>ヒキスウ</t>
    </rPh>
    <rPh sb="42" eb="44">
      <t>ヘンカン</t>
    </rPh>
    <phoneticPr fontId="1"/>
  </si>
  <si>
    <t>setCanDpt</t>
    <phoneticPr fontId="1"/>
  </si>
  <si>
    <t>MAUCL1110</t>
    <phoneticPr fontId="1"/>
  </si>
  <si>
    <t>リストの行毎に、計上日を基準にして処理対象の部門ＣＤを判定し、無効な場合はリストに設定されている新規データの部門を処理対象の部門ＣＤに上書きしてリストを返却する
有効な場合は上書きせずにそのままリストを返却する
※受払実績に存在する部門ＣＤをすべて処理する</t>
    <rPh sb="4" eb="5">
      <t>ギョウ</t>
    </rPh>
    <rPh sb="5" eb="6">
      <t>ゴト</t>
    </rPh>
    <rPh sb="12" eb="14">
      <t>キジュン</t>
    </rPh>
    <rPh sb="17" eb="19">
      <t>ショリ</t>
    </rPh>
    <rPh sb="19" eb="21">
      <t>タイショウ</t>
    </rPh>
    <rPh sb="22" eb="24">
      <t>ブモン</t>
    </rPh>
    <rPh sb="27" eb="29">
      <t>ハンテイ</t>
    </rPh>
    <rPh sb="31" eb="33">
      <t>ムコウ</t>
    </rPh>
    <rPh sb="34" eb="36">
      <t>バアイ</t>
    </rPh>
    <rPh sb="41" eb="43">
      <t>セッテイ</t>
    </rPh>
    <rPh sb="48" eb="50">
      <t>シンキ</t>
    </rPh>
    <rPh sb="54" eb="56">
      <t>ブモン</t>
    </rPh>
    <rPh sb="57" eb="59">
      <t>ショリ</t>
    </rPh>
    <rPh sb="59" eb="61">
      <t>タイショウ</t>
    </rPh>
    <rPh sb="62" eb="64">
      <t>ブモン</t>
    </rPh>
    <rPh sb="67" eb="69">
      <t>ウワガ</t>
    </rPh>
    <rPh sb="76" eb="78">
      <t>ヘンキャク</t>
    </rPh>
    <rPh sb="81" eb="83">
      <t>ユウコウ</t>
    </rPh>
    <rPh sb="84" eb="86">
      <t>バアイ</t>
    </rPh>
    <rPh sb="87" eb="89">
      <t>ウワガ</t>
    </rPh>
    <rPh sb="101" eb="103">
      <t>ヘンキャク</t>
    </rPh>
    <rPh sb="107" eb="109">
      <t>ウケハライ</t>
    </rPh>
    <rPh sb="109" eb="111">
      <t>ジッセキ</t>
    </rPh>
    <rPh sb="112" eb="114">
      <t>ソンザイ</t>
    </rPh>
    <rPh sb="116" eb="118">
      <t>ブモン</t>
    </rPh>
    <phoneticPr fontId="1"/>
  </si>
  <si>
    <t>第１引数：処理対象のリスト
第２引数：カラム変換マップ</t>
    <rPh sb="0" eb="1">
      <t>ダイ</t>
    </rPh>
    <rPh sb="2" eb="4">
      <t>ヒキスウ</t>
    </rPh>
    <rPh sb="5" eb="7">
      <t>ショリ</t>
    </rPh>
    <rPh sb="7" eb="9">
      <t>タイショウ</t>
    </rPh>
    <rPh sb="14" eb="15">
      <t>ダイ</t>
    </rPh>
    <rPh sb="16" eb="18">
      <t>ヒキスウ</t>
    </rPh>
    <rPh sb="22" eb="24">
      <t>ヘンカン</t>
    </rPh>
    <phoneticPr fontId="1"/>
  </si>
  <si>
    <t>setCanDpt</t>
    <phoneticPr fontId="1"/>
  </si>
  <si>
    <t>指定した部門ＣＤ、日付に応じて新部門に変換したロウを返す
エラーチェックフラグがオンの場合
　・新部門が取得できない場合エラーメッセージをプールする
　　この際、処理対象行はエラーフラグがオンになる
部門名カラムが指定されている場合
　・部門名を取得してロウに格納する</t>
    <rPh sb="0" eb="2">
      <t>シテイ</t>
    </rPh>
    <rPh sb="4" eb="6">
      <t>ブモン</t>
    </rPh>
    <rPh sb="9" eb="11">
      <t>ヒヅケ</t>
    </rPh>
    <rPh sb="12" eb="13">
      <t>オウ</t>
    </rPh>
    <rPh sb="15" eb="18">
      <t>シンブモン</t>
    </rPh>
    <rPh sb="19" eb="21">
      <t>ヘンカン</t>
    </rPh>
    <rPh sb="26" eb="27">
      <t>カエ</t>
    </rPh>
    <rPh sb="43" eb="45">
      <t>バアイ</t>
    </rPh>
    <rPh sb="79" eb="80">
      <t>サイ</t>
    </rPh>
    <rPh sb="81" eb="83">
      <t>ショリ</t>
    </rPh>
    <rPh sb="83" eb="85">
      <t>タイショウ</t>
    </rPh>
    <rPh sb="85" eb="86">
      <t>ギョウ</t>
    </rPh>
    <rPh sb="100" eb="102">
      <t>ブモン</t>
    </rPh>
    <rPh sb="102" eb="103">
      <t>メイ</t>
    </rPh>
    <rPh sb="107" eb="109">
      <t>シテイ</t>
    </rPh>
    <rPh sb="114" eb="116">
      <t>バアイ</t>
    </rPh>
    <rPh sb="119" eb="121">
      <t>ブモン</t>
    </rPh>
    <rPh sb="121" eb="122">
      <t>メイ</t>
    </rPh>
    <rPh sb="123" eb="125">
      <t>シュトク</t>
    </rPh>
    <rPh sb="130" eb="132">
      <t>カクノウ</t>
    </rPh>
    <phoneticPr fontId="1"/>
  </si>
  <si>
    <t>処理結果のロウ</t>
    <rPh sb="0" eb="2">
      <t>ショリ</t>
    </rPh>
    <rPh sb="2" eb="4">
      <t>ケッカ</t>
    </rPh>
    <phoneticPr fontId="1"/>
  </si>
  <si>
    <t>第１引数：処理対象のロウ
第２引数：部門ＣＤカラム
第３引数：部門名カラム
第４引数：日付名カラム
第５引数：エラーチェックフラグ</t>
    <rPh sb="0" eb="1">
      <t>ダイ</t>
    </rPh>
    <rPh sb="2" eb="4">
      <t>ヒキスウ</t>
    </rPh>
    <rPh sb="5" eb="7">
      <t>ショリ</t>
    </rPh>
    <rPh sb="7" eb="9">
      <t>タイショウ</t>
    </rPh>
    <rPh sb="13" eb="14">
      <t>ダイ</t>
    </rPh>
    <rPh sb="15" eb="17">
      <t>ヒキスウ</t>
    </rPh>
    <rPh sb="18" eb="20">
      <t>ブモン</t>
    </rPh>
    <rPh sb="38" eb="39">
      <t>ダイ</t>
    </rPh>
    <rPh sb="40" eb="42">
      <t>ヒキスウ</t>
    </rPh>
    <rPh sb="43" eb="45">
      <t>ヒヅケ</t>
    </rPh>
    <rPh sb="45" eb="46">
      <t>メイ</t>
    </rPh>
    <phoneticPr fontId="1"/>
  </si>
  <si>
    <t>setDpt</t>
    <phoneticPr fontId="1"/>
  </si>
  <si>
    <t>指定した部門ＣＤ、日付に応じて新部門に変換したロウを返す
新部門が取得できない場合は元の部門のままのロウを返す</t>
    <rPh sb="0" eb="2">
      <t>シテイ</t>
    </rPh>
    <rPh sb="4" eb="6">
      <t>ブモン</t>
    </rPh>
    <rPh sb="9" eb="11">
      <t>ヒヅケ</t>
    </rPh>
    <rPh sb="12" eb="13">
      <t>オウ</t>
    </rPh>
    <rPh sb="15" eb="18">
      <t>シンブモン</t>
    </rPh>
    <rPh sb="19" eb="21">
      <t>ヘンカン</t>
    </rPh>
    <rPh sb="26" eb="27">
      <t>カエ</t>
    </rPh>
    <rPh sb="29" eb="32">
      <t>シンブモン</t>
    </rPh>
    <rPh sb="33" eb="35">
      <t>シュトク</t>
    </rPh>
    <rPh sb="39" eb="41">
      <t>バアイ</t>
    </rPh>
    <rPh sb="42" eb="43">
      <t>モト</t>
    </rPh>
    <rPh sb="44" eb="46">
      <t>ブモン</t>
    </rPh>
    <rPh sb="53" eb="54">
      <t>カエ</t>
    </rPh>
    <phoneticPr fontId="1"/>
  </si>
  <si>
    <t>第１引数：処理対象のロウ
第２引数：部門ＣＤカラム
第３引数：日付名カラム</t>
    <rPh sb="0" eb="1">
      <t>ダイ</t>
    </rPh>
    <rPh sb="2" eb="4">
      <t>ヒキスウ</t>
    </rPh>
    <rPh sb="5" eb="7">
      <t>ショリ</t>
    </rPh>
    <rPh sb="7" eb="9">
      <t>タイショウ</t>
    </rPh>
    <rPh sb="13" eb="14">
      <t>ダイ</t>
    </rPh>
    <rPh sb="15" eb="17">
      <t>ヒキスウ</t>
    </rPh>
    <rPh sb="18" eb="20">
      <t>ブモン</t>
    </rPh>
    <rPh sb="26" eb="27">
      <t>ダイ</t>
    </rPh>
    <rPh sb="28" eb="30">
      <t>ヒキスウ</t>
    </rPh>
    <rPh sb="31" eb="33">
      <t>ヒヅケ</t>
    </rPh>
    <rPh sb="33" eb="34">
      <t>メイ</t>
    </rPh>
    <phoneticPr fontId="1"/>
  </si>
  <si>
    <t>setDpt</t>
    <phoneticPr fontId="1"/>
  </si>
  <si>
    <t>指定した部門ＣＤ、日付に応じて新部門に変換したリストを返す
エラーチェックフラグがオンの場合
　・新部門が取得できない場合エラーメッセージをプールする
　　この際、処理対象行はエラーフラグがオンになる
部門名カラムが指定されている場合
　・部門名を取得してリストに格納する</t>
    <rPh sb="0" eb="2">
      <t>シテイ</t>
    </rPh>
    <rPh sb="4" eb="6">
      <t>ブモン</t>
    </rPh>
    <rPh sb="9" eb="11">
      <t>ヒヅケ</t>
    </rPh>
    <rPh sb="12" eb="13">
      <t>オウ</t>
    </rPh>
    <rPh sb="15" eb="18">
      <t>シンブモン</t>
    </rPh>
    <rPh sb="19" eb="21">
      <t>ヘンカン</t>
    </rPh>
    <rPh sb="27" eb="28">
      <t>カエ</t>
    </rPh>
    <rPh sb="44" eb="46">
      <t>バアイ</t>
    </rPh>
    <rPh sb="80" eb="81">
      <t>サイ</t>
    </rPh>
    <rPh sb="82" eb="84">
      <t>ショリ</t>
    </rPh>
    <rPh sb="84" eb="86">
      <t>タイショウ</t>
    </rPh>
    <rPh sb="86" eb="87">
      <t>ギョウ</t>
    </rPh>
    <rPh sb="101" eb="103">
      <t>ブモン</t>
    </rPh>
    <rPh sb="103" eb="104">
      <t>メイ</t>
    </rPh>
    <rPh sb="108" eb="110">
      <t>シテイ</t>
    </rPh>
    <rPh sb="115" eb="117">
      <t>バアイ</t>
    </rPh>
    <rPh sb="120" eb="122">
      <t>ブモン</t>
    </rPh>
    <rPh sb="122" eb="123">
      <t>メイ</t>
    </rPh>
    <rPh sb="124" eb="126">
      <t>シュトク</t>
    </rPh>
    <rPh sb="132" eb="134">
      <t>カクノウ</t>
    </rPh>
    <phoneticPr fontId="1"/>
  </si>
  <si>
    <t>第１引数：処理対象のリスト
第２引数：部門ＣＤカラム
第３引数：部門名カラム
第４引数：日付名カラム
第５引数：エラーチェックフラグ</t>
    <rPh sb="0" eb="1">
      <t>ダイ</t>
    </rPh>
    <rPh sb="2" eb="4">
      <t>ヒキスウ</t>
    </rPh>
    <rPh sb="5" eb="7">
      <t>ショリ</t>
    </rPh>
    <rPh sb="7" eb="9">
      <t>タイショウ</t>
    </rPh>
    <rPh sb="14" eb="15">
      <t>ダイ</t>
    </rPh>
    <rPh sb="16" eb="18">
      <t>ヒキスウ</t>
    </rPh>
    <rPh sb="19" eb="21">
      <t>ブモン</t>
    </rPh>
    <rPh sb="39" eb="40">
      <t>ダイ</t>
    </rPh>
    <rPh sb="41" eb="43">
      <t>ヒキスウ</t>
    </rPh>
    <rPh sb="44" eb="46">
      <t>ヒヅケ</t>
    </rPh>
    <rPh sb="46" eb="47">
      <t>メイ</t>
    </rPh>
    <phoneticPr fontId="1"/>
  </si>
  <si>
    <t>指定した部門ＣＤ、日付に応じて新部門に変換したリストを返す
新部門が取得できない場合は元の部門のままのリストを返す</t>
    <rPh sb="0" eb="2">
      <t>シテイ</t>
    </rPh>
    <rPh sb="4" eb="6">
      <t>ブモン</t>
    </rPh>
    <rPh sb="9" eb="11">
      <t>ヒヅケ</t>
    </rPh>
    <rPh sb="12" eb="13">
      <t>オウ</t>
    </rPh>
    <rPh sb="15" eb="18">
      <t>シンブモン</t>
    </rPh>
    <rPh sb="19" eb="21">
      <t>ヘンカン</t>
    </rPh>
    <rPh sb="27" eb="28">
      <t>カエ</t>
    </rPh>
    <rPh sb="30" eb="33">
      <t>シンブモン</t>
    </rPh>
    <rPh sb="34" eb="36">
      <t>シュトク</t>
    </rPh>
    <rPh sb="40" eb="42">
      <t>バアイ</t>
    </rPh>
    <rPh sb="43" eb="44">
      <t>モト</t>
    </rPh>
    <rPh sb="45" eb="47">
      <t>ブモン</t>
    </rPh>
    <rPh sb="55" eb="56">
      <t>カエ</t>
    </rPh>
    <phoneticPr fontId="1"/>
  </si>
  <si>
    <t>第１引数：処理対象のリスト
第２引数：部門ＣＤカラム
第３引数：日付名カラム</t>
    <rPh sb="0" eb="1">
      <t>ダイ</t>
    </rPh>
    <rPh sb="2" eb="4">
      <t>ヒキスウ</t>
    </rPh>
    <rPh sb="5" eb="7">
      <t>ショリ</t>
    </rPh>
    <rPh sb="7" eb="9">
      <t>タイショウ</t>
    </rPh>
    <rPh sb="14" eb="15">
      <t>ダイ</t>
    </rPh>
    <rPh sb="16" eb="18">
      <t>ヒキスウ</t>
    </rPh>
    <rPh sb="19" eb="21">
      <t>ブモン</t>
    </rPh>
    <rPh sb="27" eb="28">
      <t>ダイ</t>
    </rPh>
    <rPh sb="29" eb="31">
      <t>ヒキスウ</t>
    </rPh>
    <rPh sb="32" eb="34">
      <t>ヒヅケ</t>
    </rPh>
    <rPh sb="34" eb="35">
      <t>メイ</t>
    </rPh>
    <phoneticPr fontId="1"/>
  </si>
  <si>
    <t>優先順位のサマリが優先順位よりも大きいロウを含む新しいリストを返す</t>
    <phoneticPr fontId="1"/>
  </si>
  <si>
    <t>処理結果のリスト</t>
    <rPh sb="0" eb="4">
      <t>ショリケッカ</t>
    </rPh>
    <phoneticPr fontId="1"/>
  </si>
  <si>
    <t>第１引数：優先順位のsumを集計したリスト。優先順位と、
それを集計したカラムを保持している必要がある
第２引数：優先順位の合計カラム
第３引数：優先順位カラム</t>
    <phoneticPr fontId="1"/>
  </si>
  <si>
    <t>subListForErrPrio</t>
    <phoneticPr fontId="1"/>
  </si>
  <si>
    <t>優先順位チェック共通ユーティリティ</t>
    <rPh sb="0" eb="2">
      <t>ユウセン</t>
    </rPh>
    <rPh sb="2" eb="4">
      <t>ジュンイ</t>
    </rPh>
    <rPh sb="8" eb="10">
      <t>キョウツウ</t>
    </rPh>
    <phoneticPr fontId="1"/>
  </si>
  <si>
    <t>MAUCL1080</t>
  </si>
  <si>
    <t>優先順位のチェック対象のロウを含む新しいリストを返す
次の条件をすべて満たすロウのみをリストに格納し、リストを返す 
　・CREATEまたはMODIFYステータス 
　・優先順位がNULLか'-1'以外</t>
  </si>
  <si>
    <t>第１引数：優先順位カラムをもつリスト
第２引数：優先順位カラム</t>
    <phoneticPr fontId="1"/>
  </si>
  <si>
    <t>subListForCheckPrio</t>
    <phoneticPr fontId="1"/>
  </si>
  <si>
    <t>取引により、単価の正負を判断する</t>
    <rPh sb="0" eb="2">
      <t>トリヒキ</t>
    </rPh>
    <rPh sb="6" eb="8">
      <t>タンカ</t>
    </rPh>
    <rPh sb="9" eb="11">
      <t>セイフ</t>
    </rPh>
    <rPh sb="12" eb="14">
      <t>ハンダン</t>
    </rPh>
    <phoneticPr fontId="1"/>
  </si>
  <si>
    <t>1（符号反転しない場合） 
-1（符号反転する場合）
NULL（単価が関係ない取引の場合）</t>
    <phoneticPr fontId="1"/>
  </si>
  <si>
    <t>第１引数：取引パタン区分
第２引数：値引品目フラグ</t>
    <rPh sb="0" eb="1">
      <t>ダイ</t>
    </rPh>
    <rPh sb="2" eb="4">
      <t>ヒキスウ</t>
    </rPh>
    <rPh sb="5" eb="7">
      <t>トリヒキ</t>
    </rPh>
    <rPh sb="10" eb="12">
      <t>クブン</t>
    </rPh>
    <rPh sb="13" eb="14">
      <t>ダイ</t>
    </rPh>
    <rPh sb="15" eb="17">
      <t>ヒキスウ</t>
    </rPh>
    <rPh sb="18" eb="20">
      <t>ネビキ</t>
    </rPh>
    <rPh sb="20" eb="22">
      <t>ヒンモク</t>
    </rPh>
    <phoneticPr fontId="1"/>
  </si>
  <si>
    <t>getUpriDispPm</t>
  </si>
  <si>
    <t>取引関連ユーティリティ</t>
    <rPh sb="0" eb="2">
      <t>トリヒキ</t>
    </rPh>
    <rPh sb="2" eb="4">
      <t>カンレン</t>
    </rPh>
    <phoneticPr fontId="1"/>
  </si>
  <si>
    <t>MAUCL1060</t>
  </si>
  <si>
    <t>指定した取引ＣＤに応じた取引情報を取得する</t>
    <phoneticPr fontId="1"/>
  </si>
  <si>
    <t>取引情報</t>
    <phoneticPr fontId="1"/>
  </si>
  <si>
    <t>第１引数：取引ＣＤ</t>
    <rPh sb="5" eb="7">
      <t>トリヒキ</t>
    </rPh>
    <phoneticPr fontId="1"/>
  </si>
  <si>
    <t>getTrd</t>
    <phoneticPr fontId="1"/>
  </si>
  <si>
    <t>MAUCL1060</t>
    <phoneticPr fontId="1"/>
  </si>
  <si>
    <t>指定した取引パタン区分で自動時採用がオンのものをデフォルト取引ＣＤとして取得する</t>
    <phoneticPr fontId="1"/>
  </si>
  <si>
    <t>デフォルト取引ＣＤ</t>
    <phoneticPr fontId="1"/>
  </si>
  <si>
    <t>第１引数：取引パタン区分</t>
    <rPh sb="5" eb="7">
      <t>トリヒキ</t>
    </rPh>
    <rPh sb="10" eb="12">
      <t>クブン</t>
    </rPh>
    <phoneticPr fontId="1"/>
  </si>
  <si>
    <t>getDefaultTrdCd</t>
    <phoneticPr fontId="1"/>
  </si>
  <si>
    <t>MAUCL1060</t>
    <phoneticPr fontId="1"/>
  </si>
  <si>
    <t>取引により、金額の正負を判断する</t>
    <rPh sb="0" eb="2">
      <t>トリヒキ</t>
    </rPh>
    <rPh sb="6" eb="8">
      <t>キンガク</t>
    </rPh>
    <rPh sb="9" eb="11">
      <t>セイフ</t>
    </rPh>
    <rPh sb="12" eb="14">
      <t>ハンダン</t>
    </rPh>
    <phoneticPr fontId="1"/>
  </si>
  <si>
    <t>1（符号反転しない場合） 
-1（符号反転する場合）
NULL（金額が関係ない取引の場合）</t>
    <rPh sb="32" eb="34">
      <t>キンガク</t>
    </rPh>
    <phoneticPr fontId="1"/>
  </si>
  <si>
    <t>getAmtDispPm</t>
  </si>
  <si>
    <t>開始日、終了日制御対象の画面の場合、trueを返す</t>
    <phoneticPr fontId="1"/>
  </si>
  <si>
    <t>処理結果</t>
    <rPh sb="0" eb="4">
      <t>ショリケッカ</t>
    </rPh>
    <phoneticPr fontId="1"/>
  </si>
  <si>
    <t>第１引数：ＤＢコンテナ</t>
  </si>
  <si>
    <t>isStEndDt</t>
    <phoneticPr fontId="1"/>
  </si>
  <si>
    <t>適用期間ユーティリティ</t>
    <rPh sb="0" eb="2">
      <t>テキヨウ</t>
    </rPh>
    <rPh sb="2" eb="4">
      <t>キカン</t>
    </rPh>
    <phoneticPr fontId="1"/>
  </si>
  <si>
    <t>MAUCL1010</t>
    <phoneticPr fontId="1"/>
  </si>
  <si>
    <t>ベースキーの配列を返す
ベースキーは開始日以外のキー項目の配列となる</t>
    <phoneticPr fontId="1"/>
  </si>
  <si>
    <t>ベースキーの配列</t>
    <phoneticPr fontId="1"/>
  </si>
  <si>
    <t>getBaseKey</t>
    <phoneticPr fontId="1"/>
  </si>
  <si>
    <t>登録対象と適用開始日を含まないキー項目（以降、ベースキー）が一致するDBレコードを取得し、登録可能な状態にしたリストを返す
補正の方法は以下のとおり
・ベースキーごとに補正する
・DB上のデータ、上りデータ、適用開始日の昇順に重複している期間を削る
（ソートされたもののうち、indexの大きいものが優先して現状が維持される）
DBレコードには変更前キーが格納され、値にはキーが設定される
ただし、DBレコードが分割された場合、開始日の大きいほうのRowコンテナの変更前キー項目はクリアされる
データに重複があった場合、メッセージリストにメッセージを格納する
設定されるメッセージは以下のいずれかとなる
　MAUDL0379W：登録済みのデータ内で重複があった場合
　MAUDL0381W：登録対象と登録済みのデータに重複があった場合
　MAUDL0380W：登録対象内に重複があった場合
各メッセージが設定されたときに補正を行わせたくない場合、引数stopMsgIdに上記のメッセージIDを渡すこと
登録対象がすでに更新されていた場合は例外をthrowする</t>
    <rPh sb="220" eb="221">
      <t>オオ</t>
    </rPh>
    <phoneticPr fontId="1"/>
  </si>
  <si>
    <t>第１引数：登録対象コンテナ(ステータスNONEは存在しないこと)
第２引数：検索処理と同等のselect句、join句が付加されたDBコンテナ
第３引数：コンテナとメッセージが格納されるマップ
第４引数：補正を停止するメッセージID</t>
  </si>
  <si>
    <t>correctRange</t>
    <phoneticPr fontId="1"/>
  </si>
  <si>
    <t>MAUCL1010</t>
    <phoneticPr fontId="1"/>
  </si>
  <si>
    <t>開始日／終了日の重複をチェックし、異常があればメッセージリストに設定する</t>
    <rPh sb="2" eb="3">
      <t>ヒ</t>
    </rPh>
    <rPh sb="6" eb="7">
      <t>ヒ</t>
    </rPh>
    <rPh sb="17" eb="19">
      <t>イジョウ</t>
    </rPh>
    <phoneticPr fontId="1"/>
  </si>
  <si>
    <t>第１引数：ＤＢコンテナ
第２引数：ベースキー配列
第３引数：メッセージリスト</t>
  </si>
  <si>
    <t>checkStEndDtValid</t>
    <phoneticPr fontId="1"/>
  </si>
  <si>
    <t>MAUCL1010</t>
    <phoneticPr fontId="1"/>
  </si>
  <si>
    <t>DBコンテナに対して、開始日、終了日の連続性をチェックし、連続していればtrueを返す</t>
    <phoneticPr fontId="1"/>
  </si>
  <si>
    <t>第１引数：連続性をチェックするDBコンテナ
第２引数：チェック適用開始日
第３引数：チェック適用終了日</t>
    <rPh sb="35" eb="36">
      <t>ヒ</t>
    </rPh>
    <rPh sb="48" eb="50">
      <t>シュウリョウ</t>
    </rPh>
    <rPh sb="50" eb="51">
      <t>ヒ</t>
    </rPh>
    <phoneticPr fontId="1"/>
  </si>
  <si>
    <t>checkStEndDtContinuity</t>
    <phoneticPr fontId="1"/>
  </si>
  <si>
    <t>第１引数：本来小さい日時
第２引数：本来大きい日時</t>
    <rPh sb="5" eb="7">
      <t>ホンライ</t>
    </rPh>
    <rPh sb="7" eb="8">
      <t>チイ</t>
    </rPh>
    <rPh sb="10" eb="12">
      <t>ニチジ</t>
    </rPh>
    <rPh sb="18" eb="20">
      <t>ホンライ</t>
    </rPh>
    <rPh sb="20" eb="21">
      <t>オオ</t>
    </rPh>
    <rPh sb="23" eb="25">
      <t>ニチジ</t>
    </rPh>
    <phoneticPr fontId="1"/>
  </si>
  <si>
    <t>isBeforeAfter</t>
    <phoneticPr fontId="1"/>
  </si>
  <si>
    <t>MAUCL0140</t>
    <phoneticPr fontId="1"/>
  </si>
  <si>
    <t>対象年月開始日を取得する</t>
    <rPh sb="2" eb="4">
      <t>ネンゲツ</t>
    </rPh>
    <phoneticPr fontId="1"/>
  </si>
  <si>
    <t>開始日付</t>
    <phoneticPr fontId="1"/>
  </si>
  <si>
    <t>第１引数：対象年月</t>
    <rPh sb="5" eb="7">
      <t>タイショウ</t>
    </rPh>
    <rPh sb="7" eb="9">
      <t>ネンゲツ</t>
    </rPh>
    <phoneticPr fontId="1"/>
  </si>
  <si>
    <t>getYmStDt</t>
    <phoneticPr fontId="1"/>
  </si>
  <si>
    <t>終了日付</t>
    <phoneticPr fontId="1"/>
  </si>
  <si>
    <t>第１引数：対象年月</t>
    <rPh sb="7" eb="9">
      <t>ネンゲツ</t>
    </rPh>
    <phoneticPr fontId="1"/>
  </si>
  <si>
    <t>getYmEndDt</t>
    <phoneticPr fontId="1"/>
  </si>
  <si>
    <t>会計締日から、対象日付の属する期間の開始日を取得する</t>
    <phoneticPr fontId="1"/>
  </si>
  <si>
    <t>終了日付</t>
    <phoneticPr fontId="1"/>
  </si>
  <si>
    <t>getPeriodStDt</t>
    <phoneticPr fontId="1"/>
  </si>
  <si>
    <t>MAUCL0140</t>
    <phoneticPr fontId="1"/>
  </si>
  <si>
    <t>対象日付の属する年月の開始日を取得する</t>
    <phoneticPr fontId="1"/>
  </si>
  <si>
    <t>開始日付</t>
    <phoneticPr fontId="1"/>
  </si>
  <si>
    <t>第１引数：対象日付
第２引数：期間区分</t>
    <rPh sb="5" eb="7">
      <t>タイショウ</t>
    </rPh>
    <rPh sb="7" eb="9">
      <t>ヒヅケ</t>
    </rPh>
    <rPh sb="15" eb="17">
      <t>キカン</t>
    </rPh>
    <rPh sb="17" eb="19">
      <t>クブン</t>
    </rPh>
    <phoneticPr fontId="1"/>
  </si>
  <si>
    <t>getPeriodStDt</t>
    <phoneticPr fontId="1"/>
  </si>
  <si>
    <t>getPeriodEndDt</t>
    <phoneticPr fontId="1"/>
  </si>
  <si>
    <t>対象日付の属する期間の終了日を取得する</t>
    <phoneticPr fontId="1"/>
  </si>
  <si>
    <t>指定期間に含まれるカレンダの稼働日の日数を算出して返す</t>
    <phoneticPr fontId="1"/>
  </si>
  <si>
    <t>稼働日の日数</t>
    <phoneticPr fontId="1"/>
  </si>
  <si>
    <t>第１引数：開始日付
第２引数：終了日付
第３引数：カレンダＣＤ</t>
    <rPh sb="5" eb="7">
      <t>カイシ</t>
    </rPh>
    <rPh sb="7" eb="9">
      <t>ヒヅケ</t>
    </rPh>
    <rPh sb="15" eb="17">
      <t>シュウリョウ</t>
    </rPh>
    <phoneticPr fontId="1"/>
  </si>
  <si>
    <t>getCalDays</t>
    <phoneticPr fontId="1"/>
  </si>
  <si>
    <t>カレンダの休日を考慮して移動用リードタイムを計算する</t>
    <phoneticPr fontId="1"/>
  </si>
  <si>
    <t>リードタイム計算後の日付</t>
    <phoneticPr fontId="1"/>
  </si>
  <si>
    <t>第１引数：基準日付
第２引数：リードタイム日数
第３引数：直後の稼働日フラグ
第４引数：移動元カレンダＣＤ
第５引数：移動元場所ＣＤ
第６引数：移動先カレンダＣＤ
第７引数：移動先場所ＣＤ</t>
    <rPh sb="5" eb="7">
      <t>キジュン</t>
    </rPh>
    <rPh sb="7" eb="9">
      <t>ヒヅケ</t>
    </rPh>
    <rPh sb="44" eb="46">
      <t>イドウ</t>
    </rPh>
    <rPh sb="46" eb="47">
      <t>モト</t>
    </rPh>
    <rPh sb="59" eb="61">
      <t>イドウ</t>
    </rPh>
    <rPh sb="61" eb="62">
      <t>モト</t>
    </rPh>
    <rPh sb="62" eb="64">
      <t>バショ</t>
    </rPh>
    <rPh sb="74" eb="75">
      <t>サキ</t>
    </rPh>
    <rPh sb="89" eb="90">
      <t>サキ</t>
    </rPh>
    <phoneticPr fontId="1"/>
  </si>
  <si>
    <t>getCalDateMove</t>
    <phoneticPr fontId="1"/>
  </si>
  <si>
    <t>場所のカレンダの休日を考慮してリードタイムを計算する</t>
    <phoneticPr fontId="1"/>
  </si>
  <si>
    <t>第１引数：基準日付
第２引数：リードタイム日数
第３引数：直後の稼働日フラグ
第４引数：場所ＣＤ
第５引数：移動用フラグ</t>
    <rPh sb="5" eb="7">
      <t>キジュン</t>
    </rPh>
    <rPh sb="7" eb="9">
      <t>ヒヅケ</t>
    </rPh>
    <rPh sb="44" eb="46">
      <t>バショ</t>
    </rPh>
    <phoneticPr fontId="1"/>
  </si>
  <si>
    <t>getCalDateLoc</t>
    <phoneticPr fontId="1"/>
  </si>
  <si>
    <t>MAUCL0140</t>
    <phoneticPr fontId="1"/>
  </si>
  <si>
    <t>会社マスタの日付切替時間を考慮した計上日を返す</t>
    <rPh sb="0" eb="2">
      <t>カイシャ</t>
    </rPh>
    <rPh sb="13" eb="15">
      <t>コウリョ</t>
    </rPh>
    <rPh sb="17" eb="20">
      <t>ケイジョウビ</t>
    </rPh>
    <rPh sb="21" eb="22">
      <t>カエ</t>
    </rPh>
    <phoneticPr fontId="1"/>
  </si>
  <si>
    <t>計上日付</t>
    <rPh sb="0" eb="2">
      <t>ケイジョウ</t>
    </rPh>
    <phoneticPr fontId="1"/>
  </si>
  <si>
    <t>第１引数：実績日時</t>
    <rPh sb="5" eb="7">
      <t>ジッセキ</t>
    </rPh>
    <rPh sb="7" eb="9">
      <t>ニチジ</t>
    </rPh>
    <phoneticPr fontId="1"/>
  </si>
  <si>
    <t>getAcDt</t>
    <phoneticPr fontId="1"/>
  </si>
  <si>
    <t>カレンダの休日を考慮してリードタイムを計算する</t>
    <phoneticPr fontId="1"/>
  </si>
  <si>
    <t>第１引数：ファンクション実行結果を受けるリストのカラム名
第２引数：ファンクション実行結果を受けるリスト
第３引数：バインドリスト</t>
    <rPh sb="0" eb="1">
      <t>ダイ</t>
    </rPh>
    <rPh sb="2" eb="4">
      <t>ヒキスウ</t>
    </rPh>
    <phoneticPr fontId="1"/>
  </si>
  <si>
    <t>execCalDateBatch</t>
    <phoneticPr fontId="1"/>
  </si>
  <si>
    <t>リードタイム計算後の日付</t>
    <phoneticPr fontId="1"/>
  </si>
  <si>
    <t>第１引数：基準日付
第２引数：リードタイム日数
第３引数：直後の稼働日フラグ
第４引数：カレンダＣＤ
第５引数：移動用フラグ</t>
    <rPh sb="5" eb="7">
      <t>キジュン</t>
    </rPh>
    <rPh sb="7" eb="9">
      <t>ヒヅケ</t>
    </rPh>
    <phoneticPr fontId="1"/>
  </si>
  <si>
    <t>getCalDate</t>
    <phoneticPr fontId="1"/>
  </si>
  <si>
    <t>指定したカレンダと基準日から直近の営業日を取得する</t>
    <phoneticPr fontId="1"/>
  </si>
  <si>
    <t>営業日</t>
    <rPh sb="0" eb="3">
      <t>エイギョウビ</t>
    </rPh>
    <phoneticPr fontId="1"/>
  </si>
  <si>
    <t>第１引数：基準日
第２引数：前後区分
第３引数：カレンダＣＤ１
第４引数：カレンダＣＤ２</t>
    <rPh sb="5" eb="8">
      <t>キジュンビ</t>
    </rPh>
    <rPh sb="14" eb="16">
      <t>ゼンゴ</t>
    </rPh>
    <rPh sb="16" eb="18">
      <t>クブン</t>
    </rPh>
    <rPh sb="32" eb="33">
      <t>ダイ</t>
    </rPh>
    <rPh sb="34" eb="36">
      <t>ヒキスウ</t>
    </rPh>
    <phoneticPr fontId="1"/>
  </si>
  <si>
    <t>getBusinessDay</t>
    <phoneticPr fontId="1"/>
  </si>
  <si>
    <t>指定期間に含まれるカレンダの稼働日の日数を求める</t>
    <phoneticPr fontId="1"/>
  </si>
  <si>
    <t>execCalDaysBatch</t>
    <phoneticPr fontId="1"/>
  </si>
  <si>
    <t>第１引数：対象日付
第２引数：期間区分
第３引数：加算期間</t>
    <rPh sb="5" eb="7">
      <t>タイショウ</t>
    </rPh>
    <rPh sb="7" eb="9">
      <t>ヒヅケ</t>
    </rPh>
    <phoneticPr fontId="1"/>
  </si>
  <si>
    <t>addPeriodStDt</t>
    <phoneticPr fontId="1"/>
  </si>
  <si>
    <t>金額と値引額と数量から単価を計算して返す</t>
    <phoneticPr fontId="1"/>
  </si>
  <si>
    <t>単価</t>
    <phoneticPr fontId="1"/>
  </si>
  <si>
    <t>第１引数：金額
第２引数：数量
第３引数：単価小数部有効桁数
第４引数：値引額</t>
    <rPh sb="5" eb="7">
      <t>キンガク</t>
    </rPh>
    <rPh sb="13" eb="15">
      <t>スウリョウ</t>
    </rPh>
    <rPh sb="31" eb="32">
      <t>ダイ</t>
    </rPh>
    <rPh sb="33" eb="35">
      <t>ヒキスウ</t>
    </rPh>
    <rPh sb="36" eb="38">
      <t>ネビキ</t>
    </rPh>
    <rPh sb="38" eb="39">
      <t>ガク</t>
    </rPh>
    <phoneticPr fontId="1"/>
  </si>
  <si>
    <t>getUpri</t>
    <phoneticPr fontId="1"/>
  </si>
  <si>
    <t>MAUCL0100</t>
    <phoneticPr fontId="1"/>
  </si>
  <si>
    <t>金額と数量から単価を計算して返す</t>
    <phoneticPr fontId="1"/>
  </si>
  <si>
    <t>getUpri</t>
    <phoneticPr fontId="1"/>
  </si>
  <si>
    <t>金額と値引額と税率から税金額を取得する
外税、内税に応じた計算をする</t>
    <phoneticPr fontId="1"/>
  </si>
  <si>
    <t>第１引数：金額
第２引数：税率
第３引数：小数部有効桁数
第４引数：端数処理区分
第５引数：値引額
第６引数：金額が内税（税込）の場合に true</t>
    <rPh sb="5" eb="7">
      <t>キンガク</t>
    </rPh>
    <rPh sb="13" eb="15">
      <t>ゼイリツ</t>
    </rPh>
    <rPh sb="46" eb="48">
      <t>ネビキ</t>
    </rPh>
    <rPh sb="48" eb="49">
      <t>ガク</t>
    </rPh>
    <phoneticPr fontId="1"/>
  </si>
  <si>
    <t>MAUCL0100</t>
  </si>
  <si>
    <t>第１引数：金額
第２引数：税率
第３引数：小数部有効桁数
第４引数：端数処理区分
第５引数：金額が内税（税込）の場合に true</t>
    <rPh sb="13" eb="15">
      <t>ゼイリツ</t>
    </rPh>
    <phoneticPr fontId="1"/>
  </si>
  <si>
    <t>税抜金額と値引額と税率から税金額を取得する
金額が税抜であることが前提の場合に使用する</t>
    <phoneticPr fontId="1"/>
  </si>
  <si>
    <t>第１引数：税抜金額
第２引数：税率
第３引数：金額小数部有効桁数
第４引数：税端数処理区分
第５引数：値引額</t>
    <phoneticPr fontId="1"/>
  </si>
  <si>
    <t>getTaxAmt</t>
    <phoneticPr fontId="1"/>
  </si>
  <si>
    <t>税抜金額と税率から税金額を取得する
金額が税抜であることが前提の場合に使用する</t>
    <phoneticPr fontId="1"/>
  </si>
  <si>
    <t>第１引数：税抜金額
第２引数：税率
第３引数：金額小数部有効桁数
第４引数：税端数処理区分</t>
    <phoneticPr fontId="1"/>
  </si>
  <si>
    <t>getTaxAmt</t>
    <phoneticPr fontId="1"/>
  </si>
  <si>
    <t>MAUCL0100</t>
    <phoneticPr fontId="1"/>
  </si>
  <si>
    <t>税込金額と値引額と税率から税金額を取得する
金額が税込であることが前提の場合に使用する</t>
    <phoneticPr fontId="1"/>
  </si>
  <si>
    <t>第１引数：税込金額
第２引数：税率
第３引数：金額小数部有効桁数
第４引数：税端数処理区分
第５引数：値引額</t>
    <phoneticPr fontId="1"/>
  </si>
  <si>
    <t>getIncTaxAmt</t>
    <phoneticPr fontId="1"/>
  </si>
  <si>
    <t>税込金額と税率から税金額を取得する
金額が税込であることが前提の場合に使用する</t>
    <phoneticPr fontId="1"/>
  </si>
  <si>
    <t>第１引数：税込金額
第２引数：税率
第３引数：金額小数部有効桁数
第４引数：税端数処理区分</t>
    <phoneticPr fontId="1"/>
  </si>
  <si>
    <t>デフォルトの為替レートを取得する
取得できない場合は、NULLを返す</t>
    <phoneticPr fontId="1"/>
  </si>
  <si>
    <t>為替レート</t>
    <phoneticPr fontId="1"/>
  </si>
  <si>
    <t>第１引数：換算元通貨ＣＤ
第２引数：換算先通貨ＣＤ
第３引数：為替レートＣＤ
第４引数：基準日</t>
    <rPh sb="18" eb="20">
      <t>カンサン</t>
    </rPh>
    <rPh sb="20" eb="21">
      <t>サキ</t>
    </rPh>
    <rPh sb="21" eb="23">
      <t>ツウカ</t>
    </rPh>
    <phoneticPr fontId="1"/>
  </si>
  <si>
    <t>getDefXrateNE</t>
    <phoneticPr fontId="1"/>
  </si>
  <si>
    <t>デフォルトの為替レートを取得する</t>
    <phoneticPr fontId="1"/>
  </si>
  <si>
    <t>金額、税額、税込金額を取得する</t>
    <rPh sb="11" eb="13">
      <t>シュトク</t>
    </rPh>
    <phoneticPr fontId="1"/>
  </si>
  <si>
    <t>処理結果のロウ</t>
    <rPh sb="0" eb="4">
      <t>ショリケッカ</t>
    </rPh>
    <phoneticPr fontId="1"/>
  </si>
  <si>
    <t>第１引数：単価
第２引数：数量
第３引数：消費税率
第４引数：内税フラグ
第５引数：金額小数部有効桁数
第６引数：金額端数処理区分
第７引数：消費税端数処理区分
第８引数：値引額</t>
    <rPh sb="13" eb="15">
      <t>スウリョウ</t>
    </rPh>
    <rPh sb="86" eb="88">
      <t>ネビキ</t>
    </rPh>
    <rPh sb="88" eb="89">
      <t>ガク</t>
    </rPh>
    <phoneticPr fontId="1"/>
  </si>
  <si>
    <t>getAmtAndTax</t>
    <phoneticPr fontId="1"/>
  </si>
  <si>
    <t>getAmtAndTax</t>
    <phoneticPr fontId="1"/>
  </si>
  <si>
    <t>単価と数量から金額を計算し、値引額を引いた値を取得する</t>
    <rPh sb="10" eb="12">
      <t>ケイサン</t>
    </rPh>
    <rPh sb="14" eb="16">
      <t>ネビキ</t>
    </rPh>
    <rPh sb="16" eb="17">
      <t>ガク</t>
    </rPh>
    <rPh sb="18" eb="19">
      <t>ヒ</t>
    </rPh>
    <rPh sb="21" eb="22">
      <t>アタイ</t>
    </rPh>
    <rPh sb="23" eb="25">
      <t>シュトク</t>
    </rPh>
    <phoneticPr fontId="1"/>
  </si>
  <si>
    <t>第１引数：単価
第２引数：数量
第３引数：小数部有効桁数
第４引数：金額端数処理区分
第５引数：値引額</t>
    <rPh sb="13" eb="15">
      <t>スウリョウ</t>
    </rPh>
    <rPh sb="34" eb="36">
      <t>キンガク</t>
    </rPh>
    <rPh sb="43" eb="44">
      <t>ダイ</t>
    </rPh>
    <rPh sb="45" eb="47">
      <t>ヒキスウ</t>
    </rPh>
    <rPh sb="48" eb="50">
      <t>ネビキ</t>
    </rPh>
    <rPh sb="50" eb="51">
      <t>ガク</t>
    </rPh>
    <phoneticPr fontId="1"/>
  </si>
  <si>
    <t>getAmt</t>
    <phoneticPr fontId="1"/>
  </si>
  <si>
    <t>単価と数量から金額取得する</t>
    <rPh sb="9" eb="11">
      <t>シュトク</t>
    </rPh>
    <phoneticPr fontId="1"/>
  </si>
  <si>
    <t>getAmt</t>
    <phoneticPr fontId="1"/>
  </si>
  <si>
    <t>開始年月、終了年月制御対象の画面の場合、trueを返す</t>
    <phoneticPr fontId="1"/>
  </si>
  <si>
    <t>isStEndYm</t>
    <phoneticPr fontId="1"/>
  </si>
  <si>
    <t>MAUCL0090</t>
    <phoneticPr fontId="1"/>
  </si>
  <si>
    <t>ベースキーの配列を返す
ベースキーは開始年月以外のキー項目の配列となる</t>
    <phoneticPr fontId="1"/>
  </si>
  <si>
    <t>ベースキーの配列</t>
    <phoneticPr fontId="1"/>
  </si>
  <si>
    <t>getBaseKey</t>
    <phoneticPr fontId="1"/>
  </si>
  <si>
    <t>登録対象と適用開始年月を含まないキー項目（以降、ベースキー）が一致するDBレコードを取得し、登録可能な状態にしたリスト返す
補正の方法は以下のとおり
・ベースキーごとに補正する
・DB上のデータ、上りデータ、適用開始年月の昇順に重複している期間を削る
（ソートされたもののうち、indexの大きいものが優先して現状が維持される）
DBレコードには変更前キーが格納され、値にはキーが設定される
ただし、DBレコードが分割された場合、開始年月の大きいほうのRowコンテナの変更前キー項目はクリアされる
データに重複があった場合、メッセージリストにメッセージを格納する
設定されるメッセージは以下のいずれかとなる
　MAUCL0030W：登録済みのデータ内で重複があった場合
　MAUCL0032W：登録対象と登録済みのデータに重複があった場合
　MAUCL0031W：登録対象内に重複があった場合
各メッセージが設定されたときに補正を行わせたくない場合、引数stopMsgIdに上記のメッセージIDを渡すこと
登録対象がすでに更新されていた場合は例外をthrowする</t>
    <rPh sb="222" eb="223">
      <t>オオ</t>
    </rPh>
    <phoneticPr fontId="1"/>
  </si>
  <si>
    <t>correctRange</t>
    <phoneticPr fontId="1"/>
  </si>
  <si>
    <t>開始年月、終了年月の重複をチェックし、異常があればメッセージリストに設定する</t>
    <phoneticPr fontId="1"/>
  </si>
  <si>
    <t>checkStEndYmValid</t>
    <phoneticPr fontId="1"/>
  </si>
  <si>
    <t>MAUCL0090</t>
    <phoneticPr fontId="1"/>
  </si>
  <si>
    <t>DBコンテナに対して、開始年月、終了年月の連続性をチェックし、連続していればtrueを返す</t>
    <phoneticPr fontId="1"/>
  </si>
  <si>
    <t>第１引数：連続性をチェックするDBコンテナ
第２引数：チェック適用開始年月
第３引数：チェック適用終了年月</t>
    <rPh sb="49" eb="51">
      <t>シュウリョウ</t>
    </rPh>
    <phoneticPr fontId="1"/>
  </si>
  <si>
    <t>checkStEndYmContinuity</t>
    <phoneticPr fontId="1"/>
  </si>
  <si>
    <t>指定した日付に対応した期を対象期間マスタから取得し、標準単価マスタから標準単価を取得し、第２引数のリストに一括設定する</t>
    <rPh sb="44" eb="45">
      <t>ダイ</t>
    </rPh>
    <rPh sb="46" eb="48">
      <t>ヒキスウ</t>
    </rPh>
    <rPh sb="53" eb="55">
      <t>イッカツ</t>
    </rPh>
    <rPh sb="55" eb="57">
      <t>セッテイ</t>
    </rPh>
    <phoneticPr fontId="1"/>
  </si>
  <si>
    <t>第１引数：ファンクション実行結果を受けるリストのカラム名
第２引数：ファンクション実行結果を受けるリスト
第３引数：品目ＣＤのカラム名
第４引数：枝番１のカラム名
第５引数：枝番２のカラム名
第６引数：枝番３のカラム名
第７引数：日付のカラム名
第８引数：ワーキンググループＣＤのカラム名
第９引数：標準単価取得区分のカラム名</t>
    <rPh sb="0" eb="1">
      <t>ダイ</t>
    </rPh>
    <rPh sb="2" eb="4">
      <t>ヒキスウ</t>
    </rPh>
    <rPh sb="29" eb="30">
      <t>ダイ</t>
    </rPh>
    <rPh sb="31" eb="33">
      <t>ヒキスウ</t>
    </rPh>
    <rPh sb="66" eb="67">
      <t>メイ</t>
    </rPh>
    <rPh sb="80" eb="81">
      <t>メイ</t>
    </rPh>
    <phoneticPr fontId="1"/>
  </si>
  <si>
    <t>getStdCostL</t>
    <phoneticPr fontId="1"/>
  </si>
  <si>
    <t>標準単価取得ユーティリティ</t>
    <phoneticPr fontId="1"/>
  </si>
  <si>
    <t>MAUCL0080</t>
    <phoneticPr fontId="1"/>
  </si>
  <si>
    <t>指定した日付に対応した期を対象期間マスタから取得し、標準単価マスタから標準単価を取得する</t>
    <phoneticPr fontId="1"/>
  </si>
  <si>
    <t>第１引数：品目ＣＤ
第２引数：枝番１
第３引数：枝番２
第４引数：枝番３
第５引数：日付
第６引数：ワーキンググループＣＤ
第７引数：標準単価取得区分</t>
    <phoneticPr fontId="1"/>
  </si>
  <si>
    <t>getStdCost</t>
    <phoneticPr fontId="1"/>
  </si>
  <si>
    <t>MAUCL0080</t>
    <phoneticPr fontId="1"/>
  </si>
  <si>
    <t>指定した発番業務区分のＮＯを一括で発番する</t>
    <rPh sb="0" eb="2">
      <t>シテイ</t>
    </rPh>
    <phoneticPr fontId="1"/>
  </si>
  <si>
    <t>第１引数：発番業務区分
第２引数：発番処理に必要な要素引数のリスト</t>
    <rPh sb="0" eb="1">
      <t>ダイ</t>
    </rPh>
    <rPh sb="2" eb="4">
      <t>ヒキスウ</t>
    </rPh>
    <phoneticPr fontId="1"/>
  </si>
  <si>
    <t>setNum</t>
    <phoneticPr fontId="1"/>
  </si>
  <si>
    <t>発番処理</t>
    <rPh sb="0" eb="1">
      <t>ハツ</t>
    </rPh>
    <rPh sb="1" eb="2">
      <t>バン</t>
    </rPh>
    <rPh sb="2" eb="4">
      <t>ショリ</t>
    </rPh>
    <phoneticPr fontId="1"/>
  </si>
  <si>
    <t>MAUCL0060</t>
    <phoneticPr fontId="1"/>
  </si>
  <si>
    <t>doSeqCacheを使用して作成したキャッシュがある場合は、キャッシュから番号を取得して文字列に変換して返す
キャッシュをしていない場合、および、キャッシュが０件の場合はオラクルシーケンスから番号を取得して文字列に変換して返す
定数定義で属性項目の「prefix」に指定があれば、接頭辞を付加して返す</t>
    <rPh sb="45" eb="48">
      <t>モジレツ</t>
    </rPh>
    <rPh sb="49" eb="51">
      <t>ヘンカン</t>
    </rPh>
    <rPh sb="53" eb="54">
      <t>カエ</t>
    </rPh>
    <rPh sb="112" eb="113">
      <t>カエ</t>
    </rPh>
    <rPh sb="115" eb="117">
      <t>テイスウ</t>
    </rPh>
    <rPh sb="117" eb="119">
      <t>テイギ</t>
    </rPh>
    <rPh sb="120" eb="122">
      <t>ゾクセイ</t>
    </rPh>
    <rPh sb="122" eb="124">
      <t>コウモク</t>
    </rPh>
    <rPh sb="134" eb="136">
      <t>シテイ</t>
    </rPh>
    <rPh sb="141" eb="144">
      <t>セットウジ</t>
    </rPh>
    <rPh sb="145" eb="147">
      <t>フカ</t>
    </rPh>
    <rPh sb="149" eb="150">
      <t>カエ</t>
    </rPh>
    <phoneticPr fontId="1"/>
  </si>
  <si>
    <t>ＮＯ文字列</t>
    <phoneticPr fontId="1"/>
  </si>
  <si>
    <t>第１引数：発番システム区分</t>
    <rPh sb="5" eb="7">
      <t>ハツバン</t>
    </rPh>
    <rPh sb="11" eb="13">
      <t>クブン</t>
    </rPh>
    <phoneticPr fontId="1"/>
  </si>
  <si>
    <t>getStrSeq</t>
    <phoneticPr fontId="1"/>
  </si>
  <si>
    <t>doSeqCacheを使用して作成したキャッシュがある場合はキャッシュから番号を取得する
キャッシュをしていない場合、キャッシュが０件の場合はオラクルシーケンスから番号を取得する</t>
    <phoneticPr fontId="1"/>
  </si>
  <si>
    <t>オラクルシーケンスから取得した値</t>
    <phoneticPr fontId="1"/>
  </si>
  <si>
    <t>第１引数：オラクルシーケンスの名称</t>
  </si>
  <si>
    <t>getSequence</t>
    <phoneticPr fontId="1"/>
  </si>
  <si>
    <t>指定した発番業務区分で発番して返す</t>
    <rPh sb="0" eb="2">
      <t>シテイ</t>
    </rPh>
    <rPh sb="11" eb="12">
      <t>ハツ</t>
    </rPh>
    <rPh sb="12" eb="13">
      <t>バン</t>
    </rPh>
    <phoneticPr fontId="1"/>
  </si>
  <si>
    <t>発番結果</t>
    <phoneticPr fontId="1"/>
  </si>
  <si>
    <t>第１引数：発番業務区分
第２引数：発番処理に必要な要素引数</t>
    <rPh sb="0" eb="1">
      <t>ダイ</t>
    </rPh>
    <rPh sb="2" eb="4">
      <t>ヒキスウ</t>
    </rPh>
    <phoneticPr fontId="1"/>
  </si>
  <si>
    <t>getNum</t>
    <phoneticPr fontId="1"/>
  </si>
  <si>
    <t>発番時に発生するエラーメッセージＩＤのリストを返す</t>
    <rPh sb="0" eb="2">
      <t>ハツバン</t>
    </rPh>
    <rPh sb="2" eb="3">
      <t>ジ</t>
    </rPh>
    <rPh sb="4" eb="6">
      <t>ハッセイ</t>
    </rPh>
    <rPh sb="23" eb="24">
      <t>カエ</t>
    </rPh>
    <phoneticPr fontId="1"/>
  </si>
  <si>
    <t>メッセージＩＤのリスト</t>
    <phoneticPr fontId="1"/>
  </si>
  <si>
    <t>getNrmlNumErrMsgIdList</t>
  </si>
  <si>
    <t>MAUCL0060</t>
  </si>
  <si>
    <t>指定した件数の発番をキャッシュする</t>
    <rPh sb="0" eb="2">
      <t>シテイ</t>
    </rPh>
    <rPh sb="4" eb="6">
      <t>ケンスウ</t>
    </rPh>
    <rPh sb="7" eb="9">
      <t>ハツバン</t>
    </rPh>
    <phoneticPr fontId="1"/>
  </si>
  <si>
    <t>第１引数：シーケンス名
第２引数：キャッシュする件数</t>
    <rPh sb="0" eb="1">
      <t>ダイ</t>
    </rPh>
    <rPh sb="2" eb="4">
      <t>ヒキスウ</t>
    </rPh>
    <phoneticPr fontId="1"/>
  </si>
  <si>
    <t>doSeqCache</t>
    <phoneticPr fontId="1"/>
  </si>
  <si>
    <t>第１引数：発番システム区分
第２引数：キャッシュする件数</t>
    <rPh sb="0" eb="1">
      <t>ダイ</t>
    </rPh>
    <rPh sb="2" eb="4">
      <t>ヒキスウ</t>
    </rPh>
    <phoneticPr fontId="1"/>
  </si>
  <si>
    <t>doSeqCache</t>
    <phoneticPr fontId="1"/>
  </si>
  <si>
    <t>発番のキャッシュを破棄する</t>
    <rPh sb="0" eb="2">
      <t>ハツバン</t>
    </rPh>
    <phoneticPr fontId="1"/>
  </si>
  <si>
    <t>第１引数：シーケンス名</t>
  </si>
  <si>
    <t>clearSeqCache</t>
    <phoneticPr fontId="1"/>
  </si>
  <si>
    <t>指定したワーキンググループのうち１つでも更新権限を持っている場合にtrueを返す</t>
  </si>
  <si>
    <t>第１引数以降：ワーキンググループの配列</t>
    <rPh sb="17" eb="19">
      <t>ハイレツ</t>
    </rPh>
    <phoneticPr fontId="1"/>
  </si>
  <si>
    <t>writableWgCdDac</t>
    <phoneticPr fontId="1"/>
  </si>
  <si>
    <t>DAC</t>
    <phoneticPr fontId="1"/>
  </si>
  <si>
    <t>MAUCL0030</t>
    <phoneticPr fontId="1"/>
  </si>
  <si>
    <t>指定した場所のうち１つでも更新権限を持っている場合にtrueを返す</t>
  </si>
  <si>
    <t>第１引数以降：場所の配列</t>
    <rPh sb="7" eb="9">
      <t>バショ</t>
    </rPh>
    <rPh sb="10" eb="12">
      <t>ハイレツ</t>
    </rPh>
    <phoneticPr fontId="1"/>
  </si>
  <si>
    <t>writableLocCdDac</t>
    <phoneticPr fontId="1"/>
  </si>
  <si>
    <t>DAC</t>
    <phoneticPr fontId="1"/>
  </si>
  <si>
    <t>MAUCL0030</t>
    <phoneticPr fontId="1"/>
  </si>
  <si>
    <t>指定したの物流グループのうち１つでも更新権限を持っていたらtrueを返す</t>
    <rPh sb="34" eb="35">
      <t>カエ</t>
    </rPh>
    <phoneticPr fontId="1"/>
  </si>
  <si>
    <t>第１引数以降：物流グループの配列</t>
    <rPh sb="0" eb="1">
      <t>ダイ</t>
    </rPh>
    <rPh sb="2" eb="4">
      <t>ヒキスウ</t>
    </rPh>
    <rPh sb="4" eb="6">
      <t>イコウ</t>
    </rPh>
    <phoneticPr fontId="1"/>
  </si>
  <si>
    <t>writableLgGrpCdDac</t>
  </si>
  <si>
    <t>DAC</t>
  </si>
  <si>
    <t>MAUCL0030</t>
  </si>
  <si>
    <t>指定した部門のうち１つでも検更新権限を持っている場合にtrueを返す</t>
    <rPh sb="24" eb="26">
      <t>バアイ</t>
    </rPh>
    <phoneticPr fontId="1"/>
  </si>
  <si>
    <t>第１引数以降：部門の配列</t>
    <rPh sb="7" eb="9">
      <t>ブモン</t>
    </rPh>
    <rPh sb="10" eb="12">
      <t>ハイレツ</t>
    </rPh>
    <phoneticPr fontId="1"/>
  </si>
  <si>
    <t>writableDptCdDac</t>
    <phoneticPr fontId="1"/>
  </si>
  <si>
    <t>指定した総量引当場所グループＣＤのうち１つでも更新権限を持っている場合にtrueを返す</t>
    <rPh sb="23" eb="25">
      <t>コウシン</t>
    </rPh>
    <phoneticPr fontId="1"/>
  </si>
  <si>
    <t>第１引数以降：総量引当場所グループの配列</t>
    <rPh sb="18" eb="20">
      <t>ハイレツ</t>
    </rPh>
    <phoneticPr fontId="1"/>
  </si>
  <si>
    <t>writableAlcGrpCdDac</t>
    <phoneticPr fontId="1"/>
  </si>
  <si>
    <t>指定したワーキンググループのうち１つでも検索権限を持っている場合にtrueを返す</t>
  </si>
  <si>
    <t>readableWgCdDac</t>
    <phoneticPr fontId="1"/>
  </si>
  <si>
    <t>指定した場所のうち１つでも検索権限を持っている場合にtrueを返す</t>
  </si>
  <si>
    <t>第１引数以降：場所の配列</t>
    <rPh sb="10" eb="12">
      <t>ハイレツ</t>
    </rPh>
    <phoneticPr fontId="1"/>
  </si>
  <si>
    <t>readableLocCdDac</t>
    <phoneticPr fontId="1"/>
  </si>
  <si>
    <t>指定した物流グループのうち１つでも検索権限を持っていたらtrueを返す</t>
    <rPh sb="33" eb="34">
      <t>カエ</t>
    </rPh>
    <phoneticPr fontId="1"/>
  </si>
  <si>
    <t>readableLgGrpCdDac</t>
  </si>
  <si>
    <t>指定した部門のうち１つでも検索権限を持っいる場合にtrueを返す</t>
    <rPh sb="22" eb="24">
      <t>バアイ</t>
    </rPh>
    <phoneticPr fontId="1"/>
  </si>
  <si>
    <t>readableDptCdDac</t>
    <phoneticPr fontId="1"/>
  </si>
  <si>
    <t>指定した総量引当場所グループＣＤのうち１つでも検索権限を持っている場合にtrueを返す</t>
  </si>
  <si>
    <t>第１引数以降：総量引当場所グループの配列</t>
    <rPh sb="4" eb="6">
      <t>イコウ</t>
    </rPh>
    <rPh sb="18" eb="20">
      <t>ハイレツ</t>
    </rPh>
    <phoneticPr fontId="1"/>
  </si>
  <si>
    <t>readableAlcGrpCdDac</t>
    <phoneticPr fontId="1"/>
  </si>
  <si>
    <t>指定したワーキンググループに更新権限がなければ、エラーメッセージを格納したメッセージリストを返す</t>
  </si>
  <si>
    <t>第１引数：リスト
第２引数：ワーキンググループＣＤカラム</t>
    <phoneticPr fontId="1"/>
  </si>
  <si>
    <t>checkWritableWgCdDac</t>
    <phoneticPr fontId="1"/>
  </si>
  <si>
    <t>MAUCL0030</t>
    <phoneticPr fontId="1"/>
  </si>
  <si>
    <t>第１引数：ロウ
第２引数：ワーキンググループＣＤカラム</t>
    <phoneticPr fontId="1"/>
  </si>
  <si>
    <t>指定した場所に更新権限がなければ、エラーメッセージを格納したメッセージリストを返す</t>
    <rPh sb="4" eb="6">
      <t>バショ</t>
    </rPh>
    <rPh sb="7" eb="9">
      <t>コウシン</t>
    </rPh>
    <rPh sb="9" eb="11">
      <t>ケンゲン</t>
    </rPh>
    <rPh sb="26" eb="28">
      <t>カクノウ</t>
    </rPh>
    <rPh sb="39" eb="40">
      <t>カエ</t>
    </rPh>
    <phoneticPr fontId="1"/>
  </si>
  <si>
    <t>第１引数：リスト
第２引数：場所ＣＤカラム</t>
    <phoneticPr fontId="1"/>
  </si>
  <si>
    <t>checkWritableLocCdDac</t>
    <phoneticPr fontId="1"/>
  </si>
  <si>
    <t>第１引数：ロウ
第２引数：場所ＣＤカラム</t>
    <phoneticPr fontId="1"/>
  </si>
  <si>
    <t>指定した物流グループに更新権限がなければ、エラーメッセージを格納したメッセージリストを返す</t>
    <rPh sb="4" eb="6">
      <t>ブツリュウ</t>
    </rPh>
    <rPh sb="11" eb="13">
      <t>コウシン</t>
    </rPh>
    <rPh sb="13" eb="15">
      <t>ケンゲン</t>
    </rPh>
    <rPh sb="30" eb="32">
      <t>カクノウ</t>
    </rPh>
    <rPh sb="43" eb="44">
      <t>カエ</t>
    </rPh>
    <phoneticPr fontId="1"/>
  </si>
  <si>
    <t>第１引数：リスト
第２引数：物流グループＣＤカラム</t>
    <phoneticPr fontId="1"/>
  </si>
  <si>
    <t>checkWritableLgGrpCdDac</t>
    <phoneticPr fontId="1"/>
  </si>
  <si>
    <t>第１引数：ロウ
第２引数：物流グループＣＤカラム</t>
    <phoneticPr fontId="1"/>
  </si>
  <si>
    <t>checkWritableLgGrpCdDac</t>
    <phoneticPr fontId="1"/>
  </si>
  <si>
    <t>指定した部門に更新権限がなければ、エラーメッセージを格納したメッセージリストを返す</t>
    <rPh sb="4" eb="6">
      <t>ブモン</t>
    </rPh>
    <rPh sb="7" eb="9">
      <t>コウシン</t>
    </rPh>
    <rPh sb="9" eb="11">
      <t>ケンゲン</t>
    </rPh>
    <rPh sb="26" eb="28">
      <t>カクノウ</t>
    </rPh>
    <rPh sb="39" eb="40">
      <t>カエ</t>
    </rPh>
    <phoneticPr fontId="1"/>
  </si>
  <si>
    <t>第１引数：リスト
第２引数：部門ＣＤカラム</t>
    <phoneticPr fontId="1"/>
  </si>
  <si>
    <t>checkWritableDptCdDac</t>
    <phoneticPr fontId="1"/>
  </si>
  <si>
    <t>第１引数：ロウ
第２引数：部門ＣＤカラム</t>
    <phoneticPr fontId="1"/>
  </si>
  <si>
    <t>checkWritableDptCdDac</t>
    <phoneticPr fontId="1"/>
  </si>
  <si>
    <t>指定した総量引当場所グループに更新権限がなければ、エラーメッセージを格納したメッセージリストを返す</t>
    <rPh sb="15" eb="17">
      <t>コウシン</t>
    </rPh>
    <rPh sb="17" eb="19">
      <t>ケンゲン</t>
    </rPh>
    <rPh sb="34" eb="36">
      <t>カクノウ</t>
    </rPh>
    <rPh sb="47" eb="48">
      <t>カエ</t>
    </rPh>
    <phoneticPr fontId="1"/>
  </si>
  <si>
    <t>第１引数：リスト
第２引数：総量引当場所グループＣＤカラム</t>
    <phoneticPr fontId="1"/>
  </si>
  <si>
    <t>checkWritableAlcGrpCdDac</t>
    <phoneticPr fontId="1"/>
  </si>
  <si>
    <t>ログインユーザ及び運用日付に該当する担当者権限マスタの情報を取得する</t>
    <phoneticPr fontId="1"/>
  </si>
  <si>
    <t>getUsrAcl</t>
    <phoneticPr fontId="1"/>
  </si>
  <si>
    <t>MAUCL0020</t>
  </si>
  <si>
    <t>対象期間マスタ情報を取得する</t>
    <rPh sb="10" eb="12">
      <t>シュトク</t>
    </rPh>
    <phoneticPr fontId="1"/>
  </si>
  <si>
    <t>対象期間マスタ情報</t>
    <phoneticPr fontId="1"/>
  </si>
  <si>
    <t>getTermList</t>
  </si>
  <si>
    <t>システムパラメータを取得する</t>
    <phoneticPr fontId="1"/>
  </si>
  <si>
    <t>システムパラメータ</t>
    <phoneticPr fontId="1"/>
  </si>
  <si>
    <t>第１引数：取得対象のパラメータキー</t>
    <rPh sb="5" eb="7">
      <t>シュトク</t>
    </rPh>
    <rPh sb="7" eb="9">
      <t>タイショウ</t>
    </rPh>
    <phoneticPr fontId="1"/>
  </si>
  <si>
    <t>getSysParm</t>
    <phoneticPr fontId="1"/>
  </si>
  <si>
    <t>MAUCL0020</t>
    <phoneticPr fontId="1"/>
  </si>
  <si>
    <t>納税通貨情報を取得する</t>
    <rPh sb="0" eb="2">
      <t>ノウゼイ</t>
    </rPh>
    <rPh sb="2" eb="4">
      <t>ツウカ</t>
    </rPh>
    <rPh sb="4" eb="6">
      <t>ジョウホウ</t>
    </rPh>
    <rPh sb="7" eb="9">
      <t>シュトク</t>
    </rPh>
    <phoneticPr fontId="1"/>
  </si>
  <si>
    <t>納税通貨情報</t>
    <phoneticPr fontId="1"/>
  </si>
  <si>
    <t>getPtaxCur</t>
    <phoneticPr fontId="1"/>
  </si>
  <si>
    <t>マスタ参照用データベースリンク情報を取得する</t>
    <phoneticPr fontId="1"/>
  </si>
  <si>
    <t>マスタ参照用データベースリンク情報</t>
    <rPh sb="15" eb="17">
      <t>ジョウホウ</t>
    </rPh>
    <phoneticPr fontId="1"/>
  </si>
  <si>
    <t>getMstDblink</t>
  </si>
  <si>
    <t>デフォルト格付情報を取得する</t>
    <rPh sb="5" eb="6">
      <t>カク</t>
    </rPh>
    <rPh sb="6" eb="7">
      <t>ヅ</t>
    </rPh>
    <rPh sb="7" eb="9">
      <t>ジョウホウ</t>
    </rPh>
    <rPh sb="10" eb="12">
      <t>シュトク</t>
    </rPh>
    <phoneticPr fontId="1"/>
  </si>
  <si>
    <t>デフォルト格付情報</t>
    <phoneticPr fontId="1"/>
  </si>
  <si>
    <t>getDefaultFeedStkGd</t>
    <phoneticPr fontId="1"/>
  </si>
  <si>
    <t>MAUCL0020</t>
    <phoneticPr fontId="1"/>
  </si>
  <si>
    <t>原価会社パラメータ情報を取得する</t>
    <phoneticPr fontId="1"/>
  </si>
  <si>
    <t>原価会社パラメータ情報</t>
    <phoneticPr fontId="1"/>
  </si>
  <si>
    <t>getCoParm</t>
  </si>
  <si>
    <t>自社情報を取得する</t>
    <rPh sb="0" eb="2">
      <t>ジシャ</t>
    </rPh>
    <rPh sb="2" eb="4">
      <t>ジョウホウ</t>
    </rPh>
    <rPh sb="5" eb="7">
      <t>シュトク</t>
    </rPh>
    <phoneticPr fontId="1"/>
  </si>
  <si>
    <t>自社情報</t>
    <phoneticPr fontId="1"/>
  </si>
  <si>
    <t>getCo</t>
  </si>
  <si>
    <t>基準通貨情報を取得する</t>
    <phoneticPr fontId="1"/>
  </si>
  <si>
    <t>基準通貨情報</t>
  </si>
  <si>
    <t>getBaseCur</t>
    <phoneticPr fontId="1"/>
  </si>
  <si>
    <t>計上月度を取得する</t>
    <rPh sb="0" eb="2">
      <t>ケイジョウ</t>
    </rPh>
    <rPh sb="2" eb="4">
      <t>ゲツド</t>
    </rPh>
    <rPh sb="5" eb="7">
      <t>シュトク</t>
    </rPh>
    <phoneticPr fontId="1"/>
  </si>
  <si>
    <t>計上月度(YM)</t>
    <phoneticPr fontId="1"/>
  </si>
  <si>
    <t>getAcYm</t>
    <phoneticPr fontId="1"/>
  </si>
  <si>
    <t>基準単位以外の単位から、別の基準単位以外の単位へ変換した数量を返す
端数が生じた場合は、変換先単位の端数処理区分に応じて端数処理する</t>
    <phoneticPr fontId="1"/>
  </si>
  <si>
    <t>変換した数量</t>
  </si>
  <si>
    <t>MAUCL0010</t>
  </si>
  <si>
    <t>基準単位以外の単位から、別の基準単位以外の単位へ変換した数量を返す
端数チェックフラグtrue指定時、単位換算時に、端数が生じたらNULLを返す</t>
    <phoneticPr fontId="1"/>
  </si>
  <si>
    <t>変換した数量</t>
    <phoneticPr fontId="1"/>
  </si>
  <si>
    <t>unitConv</t>
    <phoneticPr fontId="1"/>
  </si>
  <si>
    <t>MAUCL0010</t>
    <phoneticPr fontId="1"/>
  </si>
  <si>
    <t>指定した日時フィールドで日付項目を丸める</t>
    <phoneticPr fontId="1"/>
  </si>
  <si>
    <t>第１引数：対象リスト
第２引数：日付項目のカラム名
第３引数：日時フィールド</t>
    <rPh sb="16" eb="18">
      <t>ヒヅケ</t>
    </rPh>
    <rPh sb="18" eb="20">
      <t>コウモク</t>
    </rPh>
    <rPh sb="24" eb="25">
      <t>メイ</t>
    </rPh>
    <rPh sb="31" eb="33">
      <t>ニチジ</t>
    </rPh>
    <phoneticPr fontId="1"/>
  </si>
  <si>
    <t>truncDate</t>
    <phoneticPr fontId="1"/>
  </si>
  <si>
    <t>変換対象のboolean値がtrueの場合は'1'を、falseの場合はカットオフ用にNULLを返す</t>
    <rPh sb="0" eb="2">
      <t>ヘンカン</t>
    </rPh>
    <rPh sb="2" eb="3">
      <t>ツイ</t>
    </rPh>
    <rPh sb="3" eb="4">
      <t>ゾウ</t>
    </rPh>
    <rPh sb="12" eb="13">
      <t>アタイ</t>
    </rPh>
    <rPh sb="19" eb="21">
      <t>バアイ</t>
    </rPh>
    <phoneticPr fontId="1"/>
  </si>
  <si>
    <t>第１引数：変換対象のboolean値</t>
    <rPh sb="0" eb="1">
      <t>ダイ</t>
    </rPh>
    <rPh sb="2" eb="4">
      <t>ヒキスウ</t>
    </rPh>
    <rPh sb="5" eb="7">
      <t>ヘンカン</t>
    </rPh>
    <rPh sb="7" eb="9">
      <t>タイショウ</t>
    </rPh>
    <rPh sb="17" eb="18">
      <t>アタイ</t>
    </rPh>
    <phoneticPr fontId="1"/>
  </si>
  <si>
    <t>toTrueStr</t>
    <phoneticPr fontId="1"/>
  </si>
  <si>
    <t>変換対象のboolean値がfalseの場合は'0'を、trueの場合はカットオフ用にNULLを返す</t>
    <rPh sb="0" eb="2">
      <t>ヘンカン</t>
    </rPh>
    <rPh sb="2" eb="3">
      <t>ツイ</t>
    </rPh>
    <rPh sb="3" eb="4">
      <t>ゾウ</t>
    </rPh>
    <rPh sb="12" eb="13">
      <t>アタイ</t>
    </rPh>
    <rPh sb="20" eb="22">
      <t>バアイ</t>
    </rPh>
    <phoneticPr fontId="1"/>
  </si>
  <si>
    <t>toFalseStr</t>
    <phoneticPr fontId="1"/>
  </si>
  <si>
    <t>MAUCL0010</t>
    <phoneticPr fontId="1"/>
  </si>
  <si>
    <t>手配ＮＯ１～４を連結した文字列を返す
システムパラメータ「SNO_TYP」を加味して、表示する手配ＮＯのみを表示する</t>
    <rPh sb="8" eb="10">
      <t>レンケツ</t>
    </rPh>
    <rPh sb="12" eb="15">
      <t>モジレツ</t>
    </rPh>
    <rPh sb="16" eb="17">
      <t>カエ</t>
    </rPh>
    <rPh sb="38" eb="40">
      <t>カミ</t>
    </rPh>
    <rPh sb="43" eb="45">
      <t>ヒョウジ</t>
    </rPh>
    <phoneticPr fontId="1"/>
  </si>
  <si>
    <t>手配ＮＯ１～４を連結した文字列</t>
  </si>
  <si>
    <t>第１引数：手配ＮＯ１
第２引数：手配ＮＯ２
第３引数：手配ＮＯ３
第４引数：手配ＮＯ４</t>
    <rPh sb="5" eb="7">
      <t>テハイ</t>
    </rPh>
    <rPh sb="16" eb="18">
      <t>テハイ</t>
    </rPh>
    <rPh sb="27" eb="29">
      <t>テハイ</t>
    </rPh>
    <rPh sb="38" eb="40">
      <t>テハイ</t>
    </rPh>
    <phoneticPr fontId="1"/>
  </si>
  <si>
    <t>toDispSno</t>
    <phoneticPr fontId="1"/>
  </si>
  <si>
    <t>品目ＣＤ、枝番１～３を連結した文字列を返す
 システムパラメータ「ITM_SUB_TYP」を加味して、表示する枝番のみを表示する</t>
    <rPh sb="11" eb="13">
      <t>レンケツ</t>
    </rPh>
    <rPh sb="15" eb="18">
      <t>モジレツ</t>
    </rPh>
    <rPh sb="46" eb="48">
      <t>カミ</t>
    </rPh>
    <rPh sb="51" eb="53">
      <t>ヒョウジ</t>
    </rPh>
    <phoneticPr fontId="1"/>
  </si>
  <si>
    <t>品目ＣＤ、枝番１～３を連結した文字列</t>
  </si>
  <si>
    <t>第１引数：品目ＣＤ
第２引数：枝番１
第３引数：枝番２
第４引数：枝番３</t>
    <rPh sb="5" eb="7">
      <t>ヒンモク</t>
    </rPh>
    <rPh sb="15" eb="17">
      <t>エダバン</t>
    </rPh>
    <rPh sb="24" eb="26">
      <t>エダバン</t>
    </rPh>
    <rPh sb="33" eb="35">
      <t>エダバン</t>
    </rPh>
    <phoneticPr fontId="1"/>
  </si>
  <si>
    <t>toDispItm</t>
    <phoneticPr fontId="1"/>
  </si>
  <si>
    <t>メッセージにバインドする行番号を返す</t>
    <phoneticPr fontId="1"/>
  </si>
  <si>
    <t>第１引数：ロウ</t>
    <phoneticPr fontId="1"/>
  </si>
  <si>
    <t>toDispGUIIndex</t>
    <phoneticPr fontId="1"/>
  </si>
  <si>
    <t>指定したコンテナに対して紐付けＮＯを設定する</t>
    <phoneticPr fontId="1"/>
  </si>
  <si>
    <t>第１引数：紐付けＮＯのカラム名
第２引数以降：対象コンテナ</t>
    <rPh sb="14" eb="15">
      <t>メイ</t>
    </rPh>
    <phoneticPr fontId="1"/>
  </si>
  <si>
    <t>setPegNo</t>
  </si>
  <si>
    <t>指定したコンテナに対して紐付けＮＯを設定する
紐付けＮＯはpeg_no固定とする</t>
    <phoneticPr fontId="1"/>
  </si>
  <si>
    <t>第１引数以降：対象コンテナ</t>
    <rPh sb="4" eb="6">
      <t>イコウ</t>
    </rPh>
    <rPh sb="7" eb="9">
      <t>タイショウ</t>
    </rPh>
    <phoneticPr fontId="1"/>
  </si>
  <si>
    <t>NULL文字項目がNULLだった場合にNULL文字を設定する</t>
    <phoneticPr fontId="1"/>
  </si>
  <si>
    <t>第１引数：対象コンテナ</t>
    <rPh sb="5" eb="7">
      <t>タイショウ</t>
    </rPh>
    <phoneticPr fontId="1"/>
  </si>
  <si>
    <t>setNullVal</t>
  </si>
  <si>
    <t>データベーストリガで設定される登録機能ID,更新機能IDに対する名称をコンテナに設定する</t>
    <rPh sb="29" eb="30">
      <t>タイ</t>
    </rPh>
    <rPh sb="32" eb="34">
      <t>メイショウ</t>
    </rPh>
    <rPh sb="40" eb="42">
      <t>セッテイ</t>
    </rPh>
    <phoneticPr fontId="1"/>
  </si>
  <si>
    <t>setFuncNm</t>
    <phoneticPr fontId="1"/>
  </si>
  <si>
    <t>MAUCL0010</t>
    <phoneticPr fontId="1"/>
  </si>
  <si>
    <t>定数項目に対する名称を設定する</t>
    <phoneticPr fontId="1"/>
  </si>
  <si>
    <t>なし</t>
    <phoneticPr fontId="1"/>
  </si>
  <si>
    <t>setConstNm</t>
  </si>
  <si>
    <t>メッセージプールの状態をセーブする
セーブした状態にメッセージプールを戻すには、rollbackMessagePoolを実行する</t>
    <phoneticPr fontId="1"/>
  </si>
  <si>
    <t>saveMessagePool</t>
  </si>
  <si>
    <t>基準単位から基準単位以外の単位に変換した数量を返す
端数が生じた場合は、端数処理区分に応じて端数処理する</t>
    <phoneticPr fontId="1"/>
  </si>
  <si>
    <t>第１引数：基準単位数量
第２引数：基準数
第３引数：単位換算数
第４引数：小数部有効桁数
第５引数：端数処理区分</t>
    <rPh sb="17" eb="19">
      <t>キジュン</t>
    </rPh>
    <rPh sb="19" eb="20">
      <t>スウ</t>
    </rPh>
    <phoneticPr fontId="1"/>
  </si>
  <si>
    <t>基準単位から基準単位以外の単位へ変換した数量を返す
端数チェックフラグtrue指定時、単位換算時に、端数が生じたらNULLを返す</t>
    <phoneticPr fontId="1"/>
  </si>
  <si>
    <t>rvrsBaseUnitConv</t>
    <phoneticPr fontId="1"/>
  </si>
  <si>
    <t>セーブした状態にメッセージプールを戻す</t>
    <phoneticPr fontId="1"/>
  </si>
  <si>
    <t>rollbackMessagePool</t>
  </si>
  <si>
    <t>ロウの第３引数に格納されている値を、第２引数で指定したカラムに設定する</t>
    <phoneticPr fontId="1"/>
  </si>
  <si>
    <t>第１引数：処理対象のロウ
第２引数：表示カラム
第３引数：データカラム</t>
    <rPh sb="5" eb="9">
      <t>ショリタイショウ</t>
    </rPh>
    <rPh sb="18" eb="20">
      <t>ヒョウジ</t>
    </rPh>
    <phoneticPr fontId="1"/>
  </si>
  <si>
    <t>putPrntStr</t>
  </si>
  <si>
    <t>リストの第３引数に格納されている値を、第２引数で指定したカラムに設定する</t>
    <phoneticPr fontId="1"/>
  </si>
  <si>
    <t>第１引数：処理対象のリスト
第２引数：表示カラム
第３引数：データカラム</t>
    <rPh sb="5" eb="9">
      <t>ショリタイショウ</t>
    </rPh>
    <rPh sb="19" eb="21">
      <t>ヒョウジ</t>
    </rPh>
    <phoneticPr fontId="1"/>
  </si>
  <si>
    <t>putPrntStr</t>
    <phoneticPr fontId="1"/>
  </si>
  <si>
    <t>システムパラメータSNO_TYPが手配ＮＯ４を表示する設定の場合、指定したロウに対して第２引数に格納されたカラムに手配ＮＯ４のラベル用文字列を設定する</t>
    <phoneticPr fontId="1"/>
  </si>
  <si>
    <t>第１引数：処理対象のロウ
第２引数：ラベルカラム
第３引数：ロケール</t>
    <rPh sb="5" eb="9">
      <t>ショリタイショウ</t>
    </rPh>
    <phoneticPr fontId="1"/>
  </si>
  <si>
    <t>putPrntSnoLabel4</t>
  </si>
  <si>
    <t>システムパラメータSNO_TYPが手配ＮＯ４を表示する設定の場合、指定したロウに対して第２引数に格納されたカラムに手配ＮＯ４のラベル用文字列を設定する</t>
    <phoneticPr fontId="1"/>
  </si>
  <si>
    <t>第１引数：処理対象のロウ
第２引数：ラベルカラム</t>
    <rPh sb="5" eb="9">
      <t>ショリタイショウ</t>
    </rPh>
    <phoneticPr fontId="1"/>
  </si>
  <si>
    <t>システムパラメータSNO_TYPが手配ＮＯ４を表示する設定の場合、指定したリストに対して第２引数に格納されたカラムに手配ＮＯ４のラベル用文字列を設定する</t>
    <phoneticPr fontId="1"/>
  </si>
  <si>
    <t>第１引数：処理対象のリスト
第２引数：ラベルカラム
第３引数：ロケール</t>
    <rPh sb="5" eb="9">
      <t>ショリタイショウ</t>
    </rPh>
    <phoneticPr fontId="1"/>
  </si>
  <si>
    <t>MCData用ユーティリティ</t>
    <phoneticPr fontId="1"/>
  </si>
  <si>
    <t>第１引数：処理対象のリスト
第２引数：ラベルカラム</t>
    <rPh sb="5" eb="9">
      <t>ショリタイショウ</t>
    </rPh>
    <phoneticPr fontId="1"/>
  </si>
  <si>
    <t>システムパラメータSNO_TYPが手配ＮＯ３を表示する設定の場合、指定したロウに対して第２引数に格納されたカラムに手配ＮＯ３のラベル用文字列を設定する</t>
    <phoneticPr fontId="1"/>
  </si>
  <si>
    <t>putPrntSnoLabel3</t>
  </si>
  <si>
    <t>システムパラメータSNO_TYPが手配ＮＯ３を表示する設定の場合、指定したリストに対して第２引数に格納されたカラムに手配ＮＯ３のラベル用文字列を設定する</t>
    <phoneticPr fontId="1"/>
  </si>
  <si>
    <t>システムパラメータSNO_TYPが手配ＮＯ３を表示する設定の場合、指定したリストに対して第２引数に格納されたカラムに手配ＮＯ３のラベル用文字列を設定する</t>
    <phoneticPr fontId="1"/>
  </si>
  <si>
    <t>システムパラメータSNO_TYPが手配ＮＯ２を表示する設定の場合、指定したロウに対して第２引数に格納されたカラムに手配ＮＯ２のラベル用文字列を設定する</t>
    <phoneticPr fontId="1"/>
  </si>
  <si>
    <t>putPrntSnoLabel2</t>
  </si>
  <si>
    <t>システムパラメータSNO_TYPが手配ＮＯ２を表示する設定の場合、指定したリストに対して第２引数に格納されたカラムに手配ＮＯ２のラベル用文字列を設定する</t>
    <phoneticPr fontId="1"/>
  </si>
  <si>
    <t>システムパラメータSNO_TYPが手配ＮＯ２を表示する設定の場合、指定したリストに対して第２引数に格納されたカラムに手配ＮＯ２のラベル用文字列を設定する</t>
    <phoneticPr fontId="1"/>
  </si>
  <si>
    <t>システムパラメータSNO_TYPが手配ＮＯ１を表示する設定の場合、指定したロウに対して第２引数に格納されたカラムに手配ＮＯ１のラベル用文字列を設定する</t>
    <phoneticPr fontId="1"/>
  </si>
  <si>
    <t>putPrntSnoLabel1</t>
  </si>
  <si>
    <t>システムパラメータSNO_TYPが手配ＮＯ１を表示する設定の場合、指定したリストに対して第２引数に格納されたカラムに手配ＮＯ１のラベル用文字列を設定する</t>
    <phoneticPr fontId="1"/>
  </si>
  <si>
    <t>putPrntSnoLabel1</t>
    <phoneticPr fontId="1"/>
  </si>
  <si>
    <t>システムパラメータSNO_TYPが手配ＮＯ４を表示する設定の場合、指定したリストに対して第３引数に格納されている値を、第２引数で指定したカラムに設定する</t>
    <phoneticPr fontId="1"/>
  </si>
  <si>
    <t>putPrntSno4</t>
  </si>
  <si>
    <t>システムパラメータSNO_TYPが手配ＮＯ４を表示する設定の場合、指定したロウに対して第３引数に格納されている値を、第２引数で指定したカラムに設定する</t>
    <phoneticPr fontId="1"/>
  </si>
  <si>
    <t>システムパラメータSNO_TYPが手配ＮＯ３を表示する設定の場合、指定したリストに対して第３引数に格納されている値を、第２引数で指定したカラムに設定する</t>
    <phoneticPr fontId="1"/>
  </si>
  <si>
    <t>putPrntSno3</t>
  </si>
  <si>
    <t>システムパラメータSNO_TYPが手配ＮＯ３を表示する設定の場合、指定したロウに対して第３引数に格納されている値を、第２引数で指定したカラムに設定する</t>
    <phoneticPr fontId="1"/>
  </si>
  <si>
    <t>システムパラメータSNO_TYPが手配ＮＯ２を表示する設定の場合、指定したリストに対して第３引数に格納されている値を、第２引数で指定したカラムに設定する</t>
    <phoneticPr fontId="1"/>
  </si>
  <si>
    <t>putPrntSno2</t>
  </si>
  <si>
    <t>システムパラメータSNO_TYPが手配ＮＯ２を表示する設定の場合、指定したロウに対して第３引数に格納されている値を、第２引数で指定したカラムに設定する</t>
    <phoneticPr fontId="1"/>
  </si>
  <si>
    <t>システムパラメータSNO_TYPが手配ＮＯ１を表示する設定の場合、指定したリストに対して第３引数に格納されている値を、第２引数で指定したカラムに設定する</t>
    <phoneticPr fontId="1"/>
  </si>
  <si>
    <t>putPrntSno1</t>
  </si>
  <si>
    <t>システムパラメータSNO_TYPが手配ＮＯ１を表示する設定の場合、指定したロウに対して第３引数に格納されている値を、第２引数で指定したカラムに設定する</t>
    <phoneticPr fontId="1"/>
  </si>
  <si>
    <t>第１引数：処理対象のロウ
第２引数：表示カラム
第３引数：データカラム</t>
    <rPh sb="5" eb="7">
      <t>ショリ</t>
    </rPh>
    <rPh sb="7" eb="9">
      <t>タイショウ</t>
    </rPh>
    <rPh sb="18" eb="20">
      <t>ヒョウジ</t>
    </rPh>
    <phoneticPr fontId="1"/>
  </si>
  <si>
    <t>putPrntSno1</t>
    <phoneticPr fontId="1"/>
  </si>
  <si>
    <t>システムパラメータITM_SUB_TYPが枝番３を表示する設定の場合、指定したリストに対して第３引数に格納されている値を、第２引数で指定したカラムに設定する</t>
    <phoneticPr fontId="1"/>
  </si>
  <si>
    <t>putPrntItmSub3</t>
  </si>
  <si>
    <t>システムパラメータITM_SUB_TYPが枝番３を表示する設定の場合、指定したロウに対して第３引数に格納されている値を、第２引数で指定したカラムに設定する</t>
    <phoneticPr fontId="1"/>
  </si>
  <si>
    <t>システムパラメータITM_SUB_TYPが枝番２を表示する設定の場合、指定したリストに対して第３引数に格納されている値を、第２引数で指定したカラムに設定する</t>
    <phoneticPr fontId="1"/>
  </si>
  <si>
    <t>putPrntItmSub2</t>
  </si>
  <si>
    <t>システムパラメータITM_SUB_TYPが枝番２を表示する設定の場合、指定したロウに対して第３引数に格納されている値を、第２引数で指定したカラムに設定する</t>
    <phoneticPr fontId="1"/>
  </si>
  <si>
    <t>システムパラメータITM_SUB_TYPが枝番１を表示する設定の場合、指定したリストに対して第３引数に格納されている値を、第２引数で指定したカラムに設定する</t>
    <rPh sb="35" eb="37">
      <t>シテイ</t>
    </rPh>
    <rPh sb="43" eb="44">
      <t>タイ</t>
    </rPh>
    <phoneticPr fontId="1"/>
  </si>
  <si>
    <t>putPrntItmSub1</t>
    <phoneticPr fontId="1"/>
  </si>
  <si>
    <t>システムパラメータITM_SUB_TYPが枝番１を表示する設定の場合、指定したロウに対して第３引数に格納されている値を、第２引数で指定したカラムに設定する</t>
    <rPh sb="35" eb="37">
      <t>シテイ</t>
    </rPh>
    <rPh sb="42" eb="43">
      <t>タイ</t>
    </rPh>
    <phoneticPr fontId="1"/>
  </si>
  <si>
    <t>putPrntItmSub1</t>
    <phoneticPr fontId="1"/>
  </si>
  <si>
    <t>リストのboolean値を帳票出力用の文字列に変換して、設定する</t>
    <rPh sb="11" eb="12">
      <t>アタイ</t>
    </rPh>
    <rPh sb="13" eb="15">
      <t>チョウヒョウ</t>
    </rPh>
    <rPh sb="15" eb="17">
      <t>シュツリョク</t>
    </rPh>
    <rPh sb="17" eb="18">
      <t>ヨウ</t>
    </rPh>
    <rPh sb="19" eb="22">
      <t>モジレツ</t>
    </rPh>
    <rPh sb="23" eb="25">
      <t>ヘンカン</t>
    </rPh>
    <rPh sb="28" eb="30">
      <t>セッテイ</t>
    </rPh>
    <phoneticPr fontId="1"/>
  </si>
  <si>
    <t>第１引数：変換対象のリスト
第２引数：booleanの帳票上の文字列表現を格納するカラム名
第３引数：変換時に使用するbooleanを格納しているカラム名</t>
  </si>
  <si>
    <t>putPrntChk</t>
    <phoneticPr fontId="1"/>
  </si>
  <si>
    <t>ロウのboolean値を帳票出力用の文字列にして設定する</t>
    <rPh sb="10" eb="11">
      <t>アタイ</t>
    </rPh>
    <rPh sb="12" eb="14">
      <t>チョウヒョウ</t>
    </rPh>
    <rPh sb="14" eb="17">
      <t>シュツリョクヨウ</t>
    </rPh>
    <rPh sb="18" eb="21">
      <t>モジレツ</t>
    </rPh>
    <rPh sb="24" eb="26">
      <t>セッテイ</t>
    </rPh>
    <phoneticPr fontId="1"/>
  </si>
  <si>
    <t>第１引数：変換対象のロウ
第２引数：booleanの帳票上の文字列表現を格納するカラム名
第３引数：変換時に使用するbooleanを格納しているカラム名</t>
  </si>
  <si>
    <t>putPrntChk</t>
    <phoneticPr fontId="1"/>
  </si>
  <si>
    <t>登録機能ID、更新機能IDに対する名称をコンテナに設定する</t>
    <phoneticPr fontId="1"/>
  </si>
  <si>
    <t>第１引数：対象コンテナ
第２引数：機能ID項目名
第３引数：機能名称項目名</t>
    <rPh sb="0" eb="1">
      <t>ダイ</t>
    </rPh>
    <rPh sb="2" eb="4">
      <t>ヒキスウ</t>
    </rPh>
    <rPh sb="5" eb="7">
      <t>タイショウ</t>
    </rPh>
    <rPh sb="12" eb="13">
      <t>ダイ</t>
    </rPh>
    <rPh sb="14" eb="16">
      <t>ヒキスウ</t>
    </rPh>
    <rPh sb="25" eb="26">
      <t>ダイ</t>
    </rPh>
    <rPh sb="27" eb="29">
      <t>ヒキスウ</t>
    </rPh>
    <phoneticPr fontId="1"/>
  </si>
  <si>
    <t>putFuncName</t>
    <phoneticPr fontId="1"/>
  </si>
  <si>
    <t>NULL文字の場合、NULLを返す
それ以外は指定した文字列のまま返す</t>
    <phoneticPr fontId="1"/>
  </si>
  <si>
    <t>nullValToNull</t>
    <phoneticPr fontId="1"/>
  </si>
  <si>
    <t>第１引数：変換対象のロウコンテナ
第２引数：変換対象カラム</t>
    <phoneticPr fontId="1"/>
  </si>
  <si>
    <t>第１引数：変換対象のリストコンテナ
第２引数：変換対象カラム</t>
    <phoneticPr fontId="1"/>
  </si>
  <si>
    <t>システムの精度で乗算して返す</t>
    <phoneticPr fontId="1"/>
  </si>
  <si>
    <t>計算結果</t>
    <rPh sb="0" eb="2">
      <t>ケイサン</t>
    </rPh>
    <rPh sb="2" eb="4">
      <t>ケッカ</t>
    </rPh>
    <phoneticPr fontId="1"/>
  </si>
  <si>
    <t>第１引数：数値１
第２引数：数値２</t>
  </si>
  <si>
    <t>multiply</t>
    <phoneticPr fontId="1"/>
  </si>
  <si>
    <t>指定した文字列がNULLまたはNULL代替文字のときtrueを返す</t>
    <phoneticPr fontId="1"/>
  </si>
  <si>
    <t>isNullOrNullVal</t>
    <phoneticPr fontId="1"/>
  </si>
  <si>
    <t>コードの入力値チェックを行う</t>
    <rPh sb="12" eb="13">
      <t>オコナ</t>
    </rPh>
    <phoneticPr fontId="1"/>
  </si>
  <si>
    <t>第１引数：処理対象の文字列</t>
    <rPh sb="0" eb="1">
      <t>ダイ</t>
    </rPh>
    <rPh sb="2" eb="4">
      <t>ヒキスウ</t>
    </rPh>
    <rPh sb="5" eb="9">
      <t>ショリタイショウ</t>
    </rPh>
    <rPh sb="10" eb="13">
      <t>モジレツ</t>
    </rPh>
    <phoneticPr fontId="1"/>
  </si>
  <si>
    <t>isNotCd</t>
  </si>
  <si>
    <t>検索条件の文字列を前方一致、部分一致、後方一致用に加工して取得する</t>
    <phoneticPr fontId="1"/>
  </si>
  <si>
    <t>文字列</t>
    <rPh sb="0" eb="3">
      <t>モジレツ</t>
    </rPh>
    <phoneticPr fontId="1"/>
  </si>
  <si>
    <t>第１引数：処理対象のロウ
第２引数：検索条件のカラム名</t>
    <rPh sb="0" eb="1">
      <t>ダイ</t>
    </rPh>
    <rPh sb="2" eb="4">
      <t>ヒキスウ</t>
    </rPh>
    <rPh sb="5" eb="9">
      <t>ショリタイショウ</t>
    </rPh>
    <rPh sb="13" eb="14">
      <t>ダイ</t>
    </rPh>
    <rPh sb="15" eb="17">
      <t>ヒキスウ</t>
    </rPh>
    <rPh sb="18" eb="20">
      <t>ケンサク</t>
    </rPh>
    <rPh sb="20" eb="22">
      <t>ジョウケン</t>
    </rPh>
    <rPh sb="26" eb="27">
      <t>メイ</t>
    </rPh>
    <phoneticPr fontId="1"/>
  </si>
  <si>
    <t>getEditString</t>
  </si>
  <si>
    <t>行番号を取得する</t>
    <rPh sb="4" eb="6">
      <t>シュトク</t>
    </rPh>
    <phoneticPr fontId="1"/>
  </si>
  <si>
    <t>第１引数：処理対象のロウ</t>
    <rPh sb="0" eb="1">
      <t>ダイ</t>
    </rPh>
    <rPh sb="2" eb="4">
      <t>ヒキスウ</t>
    </rPh>
    <rPh sb="5" eb="9">
      <t>ショリタイショウ</t>
    </rPh>
    <phoneticPr fontId="1"/>
  </si>
  <si>
    <t>getClientRowNum</t>
  </si>
  <si>
    <t>メタにしたがって日付項目を丸める
（TMは分まで、DTは日付まで、YMは月まで）</t>
    <phoneticPr fontId="1"/>
  </si>
  <si>
    <t>第１引数：対象コンテナ</t>
  </si>
  <si>
    <t>doTruncDate</t>
    <phoneticPr fontId="1"/>
  </si>
  <si>
    <t>引数に応じて、ＳＱＬ文の行を除いたＳＱＬ文を取得する</t>
    <rPh sb="14" eb="15">
      <t>ノゾ</t>
    </rPh>
    <rPh sb="22" eb="24">
      <t>シュトク</t>
    </rPh>
    <phoneticPr fontId="1"/>
  </si>
  <si>
    <t>ＳＱＬ文</t>
    <rPh sb="3" eb="4">
      <t>ブン</t>
    </rPh>
    <phoneticPr fontId="1"/>
  </si>
  <si>
    <t>第１引数：SQL文
第２引数：編集条件</t>
    <rPh sb="8" eb="9">
      <t>ブン</t>
    </rPh>
    <rPh sb="15" eb="17">
      <t>ヘンシュウ</t>
    </rPh>
    <rPh sb="17" eb="19">
      <t>ジョウケン</t>
    </rPh>
    <phoneticPr fontId="1"/>
  </si>
  <si>
    <t>doCutSql</t>
    <phoneticPr fontId="1"/>
  </si>
  <si>
    <t>日付項目、時刻項目を補完する
上り電文の場合
・ NULLの場合：日付項目の値に時分秒に23:59:59を設定した値を設定する
・ NOT NULLの場合：秒に59を設定する
下り電文
・ 時分秒が00:00:00の場合：項目をNULLにする</t>
    <rPh sb="0" eb="2">
      <t>ヒヅケ</t>
    </rPh>
    <rPh sb="2" eb="4">
      <t>コウモク</t>
    </rPh>
    <rPh sb="5" eb="7">
      <t>ジコク</t>
    </rPh>
    <rPh sb="7" eb="9">
      <t>コウモク</t>
    </rPh>
    <rPh sb="10" eb="12">
      <t>ホカン</t>
    </rPh>
    <phoneticPr fontId="1"/>
  </si>
  <si>
    <t>第１引数：対象コンテナ
第２引数：上り電文フラグ</t>
    <rPh sb="17" eb="18">
      <t>ノボ</t>
    </rPh>
    <rPh sb="19" eb="21">
      <t>デンブン</t>
    </rPh>
    <phoneticPr fontId="1"/>
  </si>
  <si>
    <t>doCompTime</t>
    <phoneticPr fontId="1"/>
  </si>
  <si>
    <t>棚・ラインに対する棚・ライン無フラグを補完する</t>
  </si>
  <si>
    <t>doCompStrLnNoneFlg</t>
    <phoneticPr fontId="1"/>
  </si>
  <si>
    <t>検索ＳＱＬの分析項目の補完を行う（Oracleスタイル）</t>
    <rPh sb="0" eb="1">
      <t>ケン</t>
    </rPh>
    <rPh sb="1" eb="2">
      <t>サク</t>
    </rPh>
    <phoneticPr fontId="1"/>
  </si>
  <si>
    <t>補完した検索ＳＱＬ</t>
  </si>
  <si>
    <t>第１引数：ＳＱＬ文
第２引数：検索条件Rowコンテナ</t>
    <rPh sb="8" eb="9">
      <t>ブン</t>
    </rPh>
    <rPh sb="15" eb="17">
      <t>ケンサク</t>
    </rPh>
    <rPh sb="17" eb="19">
      <t>ジョウケン</t>
    </rPh>
    <phoneticPr fontId="1"/>
  </si>
  <si>
    <t>doCompSqlOra</t>
  </si>
  <si>
    <t>検索ＳＱＬの分析項目の補完を行う（ANSIスタイル）</t>
    <rPh sb="14" eb="15">
      <t>オコナ</t>
    </rPh>
    <phoneticPr fontId="1"/>
  </si>
  <si>
    <t>doCompSql</t>
    <phoneticPr fontId="1"/>
  </si>
  <si>
    <t>システムの精度で除算して返す</t>
    <phoneticPr fontId="1"/>
  </si>
  <si>
    <t>divide</t>
    <phoneticPr fontId="1"/>
  </si>
  <si>
    <t>第１引数に指定したロウのエラーフラグに、第２引数に指定したロウのエラーフラグをコピーする</t>
    <rPh sb="0" eb="1">
      <t>ダイ</t>
    </rPh>
    <rPh sb="2" eb="4">
      <t>ヒキスウ</t>
    </rPh>
    <rPh sb="5" eb="7">
      <t>シテイ</t>
    </rPh>
    <rPh sb="20" eb="21">
      <t>ダイ</t>
    </rPh>
    <rPh sb="22" eb="24">
      <t>ヒキスウ</t>
    </rPh>
    <rPh sb="25" eb="27">
      <t>シテイ</t>
    </rPh>
    <phoneticPr fontId="1"/>
  </si>
  <si>
    <t>第１引数：コピー先のロウ
第２引数：コピー元のロウ</t>
    <phoneticPr fontId="1"/>
  </si>
  <si>
    <t>copyErrFlg</t>
  </si>
  <si>
    <t>紐付けＮＯを元に、第１引数に指定したリストのエラーフラグに、第２引数に指定したリストの対応するロウのエラーフラグをコピーする</t>
    <phoneticPr fontId="1"/>
  </si>
  <si>
    <t>第１引数：コピー先のリスト
第２引数：コピー元のリスト
第３引数：コピー先の紐付けＮＯのカラム名
第４引数：コピー元の紐付けＮＯのカラム名</t>
    <phoneticPr fontId="1"/>
  </si>
  <si>
    <t>紐付けＮＯを元に、第１引数に指定したリストのエラーフラグに、第２引数に指定したリストの対応するロウのエラーフラグをコピーする
紐付けＮＯの項目名はpeg_no固定とする</t>
    <phoneticPr fontId="1"/>
  </si>
  <si>
    <t>第１引数：コピー先のリスト
第２引数：コピー元のリスト</t>
    <phoneticPr fontId="1"/>
  </si>
  <si>
    <t>紐付けＮＯを元に第１引数に指定したリストに、第３引数に指定したリストの値をコピーする</t>
    <rPh sb="8" eb="9">
      <t>ダイ</t>
    </rPh>
    <rPh sb="10" eb="12">
      <t>ヒキスウ</t>
    </rPh>
    <rPh sb="22" eb="23">
      <t>ダイ</t>
    </rPh>
    <rPh sb="24" eb="26">
      <t>ヒキスウ</t>
    </rPh>
    <phoneticPr fontId="1"/>
  </si>
  <si>
    <t>第１引数：コピー先のリスト
第２引数：コピー元のリスト
第３引数：コピー先の紐付けＮＯのカラム名
第４引数：コピー先の項目
第５引数：コピー元の紐付けＮＯのカラム名
第６引数：コピー元の項目</t>
    <rPh sb="47" eb="48">
      <t>メイ</t>
    </rPh>
    <phoneticPr fontId="1"/>
  </si>
  <si>
    <t>copyByPegNo</t>
  </si>
  <si>
    <t>紐付けＮＯを元に第１引数に指定したリストに、第３引数に指定したリストの値をコピーする
紐付けＮＯの項目名はpeg_no固定とする</t>
    <rPh sb="8" eb="9">
      <t>ダイ</t>
    </rPh>
    <rPh sb="10" eb="12">
      <t>ヒキスウ</t>
    </rPh>
    <rPh sb="22" eb="23">
      <t>ダイ</t>
    </rPh>
    <rPh sb="24" eb="26">
      <t>ヒキスウ</t>
    </rPh>
    <rPh sb="43" eb="45">
      <t>ヒモツ</t>
    </rPh>
    <rPh sb="49" eb="52">
      <t>コウモクメイ</t>
    </rPh>
    <rPh sb="59" eb="61">
      <t>コテイ</t>
    </rPh>
    <phoneticPr fontId="1"/>
  </si>
  <si>
    <t>第１引数：コピー先のリスト
第２引数：コピー先の項目
第３引数：コピー元のリスト
第４引数：コピー元の項目</t>
    <rPh sb="8" eb="9">
      <t>サキ</t>
    </rPh>
    <rPh sb="22" eb="23">
      <t>サキ</t>
    </rPh>
    <rPh sb="24" eb="26">
      <t>コウモク</t>
    </rPh>
    <rPh sb="35" eb="36">
      <t>モト</t>
    </rPh>
    <rPh sb="49" eb="50">
      <t>モト</t>
    </rPh>
    <rPh sb="51" eb="53">
      <t>コウモク</t>
    </rPh>
    <phoneticPr fontId="1"/>
  </si>
  <si>
    <t>基準単位から有効成分単位へ変換した有効成分数量を返す</t>
    <rPh sb="13" eb="15">
      <t>ヘンカン</t>
    </rPh>
    <rPh sb="21" eb="23">
      <t>スウリョウ</t>
    </rPh>
    <phoneticPr fontId="1"/>
  </si>
  <si>
    <t>有効成分数量</t>
    <rPh sb="0" eb="2">
      <t>ユウコウ</t>
    </rPh>
    <rPh sb="2" eb="4">
      <t>セイブン</t>
    </rPh>
    <rPh sb="4" eb="6">
      <t>スウリョウ</t>
    </rPh>
    <phoneticPr fontId="1"/>
  </si>
  <si>
    <t>convToContFctrUnit</t>
    <phoneticPr fontId="1"/>
  </si>
  <si>
    <t>有効成分単位から基準単位へ変換した基準単位数量を返す</t>
    <rPh sb="13" eb="15">
      <t>ヘンカン</t>
    </rPh>
    <rPh sb="17" eb="19">
      <t>キジュン</t>
    </rPh>
    <rPh sb="19" eb="21">
      <t>タンイ</t>
    </rPh>
    <rPh sb="21" eb="23">
      <t>スウリョウ</t>
    </rPh>
    <phoneticPr fontId="1"/>
  </si>
  <si>
    <t>convToBaseUnitFromContFctrUnit</t>
    <phoneticPr fontId="1"/>
  </si>
  <si>
    <t>基準単位以外の単位から基準単位へ変換した数量を返す
端数が生じた場合は、基準単位の端数処理区分に応じて端数処理する</t>
    <rPh sb="16" eb="18">
      <t>ヘンカン</t>
    </rPh>
    <rPh sb="20" eb="22">
      <t>スウリョウ</t>
    </rPh>
    <phoneticPr fontId="1"/>
  </si>
  <si>
    <t>基準単位数量</t>
    <phoneticPr fontId="1"/>
  </si>
  <si>
    <t>第１引数：数量
第２引数：変換元単位の基準数
第３引数：換元単位の単位換算数
第４引数：基準単位の小数部有効桁数
第５引数：基準単位の単位換算端数処理区分</t>
    <rPh sb="0" eb="1">
      <t>ダイ</t>
    </rPh>
    <rPh sb="2" eb="4">
      <t>ヒキスウ</t>
    </rPh>
    <rPh sb="8" eb="9">
      <t>ダイ</t>
    </rPh>
    <rPh sb="10" eb="12">
      <t>ヒキスウ</t>
    </rPh>
    <rPh sb="23" eb="24">
      <t>ダイ</t>
    </rPh>
    <rPh sb="25" eb="27">
      <t>ヒキスウ</t>
    </rPh>
    <rPh sb="39" eb="40">
      <t>ダイ</t>
    </rPh>
    <rPh sb="41" eb="43">
      <t>ヒキスウ</t>
    </rPh>
    <rPh sb="57" eb="58">
      <t>ダイ</t>
    </rPh>
    <rPh sb="59" eb="61">
      <t>ヒキスウ</t>
    </rPh>
    <phoneticPr fontId="1"/>
  </si>
  <si>
    <t>convToBaseUnit</t>
    <phoneticPr fontId="1"/>
  </si>
  <si>
    <t>基準通貨以外の通貨から基準通貨へ変換する</t>
    <phoneticPr fontId="1"/>
  </si>
  <si>
    <t>基準通貨金額または単価</t>
    <phoneticPr fontId="1"/>
  </si>
  <si>
    <t>第１引数：金額または単価
第２引数：為替レート
第３引数：基準通貨の金額または単価小数部有効桁数
第４引数：基準通貨の為替端数処理区分</t>
    <phoneticPr fontId="1"/>
  </si>
  <si>
    <t>convToBaseCur</t>
    <phoneticPr fontId="1"/>
  </si>
  <si>
    <t>通貨金額に為替レートを掛け通貨変換する</t>
    <phoneticPr fontId="1"/>
  </si>
  <si>
    <t>通貨金額または単価</t>
    <phoneticPr fontId="1"/>
  </si>
  <si>
    <t>第１引数：金額または単価
第２引数：為替レート
第３引数：通貨の金額または単価小数部有効桁数
第４引数：通貨の為替端数処理区分</t>
    <phoneticPr fontId="1"/>
  </si>
  <si>
    <t>convCur</t>
    <phoneticPr fontId="1"/>
  </si>
  <si>
    <t>連結住所</t>
    <phoneticPr fontId="1"/>
  </si>
  <si>
    <t>concatAddress</t>
    <phoneticPr fontId="1"/>
  </si>
  <si>
    <t>チェック対象のカラムがすべてNULLであるかチェックする</t>
    <phoneticPr fontId="1"/>
  </si>
  <si>
    <t>第１引数：メッセージＩＤ
第２引数：処理対象のロウ
第３引数：チェック対象のカラム</t>
    <rPh sb="0" eb="1">
      <t>ダイ</t>
    </rPh>
    <rPh sb="2" eb="4">
      <t>ヒキスウ</t>
    </rPh>
    <rPh sb="13" eb="14">
      <t>ダイ</t>
    </rPh>
    <rPh sb="15" eb="17">
      <t>ヒキスウ</t>
    </rPh>
    <rPh sb="18" eb="22">
      <t>ショリタイショウ</t>
    </rPh>
    <rPh sb="26" eb="27">
      <t>ダイ</t>
    </rPh>
    <rPh sb="28" eb="30">
      <t>ヒキスウ</t>
    </rPh>
    <rPh sb="35" eb="37">
      <t>タイショウ</t>
    </rPh>
    <phoneticPr fontId="1"/>
  </si>
  <si>
    <t>checkNull</t>
  </si>
  <si>
    <t>指定したロケールが設定に存在するかチェックする</t>
    <rPh sb="9" eb="11">
      <t>セッテイ</t>
    </rPh>
    <phoneticPr fontId="1"/>
  </si>
  <si>
    <t>第１引数：ロケール</t>
    <phoneticPr fontId="1"/>
  </si>
  <si>
    <t>checkLocaleEntry</t>
    <phoneticPr fontId="1"/>
  </si>
  <si>
    <t>ロウコンテナに対して指定した数値カラムの小数部の値が小数部有効桁数カラムの値を超えていないかチェックする</t>
    <rPh sb="7" eb="8">
      <t>タイ</t>
    </rPh>
    <rPh sb="10" eb="12">
      <t>シテイ</t>
    </rPh>
    <rPh sb="14" eb="16">
      <t>スウチ</t>
    </rPh>
    <rPh sb="20" eb="23">
      <t>ショウスウブ</t>
    </rPh>
    <rPh sb="24" eb="25">
      <t>アタイ</t>
    </rPh>
    <rPh sb="26" eb="29">
      <t>ショウスウブ</t>
    </rPh>
    <rPh sb="29" eb="33">
      <t>ユウコウケタスウ</t>
    </rPh>
    <rPh sb="37" eb="38">
      <t>アタイ</t>
    </rPh>
    <rPh sb="39" eb="40">
      <t>コ</t>
    </rPh>
    <phoneticPr fontId="1"/>
  </si>
  <si>
    <t>第１引数：ロウコンテナ
第２引数：小数部有効桁数カラム名
第３引数以降：数値カラム名</t>
    <rPh sb="27" eb="28">
      <t>メイ</t>
    </rPh>
    <rPh sb="41" eb="42">
      <t>メイ</t>
    </rPh>
    <phoneticPr fontId="1"/>
  </si>
  <si>
    <t>checkDecPlace</t>
    <phoneticPr fontId="1"/>
  </si>
  <si>
    <t>ロウコンテナに対して指定した数値カラムの値が小数部有効桁数を超えていないかチェックする</t>
    <rPh sb="7" eb="8">
      <t>タイ</t>
    </rPh>
    <rPh sb="10" eb="12">
      <t>シテイ</t>
    </rPh>
    <rPh sb="14" eb="16">
      <t>スウチ</t>
    </rPh>
    <rPh sb="20" eb="21">
      <t>アタイ</t>
    </rPh>
    <rPh sb="22" eb="25">
      <t>ショウスウブ</t>
    </rPh>
    <rPh sb="25" eb="29">
      <t>ユウコウケタスウ</t>
    </rPh>
    <rPh sb="30" eb="31">
      <t>コ</t>
    </rPh>
    <phoneticPr fontId="1"/>
  </si>
  <si>
    <t>第１引数：ロウコンテナ
第２引数：小数部有効桁数
第３引数以降：数値カラム名</t>
    <rPh sb="37" eb="38">
      <t>メイ</t>
    </rPh>
    <phoneticPr fontId="1"/>
  </si>
  <si>
    <t>リストコンテナに対して指定した数値カラムの小数部の値が小数部有効桁数カラムの値を超えていないかチェックする</t>
    <rPh sb="8" eb="9">
      <t>タイ</t>
    </rPh>
    <rPh sb="11" eb="13">
      <t>シテイ</t>
    </rPh>
    <rPh sb="15" eb="17">
      <t>スウチ</t>
    </rPh>
    <rPh sb="21" eb="24">
      <t>ショウスウブ</t>
    </rPh>
    <rPh sb="25" eb="26">
      <t>アタイ</t>
    </rPh>
    <rPh sb="27" eb="30">
      <t>ショウスウブ</t>
    </rPh>
    <rPh sb="30" eb="34">
      <t>ユウコウケタスウ</t>
    </rPh>
    <rPh sb="38" eb="39">
      <t>アタイ</t>
    </rPh>
    <rPh sb="40" eb="41">
      <t>コ</t>
    </rPh>
    <phoneticPr fontId="1"/>
  </si>
  <si>
    <t>第１引数：リストコンテナ
第２引数：小数部有効桁数カラム名
第３引数以降：数値カラム名</t>
    <rPh sb="28" eb="29">
      <t>メイ</t>
    </rPh>
    <rPh sb="42" eb="43">
      <t>メイ</t>
    </rPh>
    <phoneticPr fontId="1"/>
  </si>
  <si>
    <t>checkDecPlace</t>
    <phoneticPr fontId="1"/>
  </si>
  <si>
    <t>リストコンテナに対して指定した数値カラムの値が小数部有効桁数を超えていないかチェックする</t>
    <rPh sb="8" eb="9">
      <t>タイ</t>
    </rPh>
    <rPh sb="11" eb="13">
      <t>シテイ</t>
    </rPh>
    <rPh sb="15" eb="17">
      <t>スウチ</t>
    </rPh>
    <rPh sb="21" eb="22">
      <t>アタイ</t>
    </rPh>
    <rPh sb="23" eb="26">
      <t>ショウスウブ</t>
    </rPh>
    <rPh sb="26" eb="30">
      <t>ユウコウケタスウ</t>
    </rPh>
    <rPh sb="31" eb="32">
      <t>コ</t>
    </rPh>
    <phoneticPr fontId="1"/>
  </si>
  <si>
    <t>第１引数：リストコンテナ
第２引数：小数部有効桁数
第３引数以降：数値カラム名</t>
    <rPh sb="18" eb="21">
      <t>ショウスウブ</t>
    </rPh>
    <rPh sb="21" eb="23">
      <t>ユウコウ</t>
    </rPh>
    <rPh sb="23" eb="25">
      <t>ケタスウ</t>
    </rPh>
    <rPh sb="30" eb="32">
      <t>イコウ</t>
    </rPh>
    <rPh sb="33" eb="35">
      <t>スウチ</t>
    </rPh>
    <rPh sb="38" eb="39">
      <t>メイ</t>
    </rPh>
    <phoneticPr fontId="1"/>
  </si>
  <si>
    <t>基準単位数量から有効成分係数を取得する</t>
    <rPh sb="15" eb="17">
      <t>シュトク</t>
    </rPh>
    <phoneticPr fontId="1"/>
  </si>
  <si>
    <t>有効成分係数</t>
    <phoneticPr fontId="1"/>
  </si>
  <si>
    <t>calcContFctr</t>
    <phoneticPr fontId="1"/>
  </si>
  <si>
    <t>為替レート換算した金額及び使用した為替レートを取得する</t>
    <phoneticPr fontId="1"/>
  </si>
  <si>
    <t>為替レート換算した金額
使用した為替レート</t>
    <phoneticPr fontId="1"/>
  </si>
  <si>
    <t>第１引数：金額
第２引数：取引通貨ＣＤ
第３引数：基準通貨ＣＤ
第４引数：為替レートＣＤ
第５引数：基準日
第６引数：小数部有効桁数
第７引数：為替端数処理区分
第８引数：基準通貨金額
第９引数：為替レート</t>
  </si>
  <si>
    <t>P_XCHNG</t>
    <phoneticPr fontId="1"/>
  </si>
  <si>
    <t>為替関連ユーティリティ</t>
    <phoneticPr fontId="1"/>
  </si>
  <si>
    <t>MAPA_XCHNG</t>
    <phoneticPr fontId="1"/>
  </si>
  <si>
    <t>納税通貨に対する通貨ＣＤ、金額端数処理桁、単価端数処理桁を取得する</t>
  </si>
  <si>
    <t>通貨ＣＤ
金額端数処理桁
単価端数処理桁</t>
    <phoneticPr fontId="1"/>
  </si>
  <si>
    <t>第１引数：納税通貨ＣＤ
第２引数：単価小数部有効桁数
第３引数：金額小数部有効桁数</t>
  </si>
  <si>
    <t>P_GET_PTAX_CUR_INFO</t>
    <phoneticPr fontId="1"/>
  </si>
  <si>
    <t>為替関連ユーティリティ</t>
    <phoneticPr fontId="1"/>
  </si>
  <si>
    <t>MAPA_XCHNG</t>
    <phoneticPr fontId="1"/>
  </si>
  <si>
    <t>通貨に対する金額端数処理桁、単価端数処理桁を取得する</t>
  </si>
  <si>
    <t>金額端数処理桁
単価端数処理桁</t>
    <phoneticPr fontId="1"/>
  </si>
  <si>
    <t>第１引数：通貨ＣＤ
第２引数：単価小数部有効桁数
第３引数：金額小数部有効桁数</t>
  </si>
  <si>
    <t>P_GET_CUR_INFO</t>
    <phoneticPr fontId="1"/>
  </si>
  <si>
    <t>基準通貨に対する通貨ＣＤ、金額端数処理桁、単価端数処理桁を取得する</t>
  </si>
  <si>
    <t>第１引数：基準通貨ＣＤ
第２引数：単価小数部有効桁数
第３引数：金額小数部有効桁数</t>
  </si>
  <si>
    <t>P_GET_BASE_CUR_INFO</t>
    <phoneticPr fontId="1"/>
  </si>
  <si>
    <t>為替レート換算した金額を取得する</t>
    <phoneticPr fontId="1"/>
  </si>
  <si>
    <t>為替レート換算した金額</t>
    <phoneticPr fontId="1"/>
  </si>
  <si>
    <t>第１引数：金額
第２引数：為替レート
第３引数：小数部有効桁数
第４引数：為替端数処理区分</t>
  </si>
  <si>
    <t>F_XCHNG</t>
    <phoneticPr fontId="1"/>
  </si>
  <si>
    <t>為替レートを取得する
取得できない場合は、NULLを返す</t>
    <rPh sb="0" eb="2">
      <t>カワセ</t>
    </rPh>
    <rPh sb="6" eb="8">
      <t>シュトク</t>
    </rPh>
    <phoneticPr fontId="1"/>
  </si>
  <si>
    <t>為替レート</t>
    <phoneticPr fontId="1"/>
  </si>
  <si>
    <t>第１引数：取引通貨ＣＤ
第２引数：基準通貨ＣＤ
第３引数：為替レートＣＤ
第４引数：基準日</t>
  </si>
  <si>
    <t>F_GET_XRATE_NE</t>
    <phoneticPr fontId="1"/>
  </si>
  <si>
    <t>為替レートを取得する</t>
    <rPh sb="0" eb="2">
      <t>カワセ</t>
    </rPh>
    <rPh sb="6" eb="8">
      <t>シュトク</t>
    </rPh>
    <phoneticPr fontId="1"/>
  </si>
  <si>
    <t>F_GET_XRATE</t>
    <phoneticPr fontId="1"/>
  </si>
  <si>
    <t>取引通貨ＣＤから基準通貨ＣＤへ換算する売上為替レートを取得する
取得できない場合は、NULLを返す</t>
    <phoneticPr fontId="1"/>
  </si>
  <si>
    <t>売上為替レート</t>
    <phoneticPr fontId="1"/>
  </si>
  <si>
    <t>第１引数：取引通貨ＣＤ
第２引数：基準日</t>
  </si>
  <si>
    <t>F_GET_SLS_XRATE_NE</t>
    <phoneticPr fontId="1"/>
  </si>
  <si>
    <t>取引通貨ＣＤから基準通貨ＣＤへ換算する売上為替レートを取得する</t>
    <phoneticPr fontId="1"/>
  </si>
  <si>
    <t>F_GET_SLS_XRATE</t>
    <phoneticPr fontId="1"/>
  </si>
  <si>
    <t>取引通貨ＣＤから基準通貨ＣＤへ換算する仕入為替レートを取得する
取得できない場合は、NULLを返す</t>
    <phoneticPr fontId="1"/>
  </si>
  <si>
    <t>仕入為替レート</t>
    <phoneticPr fontId="1"/>
  </si>
  <si>
    <t>F_GET_PURC_XRATE_NE</t>
    <phoneticPr fontId="1"/>
  </si>
  <si>
    <t>取引通貨ＣＤから基準通貨ＣＤへ換算する仕入為替レートを取得する</t>
    <phoneticPr fontId="1"/>
  </si>
  <si>
    <t>F_GET_PURC_XRATE</t>
    <phoneticPr fontId="1"/>
  </si>
  <si>
    <t>会社マスタから納税通貨ＣＤを取得する</t>
    <rPh sb="0" eb="2">
      <t>カイシャ</t>
    </rPh>
    <rPh sb="7" eb="9">
      <t>ノウゼイ</t>
    </rPh>
    <rPh sb="9" eb="11">
      <t>ツウカ</t>
    </rPh>
    <rPh sb="14" eb="16">
      <t>シュトク</t>
    </rPh>
    <phoneticPr fontId="1"/>
  </si>
  <si>
    <t>納税通貨ＣＤ</t>
    <rPh sb="0" eb="2">
      <t>ノウゼイ</t>
    </rPh>
    <rPh sb="2" eb="4">
      <t>ツウカ</t>
    </rPh>
    <phoneticPr fontId="1"/>
  </si>
  <si>
    <t>F_GET_PTAX_CUR_CD</t>
    <phoneticPr fontId="1"/>
  </si>
  <si>
    <t>取引通貨ＣＤから基準通貨ＣＤへ換算する支給為替レートを取得する
取得できない場合は、NULLを返す</t>
    <phoneticPr fontId="1"/>
  </si>
  <si>
    <t>支給為替レート</t>
    <phoneticPr fontId="1"/>
  </si>
  <si>
    <t>F_GET_PROV_XRATE_NE</t>
    <phoneticPr fontId="1"/>
  </si>
  <si>
    <t>取引通貨ＣＤから基準通貨ＣＤへ換算する支給為替レートを取得する</t>
    <phoneticPr fontId="1"/>
  </si>
  <si>
    <t>F_GET_PROV_XRATE</t>
    <phoneticPr fontId="1"/>
  </si>
  <si>
    <t>通貨マスタのレコードを取得する</t>
    <rPh sb="0" eb="2">
      <t>ツウカ</t>
    </rPh>
    <rPh sb="11" eb="13">
      <t>シュトク</t>
    </rPh>
    <phoneticPr fontId="1"/>
  </si>
  <si>
    <t>通貨マスタ</t>
    <phoneticPr fontId="1"/>
  </si>
  <si>
    <t>第１引数：通貨ＣＤ</t>
  </si>
  <si>
    <t>F_GET_CUR_REC</t>
    <phoneticPr fontId="1"/>
  </si>
  <si>
    <t>会社マスタから基準通貨ＣＤを取得する</t>
    <phoneticPr fontId="1"/>
  </si>
  <si>
    <t>基準通貨ＣＤ</t>
    <phoneticPr fontId="1"/>
  </si>
  <si>
    <t>F_GET_BASE_CUR_CD</t>
    <phoneticPr fontId="1"/>
  </si>
  <si>
    <t>受注紐付経費購買がオンに設定されている業務理由ＣＤを返す
複数取得される場合は業務理由ＣＤでソートした1件目とする</t>
    <rPh sb="0" eb="2">
      <t>ジュチュウ</t>
    </rPh>
    <rPh sb="2" eb="3">
      <t>ヒモ</t>
    </rPh>
    <rPh sb="3" eb="4">
      <t>ヅケ</t>
    </rPh>
    <rPh sb="4" eb="6">
      <t>ケイヒ</t>
    </rPh>
    <rPh sb="6" eb="8">
      <t>コウバイ</t>
    </rPh>
    <rPh sb="12" eb="14">
      <t>セッテイ</t>
    </rPh>
    <rPh sb="19" eb="21">
      <t>ギョウム</t>
    </rPh>
    <rPh sb="21" eb="23">
      <t>リユウ</t>
    </rPh>
    <rPh sb="26" eb="27">
      <t>カエ</t>
    </rPh>
    <rPh sb="29" eb="31">
      <t>フクスウ</t>
    </rPh>
    <rPh sb="31" eb="33">
      <t>シュトク</t>
    </rPh>
    <rPh sb="36" eb="38">
      <t>バアイ</t>
    </rPh>
    <rPh sb="39" eb="41">
      <t>ギョウム</t>
    </rPh>
    <rPh sb="41" eb="43">
      <t>リユウ</t>
    </rPh>
    <rPh sb="52" eb="53">
      <t>ケン</t>
    </rPh>
    <rPh sb="53" eb="54">
      <t>メ</t>
    </rPh>
    <phoneticPr fontId="1"/>
  </si>
  <si>
    <t>業務理由ＣＤ</t>
    <rPh sb="0" eb="2">
      <t>ギョウム</t>
    </rPh>
    <rPh sb="2" eb="4">
      <t>リユウ</t>
    </rPh>
    <phoneticPr fontId="1"/>
  </si>
  <si>
    <t>F_GET_SLO_XPNS_PURC_RSN_CD</t>
    <phoneticPr fontId="1"/>
  </si>
  <si>
    <t>マスタユーティリティ</t>
    <phoneticPr fontId="1"/>
  </si>
  <si>
    <t>MAPA_UTIL</t>
    <phoneticPr fontId="1"/>
  </si>
  <si>
    <t>固定ロスがオンの業務理由ＣＤを返す
複数取得される場合は業務理由ＣＤでソートした1件目とする</t>
    <rPh sb="8" eb="10">
      <t>ギョウム</t>
    </rPh>
    <rPh sb="10" eb="12">
      <t>リユウ</t>
    </rPh>
    <rPh sb="15" eb="16">
      <t>カエ</t>
    </rPh>
    <rPh sb="18" eb="20">
      <t>フクスウ</t>
    </rPh>
    <rPh sb="20" eb="22">
      <t>シュトク</t>
    </rPh>
    <rPh sb="25" eb="27">
      <t>バアイ</t>
    </rPh>
    <rPh sb="28" eb="30">
      <t>ギョウム</t>
    </rPh>
    <rPh sb="30" eb="32">
      <t>リユウ</t>
    </rPh>
    <rPh sb="41" eb="42">
      <t>ケン</t>
    </rPh>
    <rPh sb="42" eb="43">
      <t>メ</t>
    </rPh>
    <phoneticPr fontId="1"/>
  </si>
  <si>
    <t>F_GET_FXD_LOSS_RSN_CD</t>
    <phoneticPr fontId="1"/>
  </si>
  <si>
    <t>MAPA_UTIL</t>
    <phoneticPr fontId="1"/>
  </si>
  <si>
    <t>指定した取引パタン区分に対して取引マスタから自動時採用にオンが設定されている取引ＣＤを返す</t>
    <phoneticPr fontId="1"/>
  </si>
  <si>
    <t>第１引数：取引パタン区分</t>
  </si>
  <si>
    <t>F_GET_DEF_TRD_CD</t>
    <phoneticPr fontId="1"/>
  </si>
  <si>
    <t>マスタユーティリティ</t>
    <phoneticPr fontId="1"/>
  </si>
  <si>
    <t>格付マスタからソート順、格付ＣＤの昇順で１件目となるレコードを返す</t>
    <rPh sb="0" eb="1">
      <t>カク</t>
    </rPh>
    <rPh sb="1" eb="2">
      <t>ヅケ</t>
    </rPh>
    <rPh sb="10" eb="11">
      <t>ジュン</t>
    </rPh>
    <rPh sb="12" eb="13">
      <t>カク</t>
    </rPh>
    <rPh sb="13" eb="14">
      <t>ヅケ</t>
    </rPh>
    <rPh sb="17" eb="19">
      <t>ショウジュン</t>
    </rPh>
    <rPh sb="21" eb="22">
      <t>ケン</t>
    </rPh>
    <rPh sb="22" eb="23">
      <t>メ</t>
    </rPh>
    <rPh sb="31" eb="32">
      <t>カエ</t>
    </rPh>
    <phoneticPr fontId="1"/>
  </si>
  <si>
    <t>デフォルトの格付ＣＤ</t>
    <phoneticPr fontId="1"/>
  </si>
  <si>
    <t>F_GET_DEF_GD_CD</t>
    <phoneticPr fontId="1"/>
  </si>
  <si>
    <t>対象の対象期間マスタの期開始年月を返す
対象のレコードが見つからない場合はNULLを返す</t>
    <phoneticPr fontId="1"/>
  </si>
  <si>
    <t>期開始年月</t>
  </si>
  <si>
    <t>F_GET_TERM_NE</t>
    <phoneticPr fontId="1"/>
  </si>
  <si>
    <t>期関連ユーティリティ</t>
  </si>
  <si>
    <t>MAPA_TERM</t>
  </si>
  <si>
    <t>対象期間マスタの期開始年月を取得する</t>
    <phoneticPr fontId="1"/>
  </si>
  <si>
    <t>F_GET_TERM</t>
    <phoneticPr fontId="1"/>
  </si>
  <si>
    <t>品目マスタの設定を元に源泉徴収税率を返す</t>
    <phoneticPr fontId="1"/>
  </si>
  <si>
    <t>源泉徴収税率</t>
    <phoneticPr fontId="1"/>
  </si>
  <si>
    <t>第１引数：品目ＣＤ
第２引数：枝番１
第３引数：枝番２
第４引数：枝番３
第５引数：基準日</t>
  </si>
  <si>
    <t>F_GET_WTAX_RATE</t>
    <phoneticPr fontId="1"/>
  </si>
  <si>
    <t>税関連ユーティリティ</t>
    <rPh sb="0" eb="1">
      <t>ゼイ</t>
    </rPh>
    <rPh sb="1" eb="3">
      <t>カンレン</t>
    </rPh>
    <phoneticPr fontId="1"/>
  </si>
  <si>
    <t>MAPA_TAX</t>
    <phoneticPr fontId="1"/>
  </si>
  <si>
    <t>取引先マスタ、品目マスタ、会社マスタの設定を元に売上税ＣＤを返す</t>
    <phoneticPr fontId="1"/>
  </si>
  <si>
    <t>売上税ＣＤ</t>
    <rPh sb="0" eb="3">
      <t>ウリアゲゼイ</t>
    </rPh>
    <phoneticPr fontId="1"/>
  </si>
  <si>
    <t>第１引数：品目ＣＤ
第２引数：枝番１
第３引数：枝番２
第４引数：枝番３
第５引数：取引先ＣＤ
第６引数：基準日</t>
  </si>
  <si>
    <t>F_GET_SLS_TAX_CD</t>
    <phoneticPr fontId="1"/>
  </si>
  <si>
    <t>取引先マスタ、品目マスタ、会社マスタの設定を元に仕入税ＣＤを返す</t>
    <phoneticPr fontId="1"/>
  </si>
  <si>
    <t>仕入税ＣＤ</t>
    <rPh sb="0" eb="2">
      <t>シイレ</t>
    </rPh>
    <rPh sb="2" eb="3">
      <t>ゼイ</t>
    </rPh>
    <phoneticPr fontId="1"/>
  </si>
  <si>
    <t>F_GET_PURC_TAX_CD</t>
    <phoneticPr fontId="1"/>
  </si>
  <si>
    <t>取引先マスタ、品目マスタ、会社マスタの設定を元に支給税ＣＤを返す</t>
    <phoneticPr fontId="1"/>
  </si>
  <si>
    <t>支給税ＣＤ</t>
    <rPh sb="0" eb="2">
      <t>シキュウ</t>
    </rPh>
    <rPh sb="2" eb="3">
      <t>ゼイ</t>
    </rPh>
    <phoneticPr fontId="1"/>
  </si>
  <si>
    <t>F_GET_PROV_TAX_CD</t>
    <phoneticPr fontId="1"/>
  </si>
  <si>
    <t>MAPA_TAX</t>
    <phoneticPr fontId="1"/>
  </si>
  <si>
    <t>標準単価マスタから標準単価を取得する
単位あたりの標準単価を取得し、端数処理はしない
標準単価取得区分が設定されていない場合は「1：標準単価」とみなす
標準単価が取得できない場合は０を返す</t>
    <rPh sb="43" eb="47">
      <t>ヒョウジュンタンカ</t>
    </rPh>
    <rPh sb="47" eb="49">
      <t>シュトク</t>
    </rPh>
    <rPh sb="49" eb="51">
      <t>クブン</t>
    </rPh>
    <phoneticPr fontId="1"/>
  </si>
  <si>
    <t>標準単価</t>
    <phoneticPr fontId="1"/>
  </si>
  <si>
    <t>第１引数：品目ＣＤ
第２引数：枝番１
第３引数：枝番２
第４引数：枝番３
第５引数：日付
第６引数：ワーキンググループＣＤ
第７引数：標準単価取得区分</t>
    <phoneticPr fontId="1"/>
  </si>
  <si>
    <t>F_GET_STD_UPRI</t>
    <phoneticPr fontId="1"/>
  </si>
  <si>
    <t>標準単価関連ユーティリティ</t>
    <phoneticPr fontId="1"/>
  </si>
  <si>
    <t>MAPA_STD_COST</t>
    <phoneticPr fontId="1"/>
  </si>
  <si>
    <t>標準単価マスタから取得した標準単価に数量を掛け金額を算出する
会社マスタの在庫金額端数処理区分、在庫金額小数部有効桁数に従って端数処理する
標準単価取得区分が設定されていない場合は「1：標準単価」とみなす
標準単価が取得できない場合は０を返す</t>
    <rPh sb="70" eb="72">
      <t>ヒョウジュン</t>
    </rPh>
    <rPh sb="72" eb="74">
      <t>タンカ</t>
    </rPh>
    <rPh sb="74" eb="76">
      <t>シュトク</t>
    </rPh>
    <rPh sb="76" eb="78">
      <t>クブン</t>
    </rPh>
    <phoneticPr fontId="1"/>
  </si>
  <si>
    <t>標準金額</t>
    <phoneticPr fontId="1"/>
  </si>
  <si>
    <t>第１引数：品目ＣＤ
第２引数：枝番１
第３引数：枝番２
第４引数：枝番３
第５引数：日付
第６引数：ワーキンググループＣＤ
第７引数：数量
第８引数：標準単価取得区分</t>
    <phoneticPr fontId="1"/>
  </si>
  <si>
    <t>F_GET_STD_AMT</t>
    <phoneticPr fontId="1"/>
  </si>
  <si>
    <t>標準単価関連ユーティリティ</t>
    <phoneticPr fontId="1"/>
  </si>
  <si>
    <t>販売単価ランクＣＤを取得する</t>
  </si>
  <si>
    <t>販売単価ランクＣＤ</t>
    <phoneticPr fontId="1"/>
  </si>
  <si>
    <t>第１引数：得意先ＣＤ
第２引数：納品先ＣＤ
第３引数：仕向先ＣＤ１
第４引数：仕向先ＣＤ２
第５引数：仕向先ＣＤ３
第６引数：基準日</t>
  </si>
  <si>
    <t>F_GET_SLS_UPRI_RANK</t>
    <phoneticPr fontId="1"/>
  </si>
  <si>
    <t>販売単価取得ユーティリティ</t>
  </si>
  <si>
    <t>MAPA_SLS_UPRI</t>
  </si>
  <si>
    <t>発番パタンに対応した、発番マスタの設定に従った番号を一括設定する</t>
    <rPh sb="26" eb="28">
      <t>イッカツ</t>
    </rPh>
    <rPh sb="28" eb="30">
      <t>セッテイ</t>
    </rPh>
    <phoneticPr fontId="1"/>
  </si>
  <si>
    <t>第１引数：発番業務区分</t>
  </si>
  <si>
    <t>P_SET_BY_PTN</t>
    <phoneticPr fontId="1"/>
  </si>
  <si>
    <t>アプリ共通発番ロジック</t>
    <phoneticPr fontId="1"/>
  </si>
  <si>
    <t>MAPA_NUM</t>
  </si>
  <si>
    <t>発番パタンマスタに引数の会社ＣＤで登録されていない初期データを追加する</t>
    <phoneticPr fontId="1"/>
  </si>
  <si>
    <t>第１引数：会社ＣＤ</t>
  </si>
  <si>
    <t>P_INS_NUM_PTN</t>
    <phoneticPr fontId="1"/>
  </si>
  <si>
    <t>発番パタンマスタに指定した会社ＣＤの初期データを作成する
会社マスタに会社ＣＤを追加する際に実行される</t>
    <phoneticPr fontId="1"/>
  </si>
  <si>
    <t>P_INIT_NUM_PTN</t>
    <phoneticPr fontId="1"/>
  </si>
  <si>
    <t>アプリ共通発番ロジック</t>
    <phoneticPr fontId="1"/>
  </si>
  <si>
    <t>発番パタンに対応した、発番マスタの設定に従った番号を取得する</t>
    <phoneticPr fontId="1"/>
  </si>
  <si>
    <t>第１引数：発番業務区分
第２引数：発番パタンＣＤ
第３引数：発番用引数
第４引数：発番結果</t>
  </si>
  <si>
    <t>P_GET_BY_PTN</t>
    <phoneticPr fontId="1"/>
  </si>
  <si>
    <t>発番マスタの設定に従った番号を取得する</t>
    <phoneticPr fontId="1"/>
  </si>
  <si>
    <t>第１引数：発番業務区分
第２引数：発番用引数
第３引数：発番結果</t>
  </si>
  <si>
    <t>P_GET</t>
  </si>
  <si>
    <t>発番パタンマスタから指定した会社ＣＤに対応するデータを削除する</t>
    <phoneticPr fontId="1"/>
  </si>
  <si>
    <t>P_DEL_NUM_PTN</t>
    <phoneticPr fontId="1"/>
  </si>
  <si>
    <t>指定したオラクルシーケンスを指定した数分発番する</t>
    <rPh sb="18" eb="19">
      <t>カズ</t>
    </rPh>
    <rPh sb="19" eb="20">
      <t>ブン</t>
    </rPh>
    <phoneticPr fontId="1"/>
  </si>
  <si>
    <t>発番した番号（数値）のコレクション</t>
    <phoneticPr fontId="1"/>
  </si>
  <si>
    <t>第１引数：オラクルシーケンス名
第２引数：シーケンスを発番する数</t>
  </si>
  <si>
    <t>F_GET_SEQ_LIST</t>
    <phoneticPr fontId="1"/>
  </si>
  <si>
    <t>アプリ共通発番ロジック</t>
  </si>
  <si>
    <t>発番結果</t>
    <rPh sb="0" eb="2">
      <t>ハツバン</t>
    </rPh>
    <rPh sb="2" eb="4">
      <t>ケッカ</t>
    </rPh>
    <phoneticPr fontId="1"/>
  </si>
  <si>
    <t>第１引数：オラクルシーケンス名</t>
  </si>
  <si>
    <t>F_GET_SEQ</t>
    <phoneticPr fontId="1"/>
  </si>
  <si>
    <t>オラクルシーケンスに使う名称を返す</t>
    <rPh sb="15" eb="16">
      <t>カエ</t>
    </rPh>
    <phoneticPr fontId="1"/>
  </si>
  <si>
    <t>オラクルシーケンスに使う名称</t>
    <phoneticPr fontId="1"/>
  </si>
  <si>
    <t>F_GET_NEW_ORA_SEQ_NM</t>
    <phoneticPr fontId="1"/>
  </si>
  <si>
    <t>場所マスタと場所補助マスタから売上部門ＣＤに対する場所ＣＤを取得する
取得できない場合は、NULLを返す</t>
    <rPh sb="0" eb="2">
      <t>バショ</t>
    </rPh>
    <rPh sb="6" eb="8">
      <t>バショ</t>
    </rPh>
    <rPh sb="8" eb="10">
      <t>ホジョ</t>
    </rPh>
    <rPh sb="15" eb="19">
      <t>ウリアゲブモン</t>
    </rPh>
    <rPh sb="22" eb="23">
      <t>タイ</t>
    </rPh>
    <rPh sb="25" eb="27">
      <t>バショ</t>
    </rPh>
    <rPh sb="30" eb="32">
      <t>シュトク</t>
    </rPh>
    <phoneticPr fontId="1"/>
  </si>
  <si>
    <t>場所ＣＤ</t>
    <rPh sb="0" eb="2">
      <t>バショ</t>
    </rPh>
    <phoneticPr fontId="1"/>
  </si>
  <si>
    <t>第１引数：部門ＣＤ
第２引数：マスタ適用日</t>
  </si>
  <si>
    <t>F_GET_SLS_DPT_LOC_CD_NE</t>
    <phoneticPr fontId="1"/>
  </si>
  <si>
    <t>場所関連ユーティリティ</t>
    <phoneticPr fontId="1"/>
  </si>
  <si>
    <t>MAPA_LOC</t>
  </si>
  <si>
    <t>場所マスタと場所補助マスタから売上部門ＣＤに対する場所ＣＤを取得する</t>
    <rPh sb="0" eb="2">
      <t>バショ</t>
    </rPh>
    <rPh sb="6" eb="8">
      <t>バショ</t>
    </rPh>
    <rPh sb="8" eb="10">
      <t>ホジョ</t>
    </rPh>
    <rPh sb="15" eb="19">
      <t>ウリアゲブモン</t>
    </rPh>
    <rPh sb="22" eb="23">
      <t>タイ</t>
    </rPh>
    <rPh sb="25" eb="27">
      <t>バショ</t>
    </rPh>
    <rPh sb="30" eb="32">
      <t>シュトク</t>
    </rPh>
    <phoneticPr fontId="1"/>
  </si>
  <si>
    <t>F_GET_SLS_DPT_LOC_CD</t>
    <phoneticPr fontId="1"/>
  </si>
  <si>
    <t>場所関連ユーティリティ</t>
    <phoneticPr fontId="1"/>
  </si>
  <si>
    <t>場所マスタと場所補助マスタから売上部門ＣＤを取得する
取得できない場合は、NULLを返す</t>
    <rPh sb="0" eb="2">
      <t>バショ</t>
    </rPh>
    <rPh sb="6" eb="8">
      <t>バショ</t>
    </rPh>
    <rPh sb="8" eb="10">
      <t>ホジョ</t>
    </rPh>
    <rPh sb="15" eb="19">
      <t>ウリアゲブモン</t>
    </rPh>
    <rPh sb="22" eb="24">
      <t>シュトク</t>
    </rPh>
    <phoneticPr fontId="1"/>
  </si>
  <si>
    <t>売上部門ＣＤ</t>
    <rPh sb="0" eb="4">
      <t>ウリアゲブモン</t>
    </rPh>
    <phoneticPr fontId="1"/>
  </si>
  <si>
    <t>第１引数：場所ＣＤ
第２引数：マスタ適用日
第３引数：部門有効確認不要フラグ</t>
  </si>
  <si>
    <t>F_GET_SLS_DPT_CD_NE</t>
    <phoneticPr fontId="1"/>
  </si>
  <si>
    <t>場所マスタと場所補助マスタから売上部門ＣＤを取得する</t>
    <rPh sb="0" eb="2">
      <t>バショ</t>
    </rPh>
    <rPh sb="6" eb="8">
      <t>バショ</t>
    </rPh>
    <rPh sb="8" eb="10">
      <t>ホジョ</t>
    </rPh>
    <rPh sb="15" eb="19">
      <t>ウリアゲブモン</t>
    </rPh>
    <rPh sb="22" eb="24">
      <t>シュトク</t>
    </rPh>
    <phoneticPr fontId="1"/>
  </si>
  <si>
    <t>第１引数：場所ＣＤ
第２引数：マスタ適用日</t>
  </si>
  <si>
    <t>F_GET_SLS_DPT_CD</t>
    <phoneticPr fontId="1"/>
  </si>
  <si>
    <t>場所宛先区分に対応した値を返す（定数の場所区分を参照）
第４引数を指定しない場合はＮＵＬＬを指定した場合と同じ
ロケールＣＤを指定した場合は、指定したロケールＣＤに対する情報を返す
※指定したロケールＣＤのデータが存在しない場合はＮＵＬＬを返す
ロケールＣＤがＮＵＬＬの場合は、ログイン会社のデフォルトロケールＣＤに対する情報を返す
※第４引数を指定しない場合は、ＮＵＬＬを指定した場合と同じ</t>
    <rPh sb="16" eb="18">
      <t>テイスウ</t>
    </rPh>
    <rPh sb="19" eb="21">
      <t>バショ</t>
    </rPh>
    <rPh sb="21" eb="23">
      <t>クブン</t>
    </rPh>
    <rPh sb="24" eb="26">
      <t>サンショウ</t>
    </rPh>
    <rPh sb="28" eb="29">
      <t>ダイ</t>
    </rPh>
    <rPh sb="30" eb="32">
      <t>ヒキスウ</t>
    </rPh>
    <rPh sb="33" eb="35">
      <t>シテイ</t>
    </rPh>
    <rPh sb="38" eb="40">
      <t>バアイ</t>
    </rPh>
    <rPh sb="46" eb="48">
      <t>シテイ</t>
    </rPh>
    <rPh sb="50" eb="52">
      <t>バアイ</t>
    </rPh>
    <rPh sb="53" eb="54">
      <t>オナ</t>
    </rPh>
    <rPh sb="63" eb="65">
      <t>シテイ</t>
    </rPh>
    <rPh sb="67" eb="69">
      <t>バアイ</t>
    </rPh>
    <rPh sb="71" eb="73">
      <t>シテイ</t>
    </rPh>
    <rPh sb="82" eb="83">
      <t>タイ</t>
    </rPh>
    <rPh sb="85" eb="87">
      <t>ジョウホウ</t>
    </rPh>
    <rPh sb="88" eb="89">
      <t>カエ</t>
    </rPh>
    <rPh sb="92" eb="94">
      <t>シテイ</t>
    </rPh>
    <rPh sb="107" eb="109">
      <t>ソンザイ</t>
    </rPh>
    <rPh sb="112" eb="114">
      <t>バアイ</t>
    </rPh>
    <rPh sb="120" eb="121">
      <t>カエ</t>
    </rPh>
    <rPh sb="135" eb="137">
      <t>バアイ</t>
    </rPh>
    <rPh sb="158" eb="159">
      <t>タイ</t>
    </rPh>
    <rPh sb="161" eb="163">
      <t>ジョウホウ</t>
    </rPh>
    <rPh sb="164" eb="165">
      <t>カエ</t>
    </rPh>
    <rPh sb="168" eb="169">
      <t>ダイ</t>
    </rPh>
    <rPh sb="170" eb="172">
      <t>ヒキスウ</t>
    </rPh>
    <rPh sb="173" eb="175">
      <t>シテイ</t>
    </rPh>
    <rPh sb="178" eb="180">
      <t>バアイ</t>
    </rPh>
    <rPh sb="187" eb="189">
      <t>シテイ</t>
    </rPh>
    <rPh sb="191" eb="193">
      <t>バアイ</t>
    </rPh>
    <rPh sb="194" eb="195">
      <t>オナ</t>
    </rPh>
    <phoneticPr fontId="1"/>
  </si>
  <si>
    <t>場所に対する住所など</t>
    <rPh sb="0" eb="2">
      <t>バショ</t>
    </rPh>
    <rPh sb="3" eb="4">
      <t>タイ</t>
    </rPh>
    <rPh sb="6" eb="8">
      <t>ジュウショ</t>
    </rPh>
    <phoneticPr fontId="1"/>
  </si>
  <si>
    <t>第１引数：場所ＣＤ
第２引数：基準日
第３引数：場所宛先区分
第４引数：ロケールＣＤ</t>
    <phoneticPr fontId="1"/>
  </si>
  <si>
    <t>F_GET_LOC_ADDR</t>
    <phoneticPr fontId="1"/>
  </si>
  <si>
    <t>MAPA_LOC</t>
    <phoneticPr fontId="1"/>
  </si>
  <si>
    <t>製造引当制御マスタにて移動先場所を製造場所とみなし、投入場所指定がオンのレコードから移動元場所を投入場所として返す
複数該当レコードあった場合、引当優先順の値が一番小さいものを返す</t>
    <rPh sb="58" eb="60">
      <t>フクスウ</t>
    </rPh>
    <rPh sb="60" eb="62">
      <t>ガイトウ</t>
    </rPh>
    <rPh sb="69" eb="71">
      <t>バアイ</t>
    </rPh>
    <rPh sb="78" eb="79">
      <t>アタイ</t>
    </rPh>
    <rPh sb="80" eb="82">
      <t>イチバン</t>
    </rPh>
    <rPh sb="82" eb="83">
      <t>チイ</t>
    </rPh>
    <rPh sb="88" eb="89">
      <t>カエ</t>
    </rPh>
    <phoneticPr fontId="1"/>
  </si>
  <si>
    <t>投入指定場所</t>
    <phoneticPr fontId="1"/>
  </si>
  <si>
    <t>第１引数：品目ＣＤ
第２引数：枝番１
第３引数：枝番２
第４引数：枝番３
第５引数：製造場所ＣＤ</t>
  </si>
  <si>
    <t>F_GET_IN_LOC</t>
    <phoneticPr fontId="1"/>
  </si>
  <si>
    <t>場所マスタと場所補助マスタから資産管理部門ＣＤを取得する</t>
    <rPh sb="0" eb="2">
      <t>バショ</t>
    </rPh>
    <rPh sb="6" eb="8">
      <t>バショ</t>
    </rPh>
    <rPh sb="8" eb="10">
      <t>ホジョ</t>
    </rPh>
    <rPh sb="15" eb="17">
      <t>シサン</t>
    </rPh>
    <rPh sb="17" eb="19">
      <t>カンリ</t>
    </rPh>
    <rPh sb="19" eb="21">
      <t>ブモン</t>
    </rPh>
    <rPh sb="24" eb="26">
      <t>シュトク</t>
    </rPh>
    <phoneticPr fontId="1"/>
  </si>
  <si>
    <t>資産管理部門ＣＤ</t>
    <rPh sb="0" eb="2">
      <t>シサン</t>
    </rPh>
    <rPh sb="2" eb="4">
      <t>カンリ</t>
    </rPh>
    <rPh sb="4" eb="6">
      <t>ブモン</t>
    </rPh>
    <phoneticPr fontId="1"/>
  </si>
  <si>
    <t>F_GET_ASST_DPT_CD_NE</t>
    <phoneticPr fontId="1"/>
  </si>
  <si>
    <t>F_GET_ASST_DPT_CD</t>
    <phoneticPr fontId="1"/>
  </si>
  <si>
    <t>品目ＰＫワークテーブルに登録されている品目に対して品目マスタのレコードを削除する
品目マスタを共通で管理している場合は、品目マスタ（会社）のみを削除する
品目マスタを会社別に管理している場合は、品目マスタを削除する</t>
    <rPh sb="0" eb="2">
      <t>ヒンモク</t>
    </rPh>
    <rPh sb="41" eb="43">
      <t>ヒンモク</t>
    </rPh>
    <rPh sb="47" eb="49">
      <t>キョウツウ</t>
    </rPh>
    <rPh sb="50" eb="52">
      <t>カンリ</t>
    </rPh>
    <rPh sb="56" eb="58">
      <t>バアイ</t>
    </rPh>
    <rPh sb="72" eb="74">
      <t>サクジョ</t>
    </rPh>
    <rPh sb="77" eb="79">
      <t>ヒンモク</t>
    </rPh>
    <rPh sb="83" eb="85">
      <t>カイシャ</t>
    </rPh>
    <rPh sb="85" eb="86">
      <t>ベツ</t>
    </rPh>
    <rPh sb="87" eb="89">
      <t>カンリ</t>
    </rPh>
    <rPh sb="93" eb="95">
      <t>バアイ</t>
    </rPh>
    <rPh sb="97" eb="99">
      <t>ヒンモク</t>
    </rPh>
    <rPh sb="103" eb="105">
      <t>サクジョ</t>
    </rPh>
    <phoneticPr fontId="1"/>
  </si>
  <si>
    <t>P_DEL_ITM</t>
    <phoneticPr fontId="1"/>
  </si>
  <si>
    <t>品目ユーティリティ</t>
    <rPh sb="0" eb="2">
      <t>ヒンモク</t>
    </rPh>
    <phoneticPr fontId="1"/>
  </si>
  <si>
    <t>MAPA_ITM</t>
    <phoneticPr fontId="1"/>
  </si>
  <si>
    <t>移送、移動を禁止している品目かチェックする</t>
    <rPh sb="0" eb="2">
      <t>イソウ</t>
    </rPh>
    <rPh sb="3" eb="5">
      <t>イドウ</t>
    </rPh>
    <phoneticPr fontId="1"/>
  </si>
  <si>
    <t>F_IS_XFR_STOP</t>
    <phoneticPr fontId="1"/>
  </si>
  <si>
    <t>MAPA_ITM</t>
    <phoneticPr fontId="1"/>
  </si>
  <si>
    <t>売上、出荷を禁止している品目かチェックする</t>
    <rPh sb="0" eb="2">
      <t>ウリアゲ</t>
    </rPh>
    <rPh sb="3" eb="5">
      <t>シュッカ</t>
    </rPh>
    <phoneticPr fontId="1"/>
  </si>
  <si>
    <t>F_IS_SLS_STOP</t>
    <phoneticPr fontId="1"/>
  </si>
  <si>
    <t>受注を禁止している品目かチェックする</t>
    <rPh sb="0" eb="2">
      <t>ジュチュウ</t>
    </rPh>
    <phoneticPr fontId="1"/>
  </si>
  <si>
    <t>F_IS_SLO_STOP</t>
    <phoneticPr fontId="1"/>
  </si>
  <si>
    <t>出荷指図を禁止している品目かチェックする</t>
    <rPh sb="0" eb="2">
      <t>シュッカ</t>
    </rPh>
    <rPh sb="2" eb="4">
      <t>サシズ</t>
    </rPh>
    <phoneticPr fontId="1"/>
  </si>
  <si>
    <t>F_IS_SHIP_INST_STOP</t>
    <phoneticPr fontId="1"/>
  </si>
  <si>
    <t>仕入、入荷を禁止している品目かチェックする</t>
    <rPh sb="0" eb="2">
      <t>シイレ</t>
    </rPh>
    <rPh sb="3" eb="5">
      <t>ニュウカ</t>
    </rPh>
    <phoneticPr fontId="1"/>
  </si>
  <si>
    <t>F_IS_PURC_STOP</t>
    <phoneticPr fontId="1"/>
  </si>
  <si>
    <t>発注を禁止している品目かチェックする</t>
    <rPh sb="0" eb="2">
      <t>ハッチュウ</t>
    </rPh>
    <phoneticPr fontId="1"/>
  </si>
  <si>
    <t>F_IS_PO_STOP</t>
    <phoneticPr fontId="1"/>
  </si>
  <si>
    <t>所要、オーダ登録を禁止している品目かチェックする</t>
    <rPh sb="0" eb="2">
      <t>ショヨウ</t>
    </rPh>
    <rPh sb="6" eb="8">
      <t>トウロク</t>
    </rPh>
    <phoneticPr fontId="1"/>
  </si>
  <si>
    <t>F_IS_ORDER_STOP</t>
    <phoneticPr fontId="1"/>
  </si>
  <si>
    <t>製造指図を禁止している品目かチェックする</t>
    <rPh sb="0" eb="2">
      <t>セイゾウ</t>
    </rPh>
    <rPh sb="2" eb="4">
      <t>サシズ</t>
    </rPh>
    <rPh sb="5" eb="7">
      <t>キンシ</t>
    </rPh>
    <rPh sb="11" eb="13">
      <t>ヒンモク</t>
    </rPh>
    <phoneticPr fontId="1"/>
  </si>
  <si>
    <t>F_IS_MFG_INST_STOP</t>
    <phoneticPr fontId="1"/>
  </si>
  <si>
    <t>輸出禁止チェックをして、その結果を返す</t>
    <rPh sb="14" eb="16">
      <t>ケッカ</t>
    </rPh>
    <rPh sb="17" eb="18">
      <t>カエ</t>
    </rPh>
    <phoneticPr fontId="1"/>
  </si>
  <si>
    <t>第１引数：品目ＣＤ
第２引数：枝番１
第３引数：枝番２
第４引数：枝番３
第５引数：国ＣＤ
第６引数：基準日</t>
  </si>
  <si>
    <t>F_IS_EX_STOP</t>
    <phoneticPr fontId="1"/>
  </si>
  <si>
    <t>品目マスタ及び品目補助マスタに設定されている販売品目体系ＣＤを返す</t>
    <rPh sb="0" eb="2">
      <t>ヒンモク</t>
    </rPh>
    <rPh sb="5" eb="6">
      <t>オヨ</t>
    </rPh>
    <rPh sb="7" eb="9">
      <t>ヒンモク</t>
    </rPh>
    <rPh sb="9" eb="11">
      <t>ホジョ</t>
    </rPh>
    <rPh sb="15" eb="17">
      <t>セッテイ</t>
    </rPh>
    <rPh sb="22" eb="24">
      <t>ハンバイ</t>
    </rPh>
    <rPh sb="24" eb="26">
      <t>ヒンモク</t>
    </rPh>
    <rPh sb="26" eb="28">
      <t>タイケイ</t>
    </rPh>
    <rPh sb="31" eb="32">
      <t>カエ</t>
    </rPh>
    <phoneticPr fontId="1"/>
  </si>
  <si>
    <t>販売品目体系ＣＤ</t>
    <rPh sb="0" eb="2">
      <t>ハンバイ</t>
    </rPh>
    <rPh sb="2" eb="4">
      <t>ヒンモク</t>
    </rPh>
    <rPh sb="4" eb="6">
      <t>タイケイ</t>
    </rPh>
    <phoneticPr fontId="1"/>
  </si>
  <si>
    <t>F_GET_SLS_ITM_GRP_CD</t>
    <phoneticPr fontId="1"/>
  </si>
  <si>
    <t>日付を年月に変換する</t>
    <rPh sb="3" eb="5">
      <t>ネンゲツ</t>
    </rPh>
    <phoneticPr fontId="1"/>
  </si>
  <si>
    <t>年月</t>
    <phoneticPr fontId="1"/>
  </si>
  <si>
    <t>F_TO_YM</t>
    <phoneticPr fontId="1"/>
  </si>
  <si>
    <t>日付関連ユーティリティ</t>
  </si>
  <si>
    <t>MAPA_DT</t>
    <phoneticPr fontId="1"/>
  </si>
  <si>
    <t>年月型を日付に変換する</t>
    <rPh sb="0" eb="2">
      <t>ネンゲツ</t>
    </rPh>
    <phoneticPr fontId="1"/>
  </si>
  <si>
    <t>日付</t>
    <rPh sb="0" eb="2">
      <t>ヒヅケ</t>
    </rPh>
    <phoneticPr fontId="1"/>
  </si>
  <si>
    <t>第１引数：年月
第２引数：日にち</t>
  </si>
  <si>
    <t>F_TO_DATE</t>
    <phoneticPr fontId="1"/>
  </si>
  <si>
    <t>MAPA_DT</t>
    <phoneticPr fontId="1"/>
  </si>
  <si>
    <t>日付とカレンダＣＤから稼働日かどうかを判断し、その結果を返す</t>
    <rPh sb="25" eb="27">
      <t>ケッカ</t>
    </rPh>
    <rPh sb="28" eb="29">
      <t>カエ</t>
    </rPh>
    <phoneticPr fontId="1"/>
  </si>
  <si>
    <t>第１引数：日付
第２引数：カレンダＣＤ</t>
  </si>
  <si>
    <t>F_IS_WRKDAY</t>
    <phoneticPr fontId="1"/>
  </si>
  <si>
    <t>日付の前後チェックを実施し、その結果を返す</t>
    <rPh sb="0" eb="2">
      <t>ヒズケ</t>
    </rPh>
    <rPh sb="3" eb="5">
      <t>ゼンゴ</t>
    </rPh>
    <rPh sb="10" eb="12">
      <t>ジッシ</t>
    </rPh>
    <rPh sb="16" eb="18">
      <t>ケッカ</t>
    </rPh>
    <rPh sb="19" eb="20">
      <t>カエ</t>
    </rPh>
    <phoneticPr fontId="1"/>
  </si>
  <si>
    <t>第１引数：本来小さい日時
第２引数：本来大きい日時</t>
  </si>
  <si>
    <t>F_IS_BEFORE_AFTER</t>
    <phoneticPr fontId="1"/>
  </si>
  <si>
    <t>対象年月、会計締日、会計月度基準から、対象年月の属する期（週次、旬次）の開始位置の開始日となる年月日を取得する</t>
    <rPh sb="2" eb="4">
      <t>ネンゲツ</t>
    </rPh>
    <rPh sb="19" eb="21">
      <t>タイショウ</t>
    </rPh>
    <rPh sb="29" eb="30">
      <t>シュウ</t>
    </rPh>
    <rPh sb="30" eb="31">
      <t>ツギ</t>
    </rPh>
    <rPh sb="32" eb="33">
      <t>シュン</t>
    </rPh>
    <rPh sb="33" eb="34">
      <t>ツギ</t>
    </rPh>
    <phoneticPr fontId="1"/>
  </si>
  <si>
    <t>年月日</t>
    <phoneticPr fontId="1"/>
  </si>
  <si>
    <t>第１引数：対象年月
第２引数：期間区分
第３引数：会計締日
第４引数：会計月度基準</t>
  </si>
  <si>
    <t>F_GET_YM_ST_DT_NE</t>
    <phoneticPr fontId="1"/>
  </si>
  <si>
    <t>対象年月、会計締日、会計月度基準から、対象年月の属する期間（月次）の開始日となる年月日を取得する</t>
    <rPh sb="2" eb="4">
      <t>ネンゲツ</t>
    </rPh>
    <rPh sb="19" eb="21">
      <t>タイショウ</t>
    </rPh>
    <phoneticPr fontId="1"/>
  </si>
  <si>
    <t>F_GET_YM_ST_DT_NE</t>
    <phoneticPr fontId="1"/>
  </si>
  <si>
    <t>MAPA_DT</t>
    <phoneticPr fontId="1"/>
  </si>
  <si>
    <t>対象年月、会計締日、会計月度基準から対象月を含む期間（月次、旬次、週次）の開始日を取得する</t>
    <rPh sb="2" eb="3">
      <t>ネン</t>
    </rPh>
    <rPh sb="3" eb="4">
      <t>ツキ</t>
    </rPh>
    <rPh sb="20" eb="21">
      <t>ツキ</t>
    </rPh>
    <rPh sb="22" eb="23">
      <t>フク</t>
    </rPh>
    <rPh sb="24" eb="26">
      <t>キカン</t>
    </rPh>
    <rPh sb="27" eb="29">
      <t>ゲツジ</t>
    </rPh>
    <rPh sb="30" eb="31">
      <t>ジュン</t>
    </rPh>
    <rPh sb="31" eb="32">
      <t>ジ</t>
    </rPh>
    <rPh sb="33" eb="35">
      <t>シュウジ</t>
    </rPh>
    <rPh sb="37" eb="39">
      <t>カイシ</t>
    </rPh>
    <rPh sb="39" eb="40">
      <t>ヒ</t>
    </rPh>
    <rPh sb="41" eb="43">
      <t>シュトク</t>
    </rPh>
    <phoneticPr fontId="1"/>
  </si>
  <si>
    <t>対象年月、会計締日、会計月度基準から、対象年月の属する期（週次、旬次）の開始位置の終了日となる年月日を取得する</t>
    <rPh sb="2" eb="4">
      <t>ネンゲツ</t>
    </rPh>
    <rPh sb="19" eb="21">
      <t>タイショウ</t>
    </rPh>
    <rPh sb="29" eb="30">
      <t>シュウ</t>
    </rPh>
    <rPh sb="30" eb="31">
      <t>ツギ</t>
    </rPh>
    <rPh sb="32" eb="33">
      <t>シュン</t>
    </rPh>
    <rPh sb="33" eb="34">
      <t>ツギ</t>
    </rPh>
    <rPh sb="41" eb="43">
      <t>シュウリョウ</t>
    </rPh>
    <phoneticPr fontId="1"/>
  </si>
  <si>
    <t>F_GET_YM_END_DT_NE</t>
    <phoneticPr fontId="1"/>
  </si>
  <si>
    <t>対象年月、会計締日、会計月度基準から、対象年月の属する期間（月次）の終了日となる年月日を取得する</t>
    <rPh sb="2" eb="4">
      <t>ネンゲツ</t>
    </rPh>
    <rPh sb="19" eb="21">
      <t>タイショウ</t>
    </rPh>
    <rPh sb="34" eb="36">
      <t>シュウリョウ</t>
    </rPh>
    <phoneticPr fontId="1"/>
  </si>
  <si>
    <t>F_GET_YM_END_DT_NE</t>
    <phoneticPr fontId="1"/>
  </si>
  <si>
    <t>対象年月、会計締日、会計月度基準から対象月を含む期間（月次、旬次、週次）の終了日を取得する</t>
    <rPh sb="2" eb="3">
      <t>ネン</t>
    </rPh>
    <rPh sb="3" eb="4">
      <t>ツキ</t>
    </rPh>
    <rPh sb="20" eb="21">
      <t>ツキ</t>
    </rPh>
    <rPh sb="22" eb="23">
      <t>フク</t>
    </rPh>
    <rPh sb="24" eb="26">
      <t>キカン</t>
    </rPh>
    <rPh sb="27" eb="29">
      <t>ゲツジ</t>
    </rPh>
    <rPh sb="30" eb="31">
      <t>ジュン</t>
    </rPh>
    <rPh sb="31" eb="32">
      <t>ジ</t>
    </rPh>
    <rPh sb="33" eb="35">
      <t>シュウジ</t>
    </rPh>
    <rPh sb="37" eb="39">
      <t>シュウリョウ</t>
    </rPh>
    <rPh sb="39" eb="40">
      <t>ヒ</t>
    </rPh>
    <rPh sb="41" eb="43">
      <t>シュトク</t>
    </rPh>
    <phoneticPr fontId="1"/>
  </si>
  <si>
    <t>対象日付、会計締日から対象日付を含む期間（月次、旬次、週次）の開始日を取得する</t>
    <rPh sb="16" eb="17">
      <t>フク</t>
    </rPh>
    <rPh sb="18" eb="20">
      <t>キカン</t>
    </rPh>
    <rPh sb="21" eb="23">
      <t>ゲツジ</t>
    </rPh>
    <rPh sb="24" eb="25">
      <t>ジュン</t>
    </rPh>
    <rPh sb="25" eb="26">
      <t>ジ</t>
    </rPh>
    <rPh sb="27" eb="29">
      <t>シュウジ</t>
    </rPh>
    <rPh sb="31" eb="33">
      <t>カイシ</t>
    </rPh>
    <rPh sb="33" eb="34">
      <t>ヒ</t>
    </rPh>
    <rPh sb="35" eb="37">
      <t>シュトク</t>
    </rPh>
    <phoneticPr fontId="1"/>
  </si>
  <si>
    <t>第１引数：対象日付
第２引数：期間区分
第３引数：会計締日</t>
  </si>
  <si>
    <t>F_GET_PERIOD_ST_DT_NE</t>
    <phoneticPr fontId="1"/>
  </si>
  <si>
    <t>対象日付、会計締日から対象日付を含む期間（月次、旬次、週次）の終了日を取得する</t>
    <rPh sb="16" eb="17">
      <t>フク</t>
    </rPh>
    <rPh sb="18" eb="20">
      <t>キカン</t>
    </rPh>
    <rPh sb="21" eb="23">
      <t>ゲツジ</t>
    </rPh>
    <rPh sb="24" eb="25">
      <t>ジュン</t>
    </rPh>
    <rPh sb="25" eb="26">
      <t>ジ</t>
    </rPh>
    <rPh sb="27" eb="29">
      <t>シュウジ</t>
    </rPh>
    <rPh sb="31" eb="33">
      <t>シュウリョウ</t>
    </rPh>
    <rPh sb="33" eb="34">
      <t>ヒ</t>
    </rPh>
    <rPh sb="35" eb="37">
      <t>シュトク</t>
    </rPh>
    <phoneticPr fontId="1"/>
  </si>
  <si>
    <t>年月日</t>
    <phoneticPr fontId="1"/>
  </si>
  <si>
    <t>F_GET_PERIOD_END_DT_NE</t>
    <phoneticPr fontId="1"/>
  </si>
  <si>
    <t>日付に対応する計上月度を取得する</t>
  </si>
  <si>
    <t>計上月度</t>
    <phoneticPr fontId="1"/>
  </si>
  <si>
    <t>第１引数：対象日付</t>
  </si>
  <si>
    <t>F_GET_AC_YM</t>
    <phoneticPr fontId="1"/>
  </si>
  <si>
    <t>指定期間に含まれるカレンダの稼働日の日数を取得する</t>
    <rPh sb="21" eb="23">
      <t>シュトク</t>
    </rPh>
    <phoneticPr fontId="1"/>
  </si>
  <si>
    <t>稼働日の日数</t>
    <phoneticPr fontId="1"/>
  </si>
  <si>
    <t>第１引数：指定期間の開始日付
第２引数：指定期間の終了日付
第３引数：カレンダコード</t>
  </si>
  <si>
    <t>F_CAL_DAYS</t>
    <phoneticPr fontId="1"/>
  </si>
  <si>
    <t>移動のリードタイム計算をして返す</t>
    <phoneticPr fontId="1"/>
  </si>
  <si>
    <t>リードタイム</t>
    <phoneticPr fontId="1"/>
  </si>
  <si>
    <t>第１引数：計算元の基準日付
第２引数：リードタイム日数
第３引数：リードタイムが０で基準日付が休日のとき、直後の稼働日を返すか、直前の稼働日を返すかのフラグ
第４引数：移動元カレンダコード（NULLの場合、移動元場所コードが必須）
第５引数：移動元場所コード
第６引数：移動先カレンダコード（NULLの場合、移動先場所コードが必須）
第７引数：移動先場所コード</t>
  </si>
  <si>
    <t>F_CAL_DATE_MOVE</t>
    <phoneticPr fontId="1"/>
  </si>
  <si>
    <t>カレンダの休日を考慮してリードタイム計算して返す</t>
    <phoneticPr fontId="1"/>
  </si>
  <si>
    <t>第１引数：計算元の基準日付
第２引数：リードタイム日数
第３引数：リードタイムが０で基準日付が休日のとき、直後の稼働日を返すか、直前の稼働日を返すかのフラグ
第４引数：カレンダコード</t>
  </si>
  <si>
    <t>F_CAL_DATE_LT</t>
    <phoneticPr fontId="1"/>
  </si>
  <si>
    <t>場所コードからカレンダを取得し、カレンダの休日を考慮してリードタイム計算して返す</t>
    <rPh sb="38" eb="39">
      <t>カエ</t>
    </rPh>
    <phoneticPr fontId="1"/>
  </si>
  <si>
    <t>リードタイム</t>
    <phoneticPr fontId="1"/>
  </si>
  <si>
    <t>第１引数：計算元の基準日付
第２引数：リードタイム日数
第３引数：リードタイムが０で基準日付が休日のとき、直後の稼働日を返すか、直前の稼働日を返すかのフラグ
第４引数：場所コード
第５引数：移動用フラグ</t>
  </si>
  <si>
    <t>F_CAL_DATE_LOC</t>
    <phoneticPr fontId="1"/>
  </si>
  <si>
    <t>カレンダの休日を考慮してリードタイム計算して返す</t>
    <phoneticPr fontId="1"/>
  </si>
  <si>
    <t>第１引数：計算元の基準日付
第２引数：リードタイム日数
第３引数：リードタイムが０で基準日付が休日のとき、直後の稼働日を返すか、直前の稼働日を返すかのフラグ
第４引数：カレンダコード
第５引数：移動用フラグ</t>
  </si>
  <si>
    <t>F_CAL_DATE</t>
    <phoneticPr fontId="1"/>
  </si>
  <si>
    <t>対象日付、会計締日から、対象日付の属する期間（月次、旬次、週次）の開始日から加算期間後の開始日となる年月日を取得する</t>
    <rPh sb="42" eb="43">
      <t>アト</t>
    </rPh>
    <phoneticPr fontId="1"/>
  </si>
  <si>
    <t>第１引数：対象日付
第２引数：期間区分
第３引数：加算期間
第４引数：会計締日</t>
  </si>
  <si>
    <t>F_ADD_PERIOD_ST_DT_NE</t>
    <phoneticPr fontId="1"/>
  </si>
  <si>
    <t>対象日付、会計締日から、対象日付の属する期間（月次、旬次、週次）の開始日から加算期間後の終了日となる年月日を取得する</t>
    <rPh sb="44" eb="46">
      <t>シュウリョウ</t>
    </rPh>
    <phoneticPr fontId="1"/>
  </si>
  <si>
    <t>F_ADD_PERIOD_END_DT_NE</t>
    <phoneticPr fontId="1"/>
  </si>
  <si>
    <t>日付に対して有効な部門ＣＤを返す
取得できない場合は、NULLを返す</t>
    <phoneticPr fontId="1"/>
  </si>
  <si>
    <t>部門ＣＤ</t>
    <rPh sb="0" eb="2">
      <t>ブモン</t>
    </rPh>
    <phoneticPr fontId="1"/>
  </si>
  <si>
    <t>第１引数：部門ＣＤ
第２引数：日付</t>
  </si>
  <si>
    <t>F_GET_DPT_CD_NE</t>
    <phoneticPr fontId="1"/>
  </si>
  <si>
    <t>部門関連ユーティリティ</t>
    <rPh sb="0" eb="2">
      <t>ブモン</t>
    </rPh>
    <rPh sb="2" eb="4">
      <t>カンレン</t>
    </rPh>
    <phoneticPr fontId="1"/>
  </si>
  <si>
    <t>MAPA_DPT</t>
    <phoneticPr fontId="1"/>
  </si>
  <si>
    <t>日付に対して有効な部門ＣＤを返す</t>
    <phoneticPr fontId="1"/>
  </si>
  <si>
    <t>F_GET_DPT_CD</t>
    <phoneticPr fontId="1"/>
  </si>
  <si>
    <t>MAPA_DPT</t>
    <phoneticPr fontId="1"/>
  </si>
  <si>
    <t>日付に対して入力された部門ＣＤが有効かどうか確認し、有効な場合はその部門ＣＤ、無効な場合はNULLを返す</t>
    <rPh sb="26" eb="28">
      <t>ユウコウ</t>
    </rPh>
    <rPh sb="29" eb="31">
      <t>バアイ</t>
    </rPh>
    <rPh sb="34" eb="36">
      <t>ブモン</t>
    </rPh>
    <rPh sb="39" eb="41">
      <t>ムコウ</t>
    </rPh>
    <rPh sb="42" eb="44">
      <t>バアイ</t>
    </rPh>
    <rPh sb="50" eb="51">
      <t>カエ</t>
    </rPh>
    <phoneticPr fontId="1"/>
  </si>
  <si>
    <t>F_CHECK_DPT_CD</t>
    <phoneticPr fontId="1"/>
  </si>
  <si>
    <t>滞留制御情報に引数の会社ＣＤで登録されていない初期データを追加する</t>
    <rPh sb="23" eb="25">
      <t>ショキ</t>
    </rPh>
    <phoneticPr fontId="1"/>
  </si>
  <si>
    <t>なし</t>
    <phoneticPr fontId="1"/>
  </si>
  <si>
    <t>第１引数：会社ＣＤ</t>
    <phoneticPr fontId="1"/>
  </si>
  <si>
    <t>P_INS_NON_MOV_CTL</t>
    <phoneticPr fontId="1"/>
  </si>
  <si>
    <t>原価計算パラメータ関連ユーティリティ</t>
    <phoneticPr fontId="1"/>
  </si>
  <si>
    <t>MAPA_COST_SYS</t>
  </si>
  <si>
    <t>滞留制御情報に指定した会社ＣＤの初期データを作成する
会社マスタに会社ＣＤを追加する際に実行される</t>
    <phoneticPr fontId="1"/>
  </si>
  <si>
    <t>第１引数：会社ＣＤ</t>
    <phoneticPr fontId="1"/>
  </si>
  <si>
    <t>P_INIT_NON_MOV_CTL</t>
    <phoneticPr fontId="1"/>
  </si>
  <si>
    <t>滞留制御情報から指定した会社ＣＤに対応するデータを削除する</t>
    <phoneticPr fontId="1"/>
  </si>
  <si>
    <t>P_DEL_NON_MOV_CTL</t>
    <phoneticPr fontId="1"/>
  </si>
  <si>
    <t>原価計算パラメータを初期化する</t>
    <phoneticPr fontId="1"/>
  </si>
  <si>
    <t>第１引数：計算グループＣＤ
第２引数：会社ＣＤ</t>
  </si>
  <si>
    <t>P_INIT_CALC_PARM</t>
  </si>
  <si>
    <t>原価計算パラメータを削除する</t>
    <phoneticPr fontId="1"/>
  </si>
  <si>
    <t>P_DEL_CALC_PARM</t>
  </si>
  <si>
    <t>原価計算パラメータ関連ユーティリティ</t>
    <phoneticPr fontId="1"/>
  </si>
  <si>
    <t>リリースフラグ制御の値を設定する</t>
  </si>
  <si>
    <t>第１引数：リリースフラグ制御の値</t>
    <rPh sb="0" eb="1">
      <t>ダイ</t>
    </rPh>
    <rPh sb="2" eb="4">
      <t>ヒキスウ</t>
    </rPh>
    <phoneticPr fontId="1"/>
  </si>
  <si>
    <t>SET_RELEASE_FLG_CTL</t>
  </si>
  <si>
    <t>MAPA_CONTEXT</t>
  </si>
  <si>
    <t>論理削除フラグ制御の値を設定する</t>
  </si>
  <si>
    <t>第１引数：論理削除フラグ制御の値</t>
    <rPh sb="0" eb="1">
      <t>ダイ</t>
    </rPh>
    <rPh sb="2" eb="4">
      <t>ヒキスウ</t>
    </rPh>
    <phoneticPr fontId="1"/>
  </si>
  <si>
    <t>SET_DEL_FLG_CTL</t>
  </si>
  <si>
    <t>リリースフラグ制御の値を取得するためのキーを取得する</t>
  </si>
  <si>
    <t>リリースフラグ制御の値を取得するためのキー</t>
  </si>
  <si>
    <t>RELEASE_FLG_CTL_KEY</t>
  </si>
  <si>
    <t>リリースフラグ制御の値を取得する</t>
  </si>
  <si>
    <t>リリースフラグ制御の値</t>
  </si>
  <si>
    <t>F_GET_RELEASE_FLG_CTL</t>
  </si>
  <si>
    <t>論理削除フラグ制御の値を取得する</t>
  </si>
  <si>
    <t>論理削除フラグ制御の値</t>
  </si>
  <si>
    <t>F_GET_DEL_FLG_CTL</t>
  </si>
  <si>
    <t>論理削除フラグ制御の値を取得するためのキーを取得する</t>
  </si>
  <si>
    <t>論理削除フラグ制御の値を取得するためのキー</t>
  </si>
  <si>
    <t>DEL_FLG_CTL_KEY</t>
  </si>
  <si>
    <t>入力値チェックマスタの予実比上限、下限を取得する</t>
  </si>
  <si>
    <t>予実比上限、下限</t>
  </si>
  <si>
    <t>P_INPT_CHK_NE</t>
    <phoneticPr fontId="1"/>
  </si>
  <si>
    <t>MAPA_COMM</t>
  </si>
  <si>
    <t>表示用の手配ＮＯ情報を取得する</t>
    <rPh sb="11" eb="13">
      <t>シュトク</t>
    </rPh>
    <phoneticPr fontId="1"/>
  </si>
  <si>
    <t>手配ＮＯ情報</t>
    <phoneticPr fontId="1"/>
  </si>
  <si>
    <t>第１引数：手配ＮＯ１
第２引数：手配ＮＯ２
第３引数：手配ＮＯ３
第４引数：手配ＮＯ３
第５引数：システムパラメータ「SNO_TYP」</t>
  </si>
  <si>
    <t>F_TO_DISP_SNO</t>
    <phoneticPr fontId="1"/>
  </si>
  <si>
    <t>表示用の品目情報を取得する</t>
    <phoneticPr fontId="1"/>
  </si>
  <si>
    <t>品目情報</t>
    <phoneticPr fontId="1"/>
  </si>
  <si>
    <t>第１引数：品目ＣＤ
第２引数：枝番１
第３引数：枝番２
第４引数：枝番３
第５引数：システムパラメータ「ITM_SUB_TYP」</t>
  </si>
  <si>
    <t>F_TO_DISP_ITM</t>
    <phoneticPr fontId="1"/>
  </si>
  <si>
    <t>指定したパラメータキーに対するシステムパラメータの値を取得する</t>
    <phoneticPr fontId="1"/>
  </si>
  <si>
    <t>システムパラメータマスタ値</t>
    <rPh sb="12" eb="13">
      <t>チ</t>
    </rPh>
    <phoneticPr fontId="1"/>
  </si>
  <si>
    <t>第１引数：パラメータキー</t>
  </si>
  <si>
    <t>F_GET_PARM</t>
    <phoneticPr fontId="1"/>
  </si>
  <si>
    <t>システムパラメータマスタに引数の会社ＣＤで登録されていない初期データを追加する</t>
    <rPh sb="29" eb="31">
      <t>ショキ</t>
    </rPh>
    <phoneticPr fontId="1"/>
  </si>
  <si>
    <t>P_INS_SYS_PARM</t>
    <phoneticPr fontId="1"/>
  </si>
  <si>
    <t>会社関連ユーティリティ</t>
    <rPh sb="0" eb="2">
      <t>カイシャ</t>
    </rPh>
    <phoneticPr fontId="1"/>
  </si>
  <si>
    <t>MAPA_CO</t>
    <phoneticPr fontId="1"/>
  </si>
  <si>
    <t>汎用バッチ処理グループマスタに引数の会社ＣＤで登録されていない初期データを追加する</t>
    <rPh sb="31" eb="33">
      <t>ショキ</t>
    </rPh>
    <phoneticPr fontId="1"/>
  </si>
  <si>
    <t>P_INS_GP_BATCH_GRP</t>
    <phoneticPr fontId="1"/>
  </si>
  <si>
    <t>すべての会社にバッチ処理グループ、システムパラメータ、滞留制御情報、発番パタンで未登録の初期データを追加する</t>
    <rPh sb="40" eb="43">
      <t>ミトウロク</t>
    </rPh>
    <rPh sb="44" eb="46">
      <t>ショキ</t>
    </rPh>
    <rPh sb="50" eb="52">
      <t>ツイカ</t>
    </rPh>
    <phoneticPr fontId="1"/>
  </si>
  <si>
    <t>P_INS_DEF_ALL</t>
    <phoneticPr fontId="1"/>
  </si>
  <si>
    <t>MAPA_CO</t>
    <phoneticPr fontId="1"/>
  </si>
  <si>
    <t>デフォルトシステムパラメータマスタを元に作成する
会社マスタに会社ＣＤを追加する際に実行される</t>
    <phoneticPr fontId="1"/>
  </si>
  <si>
    <t>P_INIT_SYS_PARM</t>
    <phoneticPr fontId="1"/>
  </si>
  <si>
    <t>MAPA_CO</t>
    <phoneticPr fontId="1"/>
  </si>
  <si>
    <t>汎用バッチ処理グループマスタに指定した会社ＣＤの初期データを作成する
会社マスタに会社ＣＤを追加する際に実行される</t>
    <phoneticPr fontId="1"/>
  </si>
  <si>
    <t>P_INIT_GP_BATCH_GRP</t>
  </si>
  <si>
    <t>システムパラメータマスタから指定した会社ＣＤに対応するデータを削除する</t>
    <phoneticPr fontId="1"/>
  </si>
  <si>
    <t>P_DEL_SYS_PARM</t>
    <phoneticPr fontId="1"/>
  </si>
  <si>
    <t>汎用バッチ処理グループマスタから指定した会社ＣＤに対応するデータを削除する</t>
    <phoneticPr fontId="1"/>
  </si>
  <si>
    <t>P_DEL_GP_BATCH_GRP</t>
  </si>
  <si>
    <t>会社マスタのレコードを返す</t>
    <rPh sb="0" eb="2">
      <t>カイシャ</t>
    </rPh>
    <rPh sb="11" eb="12">
      <t>カエ</t>
    </rPh>
    <phoneticPr fontId="1"/>
  </si>
  <si>
    <t>会社マスタのレコード</t>
    <rPh sb="0" eb="2">
      <t>カイシャ</t>
    </rPh>
    <phoneticPr fontId="1"/>
  </si>
  <si>
    <t>F_GET_CO_REC</t>
    <phoneticPr fontId="1"/>
  </si>
  <si>
    <t>端数処理する
取得できない場合は、NULLを返す</t>
    <rPh sb="0" eb="2">
      <t>ハスウ</t>
    </rPh>
    <rPh sb="2" eb="4">
      <t>ショリ</t>
    </rPh>
    <phoneticPr fontId="1"/>
  </si>
  <si>
    <t>処理結果</t>
    <rPh sb="0" eb="2">
      <t>ショリ</t>
    </rPh>
    <rPh sb="2" eb="4">
      <t>ケッカ</t>
    </rPh>
    <phoneticPr fontId="1"/>
  </si>
  <si>
    <t>第１引数：数値
第２引数：小数部有効桁数
第３引数：端数処理区分</t>
  </si>
  <si>
    <t>F_RND_NE</t>
    <phoneticPr fontId="1"/>
  </si>
  <si>
    <t>端数処理</t>
  </si>
  <si>
    <t>MAPA_CALC</t>
    <phoneticPr fontId="1"/>
  </si>
  <si>
    <t>端数処理する</t>
    <rPh sb="0" eb="2">
      <t>ハスウ</t>
    </rPh>
    <rPh sb="2" eb="4">
      <t>ショリ</t>
    </rPh>
    <phoneticPr fontId="1"/>
  </si>
  <si>
    <t>第１引数：数値
第２引数：小数部有効桁数
第３引数：端数処理区分
第４引数：例外としない場合はTRUEを指定（省略時FALSE）</t>
    <rPh sb="38" eb="40">
      <t>レイガイ</t>
    </rPh>
    <rPh sb="44" eb="46">
      <t>バアイ</t>
    </rPh>
    <rPh sb="52" eb="54">
      <t>シテイ</t>
    </rPh>
    <phoneticPr fontId="1"/>
  </si>
  <si>
    <t>F_RND</t>
    <phoneticPr fontId="1"/>
  </si>
  <si>
    <t>MAPA_CALC</t>
    <phoneticPr fontId="1"/>
  </si>
  <si>
    <t>進捗率を計算する</t>
    <rPh sb="0" eb="2">
      <t>シンチョク</t>
    </rPh>
    <rPh sb="2" eb="3">
      <t>リツ</t>
    </rPh>
    <rPh sb="4" eb="6">
      <t>ケイサン</t>
    </rPh>
    <phoneticPr fontId="1"/>
  </si>
  <si>
    <t>進捗率</t>
    <phoneticPr fontId="1"/>
  </si>
  <si>
    <t>第１引数：予定数量
第２引数：実績数量</t>
  </si>
  <si>
    <t>F_CALC_PER</t>
    <phoneticPr fontId="1"/>
  </si>
  <si>
    <t>移動、移送を禁止している外注先かチェックする</t>
    <rPh sb="0" eb="2">
      <t>イドウ</t>
    </rPh>
    <rPh sb="3" eb="5">
      <t>イソウ</t>
    </rPh>
    <rPh sb="12" eb="14">
      <t>ガイチュウ</t>
    </rPh>
    <phoneticPr fontId="1"/>
  </si>
  <si>
    <t>第１引数：取引先ＣＤ
第２引数：基準日</t>
  </si>
  <si>
    <t>F_IS_XFR_STOP</t>
    <phoneticPr fontId="1"/>
  </si>
  <si>
    <t>取引先ユーティリティ</t>
    <rPh sb="0" eb="2">
      <t>トリヒキ</t>
    </rPh>
    <rPh sb="2" eb="3">
      <t>サキ</t>
    </rPh>
    <phoneticPr fontId="1"/>
  </si>
  <si>
    <t>MAPA_BP</t>
    <phoneticPr fontId="1"/>
  </si>
  <si>
    <t>売上、出荷を禁止している得意先かチェックする</t>
    <rPh sb="0" eb="2">
      <t>ウリアゲ</t>
    </rPh>
    <rPh sb="3" eb="5">
      <t>シュッカ</t>
    </rPh>
    <rPh sb="12" eb="14">
      <t>トクイ</t>
    </rPh>
    <phoneticPr fontId="1"/>
  </si>
  <si>
    <t>F_IS_SLS_STOP</t>
    <phoneticPr fontId="1"/>
  </si>
  <si>
    <t>MAPA_BP</t>
    <phoneticPr fontId="1"/>
  </si>
  <si>
    <t>受注を禁止している得意先かチェックする</t>
    <rPh sb="0" eb="2">
      <t>ジュチュウ</t>
    </rPh>
    <rPh sb="9" eb="11">
      <t>トクイ</t>
    </rPh>
    <phoneticPr fontId="1"/>
  </si>
  <si>
    <t>F_IS_SLO_STOP</t>
    <phoneticPr fontId="1"/>
  </si>
  <si>
    <t>MAPA_BP</t>
    <phoneticPr fontId="1"/>
  </si>
  <si>
    <t>出荷指図を禁止している得意先または支給先かチェックする</t>
    <rPh sb="0" eb="2">
      <t>シュッカ</t>
    </rPh>
    <rPh sb="2" eb="4">
      <t>サシズ</t>
    </rPh>
    <rPh sb="11" eb="14">
      <t>トクイサキ</t>
    </rPh>
    <rPh sb="17" eb="19">
      <t>シキュウ</t>
    </rPh>
    <phoneticPr fontId="1"/>
  </si>
  <si>
    <t>F_IS_SHIP_INST_STOP</t>
    <phoneticPr fontId="1"/>
  </si>
  <si>
    <t>仕入、入荷を禁止している発注先かチェックする</t>
    <rPh sb="0" eb="2">
      <t>シイレ</t>
    </rPh>
    <rPh sb="3" eb="5">
      <t>ニュウカ</t>
    </rPh>
    <rPh sb="12" eb="14">
      <t>ハッチュウ</t>
    </rPh>
    <phoneticPr fontId="1"/>
  </si>
  <si>
    <t>F_IS_PURC_STOP</t>
    <phoneticPr fontId="1"/>
  </si>
  <si>
    <t>発注を禁止している発注先かチェックする</t>
    <rPh sb="0" eb="2">
      <t>ハッチュウ</t>
    </rPh>
    <rPh sb="9" eb="11">
      <t>ハッチュウ</t>
    </rPh>
    <phoneticPr fontId="1"/>
  </si>
  <si>
    <t>所要、オーダ登録を禁止している外注先または発注先かチェックする</t>
    <rPh sb="0" eb="2">
      <t>ショヨウ</t>
    </rPh>
    <rPh sb="6" eb="8">
      <t>トウロク</t>
    </rPh>
    <rPh sb="15" eb="18">
      <t>ガイチュウサキ</t>
    </rPh>
    <rPh sb="21" eb="23">
      <t>ハッチュウ</t>
    </rPh>
    <rPh sb="23" eb="24">
      <t>サキ</t>
    </rPh>
    <phoneticPr fontId="1"/>
  </si>
  <si>
    <t>製造指図を禁止している外注先かチェックする</t>
    <rPh sb="0" eb="2">
      <t>セイゾウ</t>
    </rPh>
    <rPh sb="2" eb="4">
      <t>サシズ</t>
    </rPh>
    <rPh sb="5" eb="7">
      <t>キンシ</t>
    </rPh>
    <rPh sb="11" eb="13">
      <t>ガイチュウ</t>
    </rPh>
    <rPh sb="13" eb="14">
      <t>サキ</t>
    </rPh>
    <phoneticPr fontId="1"/>
  </si>
  <si>
    <t>F_IS_MFG_INST_STOP</t>
    <phoneticPr fontId="1"/>
  </si>
  <si>
    <t>取引先（発注先）に対するＶＭＩ購買部門ＣＤを取得する
取得できない場合は、NULLを返す
発注先を指定する
指定した日付に対して有効な部門かどうかもチェックする</t>
    <phoneticPr fontId="1"/>
  </si>
  <si>
    <t>ＶＭＩ購買部門ＣＤ</t>
    <phoneticPr fontId="1"/>
  </si>
  <si>
    <t>第１引数：発注先ＣＤ
第２引数：基準日
第３引数：部門有効確認フラグ</t>
  </si>
  <si>
    <t>F_GET_VMI_PURC_DPT_CD_NE</t>
    <phoneticPr fontId="1"/>
  </si>
  <si>
    <t>取引先（発注先）に対するＶＭＩ購買部門ＣＤを取得する
発注先を指定する
指定した日付に対して有効な部門かどうかもチェックする</t>
    <phoneticPr fontId="1"/>
  </si>
  <si>
    <t>ＶＭＩ購買部門ＣＤ</t>
    <phoneticPr fontId="1"/>
  </si>
  <si>
    <t>第１引数：発注先ＣＤ
第２引数：基準日</t>
  </si>
  <si>
    <t>F_GET_VMI_PURC_DPT_CD</t>
    <phoneticPr fontId="1"/>
  </si>
  <si>
    <t>発注先から与信管理先を取得する</t>
    <rPh sb="0" eb="2">
      <t>ハッチュウ</t>
    </rPh>
    <rPh sb="2" eb="3">
      <t>サキ</t>
    </rPh>
    <rPh sb="5" eb="7">
      <t>ヨシン</t>
    </rPh>
    <rPh sb="7" eb="9">
      <t>カンリ</t>
    </rPh>
    <rPh sb="9" eb="10">
      <t>サキ</t>
    </rPh>
    <rPh sb="11" eb="13">
      <t>シュトク</t>
    </rPh>
    <phoneticPr fontId="1"/>
  </si>
  <si>
    <t>与信管理先ＣＤ</t>
    <rPh sb="0" eb="2">
      <t>ヨシン</t>
    </rPh>
    <rPh sb="2" eb="4">
      <t>カンリ</t>
    </rPh>
    <rPh sb="4" eb="5">
      <t>サキ</t>
    </rPh>
    <phoneticPr fontId="1"/>
  </si>
  <si>
    <t>第１引数：発注先ＣＤ</t>
  </si>
  <si>
    <t>F_GET_CRED_OF_SPPL</t>
    <phoneticPr fontId="1"/>
  </si>
  <si>
    <t>得意先から与信管理先を取得する</t>
    <phoneticPr fontId="1"/>
  </si>
  <si>
    <t>第１引数：得意先ＣＤ</t>
  </si>
  <si>
    <t>F_GET_CRED_OF_CST</t>
    <phoneticPr fontId="1"/>
  </si>
  <si>
    <t>支払予定管理先から与信管理先を取得する</t>
    <rPh sb="15" eb="17">
      <t>シュトク</t>
    </rPh>
    <phoneticPr fontId="1"/>
  </si>
  <si>
    <t>与信管理先ＣＤ</t>
    <phoneticPr fontId="1"/>
  </si>
  <si>
    <t>第１引数：支払予定管理先ＣＤ</t>
  </si>
  <si>
    <t>F_GET_CRED_OF_BSPPL</t>
    <phoneticPr fontId="1"/>
  </si>
  <si>
    <t>請求先から与信管理先を取得する</t>
    <rPh sb="0" eb="2">
      <t>セイキュウ</t>
    </rPh>
    <rPh sb="2" eb="3">
      <t>サキ</t>
    </rPh>
    <rPh sb="5" eb="7">
      <t>ヨシン</t>
    </rPh>
    <rPh sb="7" eb="9">
      <t>カンリ</t>
    </rPh>
    <rPh sb="9" eb="10">
      <t>サキ</t>
    </rPh>
    <rPh sb="11" eb="13">
      <t>シュトク</t>
    </rPh>
    <phoneticPr fontId="1"/>
  </si>
  <si>
    <t>第１引数：請求先ＣＤ</t>
  </si>
  <si>
    <t>F_GET_CRED_OF_BCST</t>
    <phoneticPr fontId="1"/>
  </si>
  <si>
    <t>買掛先から与信管理先を取得する</t>
    <phoneticPr fontId="1"/>
  </si>
  <si>
    <t>与信管理先ＣＤ</t>
    <phoneticPr fontId="1"/>
  </si>
  <si>
    <t>第１引数：買掛先ＣＤ</t>
  </si>
  <si>
    <t>F_GET_CRED_OF_ASPPL</t>
    <phoneticPr fontId="1"/>
  </si>
  <si>
    <t>売掛先から請求先を取得し、請求先から与信管理先を取得する</t>
    <phoneticPr fontId="1"/>
  </si>
  <si>
    <t>第１引数：売掛先ＣＤ</t>
  </si>
  <si>
    <t>F_GET_CRED_OF_ACST</t>
    <phoneticPr fontId="1"/>
  </si>
  <si>
    <t>取引先（支払予定管理先）に対する支払予定管理先担当部門ＣＤを取得する
取得できない場合は、NULLを返す
支払予定管理先を指定する
指定した日付に対して有効な部門かどうかもチェックする</t>
    <phoneticPr fontId="1"/>
  </si>
  <si>
    <t>支払予定管理先担当部門ＣＤ</t>
    <phoneticPr fontId="1"/>
  </si>
  <si>
    <t>第１引数：支払予定管理先ＣＤ
第２引数：基準日
第３引数：部門有効確認フラグ</t>
  </si>
  <si>
    <t>F_GET_BSPPL_DPT_CD_NE</t>
    <phoneticPr fontId="1"/>
  </si>
  <si>
    <t>取引先（支払予定管理先）に対する支払予定管理先担当部門ＣＤを取得する
支払予定管理先を指定する
指定した日付に対して有効な部門かどうかもチェックする</t>
  </si>
  <si>
    <t>支払予定管理先担当部門ＣＤ</t>
    <phoneticPr fontId="1"/>
  </si>
  <si>
    <t>第１引数：支払予定管理先ＣＤ
第２引数：基準日</t>
  </si>
  <si>
    <t>F_GET_BSPPL_DPT_CD</t>
    <phoneticPr fontId="1"/>
  </si>
  <si>
    <t>取引先宛先区分に対応した値を返す</t>
  </si>
  <si>
    <t>取引先に対する住所など</t>
    <rPh sb="0" eb="2">
      <t>トリヒキ</t>
    </rPh>
    <rPh sb="2" eb="3">
      <t>サキ</t>
    </rPh>
    <rPh sb="4" eb="5">
      <t>タイ</t>
    </rPh>
    <rPh sb="7" eb="9">
      <t>ジュウショ</t>
    </rPh>
    <phoneticPr fontId="1"/>
  </si>
  <si>
    <t>第１引数：取引先ＣＤ
第２引数：基準日
第３引数：取引先宛先区分</t>
  </si>
  <si>
    <t>F_GET_BP_ADDR</t>
    <phoneticPr fontId="1"/>
  </si>
  <si>
    <t>取引先（請求先）に対する請求先担当部門ＣＤを取得する
取得できない場合は、NULLを返す
債権部門区分に「3：請求部門」が設定されている請求先を指定する
指定した日付に対して有効な部門かどうかもチェックする</t>
    <rPh sb="81" eb="83">
      <t>ヒヅケ</t>
    </rPh>
    <rPh sb="84" eb="85">
      <t>タイ</t>
    </rPh>
    <rPh sb="87" eb="89">
      <t>ユウコウ</t>
    </rPh>
    <rPh sb="90" eb="92">
      <t>ブモン</t>
    </rPh>
    <phoneticPr fontId="1"/>
  </si>
  <si>
    <t>請求先担当部門ＣＤ</t>
    <phoneticPr fontId="1"/>
  </si>
  <si>
    <t>第１引数：請求先ＣＤ
第２引数：基準日
第３引数：部門有効確認フラグ</t>
  </si>
  <si>
    <t>F_GET_BCST_DPT_CD_NE</t>
    <phoneticPr fontId="1"/>
  </si>
  <si>
    <t>取引先（請求先）に対する請求先担当部門ＣＤを取得する
債権部門区分に「3：請求部門」が設定されている請求先を指定する
指定した日付に対して有効な部門かどうかもチェックする</t>
    <rPh sb="37" eb="39">
      <t>セイキュウ</t>
    </rPh>
    <rPh sb="63" eb="65">
      <t>ヒヅケ</t>
    </rPh>
    <rPh sb="66" eb="67">
      <t>タイ</t>
    </rPh>
    <rPh sb="69" eb="71">
      <t>ユウコウ</t>
    </rPh>
    <rPh sb="72" eb="74">
      <t>ブモン</t>
    </rPh>
    <phoneticPr fontId="1"/>
  </si>
  <si>
    <t>第１引数：請求先ＣＤ
第２引数：基準日</t>
  </si>
  <si>
    <t>F_GET_BCST_DPT_CD</t>
    <phoneticPr fontId="1"/>
  </si>
  <si>
    <t>取引先（得意先）に対する債権部門ＣＤを取得する
取得できない場合は、NULLを返す
債権部門区分に「2：債権部門」が設定されている得意先を指定する
指定した日付に対して有効な部門かどうかもチェックする</t>
    <rPh sb="42" eb="44">
      <t>サイケン</t>
    </rPh>
    <rPh sb="44" eb="46">
      <t>ブモン</t>
    </rPh>
    <rPh sb="46" eb="48">
      <t>クブン</t>
    </rPh>
    <rPh sb="52" eb="54">
      <t>サイケン</t>
    </rPh>
    <rPh sb="54" eb="56">
      <t>ブモン</t>
    </rPh>
    <rPh sb="58" eb="60">
      <t>セッテイ</t>
    </rPh>
    <rPh sb="65" eb="68">
      <t>トクイサキ</t>
    </rPh>
    <rPh sb="78" eb="80">
      <t>ヒヅケ</t>
    </rPh>
    <rPh sb="81" eb="82">
      <t>タイ</t>
    </rPh>
    <rPh sb="84" eb="86">
      <t>ユウコウ</t>
    </rPh>
    <rPh sb="87" eb="89">
      <t>ブモン</t>
    </rPh>
    <phoneticPr fontId="1"/>
  </si>
  <si>
    <t>債権部門ＣＤ</t>
    <phoneticPr fontId="1"/>
  </si>
  <si>
    <t>第１引数：得意先ＣＤ
第２引数：基準日
第３引数：部門有効確認フラグ</t>
  </si>
  <si>
    <t>F_GET_AR_DPT_CD_NE</t>
    <phoneticPr fontId="1"/>
  </si>
  <si>
    <t>取引先（得意先）に対する債権部門ＣＤを取得する
債権部門区分に「2：債権部門」が設定されている得意先を指定する
指定した日付に対して有効な部門かどうかもチェックする</t>
  </si>
  <si>
    <t>債権部門ＣＤ</t>
    <phoneticPr fontId="1"/>
  </si>
  <si>
    <t>第１引数：得意先ＣＤ
第２引数：基準日</t>
  </si>
  <si>
    <t>F_GET_AR_DPT_CD</t>
    <phoneticPr fontId="1"/>
  </si>
  <si>
    <t>取引先（買掛先）に対する債務部門ＣＤを取得する
取得できない場合は、NULLを返す
買掛先を指定する
指定した日付に対して有効な部門かどうかもチェックする</t>
  </si>
  <si>
    <t>債務部門ＣＤ</t>
    <phoneticPr fontId="1"/>
  </si>
  <si>
    <t>第１引数：買掛先ＣＤ
第２引数：基準日
第３引数：部門有効確認フラグ</t>
  </si>
  <si>
    <t>F_GET_AP_DPT_CD_NE</t>
    <phoneticPr fontId="1"/>
  </si>
  <si>
    <t>取引先（買掛先）に対する債務部門ＣＤを取得する
買掛先を指定する
指定した日付に対して有効な部門かどうかもチェックする</t>
  </si>
  <si>
    <t>債務部門ＣＤ</t>
    <phoneticPr fontId="1"/>
  </si>
  <si>
    <t>第１引数：買掛先ＣＤ
第２引数：基準日</t>
  </si>
  <si>
    <t>F_GET_AP_DPT_CD</t>
    <phoneticPr fontId="1"/>
  </si>
  <si>
    <t>金額と消費税額を取得する</t>
  </si>
  <si>
    <t>金額と消費税額</t>
    <phoneticPr fontId="1"/>
  </si>
  <si>
    <t>第１引数：単価
第２引数：数量
第３引数：金額端数処理区分
第４引数：消費税端数処理区分
第５引数：金額小数部有効桁数
第６引数：内税フラグ
第７引数：消費税率
第８引数：値引額
第９引数：金額
第１０引数：消費税額</t>
  </si>
  <si>
    <t>P_GET_AMT_AND_TAX</t>
  </si>
  <si>
    <t>標準単価関連ユーティリティ</t>
    <phoneticPr fontId="1"/>
  </si>
  <si>
    <t>MAPA_AMT</t>
    <phoneticPr fontId="1"/>
  </si>
  <si>
    <t>税込金額を取得する</t>
    <rPh sb="1" eb="2">
      <t>コミ</t>
    </rPh>
    <phoneticPr fontId="1"/>
  </si>
  <si>
    <t>税込金額</t>
    <rPh sb="1" eb="2">
      <t>コミ</t>
    </rPh>
    <phoneticPr fontId="1"/>
  </si>
  <si>
    <t>第１引数：単価
第２引数：数量
第３引数：金額端数処理区分
第４引数：消費税端数処理区分
第５引数：金額小数部有効桁数
第６引数：内税フラグ
第７引数：消費税率
第８引数：値引額</t>
  </si>
  <si>
    <t>F_GET_INC_TAX_AMT</t>
    <phoneticPr fontId="1"/>
  </si>
  <si>
    <t>MAPA_AMT</t>
    <phoneticPr fontId="1"/>
  </si>
  <si>
    <t>税抜金額を取得する</t>
    <phoneticPr fontId="1"/>
  </si>
  <si>
    <t>税抜金額</t>
    <phoneticPr fontId="1"/>
  </si>
  <si>
    <t>F_GET_EXC_TAX_AMT</t>
    <phoneticPr fontId="1"/>
  </si>
  <si>
    <t>種別</t>
    <rPh sb="0" eb="2">
      <t>シュベツ</t>
    </rPh>
    <phoneticPr fontId="1"/>
  </si>
  <si>
    <t>一覧
（クライアント）</t>
    <rPh sb="0" eb="2">
      <t>イチラン</t>
    </rPh>
    <phoneticPr fontId="1"/>
  </si>
  <si>
    <t>一覧
（サーバ）</t>
    <rPh sb="0" eb="2">
      <t>イチラン</t>
    </rPh>
    <phoneticPr fontId="1"/>
  </si>
  <si>
    <t>一覧
（PLSQL）</t>
    <rPh sb="0" eb="2">
      <t>イチラン</t>
    </rPh>
    <phoneticPr fontId="1"/>
  </si>
  <si>
    <t>ア</t>
    <phoneticPr fontId="1"/>
  </si>
  <si>
    <t>第１引数：機能区分
第２引数：品目ＣＤ
第３引数：枝番１
第４引数：枝番２
第５引数：枝番３
第６引数：予実比上限
第７引数：予実比下限</t>
    <phoneticPr fontId="1"/>
  </si>
  <si>
    <t>第１引数：汎用分類ＣＤ
第２引数：キー１
第３引数：ログ出力ＦＬＧ</t>
    <rPh sb="5" eb="7">
      <t>ハンヨウ</t>
    </rPh>
    <rPh sb="7" eb="9">
      <t>ブンルイ</t>
    </rPh>
    <rPh sb="28" eb="30">
      <t>シュツリョク</t>
    </rPh>
    <phoneticPr fontId="1"/>
  </si>
  <si>
    <t>汎用マスタから、汎用分類ＣＤ、キー１で取得した情報を取得する。
本処理の存在チェックでログ出力を行うが、ログを出力するのみとし例外処理は発生させない。</t>
    <rPh sb="8" eb="10">
      <t>ハンヨウ</t>
    </rPh>
    <rPh sb="10" eb="12">
      <t>ブンルイ</t>
    </rPh>
    <rPh sb="19" eb="21">
      <t>シュトク</t>
    </rPh>
    <rPh sb="23" eb="25">
      <t>ジョウホウ</t>
    </rPh>
    <rPh sb="26" eb="28">
      <t>シュトク</t>
    </rPh>
    <phoneticPr fontId="1"/>
  </si>
  <si>
    <t>レビュー実施記録</t>
    <rPh sb="4" eb="6">
      <t>ジッシ</t>
    </rPh>
    <rPh sb="6" eb="8">
      <t>キロク</t>
    </rPh>
    <phoneticPr fontId="1"/>
  </si>
  <si>
    <t>レビュー日</t>
    <rPh sb="4" eb="5">
      <t>ビ</t>
    </rPh>
    <phoneticPr fontId="1"/>
  </si>
  <si>
    <t>開催場所</t>
    <rPh sb="0" eb="2">
      <t>カイサイ</t>
    </rPh>
    <rPh sb="2" eb="4">
      <t>バショ</t>
    </rPh>
    <phoneticPr fontId="1"/>
  </si>
  <si>
    <t>参加者</t>
    <rPh sb="0" eb="3">
      <t>サンカシャ</t>
    </rPh>
    <phoneticPr fontId="1"/>
  </si>
  <si>
    <t>本社</t>
    <rPh sb="0" eb="2">
      <t>ホンシャ</t>
    </rPh>
    <phoneticPr fontId="1"/>
  </si>
  <si>
    <t>レビュー指摘・確認対応記録</t>
    <rPh sb="4" eb="6">
      <t>シテキ</t>
    </rPh>
    <rPh sb="7" eb="9">
      <t>カクニン</t>
    </rPh>
    <rPh sb="9" eb="11">
      <t>タイオウ</t>
    </rPh>
    <rPh sb="11" eb="13">
      <t>キロク</t>
    </rPh>
    <phoneticPr fontId="1"/>
  </si>
  <si>
    <t>指摘・確認事項</t>
    <rPh sb="0" eb="2">
      <t>シテキ</t>
    </rPh>
    <rPh sb="3" eb="5">
      <t>カクニン</t>
    </rPh>
    <rPh sb="5" eb="7">
      <t>ジコウ</t>
    </rPh>
    <phoneticPr fontId="1"/>
  </si>
  <si>
    <t>回答</t>
    <rPh sb="0" eb="2">
      <t>カイトウ</t>
    </rPh>
    <phoneticPr fontId="1"/>
  </si>
  <si>
    <t>確認日</t>
    <rPh sb="0" eb="2">
      <t>カクニン</t>
    </rPh>
    <rPh sb="2" eb="3">
      <t>ビ</t>
    </rPh>
    <phoneticPr fontId="1"/>
  </si>
  <si>
    <t>担当者</t>
    <rPh sb="0" eb="3">
      <t>タントウシャ</t>
    </rPh>
    <phoneticPr fontId="1"/>
  </si>
  <si>
    <t>内容</t>
    <rPh sb="0" eb="2">
      <t>ナイヨウ</t>
    </rPh>
    <phoneticPr fontId="1"/>
  </si>
  <si>
    <t>××</t>
    <phoneticPr fontId="1"/>
  </si>
  <si>
    <t>××</t>
    <phoneticPr fontId="1"/>
  </si>
  <si>
    <t>レビュー記録</t>
    <rPh sb="4" eb="6">
      <t>キロク</t>
    </rPh>
    <phoneticPr fontId="1"/>
  </si>
  <si>
    <t>NO</t>
    <phoneticPr fontId="1"/>
  </si>
  <si>
    <t>EU：××、××</t>
    <phoneticPr fontId="1"/>
  </si>
  <si>
    <t>BP：××、××</t>
    <phoneticPr fontId="1"/>
  </si>
  <si>
    <t>B-ENG：××、××</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</si>
</sst>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18">
    <font>
      <sz val="9"/>
      <name val="ＭＳ Ｐゴシック"/>
      <family val="3"/>
      <charset val="128"/>
    </font>
    <font>
      <sz val="6"/>
      <name val="ＭＳ Ｐゴシック"/>
      <family val="3"/>
      <charset val="128"/>
    </font>
    <font>
      <b/>
      <sz val="9"/>
      <name val="ＭＳ Ｐゴシック"/>
      <family val="3"/>
      <charset val="128"/>
    </font>
    <font>
      <sz val="9"/>
      <name val="Meiryo UI"/>
      <family val="3"/>
      <charset val="128"/>
    </font>
    <font>
      <b/>
      <sz val="11"/>
      <name val="Meiryo UI"/>
      <family val="3"/>
      <charset val="128"/>
    </font>
    <font>
      <sz val="11"/>
      <name val="Meiryo UI"/>
      <family val="3"/>
      <charset val="128"/>
    </font>
    <font>
      <b/>
      <sz val="20"/>
      <color indexed="10"/>
      <name val="Meiryo UI"/>
      <family val="3"/>
      <charset val="128"/>
    </font>
    <font>
      <b/>
      <sz val="9"/>
      <color rgb="FFFF0000"/>
      <name val="Meiryo UI"/>
      <family val="3"/>
      <charset val="128"/>
    </font>
    <font>
      <b/>
      <sz val="12"/>
      <name val="Meiryo UI"/>
      <family val="3"/>
      <charset val="128"/>
    </font>
    <font>
      <b/>
      <sz val="10"/>
      <name val="Meiryo UI"/>
      <family val="3"/>
      <charset val="128"/>
    </font>
    <font>
      <sz val="10"/>
      <name val="Meiryo UI"/>
      <family val="3"/>
      <charset val="128"/>
    </font>
    <font>
      <b/>
      <sz val="9"/>
      <name val="Meiryo UI"/>
      <family val="3"/>
      <charset val="128"/>
    </font>
    <font>
      <sz val="11"/>
      <name val="ＭＳ Ｐゴシック"/>
      <family val="3"/>
      <charset val="128"/>
    </font>
    <font>
      <sz val="10"/>
      <color rgb="FFFF0000"/>
      <name val="Meiryo UI"/>
      <family val="3"/>
      <charset val="128"/>
    </font>
    <font>
      <sz val="10"/>
      <color rgb="FF00B0F0"/>
      <name val="Meiryo UI"/>
      <family val="3"/>
      <charset val="128"/>
    </font>
    <font>
      <sz val="10"/>
      <color theme="1"/>
      <name val="Meiryo UI"/>
      <family val="3"/>
      <charset val="128"/>
    </font>
    <font>
      <sz val="10"/>
      <color theme="0"/>
      <name val="Meiryo UI"/>
      <family val="3"/>
      <charset val="128"/>
    </font>
    <font>
      <sz val="9"/>
      <name val="ＭＳ Ｐゴシック"/>
      <family val="3"/>
      <charset val="128"/>
    </font>
  </fonts>
  <fills count="8">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rgb="FFCCFFCC"/>
        <bgColor indexed="64"/>
      </patternFill>
    </fill>
    <fill>
      <patternFill patternType="solid">
        <fgColor rgb="FFFFFF99"/>
        <bgColor indexed="64"/>
      </patternFill>
    </fill>
    <fill>
      <patternFill patternType="solid">
        <fgColor theme="5" tint="0.79998168889431442"/>
        <bgColor indexed="64"/>
      </patternFill>
    </fill>
    <fill>
      <patternFill patternType="solid">
        <fgColor rgb="FFFF0000"/>
        <bgColor indexed="64"/>
      </patternFill>
    </fill>
  </fills>
  <borders count="84">
    <border>
      <left/>
      <right/>
      <top/>
      <bottom/>
      <diagonal/>
    </border>
    <border>
      <left/>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top style="medium">
        <color indexed="64"/>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medium">
        <color indexed="64"/>
      </top>
      <bottom style="double">
        <color indexed="64"/>
      </bottom>
      <diagonal/>
    </border>
    <border>
      <left style="thin">
        <color indexed="64"/>
      </left>
      <right style="hair">
        <color indexed="64"/>
      </right>
      <top style="double">
        <color indexed="64"/>
      </top>
      <bottom style="thin">
        <color indexed="64"/>
      </bottom>
      <diagonal/>
    </border>
    <border>
      <left style="medium">
        <color indexed="64"/>
      </left>
      <right/>
      <top/>
      <bottom style="double">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style="hair">
        <color indexed="64"/>
      </right>
      <top style="thin">
        <color indexed="64"/>
      </top>
      <bottom style="double">
        <color indexed="64"/>
      </bottom>
      <diagonal/>
    </border>
    <border>
      <left style="medium">
        <color indexed="64"/>
      </left>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medium">
        <color indexed="64"/>
      </left>
      <right/>
      <top/>
      <bottom style="thin">
        <color indexed="64"/>
      </bottom>
      <diagonal/>
    </border>
    <border>
      <left style="thin">
        <color indexed="64"/>
      </left>
      <right style="hair">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s>
  <cellStyleXfs count="3">
    <xf numFmtId="0" fontId="0" fillId="0" borderId="0">
      <alignment vertical="center"/>
    </xf>
    <xf numFmtId="0" fontId="12" fillId="0" borderId="0"/>
    <xf numFmtId="9" fontId="12" fillId="0" borderId="0" applyFont="0" applyFill="0" applyBorder="0" applyAlignment="0" applyProtection="0">
      <alignment vertical="center"/>
    </xf>
  </cellStyleXfs>
  <cellXfs count="254">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Fill="1">
      <alignment vertical="center"/>
    </xf>
    <xf numFmtId="0" fontId="7" fillId="0" borderId="0" xfId="0" applyFont="1" applyFill="1">
      <alignment vertical="center"/>
    </xf>
    <xf numFmtId="0" fontId="3" fillId="0" borderId="9" xfId="0" applyNumberFormat="1" applyFont="1" applyBorder="1" applyAlignment="1">
      <alignment horizontal="center" vertical="top"/>
    </xf>
    <xf numFmtId="0" fontId="0" fillId="0" borderId="0" xfId="0" applyAlignment="1">
      <alignment horizontal="center" vertical="center"/>
    </xf>
    <xf numFmtId="0" fontId="2" fillId="0" borderId="0" xfId="0" applyFont="1">
      <alignment vertical="center"/>
    </xf>
    <xf numFmtId="0" fontId="3" fillId="0" borderId="11" xfId="0" applyFont="1" applyBorder="1">
      <alignment vertical="center"/>
    </xf>
    <xf numFmtId="0" fontId="3" fillId="0" borderId="31" xfId="0" applyNumberFormat="1" applyFont="1" applyBorder="1" applyAlignment="1">
      <alignment horizontal="center" vertical="top"/>
    </xf>
    <xf numFmtId="0" fontId="3" fillId="0" borderId="1" xfId="0" applyFont="1" applyBorder="1">
      <alignment vertical="center"/>
    </xf>
    <xf numFmtId="0" fontId="3" fillId="0" borderId="21" xfId="0" applyFont="1" applyBorder="1">
      <alignment vertical="center"/>
    </xf>
    <xf numFmtId="0" fontId="11" fillId="2" borderId="5" xfId="0" applyFont="1" applyFill="1" applyBorder="1" applyAlignment="1">
      <alignment horizontal="center"/>
    </xf>
    <xf numFmtId="177" fontId="3" fillId="0" borderId="7" xfId="0" applyNumberFormat="1" applyFont="1" applyBorder="1" applyAlignment="1">
      <alignment horizontal="center" vertical="top"/>
    </xf>
    <xf numFmtId="0" fontId="3" fillId="0" borderId="25" xfId="0" applyFont="1" applyBorder="1" applyAlignment="1">
      <alignment horizontal="center" vertical="top"/>
    </xf>
    <xf numFmtId="0" fontId="11" fillId="2" borderId="24" xfId="0" applyFont="1" applyFill="1" applyBorder="1" applyAlignment="1">
      <alignment horizontal="center"/>
    </xf>
    <xf numFmtId="0" fontId="3" fillId="0" borderId="23" xfId="0" applyFont="1" applyBorder="1" applyAlignment="1">
      <alignment horizontal="center" vertical="top"/>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7" xfId="0" applyNumberFormat="1" applyFont="1" applyBorder="1" applyAlignment="1">
      <alignment horizontal="center" vertical="top"/>
    </xf>
    <xf numFmtId="0" fontId="3" fillId="0" borderId="23" xfId="0" applyNumberFormat="1" applyFont="1" applyBorder="1" applyAlignment="1">
      <alignment horizontal="center" vertical="top"/>
    </xf>
    <xf numFmtId="0" fontId="3" fillId="0" borderId="7" xfId="0" applyFont="1" applyBorder="1" applyAlignment="1">
      <alignment horizontal="left" vertical="top"/>
    </xf>
    <xf numFmtId="0" fontId="11" fillId="2" borderId="27" xfId="0" applyFont="1" applyFill="1" applyBorder="1" applyAlignment="1">
      <alignment horizontal="center"/>
    </xf>
    <xf numFmtId="0" fontId="3" fillId="4" borderId="28" xfId="0" applyFont="1" applyFill="1" applyBorder="1" applyAlignment="1">
      <alignment horizontal="center"/>
    </xf>
    <xf numFmtId="177" fontId="3" fillId="0" borderId="3" xfId="0" applyNumberFormat="1" applyFont="1" applyBorder="1" applyAlignment="1">
      <alignment horizontal="center" vertical="top"/>
    </xf>
    <xf numFmtId="0" fontId="11" fillId="2" borderId="20" xfId="0" applyFont="1" applyFill="1" applyBorder="1" applyAlignment="1">
      <alignment horizontal="center"/>
    </xf>
    <xf numFmtId="0" fontId="3" fillId="4" borderId="26" xfId="0" applyFont="1" applyFill="1" applyBorder="1" applyAlignment="1">
      <alignment horizontal="center"/>
    </xf>
    <xf numFmtId="0" fontId="11" fillId="2" borderId="29" xfId="0" applyFont="1" applyFill="1" applyBorder="1" applyAlignment="1">
      <alignment horizontal="center"/>
    </xf>
    <xf numFmtId="177" fontId="3" fillId="0" borderId="4" xfId="0" applyNumberFormat="1" applyFont="1" applyBorder="1" applyAlignment="1">
      <alignment horizontal="center" vertical="top"/>
    </xf>
    <xf numFmtId="0" fontId="3" fillId="0" borderId="25" xfId="0" applyNumberFormat="1" applyFont="1" applyBorder="1" applyAlignment="1">
      <alignment horizontal="center"/>
    </xf>
    <xf numFmtId="0" fontId="11" fillId="2" borderId="30" xfId="0" applyFont="1" applyFill="1" applyBorder="1" applyAlignment="1">
      <alignment horizontal="center"/>
    </xf>
    <xf numFmtId="0" fontId="11" fillId="2" borderId="34" xfId="0" applyFont="1" applyFill="1" applyBorder="1" applyAlignment="1">
      <alignment horizontal="center"/>
    </xf>
    <xf numFmtId="177" fontId="3" fillId="0" borderId="35" xfId="0" applyNumberFormat="1" applyFont="1" applyBorder="1" applyAlignment="1">
      <alignment horizontal="center" vertical="top"/>
    </xf>
    <xf numFmtId="14" fontId="3" fillId="0" borderId="23" xfId="0" applyNumberFormat="1" applyFont="1" applyBorder="1" applyAlignment="1">
      <alignment horizontal="center" vertical="top"/>
    </xf>
    <xf numFmtId="0" fontId="3" fillId="0" borderId="36" xfId="0" applyNumberFormat="1" applyFont="1" applyBorder="1" applyAlignment="1">
      <alignment horizontal="center" vertical="top"/>
    </xf>
    <xf numFmtId="177" fontId="3" fillId="0" borderId="15" xfId="0" applyNumberFormat="1" applyFont="1" applyBorder="1" applyAlignment="1">
      <alignment horizontal="center" vertical="top"/>
    </xf>
    <xf numFmtId="0" fontId="3" fillId="0" borderId="15" xfId="0" applyFont="1" applyBorder="1" applyAlignment="1">
      <alignment vertical="top" wrapText="1"/>
    </xf>
    <xf numFmtId="0" fontId="3" fillId="0" borderId="37" xfId="0" applyFont="1" applyBorder="1" applyAlignment="1">
      <alignment horizontal="center" vertical="top"/>
    </xf>
    <xf numFmtId="0" fontId="11" fillId="2" borderId="38" xfId="0" applyFont="1" applyFill="1" applyBorder="1" applyAlignment="1">
      <alignment horizontal="center"/>
    </xf>
    <xf numFmtId="0" fontId="3" fillId="4" borderId="39" xfId="0" applyFont="1" applyFill="1" applyBorder="1" applyAlignment="1">
      <alignment horizontal="center"/>
    </xf>
    <xf numFmtId="14" fontId="3" fillId="0" borderId="35" xfId="0" applyNumberFormat="1" applyFont="1" applyBorder="1" applyAlignment="1">
      <alignment horizontal="center" vertical="top" shrinkToFit="1"/>
    </xf>
    <xf numFmtId="177" fontId="3" fillId="0" borderId="40" xfId="0" applyNumberFormat="1" applyFont="1" applyBorder="1" applyAlignment="1">
      <alignment horizontal="center" vertical="top"/>
    </xf>
    <xf numFmtId="14" fontId="3" fillId="0" borderId="32" xfId="0" applyNumberFormat="1" applyFont="1" applyBorder="1" applyAlignment="1">
      <alignment horizontal="center" vertical="top"/>
    </xf>
    <xf numFmtId="0" fontId="3" fillId="0" borderId="14" xfId="0" applyFont="1" applyBorder="1" applyAlignment="1">
      <alignment vertical="top" wrapText="1"/>
    </xf>
    <xf numFmtId="0" fontId="3" fillId="0" borderId="41" xfId="0" applyNumberFormat="1" applyFont="1" applyBorder="1" applyAlignment="1">
      <alignment horizontal="center" vertical="top"/>
    </xf>
    <xf numFmtId="0" fontId="3" fillId="0" borderId="22" xfId="0" applyFont="1" applyBorder="1" applyAlignment="1">
      <alignment horizontal="center" vertical="top"/>
    </xf>
    <xf numFmtId="177" fontId="3" fillId="0" borderId="42" xfId="0" applyNumberFormat="1" applyFont="1" applyBorder="1" applyAlignment="1">
      <alignment horizontal="center" vertical="top"/>
    </xf>
    <xf numFmtId="0" fontId="3" fillId="0" borderId="43" xfId="0" applyFont="1" applyBorder="1" applyAlignment="1">
      <alignment horizontal="center" vertical="top"/>
    </xf>
    <xf numFmtId="0" fontId="3" fillId="0" borderId="37" xfId="0" applyNumberFormat="1" applyFont="1" applyBorder="1" applyAlignment="1">
      <alignment horizontal="center" vertical="top"/>
    </xf>
    <xf numFmtId="0" fontId="11" fillId="5" borderId="19" xfId="0" applyFont="1" applyFill="1" applyBorder="1">
      <alignment vertical="center"/>
    </xf>
    <xf numFmtId="0" fontId="3" fillId="0" borderId="45" xfId="0" applyFont="1" applyBorder="1">
      <alignment vertical="center"/>
    </xf>
    <xf numFmtId="0" fontId="11" fillId="5" borderId="45" xfId="0" applyFont="1" applyFill="1" applyBorder="1">
      <alignment vertical="center"/>
    </xf>
    <xf numFmtId="14" fontId="3" fillId="0" borderId="45" xfId="0" applyNumberFormat="1" applyFont="1" applyFill="1" applyBorder="1" applyAlignment="1">
      <alignment horizontal="center" shrinkToFit="1"/>
    </xf>
    <xf numFmtId="0" fontId="11" fillId="5" borderId="46" xfId="0" applyFont="1" applyFill="1" applyBorder="1">
      <alignment vertical="center"/>
    </xf>
    <xf numFmtId="0" fontId="11" fillId="5" borderId="8" xfId="0" applyFont="1" applyFill="1" applyBorder="1">
      <alignment vertical="center"/>
    </xf>
    <xf numFmtId="0" fontId="3" fillId="0" borderId="22" xfId="0" applyFont="1" applyBorder="1">
      <alignment vertical="center"/>
    </xf>
    <xf numFmtId="0" fontId="11" fillId="5" borderId="22" xfId="0" applyFont="1" applyFill="1" applyBorder="1">
      <alignment vertical="center"/>
    </xf>
    <xf numFmtId="14" fontId="3" fillId="0" borderId="22" xfId="0" applyNumberFormat="1" applyFont="1" applyBorder="1" applyAlignment="1">
      <alignment horizontal="center" shrinkToFit="1"/>
    </xf>
    <xf numFmtId="0" fontId="11" fillId="5" borderId="16" xfId="0" applyFont="1" applyFill="1" applyBorder="1">
      <alignment vertical="center"/>
    </xf>
    <xf numFmtId="0" fontId="3" fillId="0" borderId="43" xfId="0" applyFont="1" applyBorder="1">
      <alignment vertical="center"/>
    </xf>
    <xf numFmtId="0" fontId="11" fillId="5" borderId="43" xfId="0" applyFont="1" applyFill="1" applyBorder="1">
      <alignment vertical="center"/>
    </xf>
    <xf numFmtId="177" fontId="3" fillId="0" borderId="43" xfId="0" applyNumberFormat="1" applyFont="1" applyFill="1" applyBorder="1" applyAlignment="1">
      <alignment horizontal="center" shrinkToFit="1"/>
    </xf>
    <xf numFmtId="0" fontId="11" fillId="0" borderId="0" xfId="0" applyFont="1" applyAlignment="1">
      <alignment horizontal="center" vertical="center"/>
    </xf>
    <xf numFmtId="14" fontId="3" fillId="0" borderId="6" xfId="0" applyNumberFormat="1" applyFont="1" applyBorder="1" applyAlignment="1">
      <alignment horizontal="center" vertical="top" shrinkToFit="1"/>
    </xf>
    <xf numFmtId="14" fontId="3" fillId="0" borderId="7" xfId="0" applyNumberFormat="1" applyFont="1" applyBorder="1" applyAlignment="1">
      <alignment horizontal="center" vertical="top"/>
    </xf>
    <xf numFmtId="0" fontId="3" fillId="0" borderId="7" xfId="0" applyFont="1" applyBorder="1" applyAlignment="1">
      <alignment horizontal="center" vertical="top"/>
    </xf>
    <xf numFmtId="0" fontId="3" fillId="0" borderId="15" xfId="0" applyFont="1" applyBorder="1" applyAlignment="1">
      <alignment horizontal="center" vertical="top"/>
    </xf>
    <xf numFmtId="0" fontId="3" fillId="0" borderId="25" xfId="0" applyFont="1" applyBorder="1" applyAlignment="1">
      <alignment horizontal="left" vertical="top"/>
    </xf>
    <xf numFmtId="0" fontId="3" fillId="0" borderId="23" xfId="0" applyFont="1" applyBorder="1" applyAlignment="1">
      <alignment horizontal="left" vertical="top"/>
    </xf>
    <xf numFmtId="0" fontId="3" fillId="0" borderId="37" xfId="0" applyFont="1" applyBorder="1" applyAlignment="1">
      <alignment horizontal="left" vertical="top"/>
    </xf>
    <xf numFmtId="0" fontId="11" fillId="2" borderId="49" xfId="0" applyFont="1" applyFill="1" applyBorder="1" applyAlignment="1">
      <alignment horizontal="center"/>
    </xf>
    <xf numFmtId="0" fontId="3" fillId="0" borderId="6" xfId="0" applyNumberFormat="1" applyFont="1" applyBorder="1" applyAlignment="1">
      <alignment horizontal="center" shrinkToFit="1"/>
    </xf>
    <xf numFmtId="0" fontId="3" fillId="0" borderId="14" xfId="0" applyNumberFormat="1" applyFont="1" applyBorder="1" applyAlignment="1">
      <alignment horizontal="center" vertical="top"/>
    </xf>
    <xf numFmtId="0" fontId="3" fillId="0" borderId="15" xfId="0" applyNumberFormat="1" applyFont="1" applyBorder="1" applyAlignment="1">
      <alignment horizontal="center" vertical="top"/>
    </xf>
    <xf numFmtId="0" fontId="3" fillId="0" borderId="41" xfId="0" applyFont="1" applyBorder="1" applyAlignment="1">
      <alignment horizontal="left" vertical="top"/>
    </xf>
    <xf numFmtId="0" fontId="10" fillId="0" borderId="0" xfId="1" applyFont="1"/>
    <xf numFmtId="0" fontId="10" fillId="0" borderId="0" xfId="1" applyFont="1" applyAlignment="1">
      <alignment vertical="center"/>
    </xf>
    <xf numFmtId="0" fontId="10" fillId="0" borderId="0" xfId="1" applyFont="1" applyAlignment="1">
      <alignment horizontal="left" vertical="center" wrapText="1"/>
    </xf>
    <xf numFmtId="0" fontId="10" fillId="0" borderId="0" xfId="1" applyFont="1" applyAlignment="1">
      <alignment horizontal="center" vertical="center"/>
    </xf>
    <xf numFmtId="0" fontId="10" fillId="0" borderId="0" xfId="1" applyFont="1" applyAlignment="1">
      <alignment vertical="top"/>
    </xf>
    <xf numFmtId="0" fontId="10" fillId="0" borderId="0" xfId="1" applyFont="1" applyFill="1" applyAlignment="1">
      <alignment vertical="center"/>
    </xf>
    <xf numFmtId="0" fontId="10" fillId="0" borderId="50" xfId="1" applyFont="1" applyFill="1" applyBorder="1" applyAlignment="1">
      <alignment horizontal="left" vertical="center" wrapText="1"/>
    </xf>
    <xf numFmtId="0" fontId="10" fillId="0" borderId="43" xfId="1" applyFont="1" applyFill="1" applyBorder="1" applyAlignment="1">
      <alignment horizontal="left" vertical="center" wrapText="1"/>
    </xf>
    <xf numFmtId="0" fontId="10" fillId="0" borderId="51" xfId="1" applyFont="1" applyFill="1" applyBorder="1" applyAlignment="1">
      <alignment horizontal="left" vertical="center" wrapText="1"/>
    </xf>
    <xf numFmtId="0" fontId="10" fillId="0" borderId="22" xfId="1" applyFont="1" applyFill="1" applyBorder="1" applyAlignment="1">
      <alignment horizontal="left" vertical="center" wrapText="1"/>
    </xf>
    <xf numFmtId="0" fontId="13" fillId="0" borderId="51" xfId="1" applyFont="1" applyFill="1" applyBorder="1" applyAlignment="1">
      <alignment horizontal="left" vertical="center"/>
    </xf>
    <xf numFmtId="9" fontId="10" fillId="0" borderId="22" xfId="2" applyFont="1" applyFill="1" applyBorder="1" applyAlignment="1">
      <alignment horizontal="left" vertical="center" wrapText="1"/>
    </xf>
    <xf numFmtId="0" fontId="5" fillId="0" borderId="22" xfId="1" applyFont="1" applyFill="1" applyBorder="1" applyAlignment="1">
      <alignment horizontal="left" vertical="center" wrapText="1"/>
    </xf>
    <xf numFmtId="0" fontId="10" fillId="0" borderId="0" xfId="1" applyFont="1" applyFill="1" applyAlignment="1">
      <alignment vertical="center" wrapText="1"/>
    </xf>
    <xf numFmtId="0" fontId="10" fillId="0" borderId="51" xfId="1" applyFont="1" applyFill="1" applyBorder="1" applyAlignment="1">
      <alignment horizontal="left" vertical="center"/>
    </xf>
    <xf numFmtId="0" fontId="10" fillId="0" borderId="33" xfId="1" applyFont="1" applyFill="1" applyBorder="1" applyAlignment="1">
      <alignment horizontal="left" vertical="center" wrapText="1"/>
    </xf>
    <xf numFmtId="0" fontId="10" fillId="0" borderId="32" xfId="1" applyFont="1" applyFill="1" applyBorder="1" applyAlignment="1">
      <alignment horizontal="left" vertical="center" wrapText="1"/>
    </xf>
    <xf numFmtId="0" fontId="10" fillId="0" borderId="0" xfId="1" applyFont="1" applyAlignment="1">
      <alignment horizontal="center"/>
    </xf>
    <xf numFmtId="0" fontId="9" fillId="6" borderId="46" xfId="1" applyFont="1" applyFill="1" applyBorder="1" applyAlignment="1">
      <alignment horizontal="center" vertical="center"/>
    </xf>
    <xf numFmtId="0" fontId="9" fillId="6" borderId="45" xfId="1" applyFont="1" applyFill="1" applyBorder="1" applyAlignment="1">
      <alignment horizontal="center" vertical="center" wrapText="1"/>
    </xf>
    <xf numFmtId="0" fontId="9" fillId="6" borderId="45" xfId="1" applyFont="1" applyFill="1" applyBorder="1" applyAlignment="1">
      <alignment horizontal="center" vertical="center"/>
    </xf>
    <xf numFmtId="0" fontId="10" fillId="0" borderId="0" xfId="1" applyFont="1" applyAlignment="1">
      <alignment vertical="center" wrapText="1"/>
    </xf>
    <xf numFmtId="0" fontId="10" fillId="0" borderId="0" xfId="1" applyFont="1" applyAlignment="1">
      <alignment horizontal="center" vertical="center" wrapText="1"/>
    </xf>
    <xf numFmtId="0" fontId="10" fillId="0" borderId="0" xfId="1" applyFont="1" applyAlignment="1">
      <alignment vertical="top" wrapText="1"/>
    </xf>
    <xf numFmtId="0" fontId="10" fillId="0" borderId="50" xfId="1" applyFont="1" applyFill="1" applyBorder="1" applyAlignment="1">
      <alignment vertical="center" wrapText="1"/>
    </xf>
    <xf numFmtId="0" fontId="10" fillId="0" borderId="43" xfId="1" applyFont="1" applyFill="1" applyBorder="1" applyAlignment="1">
      <alignment vertical="center" wrapText="1"/>
    </xf>
    <xf numFmtId="0" fontId="10" fillId="0" borderId="51" xfId="1" applyFont="1" applyFill="1" applyBorder="1" applyAlignment="1">
      <alignment vertical="center" wrapText="1"/>
    </xf>
    <xf numFmtId="0" fontId="10" fillId="0" borderId="22" xfId="1" applyFont="1" applyFill="1" applyBorder="1" applyAlignment="1">
      <alignment vertical="center" wrapText="1"/>
    </xf>
    <xf numFmtId="0" fontId="13" fillId="0" borderId="51" xfId="1" applyFont="1" applyFill="1" applyBorder="1" applyAlignment="1">
      <alignment horizontal="center" vertical="center" wrapText="1"/>
    </xf>
    <xf numFmtId="0" fontId="14" fillId="0" borderId="51" xfId="1" applyFont="1" applyFill="1" applyBorder="1" applyAlignment="1">
      <alignment vertical="center" wrapText="1"/>
    </xf>
    <xf numFmtId="0" fontId="15" fillId="0" borderId="22" xfId="1" applyFont="1" applyFill="1" applyBorder="1" applyAlignment="1">
      <alignment vertical="center" wrapText="1"/>
    </xf>
    <xf numFmtId="0" fontId="9" fillId="6" borderId="46" xfId="1" applyFont="1" applyFill="1" applyBorder="1" applyAlignment="1">
      <alignment horizontal="center" vertical="center" wrapText="1"/>
    </xf>
    <xf numFmtId="0" fontId="10" fillId="0" borderId="0" xfId="1" applyFont="1" applyAlignment="1">
      <alignment horizontal="center" vertical="top" wrapText="1"/>
    </xf>
    <xf numFmtId="0" fontId="5" fillId="0" borderId="0" xfId="1" applyFont="1" applyAlignment="1">
      <alignment vertical="top" wrapText="1"/>
    </xf>
    <xf numFmtId="0" fontId="5" fillId="0" borderId="0" xfId="1" applyFont="1" applyAlignment="1">
      <alignment horizontal="center" vertical="top" wrapText="1"/>
    </xf>
    <xf numFmtId="0" fontId="5" fillId="0" borderId="0" xfId="1" applyFont="1" applyAlignment="1">
      <alignment horizontal="center" vertical="center" wrapText="1"/>
    </xf>
    <xf numFmtId="0" fontId="5" fillId="0" borderId="0" xfId="1" applyFont="1" applyAlignment="1">
      <alignment vertical="center" wrapText="1"/>
    </xf>
    <xf numFmtId="0" fontId="5" fillId="0" borderId="0" xfId="1" applyFont="1" applyAlignment="1">
      <alignment horizontal="left" vertical="center" wrapText="1"/>
    </xf>
    <xf numFmtId="0" fontId="10" fillId="0" borderId="0" xfId="1" applyFont="1" applyFill="1" applyAlignment="1">
      <alignment wrapText="1"/>
    </xf>
    <xf numFmtId="0" fontId="10" fillId="0" borderId="0" xfId="1" applyFont="1" applyFill="1"/>
    <xf numFmtId="49" fontId="10" fillId="0" borderId="22" xfId="1" applyNumberFormat="1" applyFont="1" applyFill="1" applyBorder="1" applyAlignment="1">
      <alignment vertical="center" wrapText="1"/>
    </xf>
    <xf numFmtId="0" fontId="9" fillId="6" borderId="52" xfId="1" applyFont="1" applyFill="1" applyBorder="1" applyAlignment="1">
      <alignment horizontal="center" vertical="center"/>
    </xf>
    <xf numFmtId="0" fontId="10" fillId="0" borderId="3" xfId="1" applyFont="1" applyFill="1" applyBorder="1" applyAlignment="1">
      <alignment vertical="center"/>
    </xf>
    <xf numFmtId="0" fontId="10" fillId="0" borderId="22" xfId="1" applyFont="1" applyFill="1" applyBorder="1" applyAlignment="1">
      <alignment horizontal="center" vertical="center" wrapText="1"/>
    </xf>
    <xf numFmtId="0" fontId="10" fillId="0" borderId="43" xfId="1" applyFont="1" applyFill="1" applyBorder="1" applyAlignment="1">
      <alignment horizontal="center" vertical="center" wrapText="1"/>
    </xf>
    <xf numFmtId="0" fontId="10" fillId="0" borderId="36" xfId="1" applyFont="1" applyFill="1" applyBorder="1" applyAlignment="1">
      <alignment vertical="center"/>
    </xf>
    <xf numFmtId="0" fontId="16" fillId="7" borderId="3" xfId="1" applyFont="1" applyFill="1" applyBorder="1" applyAlignment="1">
      <alignment vertical="center"/>
    </xf>
    <xf numFmtId="0" fontId="16" fillId="7" borderId="22" xfId="1" applyFont="1" applyFill="1" applyBorder="1" applyAlignment="1">
      <alignment vertical="center" wrapText="1"/>
    </xf>
    <xf numFmtId="0" fontId="16" fillId="7" borderId="51" xfId="1" applyFont="1" applyFill="1" applyBorder="1" applyAlignment="1">
      <alignment vertical="center" wrapText="1"/>
    </xf>
    <xf numFmtId="0" fontId="16" fillId="7" borderId="0" xfId="1" applyFont="1" applyFill="1"/>
    <xf numFmtId="0" fontId="8" fillId="4" borderId="44" xfId="0" applyFont="1" applyFill="1" applyBorder="1" applyAlignment="1">
      <alignment horizontal="center" vertical="center"/>
    </xf>
    <xf numFmtId="0" fontId="8" fillId="4" borderId="47" xfId="0" applyFont="1" applyFill="1" applyBorder="1" applyAlignment="1">
      <alignment horizontal="center" vertical="center"/>
    </xf>
    <xf numFmtId="0" fontId="8" fillId="4" borderId="48" xfId="0" applyFont="1" applyFill="1" applyBorder="1" applyAlignment="1">
      <alignment horizontal="center" vertical="center"/>
    </xf>
    <xf numFmtId="0" fontId="5" fillId="0" borderId="7" xfId="0" applyFont="1" applyBorder="1" applyAlignment="1">
      <alignment horizontal="left" vertical="center"/>
    </xf>
    <xf numFmtId="0" fontId="5" fillId="0" borderId="2" xfId="0" applyFont="1" applyBorder="1" applyAlignment="1">
      <alignment horizontal="left" vertical="center"/>
    </xf>
    <xf numFmtId="0" fontId="5" fillId="0" borderId="8" xfId="0" applyFont="1" applyBorder="1" applyAlignment="1">
      <alignment horizontal="left" vertical="center"/>
    </xf>
    <xf numFmtId="14" fontId="4" fillId="3" borderId="7"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5" fillId="0" borderId="7" xfId="0" applyNumberFormat="1" applyFont="1" applyBorder="1" applyAlignment="1">
      <alignment horizontal="left" vertical="center"/>
    </xf>
    <xf numFmtId="0" fontId="5" fillId="0" borderId="2" xfId="0" applyNumberFormat="1" applyFont="1" applyBorder="1" applyAlignment="1">
      <alignment horizontal="left" vertical="center"/>
    </xf>
    <xf numFmtId="0" fontId="5" fillId="0" borderId="8" xfId="0" applyNumberFormat="1" applyFont="1" applyBorder="1" applyAlignment="1">
      <alignment horizontal="left" vertical="center"/>
    </xf>
    <xf numFmtId="0" fontId="4" fillId="3" borderId="7" xfId="0" applyFont="1" applyFill="1" applyBorder="1" applyAlignment="1">
      <alignment horizontal="center" vertical="center" wrapText="1"/>
    </xf>
    <xf numFmtId="0" fontId="5" fillId="3" borderId="2" xfId="0" applyFont="1" applyFill="1" applyBorder="1">
      <alignment vertical="center"/>
    </xf>
    <xf numFmtId="0" fontId="5" fillId="3" borderId="8" xfId="0" applyFont="1" applyFill="1" applyBorder="1">
      <alignment vertical="center"/>
    </xf>
    <xf numFmtId="0" fontId="5" fillId="0" borderId="7" xfId="0" quotePrefix="1" applyFont="1" applyBorder="1" applyAlignment="1">
      <alignment horizontal="left" vertical="center"/>
    </xf>
    <xf numFmtId="0" fontId="5" fillId="0" borderId="10" xfId="0" applyFont="1" applyBorder="1" applyAlignment="1">
      <alignment horizontal="left" vertical="center"/>
    </xf>
    <xf numFmtId="0" fontId="5" fillId="0" borderId="12" xfId="0" applyFont="1" applyBorder="1" applyAlignment="1">
      <alignment horizontal="left" vertical="center"/>
    </xf>
    <xf numFmtId="0" fontId="5" fillId="0" borderId="13" xfId="0" applyFont="1" applyBorder="1" applyAlignment="1">
      <alignment horizontal="left" vertical="center"/>
    </xf>
    <xf numFmtId="176" fontId="5" fillId="0" borderId="10" xfId="0" applyNumberFormat="1" applyFont="1" applyBorder="1" applyAlignment="1">
      <alignment horizontal="left" vertical="center"/>
    </xf>
    <xf numFmtId="176" fontId="5" fillId="0" borderId="12" xfId="0" applyNumberFormat="1" applyFont="1" applyBorder="1" applyAlignment="1">
      <alignment horizontal="left" vertical="center"/>
    </xf>
    <xf numFmtId="176" fontId="5" fillId="0" borderId="13" xfId="0" applyNumberFormat="1" applyFont="1" applyBorder="1" applyAlignment="1">
      <alignment horizontal="left" vertical="center"/>
    </xf>
    <xf numFmtId="0" fontId="4" fillId="3" borderId="7"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8" xfId="0" applyFont="1" applyFill="1" applyBorder="1" applyAlignment="1">
      <alignment horizontal="center" vertical="center"/>
    </xf>
    <xf numFmtId="14" fontId="5" fillId="0" borderId="7"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5" fillId="0" borderId="22" xfId="0" applyFont="1" applyBorder="1" applyAlignment="1">
      <alignment horizontal="center" vertical="center"/>
    </xf>
    <xf numFmtId="177" fontId="5" fillId="0" borderId="7" xfId="0" applyNumberFormat="1" applyFont="1" applyBorder="1" applyAlignment="1">
      <alignment horizontal="center" vertical="center"/>
    </xf>
    <xf numFmtId="177" fontId="5" fillId="0" borderId="2" xfId="0" applyNumberFormat="1" applyFont="1" applyBorder="1" applyAlignment="1">
      <alignment horizontal="center" vertical="center"/>
    </xf>
    <xf numFmtId="177" fontId="5" fillId="0" borderId="8" xfId="0" applyNumberFormat="1" applyFont="1" applyBorder="1" applyAlignment="1">
      <alignment horizontal="center" vertical="center"/>
    </xf>
    <xf numFmtId="0" fontId="4" fillId="3" borderId="2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3" borderId="12" xfId="0" applyFont="1" applyFill="1" applyBorder="1">
      <alignment vertical="center"/>
    </xf>
    <xf numFmtId="0" fontId="5" fillId="3" borderId="13" xfId="0" applyFont="1" applyFill="1" applyBorder="1">
      <alignment vertical="center"/>
    </xf>
    <xf numFmtId="0" fontId="5" fillId="0" borderId="7" xfId="0" applyFont="1" applyBorder="1" applyAlignment="1">
      <alignment horizontal="left" vertical="center" wrapText="1"/>
    </xf>
    <xf numFmtId="0" fontId="8" fillId="4" borderId="44" xfId="0" applyFont="1" applyFill="1" applyBorder="1" applyAlignment="1">
      <alignment horizontal="center" vertical="center" wrapText="1"/>
    </xf>
    <xf numFmtId="14" fontId="5" fillId="0" borderId="7" xfId="0" applyNumberFormat="1" applyFont="1" applyBorder="1" applyAlignment="1">
      <alignment horizontal="left" vertical="center"/>
    </xf>
    <xf numFmtId="0" fontId="11" fillId="2" borderId="17" xfId="0" applyFont="1" applyFill="1" applyBorder="1" applyAlignment="1">
      <alignment horizontal="center" shrinkToFit="1"/>
    </xf>
    <xf numFmtId="0" fontId="3" fillId="0" borderId="18" xfId="0" applyFont="1" applyBorder="1" applyAlignment="1">
      <alignment horizontal="center" shrinkToFit="1"/>
    </xf>
    <xf numFmtId="0" fontId="11" fillId="2" borderId="17" xfId="0" applyFont="1" applyFill="1" applyBorder="1" applyAlignment="1">
      <alignment horizontal="center"/>
    </xf>
    <xf numFmtId="0" fontId="3" fillId="0" borderId="18" xfId="0" applyFont="1" applyBorder="1" applyAlignment="1">
      <alignment horizontal="center"/>
    </xf>
    <xf numFmtId="0" fontId="11" fillId="2" borderId="27" xfId="0" applyFont="1" applyFill="1" applyBorder="1" applyAlignment="1">
      <alignment horizontal="center"/>
    </xf>
    <xf numFmtId="0" fontId="3" fillId="0" borderId="28" xfId="0" applyFont="1" applyBorder="1" applyAlignment="1">
      <alignment horizontal="center"/>
    </xf>
    <xf numFmtId="0" fontId="11" fillId="0" borderId="0" xfId="0" applyFont="1" applyFill="1" applyBorder="1" applyAlignment="1">
      <alignment horizontal="left"/>
    </xf>
    <xf numFmtId="0" fontId="11" fillId="0" borderId="0" xfId="0" applyFont="1" applyFill="1" applyBorder="1" applyAlignment="1">
      <alignment horizontal="center"/>
    </xf>
    <xf numFmtId="0" fontId="11" fillId="0" borderId="0" xfId="0" applyFont="1" applyFill="1" applyBorder="1" applyAlignment="1">
      <alignment horizontal="center" shrinkToFit="1"/>
    </xf>
    <xf numFmtId="0" fontId="3" fillId="0" borderId="0" xfId="0" applyFont="1" applyFill="1" applyBorder="1" applyAlignment="1">
      <alignment horizontal="center" shrinkToFit="1"/>
    </xf>
    <xf numFmtId="0" fontId="3" fillId="0" borderId="0" xfId="0" applyFont="1" applyFill="1" applyBorder="1" applyAlignment="1">
      <alignment horizontal="center"/>
    </xf>
    <xf numFmtId="0" fontId="3" fillId="2" borderId="53" xfId="0" applyFont="1" applyFill="1" applyBorder="1" applyAlignment="1">
      <alignment horizontal="center" vertical="top"/>
    </xf>
    <xf numFmtId="0" fontId="17" fillId="0" borderId="34" xfId="0" applyFont="1" applyBorder="1" applyAlignment="1">
      <alignment horizontal="center" vertical="top"/>
    </xf>
    <xf numFmtId="0" fontId="3" fillId="2" borderId="34" xfId="0" applyFont="1" applyFill="1" applyBorder="1" applyAlignment="1">
      <alignment horizontal="center" vertical="top"/>
    </xf>
    <xf numFmtId="0" fontId="3" fillId="2" borderId="5" xfId="0" applyFont="1" applyFill="1" applyBorder="1" applyAlignment="1">
      <alignment horizontal="center" vertical="top"/>
    </xf>
    <xf numFmtId="0" fontId="3" fillId="2" borderId="54" xfId="0" applyFont="1" applyFill="1" applyBorder="1" applyAlignment="1">
      <alignment horizontal="center" vertical="top"/>
    </xf>
    <xf numFmtId="0" fontId="3" fillId="2" borderId="55" xfId="0" applyFont="1" applyFill="1" applyBorder="1" applyAlignment="1">
      <alignment horizontal="center" vertical="top"/>
    </xf>
    <xf numFmtId="0" fontId="3" fillId="2" borderId="27" xfId="0" applyFont="1" applyFill="1" applyBorder="1" applyAlignment="1">
      <alignment horizontal="center" vertical="top"/>
    </xf>
    <xf numFmtId="0" fontId="3" fillId="2" borderId="56" xfId="0" applyFont="1" applyFill="1" applyBorder="1" applyAlignment="1">
      <alignment horizontal="center" vertical="top"/>
    </xf>
    <xf numFmtId="0" fontId="3" fillId="2" borderId="57" xfId="0" applyFont="1" applyFill="1" applyBorder="1" applyAlignment="1">
      <alignment horizontal="center" vertical="top"/>
    </xf>
    <xf numFmtId="0" fontId="3" fillId="0" borderId="31" xfId="0" applyNumberFormat="1" applyFont="1" applyBorder="1" applyAlignment="1">
      <alignment horizontal="center" vertical="top"/>
    </xf>
    <xf numFmtId="0" fontId="3" fillId="0" borderId="35" xfId="0" applyNumberFormat="1" applyFont="1" applyBorder="1" applyAlignment="1">
      <alignment horizontal="center" vertical="top"/>
    </xf>
    <xf numFmtId="14" fontId="3" fillId="0" borderId="35" xfId="0" applyNumberFormat="1" applyFont="1" applyBorder="1" applyAlignment="1">
      <alignment horizontal="center" vertical="top"/>
    </xf>
    <xf numFmtId="0" fontId="3" fillId="0" borderId="35" xfId="0" applyFont="1" applyBorder="1" applyAlignment="1">
      <alignment horizontal="center" vertical="top"/>
    </xf>
    <xf numFmtId="0" fontId="3" fillId="0" borderId="58" xfId="0" applyFont="1" applyBorder="1" applyAlignment="1">
      <alignment horizontal="left" vertical="top"/>
    </xf>
    <xf numFmtId="0" fontId="3" fillId="0" borderId="59" xfId="0" applyFont="1" applyBorder="1" applyAlignment="1">
      <alignment horizontal="left" vertical="top"/>
    </xf>
    <xf numFmtId="0" fontId="3" fillId="0" borderId="60" xfId="0" applyFont="1" applyBorder="1" applyAlignment="1">
      <alignment horizontal="left" vertical="top"/>
    </xf>
    <xf numFmtId="0" fontId="3" fillId="0" borderId="6" xfId="0" applyNumberFormat="1" applyFont="1" applyBorder="1" applyAlignment="1">
      <alignment horizontal="center" vertical="top"/>
    </xf>
    <xf numFmtId="0" fontId="3" fillId="0" borderId="61" xfId="0" applyNumberFormat="1" applyFont="1" applyBorder="1" applyAlignment="1">
      <alignment horizontal="center" vertical="top"/>
    </xf>
    <xf numFmtId="0" fontId="3" fillId="0" borderId="62" xfId="0" applyNumberFormat="1" applyFont="1" applyBorder="1" applyAlignment="1">
      <alignment horizontal="center" vertical="top"/>
    </xf>
    <xf numFmtId="0" fontId="3" fillId="0" borderId="9" xfId="0" applyNumberFormat="1" applyFont="1" applyBorder="1" applyAlignment="1">
      <alignment horizontal="center" vertical="top"/>
    </xf>
    <xf numFmtId="0" fontId="3" fillId="0" borderId="22" xfId="0" applyNumberFormat="1" applyFont="1" applyBorder="1" applyAlignment="1">
      <alignment horizontal="center" vertical="top"/>
    </xf>
    <xf numFmtId="0" fontId="3" fillId="0" borderId="22" xfId="0" applyFont="1" applyBorder="1" applyAlignment="1">
      <alignment horizontal="center" vertical="top"/>
    </xf>
    <xf numFmtId="0" fontId="3" fillId="0" borderId="63" xfId="0" applyFont="1" applyBorder="1" applyAlignment="1">
      <alignment horizontal="left" vertical="top"/>
    </xf>
    <xf numFmtId="0" fontId="3" fillId="0" borderId="0" xfId="0" applyFont="1" applyBorder="1" applyAlignment="1">
      <alignment horizontal="left" vertical="top"/>
    </xf>
    <xf numFmtId="0" fontId="3" fillId="0" borderId="64" xfId="0" applyFont="1" applyBorder="1" applyAlignment="1">
      <alignment horizontal="left" vertical="top"/>
    </xf>
    <xf numFmtId="0" fontId="3" fillId="0" borderId="7" xfId="0" applyNumberFormat="1" applyFont="1" applyBorder="1" applyAlignment="1">
      <alignment horizontal="center" vertical="top"/>
    </xf>
    <xf numFmtId="0" fontId="3" fillId="0" borderId="2" xfId="0" applyNumberFormat="1" applyFont="1" applyBorder="1" applyAlignment="1">
      <alignment horizontal="center" vertical="top"/>
    </xf>
    <xf numFmtId="0" fontId="3" fillId="0" borderId="65" xfId="0" applyNumberFormat="1" applyFont="1" applyBorder="1" applyAlignment="1">
      <alignment horizontal="center" vertical="top"/>
    </xf>
    <xf numFmtId="14" fontId="3" fillId="0" borderId="22" xfId="0" applyNumberFormat="1" applyFont="1" applyBorder="1" applyAlignment="1">
      <alignment horizontal="center" vertical="top"/>
    </xf>
    <xf numFmtId="0" fontId="3" fillId="0" borderId="10" xfId="0" applyFont="1" applyBorder="1" applyAlignment="1">
      <alignment horizontal="left" vertical="top"/>
    </xf>
    <xf numFmtId="0" fontId="3" fillId="0" borderId="12" xfId="0" applyFont="1" applyBorder="1" applyAlignment="1">
      <alignment horizontal="left" vertical="top"/>
    </xf>
    <xf numFmtId="0" fontId="3" fillId="0" borderId="13" xfId="0" applyFont="1" applyBorder="1" applyAlignment="1">
      <alignment horizontal="left" vertical="top"/>
    </xf>
    <xf numFmtId="0" fontId="3" fillId="0" borderId="36" xfId="0" applyNumberFormat="1" applyFont="1" applyBorder="1" applyAlignment="1">
      <alignment horizontal="center" vertical="top"/>
    </xf>
    <xf numFmtId="0" fontId="3" fillId="0" borderId="43" xfId="0" applyNumberFormat="1" applyFont="1" applyBorder="1" applyAlignment="1">
      <alignment horizontal="center" vertical="top"/>
    </xf>
    <xf numFmtId="0" fontId="3" fillId="0" borderId="43" xfId="0" applyFont="1" applyBorder="1" applyAlignment="1">
      <alignment horizontal="center" vertical="top"/>
    </xf>
    <xf numFmtId="0" fontId="3" fillId="0" borderId="66" xfId="0" applyFont="1" applyBorder="1" applyAlignment="1">
      <alignment horizontal="left" vertical="top"/>
    </xf>
    <xf numFmtId="0" fontId="3" fillId="0" borderId="1" xfId="0" applyFont="1" applyBorder="1" applyAlignment="1">
      <alignment horizontal="left" vertical="top"/>
    </xf>
    <xf numFmtId="0" fontId="3" fillId="0" borderId="67" xfId="0" applyFont="1" applyBorder="1" applyAlignment="1">
      <alignment horizontal="left" vertical="top"/>
    </xf>
    <xf numFmtId="0" fontId="3" fillId="0" borderId="15" xfId="0" applyNumberFormat="1" applyFont="1" applyBorder="1" applyAlignment="1">
      <alignment horizontal="center" vertical="top"/>
    </xf>
    <xf numFmtId="0" fontId="3" fillId="0" borderId="68" xfId="0" applyNumberFormat="1" applyFont="1" applyBorder="1" applyAlignment="1">
      <alignment horizontal="center" vertical="top"/>
    </xf>
    <xf numFmtId="0" fontId="3" fillId="0" borderId="69" xfId="0" applyNumberFormat="1" applyFont="1" applyBorder="1" applyAlignment="1">
      <alignment horizontal="center" vertical="top"/>
    </xf>
    <xf numFmtId="177" fontId="3" fillId="0" borderId="0" xfId="0" applyNumberFormat="1" applyFont="1" applyBorder="1" applyAlignment="1">
      <alignment horizontal="center"/>
    </xf>
    <xf numFmtId="0" fontId="3" fillId="0" borderId="0" xfId="0" applyFont="1" applyBorder="1" applyAlignment="1">
      <alignment horizontal="center"/>
    </xf>
    <xf numFmtId="0" fontId="3" fillId="0" borderId="0" xfId="0" applyNumberFormat="1" applyFont="1" applyBorder="1" applyAlignment="1">
      <alignment horizontal="center"/>
    </xf>
    <xf numFmtId="0" fontId="3" fillId="4" borderId="70" xfId="0" applyFont="1" applyFill="1" applyBorder="1" applyAlignment="1">
      <alignment horizontal="center" vertical="top"/>
    </xf>
    <xf numFmtId="0" fontId="3" fillId="4" borderId="45" xfId="0" applyFont="1" applyFill="1" applyBorder="1" applyAlignment="1">
      <alignment horizontal="center" vertical="top"/>
    </xf>
    <xf numFmtId="0" fontId="3" fillId="2" borderId="45" xfId="0" applyFont="1" applyFill="1" applyBorder="1" applyAlignment="1">
      <alignment horizontal="center" vertical="top"/>
    </xf>
    <xf numFmtId="0" fontId="3" fillId="2" borderId="46" xfId="0" applyFont="1" applyFill="1" applyBorder="1" applyAlignment="1">
      <alignment horizontal="center" vertical="top"/>
    </xf>
    <xf numFmtId="0" fontId="3" fillId="4" borderId="71" xfId="0" applyFont="1" applyFill="1" applyBorder="1" applyAlignment="1">
      <alignment horizontal="center" vertical="top"/>
    </xf>
    <xf numFmtId="0" fontId="3" fillId="4" borderId="72" xfId="0" applyFont="1" applyFill="1" applyBorder="1" applyAlignment="1">
      <alignment horizontal="center" vertical="top"/>
    </xf>
    <xf numFmtId="0" fontId="3" fillId="2" borderId="72" xfId="0" applyFont="1" applyFill="1" applyBorder="1" applyAlignment="1">
      <alignment horizontal="center" vertical="top"/>
    </xf>
    <xf numFmtId="0" fontId="3" fillId="2" borderId="73" xfId="0" applyFont="1" applyFill="1" applyBorder="1" applyAlignment="1">
      <alignment horizontal="center" vertical="top"/>
    </xf>
    <xf numFmtId="0" fontId="3" fillId="0" borderId="74" xfId="0" applyNumberFormat="1" applyFont="1" applyBorder="1" applyAlignment="1">
      <alignment horizontal="center" vertical="top"/>
    </xf>
    <xf numFmtId="0" fontId="3" fillId="0" borderId="75" xfId="0" applyNumberFormat="1" applyFont="1" applyBorder="1" applyAlignment="1">
      <alignment horizontal="center" vertical="top"/>
    </xf>
    <xf numFmtId="177" fontId="3" fillId="0" borderId="76" xfId="0" applyNumberFormat="1" applyFont="1" applyBorder="1" applyAlignment="1">
      <alignment horizontal="center" vertical="top"/>
    </xf>
    <xf numFmtId="177" fontId="3" fillId="0" borderId="77" xfId="0" applyNumberFormat="1" applyFont="1" applyBorder="1" applyAlignment="1">
      <alignment horizontal="center" vertical="top"/>
    </xf>
    <xf numFmtId="177" fontId="3" fillId="0" borderId="75" xfId="0" applyNumberFormat="1" applyFont="1" applyBorder="1" applyAlignment="1">
      <alignment horizontal="center" vertical="top"/>
    </xf>
    <xf numFmtId="0" fontId="3" fillId="0" borderId="76" xfId="0" applyFont="1" applyBorder="1" applyAlignment="1">
      <alignment vertical="top" wrapText="1"/>
    </xf>
    <xf numFmtId="0" fontId="3" fillId="0" borderId="77" xfId="0" applyFont="1" applyBorder="1" applyAlignment="1">
      <alignment vertical="top"/>
    </xf>
    <xf numFmtId="0" fontId="3" fillId="0" borderId="75" xfId="0" applyFont="1" applyBorder="1" applyAlignment="1">
      <alignment vertical="top"/>
    </xf>
    <xf numFmtId="0" fontId="3" fillId="0" borderId="76" xfId="0" applyNumberFormat="1" applyFont="1" applyBorder="1" applyAlignment="1">
      <alignment horizontal="center" vertical="top"/>
    </xf>
    <xf numFmtId="0" fontId="3" fillId="0" borderId="77" xfId="0" applyNumberFormat="1" applyFont="1" applyBorder="1" applyAlignment="1">
      <alignment horizontal="center" vertical="top"/>
    </xf>
    <xf numFmtId="14" fontId="3" fillId="0" borderId="76" xfId="0" applyNumberFormat="1" applyFont="1" applyBorder="1" applyAlignment="1">
      <alignment horizontal="center" vertical="top"/>
    </xf>
    <xf numFmtId="14" fontId="3" fillId="0" borderId="77" xfId="0" applyNumberFormat="1" applyFont="1" applyBorder="1" applyAlignment="1">
      <alignment horizontal="center" vertical="top"/>
    </xf>
    <xf numFmtId="14" fontId="3" fillId="0" borderId="78" xfId="0" applyNumberFormat="1" applyFont="1" applyBorder="1" applyAlignment="1">
      <alignment horizontal="center" vertical="top"/>
    </xf>
    <xf numFmtId="0" fontId="3" fillId="0" borderId="79" xfId="0" applyNumberFormat="1" applyFont="1" applyBorder="1" applyAlignment="1">
      <alignment horizontal="center" vertical="top"/>
    </xf>
    <xf numFmtId="0" fontId="3" fillId="0" borderId="80" xfId="0" applyNumberFormat="1" applyFont="1" applyBorder="1" applyAlignment="1">
      <alignment horizontal="center" vertical="top"/>
    </xf>
    <xf numFmtId="177" fontId="3" fillId="0" borderId="81" xfId="0" applyNumberFormat="1" applyFont="1" applyBorder="1" applyAlignment="1">
      <alignment horizontal="center" vertical="top"/>
    </xf>
    <xf numFmtId="177" fontId="3" fillId="0" borderId="82" xfId="0" applyNumberFormat="1" applyFont="1" applyBorder="1" applyAlignment="1">
      <alignment horizontal="center" vertical="top"/>
    </xf>
    <xf numFmtId="177" fontId="3" fillId="0" borderId="80" xfId="0" applyNumberFormat="1" applyFont="1" applyBorder="1" applyAlignment="1">
      <alignment horizontal="center" vertical="top"/>
    </xf>
    <xf numFmtId="0" fontId="3" fillId="0" borderId="81" xfId="0" applyFont="1" applyBorder="1" applyAlignment="1">
      <alignment horizontal="left" vertical="top" wrapText="1"/>
    </xf>
    <xf numFmtId="0" fontId="3" fillId="0" borderId="82" xfId="0" applyFont="1" applyBorder="1" applyAlignment="1">
      <alignment horizontal="left" vertical="top" wrapText="1"/>
    </xf>
    <xf numFmtId="0" fontId="3" fillId="0" borderId="80" xfId="0" applyFont="1" applyBorder="1" applyAlignment="1">
      <alignment horizontal="left" vertical="top" wrapText="1"/>
    </xf>
    <xf numFmtId="0" fontId="3" fillId="0" borderId="81" xfId="0" applyNumberFormat="1" applyFont="1" applyBorder="1" applyAlignment="1">
      <alignment horizontal="center" vertical="top"/>
    </xf>
    <xf numFmtId="0" fontId="3" fillId="0" borderId="82" xfId="0" applyNumberFormat="1" applyFont="1" applyBorder="1" applyAlignment="1">
      <alignment horizontal="center" vertical="top"/>
    </xf>
    <xf numFmtId="14" fontId="3" fillId="0" borderId="81" xfId="0" applyNumberFormat="1" applyFont="1" applyBorder="1" applyAlignment="1">
      <alignment horizontal="center" vertical="top"/>
    </xf>
    <xf numFmtId="14" fontId="3" fillId="0" borderId="82" xfId="0" applyNumberFormat="1" applyFont="1" applyBorder="1" applyAlignment="1">
      <alignment horizontal="center" vertical="top"/>
    </xf>
    <xf numFmtId="14" fontId="3" fillId="0" borderId="83" xfId="0" applyNumberFormat="1" applyFont="1" applyBorder="1" applyAlignment="1">
      <alignment horizontal="center" vertical="top"/>
    </xf>
  </cellXfs>
  <cellStyles count="3">
    <cellStyle name="パーセント 2" xfId="2"/>
    <cellStyle name="標準" xfId="0" builtinId="0"/>
    <cellStyle name="標準 2" xfId="1"/>
  </cellStyles>
  <dxfs count="0"/>
  <tableStyles count="0" defaultTableStyle="TableStyleMedium9" defaultPivotStyle="PivotStyleLight16"/>
  <colors>
    <mruColors>
      <color rgb="FFCCFFCC"/>
      <color rgb="FFFFCCFF"/>
      <color rgb="FFD9D9D9"/>
      <color rgb="FFCCFFFF"/>
      <color rgb="FFFFFF99"/>
      <color rgb="FFFFFFCC"/>
      <color rgb="FFA7FFA7"/>
      <color rgb="FFFF99FF"/>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1" Type="http://schemas.openxmlformats.org/officeDocument/2006/relationships/image" Target="../media/image12.emf"/></Relationships>
</file>

<file path=xl/drawings/_rels/drawing7.x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10</xdr:col>
      <xdr:colOff>48746</xdr:colOff>
      <xdr:row>37</xdr:row>
      <xdr:rowOff>76760</xdr:rowOff>
    </xdr:from>
    <xdr:to>
      <xdr:col>39</xdr:col>
      <xdr:colOff>10646</xdr:colOff>
      <xdr:row>39</xdr:row>
      <xdr:rowOff>86285</xdr:rowOff>
    </xdr:to>
    <xdr:grpSp>
      <xdr:nvGrpSpPr>
        <xdr:cNvPr id="1136" name="Group 2"/>
        <xdr:cNvGrpSpPr>
          <a:grpSpLocks/>
        </xdr:cNvGrpSpPr>
      </xdr:nvGrpSpPr>
      <xdr:grpSpPr bwMode="auto">
        <a:xfrm>
          <a:off x="1953746" y="6334685"/>
          <a:ext cx="5486400" cy="295275"/>
          <a:chOff x="288" y="656"/>
          <a:chExt cx="576" cy="31"/>
        </a:xfrm>
      </xdr:grpSpPr>
      <xdr:pic>
        <xdr:nvPicPr>
          <xdr:cNvPr id="1140" name="Picture 3" descr="BL-J_Bw"/>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4" y="661"/>
            <a:ext cx="450"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41"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 y="656"/>
            <a:ext cx="107"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grpSp>
    <xdr:clientData/>
  </xdr:twoCellAnchor>
  <xdr:twoCellAnchor editAs="oneCell">
    <xdr:from>
      <xdr:col>8</xdr:col>
      <xdr:colOff>142875</xdr:colOff>
      <xdr:row>9</xdr:row>
      <xdr:rowOff>9525</xdr:rowOff>
    </xdr:from>
    <xdr:to>
      <xdr:col>41</xdr:col>
      <xdr:colOff>38100</xdr:colOff>
      <xdr:row>20</xdr:row>
      <xdr:rowOff>85725</xdr:rowOff>
    </xdr:to>
    <xdr:sp macro="" textlink="">
      <xdr:nvSpPr>
        <xdr:cNvPr id="1033" name="AutoShape 5"/>
        <xdr:cNvSpPr>
          <a:spLocks noChangeArrowheads="1"/>
        </xdr:cNvSpPr>
      </xdr:nvSpPr>
      <xdr:spPr bwMode="auto">
        <a:xfrm>
          <a:off x="1666875" y="1343025"/>
          <a:ext cx="6181725" cy="1752600"/>
        </a:xfrm>
        <a:prstGeom prst="roundRect">
          <a:avLst>
            <a:gd name="adj" fmla="val 16667"/>
          </a:avLst>
        </a:prstGeom>
        <a:solidFill>
          <a:srgbClr val="FFFFFF"/>
        </a:solidFill>
        <a:ln w="25400">
          <a:solidFill>
            <a:srgbClr val="000000"/>
          </a:solidFill>
          <a:round/>
          <a:headEnd/>
          <a:tailEnd/>
        </a:ln>
        <a:effectLst>
          <a:outerShdw dist="107763" dir="2700000" algn="ctr" rotWithShape="0">
            <a:srgbClr val="333333"/>
          </a:outerShdw>
        </a:effectLst>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共通設計書</a:t>
          </a:r>
          <a:endParaRPr lang="en-US" altLang="ja-JP" sz="3600" b="0" i="0" u="none" strike="noStrike" baseline="0">
            <a:solidFill>
              <a:srgbClr val="000000"/>
            </a:solidFill>
            <a:latin typeface="ＭＳ Ｐゴシック"/>
            <a:ea typeface="ＭＳ Ｐゴシック"/>
          </a:endParaRPr>
        </a:p>
        <a:p>
          <a:pPr algn="ctr" rtl="0">
            <a:defRPr sz="1000"/>
          </a:pPr>
          <a:r>
            <a:rPr lang="ja-JP" altLang="en-US" sz="3600" b="0" i="0" u="none" strike="noStrike" baseline="0">
              <a:solidFill>
                <a:srgbClr val="000000"/>
              </a:solidFill>
              <a:latin typeface="ＭＳ Ｐゴシック"/>
              <a:ea typeface="ＭＳ Ｐゴシック"/>
            </a:rPr>
            <a:t>（ユーティリティ）</a:t>
          </a:r>
        </a:p>
      </xdr:txBody>
    </xdr:sp>
    <xdr:clientData/>
  </xdr:twoCellAnchor>
  <xdr:twoCellAnchor editAs="oneCell">
    <xdr:from>
      <xdr:col>44</xdr:col>
      <xdr:colOff>152400</xdr:colOff>
      <xdr:row>0</xdr:row>
      <xdr:rowOff>0</xdr:rowOff>
    </xdr:from>
    <xdr:to>
      <xdr:col>48</xdr:col>
      <xdr:colOff>9525</xdr:colOff>
      <xdr:row>1</xdr:row>
      <xdr:rowOff>41275</xdr:rowOff>
    </xdr:to>
    <xdr:sp macro="" textlink="">
      <xdr:nvSpPr>
        <xdr:cNvPr id="144391" name="Rectangle 7"/>
        <xdr:cNvSpPr>
          <a:spLocks noChangeArrowheads="1"/>
        </xdr:cNvSpPr>
      </xdr:nvSpPr>
      <xdr:spPr bwMode="auto">
        <a:xfrm>
          <a:off x="8067675" y="0"/>
          <a:ext cx="628650" cy="209550"/>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取扱注意</a:t>
          </a:r>
        </a:p>
      </xdr:txBody>
    </xdr:sp>
    <xdr:clientData/>
  </xdr:twoCellAnchor>
  <xdr:twoCellAnchor>
    <xdr:from>
      <xdr:col>0</xdr:col>
      <xdr:colOff>0</xdr:colOff>
      <xdr:row>43</xdr:row>
      <xdr:rowOff>38100</xdr:rowOff>
    </xdr:from>
    <xdr:to>
      <xdr:col>50</xdr:col>
      <xdr:colOff>0</xdr:colOff>
      <xdr:row>43</xdr:row>
      <xdr:rowOff>38100</xdr:rowOff>
    </xdr:to>
    <xdr:sp macro="" textlink="">
      <xdr:nvSpPr>
        <xdr:cNvPr id="1139" name="Line 12"/>
        <xdr:cNvSpPr>
          <a:spLocks noChangeShapeType="1"/>
        </xdr:cNvSpPr>
      </xdr:nvSpPr>
      <xdr:spPr bwMode="auto">
        <a:xfrm>
          <a:off x="0" y="7467600"/>
          <a:ext cx="9525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0</xdr:colOff>
      <xdr:row>2</xdr:row>
      <xdr:rowOff>0</xdr:rowOff>
    </xdr:from>
    <xdr:to>
      <xdr:col>13</xdr:col>
      <xdr:colOff>48451</xdr:colOff>
      <xdr:row>4</xdr:row>
      <xdr:rowOff>91059</xdr:rowOff>
    </xdr:to>
    <xdr:pic>
      <xdr:nvPicPr>
        <xdr:cNvPr id="11" name="図 10"/>
        <xdr:cNvPicPr>
          <a:picLocks noChangeAspect="1"/>
        </xdr:cNvPicPr>
      </xdr:nvPicPr>
      <xdr:blipFill>
        <a:blip xmlns:r="http://schemas.openxmlformats.org/officeDocument/2006/relationships" r:embed="rId3"/>
        <a:stretch>
          <a:fillRect/>
        </a:stretch>
      </xdr:blipFill>
      <xdr:spPr>
        <a:xfrm>
          <a:off x="412376" y="268941"/>
          <a:ext cx="2316522"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0</xdr:colOff>
          <xdr:row>3</xdr:row>
          <xdr:rowOff>2117</xdr:rowOff>
        </xdr:to>
        <xdr:pic>
          <xdr:nvPicPr>
            <xdr:cNvPr id="2" name="図 1"/>
            <xdr:cNvPicPr>
              <a:picLocks noChangeAspect="1" noChangeArrowheads="1"/>
              <a:extLst>
                <a:ext uri="{84589F7E-364E-4C9E-8A38-B11213B215E9}">
                  <a14:cameraTool cellRange="表紙!$BA$47:$BJ$49" spid="_x0000_s45066"/>
                </a:ext>
              </a:extLst>
            </xdr:cNvPicPr>
          </xdr:nvPicPr>
          <xdr:blipFill>
            <a:blip xmlns:r="http://schemas.openxmlformats.org/officeDocument/2006/relationships" r:embed="rId1"/>
            <a:srcRect/>
            <a:stretch>
              <a:fillRect/>
            </a:stretch>
          </xdr:blipFill>
          <xdr:spPr bwMode="auto">
            <a:xfrm>
              <a:off x="0" y="0"/>
              <a:ext cx="9525000" cy="457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9</xdr:col>
          <xdr:colOff>0</xdr:colOff>
          <xdr:row>3</xdr:row>
          <xdr:rowOff>2117</xdr:rowOff>
        </xdr:to>
        <xdr:pic>
          <xdr:nvPicPr>
            <xdr:cNvPr id="2" name="図 1"/>
            <xdr:cNvPicPr>
              <a:picLocks noChangeAspect="1" noChangeArrowheads="1"/>
              <a:extLst>
                <a:ext uri="{84589F7E-364E-4C9E-8A38-B11213B215E9}">
                  <a14:cameraTool cellRange="表紙!$BA$51:$BJ$53" spid="_x0000_s46090"/>
                </a:ext>
              </a:extLst>
            </xdr:cNvPicPr>
          </xdr:nvPicPr>
          <xdr:blipFill>
            <a:blip xmlns:r="http://schemas.openxmlformats.org/officeDocument/2006/relationships" r:embed="rId1"/>
            <a:srcRect/>
            <a:stretch>
              <a:fillRect/>
            </a:stretch>
          </xdr:blipFill>
          <xdr:spPr bwMode="auto">
            <a:xfrm>
              <a:off x="0" y="0"/>
              <a:ext cx="9525000" cy="457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50</xdr:col>
          <xdr:colOff>0</xdr:colOff>
          <xdr:row>3</xdr:row>
          <xdr:rowOff>2117</xdr:rowOff>
        </xdr:to>
        <xdr:pic>
          <xdr:nvPicPr>
            <xdr:cNvPr id="4" name="図 3"/>
            <xdr:cNvPicPr>
              <a:picLocks noChangeAspect="1" noChangeArrowheads="1"/>
              <a:extLst>
                <a:ext uri="{84589F7E-364E-4C9E-8A38-B11213B215E9}">
                  <a14:cameraTool cellRange="表紙!$BA$71:$BJ$73" spid="_x0000_s56321"/>
                </a:ext>
              </a:extLst>
            </xdr:cNvPicPr>
          </xdr:nvPicPr>
          <xdr:blipFill>
            <a:blip xmlns:r="http://schemas.openxmlformats.org/officeDocument/2006/relationships" r:embed="rId1"/>
            <a:srcRect/>
            <a:stretch>
              <a:fillRect/>
            </a:stretch>
          </xdr:blipFill>
          <xdr:spPr bwMode="auto">
            <a:xfrm>
              <a:off x="0" y="0"/>
              <a:ext cx="9525000" cy="4688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762000</xdr:colOff>
          <xdr:row>2</xdr:row>
          <xdr:rowOff>104775</xdr:rowOff>
        </xdr:to>
        <xdr:pic>
          <xdr:nvPicPr>
            <xdr:cNvPr id="2" name="図 1"/>
            <xdr:cNvPicPr>
              <a:picLocks noChangeAspect="1" noChangeArrowheads="1"/>
              <a:extLst>
                <a:ext uri="{84589F7E-364E-4C9E-8A38-B11213B215E9}">
                  <a14:cameraTool cellRange="表紙!$BA$59:$BJ$61" spid="_x0000_s52231"/>
                </a:ext>
              </a:extLst>
            </xdr:cNvPicPr>
          </xdr:nvPicPr>
          <xdr:blipFill>
            <a:blip xmlns:r="http://schemas.openxmlformats.org/officeDocument/2006/relationships" r:embed="rId1"/>
            <a:srcRect/>
            <a:stretch>
              <a:fillRect/>
            </a:stretch>
          </xdr:blipFill>
          <xdr:spPr bwMode="auto">
            <a:xfrm>
              <a:off x="0" y="0"/>
              <a:ext cx="9534525" cy="4667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762000</xdr:colOff>
          <xdr:row>2</xdr:row>
          <xdr:rowOff>76200</xdr:rowOff>
        </xdr:to>
        <xdr:pic>
          <xdr:nvPicPr>
            <xdr:cNvPr id="2" name="図 1"/>
            <xdr:cNvPicPr>
              <a:picLocks noChangeAspect="1" noChangeArrowheads="1"/>
              <a:extLst>
                <a:ext uri="{84589F7E-364E-4C9E-8A38-B11213B215E9}">
                  <a14:cameraTool cellRange="表紙!$BA$63:$BJ$65" spid="_x0000_s53255"/>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762000</xdr:colOff>
          <xdr:row>2</xdr:row>
          <xdr:rowOff>114300</xdr:rowOff>
        </xdr:to>
        <xdr:pic>
          <xdr:nvPicPr>
            <xdr:cNvPr id="2" name="図 1"/>
            <xdr:cNvPicPr>
              <a:picLocks noChangeAspect="1" noChangeArrowheads="1"/>
              <a:extLst>
                <a:ext uri="{84589F7E-364E-4C9E-8A38-B11213B215E9}">
                  <a14:cameraTool cellRange="表紙!$BA$67:$BJ$69" spid="_x0000_s54279"/>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7</xdr:col>
      <xdr:colOff>0</xdr:colOff>
      <xdr:row>4</xdr:row>
      <xdr:rowOff>0</xdr:rowOff>
    </xdr:from>
    <xdr:to>
      <xdr:col>24</xdr:col>
      <xdr:colOff>68292</xdr:colOff>
      <xdr:row>4</xdr:row>
      <xdr:rowOff>150962</xdr:rowOff>
    </xdr:to>
    <xdr:grpSp>
      <xdr:nvGrpSpPr>
        <xdr:cNvPr id="5" name="グループ化 4"/>
        <xdr:cNvGrpSpPr/>
      </xdr:nvGrpSpPr>
      <xdr:grpSpPr>
        <a:xfrm>
          <a:off x="466725" y="609600"/>
          <a:ext cx="1201767" cy="150962"/>
          <a:chOff x="1270770" y="762000"/>
          <a:chExt cx="3659650" cy="152400"/>
        </a:xfrm>
      </xdr:grpSpPr>
      <xdr:sp macro="" textlink="">
        <xdr:nvSpPr>
          <xdr:cNvPr id="2" name="テキスト ボックス 1"/>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 name="テキスト ボックス 3"/>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xdr:col>
      <xdr:colOff>65048</xdr:colOff>
      <xdr:row>6</xdr:row>
      <xdr:rowOff>0</xdr:rowOff>
    </xdr:from>
    <xdr:to>
      <xdr:col>33</xdr:col>
      <xdr:colOff>0</xdr:colOff>
      <xdr:row>7</xdr:row>
      <xdr:rowOff>0</xdr:rowOff>
    </xdr:to>
    <xdr:grpSp>
      <xdr:nvGrpSpPr>
        <xdr:cNvPr id="29" name="グループ化 28"/>
        <xdr:cNvGrpSpPr/>
      </xdr:nvGrpSpPr>
      <xdr:grpSpPr>
        <a:xfrm>
          <a:off x="465098" y="914400"/>
          <a:ext cx="1735177" cy="152400"/>
          <a:chOff x="465098" y="914400"/>
          <a:chExt cx="1735177" cy="152400"/>
        </a:xfrm>
      </xdr:grpSpPr>
      <xdr:sp macro="" textlink="">
        <xdr:nvSpPr>
          <xdr:cNvPr id="26" name="テキスト ボックス 25"/>
          <xdr:cNvSpPr txBox="1"/>
        </xdr:nvSpPr>
        <xdr:spPr>
          <a:xfrm>
            <a:off x="465098" y="914400"/>
            <a:ext cx="7350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 name="テキスト ボックス 26"/>
          <xdr:cNvSpPr txBox="1"/>
        </xdr:nvSpPr>
        <xdr:spPr>
          <a:xfrm>
            <a:off x="1267090" y="914400"/>
            <a:ext cx="131458"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sp macro="" textlink="">
        <xdr:nvSpPr>
          <xdr:cNvPr id="28" name="テキスト ボックス 27"/>
          <xdr:cNvSpPr txBox="1"/>
        </xdr:nvSpPr>
        <xdr:spPr>
          <a:xfrm>
            <a:off x="1466850" y="914400"/>
            <a:ext cx="733425"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7</xdr:col>
      <xdr:colOff>0</xdr:colOff>
      <xdr:row>2</xdr:row>
      <xdr:rowOff>0</xdr:rowOff>
    </xdr:from>
    <xdr:to>
      <xdr:col>47</xdr:col>
      <xdr:colOff>1618</xdr:colOff>
      <xdr:row>3</xdr:row>
      <xdr:rowOff>0</xdr:rowOff>
    </xdr:to>
    <xdr:grpSp>
      <xdr:nvGrpSpPr>
        <xdr:cNvPr id="37" name="グループ化 36"/>
        <xdr:cNvGrpSpPr/>
      </xdr:nvGrpSpPr>
      <xdr:grpSpPr>
        <a:xfrm>
          <a:off x="466725" y="304800"/>
          <a:ext cx="2668618" cy="152400"/>
          <a:chOff x="466725" y="304800"/>
          <a:chExt cx="2668618" cy="152400"/>
        </a:xfrm>
      </xdr:grpSpPr>
      <xdr:grpSp>
        <xdr:nvGrpSpPr>
          <xdr:cNvPr id="30" name="グループ化 29"/>
          <xdr:cNvGrpSpPr/>
        </xdr:nvGrpSpPr>
        <xdr:grpSpPr>
          <a:xfrm>
            <a:off x="466725" y="304800"/>
            <a:ext cx="1201767" cy="150962"/>
            <a:chOff x="1270770" y="762000"/>
            <a:chExt cx="3659650" cy="152400"/>
          </a:xfrm>
        </xdr:grpSpPr>
        <xdr:sp macro="" textlink="">
          <xdr:nvSpPr>
            <xdr:cNvPr id="31" name="テキスト ボックス 30"/>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2" name="テキスト ボックス 31"/>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33" name="テキスト ボックス 32"/>
          <xdr:cNvSpPr txBox="1"/>
        </xdr:nvSpPr>
        <xdr:spPr>
          <a:xfrm>
            <a:off x="1733550" y="304800"/>
            <a:ext cx="12955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34" name="グループ化 33"/>
          <xdr:cNvGrpSpPr/>
        </xdr:nvGrpSpPr>
        <xdr:grpSpPr>
          <a:xfrm>
            <a:off x="1933575" y="304800"/>
            <a:ext cx="1201768" cy="150962"/>
            <a:chOff x="1270770" y="762000"/>
            <a:chExt cx="3659650" cy="152400"/>
          </a:xfrm>
        </xdr:grpSpPr>
        <xdr:sp macro="" textlink="">
          <xdr:nvSpPr>
            <xdr:cNvPr id="35" name="テキスト ボックス 3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6" name="テキスト ボックス 3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clientData/>
  </xdr:twoCellAnchor>
  <xdr:twoCellAnchor>
    <xdr:from>
      <xdr:col>66</xdr:col>
      <xdr:colOff>0</xdr:colOff>
      <xdr:row>2</xdr:row>
      <xdr:rowOff>0</xdr:rowOff>
    </xdr:from>
    <xdr:to>
      <xdr:col>113</xdr:col>
      <xdr:colOff>3121</xdr:colOff>
      <xdr:row>3</xdr:row>
      <xdr:rowOff>1</xdr:rowOff>
    </xdr:to>
    <xdr:grpSp>
      <xdr:nvGrpSpPr>
        <xdr:cNvPr id="49" name="グループ化 48"/>
        <xdr:cNvGrpSpPr/>
      </xdr:nvGrpSpPr>
      <xdr:grpSpPr>
        <a:xfrm>
          <a:off x="4400550" y="304800"/>
          <a:ext cx="3136846" cy="152401"/>
          <a:chOff x="586447" y="1353553"/>
          <a:chExt cx="3064750" cy="150395"/>
        </a:xfrm>
      </xdr:grpSpPr>
      <xdr:sp macro="" textlink="">
        <xdr:nvSpPr>
          <xdr:cNvPr id="50" name="テキスト ボックス 49"/>
          <xdr:cNvSpPr txBox="1"/>
        </xdr:nvSpPr>
        <xdr:spPr>
          <a:xfrm>
            <a:off x="586447" y="1353553"/>
            <a:ext cx="391150" cy="15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依頼日</a:t>
            </a:r>
          </a:p>
        </xdr:txBody>
      </xdr:sp>
      <xdr:grpSp>
        <xdr:nvGrpSpPr>
          <xdr:cNvPr id="51" name="グループ化 50"/>
          <xdr:cNvGrpSpPr/>
        </xdr:nvGrpSpPr>
        <xdr:grpSpPr>
          <a:xfrm>
            <a:off x="1042737" y="1353553"/>
            <a:ext cx="2608460" cy="150395"/>
            <a:chOff x="466725" y="304800"/>
            <a:chExt cx="2668618" cy="152400"/>
          </a:xfrm>
        </xdr:grpSpPr>
        <xdr:grpSp>
          <xdr:nvGrpSpPr>
            <xdr:cNvPr id="52" name="グループ化 51"/>
            <xdr:cNvGrpSpPr/>
          </xdr:nvGrpSpPr>
          <xdr:grpSpPr>
            <a:xfrm>
              <a:off x="466725" y="304800"/>
              <a:ext cx="1201767" cy="150962"/>
              <a:chOff x="1270770" y="762000"/>
              <a:chExt cx="3659650" cy="152400"/>
            </a:xfrm>
          </xdr:grpSpPr>
          <xdr:sp macro="" textlink="">
            <xdr:nvSpPr>
              <xdr:cNvPr id="57" name="テキスト ボックス 56"/>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8" name="テキスト ボックス 57"/>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53" name="テキスト ボックス 52"/>
            <xdr:cNvSpPr txBox="1"/>
          </xdr:nvSpPr>
          <xdr:spPr>
            <a:xfrm>
              <a:off x="1733550" y="304800"/>
              <a:ext cx="129551"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54" name="グループ化 53"/>
            <xdr:cNvGrpSpPr/>
          </xdr:nvGrpSpPr>
          <xdr:grpSpPr>
            <a:xfrm>
              <a:off x="1933575" y="304800"/>
              <a:ext cx="1201768" cy="150962"/>
              <a:chOff x="1270770" y="762000"/>
              <a:chExt cx="3659650" cy="152400"/>
            </a:xfrm>
          </xdr:grpSpPr>
          <xdr:sp macro="" textlink="">
            <xdr:nvSpPr>
              <xdr:cNvPr id="55" name="テキスト ボックス 5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6" name="テキスト ボックス 5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grpSp>
    <xdr:clientData/>
  </xdr:twoCellAnchor>
  <xdr:twoCellAnchor>
    <xdr:from>
      <xdr:col>66</xdr:col>
      <xdr:colOff>1</xdr:colOff>
      <xdr:row>4</xdr:row>
      <xdr:rowOff>0</xdr:rowOff>
    </xdr:from>
    <xdr:to>
      <xdr:col>99</xdr:col>
      <xdr:colOff>266</xdr:colOff>
      <xdr:row>5</xdr:row>
      <xdr:rowOff>0</xdr:rowOff>
    </xdr:to>
    <xdr:grpSp>
      <xdr:nvGrpSpPr>
        <xdr:cNvPr id="67" name="グループ化 66"/>
        <xdr:cNvGrpSpPr/>
      </xdr:nvGrpSpPr>
      <xdr:grpSpPr>
        <a:xfrm>
          <a:off x="4400551" y="609600"/>
          <a:ext cx="2200540" cy="152400"/>
          <a:chOff x="4335518" y="604345"/>
          <a:chExt cx="2168024" cy="151086"/>
        </a:xfrm>
      </xdr:grpSpPr>
      <xdr:sp macro="" textlink="">
        <xdr:nvSpPr>
          <xdr:cNvPr id="59" name="テキスト ボックス 58"/>
          <xdr:cNvSpPr txBox="1"/>
        </xdr:nvSpPr>
        <xdr:spPr>
          <a:xfrm>
            <a:off x="4335518" y="604345"/>
            <a:ext cx="394137" cy="151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検索日</a:t>
            </a:r>
          </a:p>
        </xdr:txBody>
      </xdr:sp>
      <xdr:grpSp>
        <xdr:nvGrpSpPr>
          <xdr:cNvPr id="63" name="グループ化 62"/>
          <xdr:cNvGrpSpPr/>
        </xdr:nvGrpSpPr>
        <xdr:grpSpPr>
          <a:xfrm>
            <a:off x="4795345" y="604345"/>
            <a:ext cx="1708197" cy="151086"/>
            <a:chOff x="465098" y="914400"/>
            <a:chExt cx="1735177" cy="152400"/>
          </a:xfrm>
        </xdr:grpSpPr>
        <xdr:sp macro="" textlink="">
          <xdr:nvSpPr>
            <xdr:cNvPr id="64" name="テキスト ボックス 63"/>
            <xdr:cNvSpPr txBox="1"/>
          </xdr:nvSpPr>
          <xdr:spPr>
            <a:xfrm>
              <a:off x="465098" y="914400"/>
              <a:ext cx="7350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5" name="テキスト ボックス 64"/>
            <xdr:cNvSpPr txBox="1"/>
          </xdr:nvSpPr>
          <xdr:spPr>
            <a:xfrm>
              <a:off x="1267090" y="914400"/>
              <a:ext cx="131458"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sp macro="" textlink="">
          <xdr:nvSpPr>
            <xdr:cNvPr id="66" name="テキスト ボックス 65"/>
            <xdr:cNvSpPr txBox="1"/>
          </xdr:nvSpPr>
          <xdr:spPr>
            <a:xfrm>
              <a:off x="1466850" y="914400"/>
              <a:ext cx="733425"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clientData/>
  </xdr:twoCellAnchor>
  <xdr:twoCellAnchor>
    <xdr:from>
      <xdr:col>74</xdr:col>
      <xdr:colOff>0</xdr:colOff>
      <xdr:row>9</xdr:row>
      <xdr:rowOff>1</xdr:rowOff>
    </xdr:from>
    <xdr:to>
      <xdr:col>117</xdr:col>
      <xdr:colOff>1</xdr:colOff>
      <xdr:row>10</xdr:row>
      <xdr:rowOff>1</xdr:rowOff>
    </xdr:to>
    <xdr:grpSp>
      <xdr:nvGrpSpPr>
        <xdr:cNvPr id="74" name="グループ化 73"/>
        <xdr:cNvGrpSpPr/>
      </xdr:nvGrpSpPr>
      <xdr:grpSpPr>
        <a:xfrm>
          <a:off x="4933950" y="1371601"/>
          <a:ext cx="2867026" cy="152400"/>
          <a:chOff x="4191000" y="1083469"/>
          <a:chExt cx="2815829" cy="154782"/>
        </a:xfrm>
      </xdr:grpSpPr>
      <xdr:grpSp>
        <xdr:nvGrpSpPr>
          <xdr:cNvPr id="75" name="グループ化 74"/>
          <xdr:cNvGrpSpPr/>
        </xdr:nvGrpSpPr>
        <xdr:grpSpPr>
          <a:xfrm>
            <a:off x="4786312" y="1083469"/>
            <a:ext cx="2220517" cy="154781"/>
            <a:chOff x="806164" y="1219201"/>
            <a:chExt cx="2260892" cy="152400"/>
          </a:xfrm>
        </xdr:grpSpPr>
        <xdr:sp macro="" textlink="">
          <xdr:nvSpPr>
            <xdr:cNvPr id="78" name="テキスト ボックス 77"/>
            <xdr:cNvSpPr txBox="1"/>
          </xdr:nvSpPr>
          <xdr:spPr>
            <a:xfrm>
              <a:off x="806164" y="1221940"/>
              <a:ext cx="73342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9" name="テキスト ボックス 78"/>
            <xdr:cNvSpPr txBox="1"/>
          </xdr:nvSpPr>
          <xdr:spPr>
            <a:xfrm>
              <a:off x="1600204" y="1219201"/>
              <a:ext cx="14668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76" name="テキスト ボックス 75"/>
          <xdr:cNvSpPr txBox="1"/>
        </xdr:nvSpPr>
        <xdr:spPr>
          <a:xfrm>
            <a:off x="4191000" y="1083469"/>
            <a:ext cx="523875" cy="154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出荷場所</a:t>
            </a:r>
          </a:p>
        </xdr:txBody>
      </xdr:sp>
    </xdr:grpSp>
    <xdr:clientData/>
  </xdr:twoCellAnchor>
  <xdr:twoCellAnchor>
    <xdr:from>
      <xdr:col>68</xdr:col>
      <xdr:colOff>1359</xdr:colOff>
      <xdr:row>11</xdr:row>
      <xdr:rowOff>0</xdr:rowOff>
    </xdr:from>
    <xdr:to>
      <xdr:col>73</xdr:col>
      <xdr:colOff>68164</xdr:colOff>
      <xdr:row>12</xdr:row>
      <xdr:rowOff>1</xdr:rowOff>
    </xdr:to>
    <xdr:grpSp>
      <xdr:nvGrpSpPr>
        <xdr:cNvPr id="10" name="グループ化 9"/>
        <xdr:cNvGrpSpPr/>
      </xdr:nvGrpSpPr>
      <xdr:grpSpPr>
        <a:xfrm>
          <a:off x="4535259" y="1676400"/>
          <a:ext cx="400180" cy="152401"/>
          <a:chOff x="4533898" y="1676400"/>
          <a:chExt cx="399974" cy="152401"/>
        </a:xfrm>
      </xdr:grpSpPr>
      <xdr:grpSp>
        <xdr:nvGrpSpPr>
          <xdr:cNvPr id="9" name="グループ化 8"/>
          <xdr:cNvGrpSpPr/>
        </xdr:nvGrpSpPr>
        <xdr:grpSpPr>
          <a:xfrm>
            <a:off x="4788351" y="1676400"/>
            <a:ext cx="145521" cy="152401"/>
            <a:chOff x="4681574" y="1654342"/>
            <a:chExt cx="141084" cy="150396"/>
          </a:xfrm>
        </xdr:grpSpPr>
        <xdr:sp macro="" textlink="">
          <xdr:nvSpPr>
            <xdr:cNvPr id="60" name="テキスト ボックス 59"/>
            <xdr:cNvSpPr txBox="1"/>
          </xdr:nvSpPr>
          <xdr:spPr>
            <a:xfrm>
              <a:off x="4681574" y="1654342"/>
              <a:ext cx="141084" cy="15039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1">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 name="上矢印 7"/>
            <xdr:cNvSpPr/>
          </xdr:nvSpPr>
          <xdr:spPr>
            <a:xfrm>
              <a:off x="4692737" y="1663352"/>
              <a:ext cx="128895" cy="117893"/>
            </a:xfrm>
            <a:prstGeom prst="upArrow">
              <a:avLst>
                <a:gd name="adj1" fmla="val 30769"/>
                <a:gd name="adj2" fmla="val 50000"/>
              </a:avLst>
            </a:prstGeom>
            <a:solidFill>
              <a:sysClr val="window" lastClr="FFFFFF"/>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62" name="グループ化 61"/>
          <xdr:cNvGrpSpPr/>
        </xdr:nvGrpSpPr>
        <xdr:grpSpPr>
          <a:xfrm>
            <a:off x="4533898" y="1676400"/>
            <a:ext cx="144042" cy="152401"/>
            <a:chOff x="4681574" y="1654342"/>
            <a:chExt cx="141084" cy="150396"/>
          </a:xfrm>
        </xdr:grpSpPr>
        <xdr:sp macro="" textlink="">
          <xdr:nvSpPr>
            <xdr:cNvPr id="77" name="テキスト ボックス 76"/>
            <xdr:cNvSpPr txBox="1"/>
          </xdr:nvSpPr>
          <xdr:spPr>
            <a:xfrm>
              <a:off x="4681574" y="1654342"/>
              <a:ext cx="141084" cy="15039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1">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0" name="上矢印 79"/>
            <xdr:cNvSpPr/>
          </xdr:nvSpPr>
          <xdr:spPr>
            <a:xfrm>
              <a:off x="4686816" y="1663352"/>
              <a:ext cx="128895" cy="117893"/>
            </a:xfrm>
            <a:prstGeom prst="upArrow">
              <a:avLst>
                <a:gd name="adj1" fmla="val 30769"/>
                <a:gd name="adj2" fmla="val 50000"/>
              </a:avLst>
            </a:prstGeom>
            <a:solidFill>
              <a:sysClr val="window" lastClr="FFFFFF"/>
            </a:solidFill>
            <a:ln>
              <a:noFill/>
            </a:ln>
            <a:effectLst/>
            <a:scene3d>
              <a:camera prst="orthographicFront">
                <a:rot lat="0" lon="0" rev="10800000"/>
              </a:camera>
              <a:lightRig rig="threePt" dir="t"/>
            </a:scene3d>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clientData/>
  </xdr:twoCellAnchor>
  <xdr:twoCellAnchor>
    <xdr:from>
      <xdr:col>77</xdr:col>
      <xdr:colOff>65170</xdr:colOff>
      <xdr:row>11</xdr:row>
      <xdr:rowOff>0</xdr:rowOff>
    </xdr:from>
    <xdr:to>
      <xdr:col>87</xdr:col>
      <xdr:colOff>65170</xdr:colOff>
      <xdr:row>12</xdr:row>
      <xdr:rowOff>0</xdr:rowOff>
    </xdr:to>
    <xdr:sp macro="" textlink="">
      <xdr:nvSpPr>
        <xdr:cNvPr id="11" name="角丸四角形 10"/>
        <xdr:cNvSpPr/>
      </xdr:nvSpPr>
      <xdr:spPr>
        <a:xfrm>
          <a:off x="5083341" y="1654342"/>
          <a:ext cx="651711" cy="150395"/>
        </a:xfrm>
        <a:prstGeom prst="roundRect">
          <a:avLst/>
        </a:prstGeom>
        <a:solidFill>
          <a:srgbClr val="00CC99"/>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検索する</a:t>
          </a:r>
        </a:p>
      </xdr:txBody>
    </xdr:sp>
    <xdr:clientData/>
  </xdr:twoCellAnchor>
  <xdr:twoCellAnchor>
    <xdr:from>
      <xdr:col>91</xdr:col>
      <xdr:colOff>0</xdr:colOff>
      <xdr:row>11</xdr:row>
      <xdr:rowOff>0</xdr:rowOff>
    </xdr:from>
    <xdr:to>
      <xdr:col>100</xdr:col>
      <xdr:colOff>65171</xdr:colOff>
      <xdr:row>12</xdr:row>
      <xdr:rowOff>0</xdr:rowOff>
    </xdr:to>
    <xdr:sp macro="" textlink="">
      <xdr:nvSpPr>
        <xdr:cNvPr id="82" name="角丸四角形 81"/>
        <xdr:cNvSpPr/>
      </xdr:nvSpPr>
      <xdr:spPr>
        <a:xfrm>
          <a:off x="5930566" y="1654342"/>
          <a:ext cx="651710" cy="150395"/>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更新する</a:t>
          </a:r>
        </a:p>
      </xdr:txBody>
    </xdr:sp>
    <xdr:clientData/>
  </xdr:twoCellAnchor>
  <xdr:twoCellAnchor>
    <xdr:from>
      <xdr:col>68</xdr:col>
      <xdr:colOff>3</xdr:colOff>
      <xdr:row>13</xdr:row>
      <xdr:rowOff>0</xdr:rowOff>
    </xdr:from>
    <xdr:to>
      <xdr:col>108</xdr:col>
      <xdr:colOff>64861</xdr:colOff>
      <xdr:row>13</xdr:row>
      <xdr:rowOff>149660</xdr:rowOff>
    </xdr:to>
    <xdr:grpSp>
      <xdr:nvGrpSpPr>
        <xdr:cNvPr id="14" name="グループ化 13"/>
        <xdr:cNvGrpSpPr/>
      </xdr:nvGrpSpPr>
      <xdr:grpSpPr>
        <a:xfrm>
          <a:off x="4533903" y="1981200"/>
          <a:ext cx="2731858" cy="149660"/>
          <a:chOff x="4431635" y="1955132"/>
          <a:chExt cx="2671700" cy="149660"/>
        </a:xfrm>
      </xdr:grpSpPr>
      <xdr:grpSp>
        <xdr:nvGrpSpPr>
          <xdr:cNvPr id="12" name="グループ化 11"/>
          <xdr:cNvGrpSpPr/>
        </xdr:nvGrpSpPr>
        <xdr:grpSpPr>
          <a:xfrm>
            <a:off x="4431635" y="1955132"/>
            <a:ext cx="519321" cy="149660"/>
            <a:chOff x="4455488" y="2012156"/>
            <a:chExt cx="521324" cy="149660"/>
          </a:xfrm>
        </xdr:grpSpPr>
        <xdr:sp macro="" textlink="">
          <xdr:nvSpPr>
            <xdr:cNvPr id="84" name="テキスト ボックス 83"/>
            <xdr:cNvSpPr txBox="1"/>
          </xdr:nvSpPr>
          <xdr:spPr>
            <a:xfrm>
              <a:off x="4583907" y="2012156"/>
              <a:ext cx="392905"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未確定</a:t>
              </a:r>
            </a:p>
          </xdr:txBody>
        </xdr:sp>
        <xdr:sp macro="" textlink="">
          <xdr:nvSpPr>
            <xdr:cNvPr id="83" name="テキスト ボックス 82"/>
            <xdr:cNvSpPr txBox="1"/>
          </xdr:nvSpPr>
          <xdr:spPr>
            <a:xfrm>
              <a:off x="4455488"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88" name="テキスト ボックス 87"/>
          <xdr:cNvSpPr txBox="1"/>
        </xdr:nvSpPr>
        <xdr:spPr>
          <a:xfrm>
            <a:off x="5211894" y="1955132"/>
            <a:ext cx="32636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確定</a:t>
            </a:r>
          </a:p>
        </xdr:txBody>
      </xdr:sp>
      <xdr:sp macro="" textlink="">
        <xdr:nvSpPr>
          <xdr:cNvPr id="91" name="テキスト ボックス 90"/>
          <xdr:cNvSpPr txBox="1"/>
        </xdr:nvSpPr>
        <xdr:spPr>
          <a:xfrm>
            <a:off x="5798676" y="1955132"/>
            <a:ext cx="71756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指図・発注済</a:t>
            </a:r>
          </a:p>
        </xdr:txBody>
      </xdr:sp>
      <xdr:sp macro="" textlink="">
        <xdr:nvSpPr>
          <xdr:cNvPr id="94" name="テキスト ボックス 93"/>
          <xdr:cNvSpPr txBox="1"/>
        </xdr:nvSpPr>
        <xdr:spPr>
          <a:xfrm>
            <a:off x="6777171" y="1955132"/>
            <a:ext cx="326164"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完了</a:t>
            </a:r>
          </a:p>
        </xdr:txBody>
      </xdr:sp>
      <xdr:sp macro="" textlink="">
        <xdr:nvSpPr>
          <xdr:cNvPr id="95" name="テキスト ボックス 94"/>
          <xdr:cNvSpPr txBox="1"/>
        </xdr:nvSpPr>
        <xdr:spPr>
          <a:xfrm>
            <a:off x="5083342"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6" name="テキスト ボックス 95"/>
          <xdr:cNvSpPr txBox="1"/>
        </xdr:nvSpPr>
        <xdr:spPr>
          <a:xfrm>
            <a:off x="5672516" y="1974506"/>
            <a:ext cx="109932"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7" name="テキスト ボックス 96"/>
          <xdr:cNvSpPr txBox="1"/>
        </xdr:nvSpPr>
        <xdr:spPr>
          <a:xfrm>
            <a:off x="6647447"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64</xdr:col>
      <xdr:colOff>20321</xdr:colOff>
      <xdr:row>17</xdr:row>
      <xdr:rowOff>0</xdr:rowOff>
    </xdr:from>
    <xdr:to>
      <xdr:col>87</xdr:col>
      <xdr:colOff>68579</xdr:colOff>
      <xdr:row>17</xdr:row>
      <xdr:rowOff>149660</xdr:rowOff>
    </xdr:to>
    <xdr:grpSp>
      <xdr:nvGrpSpPr>
        <xdr:cNvPr id="103" name="グループ化 102"/>
        <xdr:cNvGrpSpPr/>
      </xdr:nvGrpSpPr>
      <xdr:grpSpPr>
        <a:xfrm>
          <a:off x="4287521" y="2590800"/>
          <a:ext cx="1581783" cy="149660"/>
          <a:chOff x="4128874" y="1955132"/>
          <a:chExt cx="1542025" cy="149660"/>
        </a:xfrm>
      </xdr:grpSpPr>
      <xdr:grpSp>
        <xdr:nvGrpSpPr>
          <xdr:cNvPr id="104" name="グループ化 103"/>
          <xdr:cNvGrpSpPr/>
        </xdr:nvGrpSpPr>
        <xdr:grpSpPr>
          <a:xfrm>
            <a:off x="4128874" y="1955132"/>
            <a:ext cx="696319" cy="149660"/>
            <a:chOff x="4151576" y="2012156"/>
            <a:chExt cx="699007" cy="149660"/>
          </a:xfrm>
        </xdr:grpSpPr>
        <xdr:sp macro="" textlink="">
          <xdr:nvSpPr>
            <xdr:cNvPr id="111" name="テキスト ボックス 110"/>
            <xdr:cNvSpPr txBox="1"/>
          </xdr:nvSpPr>
          <xdr:spPr>
            <a:xfrm>
              <a:off x="4262831" y="2012156"/>
              <a:ext cx="58775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回答未確認</a:t>
              </a:r>
            </a:p>
          </xdr:txBody>
        </xdr:sp>
        <xdr:sp macro="" textlink="">
          <xdr:nvSpPr>
            <xdr:cNvPr id="112" name="テキスト ボックス 111"/>
            <xdr:cNvSpPr txBox="1"/>
          </xdr:nvSpPr>
          <xdr:spPr>
            <a:xfrm>
              <a:off x="4151576"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05" name="テキスト ボックス 104"/>
          <xdr:cNvSpPr txBox="1"/>
        </xdr:nvSpPr>
        <xdr:spPr>
          <a:xfrm>
            <a:off x="5085408" y="1955132"/>
            <a:ext cx="585491"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再調整依頼</a:t>
            </a:r>
          </a:p>
        </xdr:txBody>
      </xdr:sp>
      <xdr:sp macro="" textlink="">
        <xdr:nvSpPr>
          <xdr:cNvPr id="108" name="テキスト ボックス 107"/>
          <xdr:cNvSpPr txBox="1"/>
        </xdr:nvSpPr>
        <xdr:spPr>
          <a:xfrm>
            <a:off x="4955301"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103</xdr:col>
      <xdr:colOff>65170</xdr:colOff>
      <xdr:row>11</xdr:row>
      <xdr:rowOff>0</xdr:rowOff>
    </xdr:from>
    <xdr:to>
      <xdr:col>126</xdr:col>
      <xdr:colOff>65170</xdr:colOff>
      <xdr:row>12</xdr:row>
      <xdr:rowOff>0</xdr:rowOff>
    </xdr:to>
    <xdr:grpSp>
      <xdr:nvGrpSpPr>
        <xdr:cNvPr id="19" name="グループ化 18"/>
        <xdr:cNvGrpSpPr/>
      </xdr:nvGrpSpPr>
      <xdr:grpSpPr>
        <a:xfrm>
          <a:off x="6932695" y="1676400"/>
          <a:ext cx="1533525" cy="152400"/>
          <a:chOff x="6792541" y="1676400"/>
          <a:chExt cx="1502229" cy="152400"/>
        </a:xfrm>
      </xdr:grpSpPr>
      <xdr:sp macro="" textlink="">
        <xdr:nvSpPr>
          <xdr:cNvPr id="113" name="角丸四角形 112"/>
          <xdr:cNvSpPr/>
        </xdr:nvSpPr>
        <xdr:spPr>
          <a:xfrm>
            <a:off x="6792541" y="1676400"/>
            <a:ext cx="1502229"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シュミレーション用依頼登録</a:t>
            </a:r>
          </a:p>
        </xdr:txBody>
      </xdr:sp>
      <xdr:sp macro="" textlink="">
        <xdr:nvSpPr>
          <xdr:cNvPr id="18" name="角丸四角形 17"/>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67</xdr:col>
      <xdr:colOff>65314</xdr:colOff>
      <xdr:row>19</xdr:row>
      <xdr:rowOff>0</xdr:rowOff>
    </xdr:from>
    <xdr:to>
      <xdr:col>74</xdr:col>
      <xdr:colOff>11593</xdr:colOff>
      <xdr:row>20</xdr:row>
      <xdr:rowOff>1</xdr:rowOff>
    </xdr:to>
    <xdr:grpSp>
      <xdr:nvGrpSpPr>
        <xdr:cNvPr id="25" name="グループ化 24"/>
        <xdr:cNvGrpSpPr/>
      </xdr:nvGrpSpPr>
      <xdr:grpSpPr>
        <a:xfrm>
          <a:off x="4532539" y="2895600"/>
          <a:ext cx="413004" cy="152401"/>
          <a:chOff x="4532539" y="2895600"/>
          <a:chExt cx="413004" cy="152401"/>
        </a:xfrm>
      </xdr:grpSpPr>
      <xdr:grpSp>
        <xdr:nvGrpSpPr>
          <xdr:cNvPr id="21" name="グループ化 20"/>
          <xdr:cNvGrpSpPr/>
        </xdr:nvGrpSpPr>
        <xdr:grpSpPr>
          <a:xfrm>
            <a:off x="4532539" y="2895600"/>
            <a:ext cx="144715" cy="152401"/>
            <a:chOff x="4532539" y="2895600"/>
            <a:chExt cx="144715" cy="152401"/>
          </a:xfrm>
        </xdr:grpSpPr>
        <xdr:sp macro="" textlink="">
          <xdr:nvSpPr>
            <xdr:cNvPr id="114" name="テキスト ボックス 113"/>
            <xdr:cNvSpPr txBox="1"/>
          </xdr:nvSpPr>
          <xdr:spPr>
            <a:xfrm>
              <a:off x="4532539" y="2895600"/>
              <a:ext cx="144715" cy="152401"/>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正方形/長方形 19"/>
            <xdr:cNvSpPr/>
          </xdr:nvSpPr>
          <xdr:spPr>
            <a:xfrm>
              <a:off x="4551773" y="2966780"/>
              <a:ext cx="109731" cy="21600"/>
            </a:xfrm>
            <a:prstGeom prst="rect">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4" name="グループ化 23"/>
          <xdr:cNvGrpSpPr/>
        </xdr:nvGrpSpPr>
        <xdr:grpSpPr>
          <a:xfrm>
            <a:off x="4800600" y="2895600"/>
            <a:ext cx="144943" cy="152401"/>
            <a:chOff x="4933950" y="2895600"/>
            <a:chExt cx="143211" cy="152401"/>
          </a:xfrm>
        </xdr:grpSpPr>
        <xdr:grpSp>
          <xdr:nvGrpSpPr>
            <xdr:cNvPr id="116" name="グループ化 115"/>
            <xdr:cNvGrpSpPr/>
          </xdr:nvGrpSpPr>
          <xdr:grpSpPr>
            <a:xfrm>
              <a:off x="4933950" y="2895600"/>
              <a:ext cx="143211" cy="152401"/>
              <a:chOff x="4532539" y="2895600"/>
              <a:chExt cx="144715" cy="152401"/>
            </a:xfrm>
          </xdr:grpSpPr>
          <xdr:sp macro="" textlink="">
            <xdr:nvSpPr>
              <xdr:cNvPr id="117" name="テキスト ボックス 116"/>
              <xdr:cNvSpPr txBox="1"/>
            </xdr:nvSpPr>
            <xdr:spPr>
              <a:xfrm>
                <a:off x="4532539" y="2895600"/>
                <a:ext cx="144715" cy="152401"/>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8" name="正方形/長方形 117"/>
              <xdr:cNvSpPr/>
            </xdr:nvSpPr>
            <xdr:spPr>
              <a:xfrm>
                <a:off x="4551773" y="3002339"/>
                <a:ext cx="109731" cy="21600"/>
              </a:xfrm>
              <a:prstGeom prst="rect">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sp macro="" textlink="">
          <xdr:nvSpPr>
            <xdr:cNvPr id="23" name="右矢印 22"/>
            <xdr:cNvSpPr/>
          </xdr:nvSpPr>
          <xdr:spPr>
            <a:xfrm>
              <a:off x="4958165" y="2913679"/>
              <a:ext cx="94264" cy="78181"/>
            </a:xfrm>
            <a:prstGeom prst="rightArrow">
              <a:avLst>
                <a:gd name="adj1" fmla="val 26271"/>
                <a:gd name="adj2" fmla="val 52542"/>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bg1"/>
                </a:solidFill>
                <a:effectLst/>
                <a:latin typeface="+mn-lt"/>
                <a:ea typeface="+mn-ea"/>
                <a:cs typeface="+mn-cs"/>
              </a:endParaRPr>
            </a:p>
          </xdr:txBody>
        </xdr:sp>
      </xdr:grpSp>
    </xdr:grpSp>
    <xdr:clientData/>
  </xdr:twoCellAnchor>
  <xdr:twoCellAnchor>
    <xdr:from>
      <xdr:col>130</xdr:col>
      <xdr:colOff>0</xdr:colOff>
      <xdr:row>11</xdr:row>
      <xdr:rowOff>0</xdr:rowOff>
    </xdr:from>
    <xdr:to>
      <xdr:col>137</xdr:col>
      <xdr:colOff>65165</xdr:colOff>
      <xdr:row>12</xdr:row>
      <xdr:rowOff>0</xdr:rowOff>
    </xdr:to>
    <xdr:grpSp>
      <xdr:nvGrpSpPr>
        <xdr:cNvPr id="119" name="グループ化 118"/>
        <xdr:cNvGrpSpPr/>
      </xdr:nvGrpSpPr>
      <xdr:grpSpPr>
        <a:xfrm>
          <a:off x="8667750" y="1676400"/>
          <a:ext cx="531890" cy="152400"/>
          <a:chOff x="6792541" y="1676400"/>
          <a:chExt cx="522508" cy="152400"/>
        </a:xfrm>
      </xdr:grpSpPr>
      <xdr:sp macro="" textlink="">
        <xdr:nvSpPr>
          <xdr:cNvPr id="120" name="角丸四角形 119"/>
          <xdr:cNvSpPr/>
        </xdr:nvSpPr>
        <xdr:spPr>
          <a:xfrm>
            <a:off x="6792541" y="1676400"/>
            <a:ext cx="522508"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詳細</a:t>
            </a:r>
          </a:p>
        </xdr:txBody>
      </xdr:sp>
      <xdr:sp macro="" textlink="">
        <xdr:nvSpPr>
          <xdr:cNvPr id="121" name="角丸四角形 120"/>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82</xdr:col>
      <xdr:colOff>65169</xdr:colOff>
      <xdr:row>19</xdr:row>
      <xdr:rowOff>3</xdr:rowOff>
    </xdr:from>
    <xdr:to>
      <xdr:col>88</xdr:col>
      <xdr:colOff>36371</xdr:colOff>
      <xdr:row>19</xdr:row>
      <xdr:rowOff>139868</xdr:rowOff>
    </xdr:to>
    <xdr:grpSp>
      <xdr:nvGrpSpPr>
        <xdr:cNvPr id="39" name="グループ化 38"/>
        <xdr:cNvGrpSpPr/>
      </xdr:nvGrpSpPr>
      <xdr:grpSpPr>
        <a:xfrm>
          <a:off x="5532519" y="2895603"/>
          <a:ext cx="371252" cy="139865"/>
          <a:chOff x="5409195" y="2857502"/>
          <a:chExt cx="402477" cy="155406"/>
        </a:xfrm>
      </xdr:grpSpPr>
      <xdr:grpSp>
        <xdr:nvGrpSpPr>
          <xdr:cNvPr id="143" name="グループ化 142"/>
          <xdr:cNvGrpSpPr/>
        </xdr:nvGrpSpPr>
        <xdr:grpSpPr>
          <a:xfrm>
            <a:off x="5409195" y="2857502"/>
            <a:ext cx="402477" cy="150405"/>
            <a:chOff x="4532547" y="2895581"/>
            <a:chExt cx="413006" cy="152409"/>
          </a:xfrm>
          <a:solidFill>
            <a:schemeClr val="bg1"/>
          </a:solidFill>
        </xdr:grpSpPr>
        <xdr:sp macro="" textlink="">
          <xdr:nvSpPr>
            <xdr:cNvPr id="150" name="テキスト ボックス 149"/>
            <xdr:cNvSpPr txBox="1"/>
          </xdr:nvSpPr>
          <xdr:spPr>
            <a:xfrm>
              <a:off x="4532547" y="2895581"/>
              <a:ext cx="144715" cy="152400"/>
            </a:xfrm>
            <a:prstGeom prst="rect">
              <a:avLst/>
            </a:prstGeom>
            <a:grpFill/>
            <a:ln w="19050" cmpd="sng">
              <a:solidFill>
                <a:srgbClr val="33660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8" name="テキスト ボックス 147"/>
            <xdr:cNvSpPr txBox="1"/>
          </xdr:nvSpPr>
          <xdr:spPr>
            <a:xfrm>
              <a:off x="4800610" y="2895590"/>
              <a:ext cx="144943" cy="152400"/>
            </a:xfrm>
            <a:prstGeom prst="rect">
              <a:avLst/>
            </a:prstGeom>
            <a:grpFill/>
            <a:ln w="19050" cmpd="sng">
              <a:solidFill>
                <a:srgbClr val="33660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52" name="テキスト ボックス 151"/>
          <xdr:cNvSpPr txBox="1"/>
        </xdr:nvSpPr>
        <xdr:spPr>
          <a:xfrm>
            <a:off x="5424236" y="2863248"/>
            <a:ext cx="130342" cy="149660"/>
          </a:xfrm>
          <a:prstGeom prst="rect">
            <a:avLst/>
          </a:prstGeom>
          <a:noFill/>
          <a:ln w="9525" cmpd="sng">
            <a:noFill/>
          </a:ln>
          <a:scene3d>
            <a:camera prst="orthographicFront">
              <a:rot lat="0" lon="0" rev="16200000"/>
            </a:camera>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1400">
                <a:latin typeface="Meiryo UI" panose="020B0604030504040204" pitchFamily="50" charset="-128"/>
                <a:ea typeface="Meiryo UI" panose="020B0604030504040204" pitchFamily="50" charset="-128"/>
                <a:cs typeface="Meiryo UI" panose="020B0604030504040204" pitchFamily="50" charset="-128"/>
              </a:rPr>
              <a:t>ゝ</a:t>
            </a:r>
          </a:p>
        </xdr:txBody>
      </xdr:sp>
    </xdr:grpSp>
    <xdr:clientData/>
  </xdr:twoCellAnchor>
  <xdr:twoCellAnchor>
    <xdr:from>
      <xdr:col>72</xdr:col>
      <xdr:colOff>0</xdr:colOff>
      <xdr:row>7</xdr:row>
      <xdr:rowOff>0</xdr:rowOff>
    </xdr:from>
    <xdr:to>
      <xdr:col>118</xdr:col>
      <xdr:colOff>62383</xdr:colOff>
      <xdr:row>8</xdr:row>
      <xdr:rowOff>2</xdr:rowOff>
    </xdr:to>
    <xdr:grpSp>
      <xdr:nvGrpSpPr>
        <xdr:cNvPr id="124" name="グループ化 123"/>
        <xdr:cNvGrpSpPr/>
      </xdr:nvGrpSpPr>
      <xdr:grpSpPr>
        <a:xfrm>
          <a:off x="4800600" y="1066800"/>
          <a:ext cx="3129433" cy="152402"/>
          <a:chOff x="4683511" y="1072374"/>
          <a:chExt cx="3057748" cy="154260"/>
        </a:xfrm>
      </xdr:grpSpPr>
      <xdr:grpSp>
        <xdr:nvGrpSpPr>
          <xdr:cNvPr id="125" name="グループ化 124"/>
          <xdr:cNvGrpSpPr/>
        </xdr:nvGrpSpPr>
        <xdr:grpSpPr>
          <a:xfrm>
            <a:off x="4683511" y="1072374"/>
            <a:ext cx="3057748" cy="154260"/>
            <a:chOff x="4649332" y="1083468"/>
            <a:chExt cx="3078042" cy="154783"/>
          </a:xfrm>
        </xdr:grpSpPr>
        <xdr:grpSp>
          <xdr:nvGrpSpPr>
            <xdr:cNvPr id="127" name="グループ化 126"/>
            <xdr:cNvGrpSpPr/>
          </xdr:nvGrpSpPr>
          <xdr:grpSpPr>
            <a:xfrm>
              <a:off x="5369651" y="1083468"/>
              <a:ext cx="2357723" cy="154783"/>
              <a:chOff x="1400110" y="1219192"/>
              <a:chExt cx="2400593" cy="152401"/>
            </a:xfrm>
          </xdr:grpSpPr>
          <xdr:sp macro="" textlink="">
            <xdr:nvSpPr>
              <xdr:cNvPr id="129" name="テキスト ボックス 128"/>
              <xdr:cNvSpPr txBox="1"/>
            </xdr:nvSpPr>
            <xdr:spPr>
              <a:xfrm>
                <a:off x="2136173"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30" name="テキスト ボックス 129"/>
              <xdr:cNvSpPr txBox="1"/>
            </xdr:nvSpPr>
            <xdr:spPr>
              <a:xfrm>
                <a:off x="1400110" y="1221932"/>
                <a:ext cx="73301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31" name="テキスト ボックス 130"/>
              <xdr:cNvSpPr txBox="1"/>
            </xdr:nvSpPr>
            <xdr:spPr>
              <a:xfrm>
                <a:off x="2333337" y="1219192"/>
                <a:ext cx="1467366"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28" name="テキスト ボックス 127"/>
            <xdr:cNvSpPr txBox="1"/>
          </xdr:nvSpPr>
          <xdr:spPr>
            <a:xfrm>
              <a:off x="4649332" y="1083469"/>
              <a:ext cx="654833"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sp macro="" textlink="">
        <xdr:nvSpPr>
          <xdr:cNvPr id="126" name="二等辺三角形 125"/>
          <xdr:cNvSpPr>
            <a:spLocks/>
          </xdr:cNvSpPr>
        </xdr:nvSpPr>
        <xdr:spPr>
          <a:xfrm flipV="1">
            <a:off x="6136320"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92</xdr:col>
      <xdr:colOff>5</xdr:colOff>
      <xdr:row>17</xdr:row>
      <xdr:rowOff>0</xdr:rowOff>
    </xdr:from>
    <xdr:to>
      <xdr:col>110</xdr:col>
      <xdr:colOff>17738</xdr:colOff>
      <xdr:row>17</xdr:row>
      <xdr:rowOff>149660</xdr:rowOff>
    </xdr:to>
    <xdr:grpSp>
      <xdr:nvGrpSpPr>
        <xdr:cNvPr id="132" name="グループ化 131"/>
        <xdr:cNvGrpSpPr/>
      </xdr:nvGrpSpPr>
      <xdr:grpSpPr>
        <a:xfrm>
          <a:off x="6134105" y="2590800"/>
          <a:ext cx="1217883" cy="149660"/>
          <a:chOff x="4128877" y="1955132"/>
          <a:chExt cx="1186798" cy="149660"/>
        </a:xfrm>
      </xdr:grpSpPr>
      <xdr:grpSp>
        <xdr:nvGrpSpPr>
          <xdr:cNvPr id="133" name="グループ化 132"/>
          <xdr:cNvGrpSpPr/>
        </xdr:nvGrpSpPr>
        <xdr:grpSpPr>
          <a:xfrm>
            <a:off x="4128877" y="1955132"/>
            <a:ext cx="542794" cy="149660"/>
            <a:chOff x="4151576" y="2012156"/>
            <a:chExt cx="544889" cy="149660"/>
          </a:xfrm>
        </xdr:grpSpPr>
        <xdr:sp macro="" textlink="">
          <xdr:nvSpPr>
            <xdr:cNvPr id="136" name="テキスト ボックス 135"/>
            <xdr:cNvSpPr txBox="1"/>
          </xdr:nvSpPr>
          <xdr:spPr>
            <a:xfrm>
              <a:off x="4262831" y="2012156"/>
              <a:ext cx="433634"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未確認</a:t>
              </a:r>
            </a:p>
          </xdr:txBody>
        </xdr:sp>
        <xdr:sp macro="" textlink="">
          <xdr:nvSpPr>
            <xdr:cNvPr id="137" name="テキスト ボックス 136"/>
            <xdr:cNvSpPr txBox="1"/>
          </xdr:nvSpPr>
          <xdr:spPr>
            <a:xfrm>
              <a:off x="4151576"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34" name="テキスト ボックス 133"/>
          <xdr:cNvSpPr txBox="1"/>
        </xdr:nvSpPr>
        <xdr:spPr>
          <a:xfrm>
            <a:off x="4908268" y="1955132"/>
            <a:ext cx="407407"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確認済</a:t>
            </a:r>
          </a:p>
        </xdr:txBody>
      </xdr:sp>
      <xdr:sp macro="" textlink="">
        <xdr:nvSpPr>
          <xdr:cNvPr id="135" name="テキスト ボックス 134"/>
          <xdr:cNvSpPr txBox="1"/>
        </xdr:nvSpPr>
        <xdr:spPr>
          <a:xfrm>
            <a:off x="4778370"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64849</xdr:colOff>
      <xdr:row>21</xdr:row>
      <xdr:rowOff>0</xdr:rowOff>
    </xdr:from>
    <xdr:to>
      <xdr:col>91</xdr:col>
      <xdr:colOff>0</xdr:colOff>
      <xdr:row>21</xdr:row>
      <xdr:rowOff>149660</xdr:rowOff>
    </xdr:to>
    <xdr:grpSp>
      <xdr:nvGrpSpPr>
        <xdr:cNvPr id="106" name="グループ化 105"/>
        <xdr:cNvGrpSpPr/>
      </xdr:nvGrpSpPr>
      <xdr:grpSpPr>
        <a:xfrm>
          <a:off x="4465399" y="3200400"/>
          <a:ext cx="1602026" cy="149660"/>
          <a:chOff x="4431633" y="1955132"/>
          <a:chExt cx="1563920" cy="149660"/>
        </a:xfrm>
      </xdr:grpSpPr>
      <xdr:grpSp>
        <xdr:nvGrpSpPr>
          <xdr:cNvPr id="107" name="グループ化 106"/>
          <xdr:cNvGrpSpPr/>
        </xdr:nvGrpSpPr>
        <xdr:grpSpPr>
          <a:xfrm>
            <a:off x="4431633" y="1955132"/>
            <a:ext cx="435779" cy="149660"/>
            <a:chOff x="4455488" y="2012156"/>
            <a:chExt cx="437460" cy="149660"/>
          </a:xfrm>
        </xdr:grpSpPr>
        <xdr:sp macro="" textlink="">
          <xdr:nvSpPr>
            <xdr:cNvPr id="139" name="テキスト ボックス 138"/>
            <xdr:cNvSpPr txBox="1"/>
          </xdr:nvSpPr>
          <xdr:spPr>
            <a:xfrm>
              <a:off x="4583907" y="2012156"/>
              <a:ext cx="309041"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確定</a:t>
              </a:r>
            </a:p>
          </xdr:txBody>
        </xdr:sp>
        <xdr:sp macro="" textlink="">
          <xdr:nvSpPr>
            <xdr:cNvPr id="140" name="テキスト ボックス 139"/>
            <xdr:cNvSpPr txBox="1"/>
          </xdr:nvSpPr>
          <xdr:spPr>
            <a:xfrm>
              <a:off x="4455488"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09" name="テキスト ボックス 108"/>
          <xdr:cNvSpPr txBox="1"/>
        </xdr:nvSpPr>
        <xdr:spPr>
          <a:xfrm>
            <a:off x="5083268" y="1955132"/>
            <a:ext cx="32636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通知</a:t>
            </a:r>
          </a:p>
        </xdr:txBody>
      </xdr:sp>
      <xdr:sp macro="" textlink="">
        <xdr:nvSpPr>
          <xdr:cNvPr id="110" name="テキスト ボックス 109"/>
          <xdr:cNvSpPr txBox="1"/>
        </xdr:nvSpPr>
        <xdr:spPr>
          <a:xfrm>
            <a:off x="5604573" y="1955132"/>
            <a:ext cx="39098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再通知</a:t>
            </a:r>
          </a:p>
        </xdr:txBody>
      </xdr:sp>
      <xdr:sp macro="" textlink="">
        <xdr:nvSpPr>
          <xdr:cNvPr id="122" name="テキスト ボックス 121"/>
          <xdr:cNvSpPr txBox="1"/>
        </xdr:nvSpPr>
        <xdr:spPr>
          <a:xfrm>
            <a:off x="4952941"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23" name="テキスト ボックス 122"/>
          <xdr:cNvSpPr txBox="1"/>
        </xdr:nvSpPr>
        <xdr:spPr>
          <a:xfrm>
            <a:off x="5474247" y="1974506"/>
            <a:ext cx="109932"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63</xdr:col>
      <xdr:colOff>11</xdr:colOff>
      <xdr:row>23</xdr:row>
      <xdr:rowOff>0</xdr:rowOff>
    </xdr:from>
    <xdr:to>
      <xdr:col>95</xdr:col>
      <xdr:colOff>65170</xdr:colOff>
      <xdr:row>24</xdr:row>
      <xdr:rowOff>2</xdr:rowOff>
    </xdr:to>
    <xdr:grpSp>
      <xdr:nvGrpSpPr>
        <xdr:cNvPr id="141" name="グループ化 140"/>
        <xdr:cNvGrpSpPr/>
      </xdr:nvGrpSpPr>
      <xdr:grpSpPr>
        <a:xfrm>
          <a:off x="4200536" y="3505200"/>
          <a:ext cx="2198759" cy="152402"/>
          <a:chOff x="4683509" y="1072374"/>
          <a:chExt cx="2148869" cy="154260"/>
        </a:xfrm>
      </xdr:grpSpPr>
      <xdr:grpSp>
        <xdr:nvGrpSpPr>
          <xdr:cNvPr id="142" name="グループ化 141"/>
          <xdr:cNvGrpSpPr/>
        </xdr:nvGrpSpPr>
        <xdr:grpSpPr>
          <a:xfrm>
            <a:off x="4683509" y="1072374"/>
            <a:ext cx="2148869" cy="154260"/>
            <a:chOff x="4649332" y="1083468"/>
            <a:chExt cx="2163133" cy="154783"/>
          </a:xfrm>
        </xdr:grpSpPr>
        <xdr:grpSp>
          <xdr:nvGrpSpPr>
            <xdr:cNvPr id="145" name="グループ化 144"/>
            <xdr:cNvGrpSpPr/>
          </xdr:nvGrpSpPr>
          <xdr:grpSpPr>
            <a:xfrm>
              <a:off x="4911542" y="1083468"/>
              <a:ext cx="1900923" cy="154783"/>
              <a:chOff x="933671" y="1219192"/>
              <a:chExt cx="1935486" cy="152401"/>
            </a:xfrm>
          </xdr:grpSpPr>
          <xdr:sp macro="" textlink="">
            <xdr:nvSpPr>
              <xdr:cNvPr id="147" name="テキスト ボックス 146"/>
              <xdr:cNvSpPr txBox="1"/>
            </xdr:nvSpPr>
            <xdr:spPr>
              <a:xfrm>
                <a:off x="1133907"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9" name="テキスト ボックス 148"/>
              <xdr:cNvSpPr txBox="1"/>
            </xdr:nvSpPr>
            <xdr:spPr>
              <a:xfrm>
                <a:off x="933671" y="1219192"/>
                <a:ext cx="200236"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JN</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1" name="テキスト ボックス 150"/>
              <xdr:cNvSpPr txBox="1"/>
            </xdr:nvSpPr>
            <xdr:spPr>
              <a:xfrm>
                <a:off x="1335048" y="1219192"/>
                <a:ext cx="1534109"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12345678901234567890</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46" name="テキスト ボックス 145"/>
            <xdr:cNvSpPr txBox="1"/>
          </xdr:nvSpPr>
          <xdr:spPr>
            <a:xfrm>
              <a:off x="4649332" y="1083469"/>
              <a:ext cx="196659"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a:t>
              </a:r>
            </a:p>
          </xdr:txBody>
        </xdr:sp>
      </xdr:grpSp>
      <xdr:sp macro="" textlink="">
        <xdr:nvSpPr>
          <xdr:cNvPr id="144" name="二等辺三角形 143"/>
          <xdr:cNvSpPr>
            <a:spLocks/>
          </xdr:cNvSpPr>
        </xdr:nvSpPr>
        <xdr:spPr>
          <a:xfrm flipV="1">
            <a:off x="5158443"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63</xdr:col>
      <xdr:colOff>121</xdr:colOff>
      <xdr:row>24</xdr:row>
      <xdr:rowOff>150394</xdr:rowOff>
    </xdr:from>
    <xdr:to>
      <xdr:col>121</xdr:col>
      <xdr:colOff>124</xdr:colOff>
      <xdr:row>26</xdr:row>
      <xdr:rowOff>1142</xdr:rowOff>
    </xdr:to>
    <xdr:grpSp>
      <xdr:nvGrpSpPr>
        <xdr:cNvPr id="153" name="グループ化 152"/>
        <xdr:cNvGrpSpPr/>
      </xdr:nvGrpSpPr>
      <xdr:grpSpPr>
        <a:xfrm>
          <a:off x="4200646" y="3807994"/>
          <a:ext cx="3867153" cy="155548"/>
          <a:chOff x="4683512" y="1072375"/>
          <a:chExt cx="3918282" cy="154261"/>
        </a:xfrm>
      </xdr:grpSpPr>
      <xdr:grpSp>
        <xdr:nvGrpSpPr>
          <xdr:cNvPr id="154" name="グループ化 153"/>
          <xdr:cNvGrpSpPr/>
        </xdr:nvGrpSpPr>
        <xdr:grpSpPr>
          <a:xfrm>
            <a:off x="4683512" y="1072375"/>
            <a:ext cx="3918282" cy="154261"/>
            <a:chOff x="4649332" y="1083469"/>
            <a:chExt cx="3944288" cy="154784"/>
          </a:xfrm>
        </xdr:grpSpPr>
        <xdr:grpSp>
          <xdr:nvGrpSpPr>
            <xdr:cNvPr id="156" name="グループ化 155"/>
            <xdr:cNvGrpSpPr/>
          </xdr:nvGrpSpPr>
          <xdr:grpSpPr>
            <a:xfrm>
              <a:off x="5380665" y="1083469"/>
              <a:ext cx="3212955" cy="154784"/>
              <a:chOff x="1411324" y="1219192"/>
              <a:chExt cx="3271376" cy="152402"/>
            </a:xfrm>
          </xdr:grpSpPr>
          <xdr:sp macro="" textlink="">
            <xdr:nvSpPr>
              <xdr:cNvPr id="158" name="テキスト ボックス 157"/>
              <xdr:cNvSpPr txBox="1"/>
            </xdr:nvSpPr>
            <xdr:spPr>
              <a:xfrm>
                <a:off x="2190006" y="1219193"/>
                <a:ext cx="13394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9" name="テキスト ボックス 158"/>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0" name="テキスト ボックス 159"/>
              <xdr:cNvSpPr txBox="1"/>
            </xdr:nvSpPr>
            <xdr:spPr>
              <a:xfrm>
                <a:off x="2397602"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57" name="テキスト ボックス 156"/>
            <xdr:cNvSpPr txBox="1"/>
          </xdr:nvSpPr>
          <xdr:spPr>
            <a:xfrm>
              <a:off x="4649332" y="1083469"/>
              <a:ext cx="680051"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sp macro="" textlink="">
        <xdr:nvSpPr>
          <xdr:cNvPr id="155" name="二等辺三角形 154"/>
          <xdr:cNvSpPr>
            <a:spLocks/>
          </xdr:cNvSpPr>
        </xdr:nvSpPr>
        <xdr:spPr>
          <a:xfrm flipV="1">
            <a:off x="619227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63</xdr:col>
      <xdr:colOff>2</xdr:colOff>
      <xdr:row>27</xdr:row>
      <xdr:rowOff>0</xdr:rowOff>
    </xdr:from>
    <xdr:to>
      <xdr:col>83</xdr:col>
      <xdr:colOff>65168</xdr:colOff>
      <xdr:row>28</xdr:row>
      <xdr:rowOff>1142</xdr:rowOff>
    </xdr:to>
    <xdr:grpSp>
      <xdr:nvGrpSpPr>
        <xdr:cNvPr id="161" name="グループ化 160"/>
        <xdr:cNvGrpSpPr/>
      </xdr:nvGrpSpPr>
      <xdr:grpSpPr>
        <a:xfrm>
          <a:off x="4200527" y="4114800"/>
          <a:ext cx="1398666" cy="153542"/>
          <a:chOff x="4683518" y="1072375"/>
          <a:chExt cx="1372169" cy="154261"/>
        </a:xfrm>
      </xdr:grpSpPr>
      <xdr:grpSp>
        <xdr:nvGrpSpPr>
          <xdr:cNvPr id="162" name="グループ化 161"/>
          <xdr:cNvGrpSpPr/>
        </xdr:nvGrpSpPr>
        <xdr:grpSpPr>
          <a:xfrm>
            <a:off x="4683518" y="1072375"/>
            <a:ext cx="1372169" cy="154261"/>
            <a:chOff x="4649330" y="1083469"/>
            <a:chExt cx="1381275" cy="154784"/>
          </a:xfrm>
        </xdr:grpSpPr>
        <xdr:grpSp>
          <xdr:nvGrpSpPr>
            <xdr:cNvPr id="164" name="グループ化 163"/>
            <xdr:cNvGrpSpPr/>
          </xdr:nvGrpSpPr>
          <xdr:grpSpPr>
            <a:xfrm>
              <a:off x="5369650" y="1083469"/>
              <a:ext cx="660955" cy="154784"/>
              <a:chOff x="1400110" y="1219192"/>
              <a:chExt cx="672973" cy="152402"/>
            </a:xfrm>
          </xdr:grpSpPr>
          <xdr:sp macro="" textlink="">
            <xdr:nvSpPr>
              <xdr:cNvPr id="166" name="テキスト ボックス 165"/>
              <xdr:cNvSpPr txBox="1"/>
            </xdr:nvSpPr>
            <xdr:spPr>
              <a:xfrm>
                <a:off x="1537317"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7" name="テキスト ボックス 166"/>
              <xdr:cNvSpPr txBox="1"/>
            </xdr:nvSpPr>
            <xdr:spPr>
              <a:xfrm>
                <a:off x="1400110" y="1219192"/>
                <a:ext cx="137207"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8" name="テキスト ボックス 167"/>
              <xdr:cNvSpPr txBox="1"/>
            </xdr:nvSpPr>
            <xdr:spPr>
              <a:xfrm>
                <a:off x="1738223" y="1219194"/>
                <a:ext cx="334860"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65" name="テキスト ボックス 164"/>
            <xdr:cNvSpPr txBox="1"/>
          </xdr:nvSpPr>
          <xdr:spPr>
            <a:xfrm>
              <a:off x="4649330" y="1083469"/>
              <a:ext cx="654834"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国内／海外</a:t>
              </a:r>
            </a:p>
          </xdr:txBody>
        </xdr:sp>
      </xdr:grpSp>
      <xdr:sp macro="" textlink="">
        <xdr:nvSpPr>
          <xdr:cNvPr id="163" name="二等辺三角形 162"/>
          <xdr:cNvSpPr>
            <a:spLocks/>
          </xdr:cNvSpPr>
        </xdr:nvSpPr>
        <xdr:spPr>
          <a:xfrm flipV="1">
            <a:off x="5552036"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65171</xdr:colOff>
      <xdr:row>31</xdr:row>
      <xdr:rowOff>0</xdr:rowOff>
    </xdr:from>
    <xdr:to>
      <xdr:col>91</xdr:col>
      <xdr:colOff>1</xdr:colOff>
      <xdr:row>32</xdr:row>
      <xdr:rowOff>1139</xdr:rowOff>
    </xdr:to>
    <xdr:grpSp>
      <xdr:nvGrpSpPr>
        <xdr:cNvPr id="3" name="グループ化 2"/>
        <xdr:cNvGrpSpPr/>
      </xdr:nvGrpSpPr>
      <xdr:grpSpPr>
        <a:xfrm>
          <a:off x="4332371" y="4724400"/>
          <a:ext cx="1735055" cy="153539"/>
          <a:chOff x="4236118" y="4662237"/>
          <a:chExt cx="1694449" cy="151534"/>
        </a:xfrm>
      </xdr:grpSpPr>
      <xdr:sp macro="" textlink="">
        <xdr:nvSpPr>
          <xdr:cNvPr id="177" name="テキスト ボックス 176"/>
          <xdr:cNvSpPr txBox="1"/>
        </xdr:nvSpPr>
        <xdr:spPr>
          <a:xfrm>
            <a:off x="4236118" y="4662237"/>
            <a:ext cx="521369"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受注ＮＯ</a:t>
            </a:r>
          </a:p>
        </xdr:txBody>
      </xdr:sp>
      <xdr:sp macro="" textlink="">
        <xdr:nvSpPr>
          <xdr:cNvPr id="178" name="テキスト ボックス 177"/>
          <xdr:cNvSpPr txBox="1"/>
        </xdr:nvSpPr>
        <xdr:spPr>
          <a:xfrm>
            <a:off x="4822659" y="4662237"/>
            <a:ext cx="1107908" cy="15039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67</xdr:col>
      <xdr:colOff>0</xdr:colOff>
      <xdr:row>32</xdr:row>
      <xdr:rowOff>150394</xdr:rowOff>
    </xdr:from>
    <xdr:to>
      <xdr:col>118</xdr:col>
      <xdr:colOff>17660</xdr:colOff>
      <xdr:row>34</xdr:row>
      <xdr:rowOff>2006</xdr:rowOff>
    </xdr:to>
    <xdr:grpSp>
      <xdr:nvGrpSpPr>
        <xdr:cNvPr id="179" name="グループ化 178"/>
        <xdr:cNvGrpSpPr/>
      </xdr:nvGrpSpPr>
      <xdr:grpSpPr>
        <a:xfrm>
          <a:off x="4467225" y="5027194"/>
          <a:ext cx="3418085" cy="156412"/>
          <a:chOff x="386619" y="1353553"/>
          <a:chExt cx="3264578" cy="150395"/>
        </a:xfrm>
      </xdr:grpSpPr>
      <xdr:sp macro="" textlink="">
        <xdr:nvSpPr>
          <xdr:cNvPr id="180" name="テキスト ボックス 179"/>
          <xdr:cNvSpPr txBox="1"/>
        </xdr:nvSpPr>
        <xdr:spPr>
          <a:xfrm>
            <a:off x="386619" y="1353553"/>
            <a:ext cx="656119" cy="15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出荷予定日</a:t>
            </a:r>
          </a:p>
        </xdr:txBody>
      </xdr:sp>
      <xdr:grpSp>
        <xdr:nvGrpSpPr>
          <xdr:cNvPr id="181" name="グループ化 180"/>
          <xdr:cNvGrpSpPr/>
        </xdr:nvGrpSpPr>
        <xdr:grpSpPr>
          <a:xfrm>
            <a:off x="1042737" y="1353553"/>
            <a:ext cx="2608460" cy="150395"/>
            <a:chOff x="466725" y="304800"/>
            <a:chExt cx="2668618" cy="152400"/>
          </a:xfrm>
        </xdr:grpSpPr>
        <xdr:grpSp>
          <xdr:nvGrpSpPr>
            <xdr:cNvPr id="182" name="グループ化 181"/>
            <xdr:cNvGrpSpPr/>
          </xdr:nvGrpSpPr>
          <xdr:grpSpPr>
            <a:xfrm>
              <a:off x="466725" y="304800"/>
              <a:ext cx="1201767" cy="150962"/>
              <a:chOff x="1270770" y="762000"/>
              <a:chExt cx="3659650" cy="152400"/>
            </a:xfrm>
          </xdr:grpSpPr>
          <xdr:sp macro="" textlink="">
            <xdr:nvSpPr>
              <xdr:cNvPr id="187" name="テキスト ボックス 186"/>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8" name="テキスト ボックス 187"/>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83" name="テキスト ボックス 182"/>
            <xdr:cNvSpPr txBox="1"/>
          </xdr:nvSpPr>
          <xdr:spPr>
            <a:xfrm>
              <a:off x="1733550" y="304800"/>
              <a:ext cx="129551"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184" name="グループ化 183"/>
            <xdr:cNvGrpSpPr/>
          </xdr:nvGrpSpPr>
          <xdr:grpSpPr>
            <a:xfrm>
              <a:off x="1933575" y="304800"/>
              <a:ext cx="1201768" cy="150962"/>
              <a:chOff x="1270770" y="762000"/>
              <a:chExt cx="3659650" cy="152400"/>
            </a:xfrm>
          </xdr:grpSpPr>
          <xdr:sp macro="" textlink="">
            <xdr:nvSpPr>
              <xdr:cNvPr id="185" name="テキスト ボックス 18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6" name="テキスト ボックス 18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grpSp>
    <xdr:clientData/>
  </xdr:twoCellAnchor>
  <xdr:twoCellAnchor>
    <xdr:from>
      <xdr:col>67</xdr:col>
      <xdr:colOff>125</xdr:colOff>
      <xdr:row>28</xdr:row>
      <xdr:rowOff>150394</xdr:rowOff>
    </xdr:from>
    <xdr:to>
      <xdr:col>123</xdr:col>
      <xdr:colOff>65046</xdr:colOff>
      <xdr:row>30</xdr:row>
      <xdr:rowOff>1140</xdr:rowOff>
    </xdr:to>
    <xdr:grpSp>
      <xdr:nvGrpSpPr>
        <xdr:cNvPr id="6" name="グループ化 5"/>
        <xdr:cNvGrpSpPr/>
      </xdr:nvGrpSpPr>
      <xdr:grpSpPr>
        <a:xfrm>
          <a:off x="4467350" y="4417594"/>
          <a:ext cx="3798721" cy="155546"/>
          <a:chOff x="4366458" y="4361446"/>
          <a:chExt cx="3714635" cy="151535"/>
        </a:xfrm>
      </xdr:grpSpPr>
      <xdr:grpSp>
        <xdr:nvGrpSpPr>
          <xdr:cNvPr id="170" name="グループ化 169"/>
          <xdr:cNvGrpSpPr/>
        </xdr:nvGrpSpPr>
        <xdr:grpSpPr>
          <a:xfrm>
            <a:off x="4366458" y="4361446"/>
            <a:ext cx="1498937" cy="151535"/>
            <a:chOff x="4912432" y="1083468"/>
            <a:chExt cx="1512834" cy="154782"/>
          </a:xfrm>
        </xdr:grpSpPr>
        <xdr:sp macro="" textlink="">
          <xdr:nvSpPr>
            <xdr:cNvPr id="175" name="テキスト ボックス 174"/>
            <xdr:cNvSpPr txBox="1"/>
          </xdr:nvSpPr>
          <xdr:spPr>
            <a:xfrm>
              <a:off x="5369652" y="1083468"/>
              <a:ext cx="1055614" cy="15361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3" name="テキスト ボックス 172"/>
            <xdr:cNvSpPr txBox="1"/>
          </xdr:nvSpPr>
          <xdr:spPr>
            <a:xfrm>
              <a:off x="4912432" y="1083469"/>
              <a:ext cx="39173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得意先</a:t>
              </a:r>
            </a:p>
          </xdr:txBody>
        </xdr:sp>
      </xdr:grpSp>
      <xdr:sp macro="" textlink="">
        <xdr:nvSpPr>
          <xdr:cNvPr id="197" name="テキスト ボックス 196"/>
          <xdr:cNvSpPr txBox="1"/>
        </xdr:nvSpPr>
        <xdr:spPr>
          <a:xfrm>
            <a:off x="5930442" y="4364272"/>
            <a:ext cx="2150651" cy="14870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8</xdr:colOff>
      <xdr:row>36</xdr:row>
      <xdr:rowOff>153327</xdr:rowOff>
    </xdr:from>
    <xdr:to>
      <xdr:col>139</xdr:col>
      <xdr:colOff>65048</xdr:colOff>
      <xdr:row>38</xdr:row>
      <xdr:rowOff>4074</xdr:rowOff>
    </xdr:to>
    <xdr:grpSp>
      <xdr:nvGrpSpPr>
        <xdr:cNvPr id="13" name="グループ化 12"/>
        <xdr:cNvGrpSpPr/>
      </xdr:nvGrpSpPr>
      <xdr:grpSpPr>
        <a:xfrm>
          <a:off x="4400558" y="5639727"/>
          <a:ext cx="4932315" cy="155547"/>
          <a:chOff x="4293228" y="5673181"/>
          <a:chExt cx="4813600" cy="157405"/>
        </a:xfrm>
      </xdr:grpSpPr>
      <xdr:grpSp>
        <xdr:nvGrpSpPr>
          <xdr:cNvPr id="201" name="グループ化 200"/>
          <xdr:cNvGrpSpPr/>
        </xdr:nvGrpSpPr>
        <xdr:grpSpPr>
          <a:xfrm>
            <a:off x="4293228" y="5673181"/>
            <a:ext cx="4813600" cy="157405"/>
            <a:chOff x="4366464" y="4361445"/>
            <a:chExt cx="4822657" cy="151536"/>
          </a:xfrm>
        </xdr:grpSpPr>
        <xdr:sp macro="" textlink="">
          <xdr:nvSpPr>
            <xdr:cNvPr id="207" name="テキスト ボックス 206"/>
            <xdr:cNvSpPr txBox="1"/>
          </xdr:nvSpPr>
          <xdr:spPr>
            <a:xfrm>
              <a:off x="4366464" y="4361447"/>
              <a:ext cx="388134"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納品先</a:t>
              </a:r>
            </a:p>
          </xdr:txBody>
        </xdr:sp>
        <xdr:sp macro="" textlink="">
          <xdr:nvSpPr>
            <xdr:cNvPr id="205" name="テキスト ボックス 204"/>
            <xdr:cNvSpPr txBox="1"/>
          </xdr:nvSpPr>
          <xdr:spPr>
            <a:xfrm>
              <a:off x="7038473" y="4361445"/>
              <a:ext cx="2150648" cy="147614"/>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08" name="テキスト ボックス 207"/>
          <xdr:cNvSpPr txBox="1"/>
        </xdr:nvSpPr>
        <xdr:spPr>
          <a:xfrm>
            <a:off x="4748561" y="5673183"/>
            <a:ext cx="2146609" cy="15332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79</xdr:col>
      <xdr:colOff>2313</xdr:colOff>
      <xdr:row>34</xdr:row>
      <xdr:rowOff>149086</xdr:rowOff>
    </xdr:from>
    <xdr:to>
      <xdr:col>191</xdr:col>
      <xdr:colOff>65640</xdr:colOff>
      <xdr:row>36</xdr:row>
      <xdr:rowOff>1191</xdr:rowOff>
    </xdr:to>
    <xdr:grpSp>
      <xdr:nvGrpSpPr>
        <xdr:cNvPr id="22" name="グループ化 21"/>
        <xdr:cNvGrpSpPr/>
      </xdr:nvGrpSpPr>
      <xdr:grpSpPr>
        <a:xfrm>
          <a:off x="5269638" y="5330686"/>
          <a:ext cx="7530927" cy="156905"/>
          <a:chOff x="5236922" y="5218043"/>
          <a:chExt cx="7484544" cy="150278"/>
        </a:xfrm>
      </xdr:grpSpPr>
      <xdr:grpSp>
        <xdr:nvGrpSpPr>
          <xdr:cNvPr id="17" name="グループ化 16"/>
          <xdr:cNvGrpSpPr/>
        </xdr:nvGrpSpPr>
        <xdr:grpSpPr>
          <a:xfrm>
            <a:off x="5236922" y="5218062"/>
            <a:ext cx="7484544" cy="150259"/>
            <a:chOff x="5269846" y="5333020"/>
            <a:chExt cx="7532443" cy="154527"/>
          </a:xfrm>
        </xdr:grpSpPr>
        <xdr:grpSp>
          <xdr:nvGrpSpPr>
            <xdr:cNvPr id="190" name="グループ化 189"/>
            <xdr:cNvGrpSpPr/>
          </xdr:nvGrpSpPr>
          <xdr:grpSpPr>
            <a:xfrm>
              <a:off x="5269846" y="5333020"/>
              <a:ext cx="7532443" cy="154527"/>
              <a:chOff x="5471911" y="1079399"/>
              <a:chExt cx="6172362" cy="158851"/>
            </a:xfrm>
          </xdr:grpSpPr>
          <xdr:grpSp>
            <xdr:nvGrpSpPr>
              <xdr:cNvPr id="192" name="グループ化 191"/>
              <xdr:cNvGrpSpPr/>
            </xdr:nvGrpSpPr>
            <xdr:grpSpPr>
              <a:xfrm>
                <a:off x="5852512" y="1079399"/>
                <a:ext cx="5791761" cy="157703"/>
                <a:chOff x="1891751" y="1215192"/>
                <a:chExt cx="5897073" cy="155277"/>
              </a:xfrm>
            </xdr:grpSpPr>
            <xdr:sp macro="" textlink="">
              <xdr:nvSpPr>
                <xdr:cNvPr id="195" name="テキスト ボックス 194"/>
                <xdr:cNvSpPr txBox="1"/>
              </xdr:nvSpPr>
              <xdr:spPr>
                <a:xfrm>
                  <a:off x="1891751" y="1215192"/>
                  <a:ext cx="1668748" cy="150662"/>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123456789801234567898012345</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6" name="テキスト ボックス 195"/>
                <xdr:cNvSpPr txBox="1"/>
              </xdr:nvSpPr>
              <xdr:spPr>
                <a:xfrm>
                  <a:off x="4284171" y="1216189"/>
                  <a:ext cx="3504653" cy="15428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93" name="テキスト ボックス 192"/>
              <xdr:cNvSpPr txBox="1"/>
            </xdr:nvSpPr>
            <xdr:spPr>
              <a:xfrm>
                <a:off x="5471911" y="1083469"/>
                <a:ext cx="325957"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品目</a:t>
                </a:r>
              </a:p>
            </xdr:txBody>
          </xdr:sp>
        </xdr:grpSp>
        <xdr:sp macro="" textlink="">
          <xdr:nvSpPr>
            <xdr:cNvPr id="210" name="テキスト ボックス 209"/>
            <xdr:cNvSpPr txBox="1"/>
          </xdr:nvSpPr>
          <xdr:spPr>
            <a:xfrm>
              <a:off x="7801636" y="5334000"/>
              <a:ext cx="600074"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21" name="テキスト ボックス 220"/>
          <xdr:cNvSpPr txBox="1"/>
        </xdr:nvSpPr>
        <xdr:spPr>
          <a:xfrm>
            <a:off x="8352449" y="5218043"/>
            <a:ext cx="128942" cy="150227"/>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22" name="二等辺三角形 221"/>
          <xdr:cNvSpPr>
            <a:spLocks/>
          </xdr:cNvSpPr>
        </xdr:nvSpPr>
        <xdr:spPr>
          <a:xfrm flipV="1">
            <a:off x="8371781" y="5277768"/>
            <a:ext cx="96088" cy="52589"/>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35092</xdr:colOff>
      <xdr:row>39</xdr:row>
      <xdr:rowOff>0</xdr:rowOff>
    </xdr:from>
    <xdr:to>
      <xdr:col>79</xdr:col>
      <xdr:colOff>60158</xdr:colOff>
      <xdr:row>39</xdr:row>
      <xdr:rowOff>149086</xdr:rowOff>
    </xdr:to>
    <xdr:sp macro="" textlink="">
      <xdr:nvSpPr>
        <xdr:cNvPr id="232" name="角丸四角形 231"/>
        <xdr:cNvSpPr/>
      </xdr:nvSpPr>
      <xdr:spPr>
        <a:xfrm>
          <a:off x="4424212" y="5943600"/>
          <a:ext cx="1053766" cy="149086"/>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出荷予定連絡票</a:t>
          </a:r>
        </a:p>
      </xdr:txBody>
    </xdr:sp>
    <xdr:clientData/>
  </xdr:twoCellAnchor>
  <xdr:twoCellAnchor>
    <xdr:from>
      <xdr:col>65</xdr:col>
      <xdr:colOff>0</xdr:colOff>
      <xdr:row>41</xdr:row>
      <xdr:rowOff>1621</xdr:rowOff>
    </xdr:from>
    <xdr:to>
      <xdr:col>81</xdr:col>
      <xdr:colOff>0</xdr:colOff>
      <xdr:row>42</xdr:row>
      <xdr:rowOff>0</xdr:rowOff>
    </xdr:to>
    <xdr:grpSp>
      <xdr:nvGrpSpPr>
        <xdr:cNvPr id="240" name="グループ化 239"/>
        <xdr:cNvGrpSpPr/>
      </xdr:nvGrpSpPr>
      <xdr:grpSpPr>
        <a:xfrm>
          <a:off x="4333875" y="6250021"/>
          <a:ext cx="1066800" cy="150779"/>
          <a:chOff x="4457700" y="6250021"/>
          <a:chExt cx="1097280" cy="150779"/>
        </a:xfrm>
      </xdr:grpSpPr>
      <xdr:sp macro="" textlink="">
        <xdr:nvSpPr>
          <xdr:cNvPr id="234" name="角丸四角形 233"/>
          <xdr:cNvSpPr/>
        </xdr:nvSpPr>
        <xdr:spPr>
          <a:xfrm>
            <a:off x="4457700" y="6250021"/>
            <a:ext cx="1097280" cy="150779"/>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　ケースマーク</a:t>
            </a:r>
            <a:r>
              <a:rPr kumimoji="1" lang="en-US" altLang="ja-JP"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CSV</a:t>
            </a:r>
            <a:endPar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6" name="下矢印 235"/>
          <xdr:cNvSpPr/>
        </xdr:nvSpPr>
        <xdr:spPr>
          <a:xfrm>
            <a:off x="4495800" y="6267450"/>
            <a:ext cx="108000" cy="93224"/>
          </a:xfrm>
          <a:prstGeom prst="downArrow">
            <a:avLst/>
          </a:prstGeom>
          <a:solidFill>
            <a:schemeClr val="bg1"/>
          </a:solidFill>
          <a:ln w="3175">
            <a:solidFill>
              <a:schemeClr val="bg1"/>
            </a:solid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xnSp macro="">
        <xdr:nvCxnSpPr>
          <xdr:cNvPr id="238" name="直線コネクタ 237"/>
          <xdr:cNvCxnSpPr/>
        </xdr:nvCxnSpPr>
        <xdr:spPr>
          <a:xfrm>
            <a:off x="4480479" y="6374130"/>
            <a:ext cx="133431"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84</xdr:col>
      <xdr:colOff>0</xdr:colOff>
      <xdr:row>39</xdr:row>
      <xdr:rowOff>0</xdr:rowOff>
    </xdr:from>
    <xdr:to>
      <xdr:col>84</xdr:col>
      <xdr:colOff>32400</xdr:colOff>
      <xdr:row>40</xdr:row>
      <xdr:rowOff>11430</xdr:rowOff>
    </xdr:to>
    <xdr:sp macro="" textlink="">
      <xdr:nvSpPr>
        <xdr:cNvPr id="241" name="角丸四角形 240"/>
        <xdr:cNvSpPr/>
      </xdr:nvSpPr>
      <xdr:spPr>
        <a:xfrm>
          <a:off x="5760720" y="5943600"/>
          <a:ext cx="32400" cy="163830"/>
        </a:xfrm>
        <a:prstGeom prst="roundRect">
          <a:avLst/>
        </a:prstGeom>
        <a:solidFill>
          <a:srgbClr val="FF99FF"/>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96</xdr:col>
      <xdr:colOff>0</xdr:colOff>
      <xdr:row>41</xdr:row>
      <xdr:rowOff>0</xdr:rowOff>
    </xdr:from>
    <xdr:to>
      <xdr:col>96</xdr:col>
      <xdr:colOff>32400</xdr:colOff>
      <xdr:row>41</xdr:row>
      <xdr:rowOff>136800</xdr:rowOff>
    </xdr:to>
    <xdr:sp macro="" textlink="">
      <xdr:nvSpPr>
        <xdr:cNvPr id="245" name="角丸四角形 244"/>
        <xdr:cNvSpPr/>
      </xdr:nvSpPr>
      <xdr:spPr>
        <a:xfrm>
          <a:off x="6583680" y="6248400"/>
          <a:ext cx="32400" cy="136800"/>
        </a:xfrm>
        <a:prstGeom prst="roundRect">
          <a:avLst/>
        </a:prstGeom>
        <a:solidFill>
          <a:srgbClr val="FF99FF"/>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63</xdr:col>
      <xdr:colOff>61851</xdr:colOff>
      <xdr:row>15</xdr:row>
      <xdr:rowOff>0</xdr:rowOff>
    </xdr:from>
    <xdr:to>
      <xdr:col>97</xdr:col>
      <xdr:colOff>68033</xdr:colOff>
      <xdr:row>15</xdr:row>
      <xdr:rowOff>149660</xdr:rowOff>
    </xdr:to>
    <xdr:grpSp>
      <xdr:nvGrpSpPr>
        <xdr:cNvPr id="248" name="グループ化 247"/>
        <xdr:cNvGrpSpPr/>
      </xdr:nvGrpSpPr>
      <xdr:grpSpPr>
        <a:xfrm>
          <a:off x="4262376" y="2286000"/>
          <a:ext cx="2273132" cy="149660"/>
          <a:chOff x="4382391" y="2286000"/>
          <a:chExt cx="2337902" cy="149660"/>
        </a:xfrm>
      </xdr:grpSpPr>
      <xdr:grpSp>
        <xdr:nvGrpSpPr>
          <xdr:cNvPr id="16" name="グループ化 15"/>
          <xdr:cNvGrpSpPr/>
        </xdr:nvGrpSpPr>
        <xdr:grpSpPr>
          <a:xfrm>
            <a:off x="4382391" y="2286000"/>
            <a:ext cx="1649382" cy="149660"/>
            <a:chOff x="4263822" y="2286000"/>
            <a:chExt cx="1602736" cy="149660"/>
          </a:xfrm>
        </xdr:grpSpPr>
        <xdr:sp macro="" textlink="">
          <xdr:nvSpPr>
            <xdr:cNvPr id="101" name="テキスト ボックス 100"/>
            <xdr:cNvSpPr txBox="1"/>
          </xdr:nvSpPr>
          <xdr:spPr>
            <a:xfrm>
              <a:off x="5399486" y="2286000"/>
              <a:ext cx="46707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取消する</a:t>
              </a:r>
            </a:p>
          </xdr:txBody>
        </xdr:sp>
        <xdr:sp macro="" textlink="">
          <xdr:nvSpPr>
            <xdr:cNvPr id="99" name="テキスト ボックス 98"/>
            <xdr:cNvSpPr txBox="1"/>
          </xdr:nvSpPr>
          <xdr:spPr>
            <a:xfrm>
              <a:off x="4400627" y="2286000"/>
              <a:ext cx="800023"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登録・訂正する</a:t>
              </a:r>
            </a:p>
          </xdr:txBody>
        </xdr:sp>
        <xdr:sp macro="" textlink="">
          <xdr:nvSpPr>
            <xdr:cNvPr id="15" name="円/楕円 14"/>
            <xdr:cNvSpPr/>
          </xdr:nvSpPr>
          <xdr:spPr>
            <a:xfrm>
              <a:off x="4263822" y="2294334"/>
              <a:ext cx="136799"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100" name="円/楕円 99"/>
            <xdr:cNvSpPr/>
          </xdr:nvSpPr>
          <xdr:spPr>
            <a:xfrm>
              <a:off x="4300224" y="2329798"/>
              <a:ext cx="59104" cy="57600"/>
            </a:xfrm>
            <a:prstGeom prst="ellipse">
              <a:avLst/>
            </a:prstGeom>
            <a:solidFill>
              <a:schemeClr val="tx1"/>
            </a:solid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102" name="円/楕円 101"/>
            <xdr:cNvSpPr/>
          </xdr:nvSpPr>
          <xdr:spPr>
            <a:xfrm>
              <a:off x="5267325" y="2295525"/>
              <a:ext cx="136800"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sp macro="" textlink="">
        <xdr:nvSpPr>
          <xdr:cNvPr id="246" name="テキスト ボックス 245"/>
          <xdr:cNvSpPr txBox="1"/>
        </xdr:nvSpPr>
        <xdr:spPr>
          <a:xfrm>
            <a:off x="6239627" y="2286000"/>
            <a:ext cx="480666"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参照する</a:t>
            </a:r>
          </a:p>
        </xdr:txBody>
      </xdr:sp>
      <xdr:sp macro="" textlink="">
        <xdr:nvSpPr>
          <xdr:cNvPr id="247" name="円/楕円 246"/>
          <xdr:cNvSpPr/>
        </xdr:nvSpPr>
        <xdr:spPr>
          <a:xfrm>
            <a:off x="6103620" y="2295525"/>
            <a:ext cx="140781"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98</xdr:col>
      <xdr:colOff>0</xdr:colOff>
      <xdr:row>21</xdr:row>
      <xdr:rowOff>0</xdr:rowOff>
    </xdr:from>
    <xdr:to>
      <xdr:col>104</xdr:col>
      <xdr:colOff>48188</xdr:colOff>
      <xdr:row>21</xdr:row>
      <xdr:rowOff>149660</xdr:rowOff>
    </xdr:to>
    <xdr:grpSp>
      <xdr:nvGrpSpPr>
        <xdr:cNvPr id="251" name="グループ化 250"/>
        <xdr:cNvGrpSpPr/>
      </xdr:nvGrpSpPr>
      <xdr:grpSpPr>
        <a:xfrm>
          <a:off x="6534150" y="3200400"/>
          <a:ext cx="448238" cy="149660"/>
          <a:chOff x="6720840" y="3200400"/>
          <a:chExt cx="459668" cy="149660"/>
        </a:xfrm>
      </xdr:grpSpPr>
      <xdr:sp macro="" textlink="">
        <xdr:nvSpPr>
          <xdr:cNvPr id="249" name="テキスト ボックス 248"/>
          <xdr:cNvSpPr txBox="1"/>
        </xdr:nvSpPr>
        <xdr:spPr>
          <a:xfrm>
            <a:off x="6855778" y="3200400"/>
            <a:ext cx="32473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国外</a:t>
            </a:r>
          </a:p>
        </xdr:txBody>
      </xdr:sp>
      <xdr:sp macro="" textlink="">
        <xdr:nvSpPr>
          <xdr:cNvPr id="250" name="テキスト ボックス 249"/>
          <xdr:cNvSpPr txBox="1"/>
        </xdr:nvSpPr>
        <xdr:spPr>
          <a:xfrm>
            <a:off x="6720840" y="3219774"/>
            <a:ext cx="116905"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1</xdr:colOff>
      <xdr:row>43</xdr:row>
      <xdr:rowOff>53106</xdr:rowOff>
    </xdr:from>
    <xdr:to>
      <xdr:col>66</xdr:col>
      <xdr:colOff>53749</xdr:colOff>
      <xdr:row>43</xdr:row>
      <xdr:rowOff>152399</xdr:rowOff>
    </xdr:to>
    <xdr:sp macro="" textlink="">
      <xdr:nvSpPr>
        <xdr:cNvPr id="252" name="二等辺三角形 251"/>
        <xdr:cNvSpPr>
          <a:spLocks/>
        </xdr:cNvSpPr>
      </xdr:nvSpPr>
      <xdr:spPr>
        <a:xfrm rot="5400000" flipV="1">
          <a:off x="4503508" y="6629079"/>
          <a:ext cx="99293" cy="53748"/>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71</xdr:col>
      <xdr:colOff>0</xdr:colOff>
      <xdr:row>43</xdr:row>
      <xdr:rowOff>53106</xdr:rowOff>
    </xdr:from>
    <xdr:to>
      <xdr:col>71</xdr:col>
      <xdr:colOff>53748</xdr:colOff>
      <xdr:row>43</xdr:row>
      <xdr:rowOff>152399</xdr:rowOff>
    </xdr:to>
    <xdr:sp macro="" textlink="">
      <xdr:nvSpPr>
        <xdr:cNvPr id="253" name="二等辺三角形 252"/>
        <xdr:cNvSpPr>
          <a:spLocks/>
        </xdr:cNvSpPr>
      </xdr:nvSpPr>
      <xdr:spPr>
        <a:xfrm rot="16200000" flipV="1">
          <a:off x="4846407" y="6629079"/>
          <a:ext cx="99293" cy="53748"/>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66</xdr:col>
      <xdr:colOff>1575</xdr:colOff>
      <xdr:row>45</xdr:row>
      <xdr:rowOff>881</xdr:rowOff>
    </xdr:from>
    <xdr:to>
      <xdr:col>99</xdr:col>
      <xdr:colOff>0</xdr:colOff>
      <xdr:row>46</xdr:row>
      <xdr:rowOff>0</xdr:rowOff>
    </xdr:to>
    <xdr:sp macro="" textlink="">
      <xdr:nvSpPr>
        <xdr:cNvPr id="254" name="テキスト ボックス 253"/>
        <xdr:cNvSpPr txBox="1"/>
      </xdr:nvSpPr>
      <xdr:spPr>
        <a:xfrm>
          <a:off x="4527855" y="6858881"/>
          <a:ext cx="2261565" cy="151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800">
              <a:solidFill>
                <a:schemeClr val="tx2"/>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800">
            <a:solidFill>
              <a:schemeClr val="tx2"/>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64942</xdr:colOff>
      <xdr:row>47</xdr:row>
      <xdr:rowOff>1139</xdr:rowOff>
    </xdr:from>
    <xdr:to>
      <xdr:col>76</xdr:col>
      <xdr:colOff>10026</xdr:colOff>
      <xdr:row>47</xdr:row>
      <xdr:rowOff>149913</xdr:rowOff>
    </xdr:to>
    <xdr:sp macro="" textlink="">
      <xdr:nvSpPr>
        <xdr:cNvPr id="257" name="角丸四角形 256"/>
        <xdr:cNvSpPr/>
      </xdr:nvSpPr>
      <xdr:spPr>
        <a:xfrm>
          <a:off x="4235889" y="7069692"/>
          <a:ext cx="727137" cy="148774"/>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　取り消す</a:t>
          </a:r>
        </a:p>
      </xdr:txBody>
    </xdr:sp>
    <xdr:clientData/>
  </xdr:twoCellAnchor>
  <xdr:twoCellAnchor>
    <xdr:from>
      <xdr:col>65</xdr:col>
      <xdr:colOff>18171</xdr:colOff>
      <xdr:row>47</xdr:row>
      <xdr:rowOff>19050</xdr:rowOff>
    </xdr:from>
    <xdr:to>
      <xdr:col>67</xdr:col>
      <xdr:colOff>45720</xdr:colOff>
      <xdr:row>48</xdr:row>
      <xdr:rowOff>51288</xdr:rowOff>
    </xdr:to>
    <xdr:sp macro="" textlink="">
      <xdr:nvSpPr>
        <xdr:cNvPr id="42" name="環状矢印 41"/>
        <xdr:cNvSpPr/>
      </xdr:nvSpPr>
      <xdr:spPr>
        <a:xfrm>
          <a:off x="4475871" y="7181850"/>
          <a:ext cx="164709" cy="184638"/>
        </a:xfrm>
        <a:prstGeom prst="circularArrow">
          <a:avLst/>
        </a:prstGeom>
        <a:solidFill>
          <a:srgbClr val="FF0000"/>
        </a:solidFill>
        <a:ln>
          <a:noFill/>
        </a:ln>
        <a:effectLst/>
        <a:scene3d>
          <a:camera prst="orthographicFront">
            <a:rot lat="0" lon="10800000" rev="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65</xdr:col>
      <xdr:colOff>65171</xdr:colOff>
      <xdr:row>51</xdr:row>
      <xdr:rowOff>0</xdr:rowOff>
    </xdr:from>
    <xdr:to>
      <xdr:col>88</xdr:col>
      <xdr:colOff>0</xdr:colOff>
      <xdr:row>51</xdr:row>
      <xdr:rowOff>144646</xdr:rowOff>
    </xdr:to>
    <xdr:grpSp>
      <xdr:nvGrpSpPr>
        <xdr:cNvPr id="198" name="グループ化 197"/>
        <xdr:cNvGrpSpPr/>
      </xdr:nvGrpSpPr>
      <xdr:grpSpPr>
        <a:xfrm>
          <a:off x="4399046" y="7772400"/>
          <a:ext cx="1468354" cy="144646"/>
          <a:chOff x="6720840" y="3200400"/>
          <a:chExt cx="1433764" cy="144646"/>
        </a:xfrm>
      </xdr:grpSpPr>
      <xdr:sp macro="" textlink="">
        <xdr:nvSpPr>
          <xdr:cNvPr id="199" name="テキスト ボックス 198"/>
          <xdr:cNvSpPr txBox="1"/>
        </xdr:nvSpPr>
        <xdr:spPr>
          <a:xfrm>
            <a:off x="6916354" y="3200400"/>
            <a:ext cx="1238250" cy="144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出荷予定連絡書発行済</a:t>
            </a:r>
          </a:p>
        </xdr:txBody>
      </xdr:sp>
      <xdr:sp macro="" textlink="">
        <xdr:nvSpPr>
          <xdr:cNvPr id="200" name="テキスト ボックス 199"/>
          <xdr:cNvSpPr txBox="1"/>
        </xdr:nvSpPr>
        <xdr:spPr>
          <a:xfrm>
            <a:off x="6720840" y="3219774"/>
            <a:ext cx="116905"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89</xdr:col>
      <xdr:colOff>1</xdr:colOff>
      <xdr:row>47</xdr:row>
      <xdr:rowOff>0</xdr:rowOff>
    </xdr:from>
    <xdr:to>
      <xdr:col>104</xdr:col>
      <xdr:colOff>1</xdr:colOff>
      <xdr:row>48</xdr:row>
      <xdr:rowOff>1</xdr:rowOff>
    </xdr:to>
    <xdr:grpSp>
      <xdr:nvGrpSpPr>
        <xdr:cNvPr id="206" name="グループ化 205"/>
        <xdr:cNvGrpSpPr/>
      </xdr:nvGrpSpPr>
      <xdr:grpSpPr>
        <a:xfrm>
          <a:off x="5934076" y="7162800"/>
          <a:ext cx="1000125" cy="152401"/>
          <a:chOff x="6792541" y="1676400"/>
          <a:chExt cx="979713" cy="152400"/>
        </a:xfrm>
      </xdr:grpSpPr>
      <xdr:sp macro="" textlink="">
        <xdr:nvSpPr>
          <xdr:cNvPr id="209" name="角丸四角形 208"/>
          <xdr:cNvSpPr/>
        </xdr:nvSpPr>
        <xdr:spPr>
          <a:xfrm>
            <a:off x="6792541" y="1676400"/>
            <a:ext cx="979713"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インボイス登録</a:t>
            </a:r>
          </a:p>
        </xdr:txBody>
      </xdr:sp>
      <xdr:sp macro="" textlink="">
        <xdr:nvSpPr>
          <xdr:cNvPr id="211" name="角丸四角形 210"/>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65171</xdr:colOff>
      <xdr:row>53</xdr:row>
      <xdr:rowOff>0</xdr:rowOff>
    </xdr:from>
    <xdr:to>
      <xdr:col>99</xdr:col>
      <xdr:colOff>0</xdr:colOff>
      <xdr:row>54</xdr:row>
      <xdr:rowOff>2</xdr:rowOff>
    </xdr:to>
    <xdr:grpSp>
      <xdr:nvGrpSpPr>
        <xdr:cNvPr id="212" name="グループ化 211"/>
        <xdr:cNvGrpSpPr/>
      </xdr:nvGrpSpPr>
      <xdr:grpSpPr>
        <a:xfrm>
          <a:off x="4332371" y="8077200"/>
          <a:ext cx="2268454" cy="152402"/>
          <a:chOff x="4683510" y="1072374"/>
          <a:chExt cx="2213999" cy="154260"/>
        </a:xfrm>
      </xdr:grpSpPr>
      <xdr:grpSp>
        <xdr:nvGrpSpPr>
          <xdr:cNvPr id="213" name="グループ化 212"/>
          <xdr:cNvGrpSpPr/>
        </xdr:nvGrpSpPr>
        <xdr:grpSpPr>
          <a:xfrm>
            <a:off x="4683510" y="1072374"/>
            <a:ext cx="2213999" cy="154260"/>
            <a:chOff x="4649332" y="1083468"/>
            <a:chExt cx="2228695" cy="154783"/>
          </a:xfrm>
        </xdr:grpSpPr>
        <xdr:grpSp>
          <xdr:nvGrpSpPr>
            <xdr:cNvPr id="215" name="グループ化 214"/>
            <xdr:cNvGrpSpPr/>
          </xdr:nvGrpSpPr>
          <xdr:grpSpPr>
            <a:xfrm>
              <a:off x="4911541" y="1083468"/>
              <a:ext cx="1966486" cy="154783"/>
              <a:chOff x="933670" y="1219192"/>
              <a:chExt cx="2002241" cy="152401"/>
            </a:xfrm>
          </xdr:grpSpPr>
          <xdr:sp macro="" textlink="">
            <xdr:nvSpPr>
              <xdr:cNvPr id="217" name="テキスト ボックス 216"/>
              <xdr:cNvSpPr txBox="1"/>
            </xdr:nvSpPr>
            <xdr:spPr>
              <a:xfrm>
                <a:off x="1203683"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8" name="テキスト ボックス 217"/>
              <xdr:cNvSpPr txBox="1"/>
            </xdr:nvSpPr>
            <xdr:spPr>
              <a:xfrm>
                <a:off x="933670" y="1219192"/>
                <a:ext cx="266957"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en-US" altLang="ja-JP" sz="900">
                    <a:latin typeface="Meiryo UI" panose="020B0604030504040204" pitchFamily="50" charset="-128"/>
                    <a:ea typeface="Meiryo UI" panose="020B0604030504040204" pitchFamily="50" charset="-128"/>
                    <a:cs typeface="Meiryo UI" panose="020B0604030504040204" pitchFamily="50" charset="-128"/>
                  </a:rPr>
                  <a:t>CN</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9" name="テキスト ボックス 218"/>
              <xdr:cNvSpPr txBox="1"/>
            </xdr:nvSpPr>
            <xdr:spPr>
              <a:xfrm>
                <a:off x="1401802" y="1219192"/>
                <a:ext cx="1534109" cy="152400"/>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16" name="テキスト ボックス 215"/>
            <xdr:cNvSpPr txBox="1"/>
          </xdr:nvSpPr>
          <xdr:spPr>
            <a:xfrm>
              <a:off x="4649332" y="1083469"/>
              <a:ext cx="196659"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a:t>
              </a:r>
            </a:p>
          </xdr:txBody>
        </xdr:sp>
      </xdr:grpSp>
      <xdr:sp macro="" textlink="">
        <xdr:nvSpPr>
          <xdr:cNvPr id="214" name="二等辺三角形 213"/>
          <xdr:cNvSpPr>
            <a:spLocks/>
          </xdr:cNvSpPr>
        </xdr:nvSpPr>
        <xdr:spPr>
          <a:xfrm flipV="1">
            <a:off x="522654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58</xdr:col>
      <xdr:colOff>66674</xdr:colOff>
      <xdr:row>48</xdr:row>
      <xdr:rowOff>152399</xdr:rowOff>
    </xdr:from>
    <xdr:to>
      <xdr:col>99</xdr:col>
      <xdr:colOff>66119</xdr:colOff>
      <xdr:row>50</xdr:row>
      <xdr:rowOff>1139</xdr:rowOff>
    </xdr:to>
    <xdr:grpSp>
      <xdr:nvGrpSpPr>
        <xdr:cNvPr id="189" name="グループ化 188"/>
        <xdr:cNvGrpSpPr/>
      </xdr:nvGrpSpPr>
      <xdr:grpSpPr>
        <a:xfrm>
          <a:off x="3933824" y="7467599"/>
          <a:ext cx="2733120" cy="153540"/>
          <a:chOff x="3781581" y="4662237"/>
          <a:chExt cx="2670353" cy="151535"/>
        </a:xfrm>
      </xdr:grpSpPr>
      <xdr:sp macro="" textlink="">
        <xdr:nvSpPr>
          <xdr:cNvPr id="191" name="テキスト ボックス 190"/>
          <xdr:cNvSpPr txBox="1"/>
        </xdr:nvSpPr>
        <xdr:spPr>
          <a:xfrm>
            <a:off x="3781581" y="4662248"/>
            <a:ext cx="1497276" cy="151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輸出製品出荷予定連絡書</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NO</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4" name="テキスト ボックス 193"/>
          <xdr:cNvSpPr txBox="1"/>
        </xdr:nvSpPr>
        <xdr:spPr>
          <a:xfrm>
            <a:off x="5344026" y="4662237"/>
            <a:ext cx="1107908" cy="150396"/>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62</xdr:col>
      <xdr:colOff>65171</xdr:colOff>
      <xdr:row>55</xdr:row>
      <xdr:rowOff>0</xdr:rowOff>
    </xdr:from>
    <xdr:to>
      <xdr:col>91</xdr:col>
      <xdr:colOff>1</xdr:colOff>
      <xdr:row>56</xdr:row>
      <xdr:rowOff>1140</xdr:rowOff>
    </xdr:to>
    <xdr:grpSp>
      <xdr:nvGrpSpPr>
        <xdr:cNvPr id="223" name="グループ化 222"/>
        <xdr:cNvGrpSpPr/>
      </xdr:nvGrpSpPr>
      <xdr:grpSpPr>
        <a:xfrm>
          <a:off x="4199021" y="8382000"/>
          <a:ext cx="1868405" cy="153540"/>
          <a:chOff x="4105776" y="4662237"/>
          <a:chExt cx="1824791" cy="151534"/>
        </a:xfrm>
      </xdr:grpSpPr>
      <xdr:sp macro="" textlink="">
        <xdr:nvSpPr>
          <xdr:cNvPr id="224" name="テキスト ボックス 223"/>
          <xdr:cNvSpPr txBox="1"/>
        </xdr:nvSpPr>
        <xdr:spPr>
          <a:xfrm>
            <a:off x="4105776" y="4662237"/>
            <a:ext cx="651712"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Ｉ／Ｖ ＮＯ</a:t>
            </a:r>
          </a:p>
        </xdr:txBody>
      </xdr:sp>
      <xdr:sp macro="" textlink="">
        <xdr:nvSpPr>
          <xdr:cNvPr id="225" name="テキスト ボックス 224"/>
          <xdr:cNvSpPr txBox="1"/>
        </xdr:nvSpPr>
        <xdr:spPr>
          <a:xfrm>
            <a:off x="4822659" y="4662237"/>
            <a:ext cx="1107908" cy="150396"/>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en-US" altLang="ja-JP" sz="900">
                <a:latin typeface="Meiryo UI" panose="020B0604030504040204" pitchFamily="50" charset="-128"/>
                <a:ea typeface="Meiryo UI" panose="020B0604030504040204" pitchFamily="50" charset="-128"/>
                <a:cs typeface="Meiryo UI" panose="020B0604030504040204" pitchFamily="50" charset="-128"/>
              </a:rPr>
              <a:t>G69369</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0</xdr:colOff>
      <xdr:row>57</xdr:row>
      <xdr:rowOff>0</xdr:rowOff>
    </xdr:from>
    <xdr:to>
      <xdr:col>122</xdr:col>
      <xdr:colOff>5</xdr:colOff>
      <xdr:row>58</xdr:row>
      <xdr:rowOff>1142</xdr:rowOff>
    </xdr:to>
    <xdr:grpSp>
      <xdr:nvGrpSpPr>
        <xdr:cNvPr id="226" name="グループ化 225"/>
        <xdr:cNvGrpSpPr/>
      </xdr:nvGrpSpPr>
      <xdr:grpSpPr>
        <a:xfrm>
          <a:off x="4400550" y="8686800"/>
          <a:ext cx="3733805" cy="153542"/>
          <a:chOff x="4819698" y="1072375"/>
          <a:chExt cx="3782100" cy="154261"/>
        </a:xfrm>
      </xdr:grpSpPr>
      <xdr:grpSp>
        <xdr:nvGrpSpPr>
          <xdr:cNvPr id="227" name="グループ化 226"/>
          <xdr:cNvGrpSpPr/>
        </xdr:nvGrpSpPr>
        <xdr:grpSpPr>
          <a:xfrm>
            <a:off x="4819698" y="1072375"/>
            <a:ext cx="3782100" cy="154261"/>
            <a:chOff x="4786419" y="1083469"/>
            <a:chExt cx="3807201" cy="154784"/>
          </a:xfrm>
        </xdr:grpSpPr>
        <xdr:grpSp>
          <xdr:nvGrpSpPr>
            <xdr:cNvPr id="229" name="グループ化 228"/>
            <xdr:cNvGrpSpPr/>
          </xdr:nvGrpSpPr>
          <xdr:grpSpPr>
            <a:xfrm>
              <a:off x="5380665" y="1083469"/>
              <a:ext cx="3212955" cy="154784"/>
              <a:chOff x="1411324" y="1219192"/>
              <a:chExt cx="3271376" cy="152402"/>
            </a:xfrm>
          </xdr:grpSpPr>
          <xdr:sp macro="" textlink="">
            <xdr:nvSpPr>
              <xdr:cNvPr id="231" name="テキスト ボックス 230"/>
              <xdr:cNvSpPr txBox="1"/>
            </xdr:nvSpPr>
            <xdr:spPr>
              <a:xfrm>
                <a:off x="2190006" y="1219193"/>
                <a:ext cx="13394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3" name="テキスト ボックス 232"/>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5" name="テキスト ボックス 234"/>
              <xdr:cNvSpPr txBox="1"/>
            </xdr:nvSpPr>
            <xdr:spPr>
              <a:xfrm>
                <a:off x="2397602"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30" name="テキスト ボックス 229"/>
            <xdr:cNvSpPr txBox="1"/>
          </xdr:nvSpPr>
          <xdr:spPr>
            <a:xfrm>
              <a:off x="4786419" y="1083469"/>
              <a:ext cx="54296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出荷ＷＧ</a:t>
              </a:r>
            </a:p>
          </xdr:txBody>
        </xdr:sp>
      </xdr:grpSp>
      <xdr:sp macro="" textlink="">
        <xdr:nvSpPr>
          <xdr:cNvPr id="228" name="二等辺三角形 227"/>
          <xdr:cNvSpPr>
            <a:spLocks/>
          </xdr:cNvSpPr>
        </xdr:nvSpPr>
        <xdr:spPr>
          <a:xfrm flipV="1">
            <a:off x="619227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65</xdr:col>
      <xdr:colOff>66255</xdr:colOff>
      <xdr:row>58</xdr:row>
      <xdr:rowOff>147946</xdr:rowOff>
    </xdr:from>
    <xdr:to>
      <xdr:col>120</xdr:col>
      <xdr:colOff>745</xdr:colOff>
      <xdr:row>60</xdr:row>
      <xdr:rowOff>0</xdr:rowOff>
    </xdr:to>
    <xdr:grpSp>
      <xdr:nvGrpSpPr>
        <xdr:cNvPr id="239" name="グループ化 238"/>
        <xdr:cNvGrpSpPr/>
      </xdr:nvGrpSpPr>
      <xdr:grpSpPr>
        <a:xfrm>
          <a:off x="4400130" y="8987146"/>
          <a:ext cx="3601615" cy="156854"/>
          <a:chOff x="4786419" y="1083469"/>
          <a:chExt cx="3671994" cy="154784"/>
        </a:xfrm>
      </xdr:grpSpPr>
      <xdr:grpSp>
        <xdr:nvGrpSpPr>
          <xdr:cNvPr id="243" name="グループ化 242"/>
          <xdr:cNvGrpSpPr/>
        </xdr:nvGrpSpPr>
        <xdr:grpSpPr>
          <a:xfrm>
            <a:off x="5380665" y="1083469"/>
            <a:ext cx="3077748" cy="154784"/>
            <a:chOff x="1411324" y="1219192"/>
            <a:chExt cx="3133711" cy="152402"/>
          </a:xfrm>
        </xdr:grpSpPr>
        <xdr:sp macro="" textlink="">
          <xdr:nvSpPr>
            <xdr:cNvPr id="256" name="テキスト ボックス 255"/>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58" name="テキスト ボックス 257"/>
            <xdr:cNvSpPr txBox="1"/>
          </xdr:nvSpPr>
          <xdr:spPr>
            <a:xfrm>
              <a:off x="2259937"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44" name="テキスト ボックス 243"/>
          <xdr:cNvSpPr txBox="1"/>
        </xdr:nvSpPr>
        <xdr:spPr>
          <a:xfrm>
            <a:off x="4786419" y="1083469"/>
            <a:ext cx="54296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出荷ＷＧ</a:t>
            </a:r>
          </a:p>
        </xdr:txBody>
      </xdr:sp>
    </xdr:grpSp>
    <xdr:clientData/>
  </xdr:twoCellAnchor>
  <xdr:twoCellAnchor>
    <xdr:from>
      <xdr:col>66</xdr:col>
      <xdr:colOff>0</xdr:colOff>
      <xdr:row>61</xdr:row>
      <xdr:rowOff>0</xdr:rowOff>
    </xdr:from>
    <xdr:to>
      <xdr:col>110</xdr:col>
      <xdr:colOff>65048</xdr:colOff>
      <xdr:row>62</xdr:row>
      <xdr:rowOff>2</xdr:rowOff>
    </xdr:to>
    <xdr:grpSp>
      <xdr:nvGrpSpPr>
        <xdr:cNvPr id="260" name="グループ化 259"/>
        <xdr:cNvGrpSpPr/>
      </xdr:nvGrpSpPr>
      <xdr:grpSpPr>
        <a:xfrm>
          <a:off x="4400550" y="9296400"/>
          <a:ext cx="2998748" cy="152402"/>
          <a:chOff x="4649332" y="1083468"/>
          <a:chExt cx="2949503" cy="154783"/>
        </a:xfrm>
      </xdr:grpSpPr>
      <xdr:grpSp>
        <xdr:nvGrpSpPr>
          <xdr:cNvPr id="262" name="グループ化 261"/>
          <xdr:cNvGrpSpPr/>
        </xdr:nvGrpSpPr>
        <xdr:grpSpPr>
          <a:xfrm>
            <a:off x="5369651" y="1083468"/>
            <a:ext cx="2229184" cy="154783"/>
            <a:chOff x="1400110" y="1219192"/>
            <a:chExt cx="2269717" cy="152401"/>
          </a:xfrm>
        </xdr:grpSpPr>
        <xdr:sp macro="" textlink="">
          <xdr:nvSpPr>
            <xdr:cNvPr id="265" name="テキスト ボックス 264"/>
            <xdr:cNvSpPr txBox="1"/>
          </xdr:nvSpPr>
          <xdr:spPr>
            <a:xfrm>
              <a:off x="1400110" y="1221932"/>
              <a:ext cx="73301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6" name="テキスト ボックス 265"/>
            <xdr:cNvSpPr txBox="1"/>
          </xdr:nvSpPr>
          <xdr:spPr>
            <a:xfrm>
              <a:off x="2202461" y="1219192"/>
              <a:ext cx="1467366"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63" name="テキスト ボックス 262"/>
          <xdr:cNvSpPr txBox="1"/>
        </xdr:nvSpPr>
        <xdr:spPr>
          <a:xfrm>
            <a:off x="4649332" y="1083469"/>
            <a:ext cx="654833"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clientData/>
  </xdr:twoCellAnchor>
  <xdr:twoCellAnchor>
    <xdr:from>
      <xdr:col>97</xdr:col>
      <xdr:colOff>134</xdr:colOff>
      <xdr:row>18</xdr:row>
      <xdr:rowOff>139016</xdr:rowOff>
    </xdr:from>
    <xdr:to>
      <xdr:col>108</xdr:col>
      <xdr:colOff>0</xdr:colOff>
      <xdr:row>19</xdr:row>
      <xdr:rowOff>146411</xdr:rowOff>
    </xdr:to>
    <xdr:grpSp>
      <xdr:nvGrpSpPr>
        <xdr:cNvPr id="41" name="グループ化 40"/>
        <xdr:cNvGrpSpPr/>
      </xdr:nvGrpSpPr>
      <xdr:grpSpPr>
        <a:xfrm>
          <a:off x="6467609" y="2882216"/>
          <a:ext cx="733291" cy="159795"/>
          <a:chOff x="6467609" y="2882216"/>
          <a:chExt cx="733291" cy="159795"/>
        </a:xfrm>
      </xdr:grpSpPr>
      <xdr:grpSp>
        <xdr:nvGrpSpPr>
          <xdr:cNvPr id="40" name="グループ化 39"/>
          <xdr:cNvGrpSpPr/>
        </xdr:nvGrpSpPr>
        <xdr:grpSpPr>
          <a:xfrm>
            <a:off x="7067807" y="2882216"/>
            <a:ext cx="133093" cy="146584"/>
            <a:chOff x="6201032" y="2882216"/>
            <a:chExt cx="133093" cy="146584"/>
          </a:xfrm>
        </xdr:grpSpPr>
        <xdr:sp macro="" textlink="">
          <xdr:nvSpPr>
            <xdr:cNvPr id="237" name="テキスト ボックス 236"/>
            <xdr:cNvSpPr txBox="1"/>
          </xdr:nvSpPr>
          <xdr:spPr>
            <a:xfrm>
              <a:off x="6201032" y="2895600"/>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0" name="L 字 269"/>
            <xdr:cNvSpPr/>
          </xdr:nvSpPr>
          <xdr:spPr>
            <a:xfrm>
              <a:off x="6229089" y="2929062"/>
              <a:ext cx="71742" cy="72351"/>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271" name="L 字 270"/>
            <xdr:cNvSpPr/>
          </xdr:nvSpPr>
          <xdr:spPr>
            <a:xfrm>
              <a:off x="6230540" y="2882216"/>
              <a:ext cx="71742" cy="72865"/>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72" name="グループ化 271"/>
          <xdr:cNvGrpSpPr/>
        </xdr:nvGrpSpPr>
        <xdr:grpSpPr>
          <a:xfrm>
            <a:off x="6467609" y="2895600"/>
            <a:ext cx="133216" cy="146411"/>
            <a:chOff x="6201032" y="2882216"/>
            <a:chExt cx="133093" cy="146411"/>
          </a:xfrm>
        </xdr:grpSpPr>
        <xdr:sp macro="" textlink="">
          <xdr:nvSpPr>
            <xdr:cNvPr id="273" name="テキスト ボックス 272"/>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4" name="L 字 273"/>
            <xdr:cNvSpPr/>
          </xdr:nvSpPr>
          <xdr:spPr>
            <a:xfrm>
              <a:off x="6231468" y="2956276"/>
              <a:ext cx="71742" cy="72351"/>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275" name="L 字 274"/>
            <xdr:cNvSpPr/>
          </xdr:nvSpPr>
          <xdr:spPr>
            <a:xfrm>
              <a:off x="6230542" y="2909430"/>
              <a:ext cx="71742" cy="72865"/>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76" name="グループ化 275"/>
          <xdr:cNvGrpSpPr/>
        </xdr:nvGrpSpPr>
        <xdr:grpSpPr>
          <a:xfrm>
            <a:off x="6867525" y="2895600"/>
            <a:ext cx="133093" cy="133200"/>
            <a:chOff x="6201032" y="2882216"/>
            <a:chExt cx="133093" cy="133200"/>
          </a:xfrm>
        </xdr:grpSpPr>
        <xdr:sp macro="" textlink="">
          <xdr:nvSpPr>
            <xdr:cNvPr id="277" name="テキスト ボックス 276"/>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9" name="L 字 278"/>
            <xdr:cNvSpPr/>
          </xdr:nvSpPr>
          <xdr:spPr>
            <a:xfrm>
              <a:off x="6230540" y="2896502"/>
              <a:ext cx="71742" cy="72865"/>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81" name="グループ化 280"/>
          <xdr:cNvGrpSpPr/>
        </xdr:nvGrpSpPr>
        <xdr:grpSpPr>
          <a:xfrm>
            <a:off x="6667500" y="2895600"/>
            <a:ext cx="133216" cy="133200"/>
            <a:chOff x="6201032" y="2882216"/>
            <a:chExt cx="133093" cy="133200"/>
          </a:xfrm>
        </xdr:grpSpPr>
        <xdr:sp macro="" textlink="">
          <xdr:nvSpPr>
            <xdr:cNvPr id="282" name="テキスト ボックス 281"/>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84" name="L 字 283"/>
            <xdr:cNvSpPr/>
          </xdr:nvSpPr>
          <xdr:spPr>
            <a:xfrm>
              <a:off x="6230542" y="2926097"/>
              <a:ext cx="71742" cy="72865"/>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clientData/>
  </xdr:twoCellAnchor>
  <xdr:twoCellAnchor>
    <xdr:from>
      <xdr:col>60</xdr:col>
      <xdr:colOff>2</xdr:colOff>
      <xdr:row>63</xdr:row>
      <xdr:rowOff>0</xdr:rowOff>
    </xdr:from>
    <xdr:to>
      <xdr:col>92</xdr:col>
      <xdr:colOff>1505</xdr:colOff>
      <xdr:row>64</xdr:row>
      <xdr:rowOff>1139</xdr:rowOff>
    </xdr:to>
    <xdr:grpSp>
      <xdr:nvGrpSpPr>
        <xdr:cNvPr id="261" name="グループ化 260"/>
        <xdr:cNvGrpSpPr/>
      </xdr:nvGrpSpPr>
      <xdr:grpSpPr>
        <a:xfrm>
          <a:off x="4000502" y="9601200"/>
          <a:ext cx="2135103" cy="153539"/>
          <a:chOff x="3845432" y="4662237"/>
          <a:chExt cx="2085135" cy="151534"/>
        </a:xfrm>
      </xdr:grpSpPr>
      <xdr:sp macro="" textlink="">
        <xdr:nvSpPr>
          <xdr:cNvPr id="264" name="テキスト ボックス 263"/>
          <xdr:cNvSpPr txBox="1"/>
        </xdr:nvSpPr>
        <xdr:spPr>
          <a:xfrm>
            <a:off x="3845432" y="4662237"/>
            <a:ext cx="912056"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得意先注文ＮＯ</a:t>
            </a:r>
          </a:p>
        </xdr:txBody>
      </xdr:sp>
      <xdr:sp macro="" textlink="">
        <xdr:nvSpPr>
          <xdr:cNvPr id="267" name="テキスト ボックス 266"/>
          <xdr:cNvSpPr txBox="1"/>
        </xdr:nvSpPr>
        <xdr:spPr>
          <a:xfrm>
            <a:off x="4822659" y="4662237"/>
            <a:ext cx="1107908" cy="15039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mple_XX-XX-9999_&#12452;&#12531;&#12479;&#12501;&#12455;&#12540;&#12473;&#22522;&#26412;&#35373;&#35336;&#26360;&#65288;&#21463;&#20449;&#65289;&#21463;&#27880;&#21463;&#20449;&#65321;&#65295;&#65318;_r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来歴"/>
      <sheetName val="承認票"/>
      <sheetName val="レビュー記録"/>
      <sheetName val="機能概要"/>
      <sheetName val="処理・サービス関連図"/>
      <sheetName val="更新入出力仕様"/>
      <sheetName val="メッセージ一覧"/>
      <sheetName val="処理フロー"/>
      <sheetName val="処理詳細"/>
      <sheetName val="サービス呼出仕様"/>
      <sheetName val="補足_バッチログ実装"/>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900">
            <a:latin typeface="+mj-ea"/>
            <a:ea typeface="+mj-ea"/>
            <a:cs typeface="Meiryo UI" panose="020B0604030504040204" pitchFamily="50" charset="-128"/>
          </a:defRPr>
        </a:defPPr>
      </a:lstStyle>
      <a:style>
        <a:lnRef idx="2">
          <a:schemeClr val="accent1"/>
        </a:lnRef>
        <a:fillRef idx="1">
          <a:schemeClr val="lt1"/>
        </a:fillRef>
        <a:effectRef idx="0">
          <a:schemeClr val="accent1"/>
        </a:effectRef>
        <a:fontRef idx="minor">
          <a:schemeClr val="dk1"/>
        </a:fontRef>
      </a:style>
    </a:spDef>
    <a:txDef>
      <a:spPr>
        <a:solidFill>
          <a:schemeClr val="accent3">
            <a:lumMod val="75000"/>
          </a:schemeClr>
        </a:solidFill>
        <a:ln w="9525" cmpd="sng">
          <a:noFill/>
        </a:ln>
        <a:effectLst/>
      </a:spPr>
      <a:bodyPr vertOverflow="clip" horzOverflow="clip" wrap="square" lIns="18000" rIns="18000" rtlCol="0" anchor="ctr"/>
      <a:lstStyle>
        <a:defPPr algn="ctr">
          <a:defRPr kumimoji="1" sz="900" b="0">
            <a:solidFill>
              <a:schemeClr val="bg1"/>
            </a:solidFill>
            <a:latin typeface="Meiryo UI" panose="020B0604030504040204" pitchFamily="50" charset="-128"/>
            <a:ea typeface="Meiryo UI" panose="020B0604030504040204" pitchFamily="50" charset="-128"/>
            <a:cs typeface="Meiryo UI" panose="020B0604030504040204"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BJ73"/>
  <sheetViews>
    <sheetView showGridLines="0" topLeftCell="S40" zoomScaleNormal="100" zoomScaleSheetLayoutView="100" workbookViewId="0">
      <selection activeCell="BA74" sqref="BA74"/>
    </sheetView>
  </sheetViews>
  <sheetFormatPr defaultColWidth="9" defaultRowHeight="12"/>
  <cols>
    <col min="1" max="50" width="3.33203125" style="1" customWidth="1"/>
    <col min="51" max="52" width="9" style="1"/>
    <col min="53" max="53" width="23.33203125" style="1" customWidth="1"/>
    <col min="54" max="54" width="13.33203125" style="1" customWidth="1"/>
    <col min="55" max="55" width="23.33203125" style="1" customWidth="1"/>
    <col min="56" max="56" width="13.33203125" style="1" customWidth="1"/>
    <col min="57" max="57" width="23.33203125" style="1" customWidth="1"/>
    <col min="58" max="58" width="13.33203125" style="1" customWidth="1"/>
    <col min="59" max="59" width="16.6640625" style="1" customWidth="1"/>
    <col min="60" max="62" width="13.33203125" style="1" customWidth="1"/>
    <col min="63" max="16384" width="9" style="1"/>
  </cols>
  <sheetData>
    <row r="3" spans="32:49" ht="11.25" customHeight="1">
      <c r="AF3" s="137" t="s">
        <v>0</v>
      </c>
      <c r="AG3" s="151"/>
      <c r="AH3" s="151"/>
      <c r="AI3" s="151"/>
      <c r="AJ3" s="151"/>
      <c r="AK3" s="152"/>
      <c r="AL3" s="158" t="s">
        <v>17</v>
      </c>
      <c r="AM3" s="158"/>
      <c r="AN3" s="158"/>
      <c r="AO3" s="158"/>
      <c r="AP3" s="158"/>
      <c r="AQ3" s="158"/>
      <c r="AR3" s="147" t="s">
        <v>1</v>
      </c>
      <c r="AS3" s="148"/>
      <c r="AT3" s="148"/>
      <c r="AU3" s="148"/>
      <c r="AV3" s="148"/>
      <c r="AW3" s="149"/>
    </row>
    <row r="4" spans="32:49" ht="11.25" customHeight="1">
      <c r="AF4" s="153"/>
      <c r="AG4" s="151"/>
      <c r="AH4" s="151"/>
      <c r="AI4" s="151"/>
      <c r="AJ4" s="151"/>
      <c r="AK4" s="152"/>
      <c r="AL4" s="158"/>
      <c r="AM4" s="158"/>
      <c r="AN4" s="158"/>
      <c r="AO4" s="158"/>
      <c r="AP4" s="158"/>
      <c r="AQ4" s="158"/>
      <c r="AR4" s="147"/>
      <c r="AS4" s="148"/>
      <c r="AT4" s="148"/>
      <c r="AU4" s="148"/>
      <c r="AV4" s="148"/>
      <c r="AW4" s="149"/>
    </row>
    <row r="5" spans="32:49" ht="11.25" customHeight="1">
      <c r="AF5" s="150" t="str">
        <f>IF(文書番号="","",文書番号)</f>
        <v>XX-XX-9999</v>
      </c>
      <c r="AG5" s="151"/>
      <c r="AH5" s="151"/>
      <c r="AI5" s="151"/>
      <c r="AJ5" s="151"/>
      <c r="AK5" s="152"/>
      <c r="AL5" s="154" t="str">
        <f>IF(Version="","",Version)</f>
        <v>7.0.1.1</v>
      </c>
      <c r="AM5" s="154"/>
      <c r="AN5" s="154"/>
      <c r="AO5" s="154"/>
      <c r="AP5" s="154"/>
      <c r="AQ5" s="154"/>
      <c r="AR5" s="155" t="str">
        <f>IF(Rev="","",Rev)</f>
        <v>r02.00</v>
      </c>
      <c r="AS5" s="156"/>
      <c r="AT5" s="156"/>
      <c r="AU5" s="156"/>
      <c r="AV5" s="156"/>
      <c r="AW5" s="157"/>
    </row>
    <row r="6" spans="32:49" ht="11.25" customHeight="1">
      <c r="AF6" s="153"/>
      <c r="AG6" s="151"/>
      <c r="AH6" s="151"/>
      <c r="AI6" s="151"/>
      <c r="AJ6" s="151"/>
      <c r="AK6" s="152"/>
      <c r="AL6" s="154"/>
      <c r="AM6" s="154"/>
      <c r="AN6" s="154"/>
      <c r="AO6" s="154"/>
      <c r="AP6" s="154"/>
      <c r="AQ6" s="154"/>
      <c r="AR6" s="155"/>
      <c r="AS6" s="156"/>
      <c r="AT6" s="156"/>
      <c r="AU6" s="156"/>
      <c r="AV6" s="156"/>
      <c r="AW6" s="157"/>
    </row>
    <row r="27" spans="16:33" ht="22.5" customHeight="1">
      <c r="P27" s="131" t="s">
        <v>2</v>
      </c>
      <c r="Q27" s="132"/>
      <c r="R27" s="132"/>
      <c r="S27" s="132"/>
      <c r="T27" s="132"/>
      <c r="U27" s="133"/>
      <c r="V27" s="141" t="str">
        <f>IF(顧客名="","",顧客名)</f>
        <v>株式会社XXXX殿</v>
      </c>
      <c r="W27" s="142"/>
      <c r="X27" s="142"/>
      <c r="Y27" s="142"/>
      <c r="Z27" s="142"/>
      <c r="AA27" s="142"/>
      <c r="AB27" s="142"/>
      <c r="AC27" s="142"/>
      <c r="AD27" s="142"/>
      <c r="AE27" s="142"/>
      <c r="AF27" s="142"/>
      <c r="AG27" s="143"/>
    </row>
    <row r="28" spans="16:33" ht="22.5" customHeight="1">
      <c r="P28" s="131" t="s">
        <v>3</v>
      </c>
      <c r="Q28" s="132"/>
      <c r="R28" s="132"/>
      <c r="S28" s="132"/>
      <c r="T28" s="132"/>
      <c r="U28" s="133"/>
      <c r="V28" s="141" t="str">
        <f>IF(プロジェクト名="","",プロジェクト名)</f>
        <v>新基幹システム構築プロジェクト</v>
      </c>
      <c r="W28" s="142"/>
      <c r="X28" s="142"/>
      <c r="Y28" s="142"/>
      <c r="Z28" s="142"/>
      <c r="AA28" s="142"/>
      <c r="AB28" s="142"/>
      <c r="AC28" s="142"/>
      <c r="AD28" s="142"/>
      <c r="AE28" s="142"/>
      <c r="AF28" s="142"/>
      <c r="AG28" s="143"/>
    </row>
    <row r="29" spans="16:33" ht="22.5" customHeight="1">
      <c r="P29" s="131" t="s">
        <v>4</v>
      </c>
      <c r="Q29" s="132"/>
      <c r="R29" s="132"/>
      <c r="S29" s="132"/>
      <c r="T29" s="132"/>
      <c r="U29" s="133"/>
      <c r="V29" s="141" t="str">
        <f>IF(分類ID="","",分類ID)</f>
        <v/>
      </c>
      <c r="W29" s="142"/>
      <c r="X29" s="142"/>
      <c r="Y29" s="142"/>
      <c r="Z29" s="142"/>
      <c r="AA29" s="143"/>
      <c r="AB29" s="144" t="str">
        <f>IF(機能ID="","",機能ID)</f>
        <v/>
      </c>
      <c r="AC29" s="145"/>
      <c r="AD29" s="145"/>
      <c r="AE29" s="145"/>
      <c r="AF29" s="145"/>
      <c r="AG29" s="146"/>
    </row>
    <row r="30" spans="16:33" ht="22.5" customHeight="1">
      <c r="P30" s="159" t="s">
        <v>5</v>
      </c>
      <c r="Q30" s="160"/>
      <c r="R30" s="160"/>
      <c r="S30" s="160"/>
      <c r="T30" s="160"/>
      <c r="U30" s="161"/>
      <c r="V30" s="141" t="str">
        <f>IF(分類名="","",分類名)</f>
        <v>共通処理設計</v>
      </c>
      <c r="W30" s="142"/>
      <c r="X30" s="142"/>
      <c r="Y30" s="142"/>
      <c r="Z30" s="142"/>
      <c r="AA30" s="142"/>
      <c r="AB30" s="142"/>
      <c r="AC30" s="142"/>
      <c r="AD30" s="142"/>
      <c r="AE30" s="142"/>
      <c r="AF30" s="142"/>
      <c r="AG30" s="143"/>
    </row>
    <row r="31" spans="16:33" ht="22.5" customHeight="1">
      <c r="P31" s="137" t="s">
        <v>6</v>
      </c>
      <c r="Q31" s="138"/>
      <c r="R31" s="138"/>
      <c r="S31" s="138"/>
      <c r="T31" s="138"/>
      <c r="U31" s="139"/>
      <c r="V31" s="128" t="str">
        <f>IF(機能名="","",機能名)</f>
        <v/>
      </c>
      <c r="W31" s="129"/>
      <c r="X31" s="129"/>
      <c r="Y31" s="129"/>
      <c r="Z31" s="129"/>
      <c r="AA31" s="129"/>
      <c r="AB31" s="129"/>
      <c r="AC31" s="129"/>
      <c r="AD31" s="129"/>
      <c r="AE31" s="129"/>
      <c r="AF31" s="129"/>
      <c r="AG31" s="130"/>
    </row>
    <row r="37" spans="1:62" ht="11.25" customHeight="1"/>
    <row r="38" spans="1:62" ht="11.25" customHeight="1"/>
    <row r="39" spans="1:62" ht="11.25" customHeight="1"/>
    <row r="40" spans="1:62" ht="11.25" customHeight="1"/>
    <row r="46" spans="1:62" ht="12" customHeight="1" thickBot="1">
      <c r="A46" s="2" t="s">
        <v>18</v>
      </c>
    </row>
    <row r="47" spans="1:62" ht="12" customHeight="1">
      <c r="A47" s="131" t="s">
        <v>2</v>
      </c>
      <c r="B47" s="132"/>
      <c r="C47" s="132"/>
      <c r="D47" s="132"/>
      <c r="E47" s="132"/>
      <c r="F47" s="133"/>
      <c r="G47" s="162" t="s">
        <v>38</v>
      </c>
      <c r="H47" s="129"/>
      <c r="I47" s="129"/>
      <c r="J47" s="129"/>
      <c r="K47" s="129"/>
      <c r="L47" s="129"/>
      <c r="M47" s="129"/>
      <c r="N47" s="129"/>
      <c r="O47" s="129"/>
      <c r="P47" s="129"/>
      <c r="Q47" s="129"/>
      <c r="R47" s="130"/>
      <c r="BA47" s="125" t="s">
        <v>19</v>
      </c>
      <c r="BB47" s="49" t="s">
        <v>2</v>
      </c>
      <c r="BC47" s="50" t="str">
        <f>IF(顧客名="","",顧客名)</f>
        <v>株式会社XXXX殿</v>
      </c>
      <c r="BD47" s="51" t="s">
        <v>7</v>
      </c>
      <c r="BE47" s="50" t="str">
        <f>IF(システム="","",システム)</f>
        <v>mcframe7</v>
      </c>
      <c r="BF47" s="51" t="s">
        <v>13</v>
      </c>
      <c r="BG47" s="50" t="str">
        <f>IF(作成者="","",作成者)</f>
        <v>XX</v>
      </c>
      <c r="BH47" s="51" t="s">
        <v>14</v>
      </c>
      <c r="BI47" s="52">
        <f>IF(作成日="","",作成日)</f>
        <v>42871</v>
      </c>
      <c r="BJ47" s="53" t="s">
        <v>0</v>
      </c>
    </row>
    <row r="48" spans="1:62" ht="12" customHeight="1">
      <c r="A48" s="131" t="s">
        <v>3</v>
      </c>
      <c r="B48" s="132"/>
      <c r="C48" s="132"/>
      <c r="D48" s="132"/>
      <c r="E48" s="132"/>
      <c r="F48" s="133"/>
      <c r="G48" s="128" t="s">
        <v>32</v>
      </c>
      <c r="H48" s="129"/>
      <c r="I48" s="129"/>
      <c r="J48" s="129"/>
      <c r="K48" s="129"/>
      <c r="L48" s="129"/>
      <c r="M48" s="129"/>
      <c r="N48" s="129"/>
      <c r="O48" s="129"/>
      <c r="P48" s="129"/>
      <c r="Q48" s="129"/>
      <c r="R48" s="130"/>
      <c r="BA48" s="126"/>
      <c r="BB48" s="54" t="s">
        <v>59</v>
      </c>
      <c r="BC48" s="55" t="str">
        <f>IF(プロジェクト名="","",プロジェクト名)</f>
        <v>新基幹システム構築プロジェクト</v>
      </c>
      <c r="BD48" s="56" t="s">
        <v>12</v>
      </c>
      <c r="BE48" s="55" t="str">
        <f>IF(サブシステム="","",サブシステム)</f>
        <v>共通設計（PLSQL）</v>
      </c>
      <c r="BF48" s="56" t="s">
        <v>8</v>
      </c>
      <c r="BG48" s="55" t="str">
        <f>IF(修正者="","",修正者)</f>
        <v>XX</v>
      </c>
      <c r="BH48" s="56" t="s">
        <v>9</v>
      </c>
      <c r="BI48" s="57">
        <f>IF(修正日="","",修正日)</f>
        <v>43006</v>
      </c>
      <c r="BJ48" s="8" t="str">
        <f>IF(文書番号="","",文書番号)</f>
        <v>XX-XX-9999</v>
      </c>
    </row>
    <row r="49" spans="1:62" ht="12" customHeight="1" thickBot="1">
      <c r="A49" s="131" t="s">
        <v>11</v>
      </c>
      <c r="B49" s="132"/>
      <c r="C49" s="132"/>
      <c r="D49" s="132"/>
      <c r="E49" s="132"/>
      <c r="F49" s="133"/>
      <c r="G49" s="128" t="s">
        <v>33</v>
      </c>
      <c r="H49" s="129"/>
      <c r="I49" s="129"/>
      <c r="J49" s="129"/>
      <c r="K49" s="129"/>
      <c r="L49" s="129"/>
      <c r="M49" s="129"/>
      <c r="N49" s="129"/>
      <c r="O49" s="129"/>
      <c r="P49" s="129"/>
      <c r="Q49" s="129"/>
      <c r="R49" s="130"/>
      <c r="BA49" s="127"/>
      <c r="BB49" s="58" t="s">
        <v>10</v>
      </c>
      <c r="BC49" s="59" t="str">
        <f>IF(機能ID="","",機能ID)</f>
        <v/>
      </c>
      <c r="BD49" s="60" t="s">
        <v>6</v>
      </c>
      <c r="BE49" s="10" t="str">
        <f>IF(機能名="","",機能名)</f>
        <v/>
      </c>
      <c r="BF49" s="10"/>
      <c r="BG49" s="10"/>
      <c r="BH49" s="60" t="s">
        <v>24</v>
      </c>
      <c r="BI49" s="61" t="str">
        <f>IF(Rev="","",Rev)</f>
        <v>r02.00</v>
      </c>
      <c r="BJ49" s="11"/>
    </row>
    <row r="50" spans="1:62" ht="12" customHeight="1" thickBot="1">
      <c r="A50" s="131" t="s">
        <v>17</v>
      </c>
      <c r="B50" s="132"/>
      <c r="C50" s="132"/>
      <c r="D50" s="132"/>
      <c r="E50" s="132"/>
      <c r="F50" s="133"/>
      <c r="G50" s="140" t="s">
        <v>43</v>
      </c>
      <c r="H50" s="129"/>
      <c r="I50" s="129"/>
      <c r="J50" s="129"/>
      <c r="K50" s="129"/>
      <c r="L50" s="129"/>
      <c r="M50" s="129"/>
      <c r="N50" s="129"/>
      <c r="O50" s="129"/>
      <c r="P50" s="129"/>
      <c r="Q50" s="129"/>
      <c r="R50" s="130"/>
      <c r="BA50" s="62"/>
    </row>
    <row r="51" spans="1:62" ht="12" customHeight="1">
      <c r="A51" s="131" t="s">
        <v>12</v>
      </c>
      <c r="B51" s="132"/>
      <c r="C51" s="132"/>
      <c r="D51" s="132"/>
      <c r="E51" s="132"/>
      <c r="F51" s="133"/>
      <c r="G51" s="128" t="s">
        <v>37</v>
      </c>
      <c r="H51" s="129"/>
      <c r="I51" s="129"/>
      <c r="J51" s="129"/>
      <c r="K51" s="129"/>
      <c r="L51" s="129"/>
      <c r="M51" s="129"/>
      <c r="N51" s="129"/>
      <c r="O51" s="129"/>
      <c r="P51" s="129"/>
      <c r="Q51" s="129"/>
      <c r="R51" s="130"/>
      <c r="BA51" s="125" t="s">
        <v>26</v>
      </c>
      <c r="BB51" s="49" t="s">
        <v>2</v>
      </c>
      <c r="BC51" s="50" t="str">
        <f>IF(顧客名="","",顧客名)</f>
        <v>株式会社XXXX殿</v>
      </c>
      <c r="BD51" s="51" t="s">
        <v>7</v>
      </c>
      <c r="BE51" s="50" t="str">
        <f>IF(システム="","",システム)</f>
        <v>mcframe7</v>
      </c>
      <c r="BF51" s="51" t="s">
        <v>13</v>
      </c>
      <c r="BG51" s="50" t="str">
        <f>IF(作成者="","",作成者)</f>
        <v>XX</v>
      </c>
      <c r="BH51" s="51" t="s">
        <v>14</v>
      </c>
      <c r="BI51" s="52">
        <f>IF(作成日="","",作成日)</f>
        <v>42871</v>
      </c>
      <c r="BJ51" s="53" t="s">
        <v>0</v>
      </c>
    </row>
    <row r="52" spans="1:62" ht="12" customHeight="1">
      <c r="A52" s="131" t="s">
        <v>16</v>
      </c>
      <c r="B52" s="132"/>
      <c r="C52" s="132"/>
      <c r="D52" s="132"/>
      <c r="E52" s="132"/>
      <c r="F52" s="133"/>
      <c r="G52" s="128"/>
      <c r="H52" s="129"/>
      <c r="I52" s="129"/>
      <c r="J52" s="129"/>
      <c r="K52" s="129"/>
      <c r="L52" s="129"/>
      <c r="M52" s="129"/>
      <c r="N52" s="129"/>
      <c r="O52" s="129"/>
      <c r="P52" s="129"/>
      <c r="Q52" s="129"/>
      <c r="R52" s="130"/>
      <c r="BA52" s="126"/>
      <c r="BB52" s="54" t="s">
        <v>59</v>
      </c>
      <c r="BC52" s="55" t="str">
        <f>IF(プロジェクト名="","",プロジェクト名)</f>
        <v>新基幹システム構築プロジェクト</v>
      </c>
      <c r="BD52" s="56" t="s">
        <v>12</v>
      </c>
      <c r="BE52" s="55" t="str">
        <f>IF(サブシステム="","",サブシステム)</f>
        <v>共通設計（PLSQL）</v>
      </c>
      <c r="BF52" s="56" t="s">
        <v>8</v>
      </c>
      <c r="BG52" s="55" t="str">
        <f>IF(修正者="","",修正者)</f>
        <v>XX</v>
      </c>
      <c r="BH52" s="56" t="s">
        <v>9</v>
      </c>
      <c r="BI52" s="57">
        <f>IF(修正日="","",修正日)</f>
        <v>43006</v>
      </c>
      <c r="BJ52" s="8" t="str">
        <f>IF(文書番号="","",文書番号)</f>
        <v>XX-XX-9999</v>
      </c>
    </row>
    <row r="53" spans="1:62" ht="12" customHeight="1" thickBot="1">
      <c r="A53" s="131" t="s">
        <v>10</v>
      </c>
      <c r="B53" s="132"/>
      <c r="C53" s="132"/>
      <c r="D53" s="132"/>
      <c r="E53" s="132"/>
      <c r="F53" s="133"/>
      <c r="G53" s="128"/>
      <c r="H53" s="129"/>
      <c r="I53" s="129"/>
      <c r="J53" s="129"/>
      <c r="K53" s="129"/>
      <c r="L53" s="129"/>
      <c r="M53" s="129"/>
      <c r="N53" s="129"/>
      <c r="O53" s="129"/>
      <c r="P53" s="129"/>
      <c r="Q53" s="129"/>
      <c r="R53" s="130"/>
      <c r="BA53" s="127"/>
      <c r="BB53" s="58" t="s">
        <v>10</v>
      </c>
      <c r="BC53" s="59" t="str">
        <f>IF(機能ID="","",機能ID)</f>
        <v/>
      </c>
      <c r="BD53" s="60" t="s">
        <v>6</v>
      </c>
      <c r="BE53" s="10" t="str">
        <f>IF(機能名="","",機能名)</f>
        <v/>
      </c>
      <c r="BF53" s="10"/>
      <c r="BG53" s="10"/>
      <c r="BH53" s="60" t="s">
        <v>24</v>
      </c>
      <c r="BI53" s="61" t="str">
        <f>IF(Rev="","",Rev)</f>
        <v>r02.00</v>
      </c>
      <c r="BJ53" s="11"/>
    </row>
    <row r="54" spans="1:62" ht="12" customHeight="1" thickBot="1">
      <c r="A54" s="137" t="s">
        <v>5</v>
      </c>
      <c r="B54" s="138"/>
      <c r="C54" s="138"/>
      <c r="D54" s="138"/>
      <c r="E54" s="138"/>
      <c r="F54" s="139"/>
      <c r="G54" s="128" t="s">
        <v>34</v>
      </c>
      <c r="H54" s="129"/>
      <c r="I54" s="129"/>
      <c r="J54" s="129"/>
      <c r="K54" s="129"/>
      <c r="L54" s="129"/>
      <c r="M54" s="129"/>
      <c r="N54" s="129"/>
      <c r="O54" s="129"/>
      <c r="P54" s="129"/>
      <c r="Q54" s="129"/>
      <c r="R54" s="130"/>
      <c r="BA54" s="62"/>
    </row>
    <row r="55" spans="1:62" ht="12" customHeight="1">
      <c r="A55" s="137" t="s">
        <v>6</v>
      </c>
      <c r="B55" s="138"/>
      <c r="C55" s="138"/>
      <c r="D55" s="138"/>
      <c r="E55" s="138"/>
      <c r="F55" s="139"/>
      <c r="G55" s="128"/>
      <c r="H55" s="129"/>
      <c r="I55" s="129"/>
      <c r="J55" s="129"/>
      <c r="K55" s="129"/>
      <c r="L55" s="129"/>
      <c r="M55" s="129"/>
      <c r="N55" s="129"/>
      <c r="O55" s="129"/>
      <c r="P55" s="129"/>
      <c r="Q55" s="129"/>
      <c r="R55" s="130"/>
      <c r="BA55" s="125" t="s">
        <v>35</v>
      </c>
      <c r="BB55" s="49" t="s">
        <v>2</v>
      </c>
      <c r="BC55" s="50" t="str">
        <f>IF(顧客名="","",顧客名)</f>
        <v>株式会社XXXX殿</v>
      </c>
      <c r="BD55" s="51" t="s">
        <v>7</v>
      </c>
      <c r="BE55" s="50" t="str">
        <f>IF(システム="","",システム)</f>
        <v>mcframe7</v>
      </c>
      <c r="BF55" s="51" t="s">
        <v>13</v>
      </c>
      <c r="BG55" s="50" t="str">
        <f>IF(作成者="","",作成者)</f>
        <v>XX</v>
      </c>
      <c r="BH55" s="51" t="s">
        <v>14</v>
      </c>
      <c r="BI55" s="52">
        <f>IF(作成日="","",作成日)</f>
        <v>42871</v>
      </c>
      <c r="BJ55" s="53" t="s">
        <v>0</v>
      </c>
    </row>
    <row r="56" spans="1:62" ht="12" customHeight="1">
      <c r="A56" s="131" t="s">
        <v>13</v>
      </c>
      <c r="B56" s="132"/>
      <c r="C56" s="132"/>
      <c r="D56" s="132"/>
      <c r="E56" s="132"/>
      <c r="F56" s="133"/>
      <c r="G56" s="128" t="s">
        <v>39</v>
      </c>
      <c r="H56" s="129"/>
      <c r="I56" s="129"/>
      <c r="J56" s="129"/>
      <c r="K56" s="129"/>
      <c r="L56" s="129"/>
      <c r="M56" s="129"/>
      <c r="N56" s="129"/>
      <c r="O56" s="129"/>
      <c r="P56" s="129"/>
      <c r="Q56" s="129"/>
      <c r="R56" s="130"/>
      <c r="S56" s="1" t="s">
        <v>30</v>
      </c>
      <c r="BA56" s="126"/>
      <c r="BB56" s="54" t="s">
        <v>59</v>
      </c>
      <c r="BC56" s="55" t="str">
        <f>IF(プロジェクト名="","",プロジェクト名)</f>
        <v>新基幹システム構築プロジェクト</v>
      </c>
      <c r="BD56" s="56" t="s">
        <v>12</v>
      </c>
      <c r="BE56" s="55" t="str">
        <f>IF(サブシステム="","",サブシステム)</f>
        <v>共通設計（PLSQL）</v>
      </c>
      <c r="BF56" s="56" t="s">
        <v>8</v>
      </c>
      <c r="BG56" s="55" t="str">
        <f>IF(修正者="","",修正者)</f>
        <v>XX</v>
      </c>
      <c r="BH56" s="56" t="s">
        <v>9</v>
      </c>
      <c r="BI56" s="57">
        <f>IF(修正日="","",修正日)</f>
        <v>43006</v>
      </c>
      <c r="BJ56" s="8" t="str">
        <f>IF(文書番号="","",文書番号)</f>
        <v>XX-XX-9999</v>
      </c>
    </row>
    <row r="57" spans="1:62" ht="12" customHeight="1" thickBot="1">
      <c r="A57" s="131" t="s">
        <v>8</v>
      </c>
      <c r="B57" s="132"/>
      <c r="C57" s="132"/>
      <c r="D57" s="132"/>
      <c r="E57" s="132"/>
      <c r="F57" s="133"/>
      <c r="G57" s="134" t="s">
        <v>40</v>
      </c>
      <c r="H57" s="135"/>
      <c r="I57" s="135"/>
      <c r="J57" s="135"/>
      <c r="K57" s="135"/>
      <c r="L57" s="135"/>
      <c r="M57" s="135"/>
      <c r="N57" s="135"/>
      <c r="O57" s="135"/>
      <c r="P57" s="135"/>
      <c r="Q57" s="135"/>
      <c r="R57" s="136"/>
      <c r="S57" s="1" t="s">
        <v>30</v>
      </c>
      <c r="BA57" s="127"/>
      <c r="BB57" s="58" t="s">
        <v>10</v>
      </c>
      <c r="BC57" s="59" t="str">
        <f>IF(機能ID="","",機能ID)</f>
        <v/>
      </c>
      <c r="BD57" s="60" t="s">
        <v>6</v>
      </c>
      <c r="BE57" s="10" t="str">
        <f>IF(機能名="","",機能名)</f>
        <v/>
      </c>
      <c r="BF57" s="10"/>
      <c r="BG57" s="10"/>
      <c r="BH57" s="60" t="s">
        <v>24</v>
      </c>
      <c r="BI57" s="61" t="str">
        <f>IF(Rev="","",Rev)</f>
        <v>r02.00</v>
      </c>
      <c r="BJ57" s="11"/>
    </row>
    <row r="58" spans="1:62" ht="12" customHeight="1" thickBot="1">
      <c r="A58" s="131" t="s">
        <v>14</v>
      </c>
      <c r="B58" s="132"/>
      <c r="C58" s="132"/>
      <c r="D58" s="132"/>
      <c r="E58" s="132"/>
      <c r="F58" s="133"/>
      <c r="G58" s="164">
        <f>来歴!E6</f>
        <v>42871</v>
      </c>
      <c r="H58" s="129"/>
      <c r="I58" s="129"/>
      <c r="J58" s="129"/>
      <c r="K58" s="129"/>
      <c r="L58" s="129"/>
      <c r="M58" s="129"/>
      <c r="N58" s="129"/>
      <c r="O58" s="129"/>
      <c r="P58" s="129"/>
      <c r="Q58" s="129"/>
      <c r="R58" s="130"/>
      <c r="S58" s="1" t="s">
        <v>30</v>
      </c>
    </row>
    <row r="59" spans="1:62" ht="12" customHeight="1">
      <c r="A59" s="131" t="s">
        <v>9</v>
      </c>
      <c r="B59" s="132"/>
      <c r="C59" s="132"/>
      <c r="D59" s="132"/>
      <c r="E59" s="132"/>
      <c r="F59" s="133"/>
      <c r="G59" s="164">
        <f>IF(VLOOKUP(MAXA(来歴!A6:A40),来歴!A6:F40,5)="","",VLOOKUP(MAXA(来歴!A6:A40),来歴!A6:F40,5))</f>
        <v>43006</v>
      </c>
      <c r="H59" s="129"/>
      <c r="I59" s="129"/>
      <c r="J59" s="129"/>
      <c r="K59" s="129"/>
      <c r="L59" s="129"/>
      <c r="M59" s="129"/>
      <c r="N59" s="129"/>
      <c r="O59" s="129"/>
      <c r="P59" s="129"/>
      <c r="Q59" s="129"/>
      <c r="R59" s="130"/>
      <c r="S59" s="1" t="s">
        <v>30</v>
      </c>
      <c r="BA59" s="163" t="s">
        <v>1531</v>
      </c>
      <c r="BB59" s="49" t="s">
        <v>2</v>
      </c>
      <c r="BC59" s="50" t="str">
        <f>IF(顧客名="","",顧客名)</f>
        <v>株式会社XXXX殿</v>
      </c>
      <c r="BD59" s="51" t="s">
        <v>7</v>
      </c>
      <c r="BE59" s="50" t="str">
        <f>IF(システム="","",システム)</f>
        <v>mcframe7</v>
      </c>
      <c r="BF59" s="51" t="s">
        <v>13</v>
      </c>
      <c r="BG59" s="50" t="str">
        <f>IF(作成者="","",作成者)</f>
        <v>XX</v>
      </c>
      <c r="BH59" s="51" t="s">
        <v>14</v>
      </c>
      <c r="BI59" s="52">
        <f>IF(作成日="","",作成日)</f>
        <v>42871</v>
      </c>
      <c r="BJ59" s="53" t="s">
        <v>0</v>
      </c>
    </row>
    <row r="60" spans="1:62" ht="12" customHeight="1">
      <c r="A60" s="131" t="s">
        <v>15</v>
      </c>
      <c r="B60" s="132"/>
      <c r="C60" s="132"/>
      <c r="D60" s="132"/>
      <c r="E60" s="132"/>
      <c r="F60" s="133"/>
      <c r="G60" s="134" t="str">
        <f>IF(VLOOKUP(MAXA(来歴!A6:A40),来歴!A6:F40,2)="","",VLOOKUP(MAXA(来歴!A6:A40),来歴!A6:F40,2))</f>
        <v>r02.00</v>
      </c>
      <c r="H60" s="135"/>
      <c r="I60" s="135"/>
      <c r="J60" s="135"/>
      <c r="K60" s="135"/>
      <c r="L60" s="135"/>
      <c r="M60" s="135"/>
      <c r="N60" s="135"/>
      <c r="O60" s="135"/>
      <c r="P60" s="135"/>
      <c r="Q60" s="135"/>
      <c r="R60" s="136"/>
      <c r="S60" s="1" t="s">
        <v>30</v>
      </c>
      <c r="BA60" s="126"/>
      <c r="BB60" s="54" t="s">
        <v>59</v>
      </c>
      <c r="BC60" s="55" t="str">
        <f>IF(プロジェクト名="","",プロジェクト名)</f>
        <v>新基幹システム構築プロジェクト</v>
      </c>
      <c r="BD60" s="56" t="s">
        <v>12</v>
      </c>
      <c r="BE60" s="55" t="str">
        <f>IF(サブシステム="","",サブシステム)</f>
        <v>共通設計（PLSQL）</v>
      </c>
      <c r="BF60" s="56" t="s">
        <v>8</v>
      </c>
      <c r="BG60" s="55" t="str">
        <f>IF(修正者="","",修正者)</f>
        <v>XX</v>
      </c>
      <c r="BH60" s="56" t="s">
        <v>9</v>
      </c>
      <c r="BI60" s="57">
        <f>IF(修正日="","",修正日)</f>
        <v>43006</v>
      </c>
      <c r="BJ60" s="8" t="str">
        <f>IF(文書番号="","",文書番号)</f>
        <v>XX-XX-9999</v>
      </c>
    </row>
    <row r="61" spans="1:62" ht="12" customHeight="1" thickBot="1">
      <c r="A61" s="131" t="s">
        <v>0</v>
      </c>
      <c r="B61" s="132"/>
      <c r="C61" s="132"/>
      <c r="D61" s="132"/>
      <c r="E61" s="132"/>
      <c r="F61" s="133"/>
      <c r="G61" s="128" t="s">
        <v>41</v>
      </c>
      <c r="H61" s="129"/>
      <c r="I61" s="129"/>
      <c r="J61" s="129"/>
      <c r="K61" s="129"/>
      <c r="L61" s="129"/>
      <c r="M61" s="129"/>
      <c r="N61" s="129"/>
      <c r="O61" s="129"/>
      <c r="P61" s="129"/>
      <c r="Q61" s="129"/>
      <c r="R61" s="130"/>
      <c r="AZ61" s="3"/>
      <c r="BA61" s="127"/>
      <c r="BB61" s="58" t="s">
        <v>10</v>
      </c>
      <c r="BC61" s="59" t="str">
        <f>IF(機能ID="","",機能ID)</f>
        <v/>
      </c>
      <c r="BD61" s="60" t="s">
        <v>6</v>
      </c>
      <c r="BE61" s="10" t="str">
        <f>IF(機能名="","",機能名)</f>
        <v/>
      </c>
      <c r="BF61" s="10"/>
      <c r="BG61" s="10"/>
      <c r="BH61" s="60" t="s">
        <v>24</v>
      </c>
      <c r="BI61" s="61" t="str">
        <f>IF(Rev="","",Rev)</f>
        <v>r02.00</v>
      </c>
      <c r="BJ61" s="11"/>
    </row>
    <row r="62" spans="1:62" ht="12" customHeight="1" thickBot="1">
      <c r="AZ62" s="3"/>
      <c r="BA62" s="62"/>
    </row>
    <row r="63" spans="1:62" ht="12" customHeight="1">
      <c r="AZ63" s="4"/>
      <c r="BA63" s="163" t="s">
        <v>1532</v>
      </c>
      <c r="BB63" s="49" t="s">
        <v>2</v>
      </c>
      <c r="BC63" s="50" t="str">
        <f>IF(顧客名="","",顧客名)</f>
        <v>株式会社XXXX殿</v>
      </c>
      <c r="BD63" s="51" t="s">
        <v>7</v>
      </c>
      <c r="BE63" s="50" t="str">
        <f>IF(システム="","",システム)</f>
        <v>mcframe7</v>
      </c>
      <c r="BF63" s="51" t="s">
        <v>13</v>
      </c>
      <c r="BG63" s="50" t="str">
        <f>IF(作成者="","",作成者)</f>
        <v>XX</v>
      </c>
      <c r="BH63" s="51" t="s">
        <v>14</v>
      </c>
      <c r="BI63" s="52">
        <f>IF(作成日="","",作成日)</f>
        <v>42871</v>
      </c>
      <c r="BJ63" s="53" t="s">
        <v>0</v>
      </c>
    </row>
    <row r="64" spans="1:62" ht="12" customHeight="1">
      <c r="AZ64" s="3"/>
      <c r="BA64" s="126"/>
      <c r="BB64" s="54" t="s">
        <v>59</v>
      </c>
      <c r="BC64" s="55" t="str">
        <f>IF(プロジェクト名="","",プロジェクト名)</f>
        <v>新基幹システム構築プロジェクト</v>
      </c>
      <c r="BD64" s="56" t="s">
        <v>12</v>
      </c>
      <c r="BE64" s="55" t="str">
        <f>IF(サブシステム="","",サブシステム)</f>
        <v>共通設計（PLSQL）</v>
      </c>
      <c r="BF64" s="56" t="s">
        <v>8</v>
      </c>
      <c r="BG64" s="55" t="str">
        <f>IF(修正者="","",修正者)</f>
        <v>XX</v>
      </c>
      <c r="BH64" s="56" t="s">
        <v>9</v>
      </c>
      <c r="BI64" s="57">
        <f>IF(修正日="","",修正日)</f>
        <v>43006</v>
      </c>
      <c r="BJ64" s="8" t="str">
        <f>IF(文書番号="","",文書番号)</f>
        <v>XX-XX-9999</v>
      </c>
    </row>
    <row r="65" spans="53:62" ht="12.75" customHeight="1" thickBot="1">
      <c r="BA65" s="127"/>
      <c r="BB65" s="58" t="s">
        <v>10</v>
      </c>
      <c r="BC65" s="59" t="str">
        <f>IF(機能ID="","",機能ID)</f>
        <v/>
      </c>
      <c r="BD65" s="60" t="s">
        <v>6</v>
      </c>
      <c r="BE65" s="10" t="str">
        <f>IF(機能名="","",機能名)</f>
        <v/>
      </c>
      <c r="BF65" s="10"/>
      <c r="BG65" s="10"/>
      <c r="BH65" s="60" t="s">
        <v>24</v>
      </c>
      <c r="BI65" s="61" t="str">
        <f>IF(Rev="","",Rev)</f>
        <v>r02.00</v>
      </c>
      <c r="BJ65" s="11"/>
    </row>
    <row r="66" spans="53:62" ht="12.75" thickBot="1">
      <c r="BA66" s="62"/>
    </row>
    <row r="67" spans="53:62" ht="12" customHeight="1">
      <c r="BA67" s="163" t="s">
        <v>1533</v>
      </c>
      <c r="BB67" s="49" t="s">
        <v>2</v>
      </c>
      <c r="BC67" s="50" t="str">
        <f>IF(顧客名="","",顧客名)</f>
        <v>株式会社XXXX殿</v>
      </c>
      <c r="BD67" s="51" t="s">
        <v>7</v>
      </c>
      <c r="BE67" s="50" t="str">
        <f>IF(システム="","",システム)</f>
        <v>mcframe7</v>
      </c>
      <c r="BF67" s="51" t="s">
        <v>13</v>
      </c>
      <c r="BG67" s="50" t="str">
        <f>IF(作成者="","",作成者)</f>
        <v>XX</v>
      </c>
      <c r="BH67" s="51" t="s">
        <v>14</v>
      </c>
      <c r="BI67" s="52">
        <f>IF(作成日="","",作成日)</f>
        <v>42871</v>
      </c>
      <c r="BJ67" s="53" t="s">
        <v>0</v>
      </c>
    </row>
    <row r="68" spans="53:62" ht="12" customHeight="1">
      <c r="BA68" s="126"/>
      <c r="BB68" s="54" t="s">
        <v>59</v>
      </c>
      <c r="BC68" s="55" t="str">
        <f>IF(プロジェクト名="","",プロジェクト名)</f>
        <v>新基幹システム構築プロジェクト</v>
      </c>
      <c r="BD68" s="56" t="s">
        <v>12</v>
      </c>
      <c r="BE68" s="55" t="str">
        <f>IF(サブシステム="","",サブシステム)</f>
        <v>共通設計（PLSQL）</v>
      </c>
      <c r="BF68" s="56" t="s">
        <v>8</v>
      </c>
      <c r="BG68" s="55" t="str">
        <f>IF(修正者="","",修正者)</f>
        <v>XX</v>
      </c>
      <c r="BH68" s="56" t="s">
        <v>9</v>
      </c>
      <c r="BI68" s="57">
        <f>IF(修正日="","",修正日)</f>
        <v>43006</v>
      </c>
      <c r="BJ68" s="8" t="str">
        <f>IF(文書番号="","",文書番号)</f>
        <v>XX-XX-9999</v>
      </c>
    </row>
    <row r="69" spans="53:62" ht="12.75" customHeight="1" thickBot="1">
      <c r="BA69" s="127"/>
      <c r="BB69" s="58" t="s">
        <v>10</v>
      </c>
      <c r="BC69" s="59" t="str">
        <f>IF(機能ID="","",機能ID)</f>
        <v/>
      </c>
      <c r="BD69" s="60" t="s">
        <v>6</v>
      </c>
      <c r="BE69" s="10" t="str">
        <f>IF(機能名="","",機能名)</f>
        <v/>
      </c>
      <c r="BF69" s="10"/>
      <c r="BG69" s="10"/>
      <c r="BH69" s="60" t="s">
        <v>24</v>
      </c>
      <c r="BI69" s="61" t="str">
        <f>IF(Rev="","",Rev)</f>
        <v>r02.00</v>
      </c>
      <c r="BJ69" s="11"/>
    </row>
    <row r="70" spans="53:62" ht="12.75" thickBot="1"/>
    <row r="71" spans="53:62">
      <c r="BA71" s="125" t="s">
        <v>1551</v>
      </c>
      <c r="BB71" s="49" t="s">
        <v>2</v>
      </c>
      <c r="BC71" s="50" t="str">
        <f>IF(顧客名="","",顧客名)</f>
        <v>株式会社XXXX殿</v>
      </c>
      <c r="BD71" s="51" t="s">
        <v>7</v>
      </c>
      <c r="BE71" s="50" t="str">
        <f>IF(システム="","",システム)</f>
        <v>mcframe7</v>
      </c>
      <c r="BF71" s="51" t="s">
        <v>13</v>
      </c>
      <c r="BG71" s="50" t="str">
        <f>IF(作成者="","",作成者)</f>
        <v>XX</v>
      </c>
      <c r="BH71" s="51" t="s">
        <v>14</v>
      </c>
      <c r="BI71" s="52">
        <f>IF(作成日="","",作成日)</f>
        <v>42871</v>
      </c>
      <c r="BJ71" s="53" t="s">
        <v>0</v>
      </c>
    </row>
    <row r="72" spans="53:62">
      <c r="BA72" s="126"/>
      <c r="BB72" s="54" t="s">
        <v>59</v>
      </c>
      <c r="BC72" s="55" t="str">
        <f>IF(プロジェクト名="","",プロジェクト名)</f>
        <v>新基幹システム構築プロジェクト</v>
      </c>
      <c r="BD72" s="56" t="s">
        <v>12</v>
      </c>
      <c r="BE72" s="55" t="str">
        <f>IF(サブシステム="","",サブシステム)</f>
        <v>共通設計（PLSQL）</v>
      </c>
      <c r="BF72" s="56" t="s">
        <v>8</v>
      </c>
      <c r="BG72" s="55" t="str">
        <f>IF(修正者="","",修正者)</f>
        <v>XX</v>
      </c>
      <c r="BH72" s="56" t="s">
        <v>9</v>
      </c>
      <c r="BI72" s="57">
        <f>IF(修正日="","",修正日)</f>
        <v>43006</v>
      </c>
      <c r="BJ72" s="8" t="str">
        <f>IF(文書番号="","",文書番号)</f>
        <v>XX-XX-9999</v>
      </c>
    </row>
    <row r="73" spans="53:62" ht="12.75" thickBot="1">
      <c r="BA73" s="127"/>
      <c r="BB73" s="58" t="s">
        <v>10</v>
      </c>
      <c r="BC73" s="59" t="str">
        <f>IF(機能ID="","",機能ID)</f>
        <v/>
      </c>
      <c r="BD73" s="60" t="s">
        <v>6</v>
      </c>
      <c r="BE73" s="10" t="str">
        <f>IF(機能名="","",機能名)</f>
        <v/>
      </c>
      <c r="BF73" s="10"/>
      <c r="BG73" s="10"/>
      <c r="BH73" s="60" t="s">
        <v>24</v>
      </c>
      <c r="BI73" s="61" t="str">
        <f>IF(Rev="","",Rev)</f>
        <v>r02.00</v>
      </c>
      <c r="BJ73" s="11"/>
    </row>
  </sheetData>
  <mergeCells count="54">
    <mergeCell ref="BA71:BA73"/>
    <mergeCell ref="BA63:BA65"/>
    <mergeCell ref="BA67:BA69"/>
    <mergeCell ref="BA55:BA57"/>
    <mergeCell ref="A52:F52"/>
    <mergeCell ref="A61:F61"/>
    <mergeCell ref="G61:R61"/>
    <mergeCell ref="A58:F58"/>
    <mergeCell ref="G58:R58"/>
    <mergeCell ref="A59:F59"/>
    <mergeCell ref="G59:R59"/>
    <mergeCell ref="A60:F60"/>
    <mergeCell ref="A55:F55"/>
    <mergeCell ref="G55:R55"/>
    <mergeCell ref="A56:F56"/>
    <mergeCell ref="G60:R60"/>
    <mergeCell ref="BA59:BA61"/>
    <mergeCell ref="P30:U30"/>
    <mergeCell ref="V30:AG30"/>
    <mergeCell ref="A47:F47"/>
    <mergeCell ref="G47:R47"/>
    <mergeCell ref="A48:F48"/>
    <mergeCell ref="G48:R48"/>
    <mergeCell ref="P31:U31"/>
    <mergeCell ref="V31:AG31"/>
    <mergeCell ref="AR3:AW4"/>
    <mergeCell ref="AF5:AK6"/>
    <mergeCell ref="AL5:AQ6"/>
    <mergeCell ref="AR5:AW6"/>
    <mergeCell ref="AF3:AK4"/>
    <mergeCell ref="AL3:AQ4"/>
    <mergeCell ref="P27:U27"/>
    <mergeCell ref="V27:AG27"/>
    <mergeCell ref="P29:U29"/>
    <mergeCell ref="V29:AA29"/>
    <mergeCell ref="AB29:AG29"/>
    <mergeCell ref="P28:U28"/>
    <mergeCell ref="V28:AG28"/>
    <mergeCell ref="BA47:BA49"/>
    <mergeCell ref="BA51:BA53"/>
    <mergeCell ref="G56:R56"/>
    <mergeCell ref="A57:F57"/>
    <mergeCell ref="G57:R57"/>
    <mergeCell ref="A54:F54"/>
    <mergeCell ref="G54:R54"/>
    <mergeCell ref="G52:R52"/>
    <mergeCell ref="A53:F53"/>
    <mergeCell ref="G53:R53"/>
    <mergeCell ref="A49:F49"/>
    <mergeCell ref="G49:R49"/>
    <mergeCell ref="A51:F51"/>
    <mergeCell ref="G51:R51"/>
    <mergeCell ref="A50:F50"/>
    <mergeCell ref="G50:R50"/>
  </mergeCells>
  <phoneticPr fontId="1"/>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F40"/>
  <sheetViews>
    <sheetView showGridLines="0" zoomScaleNormal="100" zoomScaleSheetLayoutView="90" workbookViewId="0">
      <selection activeCell="A48" sqref="A48"/>
    </sheetView>
  </sheetViews>
  <sheetFormatPr defaultColWidth="9.33203125" defaultRowHeight="12"/>
  <cols>
    <col min="1" max="1" width="3.33203125" style="1" customWidth="1"/>
    <col min="2" max="2" width="10" style="1" customWidth="1"/>
    <col min="3" max="3" width="103.33203125" style="1" customWidth="1"/>
    <col min="4" max="5" width="13.33203125" style="1" customWidth="1"/>
    <col min="6" max="6" width="23.33203125" style="1" customWidth="1"/>
    <col min="7" max="7" width="1.83203125" style="1" customWidth="1"/>
    <col min="8" max="16384" width="9.33203125" style="1"/>
  </cols>
  <sheetData>
    <row r="1" spans="1:6" ht="12" customHeight="1"/>
    <row r="2" spans="1:6" ht="12" customHeight="1"/>
    <row r="3" spans="1:6" ht="12.75" customHeight="1"/>
    <row r="4" spans="1:6" ht="12.75" thickBot="1"/>
    <row r="5" spans="1:6" ht="12.75" thickBot="1">
      <c r="A5" s="30" t="s">
        <v>25</v>
      </c>
      <c r="B5" s="31" t="s">
        <v>24</v>
      </c>
      <c r="C5" s="12" t="s">
        <v>20</v>
      </c>
      <c r="D5" s="15" t="s">
        <v>21</v>
      </c>
      <c r="E5" s="12" t="s">
        <v>22</v>
      </c>
      <c r="F5" s="15" t="s">
        <v>23</v>
      </c>
    </row>
    <row r="6" spans="1:6" ht="12.75" thickTop="1">
      <c r="A6" s="9">
        <v>1</v>
      </c>
      <c r="B6" s="32" t="s">
        <v>44</v>
      </c>
      <c r="C6" s="17" t="s">
        <v>45</v>
      </c>
      <c r="D6" s="14" t="s">
        <v>46</v>
      </c>
      <c r="E6" s="63">
        <v>42871</v>
      </c>
      <c r="F6" s="67"/>
    </row>
    <row r="7" spans="1:6">
      <c r="A7" s="5">
        <v>2</v>
      </c>
      <c r="B7" s="13" t="s">
        <v>47</v>
      </c>
      <c r="C7" s="18" t="s">
        <v>48</v>
      </c>
      <c r="D7" s="33" t="s">
        <v>46</v>
      </c>
      <c r="E7" s="64">
        <v>42872</v>
      </c>
      <c r="F7" s="68"/>
    </row>
    <row r="8" spans="1:6">
      <c r="A8" s="5">
        <v>3</v>
      </c>
      <c r="B8" s="13" t="s">
        <v>49</v>
      </c>
      <c r="C8" s="18" t="s">
        <v>50</v>
      </c>
      <c r="D8" s="16" t="s">
        <v>46</v>
      </c>
      <c r="E8" s="64">
        <v>42978</v>
      </c>
      <c r="F8" s="68"/>
    </row>
    <row r="9" spans="1:6">
      <c r="A9" s="5">
        <v>4</v>
      </c>
      <c r="B9" s="13" t="s">
        <v>51</v>
      </c>
      <c r="C9" s="18" t="s">
        <v>60</v>
      </c>
      <c r="D9" s="16" t="s">
        <v>46</v>
      </c>
      <c r="E9" s="64">
        <v>43006</v>
      </c>
      <c r="F9" s="68"/>
    </row>
    <row r="10" spans="1:6">
      <c r="A10" s="5">
        <v>5</v>
      </c>
      <c r="B10" s="13" t="s">
        <v>52</v>
      </c>
      <c r="C10" s="18" t="s">
        <v>53</v>
      </c>
      <c r="D10" s="16" t="s">
        <v>46</v>
      </c>
      <c r="E10" s="64">
        <v>43006</v>
      </c>
      <c r="F10" s="68"/>
    </row>
    <row r="11" spans="1:6">
      <c r="A11" s="5"/>
      <c r="B11" s="13"/>
      <c r="C11" s="18"/>
      <c r="D11" s="16"/>
      <c r="E11" s="65"/>
      <c r="F11" s="68"/>
    </row>
    <row r="12" spans="1:6">
      <c r="A12" s="5"/>
      <c r="B12" s="13"/>
      <c r="C12" s="18"/>
      <c r="D12" s="16"/>
      <c r="E12" s="65"/>
      <c r="F12" s="68"/>
    </row>
    <row r="13" spans="1:6">
      <c r="A13" s="5"/>
      <c r="B13" s="13"/>
      <c r="C13" s="18"/>
      <c r="D13" s="16"/>
      <c r="E13" s="65"/>
      <c r="F13" s="68"/>
    </row>
    <row r="14" spans="1:6">
      <c r="A14" s="5"/>
      <c r="B14" s="13"/>
      <c r="C14" s="18"/>
      <c r="D14" s="16"/>
      <c r="E14" s="65"/>
      <c r="F14" s="68"/>
    </row>
    <row r="15" spans="1:6">
      <c r="A15" s="5"/>
      <c r="B15" s="13"/>
      <c r="C15" s="18"/>
      <c r="D15" s="16"/>
      <c r="E15" s="65"/>
      <c r="F15" s="68"/>
    </row>
    <row r="16" spans="1:6">
      <c r="A16" s="5"/>
      <c r="B16" s="13"/>
      <c r="C16" s="18"/>
      <c r="D16" s="16"/>
      <c r="E16" s="65"/>
      <c r="F16" s="68"/>
    </row>
    <row r="17" spans="1:6">
      <c r="A17" s="5"/>
      <c r="B17" s="13"/>
      <c r="C17" s="18"/>
      <c r="D17" s="16"/>
      <c r="E17" s="65"/>
      <c r="F17" s="68"/>
    </row>
    <row r="18" spans="1:6">
      <c r="A18" s="5"/>
      <c r="B18" s="13"/>
      <c r="C18" s="18"/>
      <c r="D18" s="16"/>
      <c r="E18" s="65"/>
      <c r="F18" s="68"/>
    </row>
    <row r="19" spans="1:6">
      <c r="A19" s="5"/>
      <c r="B19" s="13"/>
      <c r="C19" s="18"/>
      <c r="D19" s="16"/>
      <c r="E19" s="65"/>
      <c r="F19" s="68"/>
    </row>
    <row r="20" spans="1:6">
      <c r="A20" s="5"/>
      <c r="B20" s="13"/>
      <c r="C20" s="18"/>
      <c r="D20" s="16"/>
      <c r="E20" s="65"/>
      <c r="F20" s="68"/>
    </row>
    <row r="21" spans="1:6">
      <c r="A21" s="5"/>
      <c r="B21" s="13"/>
      <c r="C21" s="18"/>
      <c r="D21" s="16"/>
      <c r="E21" s="65"/>
      <c r="F21" s="68"/>
    </row>
    <row r="22" spans="1:6">
      <c r="A22" s="5"/>
      <c r="B22" s="13"/>
      <c r="C22" s="18"/>
      <c r="D22" s="16"/>
      <c r="E22" s="65"/>
      <c r="F22" s="68"/>
    </row>
    <row r="23" spans="1:6">
      <c r="A23" s="5"/>
      <c r="B23" s="13"/>
      <c r="C23" s="18"/>
      <c r="D23" s="16"/>
      <c r="E23" s="65"/>
      <c r="F23" s="68"/>
    </row>
    <row r="24" spans="1:6">
      <c r="A24" s="5"/>
      <c r="B24" s="13"/>
      <c r="C24" s="18"/>
      <c r="D24" s="16"/>
      <c r="E24" s="65"/>
      <c r="F24" s="68"/>
    </row>
    <row r="25" spans="1:6">
      <c r="A25" s="5"/>
      <c r="B25" s="13"/>
      <c r="C25" s="18"/>
      <c r="D25" s="16"/>
      <c r="E25" s="65"/>
      <c r="F25" s="68"/>
    </row>
    <row r="26" spans="1:6">
      <c r="A26" s="5"/>
      <c r="B26" s="13"/>
      <c r="C26" s="18"/>
      <c r="D26" s="16"/>
      <c r="E26" s="65"/>
      <c r="F26" s="68"/>
    </row>
    <row r="27" spans="1:6">
      <c r="A27" s="5"/>
      <c r="B27" s="13"/>
      <c r="C27" s="18"/>
      <c r="D27" s="16"/>
      <c r="E27" s="65"/>
      <c r="F27" s="68"/>
    </row>
    <row r="28" spans="1:6">
      <c r="A28" s="5"/>
      <c r="B28" s="13"/>
      <c r="C28" s="18"/>
      <c r="D28" s="16"/>
      <c r="E28" s="65"/>
      <c r="F28" s="68"/>
    </row>
    <row r="29" spans="1:6">
      <c r="A29" s="5"/>
      <c r="B29" s="13"/>
      <c r="C29" s="18"/>
      <c r="D29" s="16"/>
      <c r="E29" s="65"/>
      <c r="F29" s="68"/>
    </row>
    <row r="30" spans="1:6">
      <c r="A30" s="5"/>
      <c r="B30" s="13"/>
      <c r="C30" s="18"/>
      <c r="D30" s="16"/>
      <c r="E30" s="65"/>
      <c r="F30" s="68"/>
    </row>
    <row r="31" spans="1:6">
      <c r="A31" s="5"/>
      <c r="B31" s="13"/>
      <c r="C31" s="18"/>
      <c r="D31" s="16"/>
      <c r="E31" s="65"/>
      <c r="F31" s="68"/>
    </row>
    <row r="32" spans="1:6">
      <c r="A32" s="5"/>
      <c r="B32" s="13"/>
      <c r="C32" s="18"/>
      <c r="D32" s="16"/>
      <c r="E32" s="65"/>
      <c r="F32" s="68"/>
    </row>
    <row r="33" spans="1:6">
      <c r="A33" s="5"/>
      <c r="B33" s="13"/>
      <c r="C33" s="18"/>
      <c r="D33" s="16"/>
      <c r="E33" s="65"/>
      <c r="F33" s="68"/>
    </row>
    <row r="34" spans="1:6">
      <c r="A34" s="5"/>
      <c r="B34" s="13"/>
      <c r="C34" s="18"/>
      <c r="D34" s="16"/>
      <c r="E34" s="65"/>
      <c r="F34" s="68"/>
    </row>
    <row r="35" spans="1:6">
      <c r="A35" s="5"/>
      <c r="B35" s="13"/>
      <c r="C35" s="18"/>
      <c r="D35" s="16"/>
      <c r="E35" s="65"/>
      <c r="F35" s="68"/>
    </row>
    <row r="36" spans="1:6">
      <c r="A36" s="5"/>
      <c r="B36" s="13"/>
      <c r="C36" s="18"/>
      <c r="D36" s="16"/>
      <c r="E36" s="65"/>
      <c r="F36" s="68"/>
    </row>
    <row r="37" spans="1:6">
      <c r="A37" s="5"/>
      <c r="B37" s="13"/>
      <c r="C37" s="18"/>
      <c r="D37" s="16"/>
      <c r="E37" s="65"/>
      <c r="F37" s="68"/>
    </row>
    <row r="38" spans="1:6">
      <c r="A38" s="5"/>
      <c r="B38" s="13"/>
      <c r="C38" s="18"/>
      <c r="D38" s="16"/>
      <c r="E38" s="65"/>
      <c r="F38" s="68"/>
    </row>
    <row r="39" spans="1:6">
      <c r="A39" s="5"/>
      <c r="B39" s="13"/>
      <c r="C39" s="18"/>
      <c r="D39" s="16"/>
      <c r="E39" s="65"/>
      <c r="F39" s="68"/>
    </row>
    <row r="40" spans="1:6" ht="12.75" thickBot="1">
      <c r="A40" s="34"/>
      <c r="B40" s="35"/>
      <c r="C40" s="36"/>
      <c r="D40" s="37"/>
      <c r="E40" s="66"/>
      <c r="F40" s="69"/>
    </row>
  </sheetData>
  <phoneticPr fontId="1"/>
  <dataValidations count="1">
    <dataValidation imeMode="off" allowBlank="1" showInputMessage="1" showErrorMessage="1" sqref="A6:B40 E6:E40"/>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I47"/>
  <sheetViews>
    <sheetView showGridLines="0" zoomScaleNormal="100" zoomScaleSheetLayoutView="90" workbookViewId="0">
      <selection activeCell="A48" sqref="A48"/>
    </sheetView>
  </sheetViews>
  <sheetFormatPr defaultColWidth="9.33203125" defaultRowHeight="12"/>
  <cols>
    <col min="1" max="1" width="10" style="1" customWidth="1"/>
    <col min="2" max="2" width="13.33203125" style="1" customWidth="1"/>
    <col min="3" max="3" width="53.33203125" style="1" customWidth="1"/>
    <col min="4" max="8" width="13.33203125" style="1" customWidth="1"/>
    <col min="9" max="9" width="23.33203125" style="1" customWidth="1"/>
    <col min="10" max="16384" width="9.33203125" style="1"/>
  </cols>
  <sheetData>
    <row r="1" spans="1:9" ht="12" customHeight="1"/>
    <row r="2" spans="1:9" ht="12" customHeight="1"/>
    <row r="3" spans="1:9" ht="12.75" customHeight="1"/>
    <row r="4" spans="1:9" ht="12.75" thickBot="1"/>
    <row r="5" spans="1:9">
      <c r="A5" s="25" t="s">
        <v>54</v>
      </c>
      <c r="B5" s="38" t="s">
        <v>14</v>
      </c>
      <c r="C5" s="22" t="s">
        <v>20</v>
      </c>
      <c r="D5" s="165" t="s">
        <v>31</v>
      </c>
      <c r="E5" s="166"/>
      <c r="F5" s="166"/>
      <c r="G5" s="167" t="s">
        <v>42</v>
      </c>
      <c r="H5" s="168"/>
      <c r="I5" s="169" t="s">
        <v>23</v>
      </c>
    </row>
    <row r="6" spans="1:9" ht="12.75" thickBot="1">
      <c r="A6" s="26"/>
      <c r="B6" s="39"/>
      <c r="C6" s="23"/>
      <c r="D6" s="27" t="s">
        <v>13</v>
      </c>
      <c r="E6" s="27" t="s">
        <v>27</v>
      </c>
      <c r="F6" s="27" t="s">
        <v>28</v>
      </c>
      <c r="G6" s="27" t="s">
        <v>27</v>
      </c>
      <c r="H6" s="70" t="s">
        <v>29</v>
      </c>
      <c r="I6" s="170"/>
    </row>
    <row r="7" spans="1:9" ht="12.75" customHeight="1" thickTop="1">
      <c r="A7" s="28" t="s">
        <v>55</v>
      </c>
      <c r="B7" s="40">
        <v>42978</v>
      </c>
      <c r="C7" s="17" t="s">
        <v>56</v>
      </c>
      <c r="D7" s="29" t="s">
        <v>57</v>
      </c>
      <c r="E7" s="29" t="s">
        <v>57</v>
      </c>
      <c r="F7" s="29" t="s">
        <v>58</v>
      </c>
      <c r="G7" s="29" t="s">
        <v>57</v>
      </c>
      <c r="H7" s="71" t="s">
        <v>57</v>
      </c>
      <c r="I7" s="67"/>
    </row>
    <row r="8" spans="1:9" ht="12.75" customHeight="1">
      <c r="A8" s="41"/>
      <c r="B8" s="42"/>
      <c r="C8" s="43"/>
      <c r="D8" s="44"/>
      <c r="E8" s="44"/>
      <c r="F8" s="44"/>
      <c r="G8" s="44"/>
      <c r="H8" s="72"/>
      <c r="I8" s="74"/>
    </row>
    <row r="9" spans="1:9">
      <c r="A9" s="24"/>
      <c r="B9" s="45"/>
      <c r="C9" s="18"/>
      <c r="D9" s="20"/>
      <c r="E9" s="20"/>
      <c r="F9" s="20"/>
      <c r="G9" s="20"/>
      <c r="H9" s="19"/>
      <c r="I9" s="68"/>
    </row>
    <row r="10" spans="1:9">
      <c r="A10" s="24"/>
      <c r="B10" s="45"/>
      <c r="C10" s="18"/>
      <c r="D10" s="20"/>
      <c r="E10" s="20"/>
      <c r="F10" s="20"/>
      <c r="G10" s="20"/>
      <c r="H10" s="19"/>
      <c r="I10" s="68"/>
    </row>
    <row r="11" spans="1:9">
      <c r="A11" s="24"/>
      <c r="B11" s="45"/>
      <c r="C11" s="18"/>
      <c r="D11" s="20"/>
      <c r="E11" s="20"/>
      <c r="F11" s="20"/>
      <c r="G11" s="20"/>
      <c r="H11" s="19"/>
      <c r="I11" s="68"/>
    </row>
    <row r="12" spans="1:9">
      <c r="A12" s="24"/>
      <c r="B12" s="45"/>
      <c r="C12" s="18"/>
      <c r="D12" s="20"/>
      <c r="E12" s="20"/>
      <c r="F12" s="20"/>
      <c r="G12" s="20"/>
      <c r="H12" s="19"/>
      <c r="I12" s="68"/>
    </row>
    <row r="13" spans="1:9">
      <c r="A13" s="24"/>
      <c r="B13" s="45"/>
      <c r="C13" s="18"/>
      <c r="D13" s="20"/>
      <c r="E13" s="20"/>
      <c r="F13" s="20"/>
      <c r="G13" s="20"/>
      <c r="H13" s="19"/>
      <c r="I13" s="68"/>
    </row>
    <row r="14" spans="1:9">
      <c r="A14" s="24"/>
      <c r="B14" s="45"/>
      <c r="C14" s="18"/>
      <c r="D14" s="20"/>
      <c r="E14" s="20"/>
      <c r="F14" s="20"/>
      <c r="G14" s="20"/>
      <c r="H14" s="19"/>
      <c r="I14" s="68"/>
    </row>
    <row r="15" spans="1:9">
      <c r="A15" s="24"/>
      <c r="B15" s="45"/>
      <c r="C15" s="18"/>
      <c r="D15" s="20"/>
      <c r="E15" s="20"/>
      <c r="F15" s="20"/>
      <c r="G15" s="20"/>
      <c r="H15" s="19"/>
      <c r="I15" s="68"/>
    </row>
    <row r="16" spans="1:9">
      <c r="A16" s="24"/>
      <c r="B16" s="45"/>
      <c r="C16" s="18"/>
      <c r="D16" s="20"/>
      <c r="E16" s="20"/>
      <c r="F16" s="20"/>
      <c r="G16" s="20"/>
      <c r="H16" s="19"/>
      <c r="I16" s="68"/>
    </row>
    <row r="17" spans="1:9">
      <c r="A17" s="24"/>
      <c r="B17" s="45"/>
      <c r="C17" s="18"/>
      <c r="D17" s="20"/>
      <c r="E17" s="20"/>
      <c r="F17" s="20"/>
      <c r="G17" s="20"/>
      <c r="H17" s="19"/>
      <c r="I17" s="68"/>
    </row>
    <row r="18" spans="1:9">
      <c r="A18" s="24"/>
      <c r="B18" s="45"/>
      <c r="C18" s="18"/>
      <c r="D18" s="20"/>
      <c r="E18" s="20"/>
      <c r="F18" s="20"/>
      <c r="G18" s="20"/>
      <c r="H18" s="19"/>
      <c r="I18" s="68"/>
    </row>
    <row r="19" spans="1:9">
      <c r="A19" s="24"/>
      <c r="B19" s="45"/>
      <c r="C19" s="18"/>
      <c r="D19" s="20"/>
      <c r="E19" s="20"/>
      <c r="F19" s="20"/>
      <c r="G19" s="20"/>
      <c r="H19" s="19"/>
      <c r="I19" s="68"/>
    </row>
    <row r="20" spans="1:9">
      <c r="A20" s="24"/>
      <c r="B20" s="45"/>
      <c r="C20" s="18"/>
      <c r="D20" s="20"/>
      <c r="E20" s="20"/>
      <c r="F20" s="20"/>
      <c r="G20" s="20"/>
      <c r="H20" s="19"/>
      <c r="I20" s="68"/>
    </row>
    <row r="21" spans="1:9">
      <c r="A21" s="24"/>
      <c r="B21" s="45"/>
      <c r="C21" s="18"/>
      <c r="D21" s="20"/>
      <c r="E21" s="20"/>
      <c r="F21" s="20"/>
      <c r="G21" s="20"/>
      <c r="H21" s="19"/>
      <c r="I21" s="68"/>
    </row>
    <row r="22" spans="1:9">
      <c r="A22" s="24"/>
      <c r="B22" s="45"/>
      <c r="C22" s="18"/>
      <c r="D22" s="20"/>
      <c r="E22" s="20"/>
      <c r="F22" s="20"/>
      <c r="G22" s="20"/>
      <c r="H22" s="19"/>
      <c r="I22" s="68"/>
    </row>
    <row r="23" spans="1:9">
      <c r="A23" s="24"/>
      <c r="B23" s="45"/>
      <c r="C23" s="18"/>
      <c r="D23" s="20"/>
      <c r="E23" s="20"/>
      <c r="F23" s="20"/>
      <c r="G23" s="20"/>
      <c r="H23" s="19"/>
      <c r="I23" s="68"/>
    </row>
    <row r="24" spans="1:9">
      <c r="A24" s="24"/>
      <c r="B24" s="45"/>
      <c r="C24" s="18"/>
      <c r="D24" s="20"/>
      <c r="E24" s="20"/>
      <c r="F24" s="20"/>
      <c r="G24" s="20"/>
      <c r="H24" s="19"/>
      <c r="I24" s="68"/>
    </row>
    <row r="25" spans="1:9">
      <c r="A25" s="24"/>
      <c r="B25" s="45"/>
      <c r="C25" s="18"/>
      <c r="D25" s="20"/>
      <c r="E25" s="20"/>
      <c r="F25" s="20"/>
      <c r="G25" s="20"/>
      <c r="H25" s="19"/>
      <c r="I25" s="68"/>
    </row>
    <row r="26" spans="1:9">
      <c r="A26" s="24"/>
      <c r="B26" s="45"/>
      <c r="C26" s="18"/>
      <c r="D26" s="20"/>
      <c r="E26" s="20"/>
      <c r="F26" s="20"/>
      <c r="G26" s="20"/>
      <c r="H26" s="19"/>
      <c r="I26" s="68"/>
    </row>
    <row r="27" spans="1:9">
      <c r="A27" s="24"/>
      <c r="B27" s="45"/>
      <c r="C27" s="18"/>
      <c r="D27" s="20"/>
      <c r="E27" s="20"/>
      <c r="F27" s="20"/>
      <c r="G27" s="20"/>
      <c r="H27" s="19"/>
      <c r="I27" s="68"/>
    </row>
    <row r="28" spans="1:9">
      <c r="A28" s="24"/>
      <c r="B28" s="45"/>
      <c r="C28" s="18"/>
      <c r="D28" s="19"/>
      <c r="E28" s="19"/>
      <c r="F28" s="19"/>
      <c r="G28" s="19"/>
      <c r="H28" s="19"/>
      <c r="I28" s="21"/>
    </row>
    <row r="29" spans="1:9">
      <c r="A29" s="24"/>
      <c r="B29" s="45"/>
      <c r="C29" s="18"/>
      <c r="D29" s="20"/>
      <c r="E29" s="20"/>
      <c r="F29" s="20"/>
      <c r="G29" s="20"/>
      <c r="H29" s="19"/>
      <c r="I29" s="68"/>
    </row>
    <row r="30" spans="1:9">
      <c r="A30" s="24"/>
      <c r="B30" s="45"/>
      <c r="C30" s="18"/>
      <c r="D30" s="20"/>
      <c r="E30" s="20"/>
      <c r="F30" s="20"/>
      <c r="G30" s="20"/>
      <c r="H30" s="19"/>
      <c r="I30" s="68"/>
    </row>
    <row r="31" spans="1:9">
      <c r="A31" s="24"/>
      <c r="B31" s="45"/>
      <c r="C31" s="18"/>
      <c r="D31" s="20"/>
      <c r="E31" s="20"/>
      <c r="F31" s="20"/>
      <c r="G31" s="20"/>
      <c r="H31" s="19"/>
      <c r="I31" s="68"/>
    </row>
    <row r="32" spans="1:9">
      <c r="A32" s="24"/>
      <c r="B32" s="45"/>
      <c r="C32" s="18"/>
      <c r="D32" s="20"/>
      <c r="E32" s="20"/>
      <c r="F32" s="20"/>
      <c r="G32" s="20"/>
      <c r="H32" s="19"/>
      <c r="I32" s="68"/>
    </row>
    <row r="33" spans="1:9">
      <c r="A33" s="24"/>
      <c r="B33" s="45"/>
      <c r="C33" s="18"/>
      <c r="D33" s="20"/>
      <c r="E33" s="20"/>
      <c r="F33" s="20"/>
      <c r="G33" s="20"/>
      <c r="H33" s="19"/>
      <c r="I33" s="68"/>
    </row>
    <row r="34" spans="1:9">
      <c r="A34" s="24"/>
      <c r="B34" s="45"/>
      <c r="C34" s="18"/>
      <c r="D34" s="20"/>
      <c r="E34" s="20"/>
      <c r="F34" s="20"/>
      <c r="G34" s="20"/>
      <c r="H34" s="19"/>
      <c r="I34" s="68"/>
    </row>
    <row r="35" spans="1:9">
      <c r="A35" s="24"/>
      <c r="B35" s="45"/>
      <c r="C35" s="18"/>
      <c r="D35" s="20"/>
      <c r="E35" s="20"/>
      <c r="F35" s="20"/>
      <c r="G35" s="20"/>
      <c r="H35" s="19"/>
      <c r="I35" s="68"/>
    </row>
    <row r="36" spans="1:9">
      <c r="A36" s="24"/>
      <c r="B36" s="45"/>
      <c r="C36" s="18"/>
      <c r="D36" s="20"/>
      <c r="E36" s="20"/>
      <c r="F36" s="20"/>
      <c r="G36" s="20"/>
      <c r="H36" s="19"/>
      <c r="I36" s="68"/>
    </row>
    <row r="37" spans="1:9">
      <c r="A37" s="24"/>
      <c r="B37" s="45"/>
      <c r="C37" s="18"/>
      <c r="D37" s="20"/>
      <c r="E37" s="20"/>
      <c r="F37" s="20"/>
      <c r="G37" s="20"/>
      <c r="H37" s="19"/>
      <c r="I37" s="68"/>
    </row>
    <row r="38" spans="1:9">
      <c r="A38" s="24"/>
      <c r="B38" s="45"/>
      <c r="C38" s="18"/>
      <c r="D38" s="20"/>
      <c r="E38" s="20"/>
      <c r="F38" s="20"/>
      <c r="G38" s="20"/>
      <c r="H38" s="19"/>
      <c r="I38" s="68"/>
    </row>
    <row r="39" spans="1:9">
      <c r="A39" s="24"/>
      <c r="B39" s="45"/>
      <c r="C39" s="18"/>
      <c r="D39" s="20"/>
      <c r="E39" s="20"/>
      <c r="F39" s="20"/>
      <c r="G39" s="20"/>
      <c r="H39" s="19"/>
      <c r="I39" s="68"/>
    </row>
    <row r="40" spans="1:9">
      <c r="A40" s="24"/>
      <c r="B40" s="45"/>
      <c r="C40" s="18"/>
      <c r="D40" s="20"/>
      <c r="E40" s="20"/>
      <c r="F40" s="20"/>
      <c r="G40" s="20"/>
      <c r="H40" s="19"/>
      <c r="I40" s="68"/>
    </row>
    <row r="41" spans="1:9">
      <c r="A41" s="24"/>
      <c r="B41" s="45"/>
      <c r="C41" s="18"/>
      <c r="D41" s="20"/>
      <c r="E41" s="20"/>
      <c r="F41" s="20"/>
      <c r="G41" s="20"/>
      <c r="H41" s="19"/>
      <c r="I41" s="68"/>
    </row>
    <row r="42" spans="1:9">
      <c r="A42" s="24"/>
      <c r="B42" s="45"/>
      <c r="C42" s="18"/>
      <c r="D42" s="20"/>
      <c r="E42" s="20"/>
      <c r="F42" s="20"/>
      <c r="G42" s="20"/>
      <c r="H42" s="19"/>
      <c r="I42" s="68"/>
    </row>
    <row r="43" spans="1:9">
      <c r="A43" s="24"/>
      <c r="B43" s="45"/>
      <c r="C43" s="18"/>
      <c r="D43" s="20"/>
      <c r="E43" s="20"/>
      <c r="F43" s="20"/>
      <c r="G43" s="20"/>
      <c r="H43" s="19"/>
      <c r="I43" s="68"/>
    </row>
    <row r="44" spans="1:9">
      <c r="A44" s="24"/>
      <c r="B44" s="45"/>
      <c r="C44" s="18"/>
      <c r="D44" s="20"/>
      <c r="E44" s="20"/>
      <c r="F44" s="20"/>
      <c r="G44" s="20"/>
      <c r="H44" s="19"/>
      <c r="I44" s="68"/>
    </row>
    <row r="45" spans="1:9">
      <c r="A45" s="24"/>
      <c r="B45" s="45"/>
      <c r="C45" s="18"/>
      <c r="D45" s="20"/>
      <c r="E45" s="20"/>
      <c r="F45" s="20"/>
      <c r="G45" s="20"/>
      <c r="H45" s="19"/>
      <c r="I45" s="68"/>
    </row>
    <row r="46" spans="1:9">
      <c r="A46" s="24"/>
      <c r="B46" s="45"/>
      <c r="C46" s="18"/>
      <c r="D46" s="20"/>
      <c r="E46" s="20"/>
      <c r="F46" s="20"/>
      <c r="G46" s="20"/>
      <c r="H46" s="19"/>
      <c r="I46" s="68"/>
    </row>
    <row r="47" spans="1:9" ht="12.75" thickBot="1">
      <c r="A47" s="46"/>
      <c r="B47" s="47"/>
      <c r="C47" s="36"/>
      <c r="D47" s="48"/>
      <c r="E47" s="48"/>
      <c r="F47" s="48"/>
      <c r="G47" s="48"/>
      <c r="H47" s="73"/>
      <c r="I47" s="69"/>
    </row>
  </sheetData>
  <mergeCells count="3">
    <mergeCell ref="D5:F5"/>
    <mergeCell ref="G5:H5"/>
    <mergeCell ref="I5:I6"/>
  </mergeCells>
  <phoneticPr fontId="1"/>
  <dataValidations count="1">
    <dataValidation imeMode="off" allowBlank="1" showInputMessage="1" showErrorMessage="1" sqref="A7:B47"/>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3:AX26"/>
  <sheetViews>
    <sheetView showGridLines="0" tabSelected="1" zoomScaleNormal="100" zoomScaleSheetLayoutView="90" workbookViewId="0">
      <selection activeCell="G18" sqref="G18:W18"/>
    </sheetView>
  </sheetViews>
  <sheetFormatPr defaultColWidth="9.33203125" defaultRowHeight="12"/>
  <cols>
    <col min="1" max="50" width="3.33203125" style="1" customWidth="1"/>
    <col min="51" max="51" width="1.5" style="1" customWidth="1"/>
    <col min="52" max="16384" width="9.33203125" style="1"/>
  </cols>
  <sheetData>
    <row r="3" spans="1:50" ht="12.75" customHeight="1"/>
    <row r="5" spans="1:50" ht="12.75" thickBot="1">
      <c r="A5" s="171" t="s">
        <v>1538</v>
      </c>
      <c r="B5" s="172"/>
      <c r="C5" s="172"/>
      <c r="D5" s="172"/>
      <c r="E5" s="172"/>
      <c r="F5" s="172"/>
      <c r="G5" s="172"/>
      <c r="H5" s="172"/>
      <c r="I5" s="172"/>
      <c r="J5" s="172"/>
      <c r="K5" s="172"/>
      <c r="L5" s="172"/>
      <c r="M5" s="172"/>
      <c r="N5" s="172"/>
      <c r="O5" s="172"/>
      <c r="P5" s="172"/>
      <c r="Q5" s="172"/>
      <c r="R5" s="172"/>
      <c r="S5" s="172"/>
      <c r="T5" s="172"/>
      <c r="U5" s="172"/>
      <c r="V5" s="172"/>
      <c r="W5" s="172"/>
      <c r="X5" s="173"/>
      <c r="Y5" s="173"/>
      <c r="Z5" s="173"/>
      <c r="AA5" s="173"/>
      <c r="AB5" s="174"/>
      <c r="AC5" s="174"/>
      <c r="AD5" s="174"/>
      <c r="AE5" s="174"/>
      <c r="AF5" s="174"/>
      <c r="AG5" s="174"/>
      <c r="AH5" s="174"/>
      <c r="AI5" s="174"/>
      <c r="AJ5" s="172"/>
      <c r="AK5" s="172"/>
      <c r="AL5" s="172"/>
      <c r="AM5" s="172"/>
      <c r="AN5" s="175"/>
      <c r="AO5" s="175"/>
      <c r="AP5" s="175"/>
      <c r="AQ5" s="175"/>
      <c r="AR5" s="172"/>
      <c r="AS5" s="172"/>
      <c r="AT5" s="172"/>
      <c r="AU5" s="172"/>
      <c r="AV5" s="172"/>
      <c r="AW5" s="172"/>
      <c r="AX5" s="172"/>
    </row>
    <row r="6" spans="1:50" ht="12.75" thickBot="1">
      <c r="A6" s="176" t="s">
        <v>1552</v>
      </c>
      <c r="B6" s="177"/>
      <c r="C6" s="178" t="s">
        <v>1539</v>
      </c>
      <c r="D6" s="178"/>
      <c r="E6" s="178"/>
      <c r="F6" s="178"/>
      <c r="G6" s="178"/>
      <c r="H6" s="178"/>
      <c r="I6" s="178" t="s">
        <v>1540</v>
      </c>
      <c r="J6" s="178"/>
      <c r="K6" s="178"/>
      <c r="L6" s="178"/>
      <c r="M6" s="178"/>
      <c r="N6" s="178"/>
      <c r="O6" s="178"/>
      <c r="P6" s="178"/>
      <c r="Q6" s="178"/>
      <c r="R6" s="178"/>
      <c r="S6" s="178"/>
      <c r="T6" s="178"/>
      <c r="U6" s="178"/>
      <c r="V6" s="178"/>
      <c r="W6" s="179" t="s">
        <v>1541</v>
      </c>
      <c r="X6" s="180"/>
      <c r="Y6" s="180"/>
      <c r="Z6" s="180"/>
      <c r="AA6" s="180"/>
      <c r="AB6" s="180"/>
      <c r="AC6" s="180"/>
      <c r="AD6" s="180"/>
      <c r="AE6" s="180"/>
      <c r="AF6" s="180"/>
      <c r="AG6" s="180"/>
      <c r="AH6" s="180"/>
      <c r="AI6" s="180"/>
      <c r="AJ6" s="180"/>
      <c r="AK6" s="180"/>
      <c r="AL6" s="181"/>
      <c r="AM6" s="182" t="s">
        <v>23</v>
      </c>
      <c r="AN6" s="183"/>
      <c r="AO6" s="183"/>
      <c r="AP6" s="183"/>
      <c r="AQ6" s="183"/>
      <c r="AR6" s="183"/>
      <c r="AS6" s="183"/>
      <c r="AT6" s="183"/>
      <c r="AU6" s="183"/>
      <c r="AV6" s="183"/>
      <c r="AW6" s="183"/>
      <c r="AX6" s="184"/>
    </row>
    <row r="7" spans="1:50" ht="12.75" customHeight="1" thickTop="1">
      <c r="A7" s="185">
        <v>1</v>
      </c>
      <c r="B7" s="186"/>
      <c r="C7" s="187">
        <v>42988</v>
      </c>
      <c r="D7" s="186"/>
      <c r="E7" s="186"/>
      <c r="F7" s="186"/>
      <c r="G7" s="186"/>
      <c r="H7" s="186"/>
      <c r="I7" s="188" t="s">
        <v>1542</v>
      </c>
      <c r="J7" s="188"/>
      <c r="K7" s="188"/>
      <c r="L7" s="188"/>
      <c r="M7" s="188"/>
      <c r="N7" s="188"/>
      <c r="O7" s="188"/>
      <c r="P7" s="188"/>
      <c r="Q7" s="188"/>
      <c r="R7" s="188"/>
      <c r="S7" s="188"/>
      <c r="T7" s="188"/>
      <c r="U7" s="188"/>
      <c r="V7" s="188"/>
      <c r="W7" s="189" t="s">
        <v>1553</v>
      </c>
      <c r="X7" s="190"/>
      <c r="Y7" s="190"/>
      <c r="Z7" s="190"/>
      <c r="AA7" s="190"/>
      <c r="AB7" s="190"/>
      <c r="AC7" s="190"/>
      <c r="AD7" s="190"/>
      <c r="AE7" s="190"/>
      <c r="AF7" s="190"/>
      <c r="AG7" s="190"/>
      <c r="AH7" s="190"/>
      <c r="AI7" s="190"/>
      <c r="AJ7" s="190"/>
      <c r="AK7" s="190"/>
      <c r="AL7" s="191"/>
      <c r="AM7" s="192"/>
      <c r="AN7" s="193"/>
      <c r="AO7" s="193"/>
      <c r="AP7" s="193"/>
      <c r="AQ7" s="193"/>
      <c r="AR7" s="193"/>
      <c r="AS7" s="193"/>
      <c r="AT7" s="193"/>
      <c r="AU7" s="193"/>
      <c r="AV7" s="193"/>
      <c r="AW7" s="193"/>
      <c r="AX7" s="194"/>
    </row>
    <row r="8" spans="1:50">
      <c r="A8" s="195"/>
      <c r="B8" s="196"/>
      <c r="C8" s="196"/>
      <c r="D8" s="196"/>
      <c r="E8" s="196"/>
      <c r="F8" s="196"/>
      <c r="G8" s="196"/>
      <c r="H8" s="196"/>
      <c r="I8" s="197"/>
      <c r="J8" s="197"/>
      <c r="K8" s="197"/>
      <c r="L8" s="197"/>
      <c r="M8" s="197"/>
      <c r="N8" s="197"/>
      <c r="O8" s="197"/>
      <c r="P8" s="197"/>
      <c r="Q8" s="197"/>
      <c r="R8" s="197"/>
      <c r="S8" s="197"/>
      <c r="T8" s="197"/>
      <c r="U8" s="197"/>
      <c r="V8" s="197"/>
      <c r="W8" s="198" t="s">
        <v>1554</v>
      </c>
      <c r="X8" s="199"/>
      <c r="Y8" s="199"/>
      <c r="Z8" s="199"/>
      <c r="AA8" s="199"/>
      <c r="AB8" s="199"/>
      <c r="AC8" s="199"/>
      <c r="AD8" s="199"/>
      <c r="AE8" s="199"/>
      <c r="AF8" s="199"/>
      <c r="AG8" s="199"/>
      <c r="AH8" s="199"/>
      <c r="AI8" s="199"/>
      <c r="AJ8" s="199"/>
      <c r="AK8" s="199"/>
      <c r="AL8" s="200"/>
      <c r="AM8" s="201"/>
      <c r="AN8" s="202"/>
      <c r="AO8" s="202"/>
      <c r="AP8" s="202"/>
      <c r="AQ8" s="202"/>
      <c r="AR8" s="202"/>
      <c r="AS8" s="202"/>
      <c r="AT8" s="202"/>
      <c r="AU8" s="202"/>
      <c r="AV8" s="202"/>
      <c r="AW8" s="202"/>
      <c r="AX8" s="203"/>
    </row>
    <row r="9" spans="1:50">
      <c r="A9" s="195"/>
      <c r="B9" s="196"/>
      <c r="C9" s="196"/>
      <c r="D9" s="196"/>
      <c r="E9" s="196"/>
      <c r="F9" s="196"/>
      <c r="G9" s="196"/>
      <c r="H9" s="196"/>
      <c r="I9" s="197"/>
      <c r="J9" s="197"/>
      <c r="K9" s="197"/>
      <c r="L9" s="197"/>
      <c r="M9" s="197"/>
      <c r="N9" s="197"/>
      <c r="O9" s="197"/>
      <c r="P9" s="197"/>
      <c r="Q9" s="197"/>
      <c r="R9" s="197"/>
      <c r="S9" s="197"/>
      <c r="T9" s="197"/>
      <c r="U9" s="197"/>
      <c r="V9" s="197"/>
      <c r="W9" s="198" t="s">
        <v>1555</v>
      </c>
      <c r="X9" s="199"/>
      <c r="Y9" s="199"/>
      <c r="Z9" s="199"/>
      <c r="AA9" s="199"/>
      <c r="AB9" s="199"/>
      <c r="AC9" s="199"/>
      <c r="AD9" s="199"/>
      <c r="AE9" s="199"/>
      <c r="AF9" s="199"/>
      <c r="AG9" s="199"/>
      <c r="AH9" s="199"/>
      <c r="AI9" s="199"/>
      <c r="AJ9" s="199"/>
      <c r="AK9" s="199"/>
      <c r="AL9" s="200"/>
      <c r="AM9" s="201"/>
      <c r="AN9" s="202"/>
      <c r="AO9" s="202"/>
      <c r="AP9" s="202"/>
      <c r="AQ9" s="202"/>
      <c r="AR9" s="202"/>
      <c r="AS9" s="202"/>
      <c r="AT9" s="202"/>
      <c r="AU9" s="202"/>
      <c r="AV9" s="202"/>
      <c r="AW9" s="202"/>
      <c r="AX9" s="203"/>
    </row>
    <row r="10" spans="1:50">
      <c r="A10" s="195"/>
      <c r="B10" s="196"/>
      <c r="C10" s="204"/>
      <c r="D10" s="196"/>
      <c r="E10" s="196"/>
      <c r="F10" s="196"/>
      <c r="G10" s="196"/>
      <c r="H10" s="196"/>
      <c r="I10" s="197"/>
      <c r="J10" s="197"/>
      <c r="K10" s="197"/>
      <c r="L10" s="197"/>
      <c r="M10" s="197"/>
      <c r="N10" s="197"/>
      <c r="O10" s="197"/>
      <c r="P10" s="197"/>
      <c r="Q10" s="197"/>
      <c r="R10" s="197"/>
      <c r="S10" s="197"/>
      <c r="T10" s="197"/>
      <c r="U10" s="197"/>
      <c r="V10" s="197"/>
      <c r="W10" s="205"/>
      <c r="X10" s="206"/>
      <c r="Y10" s="206"/>
      <c r="Z10" s="206"/>
      <c r="AA10" s="206"/>
      <c r="AB10" s="206"/>
      <c r="AC10" s="206"/>
      <c r="AD10" s="206"/>
      <c r="AE10" s="206"/>
      <c r="AF10" s="206"/>
      <c r="AG10" s="206"/>
      <c r="AH10" s="206"/>
      <c r="AI10" s="206"/>
      <c r="AJ10" s="206"/>
      <c r="AK10" s="206"/>
      <c r="AL10" s="207"/>
      <c r="AM10" s="201"/>
      <c r="AN10" s="202"/>
      <c r="AO10" s="202"/>
      <c r="AP10" s="202"/>
      <c r="AQ10" s="202"/>
      <c r="AR10" s="202"/>
      <c r="AS10" s="202"/>
      <c r="AT10" s="202"/>
      <c r="AU10" s="202"/>
      <c r="AV10" s="202"/>
      <c r="AW10" s="202"/>
      <c r="AX10" s="203"/>
    </row>
    <row r="11" spans="1:50">
      <c r="A11" s="195"/>
      <c r="B11" s="196"/>
      <c r="C11" s="196"/>
      <c r="D11" s="196"/>
      <c r="E11" s="196"/>
      <c r="F11" s="196"/>
      <c r="G11" s="196"/>
      <c r="H11" s="196"/>
      <c r="I11" s="197"/>
      <c r="J11" s="197"/>
      <c r="K11" s="197"/>
      <c r="L11" s="197"/>
      <c r="M11" s="197"/>
      <c r="N11" s="197"/>
      <c r="O11" s="197"/>
      <c r="P11" s="197"/>
      <c r="Q11" s="197"/>
      <c r="R11" s="197"/>
      <c r="S11" s="197"/>
      <c r="T11" s="197"/>
      <c r="U11" s="197"/>
      <c r="V11" s="197"/>
      <c r="W11" s="198"/>
      <c r="X11" s="199"/>
      <c r="Y11" s="199"/>
      <c r="Z11" s="199"/>
      <c r="AA11" s="199"/>
      <c r="AB11" s="199"/>
      <c r="AC11" s="199"/>
      <c r="AD11" s="199"/>
      <c r="AE11" s="199"/>
      <c r="AF11" s="199"/>
      <c r="AG11" s="199"/>
      <c r="AH11" s="199"/>
      <c r="AI11" s="199"/>
      <c r="AJ11" s="199"/>
      <c r="AK11" s="199"/>
      <c r="AL11" s="200"/>
      <c r="AM11" s="201"/>
      <c r="AN11" s="202"/>
      <c r="AO11" s="202"/>
      <c r="AP11" s="202"/>
      <c r="AQ11" s="202"/>
      <c r="AR11" s="202"/>
      <c r="AS11" s="202"/>
      <c r="AT11" s="202"/>
      <c r="AU11" s="202"/>
      <c r="AV11" s="202"/>
      <c r="AW11" s="202"/>
      <c r="AX11" s="203"/>
    </row>
    <row r="12" spans="1:50" ht="12.75" thickBot="1">
      <c r="A12" s="208"/>
      <c r="B12" s="209"/>
      <c r="C12" s="209"/>
      <c r="D12" s="209"/>
      <c r="E12" s="209"/>
      <c r="F12" s="209"/>
      <c r="G12" s="209"/>
      <c r="H12" s="209"/>
      <c r="I12" s="210"/>
      <c r="J12" s="210"/>
      <c r="K12" s="210"/>
      <c r="L12" s="210"/>
      <c r="M12" s="210"/>
      <c r="N12" s="210"/>
      <c r="O12" s="210"/>
      <c r="P12" s="210"/>
      <c r="Q12" s="210"/>
      <c r="R12" s="210"/>
      <c r="S12" s="210"/>
      <c r="T12" s="210"/>
      <c r="U12" s="210"/>
      <c r="V12" s="210"/>
      <c r="W12" s="211"/>
      <c r="X12" s="212"/>
      <c r="Y12" s="212"/>
      <c r="Z12" s="212"/>
      <c r="AA12" s="212"/>
      <c r="AB12" s="212"/>
      <c r="AC12" s="212"/>
      <c r="AD12" s="212"/>
      <c r="AE12" s="212"/>
      <c r="AF12" s="212"/>
      <c r="AG12" s="212"/>
      <c r="AH12" s="212"/>
      <c r="AI12" s="212"/>
      <c r="AJ12" s="212"/>
      <c r="AK12" s="212"/>
      <c r="AL12" s="213"/>
      <c r="AM12" s="214"/>
      <c r="AN12" s="215"/>
      <c r="AO12" s="215"/>
      <c r="AP12" s="215"/>
      <c r="AQ12" s="215"/>
      <c r="AR12" s="215"/>
      <c r="AS12" s="215"/>
      <c r="AT12" s="215"/>
      <c r="AU12" s="215"/>
      <c r="AV12" s="215"/>
      <c r="AW12" s="215"/>
      <c r="AX12" s="216"/>
    </row>
    <row r="13" spans="1:50">
      <c r="A13" s="217"/>
      <c r="B13" s="217"/>
      <c r="C13" s="217"/>
      <c r="D13" s="218"/>
      <c r="E13" s="218"/>
      <c r="F13" s="218"/>
      <c r="G13" s="218"/>
      <c r="H13" s="218"/>
      <c r="I13" s="218"/>
      <c r="J13" s="218"/>
      <c r="K13" s="218"/>
      <c r="L13" s="218"/>
      <c r="M13" s="218"/>
      <c r="N13" s="218"/>
      <c r="O13" s="218"/>
      <c r="P13" s="218"/>
      <c r="Q13" s="218"/>
      <c r="R13" s="218"/>
      <c r="S13" s="218"/>
      <c r="T13" s="218"/>
      <c r="U13" s="218"/>
      <c r="V13" s="218"/>
      <c r="W13" s="218"/>
      <c r="X13" s="219"/>
      <c r="Y13" s="219"/>
      <c r="Z13" s="219"/>
      <c r="AA13" s="219"/>
      <c r="AB13" s="219"/>
      <c r="AC13" s="219"/>
      <c r="AD13" s="219"/>
      <c r="AE13" s="219"/>
      <c r="AF13" s="219"/>
      <c r="AG13" s="219"/>
      <c r="AH13" s="219"/>
      <c r="AI13" s="219"/>
      <c r="AJ13" s="219"/>
      <c r="AK13" s="219"/>
      <c r="AL13" s="219"/>
      <c r="AM13" s="219"/>
      <c r="AN13" s="219"/>
      <c r="AO13" s="219"/>
      <c r="AP13" s="219"/>
      <c r="AQ13" s="219"/>
      <c r="AR13" s="218"/>
      <c r="AS13" s="218"/>
      <c r="AT13" s="218"/>
      <c r="AU13" s="218"/>
      <c r="AV13" s="218"/>
      <c r="AW13" s="218"/>
      <c r="AX13" s="218"/>
    </row>
    <row r="14" spans="1:50" ht="12.75" thickBot="1">
      <c r="A14" s="171" t="s">
        <v>1543</v>
      </c>
      <c r="B14" s="217"/>
      <c r="C14" s="217"/>
      <c r="D14" s="218"/>
      <c r="E14" s="218"/>
      <c r="F14" s="218"/>
      <c r="G14" s="218"/>
      <c r="H14" s="218"/>
      <c r="I14" s="218"/>
      <c r="J14" s="218"/>
      <c r="K14" s="218"/>
      <c r="L14" s="218"/>
      <c r="M14" s="218"/>
      <c r="N14" s="218"/>
      <c r="O14" s="218"/>
      <c r="P14" s="218"/>
      <c r="Q14" s="218"/>
      <c r="R14" s="218"/>
      <c r="S14" s="218"/>
      <c r="T14" s="218"/>
      <c r="U14" s="218"/>
      <c r="V14" s="218"/>
      <c r="W14" s="218"/>
      <c r="X14" s="219"/>
      <c r="Y14" s="219"/>
      <c r="Z14" s="219"/>
      <c r="AA14" s="219"/>
      <c r="AB14" s="219"/>
      <c r="AC14" s="219"/>
      <c r="AD14" s="219"/>
      <c r="AE14" s="219"/>
      <c r="AF14" s="219"/>
      <c r="AG14" s="219"/>
      <c r="AH14" s="219"/>
      <c r="AI14" s="219"/>
      <c r="AJ14" s="219"/>
      <c r="AK14" s="219"/>
      <c r="AL14" s="219"/>
      <c r="AM14" s="219"/>
      <c r="AN14" s="219"/>
      <c r="AO14" s="219"/>
      <c r="AP14" s="219"/>
      <c r="AQ14" s="219"/>
      <c r="AR14" s="218"/>
      <c r="AS14" s="218"/>
      <c r="AT14" s="218"/>
      <c r="AU14" s="218"/>
      <c r="AV14" s="218"/>
      <c r="AW14" s="218"/>
      <c r="AX14" s="218"/>
    </row>
    <row r="15" spans="1:50">
      <c r="A15" s="220" t="s">
        <v>1552</v>
      </c>
      <c r="B15" s="221"/>
      <c r="C15" s="221" t="s">
        <v>1544</v>
      </c>
      <c r="D15" s="221"/>
      <c r="E15" s="221"/>
      <c r="F15" s="221"/>
      <c r="G15" s="221"/>
      <c r="H15" s="221"/>
      <c r="I15" s="221"/>
      <c r="J15" s="221"/>
      <c r="K15" s="221"/>
      <c r="L15" s="221"/>
      <c r="M15" s="221"/>
      <c r="N15" s="221"/>
      <c r="O15" s="221"/>
      <c r="P15" s="221"/>
      <c r="Q15" s="221"/>
      <c r="R15" s="221"/>
      <c r="S15" s="221"/>
      <c r="T15" s="221"/>
      <c r="U15" s="221"/>
      <c r="V15" s="221"/>
      <c r="W15" s="221"/>
      <c r="X15" s="221" t="s">
        <v>1545</v>
      </c>
      <c r="Y15" s="221"/>
      <c r="Z15" s="221"/>
      <c r="AA15" s="221"/>
      <c r="AB15" s="221"/>
      <c r="AC15" s="221"/>
      <c r="AD15" s="221"/>
      <c r="AE15" s="221"/>
      <c r="AF15" s="221"/>
      <c r="AG15" s="221"/>
      <c r="AH15" s="221"/>
      <c r="AI15" s="221"/>
      <c r="AJ15" s="221"/>
      <c r="AK15" s="221"/>
      <c r="AL15" s="221"/>
      <c r="AM15" s="221"/>
      <c r="AN15" s="221"/>
      <c r="AO15" s="221"/>
      <c r="AP15" s="221"/>
      <c r="AQ15" s="221"/>
      <c r="AR15" s="221"/>
      <c r="AS15" s="222" t="s">
        <v>1546</v>
      </c>
      <c r="AT15" s="222"/>
      <c r="AU15" s="222"/>
      <c r="AV15" s="222"/>
      <c r="AW15" s="222"/>
      <c r="AX15" s="223"/>
    </row>
    <row r="16" spans="1:50" ht="12.75" thickBot="1">
      <c r="A16" s="224"/>
      <c r="B16" s="225"/>
      <c r="C16" s="225" t="s">
        <v>1547</v>
      </c>
      <c r="D16" s="225"/>
      <c r="E16" s="225"/>
      <c r="F16" s="225"/>
      <c r="G16" s="225" t="s">
        <v>1548</v>
      </c>
      <c r="H16" s="225"/>
      <c r="I16" s="225"/>
      <c r="J16" s="225"/>
      <c r="K16" s="225"/>
      <c r="L16" s="225"/>
      <c r="M16" s="225"/>
      <c r="N16" s="225"/>
      <c r="O16" s="225"/>
      <c r="P16" s="225"/>
      <c r="Q16" s="225"/>
      <c r="R16" s="225"/>
      <c r="S16" s="225"/>
      <c r="T16" s="225"/>
      <c r="U16" s="225"/>
      <c r="V16" s="225"/>
      <c r="W16" s="225"/>
      <c r="X16" s="225" t="s">
        <v>1547</v>
      </c>
      <c r="Y16" s="225"/>
      <c r="Z16" s="225"/>
      <c r="AA16" s="225"/>
      <c r="AB16" s="225" t="s">
        <v>1548</v>
      </c>
      <c r="AC16" s="225"/>
      <c r="AD16" s="225"/>
      <c r="AE16" s="225"/>
      <c r="AF16" s="225"/>
      <c r="AG16" s="225"/>
      <c r="AH16" s="225"/>
      <c r="AI16" s="225"/>
      <c r="AJ16" s="225"/>
      <c r="AK16" s="225"/>
      <c r="AL16" s="225"/>
      <c r="AM16" s="225"/>
      <c r="AN16" s="225"/>
      <c r="AO16" s="225"/>
      <c r="AP16" s="225"/>
      <c r="AQ16" s="225"/>
      <c r="AR16" s="225"/>
      <c r="AS16" s="226"/>
      <c r="AT16" s="226"/>
      <c r="AU16" s="226"/>
      <c r="AV16" s="226"/>
      <c r="AW16" s="226"/>
      <c r="AX16" s="227"/>
    </row>
    <row r="17" spans="1:50" ht="24" customHeight="1" thickTop="1">
      <c r="A17" s="228">
        <v>1</v>
      </c>
      <c r="B17" s="229"/>
      <c r="C17" s="230" t="s">
        <v>1549</v>
      </c>
      <c r="D17" s="231"/>
      <c r="E17" s="231"/>
      <c r="F17" s="232"/>
      <c r="G17" s="233"/>
      <c r="H17" s="234"/>
      <c r="I17" s="234"/>
      <c r="J17" s="234"/>
      <c r="K17" s="234"/>
      <c r="L17" s="234"/>
      <c r="M17" s="234"/>
      <c r="N17" s="234"/>
      <c r="O17" s="234"/>
      <c r="P17" s="234"/>
      <c r="Q17" s="234"/>
      <c r="R17" s="234"/>
      <c r="S17" s="234"/>
      <c r="T17" s="234"/>
      <c r="U17" s="234"/>
      <c r="V17" s="234"/>
      <c r="W17" s="235"/>
      <c r="X17" s="236" t="s">
        <v>1550</v>
      </c>
      <c r="Y17" s="237"/>
      <c r="Z17" s="237"/>
      <c r="AA17" s="229"/>
      <c r="AB17" s="233"/>
      <c r="AC17" s="234"/>
      <c r="AD17" s="234"/>
      <c r="AE17" s="234"/>
      <c r="AF17" s="234"/>
      <c r="AG17" s="234"/>
      <c r="AH17" s="234"/>
      <c r="AI17" s="234"/>
      <c r="AJ17" s="234"/>
      <c r="AK17" s="234"/>
      <c r="AL17" s="234"/>
      <c r="AM17" s="234"/>
      <c r="AN17" s="234"/>
      <c r="AO17" s="234"/>
      <c r="AP17" s="234"/>
      <c r="AQ17" s="234"/>
      <c r="AR17" s="235"/>
      <c r="AS17" s="238">
        <v>42998</v>
      </c>
      <c r="AT17" s="239"/>
      <c r="AU17" s="239"/>
      <c r="AV17" s="239"/>
      <c r="AW17" s="239"/>
      <c r="AX17" s="240"/>
    </row>
    <row r="18" spans="1:50" ht="24" customHeight="1">
      <c r="A18" s="228"/>
      <c r="B18" s="229"/>
      <c r="C18" s="230"/>
      <c r="D18" s="231"/>
      <c r="E18" s="231"/>
      <c r="F18" s="232"/>
      <c r="G18" s="233"/>
      <c r="H18" s="234"/>
      <c r="I18" s="234"/>
      <c r="J18" s="234"/>
      <c r="K18" s="234"/>
      <c r="L18" s="234"/>
      <c r="M18" s="234"/>
      <c r="N18" s="234"/>
      <c r="O18" s="234"/>
      <c r="P18" s="234"/>
      <c r="Q18" s="234"/>
      <c r="R18" s="234"/>
      <c r="S18" s="234"/>
      <c r="T18" s="234"/>
      <c r="U18" s="234"/>
      <c r="V18" s="234"/>
      <c r="W18" s="235"/>
      <c r="X18" s="236"/>
      <c r="Y18" s="237"/>
      <c r="Z18" s="237"/>
      <c r="AA18" s="229"/>
      <c r="AB18" s="233"/>
      <c r="AC18" s="234"/>
      <c r="AD18" s="234"/>
      <c r="AE18" s="234"/>
      <c r="AF18" s="234"/>
      <c r="AG18" s="234"/>
      <c r="AH18" s="234"/>
      <c r="AI18" s="234"/>
      <c r="AJ18" s="234"/>
      <c r="AK18" s="234"/>
      <c r="AL18" s="234"/>
      <c r="AM18" s="234"/>
      <c r="AN18" s="234"/>
      <c r="AO18" s="234"/>
      <c r="AP18" s="234"/>
      <c r="AQ18" s="234"/>
      <c r="AR18" s="235"/>
      <c r="AS18" s="238"/>
      <c r="AT18" s="239"/>
      <c r="AU18" s="239"/>
      <c r="AV18" s="239"/>
      <c r="AW18" s="239"/>
      <c r="AX18" s="240"/>
    </row>
    <row r="19" spans="1:50" ht="24" customHeight="1">
      <c r="A19" s="228"/>
      <c r="B19" s="229"/>
      <c r="C19" s="230"/>
      <c r="D19" s="231"/>
      <c r="E19" s="231"/>
      <c r="F19" s="232"/>
      <c r="G19" s="233"/>
      <c r="H19" s="234"/>
      <c r="I19" s="234"/>
      <c r="J19" s="234"/>
      <c r="K19" s="234"/>
      <c r="L19" s="234"/>
      <c r="M19" s="234"/>
      <c r="N19" s="234"/>
      <c r="O19" s="234"/>
      <c r="P19" s="234"/>
      <c r="Q19" s="234"/>
      <c r="R19" s="234"/>
      <c r="S19" s="234"/>
      <c r="T19" s="234"/>
      <c r="U19" s="234"/>
      <c r="V19" s="234"/>
      <c r="W19" s="235"/>
      <c r="X19" s="236"/>
      <c r="Y19" s="237"/>
      <c r="Z19" s="237"/>
      <c r="AA19" s="229"/>
      <c r="AB19" s="233"/>
      <c r="AC19" s="234"/>
      <c r="AD19" s="234"/>
      <c r="AE19" s="234"/>
      <c r="AF19" s="234"/>
      <c r="AG19" s="234"/>
      <c r="AH19" s="234"/>
      <c r="AI19" s="234"/>
      <c r="AJ19" s="234"/>
      <c r="AK19" s="234"/>
      <c r="AL19" s="234"/>
      <c r="AM19" s="234"/>
      <c r="AN19" s="234"/>
      <c r="AO19" s="234"/>
      <c r="AP19" s="234"/>
      <c r="AQ19" s="234"/>
      <c r="AR19" s="235"/>
      <c r="AS19" s="238"/>
      <c r="AT19" s="239"/>
      <c r="AU19" s="239"/>
      <c r="AV19" s="239"/>
      <c r="AW19" s="239"/>
      <c r="AX19" s="240"/>
    </row>
    <row r="20" spans="1:50" ht="24" customHeight="1">
      <c r="A20" s="228"/>
      <c r="B20" s="229"/>
      <c r="C20" s="230"/>
      <c r="D20" s="231"/>
      <c r="E20" s="231"/>
      <c r="F20" s="232"/>
      <c r="G20" s="233"/>
      <c r="H20" s="234"/>
      <c r="I20" s="234"/>
      <c r="J20" s="234"/>
      <c r="K20" s="234"/>
      <c r="L20" s="234"/>
      <c r="M20" s="234"/>
      <c r="N20" s="234"/>
      <c r="O20" s="234"/>
      <c r="P20" s="234"/>
      <c r="Q20" s="234"/>
      <c r="R20" s="234"/>
      <c r="S20" s="234"/>
      <c r="T20" s="234"/>
      <c r="U20" s="234"/>
      <c r="V20" s="234"/>
      <c r="W20" s="235"/>
      <c r="X20" s="236"/>
      <c r="Y20" s="237"/>
      <c r="Z20" s="237"/>
      <c r="AA20" s="229"/>
      <c r="AB20" s="233"/>
      <c r="AC20" s="234"/>
      <c r="AD20" s="234"/>
      <c r="AE20" s="234"/>
      <c r="AF20" s="234"/>
      <c r="AG20" s="234"/>
      <c r="AH20" s="234"/>
      <c r="AI20" s="234"/>
      <c r="AJ20" s="234"/>
      <c r="AK20" s="234"/>
      <c r="AL20" s="234"/>
      <c r="AM20" s="234"/>
      <c r="AN20" s="234"/>
      <c r="AO20" s="234"/>
      <c r="AP20" s="234"/>
      <c r="AQ20" s="234"/>
      <c r="AR20" s="235"/>
      <c r="AS20" s="238"/>
      <c r="AT20" s="239"/>
      <c r="AU20" s="239"/>
      <c r="AV20" s="239"/>
      <c r="AW20" s="239"/>
      <c r="AX20" s="240"/>
    </row>
    <row r="21" spans="1:50" ht="24" customHeight="1">
      <c r="A21" s="228"/>
      <c r="B21" s="229"/>
      <c r="C21" s="230"/>
      <c r="D21" s="231"/>
      <c r="E21" s="231"/>
      <c r="F21" s="232"/>
      <c r="G21" s="233"/>
      <c r="H21" s="234"/>
      <c r="I21" s="234"/>
      <c r="J21" s="234"/>
      <c r="K21" s="234"/>
      <c r="L21" s="234"/>
      <c r="M21" s="234"/>
      <c r="N21" s="234"/>
      <c r="O21" s="234"/>
      <c r="P21" s="234"/>
      <c r="Q21" s="234"/>
      <c r="R21" s="234"/>
      <c r="S21" s="234"/>
      <c r="T21" s="234"/>
      <c r="U21" s="234"/>
      <c r="V21" s="234"/>
      <c r="W21" s="235"/>
      <c r="X21" s="236"/>
      <c r="Y21" s="237"/>
      <c r="Z21" s="237"/>
      <c r="AA21" s="229"/>
      <c r="AB21" s="233"/>
      <c r="AC21" s="234"/>
      <c r="AD21" s="234"/>
      <c r="AE21" s="234"/>
      <c r="AF21" s="234"/>
      <c r="AG21" s="234"/>
      <c r="AH21" s="234"/>
      <c r="AI21" s="234"/>
      <c r="AJ21" s="234"/>
      <c r="AK21" s="234"/>
      <c r="AL21" s="234"/>
      <c r="AM21" s="234"/>
      <c r="AN21" s="234"/>
      <c r="AO21" s="234"/>
      <c r="AP21" s="234"/>
      <c r="AQ21" s="234"/>
      <c r="AR21" s="235"/>
      <c r="AS21" s="238"/>
      <c r="AT21" s="239"/>
      <c r="AU21" s="239"/>
      <c r="AV21" s="239"/>
      <c r="AW21" s="239"/>
      <c r="AX21" s="240"/>
    </row>
    <row r="22" spans="1:50" ht="24" customHeight="1">
      <c r="A22" s="228"/>
      <c r="B22" s="229"/>
      <c r="C22" s="230"/>
      <c r="D22" s="231"/>
      <c r="E22" s="231"/>
      <c r="F22" s="232"/>
      <c r="G22" s="233"/>
      <c r="H22" s="234"/>
      <c r="I22" s="234"/>
      <c r="J22" s="234"/>
      <c r="K22" s="234"/>
      <c r="L22" s="234"/>
      <c r="M22" s="234"/>
      <c r="N22" s="234"/>
      <c r="O22" s="234"/>
      <c r="P22" s="234"/>
      <c r="Q22" s="234"/>
      <c r="R22" s="234"/>
      <c r="S22" s="234"/>
      <c r="T22" s="234"/>
      <c r="U22" s="234"/>
      <c r="V22" s="234"/>
      <c r="W22" s="235"/>
      <c r="X22" s="236"/>
      <c r="Y22" s="237"/>
      <c r="Z22" s="237"/>
      <c r="AA22" s="229"/>
      <c r="AB22" s="233"/>
      <c r="AC22" s="234"/>
      <c r="AD22" s="234"/>
      <c r="AE22" s="234"/>
      <c r="AF22" s="234"/>
      <c r="AG22" s="234"/>
      <c r="AH22" s="234"/>
      <c r="AI22" s="234"/>
      <c r="AJ22" s="234"/>
      <c r="AK22" s="234"/>
      <c r="AL22" s="234"/>
      <c r="AM22" s="234"/>
      <c r="AN22" s="234"/>
      <c r="AO22" s="234"/>
      <c r="AP22" s="234"/>
      <c r="AQ22" s="234"/>
      <c r="AR22" s="235"/>
      <c r="AS22" s="238"/>
      <c r="AT22" s="239"/>
      <c r="AU22" s="239"/>
      <c r="AV22" s="239"/>
      <c r="AW22" s="239"/>
      <c r="AX22" s="240"/>
    </row>
    <row r="23" spans="1:50" ht="24" customHeight="1">
      <c r="A23" s="228"/>
      <c r="B23" s="229"/>
      <c r="C23" s="230"/>
      <c r="D23" s="231"/>
      <c r="E23" s="231"/>
      <c r="F23" s="232"/>
      <c r="G23" s="233"/>
      <c r="H23" s="234"/>
      <c r="I23" s="234"/>
      <c r="J23" s="234"/>
      <c r="K23" s="234"/>
      <c r="L23" s="234"/>
      <c r="M23" s="234"/>
      <c r="N23" s="234"/>
      <c r="O23" s="234"/>
      <c r="P23" s="234"/>
      <c r="Q23" s="234"/>
      <c r="R23" s="234"/>
      <c r="S23" s="234"/>
      <c r="T23" s="234"/>
      <c r="U23" s="234"/>
      <c r="V23" s="234"/>
      <c r="W23" s="235"/>
      <c r="X23" s="236"/>
      <c r="Y23" s="237"/>
      <c r="Z23" s="237"/>
      <c r="AA23" s="229"/>
      <c r="AB23" s="233"/>
      <c r="AC23" s="234"/>
      <c r="AD23" s="234"/>
      <c r="AE23" s="234"/>
      <c r="AF23" s="234"/>
      <c r="AG23" s="234"/>
      <c r="AH23" s="234"/>
      <c r="AI23" s="234"/>
      <c r="AJ23" s="234"/>
      <c r="AK23" s="234"/>
      <c r="AL23" s="234"/>
      <c r="AM23" s="234"/>
      <c r="AN23" s="234"/>
      <c r="AO23" s="234"/>
      <c r="AP23" s="234"/>
      <c r="AQ23" s="234"/>
      <c r="AR23" s="235"/>
      <c r="AS23" s="238"/>
      <c r="AT23" s="239"/>
      <c r="AU23" s="239"/>
      <c r="AV23" s="239"/>
      <c r="AW23" s="239"/>
      <c r="AX23" s="240"/>
    </row>
    <row r="24" spans="1:50" ht="24" customHeight="1">
      <c r="A24" s="228"/>
      <c r="B24" s="229"/>
      <c r="C24" s="230"/>
      <c r="D24" s="231"/>
      <c r="E24" s="231"/>
      <c r="F24" s="232"/>
      <c r="G24" s="233"/>
      <c r="H24" s="234"/>
      <c r="I24" s="234"/>
      <c r="J24" s="234"/>
      <c r="K24" s="234"/>
      <c r="L24" s="234"/>
      <c r="M24" s="234"/>
      <c r="N24" s="234"/>
      <c r="O24" s="234"/>
      <c r="P24" s="234"/>
      <c r="Q24" s="234"/>
      <c r="R24" s="234"/>
      <c r="S24" s="234"/>
      <c r="T24" s="234"/>
      <c r="U24" s="234"/>
      <c r="V24" s="234"/>
      <c r="W24" s="235"/>
      <c r="X24" s="236"/>
      <c r="Y24" s="237"/>
      <c r="Z24" s="237"/>
      <c r="AA24" s="229"/>
      <c r="AB24" s="233"/>
      <c r="AC24" s="234"/>
      <c r="AD24" s="234"/>
      <c r="AE24" s="234"/>
      <c r="AF24" s="234"/>
      <c r="AG24" s="234"/>
      <c r="AH24" s="234"/>
      <c r="AI24" s="234"/>
      <c r="AJ24" s="234"/>
      <c r="AK24" s="234"/>
      <c r="AL24" s="234"/>
      <c r="AM24" s="234"/>
      <c r="AN24" s="234"/>
      <c r="AO24" s="234"/>
      <c r="AP24" s="234"/>
      <c r="AQ24" s="234"/>
      <c r="AR24" s="235"/>
      <c r="AS24" s="238"/>
      <c r="AT24" s="239"/>
      <c r="AU24" s="239"/>
      <c r="AV24" s="239"/>
      <c r="AW24" s="239"/>
      <c r="AX24" s="240"/>
    </row>
    <row r="25" spans="1:50" ht="24" customHeight="1">
      <c r="A25" s="228"/>
      <c r="B25" s="229"/>
      <c r="C25" s="230"/>
      <c r="D25" s="231"/>
      <c r="E25" s="231"/>
      <c r="F25" s="232"/>
      <c r="G25" s="233"/>
      <c r="H25" s="234"/>
      <c r="I25" s="234"/>
      <c r="J25" s="234"/>
      <c r="K25" s="234"/>
      <c r="L25" s="234"/>
      <c r="M25" s="234"/>
      <c r="N25" s="234"/>
      <c r="O25" s="234"/>
      <c r="P25" s="234"/>
      <c r="Q25" s="234"/>
      <c r="R25" s="234"/>
      <c r="S25" s="234"/>
      <c r="T25" s="234"/>
      <c r="U25" s="234"/>
      <c r="V25" s="234"/>
      <c r="W25" s="235"/>
      <c r="X25" s="236"/>
      <c r="Y25" s="237"/>
      <c r="Z25" s="237"/>
      <c r="AA25" s="229"/>
      <c r="AB25" s="233"/>
      <c r="AC25" s="234"/>
      <c r="AD25" s="234"/>
      <c r="AE25" s="234"/>
      <c r="AF25" s="234"/>
      <c r="AG25" s="234"/>
      <c r="AH25" s="234"/>
      <c r="AI25" s="234"/>
      <c r="AJ25" s="234"/>
      <c r="AK25" s="234"/>
      <c r="AL25" s="234"/>
      <c r="AM25" s="234"/>
      <c r="AN25" s="234"/>
      <c r="AO25" s="234"/>
      <c r="AP25" s="234"/>
      <c r="AQ25" s="234"/>
      <c r="AR25" s="235"/>
      <c r="AS25" s="238"/>
      <c r="AT25" s="239"/>
      <c r="AU25" s="239"/>
      <c r="AV25" s="239"/>
      <c r="AW25" s="239"/>
      <c r="AX25" s="240"/>
    </row>
    <row r="26" spans="1:50" ht="24" customHeight="1" thickBot="1">
      <c r="A26" s="241"/>
      <c r="B26" s="242"/>
      <c r="C26" s="243"/>
      <c r="D26" s="244"/>
      <c r="E26" s="244"/>
      <c r="F26" s="245"/>
      <c r="G26" s="246"/>
      <c r="H26" s="247"/>
      <c r="I26" s="247"/>
      <c r="J26" s="247"/>
      <c r="K26" s="247"/>
      <c r="L26" s="247"/>
      <c r="M26" s="247"/>
      <c r="N26" s="247"/>
      <c r="O26" s="247"/>
      <c r="P26" s="247"/>
      <c r="Q26" s="247"/>
      <c r="R26" s="247"/>
      <c r="S26" s="247"/>
      <c r="T26" s="247"/>
      <c r="U26" s="247"/>
      <c r="V26" s="247"/>
      <c r="W26" s="248"/>
      <c r="X26" s="249"/>
      <c r="Y26" s="250"/>
      <c r="Z26" s="250"/>
      <c r="AA26" s="242"/>
      <c r="AB26" s="246"/>
      <c r="AC26" s="247"/>
      <c r="AD26" s="247"/>
      <c r="AE26" s="247"/>
      <c r="AF26" s="247"/>
      <c r="AG26" s="247"/>
      <c r="AH26" s="247"/>
      <c r="AI26" s="247"/>
      <c r="AJ26" s="247"/>
      <c r="AK26" s="247"/>
      <c r="AL26" s="247"/>
      <c r="AM26" s="247"/>
      <c r="AN26" s="247"/>
      <c r="AO26" s="247"/>
      <c r="AP26" s="247"/>
      <c r="AQ26" s="247"/>
      <c r="AR26" s="248"/>
      <c r="AS26" s="251"/>
      <c r="AT26" s="252"/>
      <c r="AU26" s="252"/>
      <c r="AV26" s="252"/>
      <c r="AW26" s="252"/>
      <c r="AX26" s="253"/>
    </row>
  </sheetData>
  <mergeCells count="87">
    <mergeCell ref="A26:B26"/>
    <mergeCell ref="C26:F26"/>
    <mergeCell ref="G26:W26"/>
    <mergeCell ref="X26:AA26"/>
    <mergeCell ref="AB26:AR26"/>
    <mergeCell ref="AS26:AX26"/>
    <mergeCell ref="A25:B25"/>
    <mergeCell ref="C25:F25"/>
    <mergeCell ref="G25:W25"/>
    <mergeCell ref="X25:AA25"/>
    <mergeCell ref="AB25:AR25"/>
    <mergeCell ref="AS25:AX25"/>
    <mergeCell ref="A24:B24"/>
    <mergeCell ref="C24:F24"/>
    <mergeCell ref="G24:W24"/>
    <mergeCell ref="X24:AA24"/>
    <mergeCell ref="AB24:AR24"/>
    <mergeCell ref="AS24:AX24"/>
    <mergeCell ref="A23:B23"/>
    <mergeCell ref="C23:F23"/>
    <mergeCell ref="G23:W23"/>
    <mergeCell ref="X23:AA23"/>
    <mergeCell ref="AB23:AR23"/>
    <mergeCell ref="AS23:AX23"/>
    <mergeCell ref="A22:B22"/>
    <mergeCell ref="C22:F22"/>
    <mergeCell ref="G22:W22"/>
    <mergeCell ref="X22:AA22"/>
    <mergeCell ref="AB22:AR22"/>
    <mergeCell ref="AS22:AX22"/>
    <mergeCell ref="A21:B21"/>
    <mergeCell ref="C21:F21"/>
    <mergeCell ref="G21:W21"/>
    <mergeCell ref="X21:AA21"/>
    <mergeCell ref="AB21:AR21"/>
    <mergeCell ref="AS21:AX21"/>
    <mergeCell ref="A20:B20"/>
    <mergeCell ref="C20:F20"/>
    <mergeCell ref="G20:W20"/>
    <mergeCell ref="X20:AA20"/>
    <mergeCell ref="AB20:AR20"/>
    <mergeCell ref="AS20:AX20"/>
    <mergeCell ref="A19:B19"/>
    <mergeCell ref="C19:F19"/>
    <mergeCell ref="G19:W19"/>
    <mergeCell ref="X19:AA19"/>
    <mergeCell ref="AB19:AR19"/>
    <mergeCell ref="AS19:AX19"/>
    <mergeCell ref="A18:B18"/>
    <mergeCell ref="C18:F18"/>
    <mergeCell ref="G18:W18"/>
    <mergeCell ref="X18:AA18"/>
    <mergeCell ref="AB18:AR18"/>
    <mergeCell ref="AS18:AX18"/>
    <mergeCell ref="A17:B17"/>
    <mergeCell ref="C17:F17"/>
    <mergeCell ref="G17:W17"/>
    <mergeCell ref="X17:AA17"/>
    <mergeCell ref="AB17:AR17"/>
    <mergeCell ref="AS17:AX17"/>
    <mergeCell ref="A15:B16"/>
    <mergeCell ref="C15:W15"/>
    <mergeCell ref="X15:AR15"/>
    <mergeCell ref="AS15:AX16"/>
    <mergeCell ref="C16:F16"/>
    <mergeCell ref="G16:W16"/>
    <mergeCell ref="X16:AA16"/>
    <mergeCell ref="AB16:AR16"/>
    <mergeCell ref="A10:B12"/>
    <mergeCell ref="C10:H12"/>
    <mergeCell ref="I10:V12"/>
    <mergeCell ref="W10:AL10"/>
    <mergeCell ref="AM10:AX12"/>
    <mergeCell ref="W11:AL11"/>
    <mergeCell ref="W12:AL12"/>
    <mergeCell ref="W6:AL6"/>
    <mergeCell ref="AM6:AX6"/>
    <mergeCell ref="A7:B9"/>
    <mergeCell ref="C7:H9"/>
    <mergeCell ref="I7:V9"/>
    <mergeCell ref="W7:AL7"/>
    <mergeCell ref="AM7:AX9"/>
    <mergeCell ref="W8:AL8"/>
    <mergeCell ref="W9:AL9"/>
    <mergeCell ref="A6:B6"/>
    <mergeCell ref="C6:H6"/>
    <mergeCell ref="I6:V6"/>
  </mergeCells>
  <phoneticPr fontId="1"/>
  <dataValidations count="1">
    <dataValidation imeMode="off" allowBlank="1" showInputMessage="1" showErrorMessage="1" sqref="A27:B47 D13:D14 A7 A10 A13 A17:A2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4:I139"/>
  <sheetViews>
    <sheetView showGridLines="0" showZeros="0" zoomScaleNormal="100" zoomScaleSheetLayoutView="85" workbookViewId="0">
      <pane xSplit="4" ySplit="5" topLeftCell="E21" activePane="bottomRight" state="frozen"/>
      <selection activeCell="A48" sqref="A48"/>
      <selection pane="topRight" activeCell="A48" sqref="A48"/>
      <selection pane="bottomLeft" activeCell="A48" sqref="A48"/>
      <selection pane="bottomRight" activeCell="A48" sqref="A48"/>
    </sheetView>
  </sheetViews>
  <sheetFormatPr defaultColWidth="107.1640625" defaultRowHeight="14.25"/>
  <cols>
    <col min="1" max="1" width="6.6640625" style="78" customWidth="1"/>
    <col min="2" max="2" width="16.83203125" style="78" customWidth="1"/>
    <col min="3" max="3" width="27.5" style="79" customWidth="1"/>
    <col min="4" max="4" width="34.1640625" style="78" customWidth="1"/>
    <col min="5" max="5" width="47.5" style="76" customWidth="1"/>
    <col min="6" max="6" width="20.83203125" style="78" customWidth="1"/>
    <col min="7" max="7" width="74.1640625" style="77" customWidth="1"/>
    <col min="8" max="8" width="34.1640625" style="76" customWidth="1"/>
    <col min="9" max="16384" width="107.1640625" style="75"/>
  </cols>
  <sheetData>
    <row r="4" spans="1:8" ht="15" thickBot="1"/>
    <row r="5" spans="1:8" s="92" customFormat="1" ht="15.75" customHeight="1">
      <c r="A5" s="116" t="s">
        <v>1530</v>
      </c>
      <c r="B5" s="95" t="s">
        <v>544</v>
      </c>
      <c r="C5" s="95" t="s">
        <v>6</v>
      </c>
      <c r="D5" s="95" t="s">
        <v>543</v>
      </c>
      <c r="E5" s="95" t="s">
        <v>542</v>
      </c>
      <c r="F5" s="95" t="s">
        <v>541</v>
      </c>
      <c r="G5" s="94" t="s">
        <v>36</v>
      </c>
      <c r="H5" s="93" t="s">
        <v>23</v>
      </c>
    </row>
    <row r="6" spans="1:8" s="80" customFormat="1" ht="55.5" customHeight="1">
      <c r="A6" s="117"/>
      <c r="B6" s="91" t="s">
        <v>475</v>
      </c>
      <c r="C6" s="91" t="s">
        <v>540</v>
      </c>
      <c r="D6" s="91" t="s">
        <v>539</v>
      </c>
      <c r="E6" s="91" t="s">
        <v>538</v>
      </c>
      <c r="F6" s="91" t="s">
        <v>537</v>
      </c>
      <c r="G6" s="91" t="s">
        <v>536</v>
      </c>
      <c r="H6" s="90"/>
    </row>
    <row r="7" spans="1:8" s="80" customFormat="1" ht="71.25" customHeight="1">
      <c r="A7" s="117"/>
      <c r="B7" s="84" t="s">
        <v>461</v>
      </c>
      <c r="C7" s="84" t="s">
        <v>535</v>
      </c>
      <c r="D7" s="84" t="s">
        <v>534</v>
      </c>
      <c r="E7" s="84" t="s">
        <v>533</v>
      </c>
      <c r="F7" s="84" t="s">
        <v>532</v>
      </c>
      <c r="G7" s="84" t="s">
        <v>531</v>
      </c>
      <c r="H7" s="83"/>
    </row>
    <row r="8" spans="1:8" s="80" customFormat="1" ht="109.5" customHeight="1">
      <c r="A8" s="117"/>
      <c r="B8" s="84" t="s">
        <v>475</v>
      </c>
      <c r="C8" s="84" t="s">
        <v>530</v>
      </c>
      <c r="D8" s="84" t="s">
        <v>529</v>
      </c>
      <c r="E8" s="84" t="s">
        <v>528</v>
      </c>
      <c r="F8" s="84" t="s">
        <v>527</v>
      </c>
      <c r="G8" s="84" t="s">
        <v>526</v>
      </c>
      <c r="H8" s="83"/>
    </row>
    <row r="9" spans="1:8" s="80" customFormat="1" ht="99.75" customHeight="1">
      <c r="A9" s="117"/>
      <c r="B9" s="84" t="s">
        <v>457</v>
      </c>
      <c r="C9" s="84" t="s">
        <v>456</v>
      </c>
      <c r="D9" s="84" t="s">
        <v>525</v>
      </c>
      <c r="E9" s="84" t="s">
        <v>524</v>
      </c>
      <c r="F9" s="84" t="s">
        <v>523</v>
      </c>
      <c r="G9" s="84" t="s">
        <v>522</v>
      </c>
      <c r="H9" s="83"/>
    </row>
    <row r="10" spans="1:8" s="80" customFormat="1" ht="100.5" customHeight="1">
      <c r="A10" s="117"/>
      <c r="B10" s="84" t="s">
        <v>487</v>
      </c>
      <c r="C10" s="84" t="s">
        <v>456</v>
      </c>
      <c r="D10" s="84" t="s">
        <v>521</v>
      </c>
      <c r="E10" s="84" t="s">
        <v>520</v>
      </c>
      <c r="F10" s="84" t="s">
        <v>516</v>
      </c>
      <c r="G10" s="84" t="s">
        <v>519</v>
      </c>
      <c r="H10" s="83"/>
    </row>
    <row r="11" spans="1:8" s="80" customFormat="1" ht="81" customHeight="1">
      <c r="A11" s="117"/>
      <c r="B11" s="84" t="s">
        <v>457</v>
      </c>
      <c r="C11" s="84" t="s">
        <v>456</v>
      </c>
      <c r="D11" s="84" t="s">
        <v>518</v>
      </c>
      <c r="E11" s="84" t="s">
        <v>517</v>
      </c>
      <c r="F11" s="84" t="s">
        <v>516</v>
      </c>
      <c r="G11" s="84" t="s">
        <v>515</v>
      </c>
      <c r="H11" s="83"/>
    </row>
    <row r="12" spans="1:8" s="80" customFormat="1" ht="71.25" customHeight="1">
      <c r="A12" s="117"/>
      <c r="B12" s="84" t="s">
        <v>470</v>
      </c>
      <c r="C12" s="84" t="s">
        <v>456</v>
      </c>
      <c r="D12" s="84" t="s">
        <v>514</v>
      </c>
      <c r="E12" s="84" t="s">
        <v>513</v>
      </c>
      <c r="F12" s="84" t="s">
        <v>512</v>
      </c>
      <c r="G12" s="84" t="s">
        <v>511</v>
      </c>
      <c r="H12" s="83"/>
    </row>
    <row r="13" spans="1:8" s="80" customFormat="1" ht="69.75" customHeight="1">
      <c r="A13" s="117"/>
      <c r="B13" s="84" t="s">
        <v>510</v>
      </c>
      <c r="C13" s="84" t="s">
        <v>456</v>
      </c>
      <c r="D13" s="84" t="s">
        <v>509</v>
      </c>
      <c r="E13" s="84" t="s">
        <v>508</v>
      </c>
      <c r="F13" s="84" t="s">
        <v>507</v>
      </c>
      <c r="G13" s="84" t="s">
        <v>506</v>
      </c>
      <c r="H13" s="83"/>
    </row>
    <row r="14" spans="1:8" s="80" customFormat="1" ht="107.25" customHeight="1">
      <c r="A14" s="117"/>
      <c r="B14" s="84" t="s">
        <v>457</v>
      </c>
      <c r="C14" s="84" t="s">
        <v>456</v>
      </c>
      <c r="D14" s="84" t="s">
        <v>505</v>
      </c>
      <c r="E14" s="84" t="s">
        <v>504</v>
      </c>
      <c r="F14" s="84" t="s">
        <v>503</v>
      </c>
      <c r="G14" s="84" t="s">
        <v>502</v>
      </c>
      <c r="H14" s="83"/>
    </row>
    <row r="15" spans="1:8" s="80" customFormat="1" ht="33" customHeight="1">
      <c r="A15" s="117"/>
      <c r="B15" s="84" t="s">
        <v>457</v>
      </c>
      <c r="C15" s="84" t="s">
        <v>456</v>
      </c>
      <c r="D15" s="84" t="s">
        <v>501</v>
      </c>
      <c r="E15" s="84" t="s">
        <v>500</v>
      </c>
      <c r="F15" s="84" t="s">
        <v>499</v>
      </c>
      <c r="G15" s="84" t="s">
        <v>498</v>
      </c>
      <c r="H15" s="83"/>
    </row>
    <row r="16" spans="1:8" s="80" customFormat="1" ht="33" customHeight="1">
      <c r="A16" s="117"/>
      <c r="B16" s="84" t="s">
        <v>470</v>
      </c>
      <c r="C16" s="84" t="s">
        <v>456</v>
      </c>
      <c r="D16" s="84" t="s">
        <v>497</v>
      </c>
      <c r="E16" s="84" t="s">
        <v>496</v>
      </c>
      <c r="F16" s="84" t="s">
        <v>495</v>
      </c>
      <c r="G16" s="84" t="s">
        <v>494</v>
      </c>
      <c r="H16" s="83"/>
    </row>
    <row r="17" spans="1:8" s="80" customFormat="1" ht="33.75" customHeight="1">
      <c r="A17" s="117"/>
      <c r="B17" s="84" t="s">
        <v>475</v>
      </c>
      <c r="C17" s="84" t="s">
        <v>456</v>
      </c>
      <c r="D17" s="84" t="s">
        <v>490</v>
      </c>
      <c r="E17" s="84" t="s">
        <v>493</v>
      </c>
      <c r="F17" s="84" t="s">
        <v>492</v>
      </c>
      <c r="G17" s="84" t="s">
        <v>491</v>
      </c>
      <c r="H17" s="89"/>
    </row>
    <row r="18" spans="1:8" s="80" customFormat="1" ht="33.75" customHeight="1">
      <c r="A18" s="117"/>
      <c r="B18" s="84" t="s">
        <v>475</v>
      </c>
      <c r="C18" s="84" t="s">
        <v>456</v>
      </c>
      <c r="D18" s="84" t="s">
        <v>490</v>
      </c>
      <c r="E18" s="84" t="s">
        <v>489</v>
      </c>
      <c r="F18" s="84" t="s">
        <v>161</v>
      </c>
      <c r="G18" s="84" t="s">
        <v>488</v>
      </c>
      <c r="H18" s="83"/>
    </row>
    <row r="19" spans="1:8" s="80" customFormat="1" ht="33.75" customHeight="1">
      <c r="A19" s="117"/>
      <c r="B19" s="84" t="s">
        <v>487</v>
      </c>
      <c r="C19" s="84" t="s">
        <v>456</v>
      </c>
      <c r="D19" s="84" t="s">
        <v>486</v>
      </c>
      <c r="E19" s="84" t="s">
        <v>485</v>
      </c>
      <c r="F19" s="84" t="s">
        <v>339</v>
      </c>
      <c r="G19" s="84" t="s">
        <v>484</v>
      </c>
      <c r="H19" s="83"/>
    </row>
    <row r="20" spans="1:8" s="80" customFormat="1" ht="115.5" customHeight="1">
      <c r="A20" s="117"/>
      <c r="B20" s="84" t="s">
        <v>461</v>
      </c>
      <c r="C20" s="84" t="s">
        <v>456</v>
      </c>
      <c r="D20" s="84" t="s">
        <v>483</v>
      </c>
      <c r="E20" s="84" t="s">
        <v>482</v>
      </c>
      <c r="F20" s="84" t="s">
        <v>481</v>
      </c>
      <c r="G20" s="84" t="s">
        <v>480</v>
      </c>
      <c r="H20" s="83"/>
    </row>
    <row r="21" spans="1:8" s="80" customFormat="1" ht="84" customHeight="1">
      <c r="A21" s="117"/>
      <c r="B21" s="84" t="s">
        <v>457</v>
      </c>
      <c r="C21" s="84" t="s">
        <v>456</v>
      </c>
      <c r="D21" s="84" t="s">
        <v>479</v>
      </c>
      <c r="E21" s="84" t="s">
        <v>478</v>
      </c>
      <c r="F21" s="84" t="s">
        <v>477</v>
      </c>
      <c r="G21" s="84" t="s">
        <v>476</v>
      </c>
      <c r="H21" s="83"/>
    </row>
    <row r="22" spans="1:8" s="80" customFormat="1" ht="33" customHeight="1">
      <c r="A22" s="117"/>
      <c r="B22" s="84" t="s">
        <v>475</v>
      </c>
      <c r="C22" s="84" t="s">
        <v>456</v>
      </c>
      <c r="D22" s="84" t="s">
        <v>474</v>
      </c>
      <c r="E22" s="84" t="s">
        <v>473</v>
      </c>
      <c r="F22" s="84" t="s">
        <v>472</v>
      </c>
      <c r="G22" s="84" t="s">
        <v>471</v>
      </c>
      <c r="H22" s="83"/>
    </row>
    <row r="23" spans="1:8" s="80" customFormat="1" ht="78.75" customHeight="1">
      <c r="A23" s="117"/>
      <c r="B23" s="84" t="s">
        <v>470</v>
      </c>
      <c r="C23" s="84" t="s">
        <v>456</v>
      </c>
      <c r="D23" s="84" t="s">
        <v>469</v>
      </c>
      <c r="E23" s="84" t="s">
        <v>468</v>
      </c>
      <c r="F23" s="84" t="s">
        <v>467</v>
      </c>
      <c r="G23" s="84" t="s">
        <v>466</v>
      </c>
      <c r="H23" s="83"/>
    </row>
    <row r="24" spans="1:8" s="80" customFormat="1" ht="78.75" customHeight="1">
      <c r="A24" s="117"/>
      <c r="B24" s="84" t="s">
        <v>461</v>
      </c>
      <c r="C24" s="84" t="s">
        <v>456</v>
      </c>
      <c r="D24" s="84" t="s">
        <v>465</v>
      </c>
      <c r="E24" s="84" t="s">
        <v>464</v>
      </c>
      <c r="F24" s="84" t="s">
        <v>463</v>
      </c>
      <c r="G24" s="84" t="s">
        <v>462</v>
      </c>
      <c r="H24" s="83"/>
    </row>
    <row r="25" spans="1:8" s="80" customFormat="1" ht="164.25" customHeight="1">
      <c r="A25" s="117"/>
      <c r="B25" s="84" t="s">
        <v>461</v>
      </c>
      <c r="C25" s="84" t="s">
        <v>456</v>
      </c>
      <c r="D25" s="84" t="s">
        <v>460</v>
      </c>
      <c r="E25" s="84" t="s">
        <v>459</v>
      </c>
      <c r="F25" s="84" t="s">
        <v>453</v>
      </c>
      <c r="G25" s="84" t="s">
        <v>458</v>
      </c>
      <c r="H25" s="83"/>
    </row>
    <row r="26" spans="1:8" s="80" customFormat="1" ht="154.5" customHeight="1">
      <c r="A26" s="117"/>
      <c r="B26" s="84" t="s">
        <v>457</v>
      </c>
      <c r="C26" s="84" t="s">
        <v>456</v>
      </c>
      <c r="D26" s="84" t="s">
        <v>455</v>
      </c>
      <c r="E26" s="84" t="s">
        <v>454</v>
      </c>
      <c r="F26" s="84" t="s">
        <v>453</v>
      </c>
      <c r="G26" s="84" t="s">
        <v>452</v>
      </c>
      <c r="H26" s="83"/>
    </row>
    <row r="27" spans="1:8" s="80" customFormat="1" ht="33" customHeight="1">
      <c r="A27" s="117"/>
      <c r="B27" s="84" t="s">
        <v>451</v>
      </c>
      <c r="C27" s="84" t="s">
        <v>450</v>
      </c>
      <c r="D27" s="84" t="s">
        <v>449</v>
      </c>
      <c r="E27" s="84" t="s">
        <v>448</v>
      </c>
      <c r="F27" s="84" t="s">
        <v>447</v>
      </c>
      <c r="G27" s="84" t="s">
        <v>446</v>
      </c>
      <c r="H27" s="83"/>
    </row>
    <row r="28" spans="1:8" s="80" customFormat="1" ht="33" customHeight="1">
      <c r="A28" s="117"/>
      <c r="B28" s="84" t="s">
        <v>334</v>
      </c>
      <c r="C28" s="84" t="s">
        <v>333</v>
      </c>
      <c r="D28" s="84" t="s">
        <v>445</v>
      </c>
      <c r="E28" s="84" t="s">
        <v>339</v>
      </c>
      <c r="F28" s="84" t="s">
        <v>444</v>
      </c>
      <c r="G28" s="84" t="s">
        <v>443</v>
      </c>
      <c r="H28" s="83"/>
    </row>
    <row r="29" spans="1:8" s="80" customFormat="1" ht="33" customHeight="1">
      <c r="A29" s="117"/>
      <c r="B29" s="84" t="s">
        <v>334</v>
      </c>
      <c r="C29" s="84" t="s">
        <v>333</v>
      </c>
      <c r="D29" s="84" t="s">
        <v>442</v>
      </c>
      <c r="E29" s="84" t="s">
        <v>406</v>
      </c>
      <c r="F29" s="84" t="s">
        <v>441</v>
      </c>
      <c r="G29" s="84" t="s">
        <v>440</v>
      </c>
      <c r="H29" s="83"/>
    </row>
    <row r="30" spans="1:8" s="80" customFormat="1" ht="40.5" customHeight="1">
      <c r="A30" s="117"/>
      <c r="B30" s="84" t="s">
        <v>334</v>
      </c>
      <c r="C30" s="84" t="s">
        <v>333</v>
      </c>
      <c r="D30" s="84" t="s">
        <v>439</v>
      </c>
      <c r="E30" s="84" t="s">
        <v>85</v>
      </c>
      <c r="F30" s="84" t="s">
        <v>438</v>
      </c>
      <c r="G30" s="84" t="s">
        <v>437</v>
      </c>
      <c r="H30" s="83"/>
    </row>
    <row r="31" spans="1:8" s="80" customFormat="1" ht="40.5" customHeight="1">
      <c r="A31" s="117"/>
      <c r="B31" s="84" t="s">
        <v>334</v>
      </c>
      <c r="C31" s="84" t="s">
        <v>333</v>
      </c>
      <c r="D31" s="84" t="s">
        <v>436</v>
      </c>
      <c r="E31" s="84" t="s">
        <v>103</v>
      </c>
      <c r="F31" s="84" t="s">
        <v>435</v>
      </c>
      <c r="G31" s="84" t="s">
        <v>434</v>
      </c>
      <c r="H31" s="83"/>
    </row>
    <row r="32" spans="1:8" s="80" customFormat="1" ht="40.5" customHeight="1">
      <c r="A32" s="117"/>
      <c r="B32" s="84" t="s">
        <v>334</v>
      </c>
      <c r="C32" s="84" t="s">
        <v>333</v>
      </c>
      <c r="D32" s="84" t="s">
        <v>433</v>
      </c>
      <c r="E32" s="84" t="s">
        <v>103</v>
      </c>
      <c r="F32" s="84" t="s">
        <v>432</v>
      </c>
      <c r="G32" s="84" t="s">
        <v>431</v>
      </c>
      <c r="H32" s="83"/>
    </row>
    <row r="33" spans="1:8" s="80" customFormat="1" ht="40.5" customHeight="1">
      <c r="A33" s="117"/>
      <c r="B33" s="84" t="s">
        <v>334</v>
      </c>
      <c r="C33" s="84" t="s">
        <v>333</v>
      </c>
      <c r="D33" s="84" t="s">
        <v>430</v>
      </c>
      <c r="E33" s="84" t="s">
        <v>103</v>
      </c>
      <c r="F33" s="84" t="s">
        <v>429</v>
      </c>
      <c r="G33" s="84" t="s">
        <v>428</v>
      </c>
      <c r="H33" s="83"/>
    </row>
    <row r="34" spans="1:8" s="80" customFormat="1" ht="40.5" customHeight="1">
      <c r="A34" s="117"/>
      <c r="B34" s="84" t="s">
        <v>427</v>
      </c>
      <c r="C34" s="84" t="s">
        <v>333</v>
      </c>
      <c r="D34" s="84" t="s">
        <v>426</v>
      </c>
      <c r="E34" s="84" t="s">
        <v>103</v>
      </c>
      <c r="F34" s="84" t="s">
        <v>425</v>
      </c>
      <c r="G34" s="84" t="s">
        <v>424</v>
      </c>
      <c r="H34" s="83"/>
    </row>
    <row r="35" spans="1:8" s="80" customFormat="1" ht="33" customHeight="1">
      <c r="A35" s="117"/>
      <c r="B35" s="84" t="s">
        <v>334</v>
      </c>
      <c r="C35" s="84" t="s">
        <v>333</v>
      </c>
      <c r="D35" s="84" t="s">
        <v>423</v>
      </c>
      <c r="E35" s="84" t="s">
        <v>161</v>
      </c>
      <c r="F35" s="84" t="s">
        <v>422</v>
      </c>
      <c r="G35" s="84" t="s">
        <v>421</v>
      </c>
      <c r="H35" s="83"/>
    </row>
    <row r="36" spans="1:8" s="80" customFormat="1" ht="33" customHeight="1">
      <c r="A36" s="117"/>
      <c r="B36" s="84" t="s">
        <v>334</v>
      </c>
      <c r="C36" s="84" t="s">
        <v>333</v>
      </c>
      <c r="D36" s="84" t="s">
        <v>420</v>
      </c>
      <c r="E36" s="84" t="s">
        <v>75</v>
      </c>
      <c r="F36" s="84" t="s">
        <v>415</v>
      </c>
      <c r="G36" s="84" t="s">
        <v>419</v>
      </c>
      <c r="H36" s="83"/>
    </row>
    <row r="37" spans="1:8" s="80" customFormat="1" ht="33" customHeight="1">
      <c r="A37" s="117"/>
      <c r="B37" s="84" t="s">
        <v>334</v>
      </c>
      <c r="C37" s="84" t="s">
        <v>333</v>
      </c>
      <c r="D37" s="84" t="s">
        <v>418</v>
      </c>
      <c r="E37" s="84" t="s">
        <v>75</v>
      </c>
      <c r="F37" s="84" t="s">
        <v>415</v>
      </c>
      <c r="G37" s="84" t="s">
        <v>417</v>
      </c>
      <c r="H37" s="83"/>
    </row>
    <row r="38" spans="1:8" s="80" customFormat="1" ht="33" customHeight="1">
      <c r="A38" s="117"/>
      <c r="B38" s="84" t="s">
        <v>334</v>
      </c>
      <c r="C38" s="84" t="s">
        <v>333</v>
      </c>
      <c r="D38" s="84" t="s">
        <v>416</v>
      </c>
      <c r="E38" s="84" t="s">
        <v>75</v>
      </c>
      <c r="F38" s="84" t="s">
        <v>415</v>
      </c>
      <c r="G38" s="84" t="s">
        <v>414</v>
      </c>
      <c r="H38" s="83"/>
    </row>
    <row r="39" spans="1:8" s="80" customFormat="1" ht="62.25" customHeight="1">
      <c r="A39" s="117"/>
      <c r="B39" s="84" t="s">
        <v>334</v>
      </c>
      <c r="C39" s="84" t="s">
        <v>333</v>
      </c>
      <c r="D39" s="84" t="s">
        <v>413</v>
      </c>
      <c r="E39" s="84" t="s">
        <v>75</v>
      </c>
      <c r="F39" s="84" t="s">
        <v>412</v>
      </c>
      <c r="G39" s="84" t="s">
        <v>411</v>
      </c>
      <c r="H39" s="83"/>
    </row>
    <row r="40" spans="1:8" s="80" customFormat="1" ht="33" customHeight="1">
      <c r="A40" s="117"/>
      <c r="B40" s="84" t="s">
        <v>334</v>
      </c>
      <c r="C40" s="84" t="s">
        <v>333</v>
      </c>
      <c r="D40" s="84" t="s">
        <v>410</v>
      </c>
      <c r="E40" s="84" t="s">
        <v>161</v>
      </c>
      <c r="F40" s="84" t="s">
        <v>409</v>
      </c>
      <c r="G40" s="84" t="s">
        <v>408</v>
      </c>
      <c r="H40" s="83"/>
    </row>
    <row r="41" spans="1:8" s="80" customFormat="1" ht="33" customHeight="1">
      <c r="A41" s="117"/>
      <c r="B41" s="84" t="s">
        <v>334</v>
      </c>
      <c r="C41" s="84" t="s">
        <v>333</v>
      </c>
      <c r="D41" s="84" t="s">
        <v>407</v>
      </c>
      <c r="E41" s="84" t="s">
        <v>406</v>
      </c>
      <c r="F41" s="84" t="s">
        <v>405</v>
      </c>
      <c r="G41" s="84" t="s">
        <v>404</v>
      </c>
      <c r="H41" s="83"/>
    </row>
    <row r="42" spans="1:8" s="80" customFormat="1" ht="33" customHeight="1">
      <c r="A42" s="117"/>
      <c r="B42" s="84" t="s">
        <v>334</v>
      </c>
      <c r="C42" s="84" t="s">
        <v>333</v>
      </c>
      <c r="D42" s="84" t="s">
        <v>403</v>
      </c>
      <c r="E42" s="84" t="s">
        <v>400</v>
      </c>
      <c r="F42" s="84" t="s">
        <v>399</v>
      </c>
      <c r="G42" s="84" t="s">
        <v>402</v>
      </c>
      <c r="H42" s="83"/>
    </row>
    <row r="43" spans="1:8" s="80" customFormat="1" ht="33" customHeight="1">
      <c r="A43" s="117"/>
      <c r="B43" s="84" t="s">
        <v>334</v>
      </c>
      <c r="C43" s="84" t="s">
        <v>333</v>
      </c>
      <c r="D43" s="84" t="s">
        <v>401</v>
      </c>
      <c r="E43" s="84" t="s">
        <v>400</v>
      </c>
      <c r="F43" s="84" t="s">
        <v>399</v>
      </c>
      <c r="G43" s="84" t="s">
        <v>398</v>
      </c>
      <c r="H43" s="83"/>
    </row>
    <row r="44" spans="1:8" s="80" customFormat="1" ht="33" customHeight="1">
      <c r="A44" s="117"/>
      <c r="B44" s="84" t="s">
        <v>334</v>
      </c>
      <c r="C44" s="84" t="s">
        <v>333</v>
      </c>
      <c r="D44" s="84" t="s">
        <v>397</v>
      </c>
      <c r="E44" s="84" t="s">
        <v>339</v>
      </c>
      <c r="F44" s="84" t="s">
        <v>396</v>
      </c>
      <c r="G44" s="84" t="s">
        <v>395</v>
      </c>
      <c r="H44" s="83"/>
    </row>
    <row r="45" spans="1:8" s="80" customFormat="1" ht="33" customHeight="1">
      <c r="A45" s="117"/>
      <c r="B45" s="84" t="s">
        <v>334</v>
      </c>
      <c r="C45" s="84" t="s">
        <v>333</v>
      </c>
      <c r="D45" s="84" t="s">
        <v>394</v>
      </c>
      <c r="E45" s="84" t="s">
        <v>339</v>
      </c>
      <c r="F45" s="84" t="s">
        <v>231</v>
      </c>
      <c r="G45" s="84" t="s">
        <v>393</v>
      </c>
      <c r="H45" s="83"/>
    </row>
    <row r="46" spans="1:8" s="80" customFormat="1" ht="33" customHeight="1">
      <c r="A46" s="117"/>
      <c r="B46" s="84" t="s">
        <v>334</v>
      </c>
      <c r="C46" s="84" t="s">
        <v>333</v>
      </c>
      <c r="D46" s="84" t="s">
        <v>392</v>
      </c>
      <c r="E46" s="84" t="s">
        <v>391</v>
      </c>
      <c r="F46" s="84" t="s">
        <v>390</v>
      </c>
      <c r="G46" s="84" t="s">
        <v>389</v>
      </c>
      <c r="H46" s="83"/>
    </row>
    <row r="47" spans="1:8" s="80" customFormat="1" ht="33" customHeight="1">
      <c r="A47" s="117"/>
      <c r="B47" s="84" t="s">
        <v>334</v>
      </c>
      <c r="C47" s="84" t="s">
        <v>333</v>
      </c>
      <c r="D47" s="84" t="s">
        <v>388</v>
      </c>
      <c r="E47" s="84" t="s">
        <v>387</v>
      </c>
      <c r="F47" s="84" t="s">
        <v>386</v>
      </c>
      <c r="G47" s="84" t="s">
        <v>385</v>
      </c>
      <c r="H47" s="83"/>
    </row>
    <row r="48" spans="1:8" s="80" customFormat="1" ht="33" customHeight="1">
      <c r="A48" s="117"/>
      <c r="B48" s="84" t="s">
        <v>334</v>
      </c>
      <c r="C48" s="84" t="s">
        <v>333</v>
      </c>
      <c r="D48" s="84" t="s">
        <v>384</v>
      </c>
      <c r="E48" s="84" t="s">
        <v>383</v>
      </c>
      <c r="F48" s="84" t="s">
        <v>382</v>
      </c>
      <c r="G48" s="84" t="s">
        <v>381</v>
      </c>
      <c r="H48" s="83"/>
    </row>
    <row r="49" spans="1:9" s="80" customFormat="1" ht="33" customHeight="1">
      <c r="A49" s="117"/>
      <c r="B49" s="84" t="s">
        <v>334</v>
      </c>
      <c r="C49" s="84" t="s">
        <v>333</v>
      </c>
      <c r="D49" s="84" t="s">
        <v>380</v>
      </c>
      <c r="E49" s="84" t="s">
        <v>75</v>
      </c>
      <c r="F49" s="84" t="s">
        <v>370</v>
      </c>
      <c r="G49" s="84" t="s">
        <v>379</v>
      </c>
      <c r="H49" s="83"/>
    </row>
    <row r="50" spans="1:9" s="80" customFormat="1" ht="33" customHeight="1">
      <c r="A50" s="117"/>
      <c r="B50" s="84" t="s">
        <v>334</v>
      </c>
      <c r="C50" s="84" t="s">
        <v>333</v>
      </c>
      <c r="D50" s="84" t="s">
        <v>378</v>
      </c>
      <c r="E50" s="84" t="s">
        <v>377</v>
      </c>
      <c r="F50" s="84" t="s">
        <v>370</v>
      </c>
      <c r="G50" s="84" t="s">
        <v>376</v>
      </c>
      <c r="H50" s="83"/>
    </row>
    <row r="51" spans="1:9" s="80" customFormat="1" ht="33" customHeight="1">
      <c r="A51" s="117"/>
      <c r="B51" s="84" t="s">
        <v>334</v>
      </c>
      <c r="C51" s="84" t="s">
        <v>333</v>
      </c>
      <c r="D51" s="84" t="s">
        <v>375</v>
      </c>
      <c r="E51" s="84" t="s">
        <v>374</v>
      </c>
      <c r="F51" s="84" t="s">
        <v>370</v>
      </c>
      <c r="G51" s="84" t="s">
        <v>373</v>
      </c>
      <c r="H51" s="83"/>
      <c r="I51" s="88"/>
    </row>
    <row r="52" spans="1:9" s="80" customFormat="1" ht="33" customHeight="1">
      <c r="A52" s="117"/>
      <c r="B52" s="84" t="s">
        <v>334</v>
      </c>
      <c r="C52" s="84" t="s">
        <v>333</v>
      </c>
      <c r="D52" s="84" t="s">
        <v>372</v>
      </c>
      <c r="E52" s="84" t="s">
        <v>371</v>
      </c>
      <c r="F52" s="84" t="s">
        <v>370</v>
      </c>
      <c r="G52" s="84" t="s">
        <v>369</v>
      </c>
      <c r="H52" s="83"/>
      <c r="I52" s="88"/>
    </row>
    <row r="53" spans="1:9" s="80" customFormat="1" ht="33" customHeight="1">
      <c r="A53" s="117"/>
      <c r="B53" s="84" t="s">
        <v>334</v>
      </c>
      <c r="C53" s="84" t="s">
        <v>333</v>
      </c>
      <c r="D53" s="84" t="s">
        <v>368</v>
      </c>
      <c r="E53" s="84" t="s">
        <v>225</v>
      </c>
      <c r="F53" s="84" t="s">
        <v>367</v>
      </c>
      <c r="G53" s="84" t="s">
        <v>366</v>
      </c>
      <c r="H53" s="83"/>
      <c r="I53" s="88"/>
    </row>
    <row r="54" spans="1:9" s="80" customFormat="1" ht="33" customHeight="1">
      <c r="A54" s="117"/>
      <c r="B54" s="84" t="s">
        <v>334</v>
      </c>
      <c r="C54" s="84" t="s">
        <v>333</v>
      </c>
      <c r="D54" s="84" t="s">
        <v>365</v>
      </c>
      <c r="E54" s="84" t="s">
        <v>225</v>
      </c>
      <c r="F54" s="84" t="s">
        <v>364</v>
      </c>
      <c r="G54" s="84" t="s">
        <v>363</v>
      </c>
      <c r="H54" s="83"/>
      <c r="I54" s="88"/>
    </row>
    <row r="55" spans="1:9" s="80" customFormat="1" ht="33" customHeight="1">
      <c r="A55" s="117"/>
      <c r="B55" s="84" t="s">
        <v>334</v>
      </c>
      <c r="C55" s="84" t="s">
        <v>333</v>
      </c>
      <c r="D55" s="84" t="s">
        <v>362</v>
      </c>
      <c r="E55" s="84" t="s">
        <v>355</v>
      </c>
      <c r="F55" s="84" t="s">
        <v>339</v>
      </c>
      <c r="G55" s="84" t="s">
        <v>361</v>
      </c>
      <c r="H55" s="83"/>
      <c r="I55" s="88"/>
    </row>
    <row r="56" spans="1:9" s="80" customFormat="1" ht="33" customHeight="1">
      <c r="A56" s="117"/>
      <c r="B56" s="84" t="s">
        <v>334</v>
      </c>
      <c r="C56" s="84" t="s">
        <v>333</v>
      </c>
      <c r="D56" s="84" t="s">
        <v>360</v>
      </c>
      <c r="E56" s="84" t="s">
        <v>355</v>
      </c>
      <c r="F56" s="84" t="s">
        <v>85</v>
      </c>
      <c r="G56" s="84" t="s">
        <v>359</v>
      </c>
      <c r="H56" s="83"/>
      <c r="I56" s="88"/>
    </row>
    <row r="57" spans="1:9" s="80" customFormat="1" ht="33" customHeight="1">
      <c r="A57" s="117"/>
      <c r="B57" s="84" t="s">
        <v>334</v>
      </c>
      <c r="C57" s="84" t="s">
        <v>333</v>
      </c>
      <c r="D57" s="84" t="s">
        <v>358</v>
      </c>
      <c r="E57" s="84" t="s">
        <v>355</v>
      </c>
      <c r="F57" s="84" t="s">
        <v>339</v>
      </c>
      <c r="G57" s="84" t="s">
        <v>357</v>
      </c>
      <c r="H57" s="83"/>
      <c r="I57" s="88"/>
    </row>
    <row r="58" spans="1:9" s="80" customFormat="1" ht="33" customHeight="1">
      <c r="A58" s="117"/>
      <c r="B58" s="84" t="s">
        <v>334</v>
      </c>
      <c r="C58" s="84" t="s">
        <v>333</v>
      </c>
      <c r="D58" s="84" t="s">
        <v>356</v>
      </c>
      <c r="E58" s="84" t="s">
        <v>355</v>
      </c>
      <c r="F58" s="84" t="s">
        <v>339</v>
      </c>
      <c r="G58" s="84" t="s">
        <v>354</v>
      </c>
      <c r="H58" s="83"/>
      <c r="I58" s="88"/>
    </row>
    <row r="59" spans="1:9" s="80" customFormat="1" ht="33" customHeight="1">
      <c r="A59" s="117"/>
      <c r="B59" s="84" t="s">
        <v>334</v>
      </c>
      <c r="C59" s="84" t="s">
        <v>333</v>
      </c>
      <c r="D59" s="84" t="s">
        <v>352</v>
      </c>
      <c r="E59" s="84" t="s">
        <v>343</v>
      </c>
      <c r="F59" s="84" t="s">
        <v>161</v>
      </c>
      <c r="G59" s="84" t="s">
        <v>353</v>
      </c>
      <c r="H59" s="83"/>
      <c r="I59" s="88"/>
    </row>
    <row r="60" spans="1:9" s="80" customFormat="1" ht="33" customHeight="1">
      <c r="A60" s="117"/>
      <c r="B60" s="84" t="s">
        <v>334</v>
      </c>
      <c r="C60" s="84" t="s">
        <v>333</v>
      </c>
      <c r="D60" s="84" t="s">
        <v>352</v>
      </c>
      <c r="E60" s="84" t="s">
        <v>343</v>
      </c>
      <c r="F60" s="84" t="s">
        <v>339</v>
      </c>
      <c r="G60" s="84" t="s">
        <v>351</v>
      </c>
      <c r="H60" s="83"/>
    </row>
    <row r="61" spans="1:9" s="80" customFormat="1" ht="33" customHeight="1">
      <c r="A61" s="117"/>
      <c r="B61" s="84" t="s">
        <v>334</v>
      </c>
      <c r="C61" s="84" t="s">
        <v>350</v>
      </c>
      <c r="D61" s="84" t="s">
        <v>347</v>
      </c>
      <c r="E61" s="84" t="s">
        <v>343</v>
      </c>
      <c r="F61" s="84" t="s">
        <v>161</v>
      </c>
      <c r="G61" s="84" t="s">
        <v>349</v>
      </c>
      <c r="H61" s="83"/>
    </row>
    <row r="62" spans="1:9" s="80" customFormat="1" ht="33" customHeight="1">
      <c r="A62" s="117"/>
      <c r="B62" s="84" t="s">
        <v>334</v>
      </c>
      <c r="C62" s="84" t="s">
        <v>348</v>
      </c>
      <c r="D62" s="84" t="s">
        <v>347</v>
      </c>
      <c r="E62" s="84" t="s">
        <v>343</v>
      </c>
      <c r="F62" s="84" t="s">
        <v>339</v>
      </c>
      <c r="G62" s="84" t="s">
        <v>346</v>
      </c>
      <c r="H62" s="83"/>
    </row>
    <row r="63" spans="1:9" s="80" customFormat="1" ht="33" customHeight="1">
      <c r="A63" s="117"/>
      <c r="B63" s="84" t="s">
        <v>334</v>
      </c>
      <c r="C63" s="84" t="s">
        <v>333</v>
      </c>
      <c r="D63" s="84" t="s">
        <v>344</v>
      </c>
      <c r="E63" s="84" t="s">
        <v>343</v>
      </c>
      <c r="F63" s="84" t="s">
        <v>161</v>
      </c>
      <c r="G63" s="84" t="s">
        <v>345</v>
      </c>
      <c r="H63" s="83"/>
    </row>
    <row r="64" spans="1:9" s="80" customFormat="1" ht="33" customHeight="1">
      <c r="A64" s="117"/>
      <c r="B64" s="84" t="s">
        <v>334</v>
      </c>
      <c r="C64" s="84" t="s">
        <v>333</v>
      </c>
      <c r="D64" s="84" t="s">
        <v>344</v>
      </c>
      <c r="E64" s="84" t="s">
        <v>343</v>
      </c>
      <c r="F64" s="84" t="s">
        <v>225</v>
      </c>
      <c r="G64" s="84" t="s">
        <v>342</v>
      </c>
      <c r="H64" s="83"/>
    </row>
    <row r="65" spans="1:8" s="80" customFormat="1" ht="33" customHeight="1">
      <c r="A65" s="117"/>
      <c r="B65" s="84" t="s">
        <v>334</v>
      </c>
      <c r="C65" s="84" t="s">
        <v>333</v>
      </c>
      <c r="D65" s="84" t="s">
        <v>341</v>
      </c>
      <c r="E65" s="84" t="s">
        <v>340</v>
      </c>
      <c r="F65" s="84" t="s">
        <v>339</v>
      </c>
      <c r="G65" s="84" t="s">
        <v>338</v>
      </c>
      <c r="H65" s="83"/>
    </row>
    <row r="66" spans="1:8" s="80" customFormat="1" ht="33" customHeight="1">
      <c r="A66" s="117"/>
      <c r="B66" s="84" t="s">
        <v>334</v>
      </c>
      <c r="C66" s="84" t="s">
        <v>333</v>
      </c>
      <c r="D66" s="84" t="s">
        <v>337</v>
      </c>
      <c r="E66" s="84" t="s">
        <v>331</v>
      </c>
      <c r="F66" s="84" t="s">
        <v>336</v>
      </c>
      <c r="G66" s="84" t="s">
        <v>335</v>
      </c>
      <c r="H66" s="83"/>
    </row>
    <row r="67" spans="1:8" s="80" customFormat="1" ht="33" customHeight="1">
      <c r="A67" s="117"/>
      <c r="B67" s="84" t="s">
        <v>334</v>
      </c>
      <c r="C67" s="84" t="s">
        <v>333</v>
      </c>
      <c r="D67" s="84" t="s">
        <v>332</v>
      </c>
      <c r="E67" s="84" t="s">
        <v>331</v>
      </c>
      <c r="F67" s="84" t="s">
        <v>330</v>
      </c>
      <c r="G67" s="84" t="s">
        <v>329</v>
      </c>
      <c r="H67" s="83"/>
    </row>
    <row r="68" spans="1:8" s="80" customFormat="1" ht="33" customHeight="1">
      <c r="A68" s="117"/>
      <c r="B68" s="84" t="s">
        <v>328</v>
      </c>
      <c r="C68" s="84" t="s">
        <v>327</v>
      </c>
      <c r="D68" s="84" t="s">
        <v>326</v>
      </c>
      <c r="E68" s="84" t="s">
        <v>85</v>
      </c>
      <c r="F68" s="84" t="s">
        <v>225</v>
      </c>
      <c r="G68" s="84" t="s">
        <v>325</v>
      </c>
      <c r="H68" s="83"/>
    </row>
    <row r="69" spans="1:8" s="80" customFormat="1" ht="33" customHeight="1">
      <c r="A69" s="117"/>
      <c r="B69" s="84" t="s">
        <v>324</v>
      </c>
      <c r="C69" s="84" t="s">
        <v>323</v>
      </c>
      <c r="D69" s="84" t="s">
        <v>322</v>
      </c>
      <c r="E69" s="84"/>
      <c r="F69" s="84"/>
      <c r="G69" s="84" t="s">
        <v>321</v>
      </c>
      <c r="H69" s="83"/>
    </row>
    <row r="70" spans="1:8" s="80" customFormat="1" ht="33" customHeight="1">
      <c r="A70" s="117"/>
      <c r="B70" s="84" t="s">
        <v>317</v>
      </c>
      <c r="C70" s="84" t="s">
        <v>320</v>
      </c>
      <c r="D70" s="84" t="s">
        <v>319</v>
      </c>
      <c r="E70" s="84" t="s">
        <v>314</v>
      </c>
      <c r="F70" s="84" t="s">
        <v>225</v>
      </c>
      <c r="G70" s="84" t="s">
        <v>318</v>
      </c>
      <c r="H70" s="83"/>
    </row>
    <row r="71" spans="1:8" s="80" customFormat="1" ht="33" customHeight="1">
      <c r="A71" s="117"/>
      <c r="B71" s="84" t="s">
        <v>317</v>
      </c>
      <c r="C71" s="84" t="s">
        <v>316</v>
      </c>
      <c r="D71" s="84" t="s">
        <v>315</v>
      </c>
      <c r="E71" s="84" t="s">
        <v>314</v>
      </c>
      <c r="F71" s="84" t="s">
        <v>313</v>
      </c>
      <c r="G71" s="84" t="s">
        <v>312</v>
      </c>
      <c r="H71" s="83"/>
    </row>
    <row r="72" spans="1:8" s="80" customFormat="1" ht="126.75" customHeight="1">
      <c r="A72" s="117"/>
      <c r="B72" s="84" t="s">
        <v>311</v>
      </c>
      <c r="C72" s="84" t="s">
        <v>310</v>
      </c>
      <c r="D72" s="84" t="s">
        <v>309</v>
      </c>
      <c r="E72" s="84" t="s">
        <v>308</v>
      </c>
      <c r="F72" s="84" t="s">
        <v>307</v>
      </c>
      <c r="G72" s="84" t="s">
        <v>306</v>
      </c>
      <c r="H72" s="83"/>
    </row>
    <row r="73" spans="1:8" s="80" customFormat="1" ht="78.75" customHeight="1">
      <c r="A73" s="117"/>
      <c r="B73" s="84" t="s">
        <v>262</v>
      </c>
      <c r="C73" s="84" t="s">
        <v>249</v>
      </c>
      <c r="D73" s="84" t="s">
        <v>305</v>
      </c>
      <c r="E73" s="84" t="s">
        <v>304</v>
      </c>
      <c r="F73" s="84" t="s">
        <v>303</v>
      </c>
      <c r="G73" s="84" t="s">
        <v>302</v>
      </c>
      <c r="H73" s="83"/>
    </row>
    <row r="74" spans="1:8" s="80" customFormat="1" ht="100.5" customHeight="1">
      <c r="A74" s="117"/>
      <c r="B74" s="84" t="s">
        <v>276</v>
      </c>
      <c r="C74" s="84" t="s">
        <v>249</v>
      </c>
      <c r="D74" s="84" t="s">
        <v>301</v>
      </c>
      <c r="E74" s="84" t="s">
        <v>300</v>
      </c>
      <c r="F74" s="84" t="s">
        <v>299</v>
      </c>
      <c r="G74" s="84" t="s">
        <v>298</v>
      </c>
      <c r="H74" s="83"/>
    </row>
    <row r="75" spans="1:8" s="80" customFormat="1" ht="130.5" customHeight="1">
      <c r="A75" s="117"/>
      <c r="B75" s="84" t="s">
        <v>276</v>
      </c>
      <c r="C75" s="84" t="s">
        <v>249</v>
      </c>
      <c r="D75" s="84" t="s">
        <v>296</v>
      </c>
      <c r="E75" s="84" t="s">
        <v>297</v>
      </c>
      <c r="F75" s="84" t="s">
        <v>294</v>
      </c>
      <c r="G75" s="84" t="s">
        <v>293</v>
      </c>
      <c r="H75" s="83"/>
    </row>
    <row r="76" spans="1:8" s="80" customFormat="1" ht="138.75" customHeight="1">
      <c r="A76" s="117"/>
      <c r="B76" s="84" t="s">
        <v>254</v>
      </c>
      <c r="C76" s="84" t="s">
        <v>249</v>
      </c>
      <c r="D76" s="84" t="s">
        <v>296</v>
      </c>
      <c r="E76" s="84" t="s">
        <v>295</v>
      </c>
      <c r="F76" s="84" t="s">
        <v>294</v>
      </c>
      <c r="G76" s="84" t="s">
        <v>293</v>
      </c>
      <c r="H76" s="83"/>
    </row>
    <row r="77" spans="1:8" s="80" customFormat="1" ht="33.75" customHeight="1">
      <c r="A77" s="117"/>
      <c r="B77" s="84" t="s">
        <v>254</v>
      </c>
      <c r="C77" s="84" t="s">
        <v>249</v>
      </c>
      <c r="D77" s="84" t="s">
        <v>292</v>
      </c>
      <c r="E77" s="84" t="s">
        <v>241</v>
      </c>
      <c r="F77" s="84" t="s">
        <v>231</v>
      </c>
      <c r="G77" s="84" t="s">
        <v>289</v>
      </c>
      <c r="H77" s="83"/>
    </row>
    <row r="78" spans="1:8" s="80" customFormat="1" ht="33.75" customHeight="1">
      <c r="A78" s="117"/>
      <c r="B78" s="84" t="s">
        <v>291</v>
      </c>
      <c r="C78" s="84" t="s">
        <v>249</v>
      </c>
      <c r="D78" s="84" t="s">
        <v>290</v>
      </c>
      <c r="E78" s="84" t="s">
        <v>241</v>
      </c>
      <c r="F78" s="84" t="s">
        <v>231</v>
      </c>
      <c r="G78" s="84" t="s">
        <v>289</v>
      </c>
      <c r="H78" s="83"/>
    </row>
    <row r="79" spans="1:8" s="80" customFormat="1" ht="96" customHeight="1">
      <c r="A79" s="117"/>
      <c r="B79" s="84" t="s">
        <v>267</v>
      </c>
      <c r="C79" s="84" t="s">
        <v>249</v>
      </c>
      <c r="D79" s="84" t="s">
        <v>288</v>
      </c>
      <c r="E79" s="84" t="s">
        <v>285</v>
      </c>
      <c r="F79" s="84" t="s">
        <v>284</v>
      </c>
      <c r="G79" s="84" t="s">
        <v>287</v>
      </c>
      <c r="H79" s="83"/>
    </row>
    <row r="80" spans="1:8" s="80" customFormat="1" ht="96" customHeight="1">
      <c r="A80" s="117"/>
      <c r="B80" s="84" t="s">
        <v>267</v>
      </c>
      <c r="C80" s="84" t="s">
        <v>249</v>
      </c>
      <c r="D80" s="84" t="s">
        <v>286</v>
      </c>
      <c r="E80" s="84" t="s">
        <v>285</v>
      </c>
      <c r="F80" s="84" t="s">
        <v>284</v>
      </c>
      <c r="G80" s="84" t="s">
        <v>283</v>
      </c>
      <c r="H80" s="83"/>
    </row>
    <row r="81" spans="1:8" s="80" customFormat="1" ht="79.5" customHeight="1">
      <c r="A81" s="117"/>
      <c r="B81" s="84" t="s">
        <v>262</v>
      </c>
      <c r="C81" s="84" t="s">
        <v>249</v>
      </c>
      <c r="D81" s="84" t="s">
        <v>282</v>
      </c>
      <c r="E81" s="84" t="s">
        <v>281</v>
      </c>
      <c r="F81" s="84" t="s">
        <v>264</v>
      </c>
      <c r="G81" s="84" t="s">
        <v>280</v>
      </c>
      <c r="H81" s="83"/>
    </row>
    <row r="82" spans="1:8" s="80" customFormat="1" ht="79.5" customHeight="1">
      <c r="A82" s="117"/>
      <c r="B82" s="84" t="s">
        <v>262</v>
      </c>
      <c r="C82" s="84" t="s">
        <v>249</v>
      </c>
      <c r="D82" s="84" t="s">
        <v>279</v>
      </c>
      <c r="E82" s="84" t="s">
        <v>278</v>
      </c>
      <c r="F82" s="84" t="s">
        <v>264</v>
      </c>
      <c r="G82" s="84" t="s">
        <v>277</v>
      </c>
      <c r="H82" s="83"/>
    </row>
    <row r="83" spans="1:8" s="80" customFormat="1" ht="79.5" customHeight="1">
      <c r="A83" s="117"/>
      <c r="B83" s="84" t="s">
        <v>276</v>
      </c>
      <c r="C83" s="84" t="s">
        <v>249</v>
      </c>
      <c r="D83" s="84" t="s">
        <v>270</v>
      </c>
      <c r="E83" s="84" t="s">
        <v>275</v>
      </c>
      <c r="F83" s="84" t="s">
        <v>264</v>
      </c>
      <c r="G83" s="84" t="s">
        <v>274</v>
      </c>
      <c r="H83" s="83"/>
    </row>
    <row r="84" spans="1:8" s="80" customFormat="1" ht="94.5" customHeight="1">
      <c r="A84" s="117"/>
      <c r="B84" s="84" t="s">
        <v>267</v>
      </c>
      <c r="C84" s="84"/>
      <c r="D84" s="84" t="s">
        <v>266</v>
      </c>
      <c r="E84" s="84" t="s">
        <v>273</v>
      </c>
      <c r="F84" s="84" t="s">
        <v>272</v>
      </c>
      <c r="G84" s="84" t="s">
        <v>271</v>
      </c>
      <c r="H84" s="83"/>
    </row>
    <row r="85" spans="1:8" s="80" customFormat="1" ht="98.25" customHeight="1">
      <c r="A85" s="117"/>
      <c r="B85" s="84" t="s">
        <v>250</v>
      </c>
      <c r="C85" s="84" t="s">
        <v>249</v>
      </c>
      <c r="D85" s="84" t="s">
        <v>270</v>
      </c>
      <c r="E85" s="84" t="s">
        <v>269</v>
      </c>
      <c r="F85" s="84" t="s">
        <v>264</v>
      </c>
      <c r="G85" s="84" t="s">
        <v>268</v>
      </c>
      <c r="H85" s="83"/>
    </row>
    <row r="86" spans="1:8" s="80" customFormat="1" ht="98.25" customHeight="1">
      <c r="A86" s="117"/>
      <c r="B86" s="84" t="s">
        <v>267</v>
      </c>
      <c r="C86" s="84"/>
      <c r="D86" s="84" t="s">
        <v>266</v>
      </c>
      <c r="E86" s="84" t="s">
        <v>265</v>
      </c>
      <c r="F86" s="84" t="s">
        <v>264</v>
      </c>
      <c r="G86" s="84" t="s">
        <v>263</v>
      </c>
      <c r="H86" s="83"/>
    </row>
    <row r="87" spans="1:8" s="80" customFormat="1" ht="77.25" customHeight="1">
      <c r="A87" s="117"/>
      <c r="B87" s="84" t="s">
        <v>262</v>
      </c>
      <c r="C87" s="84" t="s">
        <v>249</v>
      </c>
      <c r="D87" s="84" t="s">
        <v>261</v>
      </c>
      <c r="E87" s="87" t="s">
        <v>260</v>
      </c>
      <c r="F87" s="84" t="s">
        <v>256</v>
      </c>
      <c r="G87" s="84" t="s">
        <v>259</v>
      </c>
      <c r="H87" s="83"/>
    </row>
    <row r="88" spans="1:8" s="80" customFormat="1" ht="93.75" customHeight="1">
      <c r="A88" s="117"/>
      <c r="B88" s="84" t="s">
        <v>250</v>
      </c>
      <c r="C88" s="84" t="s">
        <v>249</v>
      </c>
      <c r="D88" s="84" t="s">
        <v>258</v>
      </c>
      <c r="E88" s="84" t="s">
        <v>257</v>
      </c>
      <c r="F88" s="84" t="s">
        <v>256</v>
      </c>
      <c r="G88" s="84" t="s">
        <v>255</v>
      </c>
      <c r="H88" s="83"/>
    </row>
    <row r="89" spans="1:8" s="80" customFormat="1" ht="41.25" customHeight="1">
      <c r="A89" s="117"/>
      <c r="B89" s="84" t="s">
        <v>254</v>
      </c>
      <c r="C89" s="84" t="s">
        <v>249</v>
      </c>
      <c r="D89" s="84" t="s">
        <v>253</v>
      </c>
      <c r="E89" s="84" t="s">
        <v>238</v>
      </c>
      <c r="F89" s="84" t="s">
        <v>237</v>
      </c>
      <c r="G89" s="84" t="s">
        <v>236</v>
      </c>
      <c r="H89" s="85"/>
    </row>
    <row r="90" spans="1:8" s="80" customFormat="1" ht="41.25" customHeight="1">
      <c r="A90" s="117"/>
      <c r="B90" s="84" t="s">
        <v>250</v>
      </c>
      <c r="C90" s="84" t="s">
        <v>249</v>
      </c>
      <c r="D90" s="84" t="s">
        <v>252</v>
      </c>
      <c r="E90" s="84" t="s">
        <v>247</v>
      </c>
      <c r="F90" s="84" t="s">
        <v>231</v>
      </c>
      <c r="G90" s="84" t="s">
        <v>251</v>
      </c>
      <c r="H90" s="83"/>
    </row>
    <row r="91" spans="1:8" s="80" customFormat="1" ht="41.25" customHeight="1">
      <c r="A91" s="117"/>
      <c r="B91" s="84" t="s">
        <v>250</v>
      </c>
      <c r="C91" s="84" t="s">
        <v>249</v>
      </c>
      <c r="D91" s="84" t="s">
        <v>248</v>
      </c>
      <c r="E91" s="84" t="s">
        <v>247</v>
      </c>
      <c r="F91" s="84" t="s">
        <v>231</v>
      </c>
      <c r="G91" s="84" t="s">
        <v>246</v>
      </c>
      <c r="H91" s="83"/>
    </row>
    <row r="92" spans="1:8" s="80" customFormat="1" ht="41.25" customHeight="1">
      <c r="A92" s="117"/>
      <c r="B92" s="84" t="s">
        <v>245</v>
      </c>
      <c r="C92" s="84" t="s">
        <v>234</v>
      </c>
      <c r="D92" s="84" t="s">
        <v>244</v>
      </c>
      <c r="E92" s="84" t="s">
        <v>241</v>
      </c>
      <c r="F92" s="84" t="s">
        <v>231</v>
      </c>
      <c r="G92" s="84" t="s">
        <v>240</v>
      </c>
      <c r="H92" s="83"/>
    </row>
    <row r="93" spans="1:8" s="80" customFormat="1" ht="41.25" customHeight="1">
      <c r="A93" s="117"/>
      <c r="B93" s="84" t="s">
        <v>243</v>
      </c>
      <c r="C93" s="84" t="s">
        <v>234</v>
      </c>
      <c r="D93" s="84" t="s">
        <v>242</v>
      </c>
      <c r="E93" s="84" t="s">
        <v>241</v>
      </c>
      <c r="F93" s="84" t="s">
        <v>231</v>
      </c>
      <c r="G93" s="84" t="s">
        <v>240</v>
      </c>
      <c r="H93" s="83"/>
    </row>
    <row r="94" spans="1:8" s="80" customFormat="1" ht="41.25" customHeight="1">
      <c r="A94" s="117"/>
      <c r="B94" s="84" t="s">
        <v>235</v>
      </c>
      <c r="C94" s="84" t="s">
        <v>234</v>
      </c>
      <c r="D94" s="84" t="s">
        <v>239</v>
      </c>
      <c r="E94" s="84" t="s">
        <v>238</v>
      </c>
      <c r="F94" s="84" t="s">
        <v>237</v>
      </c>
      <c r="G94" s="84" t="s">
        <v>236</v>
      </c>
      <c r="H94" s="85"/>
    </row>
    <row r="95" spans="1:8" s="80" customFormat="1" ht="41.25" customHeight="1">
      <c r="A95" s="117"/>
      <c r="B95" s="84" t="s">
        <v>235</v>
      </c>
      <c r="C95" s="84" t="s">
        <v>234</v>
      </c>
      <c r="D95" s="84" t="s">
        <v>233</v>
      </c>
      <c r="E95" s="84" t="s">
        <v>232</v>
      </c>
      <c r="F95" s="84" t="s">
        <v>231</v>
      </c>
      <c r="G95" s="84" t="s">
        <v>230</v>
      </c>
      <c r="H95" s="83"/>
    </row>
    <row r="96" spans="1:8" s="80" customFormat="1" ht="69" customHeight="1">
      <c r="A96" s="117"/>
      <c r="B96" s="84" t="s">
        <v>221</v>
      </c>
      <c r="C96" s="84" t="s">
        <v>220</v>
      </c>
      <c r="D96" s="84" t="s">
        <v>229</v>
      </c>
      <c r="E96" s="84" t="s">
        <v>162</v>
      </c>
      <c r="F96" s="84" t="s">
        <v>225</v>
      </c>
      <c r="G96" s="84" t="s">
        <v>228</v>
      </c>
      <c r="H96" s="83"/>
    </row>
    <row r="97" spans="1:8" s="80" customFormat="1" ht="69" customHeight="1">
      <c r="A97" s="117"/>
      <c r="B97" s="84" t="s">
        <v>227</v>
      </c>
      <c r="C97" s="84" t="s">
        <v>220</v>
      </c>
      <c r="D97" s="84" t="s">
        <v>226</v>
      </c>
      <c r="E97" s="84" t="s">
        <v>162</v>
      </c>
      <c r="F97" s="84" t="s">
        <v>225</v>
      </c>
      <c r="G97" s="84" t="s">
        <v>224</v>
      </c>
      <c r="H97" s="83"/>
    </row>
    <row r="98" spans="1:8" s="80" customFormat="1" ht="42.75" customHeight="1">
      <c r="A98" s="117"/>
      <c r="B98" s="84" t="s">
        <v>221</v>
      </c>
      <c r="C98" s="84" t="s">
        <v>220</v>
      </c>
      <c r="D98" s="84" t="s">
        <v>223</v>
      </c>
      <c r="E98" s="84" t="s">
        <v>75</v>
      </c>
      <c r="F98" s="84" t="s">
        <v>157</v>
      </c>
      <c r="G98" s="84" t="s">
        <v>222</v>
      </c>
      <c r="H98" s="85"/>
    </row>
    <row r="99" spans="1:8" s="80" customFormat="1" ht="33" customHeight="1">
      <c r="A99" s="117"/>
      <c r="B99" s="84" t="s">
        <v>221</v>
      </c>
      <c r="C99" s="84" t="s">
        <v>220</v>
      </c>
      <c r="D99" s="84" t="s">
        <v>219</v>
      </c>
      <c r="E99" s="84" t="s">
        <v>75</v>
      </c>
      <c r="F99" s="84" t="s">
        <v>218</v>
      </c>
      <c r="G99" s="84" t="s">
        <v>217</v>
      </c>
      <c r="H99" s="85"/>
    </row>
    <row r="100" spans="1:8" s="80" customFormat="1" ht="69" customHeight="1">
      <c r="A100" s="117"/>
      <c r="B100" s="84" t="s">
        <v>191</v>
      </c>
      <c r="C100" s="84" t="s">
        <v>190</v>
      </c>
      <c r="D100" s="84" t="s">
        <v>216</v>
      </c>
      <c r="E100" s="84" t="s">
        <v>215</v>
      </c>
      <c r="F100" s="84" t="s">
        <v>196</v>
      </c>
      <c r="G100" s="84" t="s">
        <v>214</v>
      </c>
      <c r="H100" s="83"/>
    </row>
    <row r="101" spans="1:8" s="80" customFormat="1" ht="39" customHeight="1">
      <c r="A101" s="117"/>
      <c r="B101" s="84" t="s">
        <v>194</v>
      </c>
      <c r="C101" s="84" t="s">
        <v>190</v>
      </c>
      <c r="D101" s="84" t="s">
        <v>213</v>
      </c>
      <c r="E101" s="84" t="s">
        <v>212</v>
      </c>
      <c r="F101" s="84" t="s">
        <v>211</v>
      </c>
      <c r="G101" s="84" t="s">
        <v>210</v>
      </c>
      <c r="H101" s="83"/>
    </row>
    <row r="102" spans="1:8" s="80" customFormat="1" ht="60.75" customHeight="1">
      <c r="A102" s="117"/>
      <c r="B102" s="84" t="s">
        <v>203</v>
      </c>
      <c r="C102" s="84" t="s">
        <v>190</v>
      </c>
      <c r="D102" s="84" t="s">
        <v>209</v>
      </c>
      <c r="E102" s="84" t="s">
        <v>206</v>
      </c>
      <c r="F102" s="84" t="s">
        <v>205</v>
      </c>
      <c r="G102" s="84" t="s">
        <v>208</v>
      </c>
      <c r="H102" s="83"/>
    </row>
    <row r="103" spans="1:8" s="80" customFormat="1" ht="60.75" customHeight="1">
      <c r="A103" s="117"/>
      <c r="B103" s="84" t="s">
        <v>199</v>
      </c>
      <c r="C103" s="84" t="s">
        <v>190</v>
      </c>
      <c r="D103" s="84" t="s">
        <v>207</v>
      </c>
      <c r="E103" s="84" t="s">
        <v>206</v>
      </c>
      <c r="F103" s="84" t="s">
        <v>205</v>
      </c>
      <c r="G103" s="84" t="s">
        <v>204</v>
      </c>
      <c r="H103" s="83"/>
    </row>
    <row r="104" spans="1:8" s="80" customFormat="1" ht="60.75" customHeight="1">
      <c r="A104" s="117"/>
      <c r="B104" s="84" t="s">
        <v>203</v>
      </c>
      <c r="C104" s="84" t="s">
        <v>190</v>
      </c>
      <c r="D104" s="84" t="s">
        <v>202</v>
      </c>
      <c r="E104" s="84" t="s">
        <v>197</v>
      </c>
      <c r="F104" s="84" t="s">
        <v>201</v>
      </c>
      <c r="G104" s="84" t="s">
        <v>200</v>
      </c>
      <c r="H104" s="83"/>
    </row>
    <row r="105" spans="1:8" s="80" customFormat="1" ht="60.75" customHeight="1">
      <c r="A105" s="117"/>
      <c r="B105" s="84" t="s">
        <v>199</v>
      </c>
      <c r="C105" s="84" t="s">
        <v>190</v>
      </c>
      <c r="D105" s="84" t="s">
        <v>198</v>
      </c>
      <c r="E105" s="84" t="s">
        <v>197</v>
      </c>
      <c r="F105" s="84" t="s">
        <v>196</v>
      </c>
      <c r="G105" s="84" t="s">
        <v>195</v>
      </c>
      <c r="H105" s="83"/>
    </row>
    <row r="106" spans="1:8" s="80" customFormat="1" ht="78.75" customHeight="1">
      <c r="A106" s="117"/>
      <c r="B106" s="84" t="s">
        <v>194</v>
      </c>
      <c r="C106" s="84" t="s">
        <v>190</v>
      </c>
      <c r="D106" s="84" t="s">
        <v>189</v>
      </c>
      <c r="E106" s="84" t="s">
        <v>193</v>
      </c>
      <c r="F106" s="84" t="s">
        <v>161</v>
      </c>
      <c r="G106" s="84" t="s">
        <v>192</v>
      </c>
      <c r="H106" s="83"/>
    </row>
    <row r="107" spans="1:8" s="80" customFormat="1" ht="77.25" customHeight="1">
      <c r="A107" s="117"/>
      <c r="B107" s="84" t="s">
        <v>191</v>
      </c>
      <c r="C107" s="84" t="s">
        <v>190</v>
      </c>
      <c r="D107" s="84" t="s">
        <v>189</v>
      </c>
      <c r="E107" s="84" t="s">
        <v>188</v>
      </c>
      <c r="F107" s="84" t="s">
        <v>161</v>
      </c>
      <c r="G107" s="84" t="s">
        <v>187</v>
      </c>
      <c r="H107" s="83"/>
    </row>
    <row r="108" spans="1:8" s="80" customFormat="1" ht="111" customHeight="1">
      <c r="A108" s="117"/>
      <c r="B108" s="84" t="s">
        <v>177</v>
      </c>
      <c r="C108" s="84" t="s">
        <v>176</v>
      </c>
      <c r="D108" s="84" t="s">
        <v>186</v>
      </c>
      <c r="E108" s="84" t="s">
        <v>185</v>
      </c>
      <c r="F108" s="84" t="s">
        <v>184</v>
      </c>
      <c r="G108" s="84" t="s">
        <v>183</v>
      </c>
      <c r="H108" s="83"/>
    </row>
    <row r="109" spans="1:8" s="80" customFormat="1" ht="105.75" customHeight="1">
      <c r="A109" s="117"/>
      <c r="B109" s="84" t="s">
        <v>182</v>
      </c>
      <c r="C109" s="84" t="s">
        <v>176</v>
      </c>
      <c r="D109" s="84" t="s">
        <v>181</v>
      </c>
      <c r="E109" s="84" t="s">
        <v>180</v>
      </c>
      <c r="F109" s="84" t="s">
        <v>179</v>
      </c>
      <c r="G109" s="84" t="s">
        <v>178</v>
      </c>
      <c r="H109" s="83"/>
    </row>
    <row r="110" spans="1:8" s="80" customFormat="1" ht="105.75" customHeight="1">
      <c r="A110" s="117"/>
      <c r="B110" s="84" t="s">
        <v>177</v>
      </c>
      <c r="C110" s="84" t="s">
        <v>176</v>
      </c>
      <c r="D110" s="84" t="s">
        <v>175</v>
      </c>
      <c r="E110" s="84" t="s">
        <v>174</v>
      </c>
      <c r="F110" s="84" t="s">
        <v>173</v>
      </c>
      <c r="G110" s="84" t="s">
        <v>172</v>
      </c>
      <c r="H110" s="83"/>
    </row>
    <row r="111" spans="1:8" s="80" customFormat="1" ht="76.5" customHeight="1">
      <c r="A111" s="117"/>
      <c r="B111" s="84" t="s">
        <v>171</v>
      </c>
      <c r="C111" s="84" t="s">
        <v>170</v>
      </c>
      <c r="D111" s="84" t="s">
        <v>169</v>
      </c>
      <c r="E111" s="84"/>
      <c r="F111" s="84"/>
      <c r="G111" s="84" t="s">
        <v>168</v>
      </c>
      <c r="H111" s="83"/>
    </row>
    <row r="112" spans="1:8" s="80" customFormat="1" ht="58.5" customHeight="1">
      <c r="A112" s="117"/>
      <c r="B112" s="84" t="s">
        <v>167</v>
      </c>
      <c r="C112" s="84" t="s">
        <v>154</v>
      </c>
      <c r="D112" s="84" t="s">
        <v>166</v>
      </c>
      <c r="E112" s="84" t="s">
        <v>162</v>
      </c>
      <c r="F112" s="84" t="s">
        <v>161</v>
      </c>
      <c r="G112" s="84" t="s">
        <v>165</v>
      </c>
      <c r="H112" s="83"/>
    </row>
    <row r="113" spans="1:8" s="80" customFormat="1" ht="58.5" customHeight="1">
      <c r="A113" s="117"/>
      <c r="B113" s="84" t="s">
        <v>164</v>
      </c>
      <c r="C113" s="84" t="s">
        <v>154</v>
      </c>
      <c r="D113" s="84" t="s">
        <v>163</v>
      </c>
      <c r="E113" s="84" t="s">
        <v>162</v>
      </c>
      <c r="F113" s="84" t="s">
        <v>161</v>
      </c>
      <c r="G113" s="84" t="s">
        <v>160</v>
      </c>
      <c r="H113" s="83"/>
    </row>
    <row r="114" spans="1:8" s="80" customFormat="1" ht="33" customHeight="1">
      <c r="A114" s="117"/>
      <c r="B114" s="84" t="s">
        <v>159</v>
      </c>
      <c r="C114" s="84" t="s">
        <v>154</v>
      </c>
      <c r="D114" s="84" t="s">
        <v>158</v>
      </c>
      <c r="E114" s="84" t="s">
        <v>75</v>
      </c>
      <c r="F114" s="84" t="s">
        <v>157</v>
      </c>
      <c r="G114" s="84" t="s">
        <v>156</v>
      </c>
      <c r="H114" s="85"/>
    </row>
    <row r="115" spans="1:8" s="80" customFormat="1" ht="33" customHeight="1">
      <c r="A115" s="117"/>
      <c r="B115" s="84" t="s">
        <v>155</v>
      </c>
      <c r="C115" s="84" t="s">
        <v>154</v>
      </c>
      <c r="D115" s="84" t="s">
        <v>153</v>
      </c>
      <c r="E115" s="84" t="s">
        <v>75</v>
      </c>
      <c r="F115" s="86" t="s">
        <v>152</v>
      </c>
      <c r="G115" s="84" t="s">
        <v>151</v>
      </c>
      <c r="H115" s="85"/>
    </row>
    <row r="116" spans="1:8" s="80" customFormat="1" ht="72.75" customHeight="1">
      <c r="A116" s="117"/>
      <c r="B116" s="84" t="s">
        <v>140</v>
      </c>
      <c r="C116" s="84" t="s">
        <v>139</v>
      </c>
      <c r="D116" s="84" t="s">
        <v>150</v>
      </c>
      <c r="E116" s="84" t="s">
        <v>146</v>
      </c>
      <c r="F116" s="86" t="s">
        <v>149</v>
      </c>
      <c r="G116" s="84" t="s">
        <v>144</v>
      </c>
      <c r="H116" s="85"/>
    </row>
    <row r="117" spans="1:8" s="80" customFormat="1" ht="78.75" customHeight="1">
      <c r="A117" s="117"/>
      <c r="B117" s="84" t="s">
        <v>148</v>
      </c>
      <c r="C117" s="84" t="s">
        <v>139</v>
      </c>
      <c r="D117" s="84" t="s">
        <v>147</v>
      </c>
      <c r="E117" s="84" t="s">
        <v>146</v>
      </c>
      <c r="F117" s="86" t="s">
        <v>145</v>
      </c>
      <c r="G117" s="84" t="s">
        <v>144</v>
      </c>
      <c r="H117" s="85"/>
    </row>
    <row r="118" spans="1:8" s="80" customFormat="1" ht="45" customHeight="1">
      <c r="A118" s="117"/>
      <c r="B118" s="84" t="s">
        <v>143</v>
      </c>
      <c r="C118" s="84" t="s">
        <v>139</v>
      </c>
      <c r="D118" s="84" t="s">
        <v>142</v>
      </c>
      <c r="E118" s="84" t="s">
        <v>75</v>
      </c>
      <c r="F118" s="84" t="s">
        <v>137</v>
      </c>
      <c r="G118" s="84" t="s">
        <v>141</v>
      </c>
      <c r="H118" s="85"/>
    </row>
    <row r="119" spans="1:8" s="80" customFormat="1" ht="45" customHeight="1">
      <c r="A119" s="117"/>
      <c r="B119" s="84" t="s">
        <v>140</v>
      </c>
      <c r="C119" s="84" t="s">
        <v>139</v>
      </c>
      <c r="D119" s="84" t="s">
        <v>138</v>
      </c>
      <c r="E119" s="84" t="s">
        <v>75</v>
      </c>
      <c r="F119" s="84" t="s">
        <v>137</v>
      </c>
      <c r="G119" s="84" t="s">
        <v>136</v>
      </c>
      <c r="H119" s="85"/>
    </row>
    <row r="120" spans="1:8" s="80" customFormat="1" ht="45" customHeight="1">
      <c r="A120" s="117"/>
      <c r="B120" s="84" t="s">
        <v>89</v>
      </c>
      <c r="C120" s="84" t="s">
        <v>88</v>
      </c>
      <c r="D120" s="84" t="s">
        <v>135</v>
      </c>
      <c r="E120" s="84" t="s">
        <v>75</v>
      </c>
      <c r="F120" s="84" t="s">
        <v>134</v>
      </c>
      <c r="G120" s="84" t="s">
        <v>133</v>
      </c>
      <c r="H120" s="83"/>
    </row>
    <row r="121" spans="1:8" s="80" customFormat="1" ht="45" customHeight="1">
      <c r="A121" s="117"/>
      <c r="B121" s="84" t="s">
        <v>89</v>
      </c>
      <c r="C121" s="84" t="s">
        <v>88</v>
      </c>
      <c r="D121" s="84" t="s">
        <v>130</v>
      </c>
      <c r="E121" s="84" t="s">
        <v>75</v>
      </c>
      <c r="F121" s="84" t="s">
        <v>132</v>
      </c>
      <c r="G121" s="84" t="s">
        <v>131</v>
      </c>
      <c r="H121" s="83"/>
    </row>
    <row r="122" spans="1:8" s="80" customFormat="1" ht="45" customHeight="1">
      <c r="A122" s="117"/>
      <c r="B122" s="84" t="s">
        <v>89</v>
      </c>
      <c r="C122" s="84" t="s">
        <v>88</v>
      </c>
      <c r="D122" s="84" t="s">
        <v>130</v>
      </c>
      <c r="E122" s="84" t="s">
        <v>129</v>
      </c>
      <c r="F122" s="84" t="s">
        <v>128</v>
      </c>
      <c r="G122" s="84" t="s">
        <v>127</v>
      </c>
      <c r="H122" s="83"/>
    </row>
    <row r="123" spans="1:8" s="80" customFormat="1" ht="45" customHeight="1">
      <c r="A123" s="117"/>
      <c r="B123" s="84" t="s">
        <v>89</v>
      </c>
      <c r="C123" s="84" t="s">
        <v>88</v>
      </c>
      <c r="D123" s="84" t="s">
        <v>126</v>
      </c>
      <c r="E123" s="84" t="s">
        <v>125</v>
      </c>
      <c r="F123" s="84" t="s">
        <v>124</v>
      </c>
      <c r="G123" s="84" t="s">
        <v>123</v>
      </c>
      <c r="H123" s="83"/>
    </row>
    <row r="124" spans="1:8" s="80" customFormat="1" ht="45" customHeight="1">
      <c r="A124" s="117"/>
      <c r="B124" s="84" t="s">
        <v>89</v>
      </c>
      <c r="C124" s="84" t="s">
        <v>88</v>
      </c>
      <c r="D124" s="84" t="s">
        <v>122</v>
      </c>
      <c r="E124" s="84" t="s">
        <v>121</v>
      </c>
      <c r="F124" s="84" t="s">
        <v>120</v>
      </c>
      <c r="G124" s="84" t="s">
        <v>119</v>
      </c>
      <c r="H124" s="83"/>
    </row>
    <row r="125" spans="1:8" s="80" customFormat="1" ht="45" customHeight="1">
      <c r="A125" s="117"/>
      <c r="B125" s="84" t="s">
        <v>89</v>
      </c>
      <c r="C125" s="84" t="s">
        <v>88</v>
      </c>
      <c r="D125" s="84" t="s">
        <v>116</v>
      </c>
      <c r="E125" s="84" t="s">
        <v>118</v>
      </c>
      <c r="F125" s="84" t="s">
        <v>114</v>
      </c>
      <c r="G125" s="84" t="s">
        <v>117</v>
      </c>
      <c r="H125" s="83"/>
    </row>
    <row r="126" spans="1:8" s="80" customFormat="1" ht="45" customHeight="1">
      <c r="A126" s="117"/>
      <c r="B126" s="84" t="s">
        <v>89</v>
      </c>
      <c r="C126" s="84" t="s">
        <v>88</v>
      </c>
      <c r="D126" s="84" t="s">
        <v>116</v>
      </c>
      <c r="E126" s="84" t="s">
        <v>115</v>
      </c>
      <c r="F126" s="84" t="s">
        <v>114</v>
      </c>
      <c r="G126" s="84" t="s">
        <v>113</v>
      </c>
      <c r="H126" s="83"/>
    </row>
    <row r="127" spans="1:8" s="80" customFormat="1" ht="45" customHeight="1">
      <c r="A127" s="117"/>
      <c r="B127" s="84" t="s">
        <v>78</v>
      </c>
      <c r="C127" s="84" t="s">
        <v>77</v>
      </c>
      <c r="D127" s="84" t="s">
        <v>112</v>
      </c>
      <c r="E127" s="84" t="s">
        <v>111</v>
      </c>
      <c r="F127" s="84" t="s">
        <v>110</v>
      </c>
      <c r="G127" s="84" t="s">
        <v>109</v>
      </c>
      <c r="H127" s="85"/>
    </row>
    <row r="128" spans="1:8" s="80" customFormat="1" ht="45" customHeight="1">
      <c r="A128" s="117"/>
      <c r="B128" s="84" t="s">
        <v>89</v>
      </c>
      <c r="C128" s="84" t="s">
        <v>88</v>
      </c>
      <c r="D128" s="84" t="s">
        <v>108</v>
      </c>
      <c r="E128" s="84" t="s">
        <v>107</v>
      </c>
      <c r="F128" s="84" t="s">
        <v>106</v>
      </c>
      <c r="G128" s="84" t="s">
        <v>105</v>
      </c>
      <c r="H128" s="83"/>
    </row>
    <row r="129" spans="1:8" s="80" customFormat="1" ht="45" customHeight="1">
      <c r="A129" s="117"/>
      <c r="B129" s="84" t="s">
        <v>89</v>
      </c>
      <c r="C129" s="84" t="s">
        <v>88</v>
      </c>
      <c r="D129" s="84" t="s">
        <v>104</v>
      </c>
      <c r="E129" s="84" t="s">
        <v>103</v>
      </c>
      <c r="F129" s="84" t="s">
        <v>85</v>
      </c>
      <c r="G129" s="84" t="s">
        <v>102</v>
      </c>
      <c r="H129" s="83"/>
    </row>
    <row r="130" spans="1:8" s="80" customFormat="1" ht="55.5" customHeight="1">
      <c r="A130" s="117"/>
      <c r="B130" s="84" t="s">
        <v>89</v>
      </c>
      <c r="C130" s="84" t="s">
        <v>88</v>
      </c>
      <c r="D130" s="84" t="s">
        <v>101</v>
      </c>
      <c r="E130" s="84" t="s">
        <v>100</v>
      </c>
      <c r="F130" s="84" t="s">
        <v>85</v>
      </c>
      <c r="G130" s="84" t="s">
        <v>99</v>
      </c>
      <c r="H130" s="83"/>
    </row>
    <row r="131" spans="1:8" s="80" customFormat="1" ht="73.5" customHeight="1">
      <c r="A131" s="117"/>
      <c r="B131" s="84" t="s">
        <v>89</v>
      </c>
      <c r="C131" s="84" t="s">
        <v>88</v>
      </c>
      <c r="D131" s="84" t="s">
        <v>87</v>
      </c>
      <c r="E131" s="84" t="s">
        <v>98</v>
      </c>
      <c r="F131" s="84" t="s">
        <v>85</v>
      </c>
      <c r="G131" s="84" t="s">
        <v>97</v>
      </c>
      <c r="H131" s="83"/>
    </row>
    <row r="132" spans="1:8" s="80" customFormat="1" ht="55.5" customHeight="1">
      <c r="A132" s="117"/>
      <c r="B132" s="84" t="s">
        <v>89</v>
      </c>
      <c r="C132" s="84" t="s">
        <v>88</v>
      </c>
      <c r="D132" s="84" t="s">
        <v>87</v>
      </c>
      <c r="E132" s="84" t="s">
        <v>96</v>
      </c>
      <c r="F132" s="84" t="s">
        <v>85</v>
      </c>
      <c r="G132" s="84" t="s">
        <v>95</v>
      </c>
      <c r="H132" s="83"/>
    </row>
    <row r="133" spans="1:8" s="80" customFormat="1" ht="60.75" customHeight="1">
      <c r="A133" s="117"/>
      <c r="B133" s="84" t="s">
        <v>89</v>
      </c>
      <c r="C133" s="84" t="s">
        <v>88</v>
      </c>
      <c r="D133" s="84" t="s">
        <v>87</v>
      </c>
      <c r="E133" s="84" t="s">
        <v>94</v>
      </c>
      <c r="F133" s="84" t="s">
        <v>74</v>
      </c>
      <c r="G133" s="84" t="s">
        <v>93</v>
      </c>
      <c r="H133" s="83"/>
    </row>
    <row r="134" spans="1:8" s="80" customFormat="1" ht="40.5" customHeight="1">
      <c r="A134" s="117"/>
      <c r="B134" s="84" t="s">
        <v>89</v>
      </c>
      <c r="C134" s="84" t="s">
        <v>88</v>
      </c>
      <c r="D134" s="84" t="s">
        <v>87</v>
      </c>
      <c r="E134" s="84" t="s">
        <v>92</v>
      </c>
      <c r="F134" s="84" t="s">
        <v>91</v>
      </c>
      <c r="G134" s="84" t="s">
        <v>90</v>
      </c>
      <c r="H134" s="83"/>
    </row>
    <row r="135" spans="1:8" s="80" customFormat="1" ht="40.5" customHeight="1">
      <c r="A135" s="117"/>
      <c r="B135" s="84" t="s">
        <v>89</v>
      </c>
      <c r="C135" s="84" t="s">
        <v>88</v>
      </c>
      <c r="D135" s="84" t="s">
        <v>87</v>
      </c>
      <c r="E135" s="84" t="s">
        <v>86</v>
      </c>
      <c r="F135" s="84" t="s">
        <v>85</v>
      </c>
      <c r="G135" s="84" t="s">
        <v>84</v>
      </c>
      <c r="H135" s="83"/>
    </row>
    <row r="136" spans="1:8" s="80" customFormat="1" ht="40.5" customHeight="1">
      <c r="A136" s="117"/>
      <c r="B136" s="84" t="s">
        <v>83</v>
      </c>
      <c r="C136" s="84" t="s">
        <v>77</v>
      </c>
      <c r="D136" s="84" t="s">
        <v>82</v>
      </c>
      <c r="E136" s="84" t="s">
        <v>81</v>
      </c>
      <c r="F136" s="84" t="s">
        <v>80</v>
      </c>
      <c r="G136" s="84" t="s">
        <v>79</v>
      </c>
      <c r="H136" s="85"/>
    </row>
    <row r="137" spans="1:8" s="80" customFormat="1" ht="40.5" customHeight="1">
      <c r="A137" s="117"/>
      <c r="B137" s="84" t="s">
        <v>78</v>
      </c>
      <c r="C137" s="84" t="s">
        <v>77</v>
      </c>
      <c r="D137" s="84" t="s">
        <v>76</v>
      </c>
      <c r="E137" s="84" t="s">
        <v>75</v>
      </c>
      <c r="F137" s="84" t="s">
        <v>74</v>
      </c>
      <c r="G137" s="84" t="s">
        <v>73</v>
      </c>
      <c r="H137" s="85"/>
    </row>
    <row r="138" spans="1:8" s="80" customFormat="1" ht="36" customHeight="1">
      <c r="A138" s="117"/>
      <c r="B138" s="84" t="s">
        <v>72</v>
      </c>
      <c r="C138" s="84"/>
      <c r="D138" s="84" t="s">
        <v>71</v>
      </c>
      <c r="E138" s="84" t="s">
        <v>66</v>
      </c>
      <c r="F138" s="84" t="s">
        <v>70</v>
      </c>
      <c r="G138" s="84" t="s">
        <v>69</v>
      </c>
      <c r="H138" s="83"/>
    </row>
    <row r="139" spans="1:8" s="80" customFormat="1" ht="32.25" customHeight="1" thickBot="1">
      <c r="A139" s="120"/>
      <c r="B139" s="82" t="s">
        <v>68</v>
      </c>
      <c r="C139" s="82"/>
      <c r="D139" s="82" t="s">
        <v>67</v>
      </c>
      <c r="E139" s="82" t="s">
        <v>66</v>
      </c>
      <c r="F139" s="82" t="s">
        <v>65</v>
      </c>
      <c r="G139" s="82" t="s">
        <v>64</v>
      </c>
      <c r="H139" s="81"/>
    </row>
  </sheetData>
  <phoneticPr fontId="1"/>
  <pageMargins left="0.51181102362204722" right="0.74803149606299213" top="0.70866141732283472" bottom="0.43307086614173229" header="0.51181102362204722" footer="0.19685039370078741"/>
  <pageSetup paperSize="9" scale="64" fitToHeight="0" orientation="landscape" r:id="rId1"/>
  <headerFooter alignWithMargins="0">
    <oddFooter>&amp;L&amp;"Meiryo UI,標準"&amp;10ユーティリティ一覧（マスタ管理）&amp;C&amp;"Meiryo UI,標準"&amp;10&amp;P&amp;R&amp;"Meiryo UI,標準"&amp;10(C)Toyo Business Engineering Corp.[Confidential]</oddFooter>
  </headerFooter>
  <colBreaks count="1" manualBreakCount="1">
    <brk id="8" max="120" man="1"/>
  </col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196"/>
  <sheetViews>
    <sheetView showGridLines="0" showZeros="0" zoomScaleNormal="100" zoomScaleSheetLayoutView="100" workbookViewId="0">
      <pane xSplit="4" ySplit="5" topLeftCell="E192" activePane="bottomRight" state="frozen"/>
      <selection activeCell="A48" sqref="A48"/>
      <selection pane="topRight" activeCell="A48" sqref="A48"/>
      <selection pane="bottomLeft" activeCell="A48" sqref="A48"/>
      <selection pane="bottomRight" activeCell="A48" sqref="A48"/>
    </sheetView>
  </sheetViews>
  <sheetFormatPr defaultColWidth="41" defaultRowHeight="14.25"/>
  <cols>
    <col min="1" max="1" width="6.6640625" style="78" customWidth="1"/>
    <col min="2" max="2" width="16.83203125" style="78" customWidth="1"/>
    <col min="3" max="3" width="27.5" style="98" customWidth="1"/>
    <col min="4" max="4" width="34.1640625" style="97" customWidth="1"/>
    <col min="5" max="5" width="47.5" style="96" customWidth="1"/>
    <col min="6" max="6" width="20.83203125" style="97" customWidth="1"/>
    <col min="7" max="7" width="74.1640625" style="97" customWidth="1"/>
    <col min="8" max="8" width="34.1640625" style="96" customWidth="1"/>
    <col min="9" max="16384" width="41" style="75"/>
  </cols>
  <sheetData>
    <row r="1" spans="1:8" ht="17.25" customHeight="1"/>
    <row r="4" spans="1:8" ht="15" thickBot="1"/>
    <row r="5" spans="1:8" s="92" customFormat="1">
      <c r="A5" s="116" t="s">
        <v>1530</v>
      </c>
      <c r="B5" s="95" t="s">
        <v>544</v>
      </c>
      <c r="C5" s="94" t="s">
        <v>6</v>
      </c>
      <c r="D5" s="94" t="s">
        <v>543</v>
      </c>
      <c r="E5" s="94" t="s">
        <v>542</v>
      </c>
      <c r="F5" s="95" t="s">
        <v>541</v>
      </c>
      <c r="G5" s="94" t="s">
        <v>36</v>
      </c>
      <c r="H5" s="106" t="s">
        <v>23</v>
      </c>
    </row>
    <row r="6" spans="1:8" s="80" customFormat="1" ht="90" customHeight="1">
      <c r="A6" s="117"/>
      <c r="B6" s="118" t="s">
        <v>883</v>
      </c>
      <c r="C6" s="102" t="s">
        <v>456</v>
      </c>
      <c r="D6" s="102" t="s">
        <v>1075</v>
      </c>
      <c r="E6" s="102" t="s">
        <v>538</v>
      </c>
      <c r="F6" s="102" t="s">
        <v>1074</v>
      </c>
      <c r="G6" s="102" t="s">
        <v>1073</v>
      </c>
      <c r="H6" s="101"/>
    </row>
    <row r="7" spans="1:8" s="80" customFormat="1" ht="90" customHeight="1">
      <c r="A7" s="117"/>
      <c r="B7" s="118" t="s">
        <v>883</v>
      </c>
      <c r="C7" s="102" t="s">
        <v>456</v>
      </c>
      <c r="D7" s="102" t="s">
        <v>1070</v>
      </c>
      <c r="E7" s="102" t="s">
        <v>1072</v>
      </c>
      <c r="F7" s="102" t="s">
        <v>211</v>
      </c>
      <c r="G7" s="105" t="s">
        <v>1071</v>
      </c>
      <c r="H7" s="101"/>
    </row>
    <row r="8" spans="1:8" s="80" customFormat="1" ht="90" customHeight="1">
      <c r="A8" s="117"/>
      <c r="B8" s="118" t="s">
        <v>892</v>
      </c>
      <c r="C8" s="102" t="s">
        <v>456</v>
      </c>
      <c r="D8" s="102" t="s">
        <v>1070</v>
      </c>
      <c r="E8" s="102" t="s">
        <v>1069</v>
      </c>
      <c r="F8" s="102" t="s">
        <v>211</v>
      </c>
      <c r="G8" s="105" t="s">
        <v>1068</v>
      </c>
      <c r="H8" s="101"/>
    </row>
    <row r="9" spans="1:8" s="80" customFormat="1" ht="90" customHeight="1">
      <c r="A9" s="117"/>
      <c r="B9" s="118" t="s">
        <v>883</v>
      </c>
      <c r="C9" s="102" t="s">
        <v>456</v>
      </c>
      <c r="D9" s="102" t="s">
        <v>1065</v>
      </c>
      <c r="E9" s="102" t="s">
        <v>1067</v>
      </c>
      <c r="F9" s="102" t="s">
        <v>211</v>
      </c>
      <c r="G9" s="105" t="s">
        <v>1066</v>
      </c>
      <c r="H9" s="101"/>
    </row>
    <row r="10" spans="1:8" s="80" customFormat="1" ht="90" customHeight="1">
      <c r="A10" s="117"/>
      <c r="B10" s="118" t="s">
        <v>914</v>
      </c>
      <c r="C10" s="102" t="s">
        <v>456</v>
      </c>
      <c r="D10" s="102" t="s">
        <v>1065</v>
      </c>
      <c r="E10" s="102" t="s">
        <v>1064</v>
      </c>
      <c r="F10" s="102" t="s">
        <v>211</v>
      </c>
      <c r="G10" s="105" t="s">
        <v>1063</v>
      </c>
      <c r="H10" s="101"/>
    </row>
    <row r="11" spans="1:8" s="80" customFormat="1" ht="90" customHeight="1">
      <c r="A11" s="117"/>
      <c r="B11" s="118" t="s">
        <v>883</v>
      </c>
      <c r="C11" s="102" t="s">
        <v>456</v>
      </c>
      <c r="D11" s="102" t="s">
        <v>1062</v>
      </c>
      <c r="E11" s="102" t="s">
        <v>1061</v>
      </c>
      <c r="F11" s="102" t="s">
        <v>211</v>
      </c>
      <c r="G11" s="102" t="s">
        <v>1060</v>
      </c>
      <c r="H11" s="101"/>
    </row>
    <row r="12" spans="1:8" s="80" customFormat="1" ht="90" customHeight="1">
      <c r="A12" s="117"/>
      <c r="B12" s="118" t="s">
        <v>879</v>
      </c>
      <c r="C12" s="102" t="s">
        <v>456</v>
      </c>
      <c r="D12" s="102" t="s">
        <v>1059</v>
      </c>
      <c r="E12" s="102" t="s">
        <v>1058</v>
      </c>
      <c r="F12" s="102" t="s">
        <v>211</v>
      </c>
      <c r="G12" s="102" t="s">
        <v>1057</v>
      </c>
      <c r="H12" s="101"/>
    </row>
    <row r="13" spans="1:8" s="80" customFormat="1" ht="90" customHeight="1">
      <c r="A13" s="117"/>
      <c r="B13" s="118" t="s">
        <v>883</v>
      </c>
      <c r="C13" s="102" t="s">
        <v>456</v>
      </c>
      <c r="D13" s="102" t="s">
        <v>1056</v>
      </c>
      <c r="E13" s="102" t="s">
        <v>533</v>
      </c>
      <c r="F13" s="102" t="s">
        <v>1055</v>
      </c>
      <c r="G13" s="102" t="s">
        <v>531</v>
      </c>
      <c r="H13" s="101"/>
    </row>
    <row r="14" spans="1:8" s="80" customFormat="1" ht="90" customHeight="1">
      <c r="A14" s="117"/>
      <c r="B14" s="118" t="s">
        <v>883</v>
      </c>
      <c r="C14" s="102" t="s">
        <v>456</v>
      </c>
      <c r="D14" s="102" t="s">
        <v>1054</v>
      </c>
      <c r="E14" s="102" t="s">
        <v>1053</v>
      </c>
      <c r="F14" s="102" t="s">
        <v>1052</v>
      </c>
      <c r="G14" s="102" t="s">
        <v>1051</v>
      </c>
      <c r="H14" s="101"/>
    </row>
    <row r="15" spans="1:8" s="80" customFormat="1" ht="90" customHeight="1">
      <c r="A15" s="117"/>
      <c r="B15" s="118" t="s">
        <v>883</v>
      </c>
      <c r="C15" s="102" t="s">
        <v>456</v>
      </c>
      <c r="D15" s="102" t="s">
        <v>1050</v>
      </c>
      <c r="E15" s="102" t="s">
        <v>1049</v>
      </c>
      <c r="F15" s="102" t="s">
        <v>1048</v>
      </c>
      <c r="G15" s="102" t="s">
        <v>1047</v>
      </c>
      <c r="H15" s="101"/>
    </row>
    <row r="16" spans="1:8" s="80" customFormat="1" ht="111.75" customHeight="1">
      <c r="A16" s="117"/>
      <c r="B16" s="118" t="s">
        <v>883</v>
      </c>
      <c r="C16" s="102" t="s">
        <v>456</v>
      </c>
      <c r="D16" s="102" t="s">
        <v>1046</v>
      </c>
      <c r="E16" s="102" t="s">
        <v>520</v>
      </c>
      <c r="F16" s="102" t="s">
        <v>1044</v>
      </c>
      <c r="G16" s="102" t="s">
        <v>519</v>
      </c>
      <c r="H16" s="101"/>
    </row>
    <row r="17" spans="1:8" s="80" customFormat="1" ht="114.75" customHeight="1">
      <c r="A17" s="117"/>
      <c r="B17" s="118" t="s">
        <v>879</v>
      </c>
      <c r="C17" s="102" t="s">
        <v>456</v>
      </c>
      <c r="D17" s="102" t="s">
        <v>518</v>
      </c>
      <c r="E17" s="102" t="s">
        <v>1045</v>
      </c>
      <c r="F17" s="102" t="s">
        <v>1044</v>
      </c>
      <c r="G17" s="102" t="s">
        <v>1043</v>
      </c>
      <c r="H17" s="101"/>
    </row>
    <row r="18" spans="1:8" s="80" customFormat="1" ht="90" customHeight="1">
      <c r="A18" s="117"/>
      <c r="B18" s="118" t="s">
        <v>883</v>
      </c>
      <c r="C18" s="102" t="s">
        <v>456</v>
      </c>
      <c r="D18" s="102" t="s">
        <v>1042</v>
      </c>
      <c r="E18" s="102" t="s">
        <v>513</v>
      </c>
      <c r="F18" s="102" t="s">
        <v>512</v>
      </c>
      <c r="G18" s="102" t="s">
        <v>1041</v>
      </c>
      <c r="H18" s="101"/>
    </row>
    <row r="19" spans="1:8" s="80" customFormat="1" ht="90" customHeight="1">
      <c r="A19" s="117"/>
      <c r="B19" s="118" t="s">
        <v>883</v>
      </c>
      <c r="C19" s="102" t="s">
        <v>456</v>
      </c>
      <c r="D19" s="102" t="s">
        <v>1040</v>
      </c>
      <c r="E19" s="102" t="s">
        <v>508</v>
      </c>
      <c r="F19" s="102" t="s">
        <v>1039</v>
      </c>
      <c r="G19" s="102" t="s">
        <v>1038</v>
      </c>
      <c r="H19" s="101"/>
    </row>
    <row r="20" spans="1:8" s="80" customFormat="1" ht="118.5" customHeight="1">
      <c r="A20" s="117"/>
      <c r="B20" s="118" t="s">
        <v>879</v>
      </c>
      <c r="C20" s="102" t="s">
        <v>456</v>
      </c>
      <c r="D20" s="102" t="s">
        <v>1035</v>
      </c>
      <c r="E20" s="102" t="s">
        <v>1037</v>
      </c>
      <c r="F20" s="102" t="s">
        <v>546</v>
      </c>
      <c r="G20" s="102" t="s">
        <v>1036</v>
      </c>
      <c r="H20" s="101"/>
    </row>
    <row r="21" spans="1:8" s="80" customFormat="1" ht="103.5" customHeight="1">
      <c r="A21" s="117"/>
      <c r="B21" s="118" t="s">
        <v>879</v>
      </c>
      <c r="C21" s="102" t="s">
        <v>456</v>
      </c>
      <c r="D21" s="102" t="s">
        <v>1035</v>
      </c>
      <c r="E21" s="102" t="s">
        <v>1034</v>
      </c>
      <c r="F21" s="102" t="s">
        <v>555</v>
      </c>
      <c r="G21" s="102" t="s">
        <v>1033</v>
      </c>
      <c r="H21" s="101"/>
    </row>
    <row r="22" spans="1:8" s="80" customFormat="1" ht="90" customHeight="1">
      <c r="A22" s="117"/>
      <c r="B22" s="118" t="s">
        <v>879</v>
      </c>
      <c r="C22" s="102" t="s">
        <v>456</v>
      </c>
      <c r="D22" s="102" t="s">
        <v>1028</v>
      </c>
      <c r="E22" s="102" t="s">
        <v>1032</v>
      </c>
      <c r="F22" s="102" t="s">
        <v>546</v>
      </c>
      <c r="G22" s="102" t="s">
        <v>1031</v>
      </c>
      <c r="H22" s="101"/>
    </row>
    <row r="23" spans="1:8" s="80" customFormat="1" ht="90" customHeight="1">
      <c r="A23" s="117"/>
      <c r="B23" s="118" t="s">
        <v>879</v>
      </c>
      <c r="C23" s="102" t="s">
        <v>456</v>
      </c>
      <c r="D23" s="102" t="s">
        <v>1028</v>
      </c>
      <c r="E23" s="102" t="s">
        <v>1030</v>
      </c>
      <c r="F23" s="102" t="s">
        <v>546</v>
      </c>
      <c r="G23" s="102" t="s">
        <v>1029</v>
      </c>
      <c r="H23" s="101"/>
    </row>
    <row r="24" spans="1:8" s="80" customFormat="1" ht="90" customHeight="1">
      <c r="A24" s="117"/>
      <c r="B24" s="118" t="s">
        <v>879</v>
      </c>
      <c r="C24" s="102" t="s">
        <v>456</v>
      </c>
      <c r="D24" s="102" t="s">
        <v>1028</v>
      </c>
      <c r="E24" s="102" t="s">
        <v>1027</v>
      </c>
      <c r="F24" s="102" t="s">
        <v>74</v>
      </c>
      <c r="G24" s="102" t="s">
        <v>1026</v>
      </c>
      <c r="H24" s="101"/>
    </row>
    <row r="25" spans="1:8" s="80" customFormat="1" ht="90" customHeight="1">
      <c r="A25" s="117"/>
      <c r="B25" s="118" t="s">
        <v>914</v>
      </c>
      <c r="C25" s="102" t="s">
        <v>456</v>
      </c>
      <c r="D25" s="102" t="s">
        <v>1025</v>
      </c>
      <c r="E25" s="102" t="s">
        <v>992</v>
      </c>
      <c r="F25" s="102" t="s">
        <v>991</v>
      </c>
      <c r="G25" s="102" t="s">
        <v>1024</v>
      </c>
      <c r="H25" s="101"/>
    </row>
    <row r="26" spans="1:8" s="80" customFormat="1" ht="90" customHeight="1">
      <c r="A26" s="117"/>
      <c r="B26" s="118" t="s">
        <v>914</v>
      </c>
      <c r="C26" s="102" t="s">
        <v>456</v>
      </c>
      <c r="D26" s="102" t="s">
        <v>1023</v>
      </c>
      <c r="E26" s="102" t="s">
        <v>1020</v>
      </c>
      <c r="F26" s="102" t="s">
        <v>1019</v>
      </c>
      <c r="G26" s="102" t="s">
        <v>1022</v>
      </c>
      <c r="H26" s="101"/>
    </row>
    <row r="27" spans="1:8" s="80" customFormat="1" ht="90" customHeight="1">
      <c r="A27" s="117"/>
      <c r="B27" s="118" t="s">
        <v>879</v>
      </c>
      <c r="C27" s="102" t="s">
        <v>456</v>
      </c>
      <c r="D27" s="102" t="s">
        <v>1021</v>
      </c>
      <c r="E27" s="102" t="s">
        <v>1020</v>
      </c>
      <c r="F27" s="102" t="s">
        <v>1019</v>
      </c>
      <c r="G27" s="102" t="s">
        <v>1018</v>
      </c>
      <c r="H27" s="101"/>
    </row>
    <row r="28" spans="1:8" s="80" customFormat="1" ht="90" customHeight="1">
      <c r="A28" s="117"/>
      <c r="B28" s="118" t="s">
        <v>883</v>
      </c>
      <c r="C28" s="102" t="s">
        <v>456</v>
      </c>
      <c r="D28" s="102" t="s">
        <v>1017</v>
      </c>
      <c r="E28" s="102" t="s">
        <v>1007</v>
      </c>
      <c r="F28" s="102" t="s">
        <v>546</v>
      </c>
      <c r="G28" s="102" t="s">
        <v>1016</v>
      </c>
      <c r="H28" s="101"/>
    </row>
    <row r="29" spans="1:8" s="80" customFormat="1" ht="128.25" customHeight="1">
      <c r="A29" s="117"/>
      <c r="B29" s="118" t="s">
        <v>883</v>
      </c>
      <c r="C29" s="102" t="s">
        <v>456</v>
      </c>
      <c r="D29" s="102" t="s">
        <v>1015</v>
      </c>
      <c r="E29" s="102" t="s">
        <v>1014</v>
      </c>
      <c r="F29" s="102" t="s">
        <v>546</v>
      </c>
      <c r="G29" s="102" t="s">
        <v>1013</v>
      </c>
      <c r="H29" s="101"/>
    </row>
    <row r="30" spans="1:8" s="80" customFormat="1" ht="90" customHeight="1">
      <c r="A30" s="117"/>
      <c r="B30" s="118" t="s">
        <v>914</v>
      </c>
      <c r="C30" s="102" t="s">
        <v>456</v>
      </c>
      <c r="D30" s="102" t="s">
        <v>1012</v>
      </c>
      <c r="E30" s="102" t="s">
        <v>1011</v>
      </c>
      <c r="F30" s="102" t="s">
        <v>1010</v>
      </c>
      <c r="G30" s="102" t="s">
        <v>1009</v>
      </c>
      <c r="H30" s="101"/>
    </row>
    <row r="31" spans="1:8" s="80" customFormat="1" ht="90" customHeight="1">
      <c r="A31" s="117"/>
      <c r="B31" s="118" t="s">
        <v>883</v>
      </c>
      <c r="C31" s="102" t="s">
        <v>456</v>
      </c>
      <c r="D31" s="102" t="s">
        <v>1008</v>
      </c>
      <c r="E31" s="102" t="s">
        <v>1007</v>
      </c>
      <c r="F31" s="102" t="s">
        <v>555</v>
      </c>
      <c r="G31" s="102" t="s">
        <v>1006</v>
      </c>
      <c r="H31" s="101"/>
    </row>
    <row r="32" spans="1:8" s="80" customFormat="1" ht="90" customHeight="1">
      <c r="A32" s="117"/>
      <c r="B32" s="118" t="s">
        <v>879</v>
      </c>
      <c r="C32" s="102" t="s">
        <v>456</v>
      </c>
      <c r="D32" s="102" t="s">
        <v>1005</v>
      </c>
      <c r="E32" s="102" t="s">
        <v>1004</v>
      </c>
      <c r="F32" s="102" t="s">
        <v>472</v>
      </c>
      <c r="G32" s="102" t="s">
        <v>1003</v>
      </c>
      <c r="H32" s="101"/>
    </row>
    <row r="33" spans="1:8" s="80" customFormat="1" ht="90" customHeight="1">
      <c r="A33" s="117"/>
      <c r="B33" s="118" t="s">
        <v>879</v>
      </c>
      <c r="C33" s="102" t="s">
        <v>456</v>
      </c>
      <c r="D33" s="102" t="s">
        <v>1002</v>
      </c>
      <c r="E33" s="102" t="s">
        <v>1001</v>
      </c>
      <c r="F33" s="102" t="s">
        <v>1000</v>
      </c>
      <c r="G33" s="102" t="s">
        <v>999</v>
      </c>
      <c r="H33" s="101"/>
    </row>
    <row r="34" spans="1:8" s="80" customFormat="1" ht="90" customHeight="1">
      <c r="A34" s="117"/>
      <c r="B34" s="118" t="s">
        <v>879</v>
      </c>
      <c r="C34" s="102" t="s">
        <v>456</v>
      </c>
      <c r="D34" s="102" t="s">
        <v>998</v>
      </c>
      <c r="E34" s="102" t="s">
        <v>997</v>
      </c>
      <c r="F34" s="102" t="s">
        <v>152</v>
      </c>
      <c r="G34" s="102" t="s">
        <v>996</v>
      </c>
      <c r="H34" s="101"/>
    </row>
    <row r="35" spans="1:8" s="80" customFormat="1" ht="90" customHeight="1">
      <c r="A35" s="117"/>
      <c r="B35" s="118" t="s">
        <v>883</v>
      </c>
      <c r="C35" s="102" t="s">
        <v>456</v>
      </c>
      <c r="D35" s="102" t="s">
        <v>995</v>
      </c>
      <c r="E35" s="102" t="s">
        <v>496</v>
      </c>
      <c r="F35" s="102" t="s">
        <v>630</v>
      </c>
      <c r="G35" s="102" t="s">
        <v>994</v>
      </c>
      <c r="H35" s="101"/>
    </row>
    <row r="36" spans="1:8" s="80" customFormat="1" ht="90" customHeight="1">
      <c r="A36" s="117"/>
      <c r="B36" s="118" t="s">
        <v>883</v>
      </c>
      <c r="C36" s="102" t="s">
        <v>456</v>
      </c>
      <c r="D36" s="102" t="s">
        <v>993</v>
      </c>
      <c r="E36" s="102" t="s">
        <v>992</v>
      </c>
      <c r="F36" s="102" t="s">
        <v>991</v>
      </c>
      <c r="G36" s="102" t="s">
        <v>990</v>
      </c>
      <c r="H36" s="101"/>
    </row>
    <row r="37" spans="1:8" s="80" customFormat="1" ht="90" customHeight="1">
      <c r="A37" s="117"/>
      <c r="B37" s="118" t="s">
        <v>892</v>
      </c>
      <c r="C37" s="102" t="s">
        <v>456</v>
      </c>
      <c r="D37" s="102" t="s">
        <v>987</v>
      </c>
      <c r="E37" s="102" t="s">
        <v>989</v>
      </c>
      <c r="F37" s="102" t="s">
        <v>546</v>
      </c>
      <c r="G37" s="84" t="s">
        <v>484</v>
      </c>
      <c r="H37" s="101"/>
    </row>
    <row r="38" spans="1:8" s="80" customFormat="1" ht="90" customHeight="1">
      <c r="A38" s="117"/>
      <c r="B38" s="118" t="s">
        <v>883</v>
      </c>
      <c r="C38" s="102" t="s">
        <v>456</v>
      </c>
      <c r="D38" s="102" t="s">
        <v>987</v>
      </c>
      <c r="E38" s="102" t="s">
        <v>988</v>
      </c>
      <c r="F38" s="102" t="s">
        <v>555</v>
      </c>
      <c r="G38" s="84" t="s">
        <v>488</v>
      </c>
      <c r="H38" s="101"/>
    </row>
    <row r="39" spans="1:8" s="80" customFormat="1" ht="90" customHeight="1">
      <c r="A39" s="117"/>
      <c r="B39" s="118" t="s">
        <v>883</v>
      </c>
      <c r="C39" s="102" t="s">
        <v>456</v>
      </c>
      <c r="D39" s="102" t="s">
        <v>987</v>
      </c>
      <c r="E39" s="102" t="s">
        <v>493</v>
      </c>
      <c r="F39" s="102" t="s">
        <v>630</v>
      </c>
      <c r="G39" s="84" t="s">
        <v>986</v>
      </c>
      <c r="H39" s="101"/>
    </row>
    <row r="40" spans="1:8" s="80" customFormat="1" ht="90" customHeight="1">
      <c r="A40" s="117"/>
      <c r="B40" s="118" t="s">
        <v>883</v>
      </c>
      <c r="C40" s="102" t="s">
        <v>456</v>
      </c>
      <c r="D40" s="102" t="s">
        <v>985</v>
      </c>
      <c r="E40" s="102" t="s">
        <v>984</v>
      </c>
      <c r="F40" s="102" t="s">
        <v>546</v>
      </c>
      <c r="G40" s="102" t="s">
        <v>983</v>
      </c>
      <c r="H40" s="101"/>
    </row>
    <row r="41" spans="1:8" s="80" customFormat="1" ht="90" customHeight="1">
      <c r="A41" s="117"/>
      <c r="B41" s="118" t="s">
        <v>914</v>
      </c>
      <c r="C41" s="102" t="s">
        <v>456</v>
      </c>
      <c r="D41" s="102" t="s">
        <v>982</v>
      </c>
      <c r="E41" s="102" t="s">
        <v>981</v>
      </c>
      <c r="F41" s="102" t="s">
        <v>546</v>
      </c>
      <c r="G41" s="102" t="s">
        <v>980</v>
      </c>
      <c r="H41" s="101"/>
    </row>
    <row r="42" spans="1:8" s="80" customFormat="1" ht="90" customHeight="1">
      <c r="A42" s="117"/>
      <c r="B42" s="118" t="s">
        <v>883</v>
      </c>
      <c r="C42" s="102" t="s">
        <v>456</v>
      </c>
      <c r="D42" s="102" t="s">
        <v>979</v>
      </c>
      <c r="E42" s="102" t="s">
        <v>978</v>
      </c>
      <c r="F42" s="102" t="s">
        <v>546</v>
      </c>
      <c r="G42" s="102" t="s">
        <v>977</v>
      </c>
      <c r="H42" s="101"/>
    </row>
    <row r="43" spans="1:8" s="80" customFormat="1" ht="90" customHeight="1">
      <c r="A43" s="117"/>
      <c r="B43" s="118" t="s">
        <v>883</v>
      </c>
      <c r="C43" s="102" t="s">
        <v>456</v>
      </c>
      <c r="D43" s="102" t="s">
        <v>976</v>
      </c>
      <c r="E43" s="102" t="s">
        <v>927</v>
      </c>
      <c r="F43" s="102" t="s">
        <v>555</v>
      </c>
      <c r="G43" s="102" t="s">
        <v>975</v>
      </c>
      <c r="H43" s="101"/>
    </row>
    <row r="44" spans="1:8" s="80" customFormat="1" ht="90" customHeight="1">
      <c r="A44" s="117"/>
      <c r="B44" s="118" t="s">
        <v>879</v>
      </c>
      <c r="C44" s="102" t="s">
        <v>456</v>
      </c>
      <c r="D44" s="102" t="s">
        <v>974</v>
      </c>
      <c r="E44" s="102" t="s">
        <v>930</v>
      </c>
      <c r="F44" s="102" t="s">
        <v>546</v>
      </c>
      <c r="G44" s="102" t="s">
        <v>973</v>
      </c>
      <c r="H44" s="101"/>
    </row>
    <row r="45" spans="1:8" s="80" customFormat="1" ht="126.75" customHeight="1">
      <c r="A45" s="117"/>
      <c r="B45" s="118" t="s">
        <v>883</v>
      </c>
      <c r="C45" s="102" t="s">
        <v>456</v>
      </c>
      <c r="D45" s="102" t="s">
        <v>971</v>
      </c>
      <c r="E45" s="102" t="s">
        <v>927</v>
      </c>
      <c r="F45" s="102" t="s">
        <v>546</v>
      </c>
      <c r="G45" s="102" t="s">
        <v>972</v>
      </c>
      <c r="H45" s="101"/>
    </row>
    <row r="46" spans="1:8" s="80" customFormat="1" ht="90" customHeight="1">
      <c r="A46" s="117"/>
      <c r="B46" s="118" t="s">
        <v>879</v>
      </c>
      <c r="C46" s="102" t="s">
        <v>456</v>
      </c>
      <c r="D46" s="102" t="s">
        <v>971</v>
      </c>
      <c r="E46" s="102" t="s">
        <v>930</v>
      </c>
      <c r="F46" s="102" t="s">
        <v>546</v>
      </c>
      <c r="G46" s="102" t="s">
        <v>970</v>
      </c>
      <c r="H46" s="101"/>
    </row>
    <row r="47" spans="1:8" s="80" customFormat="1" ht="90" customHeight="1">
      <c r="A47" s="117"/>
      <c r="B47" s="118" t="s">
        <v>883</v>
      </c>
      <c r="C47" s="102" t="s">
        <v>456</v>
      </c>
      <c r="D47" s="102" t="s">
        <v>968</v>
      </c>
      <c r="E47" s="102" t="s">
        <v>927</v>
      </c>
      <c r="F47" s="102" t="s">
        <v>555</v>
      </c>
      <c r="G47" s="102" t="s">
        <v>969</v>
      </c>
      <c r="H47" s="101"/>
    </row>
    <row r="48" spans="1:8" s="80" customFormat="1" ht="90" customHeight="1">
      <c r="A48" s="117"/>
      <c r="B48" s="118" t="s">
        <v>879</v>
      </c>
      <c r="C48" s="102" t="s">
        <v>456</v>
      </c>
      <c r="D48" s="102" t="s">
        <v>968</v>
      </c>
      <c r="E48" s="102" t="s">
        <v>930</v>
      </c>
      <c r="F48" s="102" t="s">
        <v>546</v>
      </c>
      <c r="G48" s="102" t="s">
        <v>967</v>
      </c>
      <c r="H48" s="101"/>
    </row>
    <row r="49" spans="1:8" s="80" customFormat="1" ht="90" customHeight="1">
      <c r="A49" s="117"/>
      <c r="B49" s="118" t="s">
        <v>883</v>
      </c>
      <c r="C49" s="102" t="s">
        <v>456</v>
      </c>
      <c r="D49" s="102" t="s">
        <v>966</v>
      </c>
      <c r="E49" s="102" t="s">
        <v>965</v>
      </c>
      <c r="F49" s="102" t="s">
        <v>546</v>
      </c>
      <c r="G49" s="102" t="s">
        <v>964</v>
      </c>
      <c r="H49" s="101"/>
    </row>
    <row r="50" spans="1:8" s="80" customFormat="1" ht="90" customHeight="1">
      <c r="A50" s="117"/>
      <c r="B50" s="118" t="s">
        <v>879</v>
      </c>
      <c r="C50" s="102" t="s">
        <v>456</v>
      </c>
      <c r="D50" s="102" t="s">
        <v>963</v>
      </c>
      <c r="E50" s="102" t="s">
        <v>930</v>
      </c>
      <c r="F50" s="102" t="s">
        <v>546</v>
      </c>
      <c r="G50" s="102" t="s">
        <v>962</v>
      </c>
      <c r="H50" s="101"/>
    </row>
    <row r="51" spans="1:8" s="80" customFormat="1" ht="90" customHeight="1">
      <c r="A51" s="117"/>
      <c r="B51" s="118" t="s">
        <v>883</v>
      </c>
      <c r="C51" s="102" t="s">
        <v>456</v>
      </c>
      <c r="D51" s="102" t="s">
        <v>960</v>
      </c>
      <c r="E51" s="102" t="s">
        <v>927</v>
      </c>
      <c r="F51" s="102" t="s">
        <v>74</v>
      </c>
      <c r="G51" s="102" t="s">
        <v>961</v>
      </c>
      <c r="H51" s="101"/>
    </row>
    <row r="52" spans="1:8" s="80" customFormat="1" ht="90" customHeight="1">
      <c r="A52" s="117"/>
      <c r="B52" s="118" t="s">
        <v>879</v>
      </c>
      <c r="C52" s="102" t="s">
        <v>456</v>
      </c>
      <c r="D52" s="102" t="s">
        <v>960</v>
      </c>
      <c r="E52" s="102" t="s">
        <v>930</v>
      </c>
      <c r="F52" s="102" t="s">
        <v>546</v>
      </c>
      <c r="G52" s="102" t="s">
        <v>959</v>
      </c>
      <c r="H52" s="101"/>
    </row>
    <row r="53" spans="1:8" s="80" customFormat="1" ht="90" customHeight="1">
      <c r="A53" s="117"/>
      <c r="B53" s="118" t="s">
        <v>883</v>
      </c>
      <c r="C53" s="102" t="s">
        <v>456</v>
      </c>
      <c r="D53" s="102" t="s">
        <v>957</v>
      </c>
      <c r="E53" s="102" t="s">
        <v>927</v>
      </c>
      <c r="F53" s="102" t="s">
        <v>546</v>
      </c>
      <c r="G53" s="102" t="s">
        <v>958</v>
      </c>
      <c r="H53" s="101"/>
    </row>
    <row r="54" spans="1:8" s="80" customFormat="1" ht="90" customHeight="1">
      <c r="A54" s="117"/>
      <c r="B54" s="118" t="s">
        <v>879</v>
      </c>
      <c r="C54" s="102" t="s">
        <v>456</v>
      </c>
      <c r="D54" s="102" t="s">
        <v>957</v>
      </c>
      <c r="E54" s="102" t="s">
        <v>930</v>
      </c>
      <c r="F54" s="102" t="s">
        <v>555</v>
      </c>
      <c r="G54" s="102" t="s">
        <v>956</v>
      </c>
      <c r="H54" s="101"/>
    </row>
    <row r="55" spans="1:8" s="80" customFormat="1" ht="90" customHeight="1">
      <c r="A55" s="117"/>
      <c r="B55" s="118" t="s">
        <v>883</v>
      </c>
      <c r="C55" s="102" t="s">
        <v>456</v>
      </c>
      <c r="D55" s="102" t="s">
        <v>954</v>
      </c>
      <c r="E55" s="102" t="s">
        <v>927</v>
      </c>
      <c r="F55" s="102" t="s">
        <v>546</v>
      </c>
      <c r="G55" s="102" t="s">
        <v>955</v>
      </c>
      <c r="H55" s="101"/>
    </row>
    <row r="56" spans="1:8" s="80" customFormat="1" ht="90" customHeight="1">
      <c r="A56" s="117"/>
      <c r="B56" s="118" t="s">
        <v>879</v>
      </c>
      <c r="C56" s="102" t="s">
        <v>456</v>
      </c>
      <c r="D56" s="102" t="s">
        <v>954</v>
      </c>
      <c r="E56" s="102" t="s">
        <v>930</v>
      </c>
      <c r="F56" s="102" t="s">
        <v>555</v>
      </c>
      <c r="G56" s="102" t="s">
        <v>953</v>
      </c>
      <c r="H56" s="101"/>
    </row>
    <row r="57" spans="1:8" s="80" customFormat="1" ht="90" customHeight="1">
      <c r="A57" s="117"/>
      <c r="B57" s="118" t="s">
        <v>883</v>
      </c>
      <c r="C57" s="102" t="s">
        <v>456</v>
      </c>
      <c r="D57" s="102" t="s">
        <v>952</v>
      </c>
      <c r="E57" s="102" t="s">
        <v>940</v>
      </c>
      <c r="F57" s="102" t="s">
        <v>546</v>
      </c>
      <c r="G57" s="102" t="s">
        <v>951</v>
      </c>
      <c r="H57" s="101"/>
    </row>
    <row r="58" spans="1:8" s="80" customFormat="1" ht="90" customHeight="1">
      <c r="A58" s="117"/>
      <c r="B58" s="118" t="s">
        <v>883</v>
      </c>
      <c r="C58" s="102" t="s">
        <v>456</v>
      </c>
      <c r="D58" s="102" t="s">
        <v>952</v>
      </c>
      <c r="E58" s="102" t="s">
        <v>938</v>
      </c>
      <c r="F58" s="102" t="s">
        <v>546</v>
      </c>
      <c r="G58" s="102" t="s">
        <v>951</v>
      </c>
      <c r="H58" s="101"/>
    </row>
    <row r="59" spans="1:8" s="80" customFormat="1" ht="90" customHeight="1">
      <c r="A59" s="117"/>
      <c r="B59" s="118" t="s">
        <v>879</v>
      </c>
      <c r="C59" s="102" t="s">
        <v>456</v>
      </c>
      <c r="D59" s="102" t="s">
        <v>950</v>
      </c>
      <c r="E59" s="102" t="s">
        <v>936</v>
      </c>
      <c r="F59" s="102" t="s">
        <v>546</v>
      </c>
      <c r="G59" s="102" t="s">
        <v>949</v>
      </c>
      <c r="H59" s="101"/>
    </row>
    <row r="60" spans="1:8" s="80" customFormat="1" ht="90" customHeight="1">
      <c r="A60" s="117"/>
      <c r="B60" s="118" t="s">
        <v>879</v>
      </c>
      <c r="C60" s="102" t="s">
        <v>456</v>
      </c>
      <c r="D60" s="102" t="s">
        <v>950</v>
      </c>
      <c r="E60" s="102" t="s">
        <v>933</v>
      </c>
      <c r="F60" s="102" t="s">
        <v>546</v>
      </c>
      <c r="G60" s="102" t="s">
        <v>949</v>
      </c>
      <c r="H60" s="101"/>
    </row>
    <row r="61" spans="1:8" s="80" customFormat="1" ht="90" customHeight="1">
      <c r="A61" s="117"/>
      <c r="B61" s="118" t="s">
        <v>914</v>
      </c>
      <c r="C61" s="102" t="s">
        <v>456</v>
      </c>
      <c r="D61" s="102" t="s">
        <v>946</v>
      </c>
      <c r="E61" s="102" t="s">
        <v>940</v>
      </c>
      <c r="F61" s="102" t="s">
        <v>546</v>
      </c>
      <c r="G61" s="102" t="s">
        <v>948</v>
      </c>
      <c r="H61" s="101"/>
    </row>
    <row r="62" spans="1:8" s="80" customFormat="1" ht="90" customHeight="1">
      <c r="A62" s="117"/>
      <c r="B62" s="118" t="s">
        <v>883</v>
      </c>
      <c r="C62" s="102" t="s">
        <v>456</v>
      </c>
      <c r="D62" s="102" t="s">
        <v>946</v>
      </c>
      <c r="E62" s="102" t="s">
        <v>938</v>
      </c>
      <c r="F62" s="102" t="s">
        <v>555</v>
      </c>
      <c r="G62" s="102" t="s">
        <v>947</v>
      </c>
      <c r="H62" s="101"/>
    </row>
    <row r="63" spans="1:8" s="80" customFormat="1" ht="90" customHeight="1">
      <c r="A63" s="117"/>
      <c r="B63" s="118" t="s">
        <v>879</v>
      </c>
      <c r="C63" s="102" t="s">
        <v>456</v>
      </c>
      <c r="D63" s="102" t="s">
        <v>946</v>
      </c>
      <c r="E63" s="102" t="s">
        <v>936</v>
      </c>
      <c r="F63" s="102" t="s">
        <v>555</v>
      </c>
      <c r="G63" s="102" t="s">
        <v>945</v>
      </c>
      <c r="H63" s="101"/>
    </row>
    <row r="64" spans="1:8" s="80" customFormat="1" ht="90" customHeight="1">
      <c r="A64" s="117"/>
      <c r="B64" s="118" t="s">
        <v>879</v>
      </c>
      <c r="C64" s="102" t="s">
        <v>456</v>
      </c>
      <c r="D64" s="102" t="s">
        <v>946</v>
      </c>
      <c r="E64" s="102" t="s">
        <v>933</v>
      </c>
      <c r="F64" s="102" t="s">
        <v>546</v>
      </c>
      <c r="G64" s="102" t="s">
        <v>945</v>
      </c>
      <c r="H64" s="101"/>
    </row>
    <row r="65" spans="1:8" s="80" customFormat="1" ht="90" customHeight="1">
      <c r="A65" s="117"/>
      <c r="B65" s="118" t="s">
        <v>883</v>
      </c>
      <c r="C65" s="102" t="s">
        <v>456</v>
      </c>
      <c r="D65" s="102" t="s">
        <v>942</v>
      </c>
      <c r="E65" s="102" t="s">
        <v>940</v>
      </c>
      <c r="F65" s="102" t="s">
        <v>546</v>
      </c>
      <c r="G65" s="102" t="s">
        <v>944</v>
      </c>
      <c r="H65" s="101"/>
    </row>
    <row r="66" spans="1:8" s="80" customFormat="1" ht="90" customHeight="1">
      <c r="A66" s="117"/>
      <c r="B66" s="118" t="s">
        <v>914</v>
      </c>
      <c r="C66" s="102" t="s">
        <v>456</v>
      </c>
      <c r="D66" s="102" t="s">
        <v>942</v>
      </c>
      <c r="E66" s="102" t="s">
        <v>938</v>
      </c>
      <c r="F66" s="102" t="s">
        <v>546</v>
      </c>
      <c r="G66" s="102" t="s">
        <v>943</v>
      </c>
      <c r="H66" s="101"/>
    </row>
    <row r="67" spans="1:8" s="80" customFormat="1" ht="90" customHeight="1">
      <c r="A67" s="117"/>
      <c r="B67" s="118" t="s">
        <v>879</v>
      </c>
      <c r="C67" s="102" t="s">
        <v>456</v>
      </c>
      <c r="D67" s="102" t="s">
        <v>942</v>
      </c>
      <c r="E67" s="102" t="s">
        <v>936</v>
      </c>
      <c r="F67" s="102" t="s">
        <v>555</v>
      </c>
      <c r="G67" s="102" t="s">
        <v>941</v>
      </c>
      <c r="H67" s="101"/>
    </row>
    <row r="68" spans="1:8" s="80" customFormat="1" ht="90" customHeight="1">
      <c r="A68" s="117"/>
      <c r="B68" s="118" t="s">
        <v>879</v>
      </c>
      <c r="C68" s="102" t="s">
        <v>456</v>
      </c>
      <c r="D68" s="102" t="s">
        <v>942</v>
      </c>
      <c r="E68" s="102" t="s">
        <v>933</v>
      </c>
      <c r="F68" s="102" t="s">
        <v>546</v>
      </c>
      <c r="G68" s="102" t="s">
        <v>941</v>
      </c>
      <c r="H68" s="101"/>
    </row>
    <row r="69" spans="1:8" s="80" customFormat="1" ht="90" customHeight="1">
      <c r="A69" s="117"/>
      <c r="B69" s="118" t="s">
        <v>883</v>
      </c>
      <c r="C69" s="102" t="s">
        <v>456</v>
      </c>
      <c r="D69" s="102" t="s">
        <v>934</v>
      </c>
      <c r="E69" s="102" t="s">
        <v>940</v>
      </c>
      <c r="F69" s="102" t="s">
        <v>546</v>
      </c>
      <c r="G69" s="102" t="s">
        <v>937</v>
      </c>
      <c r="H69" s="101"/>
    </row>
    <row r="70" spans="1:8" s="80" customFormat="1" ht="90" customHeight="1">
      <c r="A70" s="117"/>
      <c r="B70" s="118" t="s">
        <v>883</v>
      </c>
      <c r="C70" s="102" t="s">
        <v>939</v>
      </c>
      <c r="D70" s="102" t="s">
        <v>934</v>
      </c>
      <c r="E70" s="102" t="s">
        <v>938</v>
      </c>
      <c r="F70" s="102" t="s">
        <v>916</v>
      </c>
      <c r="G70" s="102" t="s">
        <v>937</v>
      </c>
      <c r="H70" s="101"/>
    </row>
    <row r="71" spans="1:8" s="80" customFormat="1" ht="90" customHeight="1">
      <c r="A71" s="117"/>
      <c r="B71" s="118" t="s">
        <v>879</v>
      </c>
      <c r="C71" s="102" t="s">
        <v>456</v>
      </c>
      <c r="D71" s="102" t="s">
        <v>934</v>
      </c>
      <c r="E71" s="102" t="s">
        <v>936</v>
      </c>
      <c r="F71" s="102" t="s">
        <v>546</v>
      </c>
      <c r="G71" s="102" t="s">
        <v>935</v>
      </c>
      <c r="H71" s="101"/>
    </row>
    <row r="72" spans="1:8" s="80" customFormat="1" ht="90" customHeight="1">
      <c r="A72" s="117"/>
      <c r="B72" s="118" t="s">
        <v>879</v>
      </c>
      <c r="C72" s="102" t="s">
        <v>456</v>
      </c>
      <c r="D72" s="102" t="s">
        <v>934</v>
      </c>
      <c r="E72" s="102" t="s">
        <v>933</v>
      </c>
      <c r="F72" s="102" t="s">
        <v>555</v>
      </c>
      <c r="G72" s="102" t="s">
        <v>932</v>
      </c>
      <c r="H72" s="101"/>
    </row>
    <row r="73" spans="1:8" s="80" customFormat="1" ht="90" customHeight="1">
      <c r="A73" s="117"/>
      <c r="B73" s="118" t="s">
        <v>883</v>
      </c>
      <c r="C73" s="102" t="s">
        <v>456</v>
      </c>
      <c r="D73" s="102" t="s">
        <v>931</v>
      </c>
      <c r="E73" s="102" t="s">
        <v>930</v>
      </c>
      <c r="F73" s="102" t="s">
        <v>546</v>
      </c>
      <c r="G73" s="102" t="s">
        <v>929</v>
      </c>
      <c r="H73" s="101"/>
    </row>
    <row r="74" spans="1:8" s="80" customFormat="1" ht="90" customHeight="1">
      <c r="A74" s="117"/>
      <c r="B74" s="118" t="s">
        <v>879</v>
      </c>
      <c r="C74" s="102" t="s">
        <v>456</v>
      </c>
      <c r="D74" s="102" t="s">
        <v>928</v>
      </c>
      <c r="E74" s="102" t="s">
        <v>927</v>
      </c>
      <c r="F74" s="102" t="s">
        <v>546</v>
      </c>
      <c r="G74" s="102" t="s">
        <v>926</v>
      </c>
      <c r="H74" s="101"/>
    </row>
    <row r="75" spans="1:8" s="80" customFormat="1" ht="90" customHeight="1">
      <c r="A75" s="117"/>
      <c r="B75" s="118" t="s">
        <v>883</v>
      </c>
      <c r="C75" s="102" t="s">
        <v>456</v>
      </c>
      <c r="D75" s="102" t="s">
        <v>925</v>
      </c>
      <c r="E75" s="102" t="s">
        <v>546</v>
      </c>
      <c r="F75" s="102" t="s">
        <v>546</v>
      </c>
      <c r="G75" s="102" t="s">
        <v>924</v>
      </c>
      <c r="H75" s="101"/>
    </row>
    <row r="76" spans="1:8" s="80" customFormat="1" ht="169.5" customHeight="1">
      <c r="A76" s="117"/>
      <c r="B76" s="118" t="s">
        <v>883</v>
      </c>
      <c r="C76" s="102" t="s">
        <v>456</v>
      </c>
      <c r="D76" s="102" t="s">
        <v>923</v>
      </c>
      <c r="E76" s="102" t="s">
        <v>482</v>
      </c>
      <c r="F76" s="102" t="s">
        <v>881</v>
      </c>
      <c r="G76" s="102" t="s">
        <v>922</v>
      </c>
      <c r="H76" s="101"/>
    </row>
    <row r="77" spans="1:8" s="80" customFormat="1" ht="145.5" customHeight="1">
      <c r="A77" s="117"/>
      <c r="B77" s="118" t="s">
        <v>879</v>
      </c>
      <c r="C77" s="102" t="s">
        <v>456</v>
      </c>
      <c r="D77" s="102" t="s">
        <v>479</v>
      </c>
      <c r="E77" s="102" t="s">
        <v>921</v>
      </c>
      <c r="F77" s="102" t="s">
        <v>881</v>
      </c>
      <c r="G77" s="102" t="s">
        <v>920</v>
      </c>
      <c r="H77" s="101"/>
    </row>
    <row r="78" spans="1:8" s="80" customFormat="1" ht="90" customHeight="1">
      <c r="A78" s="117"/>
      <c r="B78" s="118" t="s">
        <v>879</v>
      </c>
      <c r="C78" s="102" t="s">
        <v>456</v>
      </c>
      <c r="D78" s="102" t="s">
        <v>919</v>
      </c>
      <c r="E78" s="102" t="s">
        <v>546</v>
      </c>
      <c r="F78" s="102" t="s">
        <v>546</v>
      </c>
      <c r="G78" s="102" t="s">
        <v>918</v>
      </c>
      <c r="H78" s="101"/>
    </row>
    <row r="79" spans="1:8" s="80" customFormat="1" ht="90" customHeight="1">
      <c r="A79" s="117"/>
      <c r="B79" s="118" t="s">
        <v>879</v>
      </c>
      <c r="C79" s="102" t="s">
        <v>456</v>
      </c>
      <c r="D79" s="102" t="s">
        <v>917</v>
      </c>
      <c r="E79" s="102" t="s">
        <v>910</v>
      </c>
      <c r="F79" s="102" t="s">
        <v>916</v>
      </c>
      <c r="G79" s="102" t="s">
        <v>915</v>
      </c>
      <c r="H79" s="101"/>
    </row>
    <row r="80" spans="1:8" s="80" customFormat="1" ht="90" customHeight="1">
      <c r="A80" s="117"/>
      <c r="B80" s="118" t="s">
        <v>914</v>
      </c>
      <c r="C80" s="102" t="s">
        <v>456</v>
      </c>
      <c r="D80" s="102" t="s">
        <v>913</v>
      </c>
      <c r="E80" s="102" t="s">
        <v>910</v>
      </c>
      <c r="F80" s="102" t="s">
        <v>546</v>
      </c>
      <c r="G80" s="102" t="s">
        <v>912</v>
      </c>
      <c r="H80" s="101"/>
    </row>
    <row r="81" spans="1:8" s="80" customFormat="1" ht="90" customHeight="1">
      <c r="A81" s="117"/>
      <c r="B81" s="118" t="s">
        <v>879</v>
      </c>
      <c r="C81" s="102" t="s">
        <v>456</v>
      </c>
      <c r="D81" s="102" t="s">
        <v>911</v>
      </c>
      <c r="E81" s="102" t="s">
        <v>910</v>
      </c>
      <c r="F81" s="102" t="s">
        <v>546</v>
      </c>
      <c r="G81" s="102" t="s">
        <v>909</v>
      </c>
      <c r="H81" s="101"/>
    </row>
    <row r="82" spans="1:8" s="80" customFormat="1" ht="90" customHeight="1">
      <c r="A82" s="117"/>
      <c r="B82" s="118" t="s">
        <v>879</v>
      </c>
      <c r="C82" s="102" t="s">
        <v>456</v>
      </c>
      <c r="D82" s="102" t="s">
        <v>906</v>
      </c>
      <c r="E82" s="102" t="s">
        <v>908</v>
      </c>
      <c r="F82" s="102" t="s">
        <v>546</v>
      </c>
      <c r="G82" s="102" t="s">
        <v>907</v>
      </c>
      <c r="H82" s="101"/>
    </row>
    <row r="83" spans="1:8" s="80" customFormat="1" ht="90" customHeight="1">
      <c r="A83" s="117"/>
      <c r="B83" s="118" t="s">
        <v>879</v>
      </c>
      <c r="C83" s="102" t="s">
        <v>456</v>
      </c>
      <c r="D83" s="102" t="s">
        <v>906</v>
      </c>
      <c r="E83" s="102" t="s">
        <v>905</v>
      </c>
      <c r="F83" s="102" t="s">
        <v>546</v>
      </c>
      <c r="G83" s="102" t="s">
        <v>904</v>
      </c>
      <c r="H83" s="101"/>
    </row>
    <row r="84" spans="1:8" s="80" customFormat="1" ht="90" customHeight="1">
      <c r="A84" s="117"/>
      <c r="B84" s="118" t="s">
        <v>883</v>
      </c>
      <c r="C84" s="102" t="s">
        <v>456</v>
      </c>
      <c r="D84" s="102" t="s">
        <v>903</v>
      </c>
      <c r="E84" s="102" t="s">
        <v>902</v>
      </c>
      <c r="F84" s="102" t="s">
        <v>472</v>
      </c>
      <c r="G84" s="102" t="s">
        <v>901</v>
      </c>
      <c r="H84" s="101"/>
    </row>
    <row r="85" spans="1:8" s="80" customFormat="1" ht="90" customHeight="1">
      <c r="A85" s="117"/>
      <c r="B85" s="118" t="s">
        <v>883</v>
      </c>
      <c r="C85" s="102" t="s">
        <v>456</v>
      </c>
      <c r="D85" s="102" t="s">
        <v>900</v>
      </c>
      <c r="E85" s="102" t="s">
        <v>899</v>
      </c>
      <c r="F85" s="102" t="s">
        <v>898</v>
      </c>
      <c r="G85" s="102" t="s">
        <v>897</v>
      </c>
      <c r="H85" s="101"/>
    </row>
    <row r="86" spans="1:8" s="80" customFormat="1" ht="90" customHeight="1">
      <c r="A86" s="117"/>
      <c r="B86" s="118" t="s">
        <v>883</v>
      </c>
      <c r="C86" s="102" t="s">
        <v>456</v>
      </c>
      <c r="D86" s="102" t="s">
        <v>896</v>
      </c>
      <c r="E86" s="102" t="s">
        <v>895</v>
      </c>
      <c r="F86" s="102" t="s">
        <v>894</v>
      </c>
      <c r="G86" s="102" t="s">
        <v>893</v>
      </c>
      <c r="H86" s="101"/>
    </row>
    <row r="87" spans="1:8" s="80" customFormat="1" ht="90" customHeight="1">
      <c r="A87" s="117"/>
      <c r="B87" s="118" t="s">
        <v>892</v>
      </c>
      <c r="C87" s="102" t="s">
        <v>456</v>
      </c>
      <c r="D87" s="102" t="s">
        <v>891</v>
      </c>
      <c r="E87" s="102" t="s">
        <v>888</v>
      </c>
      <c r="F87" s="102" t="s">
        <v>630</v>
      </c>
      <c r="G87" s="102" t="s">
        <v>890</v>
      </c>
      <c r="H87" s="101"/>
    </row>
    <row r="88" spans="1:8" s="80" customFormat="1" ht="90" customHeight="1">
      <c r="A88" s="117"/>
      <c r="B88" s="118" t="s">
        <v>883</v>
      </c>
      <c r="C88" s="102" t="s">
        <v>456</v>
      </c>
      <c r="D88" s="102" t="s">
        <v>889</v>
      </c>
      <c r="E88" s="102" t="s">
        <v>888</v>
      </c>
      <c r="F88" s="102" t="s">
        <v>630</v>
      </c>
      <c r="G88" s="102" t="s">
        <v>887</v>
      </c>
      <c r="H88" s="101"/>
    </row>
    <row r="89" spans="1:8" s="80" customFormat="1" ht="90" customHeight="1">
      <c r="A89" s="117"/>
      <c r="B89" s="118" t="s">
        <v>883</v>
      </c>
      <c r="C89" s="102" t="s">
        <v>456</v>
      </c>
      <c r="D89" s="102" t="s">
        <v>886</v>
      </c>
      <c r="E89" s="102" t="s">
        <v>885</v>
      </c>
      <c r="F89" s="102" t="s">
        <v>555</v>
      </c>
      <c r="G89" s="102" t="s">
        <v>884</v>
      </c>
      <c r="H89" s="101"/>
    </row>
    <row r="90" spans="1:8" s="80" customFormat="1" ht="178.5" customHeight="1">
      <c r="A90" s="117"/>
      <c r="B90" s="118" t="s">
        <v>883</v>
      </c>
      <c r="C90" s="102" t="s">
        <v>456</v>
      </c>
      <c r="D90" s="102" t="s">
        <v>882</v>
      </c>
      <c r="E90" s="102" t="s">
        <v>459</v>
      </c>
      <c r="F90" s="102" t="s">
        <v>881</v>
      </c>
      <c r="G90" s="102" t="s">
        <v>880</v>
      </c>
      <c r="H90" s="101"/>
    </row>
    <row r="91" spans="1:8" s="80" customFormat="1" ht="168.75" customHeight="1">
      <c r="A91" s="117"/>
      <c r="B91" s="118" t="s">
        <v>879</v>
      </c>
      <c r="C91" s="102" t="s">
        <v>456</v>
      </c>
      <c r="D91" s="102" t="s">
        <v>455</v>
      </c>
      <c r="E91" s="102" t="s">
        <v>454</v>
      </c>
      <c r="F91" s="102" t="s">
        <v>878</v>
      </c>
      <c r="G91" s="102" t="s">
        <v>877</v>
      </c>
      <c r="H91" s="101"/>
    </row>
    <row r="92" spans="1:8" s="80" customFormat="1" ht="90" customHeight="1">
      <c r="A92" s="117"/>
      <c r="B92" s="118" t="s">
        <v>854</v>
      </c>
      <c r="C92" s="102" t="s">
        <v>450</v>
      </c>
      <c r="D92" s="102" t="s">
        <v>876</v>
      </c>
      <c r="E92" s="102" t="s">
        <v>448</v>
      </c>
      <c r="F92" s="102" t="s">
        <v>875</v>
      </c>
      <c r="G92" s="102" t="s">
        <v>874</v>
      </c>
      <c r="H92" s="101"/>
    </row>
    <row r="93" spans="1:8" s="80" customFormat="1" ht="90" customHeight="1">
      <c r="A93" s="117"/>
      <c r="B93" s="118" t="s">
        <v>864</v>
      </c>
      <c r="C93" s="102" t="s">
        <v>450</v>
      </c>
      <c r="D93" s="102" t="s">
        <v>873</v>
      </c>
      <c r="E93" s="102" t="s">
        <v>555</v>
      </c>
      <c r="F93" s="102" t="s">
        <v>872</v>
      </c>
      <c r="G93" s="102" t="s">
        <v>871</v>
      </c>
      <c r="H93" s="101"/>
    </row>
    <row r="94" spans="1:8" s="80" customFormat="1" ht="90" customHeight="1">
      <c r="A94" s="117"/>
      <c r="B94" s="118" t="s">
        <v>846</v>
      </c>
      <c r="C94" s="102" t="s">
        <v>450</v>
      </c>
      <c r="D94" s="102" t="s">
        <v>870</v>
      </c>
      <c r="E94" s="102" t="s">
        <v>546</v>
      </c>
      <c r="F94" s="102" t="s">
        <v>869</v>
      </c>
      <c r="G94" s="102" t="s">
        <v>868</v>
      </c>
      <c r="H94" s="101"/>
    </row>
    <row r="95" spans="1:8" s="80" customFormat="1" ht="90" customHeight="1">
      <c r="A95" s="117"/>
      <c r="B95" s="118" t="s">
        <v>846</v>
      </c>
      <c r="C95" s="102" t="s">
        <v>450</v>
      </c>
      <c r="D95" s="102" t="s">
        <v>867</v>
      </c>
      <c r="E95" s="102" t="s">
        <v>546</v>
      </c>
      <c r="F95" s="102" t="s">
        <v>866</v>
      </c>
      <c r="G95" s="102" t="s">
        <v>865</v>
      </c>
      <c r="H95" s="101"/>
    </row>
    <row r="96" spans="1:8" s="80" customFormat="1" ht="90" customHeight="1">
      <c r="A96" s="117"/>
      <c r="B96" s="118" t="s">
        <v>864</v>
      </c>
      <c r="C96" s="102" t="s">
        <v>450</v>
      </c>
      <c r="D96" s="102" t="s">
        <v>863</v>
      </c>
      <c r="E96" s="102" t="s">
        <v>546</v>
      </c>
      <c r="F96" s="102" t="s">
        <v>862</v>
      </c>
      <c r="G96" s="102" t="s">
        <v>861</v>
      </c>
      <c r="H96" s="101"/>
    </row>
    <row r="97" spans="1:8" s="80" customFormat="1" ht="90" customHeight="1">
      <c r="A97" s="117"/>
      <c r="B97" s="118" t="s">
        <v>846</v>
      </c>
      <c r="C97" s="102" t="s">
        <v>450</v>
      </c>
      <c r="D97" s="102" t="s">
        <v>860</v>
      </c>
      <c r="E97" s="102" t="s">
        <v>546</v>
      </c>
      <c r="F97" s="102" t="s">
        <v>859</v>
      </c>
      <c r="G97" s="102" t="s">
        <v>858</v>
      </c>
      <c r="H97" s="101"/>
    </row>
    <row r="98" spans="1:8" s="80" customFormat="1" ht="90" customHeight="1">
      <c r="A98" s="117"/>
      <c r="B98" s="118" t="s">
        <v>854</v>
      </c>
      <c r="C98" s="102" t="s">
        <v>450</v>
      </c>
      <c r="D98" s="102" t="s">
        <v>857</v>
      </c>
      <c r="E98" s="102" t="s">
        <v>546</v>
      </c>
      <c r="F98" s="102" t="s">
        <v>856</v>
      </c>
      <c r="G98" s="102" t="s">
        <v>855</v>
      </c>
      <c r="H98" s="101"/>
    </row>
    <row r="99" spans="1:8" s="80" customFormat="1" ht="90" customHeight="1">
      <c r="A99" s="117"/>
      <c r="B99" s="118" t="s">
        <v>854</v>
      </c>
      <c r="C99" s="102" t="s">
        <v>450</v>
      </c>
      <c r="D99" s="102" t="s">
        <v>853</v>
      </c>
      <c r="E99" s="102" t="s">
        <v>852</v>
      </c>
      <c r="F99" s="102" t="s">
        <v>851</v>
      </c>
      <c r="G99" s="102" t="s">
        <v>850</v>
      </c>
      <c r="H99" s="101"/>
    </row>
    <row r="100" spans="1:8" s="80" customFormat="1" ht="90" customHeight="1">
      <c r="A100" s="117"/>
      <c r="B100" s="118" t="s">
        <v>846</v>
      </c>
      <c r="C100" s="102" t="s">
        <v>450</v>
      </c>
      <c r="D100" s="102" t="s">
        <v>375</v>
      </c>
      <c r="E100" s="102" t="s">
        <v>654</v>
      </c>
      <c r="F100" s="84" t="s">
        <v>370</v>
      </c>
      <c r="G100" s="84" t="s">
        <v>373</v>
      </c>
      <c r="H100" s="101"/>
    </row>
    <row r="101" spans="1:8" s="80" customFormat="1" ht="90" customHeight="1">
      <c r="A101" s="117"/>
      <c r="B101" s="118" t="s">
        <v>846</v>
      </c>
      <c r="C101" s="102" t="s">
        <v>450</v>
      </c>
      <c r="D101" s="102" t="s">
        <v>849</v>
      </c>
      <c r="E101" s="102" t="s">
        <v>546</v>
      </c>
      <c r="F101" s="102" t="s">
        <v>848</v>
      </c>
      <c r="G101" s="102" t="s">
        <v>847</v>
      </c>
      <c r="H101" s="101"/>
    </row>
    <row r="102" spans="1:8" s="80" customFormat="1" ht="90" customHeight="1">
      <c r="A102" s="117"/>
      <c r="B102" s="118" t="s">
        <v>846</v>
      </c>
      <c r="C102" s="102" t="s">
        <v>450</v>
      </c>
      <c r="D102" s="102" t="s">
        <v>845</v>
      </c>
      <c r="E102" s="102" t="s">
        <v>546</v>
      </c>
      <c r="F102" s="84" t="s">
        <v>364</v>
      </c>
      <c r="G102" s="102" t="s">
        <v>844</v>
      </c>
      <c r="H102" s="101"/>
    </row>
    <row r="103" spans="1:8" s="80" customFormat="1" ht="90" customHeight="1">
      <c r="A103" s="117"/>
      <c r="B103" s="118" t="s">
        <v>793</v>
      </c>
      <c r="C103" s="102" t="s">
        <v>797</v>
      </c>
      <c r="D103" s="102" t="s">
        <v>843</v>
      </c>
      <c r="E103" s="102" t="s">
        <v>842</v>
      </c>
      <c r="F103" s="102" t="s">
        <v>211</v>
      </c>
      <c r="G103" s="102" t="s">
        <v>841</v>
      </c>
      <c r="H103" s="101"/>
    </row>
    <row r="104" spans="1:8" s="80" customFormat="1" ht="90" customHeight="1">
      <c r="A104" s="117"/>
      <c r="B104" s="118" t="s">
        <v>798</v>
      </c>
      <c r="C104" s="102" t="s">
        <v>792</v>
      </c>
      <c r="D104" s="102" t="s">
        <v>843</v>
      </c>
      <c r="E104" s="102" t="s">
        <v>842</v>
      </c>
      <c r="F104" s="102" t="s">
        <v>211</v>
      </c>
      <c r="G104" s="102" t="s">
        <v>841</v>
      </c>
      <c r="H104" s="101"/>
    </row>
    <row r="105" spans="1:8" s="80" customFormat="1" ht="90" customHeight="1">
      <c r="A105" s="117"/>
      <c r="B105" s="118" t="s">
        <v>793</v>
      </c>
      <c r="C105" s="102" t="s">
        <v>792</v>
      </c>
      <c r="D105" s="102" t="s">
        <v>840</v>
      </c>
      <c r="E105" s="102" t="s">
        <v>839</v>
      </c>
      <c r="F105" s="102" t="s">
        <v>211</v>
      </c>
      <c r="G105" s="102" t="s">
        <v>836</v>
      </c>
      <c r="H105" s="101"/>
    </row>
    <row r="106" spans="1:8" s="80" customFormat="1" ht="90" customHeight="1">
      <c r="A106" s="117"/>
      <c r="B106" s="118" t="s">
        <v>793</v>
      </c>
      <c r="C106" s="102" t="s">
        <v>797</v>
      </c>
      <c r="D106" s="102" t="s">
        <v>838</v>
      </c>
      <c r="E106" s="102" t="s">
        <v>837</v>
      </c>
      <c r="F106" s="102" t="s">
        <v>211</v>
      </c>
      <c r="G106" s="102" t="s">
        <v>836</v>
      </c>
      <c r="H106" s="101"/>
    </row>
    <row r="107" spans="1:8" s="80" customFormat="1" ht="90" customHeight="1">
      <c r="A107" s="117"/>
      <c r="B107" s="118" t="s">
        <v>793</v>
      </c>
      <c r="C107" s="102" t="s">
        <v>797</v>
      </c>
      <c r="D107" s="102" t="s">
        <v>835</v>
      </c>
      <c r="E107" s="102" t="s">
        <v>834</v>
      </c>
      <c r="F107" s="102" t="s">
        <v>211</v>
      </c>
      <c r="G107" s="102" t="s">
        <v>831</v>
      </c>
      <c r="H107" s="101"/>
    </row>
    <row r="108" spans="1:8" s="80" customFormat="1" ht="90" customHeight="1">
      <c r="A108" s="117"/>
      <c r="B108" s="118" t="s">
        <v>793</v>
      </c>
      <c r="C108" s="102" t="s">
        <v>792</v>
      </c>
      <c r="D108" s="102" t="s">
        <v>833</v>
      </c>
      <c r="E108" s="102" t="s">
        <v>832</v>
      </c>
      <c r="F108" s="102" t="s">
        <v>211</v>
      </c>
      <c r="G108" s="102" t="s">
        <v>831</v>
      </c>
      <c r="H108" s="101"/>
    </row>
    <row r="109" spans="1:8" s="80" customFormat="1" ht="90" customHeight="1">
      <c r="A109" s="117"/>
      <c r="B109" s="118" t="s">
        <v>793</v>
      </c>
      <c r="C109" s="102" t="s">
        <v>792</v>
      </c>
      <c r="D109" s="102" t="s">
        <v>829</v>
      </c>
      <c r="E109" s="102" t="s">
        <v>830</v>
      </c>
      <c r="F109" s="102" t="s">
        <v>211</v>
      </c>
      <c r="G109" s="102" t="s">
        <v>827</v>
      </c>
      <c r="H109" s="101"/>
    </row>
    <row r="110" spans="1:8" s="80" customFormat="1" ht="90" customHeight="1">
      <c r="A110" s="117"/>
      <c r="B110" s="118" t="s">
        <v>793</v>
      </c>
      <c r="C110" s="102" t="s">
        <v>797</v>
      </c>
      <c r="D110" s="102" t="s">
        <v>829</v>
      </c>
      <c r="E110" s="102" t="s">
        <v>828</v>
      </c>
      <c r="F110" s="102" t="s">
        <v>211</v>
      </c>
      <c r="G110" s="102" t="s">
        <v>827</v>
      </c>
      <c r="H110" s="101"/>
    </row>
    <row r="111" spans="1:8" s="80" customFormat="1" ht="90" customHeight="1">
      <c r="A111" s="117"/>
      <c r="B111" s="118" t="s">
        <v>793</v>
      </c>
      <c r="C111" s="102" t="s">
        <v>797</v>
      </c>
      <c r="D111" s="102" t="s">
        <v>824</v>
      </c>
      <c r="E111" s="102" t="s">
        <v>826</v>
      </c>
      <c r="F111" s="102" t="s">
        <v>211</v>
      </c>
      <c r="G111" s="102" t="s">
        <v>822</v>
      </c>
      <c r="H111" s="101"/>
    </row>
    <row r="112" spans="1:8" s="80" customFormat="1" ht="90" customHeight="1">
      <c r="A112" s="117"/>
      <c r="B112" s="118" t="s">
        <v>825</v>
      </c>
      <c r="C112" s="102" t="s">
        <v>797</v>
      </c>
      <c r="D112" s="102" t="s">
        <v>824</v>
      </c>
      <c r="E112" s="102" t="s">
        <v>823</v>
      </c>
      <c r="F112" s="102" t="s">
        <v>211</v>
      </c>
      <c r="G112" s="102" t="s">
        <v>822</v>
      </c>
      <c r="H112" s="101"/>
    </row>
    <row r="113" spans="1:8" s="80" customFormat="1" ht="90" customHeight="1">
      <c r="A113" s="117"/>
      <c r="B113" s="118" t="s">
        <v>798</v>
      </c>
      <c r="C113" s="102" t="s">
        <v>797</v>
      </c>
      <c r="D113" s="102" t="s">
        <v>821</v>
      </c>
      <c r="E113" s="102" t="s">
        <v>820</v>
      </c>
      <c r="F113" s="102" t="s">
        <v>630</v>
      </c>
      <c r="G113" s="102" t="s">
        <v>819</v>
      </c>
      <c r="H113" s="101"/>
    </row>
    <row r="114" spans="1:8" s="80" customFormat="1" ht="90" customHeight="1">
      <c r="A114" s="117"/>
      <c r="B114" s="118" t="s">
        <v>798</v>
      </c>
      <c r="C114" s="102" t="s">
        <v>797</v>
      </c>
      <c r="D114" s="102" t="s">
        <v>818</v>
      </c>
      <c r="E114" s="102" t="s">
        <v>805</v>
      </c>
      <c r="F114" s="102" t="s">
        <v>630</v>
      </c>
      <c r="G114" s="102" t="s">
        <v>817</v>
      </c>
      <c r="H114" s="101"/>
    </row>
    <row r="115" spans="1:8" s="80" customFormat="1" ht="90" customHeight="1">
      <c r="A115" s="117"/>
      <c r="B115" s="118" t="s">
        <v>803</v>
      </c>
      <c r="C115" s="102" t="s">
        <v>802</v>
      </c>
      <c r="D115" s="102" t="s">
        <v>816</v>
      </c>
      <c r="E115" s="102" t="s">
        <v>800</v>
      </c>
      <c r="F115" s="102" t="s">
        <v>630</v>
      </c>
      <c r="G115" s="102" t="s">
        <v>815</v>
      </c>
      <c r="H115" s="101"/>
    </row>
    <row r="116" spans="1:8" s="80" customFormat="1" ht="90" customHeight="1">
      <c r="A116" s="117"/>
      <c r="B116" s="118" t="s">
        <v>793</v>
      </c>
      <c r="C116" s="102" t="s">
        <v>797</v>
      </c>
      <c r="D116" s="102" t="s">
        <v>814</v>
      </c>
      <c r="E116" s="102" t="s">
        <v>813</v>
      </c>
      <c r="F116" s="102" t="s">
        <v>630</v>
      </c>
      <c r="G116" s="102" t="s">
        <v>812</v>
      </c>
      <c r="H116" s="101"/>
    </row>
    <row r="117" spans="1:8" s="80" customFormat="1" ht="90" customHeight="1">
      <c r="A117" s="117"/>
      <c r="B117" s="118" t="s">
        <v>798</v>
      </c>
      <c r="C117" s="102" t="s">
        <v>797</v>
      </c>
      <c r="D117" s="102" t="s">
        <v>811</v>
      </c>
      <c r="E117" s="102" t="s">
        <v>790</v>
      </c>
      <c r="F117" s="102" t="s">
        <v>630</v>
      </c>
      <c r="G117" s="102" t="s">
        <v>810</v>
      </c>
      <c r="H117" s="101"/>
    </row>
    <row r="118" spans="1:8" s="80" customFormat="1" ht="90" customHeight="1">
      <c r="A118" s="117"/>
      <c r="B118" s="118" t="s">
        <v>793</v>
      </c>
      <c r="C118" s="102" t="s">
        <v>792</v>
      </c>
      <c r="D118" s="102" t="s">
        <v>809</v>
      </c>
      <c r="E118" s="102" t="s">
        <v>808</v>
      </c>
      <c r="F118" s="102" t="s">
        <v>630</v>
      </c>
      <c r="G118" s="102" t="s">
        <v>807</v>
      </c>
      <c r="H118" s="101"/>
    </row>
    <row r="119" spans="1:8" s="80" customFormat="1" ht="90" customHeight="1">
      <c r="A119" s="117"/>
      <c r="B119" s="118" t="s">
        <v>793</v>
      </c>
      <c r="C119" s="102" t="s">
        <v>797</v>
      </c>
      <c r="D119" s="102" t="s">
        <v>806</v>
      </c>
      <c r="E119" s="102" t="s">
        <v>805</v>
      </c>
      <c r="F119" s="102" t="s">
        <v>630</v>
      </c>
      <c r="G119" s="102" t="s">
        <v>804</v>
      </c>
      <c r="H119" s="101"/>
    </row>
    <row r="120" spans="1:8" s="80" customFormat="1" ht="90" customHeight="1">
      <c r="A120" s="117"/>
      <c r="B120" s="118" t="s">
        <v>803</v>
      </c>
      <c r="C120" s="102" t="s">
        <v>802</v>
      </c>
      <c r="D120" s="102" t="s">
        <v>801</v>
      </c>
      <c r="E120" s="102" t="s">
        <v>800</v>
      </c>
      <c r="F120" s="102" t="s">
        <v>630</v>
      </c>
      <c r="G120" s="102" t="s">
        <v>799</v>
      </c>
      <c r="H120" s="101"/>
    </row>
    <row r="121" spans="1:8" s="80" customFormat="1" ht="90" customHeight="1">
      <c r="A121" s="117"/>
      <c r="B121" s="118" t="s">
        <v>798</v>
      </c>
      <c r="C121" s="102" t="s">
        <v>797</v>
      </c>
      <c r="D121" s="102" t="s">
        <v>796</v>
      </c>
      <c r="E121" s="102" t="s">
        <v>795</v>
      </c>
      <c r="F121" s="102" t="s">
        <v>630</v>
      </c>
      <c r="G121" s="102" t="s">
        <v>794</v>
      </c>
      <c r="H121" s="101"/>
    </row>
    <row r="122" spans="1:8" s="80" customFormat="1" ht="90" customHeight="1">
      <c r="A122" s="117"/>
      <c r="B122" s="118" t="s">
        <v>793</v>
      </c>
      <c r="C122" s="102" t="s">
        <v>792</v>
      </c>
      <c r="D122" s="102" t="s">
        <v>791</v>
      </c>
      <c r="E122" s="102" t="s">
        <v>790</v>
      </c>
      <c r="F122" s="102" t="s">
        <v>630</v>
      </c>
      <c r="G122" s="102" t="s">
        <v>789</v>
      </c>
      <c r="H122" s="101"/>
    </row>
    <row r="123" spans="1:8" s="80" customFormat="1" ht="90" customHeight="1">
      <c r="A123" s="117"/>
      <c r="B123" s="118" t="s">
        <v>764</v>
      </c>
      <c r="C123" s="102" t="s">
        <v>763</v>
      </c>
      <c r="D123" s="102" t="s">
        <v>788</v>
      </c>
      <c r="E123" s="102" t="s">
        <v>787</v>
      </c>
      <c r="F123" s="102" t="s">
        <v>555</v>
      </c>
      <c r="G123" s="102" t="s">
        <v>786</v>
      </c>
      <c r="H123" s="104"/>
    </row>
    <row r="124" spans="1:8" s="80" customFormat="1" ht="90" customHeight="1">
      <c r="A124" s="117"/>
      <c r="B124" s="118" t="s">
        <v>764</v>
      </c>
      <c r="C124" s="102" t="s">
        <v>763</v>
      </c>
      <c r="D124" s="102" t="s">
        <v>785</v>
      </c>
      <c r="E124" s="102" t="s">
        <v>784</v>
      </c>
      <c r="F124" s="102" t="s">
        <v>546</v>
      </c>
      <c r="G124" s="102" t="s">
        <v>781</v>
      </c>
      <c r="H124" s="101"/>
    </row>
    <row r="125" spans="1:8" s="80" customFormat="1" ht="90" customHeight="1">
      <c r="A125" s="117"/>
      <c r="B125" s="118" t="s">
        <v>764</v>
      </c>
      <c r="C125" s="102" t="s">
        <v>763</v>
      </c>
      <c r="D125" s="102" t="s">
        <v>783</v>
      </c>
      <c r="E125" s="102" t="s">
        <v>782</v>
      </c>
      <c r="F125" s="102" t="s">
        <v>546</v>
      </c>
      <c r="G125" s="102" t="s">
        <v>781</v>
      </c>
      <c r="H125" s="101"/>
    </row>
    <row r="126" spans="1:8" s="80" customFormat="1" ht="90" customHeight="1">
      <c r="A126" s="117"/>
      <c r="B126" s="118" t="s">
        <v>780</v>
      </c>
      <c r="C126" s="102" t="s">
        <v>763</v>
      </c>
      <c r="D126" s="102" t="s">
        <v>779</v>
      </c>
      <c r="E126" s="102" t="s">
        <v>555</v>
      </c>
      <c r="F126" s="102" t="s">
        <v>778</v>
      </c>
      <c r="G126" s="102" t="s">
        <v>777</v>
      </c>
      <c r="H126" s="101"/>
    </row>
    <row r="127" spans="1:8" s="80" customFormat="1" ht="90" customHeight="1">
      <c r="A127" s="117"/>
      <c r="B127" s="118" t="s">
        <v>764</v>
      </c>
      <c r="C127" s="102" t="s">
        <v>763</v>
      </c>
      <c r="D127" s="102" t="s">
        <v>776</v>
      </c>
      <c r="E127" s="102" t="s">
        <v>775</v>
      </c>
      <c r="F127" s="102" t="s">
        <v>774</v>
      </c>
      <c r="G127" s="102" t="s">
        <v>773</v>
      </c>
      <c r="H127" s="101"/>
    </row>
    <row r="128" spans="1:8" s="80" customFormat="1" ht="90" customHeight="1">
      <c r="A128" s="117"/>
      <c r="B128" s="118" t="s">
        <v>764</v>
      </c>
      <c r="C128" s="102" t="s">
        <v>763</v>
      </c>
      <c r="D128" s="102" t="s">
        <v>772</v>
      </c>
      <c r="E128" s="102" t="s">
        <v>771</v>
      </c>
      <c r="F128" s="102" t="s">
        <v>770</v>
      </c>
      <c r="G128" s="102" t="s">
        <v>769</v>
      </c>
      <c r="H128" s="101"/>
    </row>
    <row r="129" spans="1:8" s="80" customFormat="1" ht="110.25" customHeight="1">
      <c r="A129" s="117"/>
      <c r="B129" s="118" t="s">
        <v>764</v>
      </c>
      <c r="C129" s="102" t="s">
        <v>763</v>
      </c>
      <c r="D129" s="102" t="s">
        <v>768</v>
      </c>
      <c r="E129" s="102" t="s">
        <v>767</v>
      </c>
      <c r="F129" s="102" t="s">
        <v>766</v>
      </c>
      <c r="G129" s="102" t="s">
        <v>765</v>
      </c>
      <c r="H129" s="101"/>
    </row>
    <row r="130" spans="1:8" s="80" customFormat="1" ht="90" customHeight="1">
      <c r="A130" s="117"/>
      <c r="B130" s="118" t="s">
        <v>764</v>
      </c>
      <c r="C130" s="102" t="s">
        <v>763</v>
      </c>
      <c r="D130" s="102" t="s">
        <v>762</v>
      </c>
      <c r="E130" s="102" t="s">
        <v>761</v>
      </c>
      <c r="F130" s="102" t="s">
        <v>546</v>
      </c>
      <c r="G130" s="102" t="s">
        <v>760</v>
      </c>
      <c r="H130" s="101"/>
    </row>
    <row r="131" spans="1:8" s="80" customFormat="1" ht="125.25" customHeight="1">
      <c r="A131" s="117"/>
      <c r="B131" s="118" t="s">
        <v>759</v>
      </c>
      <c r="C131" s="102" t="s">
        <v>754</v>
      </c>
      <c r="D131" s="102" t="s">
        <v>758</v>
      </c>
      <c r="E131" s="102" t="s">
        <v>757</v>
      </c>
      <c r="F131" s="102" t="s">
        <v>307</v>
      </c>
      <c r="G131" s="102" t="s">
        <v>756</v>
      </c>
      <c r="H131" s="101"/>
    </row>
    <row r="132" spans="1:8" s="80" customFormat="1" ht="181.5" customHeight="1">
      <c r="A132" s="117"/>
      <c r="B132" s="118" t="s">
        <v>755</v>
      </c>
      <c r="C132" s="102" t="s">
        <v>754</v>
      </c>
      <c r="D132" s="102" t="s">
        <v>753</v>
      </c>
      <c r="E132" s="102" t="s">
        <v>752</v>
      </c>
      <c r="F132" s="102" t="s">
        <v>546</v>
      </c>
      <c r="G132" s="102" t="s">
        <v>751</v>
      </c>
      <c r="H132" s="101"/>
    </row>
    <row r="133" spans="1:8" s="80" customFormat="1" ht="90" customHeight="1">
      <c r="A133" s="117"/>
      <c r="B133" s="118" t="s">
        <v>739</v>
      </c>
      <c r="C133" s="102" t="s">
        <v>220</v>
      </c>
      <c r="D133" s="102" t="s">
        <v>750</v>
      </c>
      <c r="E133" s="102" t="s">
        <v>749</v>
      </c>
      <c r="F133" s="102" t="s">
        <v>152</v>
      </c>
      <c r="G133" s="102" t="s">
        <v>748</v>
      </c>
      <c r="H133" s="101"/>
    </row>
    <row r="134" spans="1:8" s="80" customFormat="1" ht="90" customHeight="1">
      <c r="A134" s="117"/>
      <c r="B134" s="118" t="s">
        <v>747</v>
      </c>
      <c r="C134" s="102" t="s">
        <v>220</v>
      </c>
      <c r="D134" s="102" t="s">
        <v>746</v>
      </c>
      <c r="E134" s="102" t="s">
        <v>643</v>
      </c>
      <c r="F134" s="102" t="s">
        <v>546</v>
      </c>
      <c r="G134" s="102" t="s">
        <v>745</v>
      </c>
      <c r="H134" s="101"/>
    </row>
    <row r="135" spans="1:8" s="80" customFormat="1" ht="350.25" customHeight="1">
      <c r="A135" s="117"/>
      <c r="B135" s="118" t="s">
        <v>739</v>
      </c>
      <c r="C135" s="102" t="s">
        <v>220</v>
      </c>
      <c r="D135" s="102" t="s">
        <v>744</v>
      </c>
      <c r="E135" s="102" t="s">
        <v>639</v>
      </c>
      <c r="F135" s="102" t="s">
        <v>602</v>
      </c>
      <c r="G135" s="102" t="s">
        <v>743</v>
      </c>
      <c r="H135" s="101"/>
    </row>
    <row r="136" spans="1:8" s="80" customFormat="1" ht="90" customHeight="1">
      <c r="A136" s="117"/>
      <c r="B136" s="118" t="s">
        <v>739</v>
      </c>
      <c r="C136" s="102" t="s">
        <v>220</v>
      </c>
      <c r="D136" s="102" t="s">
        <v>742</v>
      </c>
      <c r="E136" s="102" t="s">
        <v>631</v>
      </c>
      <c r="F136" s="102" t="s">
        <v>741</v>
      </c>
      <c r="G136" s="102" t="s">
        <v>740</v>
      </c>
      <c r="H136" s="103"/>
    </row>
    <row r="137" spans="1:8" s="80" customFormat="1" ht="90" customHeight="1">
      <c r="A137" s="117"/>
      <c r="B137" s="118" t="s">
        <v>739</v>
      </c>
      <c r="C137" s="102" t="s">
        <v>220</v>
      </c>
      <c r="D137" s="102" t="s">
        <v>738</v>
      </c>
      <c r="E137" s="102" t="s">
        <v>631</v>
      </c>
      <c r="F137" s="102" t="s">
        <v>630</v>
      </c>
      <c r="G137" s="102" t="s">
        <v>737</v>
      </c>
      <c r="H137" s="101"/>
    </row>
    <row r="138" spans="1:8" s="80" customFormat="1" ht="90" customHeight="1">
      <c r="A138" s="117"/>
      <c r="B138" s="118" t="s">
        <v>716</v>
      </c>
      <c r="C138" s="102" t="s">
        <v>249</v>
      </c>
      <c r="D138" s="102" t="s">
        <v>736</v>
      </c>
      <c r="E138" s="102" t="s">
        <v>304</v>
      </c>
      <c r="F138" s="102" t="s">
        <v>303</v>
      </c>
      <c r="G138" s="102" t="s">
        <v>735</v>
      </c>
      <c r="H138" s="101"/>
    </row>
    <row r="139" spans="1:8" s="80" customFormat="1" ht="90" customHeight="1">
      <c r="A139" s="117"/>
      <c r="B139" s="118" t="s">
        <v>716</v>
      </c>
      <c r="C139" s="102" t="s">
        <v>249</v>
      </c>
      <c r="D139" s="102" t="s">
        <v>734</v>
      </c>
      <c r="E139" s="102" t="s">
        <v>733</v>
      </c>
      <c r="F139" s="102" t="s">
        <v>303</v>
      </c>
      <c r="G139" s="102" t="s">
        <v>732</v>
      </c>
      <c r="H139" s="101"/>
    </row>
    <row r="140" spans="1:8" s="80" customFormat="1" ht="161.25" customHeight="1">
      <c r="A140" s="117"/>
      <c r="B140" s="118" t="s">
        <v>703</v>
      </c>
      <c r="C140" s="102" t="s">
        <v>249</v>
      </c>
      <c r="D140" s="102" t="s">
        <v>731</v>
      </c>
      <c r="E140" s="102" t="s">
        <v>297</v>
      </c>
      <c r="F140" s="102" t="s">
        <v>728</v>
      </c>
      <c r="G140" s="102" t="s">
        <v>727</v>
      </c>
      <c r="H140" s="101"/>
    </row>
    <row r="141" spans="1:8" s="80" customFormat="1" ht="132.75" customHeight="1">
      <c r="A141" s="117"/>
      <c r="B141" s="118" t="s">
        <v>703</v>
      </c>
      <c r="C141" s="102" t="s">
        <v>249</v>
      </c>
      <c r="D141" s="102" t="s">
        <v>730</v>
      </c>
      <c r="E141" s="102" t="s">
        <v>729</v>
      </c>
      <c r="F141" s="102" t="s">
        <v>728</v>
      </c>
      <c r="G141" s="102" t="s">
        <v>727</v>
      </c>
      <c r="H141" s="101"/>
    </row>
    <row r="142" spans="1:8" s="80" customFormat="1" ht="90" customHeight="1">
      <c r="A142" s="117"/>
      <c r="B142" s="118" t="s">
        <v>708</v>
      </c>
      <c r="C142" s="102" t="s">
        <v>249</v>
      </c>
      <c r="D142" s="102" t="s">
        <v>288</v>
      </c>
      <c r="E142" s="102" t="s">
        <v>724</v>
      </c>
      <c r="F142" s="102" t="s">
        <v>723</v>
      </c>
      <c r="G142" s="102" t="s">
        <v>726</v>
      </c>
      <c r="H142" s="101"/>
    </row>
    <row r="143" spans="1:8" s="80" customFormat="1" ht="90" customHeight="1">
      <c r="A143" s="117"/>
      <c r="B143" s="118" t="s">
        <v>708</v>
      </c>
      <c r="C143" s="102" t="s">
        <v>249</v>
      </c>
      <c r="D143" s="102" t="s">
        <v>725</v>
      </c>
      <c r="E143" s="102" t="s">
        <v>724</v>
      </c>
      <c r="F143" s="102" t="s">
        <v>723</v>
      </c>
      <c r="G143" s="102" t="s">
        <v>722</v>
      </c>
      <c r="H143" s="101"/>
    </row>
    <row r="144" spans="1:8" s="80" customFormat="1" ht="90" customHeight="1">
      <c r="A144" s="117"/>
      <c r="B144" s="118" t="s">
        <v>703</v>
      </c>
      <c r="C144" s="102" t="s">
        <v>249</v>
      </c>
      <c r="D144" s="102" t="s">
        <v>719</v>
      </c>
      <c r="E144" s="102" t="s">
        <v>721</v>
      </c>
      <c r="F144" s="102" t="s">
        <v>264</v>
      </c>
      <c r="G144" s="102" t="s">
        <v>720</v>
      </c>
      <c r="H144" s="101"/>
    </row>
    <row r="145" spans="1:8" s="80" customFormat="1" ht="90" customHeight="1">
      <c r="A145" s="117"/>
      <c r="B145" s="118" t="s">
        <v>703</v>
      </c>
      <c r="C145" s="102" t="s">
        <v>249</v>
      </c>
      <c r="D145" s="102" t="s">
        <v>719</v>
      </c>
      <c r="E145" s="102" t="s">
        <v>718</v>
      </c>
      <c r="F145" s="102" t="s">
        <v>264</v>
      </c>
      <c r="G145" s="102" t="s">
        <v>717</v>
      </c>
      <c r="H145" s="101"/>
    </row>
    <row r="146" spans="1:8" s="80" customFormat="1" ht="108" customHeight="1">
      <c r="A146" s="117"/>
      <c r="B146" s="118" t="s">
        <v>716</v>
      </c>
      <c r="C146" s="102" t="s">
        <v>249</v>
      </c>
      <c r="D146" s="102" t="s">
        <v>715</v>
      </c>
      <c r="E146" s="102" t="s">
        <v>714</v>
      </c>
      <c r="F146" s="102" t="s">
        <v>264</v>
      </c>
      <c r="G146" s="102" t="s">
        <v>713</v>
      </c>
      <c r="H146" s="101"/>
    </row>
    <row r="147" spans="1:8" s="80" customFormat="1" ht="90" customHeight="1">
      <c r="A147" s="117"/>
      <c r="B147" s="118" t="s">
        <v>703</v>
      </c>
      <c r="C147" s="102" t="s">
        <v>249</v>
      </c>
      <c r="D147" s="102" t="s">
        <v>712</v>
      </c>
      <c r="E147" s="102" t="s">
        <v>711</v>
      </c>
      <c r="F147" s="102" t="s">
        <v>264</v>
      </c>
      <c r="G147" s="102" t="s">
        <v>710</v>
      </c>
      <c r="H147" s="101"/>
    </row>
    <row r="148" spans="1:8" s="80" customFormat="1" ht="121.5" customHeight="1">
      <c r="A148" s="117"/>
      <c r="B148" s="118" t="s">
        <v>708</v>
      </c>
      <c r="C148" s="102" t="s">
        <v>249</v>
      </c>
      <c r="D148" s="102" t="s">
        <v>266</v>
      </c>
      <c r="E148" s="102" t="s">
        <v>709</v>
      </c>
      <c r="F148" s="102" t="s">
        <v>264</v>
      </c>
      <c r="G148" s="102" t="s">
        <v>706</v>
      </c>
      <c r="H148" s="101"/>
    </row>
    <row r="149" spans="1:8" s="80" customFormat="1" ht="126.75" customHeight="1">
      <c r="A149" s="117"/>
      <c r="B149" s="118" t="s">
        <v>708</v>
      </c>
      <c r="C149" s="102" t="s">
        <v>249</v>
      </c>
      <c r="D149" s="102" t="s">
        <v>266</v>
      </c>
      <c r="E149" s="102" t="s">
        <v>707</v>
      </c>
      <c r="F149" s="102" t="s">
        <v>264</v>
      </c>
      <c r="G149" s="102" t="s">
        <v>706</v>
      </c>
      <c r="H149" s="101"/>
    </row>
    <row r="150" spans="1:8" s="80" customFormat="1" ht="90" customHeight="1">
      <c r="A150" s="117"/>
      <c r="B150" s="118" t="s">
        <v>703</v>
      </c>
      <c r="C150" s="102" t="s">
        <v>249</v>
      </c>
      <c r="D150" s="102" t="s">
        <v>705</v>
      </c>
      <c r="E150" s="102" t="s">
        <v>260</v>
      </c>
      <c r="F150" s="102" t="s">
        <v>700</v>
      </c>
      <c r="G150" s="102" t="s">
        <v>704</v>
      </c>
      <c r="H150" s="101"/>
    </row>
    <row r="151" spans="1:8" s="80" customFormat="1" ht="90" customHeight="1">
      <c r="A151" s="117"/>
      <c r="B151" s="118" t="s">
        <v>703</v>
      </c>
      <c r="C151" s="102" t="s">
        <v>249</v>
      </c>
      <c r="D151" s="102" t="s">
        <v>702</v>
      </c>
      <c r="E151" s="102" t="s">
        <v>701</v>
      </c>
      <c r="F151" s="102" t="s">
        <v>700</v>
      </c>
      <c r="G151" s="102" t="s">
        <v>699</v>
      </c>
      <c r="H151" s="101"/>
    </row>
    <row r="152" spans="1:8" s="80" customFormat="1" ht="90" customHeight="1">
      <c r="A152" s="117"/>
      <c r="B152" s="118" t="s">
        <v>680</v>
      </c>
      <c r="C152" s="102" t="s">
        <v>190</v>
      </c>
      <c r="D152" s="102" t="s">
        <v>698</v>
      </c>
      <c r="E152" s="102" t="s">
        <v>697</v>
      </c>
      <c r="F152" s="102" t="s">
        <v>664</v>
      </c>
      <c r="G152" s="102" t="s">
        <v>214</v>
      </c>
      <c r="H152" s="101"/>
    </row>
    <row r="153" spans="1:8" s="80" customFormat="1" ht="90" customHeight="1">
      <c r="A153" s="117"/>
      <c r="B153" s="118" t="s">
        <v>651</v>
      </c>
      <c r="C153" s="102" t="s">
        <v>190</v>
      </c>
      <c r="D153" s="102" t="s">
        <v>696</v>
      </c>
      <c r="E153" s="102" t="s">
        <v>686</v>
      </c>
      <c r="F153" s="102" t="s">
        <v>546</v>
      </c>
      <c r="G153" s="102" t="s">
        <v>695</v>
      </c>
      <c r="H153" s="101"/>
    </row>
    <row r="154" spans="1:8" s="80" customFormat="1" ht="90" customHeight="1">
      <c r="A154" s="117"/>
      <c r="B154" s="118" t="s">
        <v>651</v>
      </c>
      <c r="C154" s="102" t="s">
        <v>190</v>
      </c>
      <c r="D154" s="102" t="s">
        <v>694</v>
      </c>
      <c r="E154" s="102" t="s">
        <v>693</v>
      </c>
      <c r="F154" s="102" t="s">
        <v>692</v>
      </c>
      <c r="G154" s="102" t="s">
        <v>691</v>
      </c>
      <c r="H154" s="101"/>
    </row>
    <row r="155" spans="1:8" s="80" customFormat="1" ht="90" customHeight="1">
      <c r="A155" s="117"/>
      <c r="B155" s="118" t="s">
        <v>651</v>
      </c>
      <c r="C155" s="102" t="s">
        <v>190</v>
      </c>
      <c r="D155" s="102" t="s">
        <v>690</v>
      </c>
      <c r="E155" s="102" t="s">
        <v>689</v>
      </c>
      <c r="F155" s="102" t="s">
        <v>688</v>
      </c>
      <c r="G155" s="102" t="s">
        <v>685</v>
      </c>
      <c r="H155" s="101"/>
    </row>
    <row r="156" spans="1:8" s="80" customFormat="1" ht="90" customHeight="1">
      <c r="A156" s="117"/>
      <c r="B156" s="118" t="s">
        <v>651</v>
      </c>
      <c r="C156" s="102" t="s">
        <v>190</v>
      </c>
      <c r="D156" s="102" t="s">
        <v>687</v>
      </c>
      <c r="E156" s="102" t="s">
        <v>686</v>
      </c>
      <c r="F156" s="102" t="s">
        <v>546</v>
      </c>
      <c r="G156" s="102" t="s">
        <v>685</v>
      </c>
      <c r="H156" s="101"/>
    </row>
    <row r="157" spans="1:8" s="80" customFormat="1" ht="90" customHeight="1">
      <c r="A157" s="117"/>
      <c r="B157" s="118" t="s">
        <v>651</v>
      </c>
      <c r="C157" s="102" t="s">
        <v>190</v>
      </c>
      <c r="D157" s="102" t="s">
        <v>684</v>
      </c>
      <c r="E157" s="102" t="s">
        <v>683</v>
      </c>
      <c r="F157" s="102" t="s">
        <v>682</v>
      </c>
      <c r="G157" s="102" t="s">
        <v>681</v>
      </c>
      <c r="H157" s="101"/>
    </row>
    <row r="158" spans="1:8" s="80" customFormat="1" ht="111.75" customHeight="1">
      <c r="A158" s="117"/>
      <c r="B158" s="118" t="s">
        <v>680</v>
      </c>
      <c r="C158" s="102" t="s">
        <v>190</v>
      </c>
      <c r="D158" s="102" t="s">
        <v>679</v>
      </c>
      <c r="E158" s="102" t="s">
        <v>678</v>
      </c>
      <c r="F158" s="102" t="s">
        <v>674</v>
      </c>
      <c r="G158" s="102" t="s">
        <v>677</v>
      </c>
      <c r="H158" s="101"/>
    </row>
    <row r="159" spans="1:8" s="80" customFormat="1" ht="131.25" customHeight="1">
      <c r="A159" s="117"/>
      <c r="B159" s="118" t="s">
        <v>651</v>
      </c>
      <c r="C159" s="102" t="s">
        <v>190</v>
      </c>
      <c r="D159" s="102" t="s">
        <v>676</v>
      </c>
      <c r="E159" s="102" t="s">
        <v>675</v>
      </c>
      <c r="F159" s="102" t="s">
        <v>674</v>
      </c>
      <c r="G159" s="102" t="s">
        <v>673</v>
      </c>
      <c r="H159" s="101"/>
    </row>
    <row r="160" spans="1:8" s="80" customFormat="1" ht="90" customHeight="1">
      <c r="A160" s="117"/>
      <c r="B160" s="118" t="s">
        <v>651</v>
      </c>
      <c r="C160" s="102" t="s">
        <v>190</v>
      </c>
      <c r="D160" s="102" t="s">
        <v>672</v>
      </c>
      <c r="E160" s="102" t="s">
        <v>671</v>
      </c>
      <c r="F160" s="102" t="s">
        <v>670</v>
      </c>
      <c r="G160" s="102" t="s">
        <v>669</v>
      </c>
      <c r="H160" s="101"/>
    </row>
    <row r="161" spans="1:8" s="80" customFormat="1" ht="90" customHeight="1">
      <c r="A161" s="117"/>
      <c r="B161" s="118" t="s">
        <v>651</v>
      </c>
      <c r="C161" s="102" t="s">
        <v>190</v>
      </c>
      <c r="D161" s="102" t="s">
        <v>667</v>
      </c>
      <c r="E161" s="102" t="s">
        <v>665</v>
      </c>
      <c r="F161" s="102" t="s">
        <v>660</v>
      </c>
      <c r="G161" s="102" t="s">
        <v>668</v>
      </c>
      <c r="H161" s="101"/>
    </row>
    <row r="162" spans="1:8" s="80" customFormat="1" ht="90" customHeight="1">
      <c r="A162" s="117"/>
      <c r="B162" s="118" t="s">
        <v>651</v>
      </c>
      <c r="C162" s="102" t="s">
        <v>190</v>
      </c>
      <c r="D162" s="102" t="s">
        <v>667</v>
      </c>
      <c r="E162" s="102" t="s">
        <v>206</v>
      </c>
      <c r="F162" s="102" t="s">
        <v>660</v>
      </c>
      <c r="G162" s="102" t="s">
        <v>208</v>
      </c>
      <c r="H162" s="101"/>
    </row>
    <row r="163" spans="1:8" s="80" customFormat="1" ht="90" customHeight="1">
      <c r="A163" s="117"/>
      <c r="B163" s="118" t="s">
        <v>651</v>
      </c>
      <c r="C163" s="102" t="s">
        <v>190</v>
      </c>
      <c r="D163" s="102" t="s">
        <v>666</v>
      </c>
      <c r="E163" s="102" t="s">
        <v>665</v>
      </c>
      <c r="F163" s="102" t="s">
        <v>664</v>
      </c>
      <c r="G163" s="102" t="s">
        <v>663</v>
      </c>
      <c r="H163" s="101"/>
    </row>
    <row r="164" spans="1:8" s="80" customFormat="1" ht="90" customHeight="1">
      <c r="A164" s="117"/>
      <c r="B164" s="118" t="s">
        <v>662</v>
      </c>
      <c r="C164" s="102" t="s">
        <v>190</v>
      </c>
      <c r="D164" s="102" t="s">
        <v>661</v>
      </c>
      <c r="E164" s="102" t="s">
        <v>206</v>
      </c>
      <c r="F164" s="102" t="s">
        <v>660</v>
      </c>
      <c r="G164" s="102" t="s">
        <v>659</v>
      </c>
      <c r="H164" s="101"/>
    </row>
    <row r="165" spans="1:8" s="80" customFormat="1" ht="90" customHeight="1">
      <c r="A165" s="117"/>
      <c r="B165" s="118" t="s">
        <v>651</v>
      </c>
      <c r="C165" s="102" t="s">
        <v>190</v>
      </c>
      <c r="D165" s="102" t="s">
        <v>658</v>
      </c>
      <c r="E165" s="102" t="s">
        <v>657</v>
      </c>
      <c r="F165" s="102" t="s">
        <v>656</v>
      </c>
      <c r="G165" s="102" t="s">
        <v>200</v>
      </c>
      <c r="H165" s="101"/>
    </row>
    <row r="166" spans="1:8" s="80" customFormat="1" ht="90" customHeight="1">
      <c r="A166" s="117"/>
      <c r="B166" s="118" t="s">
        <v>651</v>
      </c>
      <c r="C166" s="102" t="s">
        <v>190</v>
      </c>
      <c r="D166" s="102" t="s">
        <v>655</v>
      </c>
      <c r="E166" s="102" t="s">
        <v>654</v>
      </c>
      <c r="F166" s="102" t="s">
        <v>653</v>
      </c>
      <c r="G166" s="102" t="s">
        <v>652</v>
      </c>
      <c r="H166" s="101"/>
    </row>
    <row r="167" spans="1:8" s="80" customFormat="1" ht="90" customHeight="1">
      <c r="A167" s="117"/>
      <c r="B167" s="118" t="s">
        <v>651</v>
      </c>
      <c r="C167" s="102" t="s">
        <v>190</v>
      </c>
      <c r="D167" s="102" t="s">
        <v>650</v>
      </c>
      <c r="E167" s="102" t="s">
        <v>649</v>
      </c>
      <c r="F167" s="102" t="s">
        <v>211</v>
      </c>
      <c r="G167" s="84" t="s">
        <v>210</v>
      </c>
      <c r="H167" s="101"/>
    </row>
    <row r="168" spans="1:8" s="80" customFormat="1" ht="90" customHeight="1">
      <c r="A168" s="117"/>
      <c r="B168" s="118" t="s">
        <v>645</v>
      </c>
      <c r="C168" s="102" t="s">
        <v>633</v>
      </c>
      <c r="D168" s="102" t="s">
        <v>648</v>
      </c>
      <c r="E168" s="102" t="s">
        <v>647</v>
      </c>
      <c r="F168" s="102" t="s">
        <v>630</v>
      </c>
      <c r="G168" s="102" t="s">
        <v>646</v>
      </c>
      <c r="H168" s="101"/>
    </row>
    <row r="169" spans="1:8" s="80" customFormat="1" ht="90" customHeight="1">
      <c r="A169" s="117"/>
      <c r="B169" s="118" t="s">
        <v>645</v>
      </c>
      <c r="C169" s="102" t="s">
        <v>633</v>
      </c>
      <c r="D169" s="102" t="s">
        <v>644</v>
      </c>
      <c r="E169" s="102" t="s">
        <v>643</v>
      </c>
      <c r="F169" s="102" t="s">
        <v>546</v>
      </c>
      <c r="G169" s="102" t="s">
        <v>642</v>
      </c>
      <c r="H169" s="101"/>
    </row>
    <row r="170" spans="1:8" s="80" customFormat="1" ht="377.25" customHeight="1">
      <c r="A170" s="117"/>
      <c r="B170" s="118" t="s">
        <v>641</v>
      </c>
      <c r="C170" s="102" t="s">
        <v>633</v>
      </c>
      <c r="D170" s="102" t="s">
        <v>640</v>
      </c>
      <c r="E170" s="102" t="s">
        <v>639</v>
      </c>
      <c r="F170" s="102" t="s">
        <v>630</v>
      </c>
      <c r="G170" s="102" t="s">
        <v>638</v>
      </c>
      <c r="H170" s="101"/>
    </row>
    <row r="171" spans="1:8" s="80" customFormat="1" ht="90" customHeight="1">
      <c r="A171" s="117"/>
      <c r="B171" s="118" t="s">
        <v>634</v>
      </c>
      <c r="C171" s="102" t="s">
        <v>633</v>
      </c>
      <c r="D171" s="102" t="s">
        <v>637</v>
      </c>
      <c r="E171" s="102" t="s">
        <v>631</v>
      </c>
      <c r="F171" s="102" t="s">
        <v>636</v>
      </c>
      <c r="G171" s="102" t="s">
        <v>635</v>
      </c>
      <c r="H171" s="101"/>
    </row>
    <row r="172" spans="1:8" s="80" customFormat="1" ht="90" customHeight="1">
      <c r="A172" s="117"/>
      <c r="B172" s="118" t="s">
        <v>634</v>
      </c>
      <c r="C172" s="102" t="s">
        <v>633</v>
      </c>
      <c r="D172" s="102" t="s">
        <v>632</v>
      </c>
      <c r="E172" s="102" t="s">
        <v>631</v>
      </c>
      <c r="F172" s="102" t="s">
        <v>630</v>
      </c>
      <c r="G172" s="102" t="s">
        <v>629</v>
      </c>
      <c r="H172" s="101"/>
    </row>
    <row r="173" spans="1:8" s="80" customFormat="1" ht="138" customHeight="1">
      <c r="A173" s="117"/>
      <c r="B173" s="118" t="s">
        <v>615</v>
      </c>
      <c r="C173" s="102" t="s">
        <v>614</v>
      </c>
      <c r="D173" s="102" t="s">
        <v>628</v>
      </c>
      <c r="E173" s="102" t="s">
        <v>612</v>
      </c>
      <c r="F173" s="102" t="s">
        <v>627</v>
      </c>
      <c r="G173" s="102" t="s">
        <v>626</v>
      </c>
      <c r="H173" s="101"/>
    </row>
    <row r="174" spans="1:8" s="80" customFormat="1" ht="90" customHeight="1">
      <c r="A174" s="117"/>
      <c r="B174" s="118" t="s">
        <v>625</v>
      </c>
      <c r="C174" s="102" t="s">
        <v>614</v>
      </c>
      <c r="D174" s="102" t="s">
        <v>624</v>
      </c>
      <c r="E174" s="102" t="s">
        <v>623</v>
      </c>
      <c r="F174" s="102" t="s">
        <v>622</v>
      </c>
      <c r="G174" s="102" t="s">
        <v>621</v>
      </c>
      <c r="H174" s="101"/>
    </row>
    <row r="175" spans="1:8" s="80" customFormat="1" ht="90" customHeight="1">
      <c r="A175" s="117"/>
      <c r="B175" s="118" t="s">
        <v>620</v>
      </c>
      <c r="C175" s="102" t="s">
        <v>614</v>
      </c>
      <c r="D175" s="102" t="s">
        <v>619</v>
      </c>
      <c r="E175" s="102" t="s">
        <v>618</v>
      </c>
      <c r="F175" s="102" t="s">
        <v>617</v>
      </c>
      <c r="G175" s="102" t="s">
        <v>616</v>
      </c>
      <c r="H175" s="101"/>
    </row>
    <row r="176" spans="1:8" s="80" customFormat="1" ht="138.75" customHeight="1">
      <c r="A176" s="117"/>
      <c r="B176" s="118" t="s">
        <v>615</v>
      </c>
      <c r="C176" s="102" t="s">
        <v>614</v>
      </c>
      <c r="D176" s="102" t="s">
        <v>613</v>
      </c>
      <c r="E176" s="102" t="s">
        <v>612</v>
      </c>
      <c r="F176" s="102" t="s">
        <v>611</v>
      </c>
      <c r="G176" s="102" t="s">
        <v>610</v>
      </c>
      <c r="H176" s="101"/>
    </row>
    <row r="177" spans="1:8" s="80" customFormat="1" ht="90" customHeight="1">
      <c r="A177" s="117"/>
      <c r="B177" s="118" t="s">
        <v>606</v>
      </c>
      <c r="C177" s="102" t="s">
        <v>605</v>
      </c>
      <c r="D177" s="102" t="s">
        <v>609</v>
      </c>
      <c r="E177" s="102" t="s">
        <v>608</v>
      </c>
      <c r="F177" s="102" t="s">
        <v>602</v>
      </c>
      <c r="G177" s="102" t="s">
        <v>607</v>
      </c>
      <c r="H177" s="101"/>
    </row>
    <row r="178" spans="1:8" s="80" customFormat="1" ht="123.75" customHeight="1">
      <c r="A178" s="117"/>
      <c r="B178" s="118" t="s">
        <v>606</v>
      </c>
      <c r="C178" s="102" t="s">
        <v>605</v>
      </c>
      <c r="D178" s="102" t="s">
        <v>604</v>
      </c>
      <c r="E178" s="102" t="s">
        <v>603</v>
      </c>
      <c r="F178" s="102" t="s">
        <v>602</v>
      </c>
      <c r="G178" s="102" t="s">
        <v>601</v>
      </c>
      <c r="H178" s="101"/>
    </row>
    <row r="179" spans="1:8" s="80" customFormat="1" ht="90.75" customHeight="1">
      <c r="A179" s="117"/>
      <c r="B179" s="118" t="s">
        <v>586</v>
      </c>
      <c r="C179" s="102" t="s">
        <v>580</v>
      </c>
      <c r="D179" s="102" t="s">
        <v>596</v>
      </c>
      <c r="E179" s="102" t="s">
        <v>600</v>
      </c>
      <c r="F179" s="102" t="s">
        <v>583</v>
      </c>
      <c r="G179" s="102" t="s">
        <v>599</v>
      </c>
      <c r="H179" s="101"/>
    </row>
    <row r="180" spans="1:8" s="80" customFormat="1" ht="113.25" customHeight="1">
      <c r="A180" s="117"/>
      <c r="B180" s="118" t="s">
        <v>586</v>
      </c>
      <c r="C180" s="102" t="s">
        <v>580</v>
      </c>
      <c r="D180" s="102" t="s">
        <v>596</v>
      </c>
      <c r="E180" s="102" t="s">
        <v>598</v>
      </c>
      <c r="F180" s="102" t="s">
        <v>583</v>
      </c>
      <c r="G180" s="102" t="s">
        <v>597</v>
      </c>
      <c r="H180" s="101"/>
    </row>
    <row r="181" spans="1:8" s="80" customFormat="1" ht="90.75" customHeight="1">
      <c r="A181" s="117"/>
      <c r="B181" s="118" t="s">
        <v>581</v>
      </c>
      <c r="C181" s="102" t="s">
        <v>580</v>
      </c>
      <c r="D181" s="102" t="s">
        <v>596</v>
      </c>
      <c r="E181" s="102" t="s">
        <v>595</v>
      </c>
      <c r="F181" s="102" t="s">
        <v>591</v>
      </c>
      <c r="G181" s="102" t="s">
        <v>594</v>
      </c>
      <c r="H181" s="101"/>
    </row>
    <row r="182" spans="1:8" s="80" customFormat="1" ht="119.25" customHeight="1">
      <c r="A182" s="117"/>
      <c r="B182" s="118" t="s">
        <v>586</v>
      </c>
      <c r="C182" s="102" t="s">
        <v>580</v>
      </c>
      <c r="D182" s="102" t="s">
        <v>593</v>
      </c>
      <c r="E182" s="102" t="s">
        <v>592</v>
      </c>
      <c r="F182" s="102" t="s">
        <v>591</v>
      </c>
      <c r="G182" s="102" t="s">
        <v>590</v>
      </c>
      <c r="H182" s="101"/>
    </row>
    <row r="183" spans="1:8" s="80" customFormat="1" ht="120.75" customHeight="1">
      <c r="A183" s="117"/>
      <c r="B183" s="118" t="s">
        <v>581</v>
      </c>
      <c r="C183" s="102" t="s">
        <v>580</v>
      </c>
      <c r="D183" s="102" t="s">
        <v>589</v>
      </c>
      <c r="E183" s="102" t="s">
        <v>588</v>
      </c>
      <c r="F183" s="102" t="s">
        <v>583</v>
      </c>
      <c r="G183" s="102" t="s">
        <v>587</v>
      </c>
      <c r="H183" s="101"/>
    </row>
    <row r="184" spans="1:8" s="80" customFormat="1" ht="126" customHeight="1">
      <c r="A184" s="117"/>
      <c r="B184" s="118" t="s">
        <v>586</v>
      </c>
      <c r="C184" s="102" t="s">
        <v>580</v>
      </c>
      <c r="D184" s="102" t="s">
        <v>585</v>
      </c>
      <c r="E184" s="102" t="s">
        <v>584</v>
      </c>
      <c r="F184" s="102" t="s">
        <v>583</v>
      </c>
      <c r="G184" s="102" t="s">
        <v>582</v>
      </c>
      <c r="H184" s="101"/>
    </row>
    <row r="185" spans="1:8" s="80" customFormat="1" ht="90.75" customHeight="1">
      <c r="A185" s="117"/>
      <c r="B185" s="118" t="s">
        <v>581</v>
      </c>
      <c r="C185" s="102" t="s">
        <v>580</v>
      </c>
      <c r="D185" s="102" t="s">
        <v>579</v>
      </c>
      <c r="E185" s="102" t="s">
        <v>578</v>
      </c>
      <c r="F185" s="102" t="s">
        <v>577</v>
      </c>
      <c r="G185" s="102" t="s">
        <v>576</v>
      </c>
      <c r="H185" s="101"/>
    </row>
    <row r="186" spans="1:8" s="80" customFormat="1" ht="90" customHeight="1">
      <c r="A186" s="117"/>
      <c r="B186" s="118" t="s">
        <v>550</v>
      </c>
      <c r="C186" s="102" t="s">
        <v>561</v>
      </c>
      <c r="D186" s="102" t="s">
        <v>575</v>
      </c>
      <c r="E186" s="102" t="s">
        <v>574</v>
      </c>
      <c r="F186" s="102" t="s">
        <v>211</v>
      </c>
      <c r="G186" s="102" t="s">
        <v>573</v>
      </c>
      <c r="H186" s="101"/>
    </row>
    <row r="187" spans="1:8" s="80" customFormat="1" ht="90" customHeight="1">
      <c r="A187" s="117"/>
      <c r="B187" s="118" t="s">
        <v>550</v>
      </c>
      <c r="C187" s="102" t="s">
        <v>549</v>
      </c>
      <c r="D187" s="102" t="s">
        <v>572</v>
      </c>
      <c r="E187" s="102" t="s">
        <v>567</v>
      </c>
      <c r="F187" s="102" t="s">
        <v>211</v>
      </c>
      <c r="G187" s="102" t="s">
        <v>571</v>
      </c>
      <c r="H187" s="101"/>
    </row>
    <row r="188" spans="1:8" s="80" customFormat="1" ht="90" customHeight="1">
      <c r="A188" s="117"/>
      <c r="B188" s="118" t="s">
        <v>550</v>
      </c>
      <c r="C188" s="102" t="s">
        <v>549</v>
      </c>
      <c r="D188" s="102" t="s">
        <v>572</v>
      </c>
      <c r="E188" s="102" t="s">
        <v>564</v>
      </c>
      <c r="F188" s="102" t="s">
        <v>211</v>
      </c>
      <c r="G188" s="102" t="s">
        <v>571</v>
      </c>
      <c r="H188" s="101"/>
    </row>
    <row r="189" spans="1:8" s="80" customFormat="1" ht="90" customHeight="1">
      <c r="A189" s="117"/>
      <c r="B189" s="118" t="s">
        <v>550</v>
      </c>
      <c r="C189" s="102" t="s">
        <v>549</v>
      </c>
      <c r="D189" s="102" t="s">
        <v>570</v>
      </c>
      <c r="E189" s="102" t="s">
        <v>569</v>
      </c>
      <c r="F189" s="102" t="s">
        <v>211</v>
      </c>
      <c r="G189" s="102" t="s">
        <v>568</v>
      </c>
      <c r="H189" s="101"/>
    </row>
    <row r="190" spans="1:8" s="80" customFormat="1" ht="90" customHeight="1">
      <c r="A190" s="117"/>
      <c r="B190" s="118" t="s">
        <v>550</v>
      </c>
      <c r="C190" s="102" t="s">
        <v>549</v>
      </c>
      <c r="D190" s="102" t="s">
        <v>565</v>
      </c>
      <c r="E190" s="102" t="s">
        <v>567</v>
      </c>
      <c r="F190" s="102" t="s">
        <v>211</v>
      </c>
      <c r="G190" s="102" t="s">
        <v>566</v>
      </c>
      <c r="H190" s="101"/>
    </row>
    <row r="191" spans="1:8" s="80" customFormat="1" ht="90" customHeight="1">
      <c r="A191" s="117"/>
      <c r="B191" s="118" t="s">
        <v>550</v>
      </c>
      <c r="C191" s="102" t="s">
        <v>549</v>
      </c>
      <c r="D191" s="102" t="s">
        <v>565</v>
      </c>
      <c r="E191" s="102" t="s">
        <v>564</v>
      </c>
      <c r="F191" s="102" t="s">
        <v>211</v>
      </c>
      <c r="G191" s="102" t="s">
        <v>563</v>
      </c>
      <c r="H191" s="101"/>
    </row>
    <row r="192" spans="1:8" s="80" customFormat="1" ht="90" customHeight="1">
      <c r="A192" s="117"/>
      <c r="B192" s="118" t="s">
        <v>550</v>
      </c>
      <c r="C192" s="102" t="s">
        <v>549</v>
      </c>
      <c r="D192" s="102" t="s">
        <v>560</v>
      </c>
      <c r="E192" s="102" t="s">
        <v>562</v>
      </c>
      <c r="F192" s="102" t="s">
        <v>546</v>
      </c>
      <c r="G192" s="102" t="s">
        <v>558</v>
      </c>
      <c r="H192" s="101"/>
    </row>
    <row r="193" spans="1:8" s="80" customFormat="1" ht="90" customHeight="1">
      <c r="A193" s="117"/>
      <c r="B193" s="118" t="s">
        <v>550</v>
      </c>
      <c r="C193" s="102" t="s">
        <v>561</v>
      </c>
      <c r="D193" s="102" t="s">
        <v>560</v>
      </c>
      <c r="E193" s="102" t="s">
        <v>559</v>
      </c>
      <c r="F193" s="102" t="s">
        <v>555</v>
      </c>
      <c r="G193" s="102" t="s">
        <v>558</v>
      </c>
      <c r="H193" s="101"/>
    </row>
    <row r="194" spans="1:8" s="80" customFormat="1" ht="90" customHeight="1">
      <c r="A194" s="117"/>
      <c r="B194" s="118" t="s">
        <v>550</v>
      </c>
      <c r="C194" s="102" t="s">
        <v>549</v>
      </c>
      <c r="D194" s="102" t="s">
        <v>557</v>
      </c>
      <c r="E194" s="102" t="s">
        <v>556</v>
      </c>
      <c r="F194" s="102" t="s">
        <v>555</v>
      </c>
      <c r="G194" s="102" t="s">
        <v>554</v>
      </c>
      <c r="H194" s="101"/>
    </row>
    <row r="195" spans="1:8" s="80" customFormat="1" ht="114.75" customHeight="1">
      <c r="A195" s="117"/>
      <c r="B195" s="118" t="s">
        <v>550</v>
      </c>
      <c r="C195" s="102" t="s">
        <v>549</v>
      </c>
      <c r="D195" s="102" t="s">
        <v>553</v>
      </c>
      <c r="E195" s="102" t="s">
        <v>552</v>
      </c>
      <c r="F195" s="102" t="s">
        <v>546</v>
      </c>
      <c r="G195" s="102" t="s">
        <v>551</v>
      </c>
      <c r="H195" s="101"/>
    </row>
    <row r="196" spans="1:8" s="80" customFormat="1" ht="90" customHeight="1" thickBot="1">
      <c r="A196" s="120"/>
      <c r="B196" s="119" t="s">
        <v>550</v>
      </c>
      <c r="C196" s="100" t="s">
        <v>549</v>
      </c>
      <c r="D196" s="100" t="s">
        <v>548</v>
      </c>
      <c r="E196" s="100" t="s">
        <v>547</v>
      </c>
      <c r="F196" s="100" t="s">
        <v>546</v>
      </c>
      <c r="G196" s="100" t="s">
        <v>545</v>
      </c>
      <c r="H196" s="99"/>
    </row>
  </sheetData>
  <phoneticPr fontId="1"/>
  <pageMargins left="0.51181102362204722" right="0.74803149606299213" top="0.70866141732283472" bottom="0.43307086614173229" header="0.51181102362204722" footer="0.19685039370078741"/>
  <pageSetup paperSize="9" scale="64" fitToHeight="0" orientation="landscape" r:id="rId1"/>
  <headerFooter alignWithMargins="0">
    <oddFooter>&amp;L&amp;"Meiryo UI,標準"&amp;10ユーティリティ一覧（マスタ管理）&amp;C&amp;"Meiryo UI,標準"&amp;10&amp;P&amp;R&amp;"Meiryo UI,標準"&amp;10(C)Toyo Business Engineering Corp.[Confidential]</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4:H155"/>
  <sheetViews>
    <sheetView showGridLines="0" showZeros="0" zoomScaleNormal="100" zoomScaleSheetLayoutView="55" workbookViewId="0">
      <pane xSplit="4" ySplit="5" topLeftCell="F48" activePane="bottomRight" state="frozen"/>
      <selection activeCell="A48" sqref="A48"/>
      <selection pane="topRight" activeCell="A48" sqref="A48"/>
      <selection pane="bottomLeft" activeCell="A48" sqref="A48"/>
      <selection pane="bottomRight" activeCell="A48" sqref="A48"/>
    </sheetView>
  </sheetViews>
  <sheetFormatPr defaultColWidth="12" defaultRowHeight="14.25"/>
  <cols>
    <col min="1" max="1" width="6.6640625" style="78" customWidth="1"/>
    <col min="2" max="2" width="16.83203125" style="77" customWidth="1"/>
    <col min="3" max="3" width="27.5" style="77" customWidth="1"/>
    <col min="4" max="4" width="34.1640625" style="97" customWidth="1"/>
    <col min="5" max="5" width="47.5" style="96" customWidth="1"/>
    <col min="6" max="6" width="20.83203125" style="97" customWidth="1"/>
    <col min="7" max="7" width="74.1640625" style="107" customWidth="1"/>
    <col min="8" max="8" width="34.1640625" style="98" customWidth="1"/>
    <col min="9" max="16384" width="12" style="75"/>
  </cols>
  <sheetData>
    <row r="4" spans="1:8" ht="15" thickBot="1"/>
    <row r="5" spans="1:8" s="92" customFormat="1" ht="15.75" customHeight="1">
      <c r="A5" s="116" t="s">
        <v>1530</v>
      </c>
      <c r="B5" s="94" t="s">
        <v>544</v>
      </c>
      <c r="C5" s="94" t="s">
        <v>6</v>
      </c>
      <c r="D5" s="94" t="s">
        <v>543</v>
      </c>
      <c r="E5" s="94" t="s">
        <v>542</v>
      </c>
      <c r="F5" s="94" t="s">
        <v>541</v>
      </c>
      <c r="G5" s="94" t="s">
        <v>36</v>
      </c>
      <c r="H5" s="106" t="s">
        <v>23</v>
      </c>
    </row>
    <row r="6" spans="1:8" s="114" customFormat="1" ht="136.5" customHeight="1">
      <c r="A6" s="117"/>
      <c r="B6" s="102" t="s">
        <v>1526</v>
      </c>
      <c r="C6" s="102" t="s">
        <v>1520</v>
      </c>
      <c r="D6" s="102" t="s">
        <v>1529</v>
      </c>
      <c r="E6" s="102" t="s">
        <v>1524</v>
      </c>
      <c r="F6" s="102" t="s">
        <v>1528</v>
      </c>
      <c r="G6" s="102" t="s">
        <v>1527</v>
      </c>
      <c r="H6" s="101"/>
    </row>
    <row r="7" spans="1:8" s="114" customFormat="1" ht="144" customHeight="1">
      <c r="A7" s="117"/>
      <c r="B7" s="102" t="s">
        <v>1526</v>
      </c>
      <c r="C7" s="102" t="s">
        <v>1180</v>
      </c>
      <c r="D7" s="102" t="s">
        <v>1525</v>
      </c>
      <c r="E7" s="102" t="s">
        <v>1524</v>
      </c>
      <c r="F7" s="102" t="s">
        <v>1523</v>
      </c>
      <c r="G7" s="102" t="s">
        <v>1522</v>
      </c>
      <c r="H7" s="101"/>
    </row>
    <row r="8" spans="1:8" s="114" customFormat="1" ht="167.25" customHeight="1">
      <c r="A8" s="117"/>
      <c r="B8" s="102" t="s">
        <v>1521</v>
      </c>
      <c r="C8" s="102" t="s">
        <v>1520</v>
      </c>
      <c r="D8" s="102" t="s">
        <v>1519</v>
      </c>
      <c r="E8" s="102" t="s">
        <v>1518</v>
      </c>
      <c r="F8" s="102" t="s">
        <v>1517</v>
      </c>
      <c r="G8" s="102" t="s">
        <v>1516</v>
      </c>
      <c r="H8" s="101"/>
    </row>
    <row r="9" spans="1:8" s="114" customFormat="1" ht="67.5" customHeight="1">
      <c r="A9" s="117"/>
      <c r="B9" s="102" t="s">
        <v>1443</v>
      </c>
      <c r="C9" s="102" t="s">
        <v>1436</v>
      </c>
      <c r="D9" s="102" t="s">
        <v>1515</v>
      </c>
      <c r="E9" s="102" t="s">
        <v>1514</v>
      </c>
      <c r="F9" s="102" t="s">
        <v>1513</v>
      </c>
      <c r="G9" s="102" t="s">
        <v>1512</v>
      </c>
      <c r="H9" s="101"/>
    </row>
    <row r="10" spans="1:8" s="114" customFormat="1" ht="81.75" customHeight="1">
      <c r="A10" s="117"/>
      <c r="B10" s="102" t="s">
        <v>1440</v>
      </c>
      <c r="C10" s="102" t="s">
        <v>1436</v>
      </c>
      <c r="D10" s="102" t="s">
        <v>1511</v>
      </c>
      <c r="E10" s="102" t="s">
        <v>1510</v>
      </c>
      <c r="F10" s="102" t="s">
        <v>1509</v>
      </c>
      <c r="G10" s="102" t="s">
        <v>1508</v>
      </c>
      <c r="H10" s="101"/>
    </row>
    <row r="11" spans="1:8" s="114" customFormat="1" ht="69.75" customHeight="1">
      <c r="A11" s="117"/>
      <c r="B11" s="102" t="s">
        <v>1437</v>
      </c>
      <c r="C11" s="102" t="s">
        <v>1436</v>
      </c>
      <c r="D11" s="102" t="s">
        <v>1507</v>
      </c>
      <c r="E11" s="102" t="s">
        <v>1506</v>
      </c>
      <c r="F11" s="102" t="s">
        <v>1505</v>
      </c>
      <c r="G11" s="102" t="s">
        <v>1504</v>
      </c>
      <c r="H11" s="101"/>
    </row>
    <row r="12" spans="1:8" s="114" customFormat="1" ht="68.25" customHeight="1">
      <c r="A12" s="117"/>
      <c r="B12" s="102" t="s">
        <v>1440</v>
      </c>
      <c r="C12" s="102" t="s">
        <v>1436</v>
      </c>
      <c r="D12" s="102" t="s">
        <v>1503</v>
      </c>
      <c r="E12" s="102" t="s">
        <v>1502</v>
      </c>
      <c r="F12" s="102" t="s">
        <v>1501</v>
      </c>
      <c r="G12" s="102" t="s">
        <v>1500</v>
      </c>
      <c r="H12" s="101"/>
    </row>
    <row r="13" spans="1:8" s="114" customFormat="1" ht="68.25" customHeight="1">
      <c r="A13" s="117"/>
      <c r="B13" s="102" t="s">
        <v>1440</v>
      </c>
      <c r="C13" s="102" t="s">
        <v>1436</v>
      </c>
      <c r="D13" s="102" t="s">
        <v>1499</v>
      </c>
      <c r="E13" s="102" t="s">
        <v>1498</v>
      </c>
      <c r="F13" s="102" t="s">
        <v>1494</v>
      </c>
      <c r="G13" s="102" t="s">
        <v>1497</v>
      </c>
      <c r="H13" s="101"/>
    </row>
    <row r="14" spans="1:8" s="114" customFormat="1" ht="68.25" customHeight="1">
      <c r="A14" s="117"/>
      <c r="B14" s="102" t="s">
        <v>1443</v>
      </c>
      <c r="C14" s="102" t="s">
        <v>1436</v>
      </c>
      <c r="D14" s="102" t="s">
        <v>1496</v>
      </c>
      <c r="E14" s="102" t="s">
        <v>1495</v>
      </c>
      <c r="F14" s="102" t="s">
        <v>1494</v>
      </c>
      <c r="G14" s="102" t="s">
        <v>1493</v>
      </c>
      <c r="H14" s="101"/>
    </row>
    <row r="15" spans="1:8" s="114" customFormat="1" ht="66" customHeight="1">
      <c r="A15" s="117"/>
      <c r="B15" s="102" t="s">
        <v>1443</v>
      </c>
      <c r="C15" s="102" t="s">
        <v>1436</v>
      </c>
      <c r="D15" s="102" t="s">
        <v>1492</v>
      </c>
      <c r="E15" s="102" t="s">
        <v>1491</v>
      </c>
      <c r="F15" s="102" t="s">
        <v>1490</v>
      </c>
      <c r="G15" s="102" t="s">
        <v>1489</v>
      </c>
      <c r="H15" s="101"/>
    </row>
    <row r="16" spans="1:8" s="114" customFormat="1" ht="82.5" customHeight="1">
      <c r="A16" s="117"/>
      <c r="B16" s="102" t="s">
        <v>1437</v>
      </c>
      <c r="C16" s="102" t="s">
        <v>1436</v>
      </c>
      <c r="D16" s="102" t="s">
        <v>1488</v>
      </c>
      <c r="E16" s="102" t="s">
        <v>1487</v>
      </c>
      <c r="F16" s="102" t="s">
        <v>1486</v>
      </c>
      <c r="G16" s="102" t="s">
        <v>1485</v>
      </c>
      <c r="H16" s="101"/>
    </row>
    <row r="17" spans="1:8" s="114" customFormat="1" ht="96" customHeight="1">
      <c r="A17" s="117"/>
      <c r="B17" s="102" t="s">
        <v>1440</v>
      </c>
      <c r="C17" s="102" t="s">
        <v>1436</v>
      </c>
      <c r="D17" s="102" t="s">
        <v>1484</v>
      </c>
      <c r="E17" s="102" t="s">
        <v>1483</v>
      </c>
      <c r="F17" s="102" t="s">
        <v>1482</v>
      </c>
      <c r="G17" s="102" t="s">
        <v>1481</v>
      </c>
      <c r="H17" s="101"/>
    </row>
    <row r="18" spans="1:8" s="114" customFormat="1" ht="40.5" customHeight="1">
      <c r="A18" s="117"/>
      <c r="B18" s="102" t="s">
        <v>1437</v>
      </c>
      <c r="C18" s="102" t="s">
        <v>1436</v>
      </c>
      <c r="D18" s="102" t="s">
        <v>1480</v>
      </c>
      <c r="E18" s="102" t="s">
        <v>1479</v>
      </c>
      <c r="F18" s="115" t="s">
        <v>1461</v>
      </c>
      <c r="G18" s="102" t="s">
        <v>1478</v>
      </c>
      <c r="H18" s="101"/>
    </row>
    <row r="19" spans="1:8" s="114" customFormat="1" ht="40.5" customHeight="1">
      <c r="A19" s="117"/>
      <c r="B19" s="102" t="s">
        <v>1443</v>
      </c>
      <c r="C19" s="102" t="s">
        <v>1436</v>
      </c>
      <c r="D19" s="102" t="s">
        <v>1477</v>
      </c>
      <c r="E19" s="102" t="s">
        <v>1476</v>
      </c>
      <c r="F19" s="115" t="s">
        <v>1475</v>
      </c>
      <c r="G19" s="102" t="s">
        <v>1474</v>
      </c>
      <c r="H19" s="101"/>
    </row>
    <row r="20" spans="1:8" s="114" customFormat="1" ht="40.5" customHeight="1">
      <c r="A20" s="117"/>
      <c r="B20" s="102" t="s">
        <v>1443</v>
      </c>
      <c r="C20" s="102" t="s">
        <v>1436</v>
      </c>
      <c r="D20" s="102" t="s">
        <v>1473</v>
      </c>
      <c r="E20" s="102" t="s">
        <v>1472</v>
      </c>
      <c r="F20" s="115" t="s">
        <v>1461</v>
      </c>
      <c r="G20" s="102" t="s">
        <v>1471</v>
      </c>
      <c r="H20" s="101"/>
    </row>
    <row r="21" spans="1:8" s="114" customFormat="1" ht="40.5" customHeight="1">
      <c r="A21" s="117"/>
      <c r="B21" s="102" t="s">
        <v>1440</v>
      </c>
      <c r="C21" s="102" t="s">
        <v>1436</v>
      </c>
      <c r="D21" s="102" t="s">
        <v>1470</v>
      </c>
      <c r="E21" s="102" t="s">
        <v>1469</v>
      </c>
      <c r="F21" s="115" t="s">
        <v>1468</v>
      </c>
      <c r="G21" s="102" t="s">
        <v>1467</v>
      </c>
      <c r="H21" s="101"/>
    </row>
    <row r="22" spans="1:8" s="114" customFormat="1" ht="40.5" customHeight="1">
      <c r="A22" s="117"/>
      <c r="B22" s="102" t="s">
        <v>1437</v>
      </c>
      <c r="C22" s="102" t="s">
        <v>1436</v>
      </c>
      <c r="D22" s="102" t="s">
        <v>1466</v>
      </c>
      <c r="E22" s="102" t="s">
        <v>1465</v>
      </c>
      <c r="F22" s="115" t="s">
        <v>1461</v>
      </c>
      <c r="G22" s="102" t="s">
        <v>1464</v>
      </c>
      <c r="H22" s="101"/>
    </row>
    <row r="23" spans="1:8" s="114" customFormat="1" ht="40.5" customHeight="1">
      <c r="A23" s="117"/>
      <c r="B23" s="102" t="s">
        <v>1440</v>
      </c>
      <c r="C23" s="102" t="s">
        <v>1436</v>
      </c>
      <c r="D23" s="102" t="s">
        <v>1463</v>
      </c>
      <c r="E23" s="102" t="s">
        <v>1462</v>
      </c>
      <c r="F23" s="115" t="s">
        <v>1461</v>
      </c>
      <c r="G23" s="102" t="s">
        <v>1460</v>
      </c>
      <c r="H23" s="101"/>
    </row>
    <row r="24" spans="1:8" s="114" customFormat="1" ht="66" customHeight="1">
      <c r="A24" s="117"/>
      <c r="B24" s="102" t="s">
        <v>1440</v>
      </c>
      <c r="C24" s="102" t="s">
        <v>1436</v>
      </c>
      <c r="D24" s="102" t="s">
        <v>1459</v>
      </c>
      <c r="E24" s="102" t="s">
        <v>1458</v>
      </c>
      <c r="F24" s="102" t="s">
        <v>1457</v>
      </c>
      <c r="G24" s="102" t="s">
        <v>1456</v>
      </c>
      <c r="H24" s="101"/>
    </row>
    <row r="25" spans="1:8" s="114" customFormat="1" ht="72" customHeight="1">
      <c r="A25" s="117"/>
      <c r="B25" s="102" t="s">
        <v>1440</v>
      </c>
      <c r="C25" s="102" t="s">
        <v>1436</v>
      </c>
      <c r="D25" s="102" t="s">
        <v>1455</v>
      </c>
      <c r="E25" s="102" t="s">
        <v>1454</v>
      </c>
      <c r="F25" s="102" t="s">
        <v>1453</v>
      </c>
      <c r="G25" s="102" t="s">
        <v>1452</v>
      </c>
      <c r="H25" s="101"/>
    </row>
    <row r="26" spans="1:8" s="114" customFormat="1" ht="33" customHeight="1">
      <c r="A26" s="117"/>
      <c r="B26" s="102" t="s">
        <v>1440</v>
      </c>
      <c r="C26" s="102" t="s">
        <v>1436</v>
      </c>
      <c r="D26" s="102" t="s">
        <v>1451</v>
      </c>
      <c r="E26" s="102" t="s">
        <v>1434</v>
      </c>
      <c r="F26" s="102" t="s">
        <v>152</v>
      </c>
      <c r="G26" s="102" t="s">
        <v>1450</v>
      </c>
      <c r="H26" s="101"/>
    </row>
    <row r="27" spans="1:8" s="114" customFormat="1" ht="33" customHeight="1">
      <c r="A27" s="117"/>
      <c r="B27" s="102" t="s">
        <v>1440</v>
      </c>
      <c r="C27" s="102" t="s">
        <v>1436</v>
      </c>
      <c r="D27" s="102" t="s">
        <v>1264</v>
      </c>
      <c r="E27" s="102" t="s">
        <v>1434</v>
      </c>
      <c r="F27" s="102" t="s">
        <v>152</v>
      </c>
      <c r="G27" s="102" t="s">
        <v>1449</v>
      </c>
      <c r="H27" s="101"/>
    </row>
    <row r="28" spans="1:8" s="114" customFormat="1" ht="33" customHeight="1">
      <c r="A28" s="117"/>
      <c r="B28" s="102" t="s">
        <v>1437</v>
      </c>
      <c r="C28" s="102" t="s">
        <v>1436</v>
      </c>
      <c r="D28" s="102" t="s">
        <v>1262</v>
      </c>
      <c r="E28" s="102" t="s">
        <v>1434</v>
      </c>
      <c r="F28" s="102" t="s">
        <v>152</v>
      </c>
      <c r="G28" s="102" t="s">
        <v>1448</v>
      </c>
      <c r="H28" s="101"/>
    </row>
    <row r="29" spans="1:8" s="114" customFormat="1" ht="33" customHeight="1">
      <c r="A29" s="117"/>
      <c r="B29" s="102" t="s">
        <v>1437</v>
      </c>
      <c r="C29" s="102" t="s">
        <v>1436</v>
      </c>
      <c r="D29" s="102" t="s">
        <v>1447</v>
      </c>
      <c r="E29" s="102" t="s">
        <v>1434</v>
      </c>
      <c r="F29" s="102" t="s">
        <v>152</v>
      </c>
      <c r="G29" s="102" t="s">
        <v>1446</v>
      </c>
      <c r="H29" s="101"/>
    </row>
    <row r="30" spans="1:8" s="114" customFormat="1" ht="33" customHeight="1">
      <c r="A30" s="117"/>
      <c r="B30" s="102" t="s">
        <v>1437</v>
      </c>
      <c r="C30" s="102" t="s">
        <v>1436</v>
      </c>
      <c r="D30" s="102" t="s">
        <v>1445</v>
      </c>
      <c r="E30" s="102" t="s">
        <v>1434</v>
      </c>
      <c r="F30" s="102" t="s">
        <v>152</v>
      </c>
      <c r="G30" s="102" t="s">
        <v>1444</v>
      </c>
      <c r="H30" s="101"/>
    </row>
    <row r="31" spans="1:8" s="114" customFormat="1" ht="33" customHeight="1">
      <c r="A31" s="117"/>
      <c r="B31" s="102" t="s">
        <v>1443</v>
      </c>
      <c r="C31" s="102" t="s">
        <v>1436</v>
      </c>
      <c r="D31" s="102" t="s">
        <v>1442</v>
      </c>
      <c r="E31" s="102" t="s">
        <v>1434</v>
      </c>
      <c r="F31" s="102" t="s">
        <v>152</v>
      </c>
      <c r="G31" s="102" t="s">
        <v>1441</v>
      </c>
      <c r="H31" s="101"/>
    </row>
    <row r="32" spans="1:8" s="114" customFormat="1" ht="33" customHeight="1">
      <c r="A32" s="117"/>
      <c r="B32" s="102" t="s">
        <v>1440</v>
      </c>
      <c r="C32" s="102" t="s">
        <v>1436</v>
      </c>
      <c r="D32" s="102" t="s">
        <v>1439</v>
      </c>
      <c r="E32" s="102" t="s">
        <v>1434</v>
      </c>
      <c r="F32" s="102" t="s">
        <v>152</v>
      </c>
      <c r="G32" s="102" t="s">
        <v>1438</v>
      </c>
      <c r="H32" s="101"/>
    </row>
    <row r="33" spans="1:8" s="114" customFormat="1" ht="33" customHeight="1">
      <c r="A33" s="117"/>
      <c r="B33" s="102" t="s">
        <v>1437</v>
      </c>
      <c r="C33" s="102" t="s">
        <v>1436</v>
      </c>
      <c r="D33" s="102" t="s">
        <v>1435</v>
      </c>
      <c r="E33" s="102" t="s">
        <v>1434</v>
      </c>
      <c r="F33" s="102" t="s">
        <v>152</v>
      </c>
      <c r="G33" s="102" t="s">
        <v>1433</v>
      </c>
      <c r="H33" s="101"/>
    </row>
    <row r="34" spans="1:8" s="114" customFormat="1" ht="33" customHeight="1">
      <c r="A34" s="117"/>
      <c r="B34" s="102" t="s">
        <v>1424</v>
      </c>
      <c r="C34" s="115" t="s">
        <v>1423</v>
      </c>
      <c r="D34" s="102" t="s">
        <v>1432</v>
      </c>
      <c r="E34" s="102" t="s">
        <v>1431</v>
      </c>
      <c r="F34" s="102" t="s">
        <v>1430</v>
      </c>
      <c r="G34" s="102" t="s">
        <v>1429</v>
      </c>
      <c r="H34" s="101"/>
    </row>
    <row r="35" spans="1:8" s="114" customFormat="1" ht="102" customHeight="1">
      <c r="A35" s="117"/>
      <c r="B35" s="102" t="s">
        <v>1428</v>
      </c>
      <c r="C35" s="115" t="s">
        <v>1423</v>
      </c>
      <c r="D35" s="102" t="s">
        <v>1427</v>
      </c>
      <c r="E35" s="102" t="s">
        <v>1426</v>
      </c>
      <c r="F35" s="102" t="s">
        <v>630</v>
      </c>
      <c r="G35" s="102" t="s">
        <v>1425</v>
      </c>
      <c r="H35" s="101"/>
    </row>
    <row r="36" spans="1:8" s="114" customFormat="1" ht="50.25" customHeight="1">
      <c r="A36" s="117"/>
      <c r="B36" s="102" t="s">
        <v>1424</v>
      </c>
      <c r="C36" s="115" t="s">
        <v>1423</v>
      </c>
      <c r="D36" s="102" t="s">
        <v>1422</v>
      </c>
      <c r="E36" s="102" t="s">
        <v>1421</v>
      </c>
      <c r="F36" s="102" t="s">
        <v>1420</v>
      </c>
      <c r="G36" s="102" t="s">
        <v>1419</v>
      </c>
      <c r="H36" s="101"/>
    </row>
    <row r="37" spans="1:8" s="114" customFormat="1" ht="39.950000000000003" customHeight="1">
      <c r="A37" s="117"/>
      <c r="B37" s="102" t="s">
        <v>1406</v>
      </c>
      <c r="C37" s="102" t="s">
        <v>1400</v>
      </c>
      <c r="D37" s="102" t="s">
        <v>1418</v>
      </c>
      <c r="E37" s="102"/>
      <c r="F37" s="102" t="s">
        <v>1417</v>
      </c>
      <c r="G37" s="102" t="s">
        <v>1416</v>
      </c>
      <c r="H37" s="101"/>
    </row>
    <row r="38" spans="1:8" s="114" customFormat="1" ht="39.950000000000003" customHeight="1">
      <c r="A38" s="117"/>
      <c r="B38" s="102" t="s">
        <v>1401</v>
      </c>
      <c r="C38" s="102" t="s">
        <v>1400</v>
      </c>
      <c r="D38" s="102" t="s">
        <v>1415</v>
      </c>
      <c r="E38" s="102" t="s">
        <v>1193</v>
      </c>
      <c r="F38" s="102" t="s">
        <v>74</v>
      </c>
      <c r="G38" s="102" t="s">
        <v>1414</v>
      </c>
      <c r="H38" s="101"/>
    </row>
    <row r="39" spans="1:8" s="114" customFormat="1" ht="42.75" customHeight="1">
      <c r="A39" s="117"/>
      <c r="B39" s="102" t="s">
        <v>1409</v>
      </c>
      <c r="C39" s="102" t="s">
        <v>1400</v>
      </c>
      <c r="D39" s="102" t="s">
        <v>1413</v>
      </c>
      <c r="E39" s="102" t="s">
        <v>1193</v>
      </c>
      <c r="F39" s="102" t="s">
        <v>85</v>
      </c>
      <c r="G39" s="102" t="s">
        <v>1412</v>
      </c>
      <c r="H39" s="101"/>
    </row>
    <row r="40" spans="1:8" s="114" customFormat="1" ht="39.950000000000003" customHeight="1">
      <c r="A40" s="117"/>
      <c r="B40" s="102" t="s">
        <v>1409</v>
      </c>
      <c r="C40" s="102" t="s">
        <v>1400</v>
      </c>
      <c r="D40" s="102" t="s">
        <v>1411</v>
      </c>
      <c r="E40" s="102" t="s">
        <v>1193</v>
      </c>
      <c r="F40" s="102" t="s">
        <v>85</v>
      </c>
      <c r="G40" s="102" t="s">
        <v>1410</v>
      </c>
      <c r="H40" s="101"/>
    </row>
    <row r="41" spans="1:8" s="114" customFormat="1" ht="39.950000000000003" customHeight="1">
      <c r="A41" s="117"/>
      <c r="B41" s="102" t="s">
        <v>1409</v>
      </c>
      <c r="C41" s="102" t="s">
        <v>1400</v>
      </c>
      <c r="D41" s="102" t="s">
        <v>1408</v>
      </c>
      <c r="E41" s="102" t="s">
        <v>1193</v>
      </c>
      <c r="F41" s="102" t="s">
        <v>74</v>
      </c>
      <c r="G41" s="102" t="s">
        <v>1407</v>
      </c>
      <c r="H41" s="101"/>
    </row>
    <row r="42" spans="1:8" s="114" customFormat="1" ht="39.950000000000003" customHeight="1">
      <c r="A42" s="117"/>
      <c r="B42" s="102" t="s">
        <v>1406</v>
      </c>
      <c r="C42" s="102" t="s">
        <v>1400</v>
      </c>
      <c r="D42" s="102" t="s">
        <v>1405</v>
      </c>
      <c r="E42" s="102"/>
      <c r="F42" s="102" t="s">
        <v>74</v>
      </c>
      <c r="G42" s="102" t="s">
        <v>1404</v>
      </c>
      <c r="H42" s="101"/>
    </row>
    <row r="43" spans="1:8" s="114" customFormat="1" ht="39.950000000000003" customHeight="1">
      <c r="A43" s="117"/>
      <c r="B43" s="102" t="s">
        <v>1401</v>
      </c>
      <c r="C43" s="102" t="s">
        <v>1400</v>
      </c>
      <c r="D43" s="102" t="s">
        <v>1403</v>
      </c>
      <c r="E43" s="102" t="s">
        <v>1193</v>
      </c>
      <c r="F43" s="102" t="s">
        <v>1347</v>
      </c>
      <c r="G43" s="102" t="s">
        <v>1402</v>
      </c>
      <c r="H43" s="101"/>
    </row>
    <row r="44" spans="1:8" s="114" customFormat="1" ht="39.950000000000003" customHeight="1">
      <c r="A44" s="117"/>
      <c r="B44" s="102" t="s">
        <v>1401</v>
      </c>
      <c r="C44" s="102" t="s">
        <v>1400</v>
      </c>
      <c r="D44" s="102" t="s">
        <v>1399</v>
      </c>
      <c r="E44" s="102" t="s">
        <v>1193</v>
      </c>
      <c r="F44" s="102" t="s">
        <v>1347</v>
      </c>
      <c r="G44" s="102" t="s">
        <v>1398</v>
      </c>
      <c r="H44" s="101"/>
    </row>
    <row r="45" spans="1:8" s="114" customFormat="1" ht="39.950000000000003" customHeight="1">
      <c r="A45" s="117"/>
      <c r="B45" s="102" t="s">
        <v>1385</v>
      </c>
      <c r="C45" s="102" t="s">
        <v>62</v>
      </c>
      <c r="D45" s="102" t="s">
        <v>1397</v>
      </c>
      <c r="E45" s="102" t="s">
        <v>1396</v>
      </c>
      <c r="F45" s="102" t="s">
        <v>1395</v>
      </c>
      <c r="G45" s="102" t="s">
        <v>1394</v>
      </c>
      <c r="H45" s="101"/>
    </row>
    <row r="46" spans="1:8" s="114" customFormat="1" ht="91.5" customHeight="1">
      <c r="A46" s="117"/>
      <c r="B46" s="102" t="s">
        <v>1385</v>
      </c>
      <c r="C46" s="102" t="s">
        <v>62</v>
      </c>
      <c r="D46" s="102" t="s">
        <v>1393</v>
      </c>
      <c r="E46" s="102" t="s">
        <v>1392</v>
      </c>
      <c r="F46" s="102" t="s">
        <v>1391</v>
      </c>
      <c r="G46" s="102" t="s">
        <v>1390</v>
      </c>
      <c r="H46" s="101"/>
    </row>
    <row r="47" spans="1:8" s="114" customFormat="1" ht="91.5" customHeight="1">
      <c r="A47" s="117"/>
      <c r="B47" s="102" t="s">
        <v>1385</v>
      </c>
      <c r="C47" s="102" t="s">
        <v>62</v>
      </c>
      <c r="D47" s="102" t="s">
        <v>1389</v>
      </c>
      <c r="E47" s="102" t="s">
        <v>1388</v>
      </c>
      <c r="F47" s="102" t="s">
        <v>1387</v>
      </c>
      <c r="G47" s="102" t="s">
        <v>1386</v>
      </c>
      <c r="H47" s="101"/>
    </row>
    <row r="48" spans="1:8" s="114" customFormat="1" ht="126.75" customHeight="1">
      <c r="A48" s="117"/>
      <c r="B48" s="102" t="s">
        <v>1385</v>
      </c>
      <c r="C48" s="102" t="s">
        <v>62</v>
      </c>
      <c r="D48" s="102" t="s">
        <v>1384</v>
      </c>
      <c r="E48" s="102" t="s">
        <v>1535</v>
      </c>
      <c r="F48" s="102" t="s">
        <v>1383</v>
      </c>
      <c r="G48" s="102" t="s">
        <v>1382</v>
      </c>
      <c r="H48" s="101"/>
    </row>
    <row r="49" spans="1:8" s="124" customFormat="1" ht="126.75" customHeight="1">
      <c r="A49" s="121" t="s">
        <v>1534</v>
      </c>
      <c r="B49" s="122" t="s">
        <v>61</v>
      </c>
      <c r="C49" s="122" t="s">
        <v>62</v>
      </c>
      <c r="D49" s="122" t="s">
        <v>63</v>
      </c>
      <c r="E49" s="122" t="s">
        <v>1536</v>
      </c>
      <c r="F49" s="122"/>
      <c r="G49" s="122" t="s">
        <v>1537</v>
      </c>
      <c r="H49" s="123"/>
    </row>
    <row r="50" spans="1:8" s="114" customFormat="1" ht="48" customHeight="1">
      <c r="A50" s="117"/>
      <c r="B50" s="102" t="s">
        <v>1366</v>
      </c>
      <c r="C50" s="102"/>
      <c r="D50" s="102" t="s">
        <v>1381</v>
      </c>
      <c r="E50" s="102" t="s">
        <v>1347</v>
      </c>
      <c r="F50" s="102" t="s">
        <v>1380</v>
      </c>
      <c r="G50" s="102" t="s">
        <v>1379</v>
      </c>
      <c r="H50" s="101"/>
    </row>
    <row r="51" spans="1:8" s="114" customFormat="1" ht="48" customHeight="1">
      <c r="A51" s="117"/>
      <c r="B51" s="102" t="s">
        <v>1366</v>
      </c>
      <c r="C51" s="102"/>
      <c r="D51" s="102" t="s">
        <v>1378</v>
      </c>
      <c r="E51" s="102" t="s">
        <v>85</v>
      </c>
      <c r="F51" s="102" t="s">
        <v>1377</v>
      </c>
      <c r="G51" s="102" t="s">
        <v>1376</v>
      </c>
      <c r="H51" s="101"/>
    </row>
    <row r="52" spans="1:8" s="114" customFormat="1" ht="48" customHeight="1">
      <c r="A52" s="117"/>
      <c r="B52" s="102" t="s">
        <v>1366</v>
      </c>
      <c r="C52" s="102"/>
      <c r="D52" s="102" t="s">
        <v>1375</v>
      </c>
      <c r="E52" s="102" t="s">
        <v>74</v>
      </c>
      <c r="F52" s="102" t="s">
        <v>1374</v>
      </c>
      <c r="G52" s="102" t="s">
        <v>1373</v>
      </c>
      <c r="H52" s="101"/>
    </row>
    <row r="53" spans="1:8" s="114" customFormat="1" ht="48" customHeight="1">
      <c r="A53" s="117"/>
      <c r="B53" s="102" t="s">
        <v>1366</v>
      </c>
      <c r="C53" s="102"/>
      <c r="D53" s="102" t="s">
        <v>1372</v>
      </c>
      <c r="E53" s="102" t="s">
        <v>1347</v>
      </c>
      <c r="F53" s="102" t="s">
        <v>1371</v>
      </c>
      <c r="G53" s="102" t="s">
        <v>1370</v>
      </c>
      <c r="H53" s="101"/>
    </row>
    <row r="54" spans="1:8" s="114" customFormat="1" ht="33" customHeight="1">
      <c r="A54" s="117"/>
      <c r="B54" s="102" t="s">
        <v>1366</v>
      </c>
      <c r="C54" s="102"/>
      <c r="D54" s="102" t="s">
        <v>1369</v>
      </c>
      <c r="E54" s="102" t="s">
        <v>1368</v>
      </c>
      <c r="F54" s="102" t="s">
        <v>85</v>
      </c>
      <c r="G54" s="102" t="s">
        <v>1367</v>
      </c>
      <c r="H54" s="101"/>
    </row>
    <row r="55" spans="1:8" s="114" customFormat="1" ht="33" customHeight="1">
      <c r="A55" s="117"/>
      <c r="B55" s="102" t="s">
        <v>1366</v>
      </c>
      <c r="C55" s="102"/>
      <c r="D55" s="102" t="s">
        <v>1365</v>
      </c>
      <c r="E55" s="102" t="s">
        <v>1364</v>
      </c>
      <c r="F55" s="102" t="s">
        <v>1347</v>
      </c>
      <c r="G55" s="102" t="s">
        <v>1363</v>
      </c>
      <c r="H55" s="101"/>
    </row>
    <row r="56" spans="1:8" s="114" customFormat="1" ht="46.5" customHeight="1">
      <c r="A56" s="117"/>
      <c r="B56" s="102" t="s">
        <v>1351</v>
      </c>
      <c r="C56" s="102" t="s">
        <v>1362</v>
      </c>
      <c r="D56" s="102" t="s">
        <v>1361</v>
      </c>
      <c r="E56" s="102" t="s">
        <v>1358</v>
      </c>
      <c r="F56" s="102" t="s">
        <v>1347</v>
      </c>
      <c r="G56" s="102" t="s">
        <v>1360</v>
      </c>
      <c r="H56" s="101"/>
    </row>
    <row r="57" spans="1:8" s="114" customFormat="1" ht="46.5" customHeight="1">
      <c r="A57" s="117"/>
      <c r="B57" s="102" t="s">
        <v>1351</v>
      </c>
      <c r="C57" s="102" t="s">
        <v>1350</v>
      </c>
      <c r="D57" s="102" t="s">
        <v>1359</v>
      </c>
      <c r="E57" s="102" t="s">
        <v>1358</v>
      </c>
      <c r="F57" s="102" t="s">
        <v>1347</v>
      </c>
      <c r="G57" s="102" t="s">
        <v>1357</v>
      </c>
      <c r="H57" s="101"/>
    </row>
    <row r="58" spans="1:8" s="114" customFormat="1" ht="46.5" customHeight="1">
      <c r="A58" s="117"/>
      <c r="B58" s="102" t="s">
        <v>1351</v>
      </c>
      <c r="C58" s="102" t="s">
        <v>1350</v>
      </c>
      <c r="D58" s="102" t="s">
        <v>1356</v>
      </c>
      <c r="E58" s="102" t="s">
        <v>1353</v>
      </c>
      <c r="F58" s="102" t="s">
        <v>85</v>
      </c>
      <c r="G58" s="102" t="s">
        <v>1355</v>
      </c>
      <c r="H58" s="101"/>
    </row>
    <row r="59" spans="1:8" s="114" customFormat="1" ht="46.5" customHeight="1">
      <c r="A59" s="117"/>
      <c r="B59" s="102" t="s">
        <v>1351</v>
      </c>
      <c r="C59" s="102" t="s">
        <v>1350</v>
      </c>
      <c r="D59" s="102" t="s">
        <v>1354</v>
      </c>
      <c r="E59" s="102" t="s">
        <v>1353</v>
      </c>
      <c r="F59" s="102" t="s">
        <v>85</v>
      </c>
      <c r="G59" s="102" t="s">
        <v>1352</v>
      </c>
      <c r="H59" s="101"/>
    </row>
    <row r="60" spans="1:8" s="114" customFormat="1" ht="46.5" customHeight="1">
      <c r="A60" s="117"/>
      <c r="B60" s="102" t="s">
        <v>1351</v>
      </c>
      <c r="C60" s="102" t="s">
        <v>1350</v>
      </c>
      <c r="D60" s="102" t="s">
        <v>1349</v>
      </c>
      <c r="E60" s="102" t="s">
        <v>1348</v>
      </c>
      <c r="F60" s="102" t="s">
        <v>1347</v>
      </c>
      <c r="G60" s="102" t="s">
        <v>1346</v>
      </c>
      <c r="H60" s="101"/>
    </row>
    <row r="61" spans="1:8" s="114" customFormat="1" ht="46.5" customHeight="1">
      <c r="A61" s="117"/>
      <c r="B61" s="102" t="s">
        <v>1343</v>
      </c>
      <c r="C61" s="102" t="s">
        <v>1339</v>
      </c>
      <c r="D61" s="102" t="s">
        <v>1345</v>
      </c>
      <c r="E61" s="102" t="s">
        <v>1337</v>
      </c>
      <c r="F61" s="102" t="s">
        <v>1336</v>
      </c>
      <c r="G61" s="102" t="s">
        <v>1344</v>
      </c>
      <c r="H61" s="101"/>
    </row>
    <row r="62" spans="1:8" s="114" customFormat="1" ht="46.5" customHeight="1">
      <c r="A62" s="117"/>
      <c r="B62" s="102" t="s">
        <v>1343</v>
      </c>
      <c r="C62" s="102" t="s">
        <v>1339</v>
      </c>
      <c r="D62" s="102" t="s">
        <v>1342</v>
      </c>
      <c r="E62" s="102" t="s">
        <v>1337</v>
      </c>
      <c r="F62" s="102" t="s">
        <v>1336</v>
      </c>
      <c r="G62" s="102" t="s">
        <v>1341</v>
      </c>
      <c r="H62" s="101"/>
    </row>
    <row r="63" spans="1:8" s="114" customFormat="1" ht="46.5" customHeight="1">
      <c r="A63" s="117"/>
      <c r="B63" s="102" t="s">
        <v>1340</v>
      </c>
      <c r="C63" s="102" t="s">
        <v>1339</v>
      </c>
      <c r="D63" s="102" t="s">
        <v>1338</v>
      </c>
      <c r="E63" s="102" t="s">
        <v>1337</v>
      </c>
      <c r="F63" s="102" t="s">
        <v>1336</v>
      </c>
      <c r="G63" s="102" t="s">
        <v>1335</v>
      </c>
      <c r="H63" s="101"/>
    </row>
    <row r="64" spans="1:8" s="114" customFormat="1" ht="69" customHeight="1">
      <c r="A64" s="117"/>
      <c r="B64" s="102" t="s">
        <v>1282</v>
      </c>
      <c r="C64" s="102" t="s">
        <v>1276</v>
      </c>
      <c r="D64" s="102" t="s">
        <v>1334</v>
      </c>
      <c r="E64" s="102" t="s">
        <v>1331</v>
      </c>
      <c r="F64" s="102" t="s">
        <v>1306</v>
      </c>
      <c r="G64" s="102" t="s">
        <v>1333</v>
      </c>
      <c r="H64" s="101"/>
    </row>
    <row r="65" spans="1:8" s="114" customFormat="1" ht="69" customHeight="1">
      <c r="A65" s="117"/>
      <c r="B65" s="102" t="s">
        <v>1295</v>
      </c>
      <c r="C65" s="102" t="s">
        <v>1276</v>
      </c>
      <c r="D65" s="102" t="s">
        <v>1332</v>
      </c>
      <c r="E65" s="102" t="s">
        <v>1331</v>
      </c>
      <c r="F65" s="102" t="s">
        <v>1306</v>
      </c>
      <c r="G65" s="102" t="s">
        <v>1330</v>
      </c>
      <c r="H65" s="101"/>
    </row>
    <row r="66" spans="1:8" s="114" customFormat="1" ht="146.25" customHeight="1">
      <c r="A66" s="117"/>
      <c r="B66" s="102" t="s">
        <v>1282</v>
      </c>
      <c r="C66" s="102" t="s">
        <v>1276</v>
      </c>
      <c r="D66" s="102" t="s">
        <v>1329</v>
      </c>
      <c r="E66" s="102" t="s">
        <v>1328</v>
      </c>
      <c r="F66" s="102" t="s">
        <v>1317</v>
      </c>
      <c r="G66" s="102" t="s">
        <v>1327</v>
      </c>
      <c r="H66" s="101"/>
    </row>
    <row r="67" spans="1:8" s="114" customFormat="1" ht="141.75" customHeight="1">
      <c r="A67" s="117"/>
      <c r="B67" s="102" t="s">
        <v>1295</v>
      </c>
      <c r="C67" s="102" t="s">
        <v>1276</v>
      </c>
      <c r="D67" s="102" t="s">
        <v>1326</v>
      </c>
      <c r="E67" s="102" t="s">
        <v>1325</v>
      </c>
      <c r="F67" s="102" t="s">
        <v>1324</v>
      </c>
      <c r="G67" s="102" t="s">
        <v>1323</v>
      </c>
      <c r="H67" s="101"/>
    </row>
    <row r="68" spans="1:8" s="114" customFormat="1" ht="129.75" customHeight="1">
      <c r="A68" s="117"/>
      <c r="B68" s="102" t="s">
        <v>1282</v>
      </c>
      <c r="C68" s="102" t="s">
        <v>1276</v>
      </c>
      <c r="D68" s="102" t="s">
        <v>1322</v>
      </c>
      <c r="E68" s="102" t="s">
        <v>1321</v>
      </c>
      <c r="F68" s="102" t="s">
        <v>1317</v>
      </c>
      <c r="G68" s="102" t="s">
        <v>1320</v>
      </c>
      <c r="H68" s="101"/>
    </row>
    <row r="69" spans="1:8" s="114" customFormat="1" ht="201" customHeight="1">
      <c r="A69" s="117"/>
      <c r="B69" s="102" t="s">
        <v>1277</v>
      </c>
      <c r="C69" s="102" t="s">
        <v>1276</v>
      </c>
      <c r="D69" s="102" t="s">
        <v>1319</v>
      </c>
      <c r="E69" s="102" t="s">
        <v>1318</v>
      </c>
      <c r="F69" s="102" t="s">
        <v>1317</v>
      </c>
      <c r="G69" s="102" t="s">
        <v>1316</v>
      </c>
      <c r="H69" s="101"/>
    </row>
    <row r="70" spans="1:8" s="114" customFormat="1" ht="64.5" customHeight="1">
      <c r="A70" s="117"/>
      <c r="B70" s="102" t="s">
        <v>1282</v>
      </c>
      <c r="C70" s="102" t="s">
        <v>1276</v>
      </c>
      <c r="D70" s="102" t="s">
        <v>1315</v>
      </c>
      <c r="E70" s="102" t="s">
        <v>1314</v>
      </c>
      <c r="F70" s="102" t="s">
        <v>1313</v>
      </c>
      <c r="G70" s="102" t="s">
        <v>1312</v>
      </c>
      <c r="H70" s="101"/>
    </row>
    <row r="71" spans="1:8" s="114" customFormat="1" ht="33" customHeight="1">
      <c r="A71" s="117"/>
      <c r="B71" s="102" t="s">
        <v>1295</v>
      </c>
      <c r="C71" s="102" t="s">
        <v>1276</v>
      </c>
      <c r="D71" s="102" t="s">
        <v>1311</v>
      </c>
      <c r="E71" s="102" t="s">
        <v>1310</v>
      </c>
      <c r="F71" s="102" t="s">
        <v>1309</v>
      </c>
      <c r="G71" s="102" t="s">
        <v>1308</v>
      </c>
      <c r="H71" s="101"/>
    </row>
    <row r="72" spans="1:8" s="114" customFormat="1" ht="55.5" customHeight="1">
      <c r="A72" s="117"/>
      <c r="B72" s="102" t="s">
        <v>1277</v>
      </c>
      <c r="C72" s="102" t="s">
        <v>1276</v>
      </c>
      <c r="D72" s="102" t="s">
        <v>1307</v>
      </c>
      <c r="E72" s="102" t="s">
        <v>1303</v>
      </c>
      <c r="F72" s="102" t="s">
        <v>1306</v>
      </c>
      <c r="G72" s="102" t="s">
        <v>1305</v>
      </c>
      <c r="H72" s="101"/>
    </row>
    <row r="73" spans="1:8" s="114" customFormat="1" ht="55.5" customHeight="1">
      <c r="A73" s="117"/>
      <c r="B73" s="102" t="s">
        <v>1282</v>
      </c>
      <c r="C73" s="102" t="s">
        <v>1276</v>
      </c>
      <c r="D73" s="102" t="s">
        <v>1304</v>
      </c>
      <c r="E73" s="102" t="s">
        <v>1303</v>
      </c>
      <c r="F73" s="102" t="s">
        <v>1290</v>
      </c>
      <c r="G73" s="102" t="s">
        <v>1302</v>
      </c>
      <c r="H73" s="101"/>
    </row>
    <row r="74" spans="1:8" s="114" customFormat="1" ht="72.75" customHeight="1">
      <c r="A74" s="117"/>
      <c r="B74" s="102" t="s">
        <v>1295</v>
      </c>
      <c r="C74" s="102" t="s">
        <v>1276</v>
      </c>
      <c r="D74" s="102" t="s">
        <v>1300</v>
      </c>
      <c r="E74" s="102" t="s">
        <v>1291</v>
      </c>
      <c r="F74" s="102" t="s">
        <v>1290</v>
      </c>
      <c r="G74" s="102" t="s">
        <v>1301</v>
      </c>
      <c r="H74" s="101"/>
    </row>
    <row r="75" spans="1:8" s="114" customFormat="1" ht="72.75" customHeight="1">
      <c r="A75" s="117"/>
      <c r="B75" s="102" t="s">
        <v>1282</v>
      </c>
      <c r="C75" s="102" t="s">
        <v>1276</v>
      </c>
      <c r="D75" s="102" t="s">
        <v>1300</v>
      </c>
      <c r="E75" s="102" t="s">
        <v>1291</v>
      </c>
      <c r="F75" s="102" t="s">
        <v>1290</v>
      </c>
      <c r="G75" s="102" t="s">
        <v>1299</v>
      </c>
      <c r="H75" s="101"/>
    </row>
    <row r="76" spans="1:8" s="114" customFormat="1" ht="72.75" customHeight="1">
      <c r="A76" s="117"/>
      <c r="B76" s="102" t="s">
        <v>1295</v>
      </c>
      <c r="C76" s="102" t="s">
        <v>1276</v>
      </c>
      <c r="D76" s="102" t="s">
        <v>1298</v>
      </c>
      <c r="E76" s="102" t="s">
        <v>1291</v>
      </c>
      <c r="F76" s="102" t="s">
        <v>1290</v>
      </c>
      <c r="G76" s="102" t="s">
        <v>1297</v>
      </c>
      <c r="H76" s="101"/>
    </row>
    <row r="77" spans="1:8" s="114" customFormat="1" ht="72.75" customHeight="1">
      <c r="A77" s="117"/>
      <c r="B77" s="102" t="s">
        <v>1277</v>
      </c>
      <c r="C77" s="102" t="s">
        <v>1276</v>
      </c>
      <c r="D77" s="102" t="s">
        <v>1292</v>
      </c>
      <c r="E77" s="102" t="s">
        <v>1291</v>
      </c>
      <c r="F77" s="102" t="s">
        <v>1290</v>
      </c>
      <c r="G77" s="102" t="s">
        <v>1296</v>
      </c>
      <c r="H77" s="101"/>
    </row>
    <row r="78" spans="1:8" s="114" customFormat="1" ht="80.25" customHeight="1">
      <c r="A78" s="117"/>
      <c r="B78" s="102" t="s">
        <v>1295</v>
      </c>
      <c r="C78" s="102" t="s">
        <v>1276</v>
      </c>
      <c r="D78" s="102" t="s">
        <v>1294</v>
      </c>
      <c r="E78" s="102" t="s">
        <v>1291</v>
      </c>
      <c r="F78" s="102" t="s">
        <v>1290</v>
      </c>
      <c r="G78" s="102" t="s">
        <v>1293</v>
      </c>
      <c r="H78" s="101"/>
    </row>
    <row r="79" spans="1:8" s="114" customFormat="1" ht="80.25" customHeight="1">
      <c r="A79" s="117"/>
      <c r="B79" s="102" t="s">
        <v>1277</v>
      </c>
      <c r="C79" s="102" t="s">
        <v>1276</v>
      </c>
      <c r="D79" s="102" t="s">
        <v>1292</v>
      </c>
      <c r="E79" s="102" t="s">
        <v>1291</v>
      </c>
      <c r="F79" s="102" t="s">
        <v>1290</v>
      </c>
      <c r="G79" s="102" t="s">
        <v>1289</v>
      </c>
      <c r="H79" s="101"/>
    </row>
    <row r="80" spans="1:8" s="114" customFormat="1" ht="45.75" customHeight="1">
      <c r="A80" s="117"/>
      <c r="B80" s="102" t="s">
        <v>1282</v>
      </c>
      <c r="C80" s="102" t="s">
        <v>1276</v>
      </c>
      <c r="D80" s="102" t="s">
        <v>1288</v>
      </c>
      <c r="E80" s="102" t="s">
        <v>1287</v>
      </c>
      <c r="F80" s="102" t="s">
        <v>152</v>
      </c>
      <c r="G80" s="102" t="s">
        <v>1286</v>
      </c>
      <c r="H80" s="101"/>
    </row>
    <row r="81" spans="1:8" s="114" customFormat="1" ht="45.75" customHeight="1">
      <c r="A81" s="117"/>
      <c r="B81" s="102" t="s">
        <v>1282</v>
      </c>
      <c r="C81" s="102" t="s">
        <v>1276</v>
      </c>
      <c r="D81" s="102" t="s">
        <v>1285</v>
      </c>
      <c r="E81" s="102" t="s">
        <v>1284</v>
      </c>
      <c r="F81" s="102" t="s">
        <v>152</v>
      </c>
      <c r="G81" s="102" t="s">
        <v>1283</v>
      </c>
      <c r="H81" s="101"/>
    </row>
    <row r="82" spans="1:8" s="114" customFormat="1" ht="45.75" customHeight="1">
      <c r="A82" s="117"/>
      <c r="B82" s="102" t="s">
        <v>1282</v>
      </c>
      <c r="C82" s="102" t="s">
        <v>1276</v>
      </c>
      <c r="D82" s="102" t="s">
        <v>1281</v>
      </c>
      <c r="E82" s="102" t="s">
        <v>1280</v>
      </c>
      <c r="F82" s="102" t="s">
        <v>1279</v>
      </c>
      <c r="G82" s="102" t="s">
        <v>1278</v>
      </c>
      <c r="H82" s="101"/>
    </row>
    <row r="83" spans="1:8" s="114" customFormat="1" ht="33" customHeight="1">
      <c r="A83" s="117"/>
      <c r="B83" s="102" t="s">
        <v>1277</v>
      </c>
      <c r="C83" s="102" t="s">
        <v>1276</v>
      </c>
      <c r="D83" s="102" t="s">
        <v>1275</v>
      </c>
      <c r="E83" s="102" t="s">
        <v>448</v>
      </c>
      <c r="F83" s="102" t="s">
        <v>1274</v>
      </c>
      <c r="G83" s="102" t="s">
        <v>1273</v>
      </c>
      <c r="H83" s="101"/>
    </row>
    <row r="84" spans="1:8" s="114" customFormat="1" ht="96" customHeight="1">
      <c r="A84" s="117"/>
      <c r="B84" s="102" t="s">
        <v>1252</v>
      </c>
      <c r="C84" s="102" t="s">
        <v>1248</v>
      </c>
      <c r="D84" s="102" t="s">
        <v>1272</v>
      </c>
      <c r="E84" s="102" t="s">
        <v>1155</v>
      </c>
      <c r="F84" s="102" t="s">
        <v>1271</v>
      </c>
      <c r="G84" s="102" t="s">
        <v>1270</v>
      </c>
      <c r="H84" s="101"/>
    </row>
    <row r="85" spans="1:8" s="114" customFormat="1" ht="108" customHeight="1">
      <c r="A85" s="117"/>
      <c r="B85" s="102" t="s">
        <v>1252</v>
      </c>
      <c r="C85" s="102" t="s">
        <v>1248</v>
      </c>
      <c r="D85" s="102" t="s">
        <v>1269</v>
      </c>
      <c r="E85" s="102" t="s">
        <v>1268</v>
      </c>
      <c r="F85" s="102" t="s">
        <v>152</v>
      </c>
      <c r="G85" s="102" t="s">
        <v>1267</v>
      </c>
      <c r="H85" s="101"/>
    </row>
    <row r="86" spans="1:8" s="114" customFormat="1" ht="91.5" customHeight="1">
      <c r="A86" s="117"/>
      <c r="B86" s="102" t="s">
        <v>1252</v>
      </c>
      <c r="C86" s="102" t="s">
        <v>1248</v>
      </c>
      <c r="D86" s="102" t="s">
        <v>1266</v>
      </c>
      <c r="E86" s="102" t="s">
        <v>1155</v>
      </c>
      <c r="F86" s="102" t="s">
        <v>152</v>
      </c>
      <c r="G86" s="102" t="s">
        <v>1265</v>
      </c>
      <c r="H86" s="101"/>
    </row>
    <row r="87" spans="1:8" s="114" customFormat="1" ht="91.5" customHeight="1">
      <c r="A87" s="117"/>
      <c r="B87" s="102" t="s">
        <v>1252</v>
      </c>
      <c r="C87" s="102" t="s">
        <v>1248</v>
      </c>
      <c r="D87" s="102" t="s">
        <v>1264</v>
      </c>
      <c r="E87" s="102" t="s">
        <v>1155</v>
      </c>
      <c r="F87" s="102" t="s">
        <v>152</v>
      </c>
      <c r="G87" s="102" t="s">
        <v>1263</v>
      </c>
      <c r="H87" s="101"/>
    </row>
    <row r="88" spans="1:8" s="114" customFormat="1" ht="91.5" customHeight="1">
      <c r="A88" s="117"/>
      <c r="B88" s="102" t="s">
        <v>1252</v>
      </c>
      <c r="C88" s="102" t="s">
        <v>1248</v>
      </c>
      <c r="D88" s="102" t="s">
        <v>1262</v>
      </c>
      <c r="E88" s="102" t="s">
        <v>1155</v>
      </c>
      <c r="F88" s="102" t="s">
        <v>152</v>
      </c>
      <c r="G88" s="102" t="s">
        <v>1261</v>
      </c>
      <c r="H88" s="101"/>
    </row>
    <row r="89" spans="1:8" s="114" customFormat="1" ht="91.5" customHeight="1">
      <c r="A89" s="117"/>
      <c r="B89" s="102" t="s">
        <v>1252</v>
      </c>
      <c r="C89" s="102" t="s">
        <v>1248</v>
      </c>
      <c r="D89" s="102" t="s">
        <v>1260</v>
      </c>
      <c r="E89" s="102" t="s">
        <v>1155</v>
      </c>
      <c r="F89" s="102" t="s">
        <v>152</v>
      </c>
      <c r="G89" s="102" t="s">
        <v>1259</v>
      </c>
      <c r="H89" s="101"/>
    </row>
    <row r="90" spans="1:8" s="114" customFormat="1" ht="91.5" customHeight="1">
      <c r="A90" s="117"/>
      <c r="B90" s="102" t="s">
        <v>1249</v>
      </c>
      <c r="C90" s="102" t="s">
        <v>1248</v>
      </c>
      <c r="D90" s="102" t="s">
        <v>1258</v>
      </c>
      <c r="E90" s="102" t="s">
        <v>1155</v>
      </c>
      <c r="F90" s="102" t="s">
        <v>152</v>
      </c>
      <c r="G90" s="102" t="s">
        <v>1257</v>
      </c>
      <c r="H90" s="101"/>
    </row>
    <row r="91" spans="1:8" s="114" customFormat="1" ht="98.25" customHeight="1">
      <c r="A91" s="117"/>
      <c r="B91" s="102" t="s">
        <v>1249</v>
      </c>
      <c r="C91" s="102" t="s">
        <v>1248</v>
      </c>
      <c r="D91" s="102" t="s">
        <v>1256</v>
      </c>
      <c r="E91" s="102" t="s">
        <v>1155</v>
      </c>
      <c r="F91" s="102" t="s">
        <v>152</v>
      </c>
      <c r="G91" s="102" t="s">
        <v>1255</v>
      </c>
      <c r="H91" s="101"/>
    </row>
    <row r="92" spans="1:8" s="114" customFormat="1" ht="98.25" customHeight="1">
      <c r="A92" s="117"/>
      <c r="B92" s="102" t="s">
        <v>1249</v>
      </c>
      <c r="C92" s="102" t="s">
        <v>1248</v>
      </c>
      <c r="D92" s="102" t="s">
        <v>1254</v>
      </c>
      <c r="E92" s="102" t="s">
        <v>1155</v>
      </c>
      <c r="F92" s="102" t="s">
        <v>152</v>
      </c>
      <c r="G92" s="102" t="s">
        <v>1253</v>
      </c>
      <c r="H92" s="101"/>
    </row>
    <row r="93" spans="1:8" s="113" customFormat="1" ht="98.25" customHeight="1">
      <c r="A93" s="117"/>
      <c r="B93" s="102" t="s">
        <v>1252</v>
      </c>
      <c r="C93" s="102" t="s">
        <v>1248</v>
      </c>
      <c r="D93" s="102" t="s">
        <v>1251</v>
      </c>
      <c r="E93" s="102" t="s">
        <v>1155</v>
      </c>
      <c r="F93" s="102" t="s">
        <v>152</v>
      </c>
      <c r="G93" s="102" t="s">
        <v>1250</v>
      </c>
      <c r="H93" s="101"/>
    </row>
    <row r="94" spans="1:8" s="113" customFormat="1" ht="107.25" customHeight="1">
      <c r="A94" s="117"/>
      <c r="B94" s="102" t="s">
        <v>1249</v>
      </c>
      <c r="C94" s="102" t="s">
        <v>1248</v>
      </c>
      <c r="D94" s="102" t="s">
        <v>1247</v>
      </c>
      <c r="E94" s="102" t="s">
        <v>74</v>
      </c>
      <c r="F94" s="102" t="s">
        <v>85</v>
      </c>
      <c r="G94" s="102" t="s">
        <v>1246</v>
      </c>
      <c r="H94" s="101"/>
    </row>
    <row r="95" spans="1:8" s="113" customFormat="1" ht="45.75" customHeight="1">
      <c r="A95" s="117"/>
      <c r="B95" s="102" t="s">
        <v>1222</v>
      </c>
      <c r="C95" s="102" t="s">
        <v>1225</v>
      </c>
      <c r="D95" s="102" t="s">
        <v>1245</v>
      </c>
      <c r="E95" s="102" t="s">
        <v>1231</v>
      </c>
      <c r="F95" s="102" t="s">
        <v>1243</v>
      </c>
      <c r="G95" s="102" t="s">
        <v>1242</v>
      </c>
      <c r="H95" s="101"/>
    </row>
    <row r="96" spans="1:8" s="113" customFormat="1" ht="60.75" customHeight="1">
      <c r="A96" s="117"/>
      <c r="B96" s="102" t="s">
        <v>1222</v>
      </c>
      <c r="C96" s="102" t="s">
        <v>1221</v>
      </c>
      <c r="D96" s="102" t="s">
        <v>1244</v>
      </c>
      <c r="E96" s="102" t="s">
        <v>1228</v>
      </c>
      <c r="F96" s="102" t="s">
        <v>1243</v>
      </c>
      <c r="G96" s="102" t="s">
        <v>1242</v>
      </c>
      <c r="H96" s="101"/>
    </row>
    <row r="97" spans="1:8" s="113" customFormat="1" ht="93" customHeight="1">
      <c r="A97" s="117"/>
      <c r="B97" s="102" t="s">
        <v>1222</v>
      </c>
      <c r="C97" s="102" t="s">
        <v>1221</v>
      </c>
      <c r="D97" s="102" t="s">
        <v>1241</v>
      </c>
      <c r="E97" s="102" t="s">
        <v>1240</v>
      </c>
      <c r="F97" s="102" t="s">
        <v>1239</v>
      </c>
      <c r="G97" s="102" t="s">
        <v>1238</v>
      </c>
      <c r="H97" s="101"/>
    </row>
    <row r="98" spans="1:8" s="113" customFormat="1" ht="131.25" customHeight="1">
      <c r="A98" s="117"/>
      <c r="B98" s="102" t="s">
        <v>1237</v>
      </c>
      <c r="C98" s="102" t="s">
        <v>1225</v>
      </c>
      <c r="D98" s="102" t="s">
        <v>1236</v>
      </c>
      <c r="E98" s="102" t="s">
        <v>1235</v>
      </c>
      <c r="F98" s="102" t="s">
        <v>1234</v>
      </c>
      <c r="G98" s="102" t="s">
        <v>1233</v>
      </c>
      <c r="H98" s="101"/>
    </row>
    <row r="99" spans="1:8" s="113" customFormat="1" ht="41.25" customHeight="1">
      <c r="A99" s="117"/>
      <c r="B99" s="102" t="s">
        <v>1222</v>
      </c>
      <c r="C99" s="102" t="s">
        <v>1221</v>
      </c>
      <c r="D99" s="102" t="s">
        <v>1232</v>
      </c>
      <c r="E99" s="102" t="s">
        <v>1231</v>
      </c>
      <c r="F99" s="102" t="s">
        <v>1227</v>
      </c>
      <c r="G99" s="102" t="s">
        <v>1230</v>
      </c>
      <c r="H99" s="101"/>
    </row>
    <row r="100" spans="1:8" s="113" customFormat="1" ht="63" customHeight="1">
      <c r="A100" s="117"/>
      <c r="B100" s="102" t="s">
        <v>1222</v>
      </c>
      <c r="C100" s="102" t="s">
        <v>1225</v>
      </c>
      <c r="D100" s="102" t="s">
        <v>1229</v>
      </c>
      <c r="E100" s="102" t="s">
        <v>1228</v>
      </c>
      <c r="F100" s="102" t="s">
        <v>1227</v>
      </c>
      <c r="G100" s="102" t="s">
        <v>1226</v>
      </c>
      <c r="H100" s="101"/>
    </row>
    <row r="101" spans="1:8" s="113" customFormat="1" ht="48.75" customHeight="1">
      <c r="A101" s="117"/>
      <c r="B101" s="102" t="s">
        <v>1222</v>
      </c>
      <c r="C101" s="102" t="s">
        <v>1225</v>
      </c>
      <c r="D101" s="102" t="s">
        <v>1224</v>
      </c>
      <c r="E101" s="102" t="s">
        <v>1219</v>
      </c>
      <c r="F101" s="102" t="s">
        <v>1218</v>
      </c>
      <c r="G101" s="102" t="s">
        <v>1223</v>
      </c>
      <c r="H101" s="101"/>
    </row>
    <row r="102" spans="1:8" s="113" customFormat="1" ht="45.75" customHeight="1">
      <c r="A102" s="117"/>
      <c r="B102" s="102" t="s">
        <v>1222</v>
      </c>
      <c r="C102" s="102" t="s">
        <v>1221</v>
      </c>
      <c r="D102" s="102" t="s">
        <v>1220</v>
      </c>
      <c r="E102" s="102" t="s">
        <v>1219</v>
      </c>
      <c r="F102" s="102" t="s">
        <v>1218</v>
      </c>
      <c r="G102" s="102" t="s">
        <v>1217</v>
      </c>
      <c r="H102" s="101"/>
    </row>
    <row r="103" spans="1:8" s="113" customFormat="1" ht="33" customHeight="1">
      <c r="A103" s="117"/>
      <c r="B103" s="102" t="s">
        <v>1191</v>
      </c>
      <c r="C103" s="102" t="s">
        <v>1190</v>
      </c>
      <c r="D103" s="102" t="s">
        <v>1216</v>
      </c>
      <c r="E103" s="102"/>
      <c r="F103" s="102" t="s">
        <v>1215</v>
      </c>
      <c r="G103" s="102" t="s">
        <v>1214</v>
      </c>
      <c r="H103" s="101"/>
    </row>
    <row r="104" spans="1:8" s="113" customFormat="1" ht="33" customHeight="1">
      <c r="A104" s="117"/>
      <c r="B104" s="102" t="s">
        <v>1191</v>
      </c>
      <c r="C104" s="102" t="s">
        <v>1190</v>
      </c>
      <c r="D104" s="102" t="s">
        <v>1213</v>
      </c>
      <c r="E104" s="102" t="s">
        <v>1212</v>
      </c>
      <c r="F104" s="102" t="s">
        <v>1211</v>
      </c>
      <c r="G104" s="102" t="s">
        <v>1206</v>
      </c>
      <c r="H104" s="101"/>
    </row>
    <row r="105" spans="1:8" s="113" customFormat="1" ht="33" customHeight="1">
      <c r="A105" s="117"/>
      <c r="B105" s="102" t="s">
        <v>1191</v>
      </c>
      <c r="C105" s="102" t="s">
        <v>1210</v>
      </c>
      <c r="D105" s="102" t="s">
        <v>1209</v>
      </c>
      <c r="E105" s="102" t="s">
        <v>1208</v>
      </c>
      <c r="F105" s="102" t="s">
        <v>1207</v>
      </c>
      <c r="G105" s="102" t="s">
        <v>1206</v>
      </c>
      <c r="H105" s="101"/>
    </row>
    <row r="106" spans="1:8" s="113" customFormat="1" ht="33" customHeight="1">
      <c r="A106" s="117"/>
      <c r="B106" s="102" t="s">
        <v>1191</v>
      </c>
      <c r="C106" s="102" t="s">
        <v>1190</v>
      </c>
      <c r="D106" s="102" t="s">
        <v>1205</v>
      </c>
      <c r="E106" s="102" t="s">
        <v>1193</v>
      </c>
      <c r="F106" s="102" t="s">
        <v>74</v>
      </c>
      <c r="G106" s="102" t="s">
        <v>1204</v>
      </c>
      <c r="H106" s="101"/>
    </row>
    <row r="107" spans="1:8" s="113" customFormat="1" ht="58.5" customHeight="1">
      <c r="A107" s="117"/>
      <c r="B107" s="102" t="s">
        <v>1191</v>
      </c>
      <c r="C107" s="102" t="s">
        <v>1190</v>
      </c>
      <c r="D107" s="102" t="s">
        <v>1203</v>
      </c>
      <c r="E107" s="102" t="s">
        <v>1202</v>
      </c>
      <c r="F107" s="102" t="s">
        <v>1000</v>
      </c>
      <c r="G107" s="102" t="s">
        <v>1201</v>
      </c>
      <c r="H107" s="101"/>
    </row>
    <row r="108" spans="1:8" s="113" customFormat="1" ht="67.5" customHeight="1">
      <c r="A108" s="117"/>
      <c r="B108" s="102" t="s">
        <v>1191</v>
      </c>
      <c r="C108" s="102" t="s">
        <v>1197</v>
      </c>
      <c r="D108" s="102" t="s">
        <v>1200</v>
      </c>
      <c r="E108" s="102" t="s">
        <v>1199</v>
      </c>
      <c r="F108" s="102" t="s">
        <v>1000</v>
      </c>
      <c r="G108" s="102" t="s">
        <v>1198</v>
      </c>
      <c r="H108" s="101"/>
    </row>
    <row r="109" spans="1:8" s="113" customFormat="1" ht="33" customHeight="1">
      <c r="A109" s="117"/>
      <c r="B109" s="102" t="s">
        <v>1191</v>
      </c>
      <c r="C109" s="102" t="s">
        <v>1197</v>
      </c>
      <c r="D109" s="102" t="s">
        <v>1196</v>
      </c>
      <c r="E109" s="102" t="s">
        <v>1193</v>
      </c>
      <c r="F109" s="102" t="s">
        <v>74</v>
      </c>
      <c r="G109" s="102" t="s">
        <v>1195</v>
      </c>
      <c r="H109" s="101"/>
    </row>
    <row r="110" spans="1:8" s="113" customFormat="1" ht="33" customHeight="1">
      <c r="A110" s="117"/>
      <c r="B110" s="102" t="s">
        <v>1191</v>
      </c>
      <c r="C110" s="102" t="s">
        <v>1190</v>
      </c>
      <c r="D110" s="102" t="s">
        <v>1194</v>
      </c>
      <c r="E110" s="102" t="s">
        <v>1193</v>
      </c>
      <c r="F110" s="102" t="s">
        <v>74</v>
      </c>
      <c r="G110" s="102" t="s">
        <v>1192</v>
      </c>
      <c r="H110" s="101"/>
    </row>
    <row r="111" spans="1:8" s="113" customFormat="1" ht="33" customHeight="1">
      <c r="A111" s="117"/>
      <c r="B111" s="102" t="s">
        <v>1191</v>
      </c>
      <c r="C111" s="102" t="s">
        <v>1190</v>
      </c>
      <c r="D111" s="102" t="s">
        <v>1189</v>
      </c>
      <c r="E111" s="102" t="s">
        <v>1188</v>
      </c>
      <c r="F111" s="102" t="s">
        <v>74</v>
      </c>
      <c r="G111" s="102" t="s">
        <v>1187</v>
      </c>
      <c r="H111" s="101"/>
    </row>
    <row r="112" spans="1:8" s="113" customFormat="1" ht="102.75" customHeight="1">
      <c r="A112" s="117"/>
      <c r="B112" s="102" t="s">
        <v>1186</v>
      </c>
      <c r="C112" s="102" t="s">
        <v>1185</v>
      </c>
      <c r="D112" s="102" t="s">
        <v>1184</v>
      </c>
      <c r="E112" s="102" t="s">
        <v>1183</v>
      </c>
      <c r="F112" s="102" t="s">
        <v>1182</v>
      </c>
      <c r="G112" s="102" t="s">
        <v>1181</v>
      </c>
      <c r="H112" s="101"/>
    </row>
    <row r="113" spans="1:8" s="113" customFormat="1" ht="136.5" customHeight="1">
      <c r="A113" s="117"/>
      <c r="B113" s="102" t="s">
        <v>1175</v>
      </c>
      <c r="C113" s="102" t="s">
        <v>1180</v>
      </c>
      <c r="D113" s="102" t="s">
        <v>1179</v>
      </c>
      <c r="E113" s="102" t="s">
        <v>1178</v>
      </c>
      <c r="F113" s="102" t="s">
        <v>1177</v>
      </c>
      <c r="G113" s="102" t="s">
        <v>1176</v>
      </c>
      <c r="H113" s="101"/>
    </row>
    <row r="114" spans="1:8" s="113" customFormat="1" ht="120" customHeight="1">
      <c r="A114" s="117"/>
      <c r="B114" s="102" t="s">
        <v>1175</v>
      </c>
      <c r="C114" s="102" t="s">
        <v>1174</v>
      </c>
      <c r="D114" s="102" t="s">
        <v>1173</v>
      </c>
      <c r="E114" s="102" t="s">
        <v>1172</v>
      </c>
      <c r="F114" s="102" t="s">
        <v>1171</v>
      </c>
      <c r="G114" s="102" t="s">
        <v>1170</v>
      </c>
      <c r="H114" s="101"/>
    </row>
    <row r="115" spans="1:8" s="113" customFormat="1" ht="100.5" customHeight="1">
      <c r="A115" s="117"/>
      <c r="B115" s="102" t="s">
        <v>1169</v>
      </c>
      <c r="C115" s="102" t="s">
        <v>1157</v>
      </c>
      <c r="D115" s="102" t="s">
        <v>1168</v>
      </c>
      <c r="E115" s="102" t="s">
        <v>1161</v>
      </c>
      <c r="F115" s="102" t="s">
        <v>1167</v>
      </c>
      <c r="G115" s="102" t="s">
        <v>1166</v>
      </c>
      <c r="H115" s="101"/>
    </row>
    <row r="116" spans="1:8" s="113" customFormat="1" ht="100.5" customHeight="1">
      <c r="A116" s="117"/>
      <c r="B116" s="102" t="s">
        <v>1158</v>
      </c>
      <c r="C116" s="102" t="s">
        <v>1157</v>
      </c>
      <c r="D116" s="102" t="s">
        <v>1165</v>
      </c>
      <c r="E116" s="102" t="s">
        <v>1161</v>
      </c>
      <c r="F116" s="102" t="s">
        <v>1164</v>
      </c>
      <c r="G116" s="102" t="s">
        <v>1163</v>
      </c>
      <c r="H116" s="101"/>
    </row>
    <row r="117" spans="1:8" s="113" customFormat="1" ht="100.5" customHeight="1">
      <c r="A117" s="117"/>
      <c r="B117" s="102" t="s">
        <v>1158</v>
      </c>
      <c r="C117" s="102" t="s">
        <v>1157</v>
      </c>
      <c r="D117" s="102" t="s">
        <v>1162</v>
      </c>
      <c r="E117" s="102" t="s">
        <v>1161</v>
      </c>
      <c r="F117" s="102" t="s">
        <v>1160</v>
      </c>
      <c r="G117" s="102" t="s">
        <v>1159</v>
      </c>
      <c r="H117" s="101"/>
    </row>
    <row r="118" spans="1:8" s="113" customFormat="1" ht="87.75" customHeight="1">
      <c r="A118" s="117"/>
      <c r="B118" s="102" t="s">
        <v>1158</v>
      </c>
      <c r="C118" s="102" t="s">
        <v>1157</v>
      </c>
      <c r="D118" s="102" t="s">
        <v>1156</v>
      </c>
      <c r="E118" s="102" t="s">
        <v>1155</v>
      </c>
      <c r="F118" s="102" t="s">
        <v>1154</v>
      </c>
      <c r="G118" s="102" t="s">
        <v>1153</v>
      </c>
      <c r="H118" s="101"/>
    </row>
    <row r="119" spans="1:8" s="113" customFormat="1" ht="33" customHeight="1">
      <c r="A119" s="117"/>
      <c r="B119" s="102" t="s">
        <v>1150</v>
      </c>
      <c r="C119" s="102" t="s">
        <v>1149</v>
      </c>
      <c r="D119" s="102" t="s">
        <v>1152</v>
      </c>
      <c r="E119" s="102" t="s">
        <v>448</v>
      </c>
      <c r="F119" s="102" t="s">
        <v>1147</v>
      </c>
      <c r="G119" s="102" t="s">
        <v>1151</v>
      </c>
      <c r="H119" s="101"/>
    </row>
    <row r="120" spans="1:8" s="113" customFormat="1" ht="33" customHeight="1">
      <c r="A120" s="117"/>
      <c r="B120" s="102" t="s">
        <v>1150</v>
      </c>
      <c r="C120" s="102" t="s">
        <v>1149</v>
      </c>
      <c r="D120" s="102" t="s">
        <v>1148</v>
      </c>
      <c r="E120" s="102" t="s">
        <v>448</v>
      </c>
      <c r="F120" s="102" t="s">
        <v>1147</v>
      </c>
      <c r="G120" s="102" t="s">
        <v>1146</v>
      </c>
      <c r="H120" s="101"/>
    </row>
    <row r="121" spans="1:8" s="113" customFormat="1" ht="33" customHeight="1">
      <c r="A121" s="117"/>
      <c r="B121" s="102" t="s">
        <v>1135</v>
      </c>
      <c r="C121" s="102" t="s">
        <v>1134</v>
      </c>
      <c r="D121" s="102" t="s">
        <v>1145</v>
      </c>
      <c r="E121" s="102"/>
      <c r="F121" s="102" t="s">
        <v>1144</v>
      </c>
      <c r="G121" s="102" t="s">
        <v>1143</v>
      </c>
      <c r="H121" s="101"/>
    </row>
    <row r="122" spans="1:8" s="113" customFormat="1" ht="33" customHeight="1">
      <c r="A122" s="117"/>
      <c r="B122" s="102" t="s">
        <v>1135</v>
      </c>
      <c r="C122" s="102" t="s">
        <v>1142</v>
      </c>
      <c r="D122" s="102" t="s">
        <v>1141</v>
      </c>
      <c r="E122" s="102" t="s">
        <v>1140</v>
      </c>
      <c r="F122" s="102" t="s">
        <v>70</v>
      </c>
      <c r="G122" s="102" t="s">
        <v>1139</v>
      </c>
      <c r="H122" s="101"/>
    </row>
    <row r="123" spans="1:8" s="113" customFormat="1" ht="33" customHeight="1">
      <c r="A123" s="117"/>
      <c r="B123" s="102" t="s">
        <v>1138</v>
      </c>
      <c r="C123" s="102" t="s">
        <v>1134</v>
      </c>
      <c r="D123" s="102" t="s">
        <v>1137</v>
      </c>
      <c r="E123" s="102"/>
      <c r="F123" s="102" t="s">
        <v>1132</v>
      </c>
      <c r="G123" s="102" t="s">
        <v>1136</v>
      </c>
      <c r="H123" s="101"/>
    </row>
    <row r="124" spans="1:8" s="113" customFormat="1" ht="33" customHeight="1">
      <c r="A124" s="117"/>
      <c r="B124" s="102" t="s">
        <v>1135</v>
      </c>
      <c r="C124" s="102" t="s">
        <v>1134</v>
      </c>
      <c r="D124" s="102" t="s">
        <v>1133</v>
      </c>
      <c r="E124" s="102"/>
      <c r="F124" s="102" t="s">
        <v>1132</v>
      </c>
      <c r="G124" s="102" t="s">
        <v>1131</v>
      </c>
      <c r="H124" s="101"/>
    </row>
    <row r="125" spans="1:8" s="113" customFormat="1" ht="33" customHeight="1">
      <c r="A125" s="117"/>
      <c r="B125" s="102" t="s">
        <v>1081</v>
      </c>
      <c r="C125" s="102" t="s">
        <v>1080</v>
      </c>
      <c r="D125" s="102" t="s">
        <v>1130</v>
      </c>
      <c r="E125" s="102"/>
      <c r="F125" s="102" t="s">
        <v>1129</v>
      </c>
      <c r="G125" s="102" t="s">
        <v>1128</v>
      </c>
      <c r="H125" s="101"/>
    </row>
    <row r="126" spans="1:8" s="113" customFormat="1" ht="33" customHeight="1">
      <c r="A126" s="117"/>
      <c r="B126" s="102" t="s">
        <v>1081</v>
      </c>
      <c r="C126" s="102" t="s">
        <v>1080</v>
      </c>
      <c r="D126" s="102" t="s">
        <v>1127</v>
      </c>
      <c r="E126" s="102" t="s">
        <v>1126</v>
      </c>
      <c r="F126" s="102" t="s">
        <v>1125</v>
      </c>
      <c r="G126" s="102" t="s">
        <v>1124</v>
      </c>
      <c r="H126" s="101"/>
    </row>
    <row r="127" spans="1:8" s="113" customFormat="1" ht="33" customHeight="1">
      <c r="A127" s="117"/>
      <c r="B127" s="102" t="s">
        <v>1087</v>
      </c>
      <c r="C127" s="102" t="s">
        <v>1086</v>
      </c>
      <c r="D127" s="102" t="s">
        <v>1123</v>
      </c>
      <c r="E127" s="102" t="s">
        <v>1107</v>
      </c>
      <c r="F127" s="102" t="s">
        <v>1120</v>
      </c>
      <c r="G127" s="102" t="s">
        <v>1122</v>
      </c>
      <c r="H127" s="101"/>
    </row>
    <row r="128" spans="1:8" s="113" customFormat="1" ht="33" customHeight="1">
      <c r="A128" s="117"/>
      <c r="B128" s="102" t="s">
        <v>1087</v>
      </c>
      <c r="C128" s="102" t="s">
        <v>1086</v>
      </c>
      <c r="D128" s="102" t="s">
        <v>1121</v>
      </c>
      <c r="E128" s="102" t="s">
        <v>1107</v>
      </c>
      <c r="F128" s="102" t="s">
        <v>1120</v>
      </c>
      <c r="G128" s="102" t="s">
        <v>1119</v>
      </c>
      <c r="H128" s="101"/>
    </row>
    <row r="129" spans="1:8" s="113" customFormat="1" ht="33" customHeight="1">
      <c r="A129" s="117"/>
      <c r="B129" s="102" t="s">
        <v>1087</v>
      </c>
      <c r="C129" s="102" t="s">
        <v>1086</v>
      </c>
      <c r="D129" s="102" t="s">
        <v>1118</v>
      </c>
      <c r="E129" s="102"/>
      <c r="F129" s="102" t="s">
        <v>1117</v>
      </c>
      <c r="G129" s="102" t="s">
        <v>1116</v>
      </c>
      <c r="H129" s="101"/>
    </row>
    <row r="130" spans="1:8" s="113" customFormat="1" ht="33" customHeight="1">
      <c r="A130" s="117"/>
      <c r="B130" s="102" t="s">
        <v>1087</v>
      </c>
      <c r="C130" s="102" t="s">
        <v>1086</v>
      </c>
      <c r="D130" s="102" t="s">
        <v>1115</v>
      </c>
      <c r="E130" s="102" t="s">
        <v>1107</v>
      </c>
      <c r="F130" s="102" t="s">
        <v>1112</v>
      </c>
      <c r="G130" s="102" t="s">
        <v>1114</v>
      </c>
      <c r="H130" s="101"/>
    </row>
    <row r="131" spans="1:8" s="113" customFormat="1" ht="33" customHeight="1">
      <c r="A131" s="117"/>
      <c r="B131" s="102" t="s">
        <v>1087</v>
      </c>
      <c r="C131" s="102" t="s">
        <v>1086</v>
      </c>
      <c r="D131" s="102" t="s">
        <v>1113</v>
      </c>
      <c r="E131" s="102" t="s">
        <v>1107</v>
      </c>
      <c r="F131" s="102" t="s">
        <v>1112</v>
      </c>
      <c r="G131" s="102" t="s">
        <v>1111</v>
      </c>
      <c r="H131" s="101"/>
    </row>
    <row r="132" spans="1:8" s="113" customFormat="1" ht="33" customHeight="1">
      <c r="A132" s="117"/>
      <c r="B132" s="102" t="s">
        <v>1087</v>
      </c>
      <c r="C132" s="102" t="s">
        <v>1086</v>
      </c>
      <c r="D132" s="102" t="s">
        <v>1110</v>
      </c>
      <c r="E132" s="102" t="s">
        <v>1107</v>
      </c>
      <c r="F132" s="102" t="s">
        <v>1106</v>
      </c>
      <c r="G132" s="102" t="s">
        <v>1109</v>
      </c>
      <c r="H132" s="101"/>
    </row>
    <row r="133" spans="1:8" s="113" customFormat="1" ht="33" customHeight="1">
      <c r="A133" s="117"/>
      <c r="B133" s="102" t="s">
        <v>1087</v>
      </c>
      <c r="C133" s="102" t="s">
        <v>1086</v>
      </c>
      <c r="D133" s="102" t="s">
        <v>1108</v>
      </c>
      <c r="E133" s="102" t="s">
        <v>1107</v>
      </c>
      <c r="F133" s="102" t="s">
        <v>1106</v>
      </c>
      <c r="G133" s="102" t="s">
        <v>1105</v>
      </c>
      <c r="H133" s="101"/>
    </row>
    <row r="134" spans="1:8" s="113" customFormat="1" ht="75" customHeight="1">
      <c r="A134" s="117"/>
      <c r="B134" s="102" t="s">
        <v>1087</v>
      </c>
      <c r="C134" s="102" t="s">
        <v>1086</v>
      </c>
      <c r="D134" s="102" t="s">
        <v>1104</v>
      </c>
      <c r="E134" s="102" t="s">
        <v>1101</v>
      </c>
      <c r="F134" s="102" t="s">
        <v>1100</v>
      </c>
      <c r="G134" s="102" t="s">
        <v>1103</v>
      </c>
      <c r="H134" s="101"/>
    </row>
    <row r="135" spans="1:8" s="113" customFormat="1" ht="75" customHeight="1">
      <c r="A135" s="117"/>
      <c r="B135" s="102" t="s">
        <v>1087</v>
      </c>
      <c r="C135" s="102" t="s">
        <v>1086</v>
      </c>
      <c r="D135" s="102" t="s">
        <v>1102</v>
      </c>
      <c r="E135" s="102" t="s">
        <v>1101</v>
      </c>
      <c r="F135" s="102" t="s">
        <v>1100</v>
      </c>
      <c r="G135" s="102" t="s">
        <v>1099</v>
      </c>
      <c r="H135" s="101"/>
    </row>
    <row r="136" spans="1:8" s="113" customFormat="1" ht="78.75" customHeight="1">
      <c r="A136" s="117"/>
      <c r="B136" s="102" t="s">
        <v>1087</v>
      </c>
      <c r="C136" s="102" t="s">
        <v>1086</v>
      </c>
      <c r="D136" s="102" t="s">
        <v>1098</v>
      </c>
      <c r="E136" s="102" t="s">
        <v>1097</v>
      </c>
      <c r="F136" s="102" t="s">
        <v>1096</v>
      </c>
      <c r="G136" s="102" t="s">
        <v>1095</v>
      </c>
      <c r="H136" s="101"/>
    </row>
    <row r="137" spans="1:8" s="113" customFormat="1" ht="57.75" customHeight="1">
      <c r="A137" s="117"/>
      <c r="B137" s="102" t="s">
        <v>1087</v>
      </c>
      <c r="C137" s="102" t="s">
        <v>1086</v>
      </c>
      <c r="D137" s="102" t="s">
        <v>1094</v>
      </c>
      <c r="E137" s="102" t="s">
        <v>1093</v>
      </c>
      <c r="F137" s="102" t="s">
        <v>1083</v>
      </c>
      <c r="G137" s="102" t="s">
        <v>1092</v>
      </c>
      <c r="H137" s="101"/>
    </row>
    <row r="138" spans="1:8" s="113" customFormat="1" ht="57.75" customHeight="1">
      <c r="A138" s="117"/>
      <c r="B138" s="102" t="s">
        <v>1087</v>
      </c>
      <c r="C138" s="102" t="s">
        <v>1086</v>
      </c>
      <c r="D138" s="102" t="s">
        <v>1091</v>
      </c>
      <c r="E138" s="102" t="s">
        <v>1090</v>
      </c>
      <c r="F138" s="102" t="s">
        <v>1089</v>
      </c>
      <c r="G138" s="102" t="s">
        <v>1088</v>
      </c>
      <c r="H138" s="101"/>
    </row>
    <row r="139" spans="1:8" s="113" customFormat="1" ht="57.75" customHeight="1">
      <c r="A139" s="117"/>
      <c r="B139" s="102" t="s">
        <v>1087</v>
      </c>
      <c r="C139" s="102" t="s">
        <v>1086</v>
      </c>
      <c r="D139" s="102" t="s">
        <v>1085</v>
      </c>
      <c r="E139" s="102" t="s">
        <v>1084</v>
      </c>
      <c r="F139" s="102" t="s">
        <v>1083</v>
      </c>
      <c r="G139" s="102" t="s">
        <v>1082</v>
      </c>
      <c r="H139" s="101"/>
    </row>
    <row r="140" spans="1:8" s="113" customFormat="1" ht="152.25" customHeight="1" thickBot="1">
      <c r="A140" s="120"/>
      <c r="B140" s="100" t="s">
        <v>1081</v>
      </c>
      <c r="C140" s="100" t="s">
        <v>1080</v>
      </c>
      <c r="D140" s="100" t="s">
        <v>1079</v>
      </c>
      <c r="E140" s="100" t="s">
        <v>1078</v>
      </c>
      <c r="F140" s="100" t="s">
        <v>1077</v>
      </c>
      <c r="G140" s="100" t="s">
        <v>1076</v>
      </c>
      <c r="H140" s="99"/>
    </row>
    <row r="141" spans="1:8" ht="15.75">
      <c r="B141" s="112"/>
      <c r="C141" s="112"/>
      <c r="D141" s="110"/>
      <c r="E141" s="111"/>
      <c r="F141" s="110"/>
      <c r="G141" s="109"/>
      <c r="H141" s="108"/>
    </row>
    <row r="142" spans="1:8" ht="15.75">
      <c r="B142" s="112"/>
      <c r="C142" s="112"/>
      <c r="D142" s="110"/>
      <c r="E142" s="111"/>
      <c r="F142" s="110"/>
      <c r="G142" s="109"/>
      <c r="H142" s="108"/>
    </row>
    <row r="143" spans="1:8" ht="15.75">
      <c r="B143" s="112"/>
      <c r="C143" s="112"/>
      <c r="D143" s="110"/>
      <c r="E143" s="111"/>
      <c r="F143" s="110"/>
      <c r="G143" s="109"/>
      <c r="H143" s="108"/>
    </row>
    <row r="144" spans="1:8" ht="15.75">
      <c r="B144" s="112"/>
      <c r="C144" s="112"/>
      <c r="D144" s="110"/>
      <c r="E144" s="111"/>
      <c r="F144" s="110"/>
      <c r="G144" s="109"/>
      <c r="H144" s="108"/>
    </row>
    <row r="145" spans="2:8" ht="15.75">
      <c r="B145" s="112"/>
      <c r="C145" s="112"/>
      <c r="D145" s="110"/>
      <c r="E145" s="111"/>
      <c r="F145" s="110"/>
      <c r="G145" s="109"/>
      <c r="H145" s="108"/>
    </row>
    <row r="146" spans="2:8" ht="15.75">
      <c r="B146" s="112"/>
      <c r="C146" s="112"/>
      <c r="D146" s="110"/>
      <c r="E146" s="111"/>
      <c r="F146" s="110"/>
      <c r="G146" s="109"/>
      <c r="H146" s="108"/>
    </row>
    <row r="147" spans="2:8" ht="15.75">
      <c r="B147" s="112"/>
      <c r="C147" s="112"/>
      <c r="D147" s="110"/>
      <c r="E147" s="111"/>
      <c r="F147" s="110"/>
      <c r="G147" s="109"/>
      <c r="H147" s="108"/>
    </row>
    <row r="148" spans="2:8" ht="161.25" customHeight="1">
      <c r="B148" s="112"/>
      <c r="C148" s="112"/>
      <c r="D148" s="110"/>
      <c r="E148" s="111"/>
      <c r="F148" s="110"/>
      <c r="G148" s="109"/>
      <c r="H148" s="108"/>
    </row>
    <row r="149" spans="2:8" ht="15.75">
      <c r="B149" s="112"/>
      <c r="C149" s="112"/>
      <c r="D149" s="110"/>
      <c r="E149" s="111"/>
      <c r="F149" s="110"/>
      <c r="G149" s="109"/>
      <c r="H149" s="108"/>
    </row>
    <row r="155" spans="2:8" ht="121.5" customHeight="1"/>
  </sheetData>
  <phoneticPr fontId="1"/>
  <pageMargins left="0.51181102362204722" right="0.74803149606299213" top="0.70866141732283472" bottom="0.43307086614173229" header="0.51181102362204722" footer="0.19685039370078741"/>
  <pageSetup paperSize="9" scale="64" fitToHeight="0" orientation="landscape" r:id="rId1"/>
  <headerFooter alignWithMargins="0">
    <oddFooter>&amp;L&amp;"Meiryo UI,標準"&amp;10ユーティリティ一覧（マスタ管理）&amp;C&amp;"Meiryo UI,標準"&amp;10&amp;P&amp;R&amp;"Meiryo UI,標準"&amp;10(C)Toyo Business Engineering Corp.[Confidential]</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Y11:BO48"/>
  <sheetViews>
    <sheetView topLeftCell="A49" zoomScaleNormal="100" workbookViewId="0">
      <selection activeCell="BR66" sqref="BR66"/>
    </sheetView>
  </sheetViews>
  <sheetFormatPr defaultColWidth="1.1640625" defaultRowHeight="12" customHeight="1"/>
  <sheetData>
    <row r="11" spans="25:25" ht="12" customHeight="1">
      <c r="Y11" s="6"/>
    </row>
    <row r="48" spans="66:67" ht="12" customHeight="1">
      <c r="BN48" s="7"/>
      <c r="BO48" s="7"/>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EVCTUWYQZQYC-538864054-23881</_dlc_DocId>
    <_dlc_DocIdUrl xmlns="276bdb53-d102-4a67-8437-273e78fbb7dc">
      <Url>https://mitsubishielectricgroup.sharepoint.com/sites/009989/_layouts/15/DocIdRedir.aspx?ID=EVCTUWYQZQYC-538864054-23881</Url>
      <Description>EVCTUWYQZQYC-538864054-23881</Description>
    </_dlc_DocIdUrl>
  </documentManagement>
</p:properties>
</file>

<file path=customXml/itemProps1.xml><?xml version="1.0" encoding="utf-8"?>
<ds:datastoreItem xmlns:ds="http://schemas.openxmlformats.org/officeDocument/2006/customXml" ds:itemID="{C2768C7C-100C-45A1-8422-A1238086435A}"/>
</file>

<file path=customXml/itemProps2.xml><?xml version="1.0" encoding="utf-8"?>
<ds:datastoreItem xmlns:ds="http://schemas.openxmlformats.org/officeDocument/2006/customXml" ds:itemID="{D58FCFD1-795C-49B0-BF15-42055E80C1AF}"/>
</file>

<file path=customXml/itemProps3.xml><?xml version="1.0" encoding="utf-8"?>
<ds:datastoreItem xmlns:ds="http://schemas.openxmlformats.org/officeDocument/2006/customXml" ds:itemID="{CB1DA89C-C110-4542-A49C-5742D213EEE0}"/>
</file>

<file path=customXml/itemProps4.xml><?xml version="1.0" encoding="utf-8"?>
<ds:datastoreItem xmlns:ds="http://schemas.openxmlformats.org/officeDocument/2006/customXml" ds:itemID="{9230EC39-C8AF-4ACE-8D41-B6E689F68E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28</vt:i4>
      </vt:variant>
    </vt:vector>
  </HeadingPairs>
  <TitlesOfParts>
    <vt:vector size="36" baseType="lpstr">
      <vt:lpstr>表紙</vt:lpstr>
      <vt:lpstr>来歴</vt:lpstr>
      <vt:lpstr>承認票</vt:lpstr>
      <vt:lpstr>レビュー記録</vt:lpstr>
      <vt:lpstr>一覧（クライアント）</vt:lpstr>
      <vt:lpstr>一覧（サーバ）</vt:lpstr>
      <vt:lpstr>一覧（PLSQL）</vt:lpstr>
      <vt:lpstr>レイアウト素材</vt:lpstr>
      <vt:lpstr>レビュー記録!Print_Area</vt:lpstr>
      <vt:lpstr>'一覧（PLSQL）'!Print_Area</vt:lpstr>
      <vt:lpstr>'一覧（クライアント）'!Print_Area</vt:lpstr>
      <vt:lpstr>'一覧（サーバ）'!Print_Area</vt:lpstr>
      <vt:lpstr>承認票!Print_Area</vt:lpstr>
      <vt:lpstr>表紙!Print_Area</vt:lpstr>
      <vt:lpstr>来歴!Print_Area</vt:lpstr>
      <vt:lpstr>レビュー記録!Print_Titles</vt:lpstr>
      <vt:lpstr>'一覧（PLSQL）'!Print_Titles</vt:lpstr>
      <vt:lpstr>'一覧（クライアント）'!Print_Titles</vt:lpstr>
      <vt:lpstr>'一覧（サーバ）'!Print_Titles</vt:lpstr>
      <vt:lpstr>承認票!Print_Titles</vt:lpstr>
      <vt:lpstr>来歴!Print_Titles</vt:lpstr>
      <vt:lpstr>Rev</vt:lpstr>
      <vt:lpstr>Version</vt:lpstr>
      <vt:lpstr>サブシステム</vt:lpstr>
      <vt:lpstr>システム</vt:lpstr>
      <vt:lpstr>プロジェクト名</vt:lpstr>
      <vt:lpstr>機能ID</vt:lpstr>
      <vt:lpstr>機能名</vt:lpstr>
      <vt:lpstr>顧客名</vt:lpstr>
      <vt:lpstr>作成者</vt:lpstr>
      <vt:lpstr>作成日</vt:lpstr>
      <vt:lpstr>修正者</vt:lpstr>
      <vt:lpstr>修正日</vt:lpstr>
      <vt:lpstr>分類ID</vt:lpstr>
      <vt:lpstr>分類名</vt:lpstr>
      <vt:lpstr>文書番号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Yoshikawa Hideharu</dc:creator>
  <cp:lastModifiedBy>Itou Keita</cp:lastModifiedBy>
  <cp:lastPrinted>2017-10-11T06:02:04Z</cp:lastPrinted>
  <dcterms:created xsi:type="dcterms:W3CDTF">1997-01-08T22:48:59Z</dcterms:created>
  <dcterms:modified xsi:type="dcterms:W3CDTF">2019-05-16T04:09:49Z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9eace35f-f6f2-4360-9f14-be394641083a</vt:lpwstr>
  </property>
</Properties>
</file>