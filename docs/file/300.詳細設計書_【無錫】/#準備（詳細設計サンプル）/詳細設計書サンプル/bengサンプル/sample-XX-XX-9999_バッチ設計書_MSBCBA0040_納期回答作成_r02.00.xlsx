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2.xml" ContentType="application/vnd.openxmlformats-officedocument.drawing+xml"/>
  <Override PartName="/xl/drawings/drawing8.xml" ContentType="application/vnd.openxmlformats-officedocument.drawing+xml"/>
  <Override PartName="/xl/worksheets/sheet1.xml" ContentType="application/vnd.openxmlformats-officedocument.spreadsheetml.worksheet+xml"/>
  <Override PartName="/xl/drawings/drawing10.xml" ContentType="application/vnd.openxmlformats-officedocument.drawing+xml"/>
  <Override PartName="/xl/drawings/drawing11.xml" ContentType="application/vnd.openxmlformats-officedocument.drawing+xml"/>
  <Override PartName="/xl/drawings/drawing9.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worksheets/sheet14.xml" ContentType="application/vnd.openxmlformats-officedocument.spreadsheetml.worksheet+xml"/>
  <Override PartName="/xl/worksheets/sheet13.xml" ContentType="application/vnd.openxmlformats-officedocument.spreadsheetml.worksheet+xml"/>
  <Override PartName="/xl/worksheets/sheet12.xml" ContentType="application/vnd.openxmlformats-officedocument.spreadsheetml.worksheet+xml"/>
  <Override PartName="/xl/drawings/drawing4.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calcChain.xml" ContentType="application/vnd.openxmlformats-officedocument.spreadsheetml.calcChain+xml"/>
  <Override PartName="/xl/comments4.xml" ContentType="application/vnd.openxmlformats-officedocument.spreadsheetml.comment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keita-itou\Desktop\【共通T作業】\mDOC\svn\branches\V2.1\91_sample\"/>
    </mc:Choice>
  </mc:AlternateContent>
  <bookViews>
    <workbookView xWindow="39180" yWindow="660" windowWidth="14835" windowHeight="6870" tabRatio="782" firstSheet="1" activeTab="4"/>
  </bookViews>
  <sheets>
    <sheet name="表紙" sheetId="1" r:id="rId1"/>
    <sheet name="来歴" sheetId="27" r:id="rId2"/>
    <sheet name="承認票" sheetId="28" r:id="rId3"/>
    <sheet name="レビュー記録" sheetId="33" r:id="rId4"/>
    <sheet name="機能概要" sheetId="14" r:id="rId5"/>
    <sheet name="処理・サービス関連図" sheetId="26" r:id="rId6"/>
    <sheet name="更新入出力仕様" sheetId="32" r:id="rId7"/>
    <sheet name="メッセージ一覧" sheetId="29" r:id="rId8"/>
    <sheet name="補助説明書" sheetId="13" r:id="rId9"/>
    <sheet name="処理フロー" sheetId="17" r:id="rId10"/>
    <sheet name="処理詳細" sheetId="22" r:id="rId11"/>
    <sheet name="サービス呼出仕様" sheetId="30" r:id="rId12"/>
    <sheet name="電文項目仕様" sheetId="31" r:id="rId13"/>
    <sheet name="補足_バッチログ実装" sheetId="25" r:id="rId14"/>
  </sheets>
  <definedNames>
    <definedName name="_xlnm.Print_Area" localSheetId="11">サービス呼出仕様!$A$1:$H$23</definedName>
    <definedName name="_xlnm.Print_Area" localSheetId="3">レビュー記録!$A$1:$I$47</definedName>
    <definedName name="_xlnm.Print_Area" localSheetId="5">処理・サービス関連図!$A$1:$AY$40</definedName>
    <definedName name="_xlnm.Print_Area" localSheetId="9">処理フロー!$A$1:$AX$54</definedName>
    <definedName name="_xlnm.Print_Area" localSheetId="10">処理詳細!$A$1:$AX$119</definedName>
    <definedName name="_xlnm.Print_Area" localSheetId="2">承認票!$A$1:$I$47</definedName>
    <definedName name="_xlnm.Print_Area" localSheetId="12">電文項目仕様!$A$1:$E$22</definedName>
    <definedName name="_xlnm.Print_Area" localSheetId="0">表紙!$A$1:$AX$40</definedName>
    <definedName name="_xlnm.Print_Area" localSheetId="13">補足_バッチログ実装!$A$1:$AX$69</definedName>
    <definedName name="_xlnm.Print_Area" localSheetId="1">来歴!$A$1:$F$46</definedName>
    <definedName name="_xlnm.Print_Titles" localSheetId="11">サービス呼出仕様!$4:$4</definedName>
    <definedName name="_xlnm.Print_Titles" localSheetId="7">メッセージ一覧!$4:$6</definedName>
    <definedName name="_xlnm.Print_Titles" localSheetId="3">レビュー記録!$4:$6</definedName>
    <definedName name="_xlnm.Print_Titles" localSheetId="4">機能概要!$1:$5</definedName>
    <definedName name="_xlnm.Print_Titles" localSheetId="6">更新入出力仕様!$4:$4</definedName>
    <definedName name="_xlnm.Print_Titles" localSheetId="5">処理・サービス関連図!$1:$5</definedName>
    <definedName name="_xlnm.Print_Titles" localSheetId="9">処理フロー!$1:$5</definedName>
    <definedName name="_xlnm.Print_Titles" localSheetId="10">処理詳細!$1:$5</definedName>
    <definedName name="_xlnm.Print_Titles" localSheetId="2">承認票!$4:$6</definedName>
    <definedName name="_xlnm.Print_Titles" localSheetId="12">電文項目仕様!$4:$5</definedName>
    <definedName name="_xlnm.Print_Titles" localSheetId="8">補助説明書!$1:$5</definedName>
    <definedName name="_xlnm.Print_Titles" localSheetId="13">補足_バッチログ実装!$1:$4</definedName>
    <definedName name="_xlnm.Print_Titles" localSheetId="1">来歴!$4:$5</definedName>
    <definedName name="Rev">表紙!$G$60</definedName>
    <definedName name="Version">表紙!$G$50</definedName>
    <definedName name="サブシステム">表紙!$G$51</definedName>
    <definedName name="システム">表紙!$G$49</definedName>
    <definedName name="プロジェクト名">表紙!$G$48</definedName>
    <definedName name="機能ID">表紙!$G$53</definedName>
    <definedName name="機能名">表紙!$G$55</definedName>
    <definedName name="顧客名">表紙!$G$47</definedName>
    <definedName name="作成者">表紙!$G$56</definedName>
    <definedName name="作成日">表紙!$G$58</definedName>
    <definedName name="修正者">表紙!$G$57</definedName>
    <definedName name="修正日">表紙!$G$59</definedName>
    <definedName name="分類ID">表紙!$G$52</definedName>
    <definedName name="分類名">表紙!$G$54</definedName>
    <definedName name="文書番号">表紙!$G$61</definedName>
  </definedNames>
  <calcPr calcId="162913"/>
</workbook>
</file>

<file path=xl/calcChain.xml><?xml version="1.0" encoding="utf-8"?>
<calcChain xmlns="http://schemas.openxmlformats.org/spreadsheetml/2006/main">
  <c r="V29" i="1" l="1"/>
  <c r="AB29" i="1"/>
  <c r="V30" i="1"/>
  <c r="V31" i="1"/>
  <c r="BI73" i="1" l="1"/>
  <c r="BE73" i="1"/>
  <c r="BC73" i="1"/>
  <c r="BJ72" i="1"/>
  <c r="BI72" i="1"/>
  <c r="BG72" i="1"/>
  <c r="BE72" i="1"/>
  <c r="BC72" i="1"/>
  <c r="BI71" i="1"/>
  <c r="BG71" i="1"/>
  <c r="BE71" i="1"/>
  <c r="BC71" i="1"/>
  <c r="BI69" i="1"/>
  <c r="BE69" i="1"/>
  <c r="BC69" i="1"/>
  <c r="BJ68" i="1"/>
  <c r="BI68" i="1"/>
  <c r="BG68" i="1"/>
  <c r="BE68" i="1"/>
  <c r="BC68" i="1"/>
  <c r="BI67" i="1"/>
  <c r="BG67" i="1"/>
  <c r="BE67" i="1"/>
  <c r="BC67" i="1"/>
  <c r="BI65" i="1"/>
  <c r="BE65" i="1"/>
  <c r="BC65" i="1"/>
  <c r="BJ64" i="1"/>
  <c r="BI64" i="1"/>
  <c r="BG64" i="1"/>
  <c r="BE64" i="1"/>
  <c r="BC64" i="1"/>
  <c r="BI63" i="1"/>
  <c r="BG63" i="1"/>
  <c r="BE63" i="1"/>
  <c r="BC63" i="1"/>
  <c r="BI61" i="1"/>
  <c r="BE61" i="1"/>
  <c r="BC61" i="1"/>
  <c r="BJ60" i="1"/>
  <c r="BI60" i="1"/>
  <c r="BG60" i="1"/>
  <c r="BE60" i="1"/>
  <c r="BC60" i="1"/>
  <c r="BI59" i="1"/>
  <c r="BG59" i="1"/>
  <c r="BE59" i="1"/>
  <c r="BC59" i="1"/>
  <c r="G60" i="1"/>
  <c r="G59" i="1"/>
  <c r="G58" i="1"/>
  <c r="BE57" i="1"/>
  <c r="BC57" i="1"/>
  <c r="BJ56" i="1"/>
  <c r="BG56" i="1"/>
  <c r="BE56" i="1"/>
  <c r="BC56" i="1"/>
  <c r="BG55" i="1"/>
  <c r="BE55" i="1"/>
  <c r="BC55" i="1"/>
  <c r="BE53" i="1"/>
  <c r="BC53" i="1"/>
  <c r="BJ52" i="1"/>
  <c r="BG52" i="1"/>
  <c r="BE52" i="1"/>
  <c r="BC52" i="1"/>
  <c r="BG51" i="1"/>
  <c r="BE51" i="1"/>
  <c r="BC51" i="1"/>
  <c r="BE49" i="1"/>
  <c r="BC49" i="1"/>
  <c r="BJ48" i="1"/>
  <c r="BG48" i="1"/>
  <c r="BE48" i="1"/>
  <c r="BC48" i="1"/>
  <c r="BG47" i="1"/>
  <c r="BE47" i="1"/>
  <c r="BC47" i="1"/>
  <c r="W3" i="26"/>
  <c r="L3" i="26"/>
  <c r="AU2" i="26"/>
  <c r="AH2" i="26"/>
  <c r="W2" i="26"/>
  <c r="L2" i="26"/>
  <c r="AH1" i="26"/>
  <c r="W1" i="26"/>
  <c r="L1" i="26"/>
  <c r="W3" i="25"/>
  <c r="L3" i="25"/>
  <c r="AU2" i="25"/>
  <c r="AH2" i="25"/>
  <c r="W2" i="25"/>
  <c r="L2" i="25"/>
  <c r="AH1" i="25"/>
  <c r="W1" i="25"/>
  <c r="L1" i="25"/>
  <c r="W3" i="22"/>
  <c r="L3" i="22"/>
  <c r="AU2" i="22"/>
  <c r="W2" i="22"/>
  <c r="L2" i="22"/>
  <c r="AH1" i="22"/>
  <c r="W1" i="22"/>
  <c r="L1" i="22"/>
  <c r="W3" i="13"/>
  <c r="L3" i="13"/>
  <c r="AU2" i="13"/>
  <c r="W2" i="13"/>
  <c r="L2" i="13"/>
  <c r="W1" i="13"/>
  <c r="L1" i="13"/>
  <c r="W3" i="17"/>
  <c r="L3" i="17"/>
  <c r="AU2" i="17"/>
  <c r="W2" i="17"/>
  <c r="L2" i="17"/>
  <c r="W1" i="17"/>
  <c r="L1" i="17"/>
  <c r="W3" i="14"/>
  <c r="L3" i="14"/>
  <c r="AU2" i="14"/>
  <c r="W2" i="14"/>
  <c r="L2" i="14"/>
  <c r="W1" i="14"/>
  <c r="L1" i="14"/>
  <c r="V28" i="1"/>
  <c r="V27" i="1"/>
  <c r="AL5" i="1"/>
  <c r="AF5" i="1"/>
  <c r="BI55" i="1"/>
  <c r="BI51" i="1"/>
  <c r="BI47" i="1"/>
  <c r="AQ1" i="26"/>
  <c r="AQ1" i="25"/>
  <c r="BI56" i="1"/>
  <c r="BI52" i="1"/>
  <c r="BI48" i="1"/>
  <c r="AQ2" i="26"/>
  <c r="AQ2" i="25"/>
  <c r="BI57" i="1"/>
  <c r="BI53" i="1"/>
  <c r="BI49" i="1"/>
  <c r="AQ3" i="26"/>
  <c r="AQ3" i="25"/>
  <c r="AQ1" i="22"/>
  <c r="AQ2" i="22"/>
  <c r="AQ3" i="22"/>
  <c r="AH2" i="22"/>
  <c r="AH1" i="17"/>
  <c r="AH1" i="13"/>
  <c r="AH1" i="14"/>
  <c r="AQ1" i="13"/>
  <c r="AQ1" i="14"/>
  <c r="AQ1" i="17"/>
  <c r="AQ2" i="13"/>
  <c r="AQ2" i="14"/>
  <c r="AQ2" i="17"/>
  <c r="AQ3" i="17"/>
  <c r="AQ3" i="13"/>
  <c r="AQ3" i="14"/>
  <c r="AH2" i="13"/>
  <c r="AH2" i="17"/>
  <c r="AH2" i="14"/>
  <c r="AR5" i="1"/>
</calcChain>
</file>

<file path=xl/comments1.xml><?xml version="1.0" encoding="utf-8"?>
<comments xmlns="http://schemas.openxmlformats.org/spreadsheetml/2006/main">
  <authors>
    <author>itadministrator</author>
  </authors>
  <commentList>
    <comment ref="H20" authorId="0" shapeId="0">
      <text>
        <r>
          <rPr>
            <b/>
            <sz val="9"/>
            <color indexed="81"/>
            <rFont val="ＭＳ Ｐゴシック"/>
            <family val="3"/>
            <charset val="128"/>
          </rPr>
          <t>新業務機能展開表との
紐付けを行う</t>
        </r>
        <r>
          <rPr>
            <sz val="9"/>
            <color indexed="81"/>
            <rFont val="ＭＳ Ｐゴシック"/>
            <family val="3"/>
            <charset val="128"/>
          </rPr>
          <t xml:space="preserve">
</t>
        </r>
      </text>
    </comment>
  </commentList>
</comments>
</file>

<file path=xl/comments2.xml><?xml version="1.0" encoding="utf-8"?>
<comments xmlns="http://schemas.openxmlformats.org/spreadsheetml/2006/main">
  <authors>
    <author>Itou Keita</author>
    <author>itadministrator</author>
    <author>Nakanishi Kazunori</author>
  </authors>
  <commentList>
    <comment ref="D5" authorId="0" shapeId="0">
      <text>
        <r>
          <rPr>
            <b/>
            <sz val="9"/>
            <color indexed="81"/>
            <rFont val="MS P ゴシック"/>
            <family val="3"/>
            <charset val="128"/>
          </rPr>
          <t>入出力処理を行うボタン
検索、登録など</t>
        </r>
      </text>
    </comment>
    <comment ref="G5" authorId="1" shapeId="0">
      <text>
        <r>
          <rPr>
            <b/>
            <sz val="9"/>
            <color indexed="81"/>
            <rFont val="ＭＳ Ｐゴシック"/>
            <family val="3"/>
            <charset val="128"/>
          </rPr>
          <t>ボタン押下で動作する処理
Srch01など</t>
        </r>
      </text>
    </comment>
    <comment ref="B6" authorId="0" shapeId="0">
      <text>
        <r>
          <rPr>
            <b/>
            <sz val="9"/>
            <color indexed="81"/>
            <rFont val="MS P ゴシック"/>
            <family val="3"/>
            <charset val="128"/>
          </rPr>
          <t>検索、追加、更新、削除など</t>
        </r>
      </text>
    </comment>
    <comment ref="B8" authorId="2" shapeId="0">
      <text>
        <r>
          <rPr>
            <b/>
            <sz val="9"/>
            <color indexed="81"/>
            <rFont val="ＭＳ Ｐゴシック"/>
            <family val="3"/>
            <charset val="128"/>
          </rPr>
          <t>画面オブジェクト
　→「画」
DBテーブル
　→「T」
ファイル
　→「フ」
帳票（xmlフォーム、帳票CSV）
　→「帳」</t>
        </r>
      </text>
    </comment>
    <comment ref="E8" authorId="2" shapeId="0">
      <text>
        <r>
          <rPr>
            <b/>
            <sz val="9"/>
            <color indexed="81"/>
            <rFont val="ＭＳ Ｐゴシック"/>
            <family val="3"/>
            <charset val="128"/>
          </rPr>
          <t>画面オブジェクト
　→「画」
DBテーブル
　→「T」
ファイル
　→「フ」
帳票（xmlフォーム、帳票CSV）
　→「帳」</t>
        </r>
      </text>
    </comment>
  </commentList>
</comments>
</file>

<file path=xl/comments3.xml><?xml version="1.0" encoding="utf-8"?>
<comments xmlns="http://schemas.openxmlformats.org/spreadsheetml/2006/main">
  <authors>
    <author>itadministrator</author>
    <author>Nakanishi Kazunori</author>
  </authors>
  <commentList>
    <comment ref="B5" authorId="0" shapeId="0">
      <text>
        <r>
          <rPr>
            <sz val="9"/>
            <color indexed="81"/>
            <rFont val="ＭＳ Ｐゴシック"/>
            <family val="3"/>
            <charset val="128"/>
          </rPr>
          <t>C：クライアント処理
S：サーバ処理</t>
        </r>
      </text>
    </comment>
    <comment ref="K5" authorId="1" shapeId="0">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t>
        </r>
      </text>
    </comment>
    <comment ref="AX5" authorId="1" shapeId="0">
      <text>
        <r>
          <rPr>
            <sz val="9"/>
            <color indexed="81"/>
            <rFont val="ＭＳ Ｐゴシック"/>
            <family val="3"/>
            <charset val="128"/>
          </rPr>
          <t>＜画面・下り電文の場合＞
　</t>
        </r>
        <r>
          <rPr>
            <sz val="9"/>
            <color indexed="10"/>
            <rFont val="ＭＳ Ｐゴシック"/>
            <family val="3"/>
            <charset val="128"/>
          </rPr>
          <t>ブロック名．項目名</t>
        </r>
        <r>
          <rPr>
            <sz val="9"/>
            <color indexed="81"/>
            <rFont val="ＭＳ Ｐゴシック"/>
            <family val="3"/>
            <charset val="128"/>
          </rPr>
          <t xml:space="preserve">
　例）明細．消費税額
　もしくは
</t>
        </r>
        <r>
          <rPr>
            <sz val="9"/>
            <color indexed="10"/>
            <rFont val="ＭＳ Ｐゴシック"/>
            <family val="3"/>
            <charset val="128"/>
          </rPr>
          <t>　検索入出力仕様No1．オブジェクト名．項目名
　更新入出力仕様No1．オブジェクト名．項目名</t>
        </r>
        <r>
          <rPr>
            <sz val="9"/>
            <color indexed="81"/>
            <rFont val="ＭＳ Ｐゴシック"/>
            <family val="3"/>
            <charset val="128"/>
          </rPr>
          <t xml:space="preserve">
　例）検索入出力仕様No1．受注明細．引当区分
　※項目名が明確な場合は「検索入出力仕様No1」
　　　のみでも良い
＜テーブルの場合＞
</t>
        </r>
        <r>
          <rPr>
            <sz val="9"/>
            <color indexed="10"/>
            <rFont val="ＭＳ Ｐゴシック"/>
            <family val="3"/>
            <charset val="128"/>
          </rPr>
          <t>　【テーブル名】項目名</t>
        </r>
        <r>
          <rPr>
            <sz val="9"/>
            <color indexed="81"/>
            <rFont val="ＭＳ Ｐゴシック"/>
            <family val="3"/>
            <charset val="128"/>
          </rPr>
          <t xml:space="preserve">
　例）受注明細．消費税額
＜サービスの場合＞
</t>
        </r>
        <r>
          <rPr>
            <sz val="9"/>
            <color indexed="10"/>
            <rFont val="ＭＳ Ｐゴシック"/>
            <family val="3"/>
            <charset val="128"/>
          </rPr>
          <t>　呼出サービスNo．1</t>
        </r>
        <r>
          <rPr>
            <sz val="9"/>
            <color indexed="81"/>
            <rFont val="ＭＳ Ｐゴシック"/>
            <family val="3"/>
            <charset val="128"/>
          </rPr>
          <t xml:space="preserve">
　例）呼出サービスNo．1
＜ファイルの場合＞
</t>
        </r>
        <r>
          <rPr>
            <sz val="9"/>
            <color indexed="10"/>
            <rFont val="ＭＳ Ｐゴシック"/>
            <family val="3"/>
            <charset val="128"/>
          </rPr>
          <t>　[ファイル名（論理）]項目名</t>
        </r>
        <r>
          <rPr>
            <sz val="9"/>
            <color indexed="81"/>
            <rFont val="ＭＳ Ｐゴシック"/>
            <family val="3"/>
            <charset val="128"/>
          </rPr>
          <t xml:space="preserve">
　例）[製造指図書ＣＳＶ]工程指図ＮＯ
＜メッセージの場合＞
　例）メッセージＩＤ：SEL0001W</t>
        </r>
      </text>
    </comment>
  </commentList>
</comments>
</file>

<file path=xl/comments4.xml><?xml version="1.0" encoding="utf-8"?>
<comments xmlns="http://schemas.openxmlformats.org/spreadsheetml/2006/main">
  <authors>
    <author>作成者</author>
  </authors>
  <commentList>
    <comment ref="F6" authorId="0" shapeId="0">
      <text>
        <r>
          <rPr>
            <b/>
            <sz val="9"/>
            <color indexed="81"/>
            <rFont val="MS P ゴシック"/>
            <family val="3"/>
            <charset val="128"/>
          </rPr>
          <t>更新カウンタチェック時に必須の項目が指定されているかどうかをチェックします。
行ステータスが新規以外の行をチェックする場合は「E」を指定します。
特定の行ステータスの行をチェックする場合は以下の通りに指定します（カンマ区切りで複数指定できます）。
・新規をチェックする場合：I
・更新をチェックする場合：U
・削除をチェックする場合：D
・ステータスなしをチェックする場合：N</t>
        </r>
      </text>
    </comment>
    <comment ref="G6" authorId="0" shapeId="0">
      <text>
        <r>
          <rPr>
            <b/>
            <sz val="9"/>
            <color indexed="81"/>
            <rFont val="MS P ゴシック"/>
            <family val="3"/>
            <charset val="128"/>
          </rPr>
          <t>必須の項目が指定されているかどうかをチェックします。
行ステータスが削除以外の行をチェックする場合は「E」を指定します。
特定の行ステータスの行をチェックする場合は以下の通りに指定します（カンマ区切りで複数指定できます）。
・新規をチェックする場合：I
・更新をチェックする場合：U
・削除をチェックする場合：D
・ステータスなしをチェックする場合：N</t>
        </r>
      </text>
    </comment>
    <comment ref="H6" authorId="0" shapeId="0">
      <text>
        <r>
          <rPr>
            <b/>
            <sz val="9"/>
            <color indexed="81"/>
            <rFont val="MS P ゴシック"/>
            <family val="3"/>
            <charset val="128"/>
          </rPr>
          <t>数値項目の値が適切かどうかをチェックします。
正の数が指定されているかをチェックする場合は「positive」を指定します。
0以外の数が指定されているかをチェックする場合は「notZero」を指定します。</t>
        </r>
      </text>
    </comment>
    <comment ref="I6" authorId="0" shapeId="0">
      <text>
        <r>
          <rPr>
            <b/>
            <sz val="9"/>
            <color indexed="81"/>
            <rFont val="MS P ゴシック"/>
            <family val="3"/>
            <charset val="128"/>
          </rPr>
          <t>数値項目の値が適切かどうかをチェックします。
値が指定した範囲かどうかをチェックする場合は「{下限}:{上限}」と指定します。</t>
        </r>
      </text>
    </comment>
    <comment ref="J6" authorId="0" shapeId="0">
      <text>
        <r>
          <rPr>
            <b/>
            <sz val="9"/>
            <color indexed="81"/>
            <rFont val="MS P ゴシック"/>
            <family val="3"/>
            <charset val="128"/>
          </rPr>
          <t>日付項目の値が適切かどうかをチェックします。
以下の通り指定します。
・運用日付以前：bfToday
・運用日付以降：afToday
・会社マスタの日付切替時間を考慮した日付が運用日付以前：tmBfToday</t>
        </r>
      </text>
    </comment>
    <comment ref="K6" authorId="0" shapeId="0">
      <text>
        <r>
          <rPr>
            <b/>
            <sz val="9"/>
            <color indexed="81"/>
            <rFont val="MS P ゴシック"/>
            <family val="3"/>
            <charset val="128"/>
          </rPr>
          <t>日付項目の値が、同じ行の別の項目と比較して適切かどうかをチェックします。
以下の通り指定します。
・グループ名:BF（過去の方）
・グループ名:AF（未来の方）</t>
        </r>
      </text>
    </comment>
    <comment ref="L6" authorId="0" shapeId="0">
      <text>
        <r>
          <rPr>
            <b/>
            <sz val="9"/>
            <color indexed="81"/>
            <rFont val="MS P ゴシック"/>
            <family val="3"/>
            <charset val="128"/>
          </rPr>
          <t>値が電話番号またはFAX番号として適切かどうかをチェックする場合は「TEL」を指定します。
値が郵便番号として適切かチェックする場合は「ZIP」を指定します。</t>
        </r>
      </text>
    </comment>
    <comment ref="M6" authorId="0" shapeId="0">
      <text>
        <r>
          <rPr>
            <b/>
            <sz val="9"/>
            <color indexed="81"/>
            <rFont val="MS P ゴシック"/>
            <family val="3"/>
            <charset val="128"/>
          </rPr>
          <t>他の行と重複した値になっていないかどうかをチェックします。重複チェックしたい項目または項目の組み合わせに任意のグループ名を指定します。</t>
        </r>
      </text>
    </comment>
    <comment ref="N6" authorId="0" shapeId="0">
      <text>
        <r>
          <rPr>
            <b/>
            <sz val="9"/>
            <color indexed="81"/>
            <rFont val="MS P ゴシック"/>
            <family val="3"/>
            <charset val="128"/>
          </rPr>
          <t>複数の項目の内1つだけ指定されているかどうかをチェックします。対象の項目に任意のグループ名を指定します。</t>
        </r>
      </text>
    </comment>
    <comment ref="O6" authorId="0" shapeId="0">
      <text>
        <r>
          <rPr>
            <b/>
            <sz val="9"/>
            <color indexed="81"/>
            <rFont val="MS P ゴシック"/>
            <family val="3"/>
            <charset val="128"/>
          </rPr>
          <t>複数の項目の内1つ以上指定されているかどうかをチェックします。対象の項目に任意のグループ名を指定します。</t>
        </r>
      </text>
    </comment>
    <comment ref="P6" authorId="0" shapeId="0">
      <text>
        <r>
          <rPr>
            <b/>
            <sz val="9"/>
            <color indexed="81"/>
            <rFont val="MS P ゴシック"/>
            <family val="3"/>
            <charset val="128"/>
          </rPr>
          <t xml:space="preserve">リストロジックを利用して、マスタの存在チェックおよび必要に応じて補完します。利用するリストロジックＩＤ、LIST_IN、LIST_OUT、LIST_IN_BASE、LIST_OUT_BASEを指定します。
記載形式
 [リストロジックＩＤ]
 【入力】
  [LIST_IN_BASE] : [LIST_IN] 
 【出力】
  [LIST_OUT_BASE] : [LIST_OUT] </t>
        </r>
      </text>
    </comment>
    <comment ref="Q6" authorId="0" shapeId="0">
      <text>
        <r>
          <rPr>
            <b/>
            <sz val="9"/>
            <color indexed="81"/>
            <rFont val="MS P ゴシック"/>
            <family val="3"/>
            <charset val="128"/>
          </rPr>
          <t>定数の存在チェックをします。チェックする定数の定数グループＩＤを指定します。
定数名を補完する場合は、定数名の項目名を定数の項目名＋「_nm」にします。</t>
        </r>
      </text>
    </comment>
    <comment ref="R6" authorId="0" shapeId="0">
      <text>
        <r>
          <rPr>
            <b/>
            <sz val="9"/>
            <color indexed="81"/>
            <rFont val="MS P ゴシック"/>
            <family val="3"/>
            <charset val="128"/>
          </rPr>
          <t>値が指定されていない時にnull文字を補完する場合は「E」を指定します。</t>
        </r>
      </text>
    </comment>
    <comment ref="S6" authorId="0" shapeId="0">
      <text>
        <r>
          <rPr>
            <b/>
            <sz val="9"/>
            <color indexed="81"/>
            <rFont val="MS P ゴシック"/>
            <family val="3"/>
            <charset val="128"/>
          </rPr>
          <t xml:space="preserve">更新前のデータのDACチェックを行う場合「E」を指定します。
</t>
        </r>
      </text>
    </comment>
    <comment ref="T6" authorId="0" shapeId="0">
      <text>
        <r>
          <rPr>
            <b/>
            <sz val="9"/>
            <color indexed="81"/>
            <rFont val="MS P ゴシック"/>
            <family val="3"/>
            <charset val="128"/>
          </rPr>
          <t xml:space="preserve">更新前のデータのDACチェックを行う場合「E」を指定します。
</t>
        </r>
      </text>
    </comment>
    <comment ref="U6" authorId="0" shapeId="0">
      <text>
        <r>
          <rPr>
            <b/>
            <sz val="9"/>
            <color indexed="81"/>
            <rFont val="MS P ゴシック"/>
            <family val="3"/>
            <charset val="128"/>
          </rPr>
          <t>その他、固有チェック処理がある場合は、内容を記載します。
複数ある場合は、列を分けます</t>
        </r>
      </text>
    </comment>
    <comment ref="B9" authorId="0" shapeId="0">
      <text>
        <r>
          <rPr>
            <b/>
            <sz val="9"/>
            <color indexed="81"/>
            <rFont val="MS P ゴシック"/>
            <family val="3"/>
            <charset val="128"/>
          </rPr>
          <t xml:space="preserve">ブロック名称は、
１文字目大文字２文字目以降半角、
単語の区切りの先頭文字は大文字
を推奨
　　例） Search / ResultList
</t>
        </r>
      </text>
    </comment>
    <comment ref="C9" authorId="0" shapeId="0">
      <text>
        <r>
          <rPr>
            <b/>
            <sz val="9"/>
            <color indexed="81"/>
            <rFont val="MS P ゴシック"/>
            <family val="3"/>
            <charset val="128"/>
          </rPr>
          <t xml:space="preserve">R : Row
L : List （Listクラスを生成しない）
GL : List （Listクラスを生成する）
</t>
        </r>
      </text>
    </comment>
    <comment ref="D9" authorId="0" shapeId="0">
      <text>
        <r>
          <rPr>
            <sz val="9"/>
            <color indexed="81"/>
            <rFont val="MS P ゴシック"/>
            <family val="3"/>
            <charset val="128"/>
          </rPr>
          <t xml:space="preserve">&lt;share&gt;
　コンテナ共有ができる（クラス共有）。
　「super/share」に$share$と記述し
　「対象ブロック」にブロック名を指定する。
　　記述方法）
　　　 オペレーションのブロック指定の場合
　　 　　 OPE:[ModuleID].[LogicID].[OperationID].[BlockID]
       DBコンテナのブロック指定の場合
　　　 　 DBC:[ModuleID].[DBTable名]
　　 　帳票のブロック指定の場合
　　 　　 RPR:[ModuleID].[LogicID].[ReportID].[BlockID]
　※ 先頭の「機能種別」（OPE: / DBC: / RPR:）を省略した場合には
　　　"OPE:"が指定されたものとして自動生成を行う。
&lt;super&gt;
　継承を利用してコンテナを定義する。
　「super/share」に$super$と記述し
　「対象ブロック」に継承するブロック名を指定する。
　　記述方法１ （ID指定）
　　　[機能種別]:[ModuleID].[LogicID].[OperationID].[BlockID]
　　　※ [機能種別]については上の&lt;share&gt;と同様のルール
　　記述方法２ （クラス直接指定）
　　　"[RowのSuperクラスのFullPath]"
　　ブロックが"GL"の場合
　　　"[RowのSuperクラスのFullPath],[ListのSuperクラスのFullPath]"
</t>
        </r>
      </text>
    </comment>
    <comment ref="B11" authorId="0" shapeId="0">
      <text>
        <r>
          <rPr>
            <b/>
            <sz val="9"/>
            <color indexed="81"/>
            <rFont val="MS P ゴシック"/>
            <family val="3"/>
            <charset val="128"/>
          </rPr>
          <t xml:space="preserve">項目名称を記述する。
通常はここで定義された項目名称で
Rowクラスのデータ項目の定義が自動生成される。
&lt;&lt;&lt;カラムパス記述&gt;&gt;&gt;
型が"RI"の項目は項目名カラムパスで記述することで
どの"R"(InnerRow)の内部項目を展開するかを表現する。
記述例
　項目名"iii"で定義されるのInnerRow項目（型"R"）の
　内部項目"xxx"を展開して定義する場合
　　項目名　　 型
　　-------------
　　iii.xxx　　RI
&lt;&lt;&lt;エイリアス定義&gt;&gt;&gt;
型"RI"の項目では、
項目名の後端にエイリアス名（項目別名）を定義できる。
エイリアスを定義することで
Rowクラスのデータ項目の定義がエイリアス名で自動生成される。
記述例
　項目名"iii"のInnerRow項目（型"R"）の内部項目"xxx"の
　"RI"項目に対して"AAA"のエイリアスを定義する場合
　　項目名　　     型
　　-----------------
　　iii.xxx#AAA　　RI
"#"の右側が無記述の場合（エイリアス名称が未定義の場合）には
内部項目の名称がエイリアス名称として定義されます
（上の記述例で"AAA"を省略した場合には、内部項目名"xxx"が
　このRI項目のエイリアス名として定義されます）。
</t>
        </r>
      </text>
    </comment>
    <comment ref="C11" authorId="0" shapeId="0">
      <text>
        <r>
          <rPr>
            <b/>
            <sz val="9"/>
            <color indexed="81"/>
            <rFont val="MS P ゴシック"/>
            <family val="3"/>
            <charset val="128"/>
          </rPr>
          <t xml:space="preserve">＝＝受信電文上り項目定義＝＝
R : 必須の通信項目
E : 通信項目
- : 通信項目ではない
</t>
        </r>
      </text>
    </comment>
    <comment ref="D11" authorId="0" shapeId="0">
      <text>
        <r>
          <rPr>
            <b/>
            <sz val="9"/>
            <color indexed="81"/>
            <rFont val="MS P ゴシック"/>
            <family val="3"/>
            <charset val="128"/>
          </rPr>
          <t>＝＝受信電文下り項目定義＝＝
R : 必須の通信項目
E : 通信項目
- : 通信項目ではない</t>
        </r>
      </text>
    </comment>
  </commentList>
</comments>
</file>

<file path=xl/sharedStrings.xml><?xml version="1.0" encoding="utf-8"?>
<sst xmlns="http://schemas.openxmlformats.org/spreadsheetml/2006/main" count="1639" uniqueCount="676">
  <si>
    <t>文書番号</t>
    <rPh sb="0" eb="2">
      <t>ブンショ</t>
    </rPh>
    <rPh sb="2" eb="4">
      <t>バンゴウ</t>
    </rPh>
    <phoneticPr fontId="2"/>
  </si>
  <si>
    <t>Revision</t>
    <phoneticPr fontId="2"/>
  </si>
  <si>
    <t>顧客名</t>
    <rPh sb="0" eb="2">
      <t>コキャク</t>
    </rPh>
    <rPh sb="2" eb="3">
      <t>メイ</t>
    </rPh>
    <phoneticPr fontId="2"/>
  </si>
  <si>
    <t>プロジェクト名</t>
    <rPh sb="6" eb="7">
      <t>メイ</t>
    </rPh>
    <phoneticPr fontId="2"/>
  </si>
  <si>
    <t>分類ID/機能ID</t>
    <rPh sb="0" eb="2">
      <t>ブンルイ</t>
    </rPh>
    <rPh sb="5" eb="7">
      <t>キノウ</t>
    </rPh>
    <phoneticPr fontId="2"/>
  </si>
  <si>
    <t>分類名</t>
    <rPh sb="0" eb="2">
      <t>ブンルイ</t>
    </rPh>
    <rPh sb="2" eb="3">
      <t>メイ</t>
    </rPh>
    <phoneticPr fontId="2"/>
  </si>
  <si>
    <t>機能名</t>
    <rPh sb="0" eb="3">
      <t>キノウメイ</t>
    </rPh>
    <phoneticPr fontId="2"/>
  </si>
  <si>
    <t>システム</t>
    <phoneticPr fontId="2"/>
  </si>
  <si>
    <t>作成者</t>
    <rPh sb="0" eb="3">
      <t>サクセイシャ</t>
    </rPh>
    <phoneticPr fontId="4"/>
  </si>
  <si>
    <t>作成日</t>
    <rPh sb="0" eb="3">
      <t>サクセイビ</t>
    </rPh>
    <phoneticPr fontId="4"/>
  </si>
  <si>
    <t>修正者</t>
    <rPh sb="0" eb="2">
      <t>シュウセイ</t>
    </rPh>
    <rPh sb="2" eb="3">
      <t>シャ</t>
    </rPh>
    <phoneticPr fontId="2"/>
  </si>
  <si>
    <t>修正日</t>
    <rPh sb="0" eb="2">
      <t>シュウセイ</t>
    </rPh>
    <rPh sb="2" eb="3">
      <t>ビ</t>
    </rPh>
    <phoneticPr fontId="2"/>
  </si>
  <si>
    <t>Rev.</t>
  </si>
  <si>
    <t>機能ID</t>
    <rPh sb="0" eb="2">
      <t>キノウ</t>
    </rPh>
    <phoneticPr fontId="2"/>
  </si>
  <si>
    <t>機能名</t>
    <rPh sb="0" eb="2">
      <t>キノウ</t>
    </rPh>
    <rPh sb="2" eb="3">
      <t>メイ</t>
    </rPh>
    <phoneticPr fontId="2"/>
  </si>
  <si>
    <t>システム</t>
    <phoneticPr fontId="2"/>
  </si>
  <si>
    <t>サブシステム</t>
    <phoneticPr fontId="2"/>
  </si>
  <si>
    <t>作成者</t>
    <rPh sb="0" eb="3">
      <t>サクセイシャ</t>
    </rPh>
    <phoneticPr fontId="2"/>
  </si>
  <si>
    <t>作成日</t>
    <rPh sb="0" eb="3">
      <t>サクセイビ</t>
    </rPh>
    <phoneticPr fontId="2"/>
  </si>
  <si>
    <t>Rev</t>
    <phoneticPr fontId="2"/>
  </si>
  <si>
    <t>分類ID</t>
    <rPh sb="0" eb="2">
      <t>ブンルイ</t>
    </rPh>
    <phoneticPr fontId="2"/>
  </si>
  <si>
    <t>Version</t>
    <phoneticPr fontId="2"/>
  </si>
  <si>
    <t>※ここを変更してください</t>
    <rPh sb="4" eb="6">
      <t>ヘンコウ</t>
    </rPh>
    <phoneticPr fontId="2"/>
  </si>
  <si>
    <t>来歴</t>
    <rPh sb="0" eb="2">
      <t>ライレキ</t>
    </rPh>
    <phoneticPr fontId="2"/>
  </si>
  <si>
    <t>変更内容及び変更理由</t>
    <rPh sb="0" eb="2">
      <t>ヘンコウ</t>
    </rPh>
    <rPh sb="2" eb="4">
      <t>ナイヨウ</t>
    </rPh>
    <rPh sb="4" eb="5">
      <t>オヨ</t>
    </rPh>
    <rPh sb="6" eb="8">
      <t>ヘンコウ</t>
    </rPh>
    <rPh sb="8" eb="10">
      <t>リユウ</t>
    </rPh>
    <phoneticPr fontId="2"/>
  </si>
  <si>
    <t>最終更新者</t>
    <rPh sb="0" eb="2">
      <t>サイシュウ</t>
    </rPh>
    <rPh sb="2" eb="5">
      <t>コウシンシャ</t>
    </rPh>
    <phoneticPr fontId="2"/>
  </si>
  <si>
    <t>最終更新日</t>
    <rPh sb="0" eb="2">
      <t>サイシュウ</t>
    </rPh>
    <rPh sb="2" eb="5">
      <t>コウシンビ</t>
    </rPh>
    <phoneticPr fontId="2"/>
  </si>
  <si>
    <t>備考</t>
    <rPh sb="0" eb="2">
      <t>ビコウ</t>
    </rPh>
    <phoneticPr fontId="2"/>
  </si>
  <si>
    <t>項目名</t>
    <rPh sb="0" eb="2">
      <t>コウモク</t>
    </rPh>
    <rPh sb="2" eb="3">
      <t>メイ</t>
    </rPh>
    <phoneticPr fontId="2"/>
  </si>
  <si>
    <t>入力</t>
    <rPh sb="0" eb="2">
      <t>ニュウリョク</t>
    </rPh>
    <phoneticPr fontId="2"/>
  </si>
  <si>
    <t>機能概要</t>
    <rPh sb="2" eb="4">
      <t>ガイヨウ</t>
    </rPh>
    <phoneticPr fontId="2"/>
  </si>
  <si>
    <t>メッセージ内容</t>
    <rPh sb="5" eb="7">
      <t>ナイヨウ</t>
    </rPh>
    <phoneticPr fontId="2"/>
  </si>
  <si>
    <t>パラメータ説明、備考</t>
    <rPh sb="5" eb="7">
      <t>セツメイ</t>
    </rPh>
    <rPh sb="8" eb="10">
      <t>ビコウ</t>
    </rPh>
    <phoneticPr fontId="2"/>
  </si>
  <si>
    <t>1. 機能概要</t>
    <rPh sb="3" eb="5">
      <t>キノウ</t>
    </rPh>
    <rPh sb="5" eb="7">
      <t>ガイヨウ</t>
    </rPh>
    <phoneticPr fontId="2"/>
  </si>
  <si>
    <t>ロジック名称</t>
    <rPh sb="4" eb="6">
      <t>メイショウ</t>
    </rPh>
    <phoneticPr fontId="2"/>
  </si>
  <si>
    <t>転送元</t>
    <rPh sb="0" eb="2">
      <t>テンソウ</t>
    </rPh>
    <rPh sb="2" eb="3">
      <t>モト</t>
    </rPh>
    <phoneticPr fontId="2"/>
  </si>
  <si>
    <t>処理分類</t>
    <rPh sb="0" eb="2">
      <t>ショリ</t>
    </rPh>
    <rPh sb="2" eb="4">
      <t>ブンルイ</t>
    </rPh>
    <phoneticPr fontId="2"/>
  </si>
  <si>
    <t>処理</t>
    <rPh sb="0" eb="2">
      <t>ショリ</t>
    </rPh>
    <phoneticPr fontId="2"/>
  </si>
  <si>
    <t>出力</t>
    <rPh sb="0" eb="2">
      <t>シュツリョク</t>
    </rPh>
    <phoneticPr fontId="2"/>
  </si>
  <si>
    <t>確認者</t>
    <rPh sb="0" eb="2">
      <t>カクニン</t>
    </rPh>
    <rPh sb="2" eb="3">
      <t>シャ</t>
    </rPh>
    <phoneticPr fontId="2"/>
  </si>
  <si>
    <t>承認者</t>
    <rPh sb="0" eb="2">
      <t>ショウニン</t>
    </rPh>
    <rPh sb="2" eb="3">
      <t>シャ</t>
    </rPh>
    <phoneticPr fontId="2"/>
  </si>
  <si>
    <t>責任者</t>
    <rPh sb="0" eb="3">
      <t>セキニンシャ</t>
    </rPh>
    <phoneticPr fontId="2"/>
  </si>
  <si>
    <t>処理フロー図</t>
    <rPh sb="0" eb="2">
      <t>ショリ</t>
    </rPh>
    <rPh sb="5" eb="6">
      <t>ズ</t>
    </rPh>
    <phoneticPr fontId="2"/>
  </si>
  <si>
    <t>追加</t>
    <rPh sb="0" eb="2">
      <t>ツイカ</t>
    </rPh>
    <phoneticPr fontId="2"/>
  </si>
  <si>
    <t>品目ＣＤ</t>
  </si>
  <si>
    <t>処理フロー</t>
    <rPh sb="0" eb="2">
      <t>ショリ</t>
    </rPh>
    <phoneticPr fontId="2"/>
  </si>
  <si>
    <t>転送先</t>
    <rPh sb="0" eb="2">
      <t>テンソウ</t>
    </rPh>
    <rPh sb="2" eb="3">
      <t>サキ</t>
    </rPh>
    <phoneticPr fontId="2"/>
  </si>
  <si>
    <t>内容</t>
    <rPh sb="0" eb="2">
      <t>ナイヨウ</t>
    </rPh>
    <phoneticPr fontId="2"/>
  </si>
  <si>
    <t>補助説明書</t>
    <rPh sb="0" eb="2">
      <t>ホジョ</t>
    </rPh>
    <rPh sb="2" eb="5">
      <t>セツメイショ</t>
    </rPh>
    <phoneticPr fontId="2"/>
  </si>
  <si>
    <t>プロジェクト</t>
    <phoneticPr fontId="2"/>
  </si>
  <si>
    <t>ｻﾌﾞｼｽﾃﾑ</t>
    <phoneticPr fontId="2"/>
  </si>
  <si>
    <t>承認票</t>
    <rPh sb="0" eb="2">
      <t>ショウニン</t>
    </rPh>
    <rPh sb="2" eb="3">
      <t>ヒョウ</t>
    </rPh>
    <phoneticPr fontId="2"/>
  </si>
  <si>
    <t>システム</t>
    <phoneticPr fontId="2"/>
  </si>
  <si>
    <t>プロジェクト</t>
    <phoneticPr fontId="2"/>
  </si>
  <si>
    <t>ｻﾌﾞｼｽﾃﾑ</t>
    <phoneticPr fontId="2"/>
  </si>
  <si>
    <t>システム</t>
    <phoneticPr fontId="2"/>
  </si>
  <si>
    <t>プロジェクト</t>
    <phoneticPr fontId="2"/>
  </si>
  <si>
    <t>ｻﾌﾞｼｽﾃﾑ</t>
    <phoneticPr fontId="2"/>
  </si>
  <si>
    <t>計算値</t>
    <rPh sb="0" eb="3">
      <t>ケイサンチ</t>
    </rPh>
    <phoneticPr fontId="2"/>
  </si>
  <si>
    <t>No</t>
    <phoneticPr fontId="2"/>
  </si>
  <si>
    <t>新規作成</t>
    <rPh sb="0" eb="4">
      <t>シンキサクセイ</t>
    </rPh>
    <phoneticPr fontId="2"/>
  </si>
  <si>
    <t>2. 前提条件</t>
    <rPh sb="3" eb="5">
      <t>ゼンテイ</t>
    </rPh>
    <rPh sb="5" eb="7">
      <t>ジョウケン</t>
    </rPh>
    <phoneticPr fontId="2"/>
  </si>
  <si>
    <t>3. カスタマイズ要件/アドオン要件</t>
    <rPh sb="9" eb="11">
      <t>ヨウケン</t>
    </rPh>
    <rPh sb="16" eb="18">
      <t>ヨウケン</t>
    </rPh>
    <phoneticPr fontId="2"/>
  </si>
  <si>
    <t>C/S</t>
    <phoneticPr fontId="2"/>
  </si>
  <si>
    <t>標/追</t>
    <rPh sb="0" eb="1">
      <t>シルベ</t>
    </rPh>
    <rPh sb="2" eb="3">
      <t>ツイ</t>
    </rPh>
    <phoneticPr fontId="2"/>
  </si>
  <si>
    <t>/削</t>
    <rPh sb="1" eb="2">
      <t>サク</t>
    </rPh>
    <phoneticPr fontId="2"/>
  </si>
  <si>
    <t>種</t>
    <rPh sb="0" eb="1">
      <t>タネ</t>
    </rPh>
    <phoneticPr fontId="2"/>
  </si>
  <si>
    <t>T</t>
  </si>
  <si>
    <t>NO</t>
    <phoneticPr fontId="2"/>
  </si>
  <si>
    <t>東洋ﾋﾞｼﾞﾈｽｴﾝｼﾞﾆｱﾘﾝｸﾞ㈱</t>
    <rPh sb="0" eb="2">
      <t>トウヨウ</t>
    </rPh>
    <phoneticPr fontId="2"/>
  </si>
  <si>
    <t>新基幹システム構築プロジェクト</t>
    <phoneticPr fontId="2"/>
  </si>
  <si>
    <t>新業務機能展開表</t>
    <rPh sb="0" eb="3">
      <t>シンギョウム</t>
    </rPh>
    <rPh sb="3" eb="5">
      <t>キノウ</t>
    </rPh>
    <rPh sb="5" eb="7">
      <t>テンカイ</t>
    </rPh>
    <rPh sb="7" eb="8">
      <t>ヒョウ</t>
    </rPh>
    <phoneticPr fontId="2"/>
  </si>
  <si>
    <t>分類</t>
    <rPh sb="0" eb="2">
      <t>ブンルイ</t>
    </rPh>
    <phoneticPr fontId="2"/>
  </si>
  <si>
    <t>項目番号</t>
    <rPh sb="0" eb="2">
      <t>コウモク</t>
    </rPh>
    <rPh sb="2" eb="4">
      <t>バンゴウ</t>
    </rPh>
    <phoneticPr fontId="2"/>
  </si>
  <si>
    <t>mcframe7</t>
    <phoneticPr fontId="2"/>
  </si>
  <si>
    <t>・</t>
  </si>
  <si>
    <t>ＷＧ間依頼回答</t>
  </si>
  <si>
    <t>発注明細</t>
    <rPh sb="0" eb="2">
      <t>ハッチュウ</t>
    </rPh>
    <rPh sb="2" eb="4">
      <t>メイサイ</t>
    </rPh>
    <phoneticPr fontId="2"/>
  </si>
  <si>
    <t>枝番１</t>
  </si>
  <si>
    <t>枝番２</t>
  </si>
  <si>
    <t>枝番３</t>
  </si>
  <si>
    <t>ワーキンググループＣＤ</t>
  </si>
  <si>
    <t>生産</t>
    <rPh sb="0" eb="2">
      <t>セイサン</t>
    </rPh>
    <phoneticPr fontId="2"/>
  </si>
  <si>
    <t>ユーザレビュー時の指摘を反映</t>
    <rPh sb="7" eb="8">
      <t>ジ</t>
    </rPh>
    <rPh sb="9" eb="11">
      <t>シテキ</t>
    </rPh>
    <rPh sb="12" eb="14">
      <t>ハンエイ</t>
    </rPh>
    <phoneticPr fontId="2"/>
  </si>
  <si>
    <t>基本設計フェーズ成果物として納品</t>
    <rPh sb="0" eb="2">
      <t>キホン</t>
    </rPh>
    <rPh sb="2" eb="4">
      <t>セッケイ</t>
    </rPh>
    <phoneticPr fontId="2"/>
  </si>
  <si>
    <t>処理詳細</t>
    <rPh sb="2" eb="4">
      <t>ショウサイ</t>
    </rPh>
    <phoneticPr fontId="2"/>
  </si>
  <si>
    <t>システム</t>
    <phoneticPr fontId="2"/>
  </si>
  <si>
    <t>プロジェクト</t>
    <phoneticPr fontId="2"/>
  </si>
  <si>
    <t>ｻﾌﾞｼｽﾃﾑ</t>
    <phoneticPr fontId="2"/>
  </si>
  <si>
    <t>1</t>
    <phoneticPr fontId="2"/>
  </si>
  <si>
    <t>呼出サービスNo</t>
    <rPh sb="0" eb="2">
      <t>ヨビダシ</t>
    </rPh>
    <phoneticPr fontId="20"/>
  </si>
  <si>
    <t>特記事項</t>
    <rPh sb="0" eb="2">
      <t>トッキ</t>
    </rPh>
    <rPh sb="2" eb="4">
      <t>ジコウ</t>
    </rPh>
    <phoneticPr fontId="20"/>
  </si>
  <si>
    <t>ブロック名</t>
    <rPh sb="4" eb="5">
      <t>メイ</t>
    </rPh>
    <phoneticPr fontId="20"/>
  </si>
  <si>
    <t>ブロック形式</t>
    <rPh sb="4" eb="6">
      <t>ケイシキ</t>
    </rPh>
    <phoneticPr fontId="20"/>
  </si>
  <si>
    <t>オブジェクト名</t>
    <rPh sb="6" eb="7">
      <t>メイ</t>
    </rPh>
    <phoneticPr fontId="20"/>
  </si>
  <si>
    <t>項目名/固定値</t>
    <rPh sb="0" eb="3">
      <t>コウモクメイ</t>
    </rPh>
    <rPh sb="4" eb="7">
      <t>コテイチ</t>
    </rPh>
    <phoneticPr fontId="20"/>
  </si>
  <si>
    <t>電文編集仕様</t>
    <rPh sb="0" eb="2">
      <t>デンブン</t>
    </rPh>
    <rPh sb="2" eb="4">
      <t>ヘンシュウ</t>
    </rPh>
    <rPh sb="4" eb="6">
      <t>シヨウ</t>
    </rPh>
    <phoneticPr fontId="2"/>
  </si>
  <si>
    <t>項目名</t>
    <rPh sb="0" eb="2">
      <t>コウモク</t>
    </rPh>
    <rPh sb="2" eb="3">
      <t>メイ</t>
    </rPh>
    <phoneticPr fontId="20"/>
  </si>
  <si>
    <t>BR-SX-2310_バッチ設計書_PFBZBA020_工場間：ＷＧ間依頼調整→購買納期回答変換_r01.00を元に作成</t>
    <rPh sb="14" eb="17">
      <t>セッケイショ</t>
    </rPh>
    <rPh sb="28" eb="30">
      <t>コウジョウ</t>
    </rPh>
    <rPh sb="30" eb="31">
      <t>カン</t>
    </rPh>
    <rPh sb="34" eb="35">
      <t>カン</t>
    </rPh>
    <rPh sb="35" eb="37">
      <t>イライ</t>
    </rPh>
    <rPh sb="37" eb="39">
      <t>チョウセイ</t>
    </rPh>
    <rPh sb="40" eb="42">
      <t>コウバイ</t>
    </rPh>
    <rPh sb="42" eb="44">
      <t>ノウキ</t>
    </rPh>
    <rPh sb="44" eb="46">
      <t>カイトウ</t>
    </rPh>
    <rPh sb="46" eb="48">
      <t>ヘンカン</t>
    </rPh>
    <rPh sb="56" eb="57">
      <t>モト</t>
    </rPh>
    <rPh sb="58" eb="60">
      <t>サクセイ</t>
    </rPh>
    <phoneticPr fontId="2"/>
  </si>
  <si>
    <t>２</t>
    <phoneticPr fontId="2"/>
  </si>
  <si>
    <t>株式会社XXXX殿</t>
    <phoneticPr fontId="2"/>
  </si>
  <si>
    <t>XX</t>
    <phoneticPr fontId="2"/>
  </si>
  <si>
    <t>株式会社XXXX殿</t>
    <rPh sb="0" eb="4">
      <t>カブシキガイシャ</t>
    </rPh>
    <rPh sb="8" eb="9">
      <t>トノ</t>
    </rPh>
    <phoneticPr fontId="2"/>
  </si>
  <si>
    <t>詳細設計フェーズ成果物として納品</t>
    <rPh sb="0" eb="2">
      <t>ショウサイ</t>
    </rPh>
    <rPh sb="2" eb="4">
      <t>セッケイ</t>
    </rPh>
    <phoneticPr fontId="2"/>
  </si>
  <si>
    <t>【説明】</t>
    <rPh sb="1" eb="3">
      <t>セツメイ</t>
    </rPh>
    <phoneticPr fontId="2"/>
  </si>
  <si>
    <t>【目的】</t>
    <rPh sb="1" eb="3">
      <t>モクテキ</t>
    </rPh>
    <phoneticPr fontId="2"/>
  </si>
  <si>
    <t>XX-XX-9999</t>
    <phoneticPr fontId="2"/>
  </si>
  <si>
    <t>1.</t>
  </si>
  <si>
    <t>開始をバッチログメッセージに出力する。</t>
    <rPh sb="0" eb="2">
      <t>カイシ</t>
    </rPh>
    <rPh sb="14" eb="16">
      <t>シュツリョク</t>
    </rPh>
    <phoneticPr fontId="8"/>
  </si>
  <si>
    <t>開始・終了のバッチログは以下を参照に実装する。</t>
    <rPh sb="0" eb="2">
      <t>カイシ</t>
    </rPh>
    <rPh sb="3" eb="5">
      <t>シュウリョウ</t>
    </rPh>
    <rPh sb="12" eb="14">
      <t>イカ</t>
    </rPh>
    <rPh sb="15" eb="17">
      <t>サンショウ</t>
    </rPh>
    <rPh sb="18" eb="20">
      <t>ジッソウ</t>
    </rPh>
    <phoneticPr fontId="2"/>
  </si>
  <si>
    <t>import static mcframe.serverFXBA.FXBAL0120.FXBAL_BatchLogManager.*;</t>
  </si>
  <si>
    <t>（略）</t>
  </si>
  <si>
    <t>// 例外発生ＦＬＧ</t>
    <rPh sb="3" eb="5">
      <t>レイガイ</t>
    </rPh>
    <rPh sb="5" eb="7">
      <t>ハッセイ</t>
    </rPh>
    <phoneticPr fontId="21"/>
  </si>
  <si>
    <t>protected boolean _exceptionFlg;</t>
  </si>
  <si>
    <t>@Override</t>
  </si>
  <si>
    <t>protected void call() {</t>
  </si>
  <si>
    <t>try {</t>
  </si>
  <si>
    <t>initLogger();</t>
  </si>
  <si>
    <t>writeStartLog();</t>
  </si>
  <si>
    <t>// オペレーションのメイン処理を実行する</t>
    <rPh sb="14" eb="16">
      <t>ショリ</t>
    </rPh>
    <rPh sb="17" eb="19">
      <t>ジッコウ</t>
    </rPh>
    <phoneticPr fontId="21"/>
  </si>
  <si>
    <t>}</t>
  </si>
  <si>
    <t>catch (Exception ex) {</t>
  </si>
  <si>
    <t>handleEx(ex);</t>
  </si>
  <si>
    <t>finally {</t>
  </si>
  <si>
    <t>writeEndLog();</t>
  </si>
  <si>
    <t>// バッチログを初期化する</t>
    <rPh sb="9" eb="12">
      <t>ショキカ</t>
    </rPh>
    <phoneticPr fontId="21"/>
  </si>
  <si>
    <t>protected void initLogger() {</t>
  </si>
  <si>
    <t>getLogger();</t>
  </si>
  <si>
    <t>// 開始ログを出力する</t>
    <rPh sb="3" eb="5">
      <t>カイシ</t>
    </rPh>
    <rPh sb="8" eb="10">
      <t>シュツリョク</t>
    </rPh>
    <phoneticPr fontId="21"/>
  </si>
  <si>
    <t>protected void writeStartLog() {</t>
  </si>
  <si>
    <t>logger().writeStartLog(MSBBL0191);</t>
  </si>
  <si>
    <t>// 例外処理をする</t>
    <rPh sb="3" eb="5">
      <t>レイガイ</t>
    </rPh>
    <rPh sb="5" eb="7">
      <t>ショリ</t>
    </rPh>
    <phoneticPr fontId="21"/>
  </si>
  <si>
    <t>protected void handleEx(Exception ex) {</t>
  </si>
  <si>
    <t>MCException mcex;</t>
  </si>
  <si>
    <t>if (ex instanceof MCException) {</t>
  </si>
  <si>
    <t>mcex = (MCException) ex;</t>
  </si>
  <si>
    <t>else {</t>
  </si>
  <si>
    <t>mcex = new MCException(ex);</t>
  </si>
  <si>
    <t>// 処理経過ログを出力する</t>
    <rPh sb="3" eb="5">
      <t>ショリ</t>
    </rPh>
    <rPh sb="5" eb="7">
      <t>ケイカ</t>
    </rPh>
    <rPh sb="10" eb="12">
      <t>シュツリョク</t>
    </rPh>
    <phoneticPr fontId="21"/>
  </si>
  <si>
    <t>logger().writeProcessLog(mcex);</t>
  </si>
  <si>
    <t>_exceptionFlg = true;</t>
  </si>
  <si>
    <t>throw mcex;</t>
  </si>
  <si>
    <t>// 終了ログを出力する</t>
    <rPh sb="3" eb="5">
      <t>シュウリョウ</t>
    </rPh>
    <rPh sb="8" eb="10">
      <t>シュツリョク</t>
    </rPh>
    <phoneticPr fontId="21"/>
  </si>
  <si>
    <t>protected void writeEndLog() {</t>
  </si>
  <si>
    <t>if (_exceptionFlg) {</t>
  </si>
  <si>
    <t>logger().writeProcessLog(MAUDL0009);</t>
  </si>
  <si>
    <t>logger().writeEndLog(MSBBL0192);</t>
  </si>
  <si>
    <t>// BatchLoggerをクローズする</t>
  </si>
  <si>
    <t>logger().close();</t>
  </si>
  <si>
    <t>実装方法についてはシート：補足_バッチログ実装を参照</t>
    <rPh sb="0" eb="2">
      <t>ジッソウ</t>
    </rPh>
    <rPh sb="2" eb="4">
      <t>ホウホウ</t>
    </rPh>
    <rPh sb="13" eb="15">
      <t>ホソク</t>
    </rPh>
    <rPh sb="21" eb="23">
      <t>ジッソウ</t>
    </rPh>
    <rPh sb="24" eb="26">
      <t>サンショウ</t>
    </rPh>
    <phoneticPr fontId="8"/>
  </si>
  <si>
    <t>7.0.1.1</t>
    <phoneticPr fontId="2"/>
  </si>
  <si>
    <t>Rev.</t>
    <phoneticPr fontId="2"/>
  </si>
  <si>
    <t>メッセージ一覧</t>
    <rPh sb="5" eb="7">
      <t>イチラン</t>
    </rPh>
    <phoneticPr fontId="2"/>
  </si>
  <si>
    <t>サブシステム</t>
    <phoneticPr fontId="2"/>
  </si>
  <si>
    <t>Rev.</t>
    <phoneticPr fontId="2"/>
  </si>
  <si>
    <t>メッセージID</t>
    <phoneticPr fontId="2"/>
  </si>
  <si>
    <t>No</t>
    <phoneticPr fontId="2"/>
  </si>
  <si>
    <t>r00.00</t>
  </si>
  <si>
    <t>r00.01</t>
  </si>
  <si>
    <t>r01.00</t>
  </si>
  <si>
    <t>r01.01</t>
  </si>
  <si>
    <t>r02.00</t>
  </si>
  <si>
    <t>XX</t>
  </si>
  <si>
    <t>r01.00</t>
    <phoneticPr fontId="2"/>
  </si>
  <si>
    <t>基本設計フェーズ成果物として納品</t>
    <phoneticPr fontId="2"/>
  </si>
  <si>
    <t>XX</t>
    <phoneticPr fontId="2"/>
  </si>
  <si>
    <t>PM(XX)</t>
    <phoneticPr fontId="2"/>
  </si>
  <si>
    <t>SCM</t>
    <phoneticPr fontId="2"/>
  </si>
  <si>
    <t>処理・サービス関連図</t>
    <rPh sb="0" eb="2">
      <t>ショリ</t>
    </rPh>
    <rPh sb="7" eb="9">
      <t>カンレン</t>
    </rPh>
    <rPh sb="9" eb="10">
      <t>ズ</t>
    </rPh>
    <phoneticPr fontId="2"/>
  </si>
  <si>
    <t>・</t>
    <phoneticPr fontId="2"/>
  </si>
  <si>
    <t>更新処理（UpdA01）</t>
    <rPh sb="0" eb="2">
      <t>コウシン</t>
    </rPh>
    <rPh sb="2" eb="4">
      <t>ショリ</t>
    </rPh>
    <phoneticPr fontId="2"/>
  </si>
  <si>
    <t>電文項目仕様</t>
    <rPh sb="0" eb="2">
      <t>デンブン</t>
    </rPh>
    <rPh sb="2" eb="4">
      <t>コウモク</t>
    </rPh>
    <rPh sb="4" eb="6">
      <t>シヨウ</t>
    </rPh>
    <phoneticPr fontId="2"/>
  </si>
  <si>
    <t>ロジックID</t>
    <phoneticPr fontId="20"/>
  </si>
  <si>
    <t>オペレーションＩＤ</t>
    <phoneticPr fontId="20"/>
  </si>
  <si>
    <t>設定値</t>
    <rPh sb="0" eb="2">
      <t>セッテイ</t>
    </rPh>
    <rPh sb="2" eb="3">
      <t>チ</t>
    </rPh>
    <phoneticPr fontId="20"/>
  </si>
  <si>
    <t>No</t>
    <phoneticPr fontId="20"/>
  </si>
  <si>
    <t>種別</t>
    <rPh sb="0" eb="2">
      <t>シュベツ</t>
    </rPh>
    <phoneticPr fontId="20"/>
  </si>
  <si>
    <t>I/O</t>
    <phoneticPr fontId="20"/>
  </si>
  <si>
    <t>備考</t>
    <rPh sb="0" eb="2">
      <t>ビコウ</t>
    </rPh>
    <phoneticPr fontId="23"/>
  </si>
  <si>
    <t>オペレーションNo</t>
    <phoneticPr fontId="27"/>
  </si>
  <si>
    <t>ロジックID</t>
    <phoneticPr fontId="27"/>
  </si>
  <si>
    <t>オペレーションNoID</t>
    <phoneticPr fontId="27"/>
  </si>
  <si>
    <t>特記事項</t>
    <rPh sb="0" eb="2">
      <t>トッキ</t>
    </rPh>
    <rPh sb="2" eb="4">
      <t>ジコウ</t>
    </rPh>
    <phoneticPr fontId="27"/>
  </si>
  <si>
    <t>型</t>
    <rPh sb="0" eb="1">
      <t>カタ</t>
    </rPh>
    <phoneticPr fontId="20"/>
  </si>
  <si>
    <t>項目No</t>
    <rPh sb="0" eb="2">
      <t>コウモク</t>
    </rPh>
    <phoneticPr fontId="20"/>
  </si>
  <si>
    <t>項目名</t>
    <rPh sb="0" eb="2">
      <t>コウモク</t>
    </rPh>
    <rPh sb="2" eb="3">
      <t>メイ</t>
    </rPh>
    <phoneticPr fontId="27"/>
  </si>
  <si>
    <t>上り項目</t>
    <rPh sb="0" eb="1">
      <t>ノボ</t>
    </rPh>
    <rPh sb="2" eb="4">
      <t>コウモク</t>
    </rPh>
    <phoneticPr fontId="27"/>
  </si>
  <si>
    <t>下り項目</t>
    <rPh sb="0" eb="1">
      <t>クダ</t>
    </rPh>
    <rPh sb="2" eb="4">
      <t>コウモク</t>
    </rPh>
    <phoneticPr fontId="27"/>
  </si>
  <si>
    <t>説明</t>
    <rPh sb="0" eb="2">
      <t>セツメイ</t>
    </rPh>
    <phoneticPr fontId="20"/>
  </si>
  <si>
    <t>対象ブロック名</t>
    <rPh sb="0" eb="2">
      <t>タイショウ</t>
    </rPh>
    <rPh sb="6" eb="7">
      <t>メイ</t>
    </rPh>
    <phoneticPr fontId="20"/>
  </si>
  <si>
    <t>サービス呼出仕様</t>
    <rPh sb="4" eb="6">
      <t>ヨビダシ</t>
    </rPh>
    <rPh sb="6" eb="8">
      <t>シヨウ</t>
    </rPh>
    <phoneticPr fontId="2"/>
  </si>
  <si>
    <t>super/share</t>
  </si>
  <si>
    <t>No</t>
    <phoneticPr fontId="2"/>
  </si>
  <si>
    <t>ボタン</t>
    <phoneticPr fontId="2"/>
  </si>
  <si>
    <t>説明</t>
    <rPh sb="0" eb="2">
      <t>セツメイ</t>
    </rPh>
    <phoneticPr fontId="2"/>
  </si>
  <si>
    <t>オブジェクト</t>
    <phoneticPr fontId="2"/>
  </si>
  <si>
    <t>更新入出力仕様</t>
    <rPh sb="0" eb="2">
      <t>コウシン</t>
    </rPh>
    <rPh sb="2" eb="5">
      <t>ニュウシュツリョク</t>
    </rPh>
    <rPh sb="5" eb="7">
      <t>シヨウ</t>
    </rPh>
    <phoneticPr fontId="2"/>
  </si>
  <si>
    <t>チェック処理</t>
    <rPh sb="4" eb="6">
      <t>ショリ</t>
    </rPh>
    <phoneticPr fontId="23"/>
  </si>
  <si>
    <t>更新カウンタチェック用必須チェック</t>
  </si>
  <si>
    <t>必須チェック</t>
  </si>
  <si>
    <t>数値チェック</t>
  </si>
  <si>
    <t>数値範囲チェック</t>
  </si>
  <si>
    <t>日付チェック</t>
  </si>
  <si>
    <t>日付範囲チェック</t>
  </si>
  <si>
    <t>文字列パタンチェック</t>
  </si>
  <si>
    <t>重複チェック</t>
  </si>
  <si>
    <t>一つだけ入力チェック</t>
    <rPh sb="0" eb="1">
      <t>ヒト</t>
    </rPh>
    <rPh sb="4" eb="6">
      <t>ニュウリョク</t>
    </rPh>
    <phoneticPr fontId="23"/>
  </si>
  <si>
    <t>一つ以上入力チェック</t>
    <rPh sb="0" eb="1">
      <t>ヒト</t>
    </rPh>
    <rPh sb="2" eb="4">
      <t>イジョウ</t>
    </rPh>
    <rPh sb="4" eb="6">
      <t>ニュウリョク</t>
    </rPh>
    <phoneticPr fontId="23"/>
  </si>
  <si>
    <t>定数存在チェック</t>
    <rPh sb="0" eb="2">
      <t>テイスウ</t>
    </rPh>
    <rPh sb="2" eb="4">
      <t>ソンザイ</t>
    </rPh>
    <phoneticPr fontId="23"/>
  </si>
  <si>
    <t>NULL文字補完</t>
    <rPh sb="4" eb="6">
      <t>モジ</t>
    </rPh>
    <rPh sb="6" eb="8">
      <t>ホカン</t>
    </rPh>
    <phoneticPr fontId="23"/>
  </si>
  <si>
    <t>更新前データのDACチェック</t>
    <rPh sb="0" eb="2">
      <t>コウシン</t>
    </rPh>
    <rPh sb="2" eb="3">
      <t>マエ</t>
    </rPh>
    <phoneticPr fontId="23"/>
  </si>
  <si>
    <t>更新データのDACチェック</t>
    <rPh sb="0" eb="2">
      <t>コウシン</t>
    </rPh>
    <phoneticPr fontId="23"/>
  </si>
  <si>
    <t>固有チェック１</t>
    <rPh sb="0" eb="2">
      <t>コユウ</t>
    </rPh>
    <phoneticPr fontId="23"/>
  </si>
  <si>
    <t>リストロジックチェック</t>
    <phoneticPr fontId="23"/>
  </si>
  <si>
    <t>レビュー実施記録</t>
    <rPh sb="4" eb="6">
      <t>ジッシ</t>
    </rPh>
    <rPh sb="6" eb="8">
      <t>キロク</t>
    </rPh>
    <phoneticPr fontId="2"/>
  </si>
  <si>
    <t>NO</t>
    <phoneticPr fontId="2"/>
  </si>
  <si>
    <t>レビュー日</t>
    <rPh sb="4" eb="5">
      <t>ビ</t>
    </rPh>
    <phoneticPr fontId="2"/>
  </si>
  <si>
    <t>開催場所</t>
    <rPh sb="0" eb="2">
      <t>カイサイ</t>
    </rPh>
    <rPh sb="2" eb="4">
      <t>バショ</t>
    </rPh>
    <phoneticPr fontId="2"/>
  </si>
  <si>
    <t>参加者</t>
    <rPh sb="0" eb="3">
      <t>サンカシャ</t>
    </rPh>
    <phoneticPr fontId="2"/>
  </si>
  <si>
    <t>本社</t>
    <rPh sb="0" eb="2">
      <t>ホンシャ</t>
    </rPh>
    <phoneticPr fontId="2"/>
  </si>
  <si>
    <t>EU：××、××</t>
    <phoneticPr fontId="2"/>
  </si>
  <si>
    <t>BP：××、××</t>
    <phoneticPr fontId="2"/>
  </si>
  <si>
    <t>B-ENG：××、××</t>
    <phoneticPr fontId="2"/>
  </si>
  <si>
    <t>レビュー指摘・確認対応記録</t>
    <rPh sb="4" eb="6">
      <t>シテキ</t>
    </rPh>
    <rPh sb="7" eb="9">
      <t>カクニン</t>
    </rPh>
    <rPh sb="9" eb="11">
      <t>タイオウ</t>
    </rPh>
    <rPh sb="11" eb="13">
      <t>キロク</t>
    </rPh>
    <phoneticPr fontId="2"/>
  </si>
  <si>
    <t>指摘・確認事項</t>
    <rPh sb="0" eb="2">
      <t>シテキ</t>
    </rPh>
    <rPh sb="3" eb="5">
      <t>カクニン</t>
    </rPh>
    <rPh sb="5" eb="7">
      <t>ジコウ</t>
    </rPh>
    <phoneticPr fontId="2"/>
  </si>
  <si>
    <t>回答</t>
    <rPh sb="0" eb="2">
      <t>カイトウ</t>
    </rPh>
    <phoneticPr fontId="2"/>
  </si>
  <si>
    <t>確認日</t>
    <rPh sb="0" eb="2">
      <t>カクニン</t>
    </rPh>
    <rPh sb="2" eb="3">
      <t>ビ</t>
    </rPh>
    <phoneticPr fontId="2"/>
  </si>
  <si>
    <t>担当者</t>
    <rPh sb="0" eb="3">
      <t>タントウシャ</t>
    </rPh>
    <phoneticPr fontId="2"/>
  </si>
  <si>
    <t>××</t>
    <phoneticPr fontId="2"/>
  </si>
  <si>
    <t>レビュー記録</t>
    <rPh sb="4" eb="6">
      <t>キロク</t>
    </rPh>
    <phoneticPr fontId="2"/>
  </si>
  <si>
    <t>入庫要望に対するオーダの回答納期情報(テーブル:【国内回答用オーダ情報】【海外回答用オーダ情報】)を作成する。</t>
    <rPh sb="0" eb="2">
      <t>ニュウコ</t>
    </rPh>
    <rPh sb="2" eb="4">
      <t>ヨウボウ</t>
    </rPh>
    <rPh sb="5" eb="6">
      <t>タイ</t>
    </rPh>
    <rPh sb="12" eb="14">
      <t>カイトウ</t>
    </rPh>
    <rPh sb="14" eb="16">
      <t>ノウキ</t>
    </rPh>
    <rPh sb="16" eb="18">
      <t>ジョウホウ</t>
    </rPh>
    <rPh sb="27" eb="29">
      <t>カイトウ</t>
    </rPh>
    <rPh sb="29" eb="30">
      <t>ヨウ</t>
    </rPh>
    <rPh sb="33" eb="35">
      <t>ジョウホウ</t>
    </rPh>
    <rPh sb="39" eb="41">
      <t>カイトウ</t>
    </rPh>
    <rPh sb="41" eb="42">
      <t>ヨウ</t>
    </rPh>
    <rPh sb="45" eb="47">
      <t>ジョウホウ</t>
    </rPh>
    <phoneticPr fontId="2"/>
  </si>
  <si>
    <t>当作成されたデータは『納期回答調整』画面で日中に調整入力(※国内のみ)の上で、夜間バッチの「入庫要望回答送信」処理にて販売管理システムに送信される。</t>
    <rPh sb="0" eb="1">
      <t>トウ</t>
    </rPh>
    <rPh sb="1" eb="3">
      <t>サクセイ</t>
    </rPh>
    <rPh sb="21" eb="23">
      <t>ニッチュウ</t>
    </rPh>
    <rPh sb="30" eb="32">
      <t>コクナイ</t>
    </rPh>
    <rPh sb="39" eb="41">
      <t>ヤカン</t>
    </rPh>
    <rPh sb="59" eb="61">
      <t>ハンバイ</t>
    </rPh>
    <rPh sb="61" eb="63">
      <t>カンリ</t>
    </rPh>
    <rPh sb="68" eb="70">
      <t>ソウシン</t>
    </rPh>
    <phoneticPr fontId="2"/>
  </si>
  <si>
    <t>起動パラメータに「国内」が指定された場合は、【国内回答用オーダ情報】の作成処理を行う。</t>
    <rPh sb="0" eb="2">
      <t>キドウ</t>
    </rPh>
    <rPh sb="9" eb="11">
      <t>コクナイ</t>
    </rPh>
    <rPh sb="13" eb="15">
      <t>シテイ</t>
    </rPh>
    <rPh sb="18" eb="20">
      <t>バアイ</t>
    </rPh>
    <rPh sb="35" eb="37">
      <t>サクセイ</t>
    </rPh>
    <rPh sb="37" eb="39">
      <t>ショリ</t>
    </rPh>
    <rPh sb="40" eb="41">
      <t>オコナ</t>
    </rPh>
    <phoneticPr fontId="2"/>
  </si>
  <si>
    <t>起動パラメータに「海外」が指定された場合は、【海外回答用オーダ情報】の作成処理を行う。</t>
    <rPh sb="0" eb="2">
      <t>キドウ</t>
    </rPh>
    <rPh sb="9" eb="11">
      <t>カイガイ</t>
    </rPh>
    <rPh sb="13" eb="15">
      <t>シテイ</t>
    </rPh>
    <rPh sb="18" eb="20">
      <t>バアイ</t>
    </rPh>
    <rPh sb="23" eb="25">
      <t>カイガイ</t>
    </rPh>
    <rPh sb="35" eb="37">
      <t>サクセイ</t>
    </rPh>
    <rPh sb="37" eb="39">
      <t>ショリ</t>
    </rPh>
    <rPh sb="40" eb="41">
      <t>オコナ</t>
    </rPh>
    <phoneticPr fontId="2"/>
  </si>
  <si>
    <t>MSBC</t>
    <phoneticPr fontId="2"/>
  </si>
  <si>
    <t>MSBCBA0040</t>
    <phoneticPr fontId="2"/>
  </si>
  <si>
    <t>生産管理</t>
    <rPh sb="0" eb="2">
      <t>セイサン</t>
    </rPh>
    <rPh sb="2" eb="4">
      <t>カンリ</t>
    </rPh>
    <phoneticPr fontId="3"/>
  </si>
  <si>
    <t>納期回答作成バッチ</t>
    <rPh sb="0" eb="2">
      <t>ノウキ</t>
    </rPh>
    <rPh sb="2" eb="4">
      <t>カイトウ</t>
    </rPh>
    <rPh sb="4" eb="6">
      <t>サクセイ</t>
    </rPh>
    <phoneticPr fontId="2"/>
  </si>
  <si>
    <t>※</t>
    <phoneticPr fontId="2"/>
  </si>
  <si>
    <t>納期回答を販売システム(国内/海外)に送信する。</t>
    <phoneticPr fontId="2"/>
  </si>
  <si>
    <t>国内品について日程計画後の製造着手日・入庫要望に対する営業への回答納期情報(使用可能予定日)を販売システムに送信する。</t>
    <phoneticPr fontId="2"/>
  </si>
  <si>
    <t>また海外品について日程計画後のオーダ着手予定日・完了予定日情報を海外販売システムに送信する。</t>
  </si>
  <si>
    <t>入庫要望の回答納期を調整する。</t>
  </si>
  <si>
    <t>『納期回答調整』画面による調整入力が行えるように、送信情報をテーブルに格納する。</t>
    <rPh sb="8" eb="10">
      <t>ガメン</t>
    </rPh>
    <rPh sb="13" eb="15">
      <t>チョウセイ</t>
    </rPh>
    <rPh sb="15" eb="17">
      <t>ニュウリョク</t>
    </rPh>
    <rPh sb="18" eb="19">
      <t>オコナ</t>
    </rPh>
    <rPh sb="25" eb="27">
      <t>ソウシン</t>
    </rPh>
    <rPh sb="27" eb="29">
      <t>ジョウホウ</t>
    </rPh>
    <rPh sb="35" eb="37">
      <t>カクノウ</t>
    </rPh>
    <phoneticPr fontId="2"/>
  </si>
  <si>
    <t>4. データアクセスコントロール</t>
    <phoneticPr fontId="2"/>
  </si>
  <si>
    <t>・</t>
    <phoneticPr fontId="2"/>
  </si>
  <si>
    <t>なし</t>
    <phoneticPr fontId="2"/>
  </si>
  <si>
    <t>国内/海外それぞれで、出力オーダ件数は4000件程度</t>
    <rPh sb="0" eb="2">
      <t>コクナイ</t>
    </rPh>
    <rPh sb="3" eb="5">
      <t>カイガイ</t>
    </rPh>
    <rPh sb="11" eb="13">
      <t>シュツリョク</t>
    </rPh>
    <rPh sb="16" eb="18">
      <t>ケンスウ</t>
    </rPh>
    <phoneticPr fontId="2"/>
  </si>
  <si>
    <r>
      <rPr>
        <sz val="9"/>
        <color rgb="FF0000FF"/>
        <rFont val="Meiryo UI"/>
        <family val="3"/>
        <charset val="128"/>
      </rPr>
      <t>『バッチログ確認』</t>
    </r>
    <r>
      <rPr>
        <sz val="9"/>
        <rFont val="Meiryo UI"/>
        <family val="3"/>
        <charset val="128"/>
      </rPr>
      <t>画面で確認。</t>
    </r>
    <rPh sb="9" eb="11">
      <t>ガメン</t>
    </rPh>
    <rPh sb="12" eb="14">
      <t>カクニン</t>
    </rPh>
    <phoneticPr fontId="2"/>
  </si>
  <si>
    <t>5. 引数</t>
    <rPh sb="3" eb="4">
      <t>イン</t>
    </rPh>
    <rPh sb="4" eb="5">
      <t>スウ</t>
    </rPh>
    <phoneticPr fontId="2"/>
  </si>
  <si>
    <t>必</t>
    <rPh sb="0" eb="1">
      <t>ヒツ</t>
    </rPh>
    <phoneticPr fontId="2"/>
  </si>
  <si>
    <t>未設定時の振る舞い</t>
    <rPh sb="0" eb="3">
      <t>ミセッテイ</t>
    </rPh>
    <rPh sb="3" eb="4">
      <t>ジ</t>
    </rPh>
    <rPh sb="5" eb="6">
      <t>フ</t>
    </rPh>
    <rPh sb="7" eb="8">
      <t>マ</t>
    </rPh>
    <phoneticPr fontId="2"/>
  </si>
  <si>
    <t>基準年月</t>
    <rPh sb="0" eb="2">
      <t>キジュン</t>
    </rPh>
    <rPh sb="2" eb="4">
      <t>ネンゲツ</t>
    </rPh>
    <phoneticPr fontId="2"/>
  </si>
  <si>
    <t>内外区分</t>
    <rPh sb="0" eb="2">
      <t>ナイガイ</t>
    </rPh>
    <rPh sb="2" eb="4">
      <t>クブン</t>
    </rPh>
    <phoneticPr fontId="2"/>
  </si>
  <si>
    <t>WG</t>
    <phoneticPr fontId="2"/>
  </si>
  <si>
    <t>運用日付の年月</t>
    <rPh sb="0" eb="2">
      <t>ウンヨウ</t>
    </rPh>
    <rPh sb="2" eb="4">
      <t>ヒヅケ</t>
    </rPh>
    <rPh sb="5" eb="7">
      <t>ネンゲツ</t>
    </rPh>
    <phoneticPr fontId="2"/>
  </si>
  <si>
    <t>国内・海外両方を対象とする</t>
    <rPh sb="0" eb="2">
      <t>コクナイ</t>
    </rPh>
    <rPh sb="3" eb="5">
      <t>カイガイ</t>
    </rPh>
    <rPh sb="5" eb="7">
      <t>リョウホウ</t>
    </rPh>
    <rPh sb="8" eb="10">
      <t>タイショウ</t>
    </rPh>
    <phoneticPr fontId="2"/>
  </si>
  <si>
    <t>すべてのWGを対象とする</t>
    <rPh sb="7" eb="9">
      <t>タイショウ</t>
    </rPh>
    <phoneticPr fontId="2"/>
  </si>
  <si>
    <t>処理対象とする入庫要望の期間範囲を判断する基準年月</t>
    <rPh sb="0" eb="2">
      <t>ショリ</t>
    </rPh>
    <rPh sb="2" eb="4">
      <t>タイショウ</t>
    </rPh>
    <rPh sb="7" eb="9">
      <t>ニュウコ</t>
    </rPh>
    <rPh sb="9" eb="11">
      <t>ヨウボウ</t>
    </rPh>
    <rPh sb="12" eb="14">
      <t>キカン</t>
    </rPh>
    <rPh sb="14" eb="16">
      <t>ハンイ</t>
    </rPh>
    <rPh sb="17" eb="19">
      <t>ハンダン</t>
    </rPh>
    <rPh sb="21" eb="23">
      <t>キジュン</t>
    </rPh>
    <rPh sb="23" eb="25">
      <t>ネンゲツ</t>
    </rPh>
    <phoneticPr fontId="2"/>
  </si>
  <si>
    <t>処理対象とする内外区分を指定する</t>
    <rPh sb="0" eb="2">
      <t>ショリ</t>
    </rPh>
    <rPh sb="2" eb="4">
      <t>タイショウ</t>
    </rPh>
    <rPh sb="7" eb="9">
      <t>ナイガイ</t>
    </rPh>
    <rPh sb="9" eb="11">
      <t>クブン</t>
    </rPh>
    <rPh sb="12" eb="14">
      <t>シテイ</t>
    </rPh>
    <phoneticPr fontId="2"/>
  </si>
  <si>
    <t>処理対象とするWGCDを指定する</t>
    <rPh sb="0" eb="2">
      <t>ショリ</t>
    </rPh>
    <rPh sb="2" eb="4">
      <t>タイショウ</t>
    </rPh>
    <rPh sb="12" eb="14">
      <t>シテイ</t>
    </rPh>
    <phoneticPr fontId="2"/>
  </si>
  <si>
    <t>6. 結果通知</t>
    <rPh sb="3" eb="5">
      <t>ケッカ</t>
    </rPh>
    <rPh sb="5" eb="7">
      <t>ツウチ</t>
    </rPh>
    <phoneticPr fontId="2"/>
  </si>
  <si>
    <t>No</t>
  </si>
  <si>
    <t>ステータス</t>
    <phoneticPr fontId="2"/>
  </si>
  <si>
    <t>後続処理</t>
    <rPh sb="0" eb="2">
      <t>コウゾク</t>
    </rPh>
    <rPh sb="2" eb="4">
      <t>ショリ</t>
    </rPh>
    <phoneticPr fontId="2"/>
  </si>
  <si>
    <t>戻り値</t>
    <rPh sb="0" eb="1">
      <t>モド</t>
    </rPh>
    <rPh sb="2" eb="3">
      <t>チ</t>
    </rPh>
    <phoneticPr fontId="2"/>
  </si>
  <si>
    <t>I</t>
    <phoneticPr fontId="2"/>
  </si>
  <si>
    <t>実行</t>
    <rPh sb="0" eb="2">
      <t>ジッコウ</t>
    </rPh>
    <phoneticPr fontId="2"/>
  </si>
  <si>
    <t>処理開始時にメッセージを出力する</t>
    <rPh sb="0" eb="2">
      <t>ショリ</t>
    </rPh>
    <rPh sb="2" eb="4">
      <t>カイシ</t>
    </rPh>
    <rPh sb="4" eb="5">
      <t>ジ</t>
    </rPh>
    <rPh sb="12" eb="14">
      <t>シュツリョク</t>
    </rPh>
    <phoneticPr fontId="2"/>
  </si>
  <si>
    <t>処理終了時にメッセージを出力する</t>
    <rPh sb="0" eb="2">
      <t>ショリ</t>
    </rPh>
    <rPh sb="2" eb="4">
      <t>シュウリョウ</t>
    </rPh>
    <rPh sb="4" eb="5">
      <t>ジ</t>
    </rPh>
    <rPh sb="12" eb="14">
      <t>シュツリョク</t>
    </rPh>
    <phoneticPr fontId="2"/>
  </si>
  <si>
    <t>7. 起動パターン</t>
    <phoneticPr fontId="2"/>
  </si>
  <si>
    <t>オンライントリガー処理（汎用バッチオンライン実行から起動する）</t>
    <rPh sb="9" eb="11">
      <t>ショリ</t>
    </rPh>
    <rPh sb="12" eb="14">
      <t>ハンヨウ</t>
    </rPh>
    <rPh sb="22" eb="24">
      <t>ジッコウ</t>
    </rPh>
    <rPh sb="26" eb="28">
      <t>キドウ</t>
    </rPh>
    <phoneticPr fontId="2"/>
  </si>
  <si>
    <t>定期処理（1回/日）　※起動日は販売システムの稼働日に準拠</t>
    <rPh sb="0" eb="2">
      <t>テイキ</t>
    </rPh>
    <rPh sb="2" eb="4">
      <t>ショリ</t>
    </rPh>
    <rPh sb="6" eb="7">
      <t>カイ</t>
    </rPh>
    <rPh sb="8" eb="9">
      <t>ヒ</t>
    </rPh>
    <rPh sb="12" eb="14">
      <t>キドウ</t>
    </rPh>
    <rPh sb="14" eb="15">
      <t>ビ</t>
    </rPh>
    <phoneticPr fontId="2"/>
  </si>
  <si>
    <t>8. ロールバック方針</t>
    <rPh sb="9" eb="11">
      <t>ホウシン</t>
    </rPh>
    <phoneticPr fontId="2"/>
  </si>
  <si>
    <t>9. リカバリ処理パターン</t>
    <rPh sb="7" eb="9">
      <t>ショリ</t>
    </rPh>
    <phoneticPr fontId="2"/>
  </si>
  <si>
    <t>調査・対応タイミング</t>
    <rPh sb="0" eb="2">
      <t>チョウサ</t>
    </rPh>
    <rPh sb="3" eb="5">
      <t>タイオウ</t>
    </rPh>
    <phoneticPr fontId="32"/>
  </si>
  <si>
    <t>再実行タイミング</t>
    <rPh sb="0" eb="3">
      <t>サイジッコウ</t>
    </rPh>
    <phoneticPr fontId="32"/>
  </si>
  <si>
    <t>備考</t>
    <rPh sb="0" eb="2">
      <t>ビコウ</t>
    </rPh>
    <phoneticPr fontId="32"/>
  </si>
  <si>
    <t>即時</t>
    <rPh sb="0" eb="2">
      <t>ソクジ</t>
    </rPh>
    <phoneticPr fontId="32"/>
  </si>
  <si>
    <t>即時対応が必要な業務</t>
    <rPh sb="0" eb="2">
      <t>ソクジ</t>
    </rPh>
    <rPh sb="2" eb="4">
      <t>タイオウ</t>
    </rPh>
    <rPh sb="5" eb="7">
      <t>ヒツヨウ</t>
    </rPh>
    <rPh sb="8" eb="10">
      <t>ギョウム</t>
    </rPh>
    <phoneticPr fontId="32"/>
  </si>
  <si>
    <t>要求があれば</t>
    <rPh sb="0" eb="2">
      <t>ヨウキュウ</t>
    </rPh>
    <phoneticPr fontId="32"/>
  </si>
  <si>
    <t>即時対応するが、再実行は業務担当者の指示に従う業務</t>
    <rPh sb="0" eb="2">
      <t>ソクジ</t>
    </rPh>
    <rPh sb="2" eb="4">
      <t>タイオウ</t>
    </rPh>
    <rPh sb="8" eb="11">
      <t>サイジッコウ</t>
    </rPh>
    <rPh sb="12" eb="14">
      <t>ギョウム</t>
    </rPh>
    <rPh sb="14" eb="17">
      <t>タントウシャ</t>
    </rPh>
    <rPh sb="18" eb="20">
      <t>シジ</t>
    </rPh>
    <rPh sb="21" eb="22">
      <t>シタガ</t>
    </rPh>
    <rPh sb="23" eb="25">
      <t>ギョウム</t>
    </rPh>
    <phoneticPr fontId="32"/>
  </si>
  <si>
    <t>現場対応</t>
    <rPh sb="0" eb="2">
      <t>ゲンバ</t>
    </rPh>
    <rPh sb="2" eb="4">
      <t>タイオウ</t>
    </rPh>
    <phoneticPr fontId="32"/>
  </si>
  <si>
    <t>データ起因等、現場で解決し再実行も可能な業務</t>
    <rPh sb="3" eb="5">
      <t>キイン</t>
    </rPh>
    <rPh sb="5" eb="6">
      <t>トウ</t>
    </rPh>
    <rPh sb="7" eb="9">
      <t>ゲンバ</t>
    </rPh>
    <rPh sb="10" eb="12">
      <t>カイケツ</t>
    </rPh>
    <rPh sb="13" eb="16">
      <t>サイジッコウ</t>
    </rPh>
    <rPh sb="17" eb="19">
      <t>カノウ</t>
    </rPh>
    <rPh sb="20" eb="22">
      <t>ギョウム</t>
    </rPh>
    <phoneticPr fontId="32"/>
  </si>
  <si>
    <t>後でよい</t>
    <rPh sb="0" eb="1">
      <t>アト</t>
    </rPh>
    <phoneticPr fontId="32"/>
  </si>
  <si>
    <t>重要度低だが再実行が必要な業務</t>
    <rPh sb="0" eb="3">
      <t>ジュウヨウド</t>
    </rPh>
    <rPh sb="3" eb="4">
      <t>テイ</t>
    </rPh>
    <rPh sb="6" eb="9">
      <t>サイジッコウ</t>
    </rPh>
    <rPh sb="10" eb="12">
      <t>ヒツヨウ</t>
    </rPh>
    <rPh sb="13" eb="15">
      <t>ギョウム</t>
    </rPh>
    <phoneticPr fontId="32"/>
  </si>
  <si>
    <t>重要度低で、再実行は業務担当者の指示に従う業務</t>
    <rPh sb="0" eb="3">
      <t>ジュウヨウド</t>
    </rPh>
    <rPh sb="3" eb="4">
      <t>テイ</t>
    </rPh>
    <rPh sb="6" eb="9">
      <t>サイジッコウ</t>
    </rPh>
    <rPh sb="10" eb="12">
      <t>ギョウム</t>
    </rPh>
    <rPh sb="12" eb="15">
      <t>タントウシャ</t>
    </rPh>
    <rPh sb="16" eb="18">
      <t>シジ</t>
    </rPh>
    <rPh sb="19" eb="20">
      <t>シタガ</t>
    </rPh>
    <rPh sb="21" eb="23">
      <t>ギョウム</t>
    </rPh>
    <phoneticPr fontId="32"/>
  </si>
  <si>
    <t>重要度低で、現場で解決し再実行も可能な業務</t>
    <rPh sb="0" eb="3">
      <t>ジュウヨウド</t>
    </rPh>
    <rPh sb="3" eb="4">
      <t>テイ</t>
    </rPh>
    <rPh sb="6" eb="8">
      <t>ゲンバ</t>
    </rPh>
    <rPh sb="9" eb="11">
      <t>カイケツ</t>
    </rPh>
    <rPh sb="12" eb="15">
      <t>サイジッコウ</t>
    </rPh>
    <rPh sb="16" eb="18">
      <t>カノウ</t>
    </rPh>
    <rPh sb="19" eb="21">
      <t>ギョウム</t>
    </rPh>
    <phoneticPr fontId="32"/>
  </si>
  <si>
    <t>異常が発生した場合、全てのトランザクションをロールバックし処理を終了する。</t>
    <phoneticPr fontId="2"/>
  </si>
  <si>
    <t>10. 想定データ件数</t>
    <rPh sb="4" eb="6">
      <t>ソウテイ</t>
    </rPh>
    <rPh sb="9" eb="11">
      <t>ケンスウ</t>
    </rPh>
    <phoneticPr fontId="2"/>
  </si>
  <si>
    <t>11. 起動および実行結果の確認</t>
    <phoneticPr fontId="2"/>
  </si>
  <si>
    <t>国内回答用オーダ情報作成＜追加＞</t>
    <rPh sb="0" eb="2">
      <t>コクナイ</t>
    </rPh>
    <rPh sb="2" eb="4">
      <t>カイトウ</t>
    </rPh>
    <rPh sb="4" eb="5">
      <t>ヨウ</t>
    </rPh>
    <rPh sb="8" eb="10">
      <t>ジョウホウ</t>
    </rPh>
    <rPh sb="10" eb="12">
      <t>サクセイ</t>
    </rPh>
    <rPh sb="13" eb="15">
      <t>ツイカ</t>
    </rPh>
    <phoneticPr fontId="2"/>
  </si>
  <si>
    <t>国内回答用オーダ情報</t>
  </si>
  <si>
    <t>品目オーダNO</t>
    <rPh sb="0" eb="2">
      <t>ヒンモク</t>
    </rPh>
    <phoneticPr fontId="2"/>
  </si>
  <si>
    <t>論理削除ＦＬＧ</t>
  </si>
  <si>
    <t>更新ＦＬＧ</t>
  </si>
  <si>
    <t>品目オーダNO</t>
  </si>
  <si>
    <t>製造場所CD</t>
  </si>
  <si>
    <t>製造予定数量</t>
  </si>
  <si>
    <t>製造着手予定日</t>
  </si>
  <si>
    <t>製造終了予定日</t>
  </si>
  <si>
    <t>格納完了予定日</t>
  </si>
  <si>
    <t>使用可能予定日</t>
  </si>
  <si>
    <t>回答用オーダ状況区分</t>
  </si>
  <si>
    <t>手配NO１</t>
  </si>
  <si>
    <t>入庫要望区分</t>
  </si>
  <si>
    <t>回答納期送信済ＦＬＧ</t>
  </si>
  <si>
    <t>品目オーダ情報</t>
  </si>
  <si>
    <t>日次生産依頼情報</t>
  </si>
  <si>
    <t>オフ(0)をセット</t>
  </si>
  <si>
    <t>オン(1)をセット</t>
  </si>
  <si>
    <t>品目オーダＮＯ</t>
  </si>
  <si>
    <t>製造場所ＣＤ</t>
  </si>
  <si>
    <t>回答数量(下記を元に計算)</t>
  </si>
  <si>
    <t>出来高予定数量</t>
  </si>
  <si>
    <t>工場出荷予定増減数量</t>
  </si>
  <si>
    <t>工場出荷数量</t>
  </si>
  <si>
    <t>回答納期</t>
  </si>
  <si>
    <t>オーダ状況区分</t>
  </si>
  <si>
    <t>手配ＮＯ１</t>
  </si>
  <si>
    <t>2．</t>
  </si>
  <si>
    <t>送信対象について(国内)</t>
    <rPh sb="0" eb="2">
      <t>ソウシン</t>
    </rPh>
    <rPh sb="2" eb="4">
      <t>タイショウ</t>
    </rPh>
    <rPh sb="9" eb="11">
      <t>コクナイ</t>
    </rPh>
    <phoneticPr fontId="2"/>
  </si>
  <si>
    <t>・ 販売管理システムへの送信対象は下記に基づき判断する。</t>
    <rPh sb="2" eb="4">
      <t>ハンバイ</t>
    </rPh>
    <rPh sb="4" eb="6">
      <t>カンリ</t>
    </rPh>
    <rPh sb="12" eb="14">
      <t>ソウシン</t>
    </rPh>
    <rPh sb="14" eb="16">
      <t>タイショウ</t>
    </rPh>
    <rPh sb="17" eb="19">
      <t>カキ</t>
    </rPh>
    <rPh sb="20" eb="21">
      <t>モト</t>
    </rPh>
    <rPh sb="23" eb="25">
      <t>ハンダン</t>
    </rPh>
    <phoneticPr fontId="2"/>
  </si>
  <si>
    <t>ﾊﾟﾀﾝ</t>
  </si>
  <si>
    <t>判断条件</t>
    <rPh sb="0" eb="2">
      <t>ハンダン</t>
    </rPh>
    <rPh sb="2" eb="4">
      <t>ジョウケン</t>
    </rPh>
    <phoneticPr fontId="2"/>
  </si>
  <si>
    <t>送信対象</t>
    <rPh sb="0" eb="2">
      <t>ソウシン</t>
    </rPh>
    <rPh sb="2" eb="4">
      <t>タイショウ</t>
    </rPh>
    <phoneticPr fontId="2"/>
  </si>
  <si>
    <t>回答納期</t>
    <rPh sb="0" eb="2">
      <t>カイトウ</t>
    </rPh>
    <rPh sb="2" eb="4">
      <t>ノウキ</t>
    </rPh>
    <phoneticPr fontId="2"/>
  </si>
  <si>
    <t>送信済ＦＬＧ</t>
  </si>
  <si>
    <t>前回送信内容との比較</t>
    <rPh sb="0" eb="2">
      <t>ゼンカイ</t>
    </rPh>
    <rPh sb="2" eb="4">
      <t>ソウシン</t>
    </rPh>
    <rPh sb="4" eb="6">
      <t>ナイヨウ</t>
    </rPh>
    <phoneticPr fontId="2"/>
  </si>
  <si>
    <t xml:space="preserve"> 1</t>
  </si>
  <si>
    <t>0:通常</t>
    <rPh sb="2" eb="4">
      <t>ツウジョウ</t>
    </rPh>
    <phoneticPr fontId="2"/>
  </si>
  <si>
    <t>期間外 (36日後～)</t>
    <rPh sb="0" eb="2">
      <t>キカン</t>
    </rPh>
    <rPh sb="2" eb="3">
      <t>ソト</t>
    </rPh>
    <rPh sb="8" eb="9">
      <t>アト</t>
    </rPh>
    <phoneticPr fontId="2"/>
  </si>
  <si>
    <t>0:未送信</t>
    <rPh sb="2" eb="3">
      <t>ミ</t>
    </rPh>
    <rPh sb="3" eb="5">
      <t>ソウシン</t>
    </rPh>
    <phoneticPr fontId="2"/>
  </si>
  <si>
    <t>*</t>
  </si>
  <si>
    <t>送信しない</t>
  </si>
  <si>
    <t>期間外オーダは基本的には送信しない。</t>
    <rPh sb="0" eb="2">
      <t>キカン</t>
    </rPh>
    <rPh sb="2" eb="3">
      <t>ソト</t>
    </rPh>
    <rPh sb="7" eb="10">
      <t>キホンテキ</t>
    </rPh>
    <rPh sb="12" eb="14">
      <t>ソウシン</t>
    </rPh>
    <phoneticPr fontId="2"/>
  </si>
  <si>
    <t xml:space="preserve"> 2</t>
  </si>
  <si>
    <t>1:送信済</t>
    <rPh sb="2" eb="4">
      <t>ソウシン</t>
    </rPh>
    <rPh sb="4" eb="5">
      <t>ズ</t>
    </rPh>
    <phoneticPr fontId="2"/>
  </si>
  <si>
    <t>送信する</t>
    <rPh sb="0" eb="2">
      <t>ソウシン</t>
    </rPh>
    <phoneticPr fontId="2"/>
  </si>
  <si>
    <t>　ただし一度でも送信されている場合は毎日送信する。</t>
  </si>
  <si>
    <t xml:space="preserve"> 3</t>
  </si>
  <si>
    <t>期間内 (翌日～35日後)</t>
    <rPh sb="0" eb="2">
      <t>キカン</t>
    </rPh>
    <rPh sb="2" eb="3">
      <t>ナイ</t>
    </rPh>
    <rPh sb="5" eb="7">
      <t>ヨクジツ</t>
    </rPh>
    <rPh sb="11" eb="12">
      <t>アト</t>
    </rPh>
    <phoneticPr fontId="2"/>
  </si>
  <si>
    <t>送信する</t>
  </si>
  <si>
    <t>期間内オーダは毎日送信する。</t>
    <rPh sb="0" eb="2">
      <t>キカン</t>
    </rPh>
    <rPh sb="2" eb="3">
      <t>ナイ</t>
    </rPh>
    <rPh sb="7" eb="9">
      <t>マイニチ</t>
    </rPh>
    <rPh sb="9" eb="11">
      <t>ソウシン</t>
    </rPh>
    <phoneticPr fontId="2"/>
  </si>
  <si>
    <t xml:space="preserve"> 4</t>
  </si>
  <si>
    <t xml:space="preserve"> 5</t>
  </si>
  <si>
    <t>過去日 (～当日)</t>
    <rPh sb="0" eb="2">
      <t>カコ</t>
    </rPh>
    <rPh sb="2" eb="3">
      <t>ビ</t>
    </rPh>
    <rPh sb="6" eb="8">
      <t>トウジツ</t>
    </rPh>
    <phoneticPr fontId="2"/>
  </si>
  <si>
    <t>過去日オーダは基本的には送信しない。</t>
    <rPh sb="0" eb="2">
      <t>カコ</t>
    </rPh>
    <rPh sb="2" eb="3">
      <t>ビ</t>
    </rPh>
    <rPh sb="7" eb="10">
      <t>キホンテキ</t>
    </rPh>
    <rPh sb="12" eb="14">
      <t>ソウシン</t>
    </rPh>
    <phoneticPr fontId="2"/>
  </si>
  <si>
    <t xml:space="preserve"> 6</t>
  </si>
  <si>
    <t>変更あり</t>
  </si>
  <si>
    <t>　ただし未送信オーダおよび変更時は1度のみ送信する。</t>
    <rPh sb="4" eb="5">
      <t>ミ</t>
    </rPh>
    <rPh sb="5" eb="7">
      <t>ソウシン</t>
    </rPh>
    <rPh sb="13" eb="15">
      <t>ヘンコウ</t>
    </rPh>
    <rPh sb="15" eb="16">
      <t>ジ</t>
    </rPh>
    <rPh sb="18" eb="19">
      <t>ド</t>
    </rPh>
    <rPh sb="21" eb="23">
      <t>ソウシン</t>
    </rPh>
    <phoneticPr fontId="2"/>
  </si>
  <si>
    <t xml:space="preserve"> 7</t>
  </si>
  <si>
    <t>変更なし</t>
  </si>
  <si>
    <t xml:space="preserve"> 8</t>
  </si>
  <si>
    <t>1:削除</t>
  </si>
  <si>
    <t>0:未送信</t>
  </si>
  <si>
    <t>送信しない</t>
    <rPh sb="0" eb="2">
      <t>ソウシン</t>
    </rPh>
    <phoneticPr fontId="2"/>
  </si>
  <si>
    <t>削除オーダは基本的には送信しない。</t>
    <rPh sb="0" eb="2">
      <t>サクジョ</t>
    </rPh>
    <rPh sb="6" eb="9">
      <t>キホンテキ</t>
    </rPh>
    <rPh sb="11" eb="13">
      <t>ソウシン</t>
    </rPh>
    <phoneticPr fontId="2"/>
  </si>
  <si>
    <t xml:space="preserve"> 9</t>
  </si>
  <si>
    <t>1:送信済</t>
    <rPh sb="4" eb="5">
      <t>ズ</t>
    </rPh>
    <phoneticPr fontId="2"/>
  </si>
  <si>
    <t>変更あり(有効→削除)</t>
    <rPh sb="0" eb="2">
      <t>ヘンコウ</t>
    </rPh>
    <rPh sb="5" eb="7">
      <t>ユウコウ</t>
    </rPh>
    <rPh sb="8" eb="10">
      <t>サクジョ</t>
    </rPh>
    <phoneticPr fontId="2"/>
  </si>
  <si>
    <t>　ただし有効から削除に変更時は１度のみ送信する。</t>
    <rPh sb="4" eb="6">
      <t>ユウコウ</t>
    </rPh>
    <rPh sb="8" eb="10">
      <t>サクジョ</t>
    </rPh>
    <rPh sb="11" eb="13">
      <t>ヘンコウ</t>
    </rPh>
    <rPh sb="13" eb="14">
      <t>ジ</t>
    </rPh>
    <phoneticPr fontId="2"/>
  </si>
  <si>
    <t xml:space="preserve"> 10</t>
  </si>
  <si>
    <t>変更なし(削除で送信済み)</t>
    <rPh sb="0" eb="2">
      <t>ヘンコウ</t>
    </rPh>
    <rPh sb="5" eb="7">
      <t>サクジョ</t>
    </rPh>
    <rPh sb="8" eb="10">
      <t>ソウシン</t>
    </rPh>
    <rPh sb="10" eb="11">
      <t>ズ</t>
    </rPh>
    <phoneticPr fontId="2"/>
  </si>
  <si>
    <t>※論理削除ＦＬＧ …オーダが削除された、または「回答用オーダ状況区分」が仮確定以降の状態から未確定に戻った場合、または全数承認着荷済みの場合に「1:削除」となる。</t>
    <rPh sb="1" eb="3">
      <t>ロンリ</t>
    </rPh>
    <rPh sb="3" eb="5">
      <t>サクジョ</t>
    </rPh>
    <rPh sb="14" eb="16">
      <t>サクジョ</t>
    </rPh>
    <rPh sb="24" eb="26">
      <t>カイトウ</t>
    </rPh>
    <rPh sb="26" eb="27">
      <t>ヨウ</t>
    </rPh>
    <rPh sb="30" eb="32">
      <t>ジョウキョウ</t>
    </rPh>
    <rPh sb="32" eb="34">
      <t>クブン</t>
    </rPh>
    <rPh sb="36" eb="37">
      <t>カリ</t>
    </rPh>
    <rPh sb="37" eb="39">
      <t>カクテイ</t>
    </rPh>
    <rPh sb="39" eb="41">
      <t>イコウ</t>
    </rPh>
    <rPh sb="42" eb="44">
      <t>ジョウタイ</t>
    </rPh>
    <rPh sb="46" eb="49">
      <t>ミカクテイ</t>
    </rPh>
    <rPh sb="50" eb="51">
      <t>モド</t>
    </rPh>
    <rPh sb="53" eb="55">
      <t>バアイ</t>
    </rPh>
    <rPh sb="59" eb="61">
      <t>ゼンスウ</t>
    </rPh>
    <rPh sb="61" eb="63">
      <t>ショウニン</t>
    </rPh>
    <rPh sb="63" eb="65">
      <t>チャッカ</t>
    </rPh>
    <rPh sb="65" eb="66">
      <t>ズ</t>
    </rPh>
    <rPh sb="68" eb="70">
      <t>バアイ</t>
    </rPh>
    <rPh sb="74" eb="76">
      <t>サクジョ</t>
    </rPh>
    <phoneticPr fontId="2"/>
  </si>
  <si>
    <t>※送信済ＦＬＧ…販売管理システムに一度でも送信された場合に「1:送信済」となる。</t>
    <rPh sb="1" eb="3">
      <t>ソウシン</t>
    </rPh>
    <rPh sb="3" eb="4">
      <t>スミ</t>
    </rPh>
    <rPh sb="8" eb="10">
      <t>ハンバイ</t>
    </rPh>
    <rPh sb="10" eb="12">
      <t>カンリ</t>
    </rPh>
    <rPh sb="17" eb="19">
      <t>イチド</t>
    </rPh>
    <rPh sb="21" eb="23">
      <t>ソウシン</t>
    </rPh>
    <rPh sb="26" eb="28">
      <t>バアイ</t>
    </rPh>
    <rPh sb="32" eb="34">
      <t>ソウシン</t>
    </rPh>
    <rPh sb="34" eb="35">
      <t>ズ</t>
    </rPh>
    <phoneticPr fontId="2"/>
  </si>
  <si>
    <t>□ 各パタンの一例a: 回答納期通りに出荷完了</t>
    <rPh sb="2" eb="3">
      <t>カク</t>
    </rPh>
    <rPh sb="7" eb="9">
      <t>イチレイ</t>
    </rPh>
    <rPh sb="12" eb="14">
      <t>カイトウ</t>
    </rPh>
    <rPh sb="14" eb="16">
      <t>ノウキ</t>
    </rPh>
    <rPh sb="16" eb="17">
      <t>ドオ</t>
    </rPh>
    <rPh sb="19" eb="21">
      <t>シュッカ</t>
    </rPh>
    <rPh sb="21" eb="23">
      <t>カンリョウ</t>
    </rPh>
    <phoneticPr fontId="2"/>
  </si>
  <si>
    <t>日付</t>
  </si>
  <si>
    <t>操作</t>
    <rPh sb="0" eb="2">
      <t>ソウサ</t>
    </rPh>
    <phoneticPr fontId="2"/>
  </si>
  <si>
    <t>回答用オーダ情報（各処理後の状態）</t>
    <rPh sb="9" eb="10">
      <t>カク</t>
    </rPh>
    <rPh sb="10" eb="12">
      <t>ショリ</t>
    </rPh>
    <rPh sb="12" eb="13">
      <t>アト</t>
    </rPh>
    <rPh sb="14" eb="16">
      <t>ジョウタイ</t>
    </rPh>
    <phoneticPr fontId="2"/>
  </si>
  <si>
    <t>販売管理システムへの送信</t>
    <rPh sb="0" eb="2">
      <t>ハンバイ</t>
    </rPh>
    <rPh sb="2" eb="4">
      <t>カンリ</t>
    </rPh>
    <rPh sb="10" eb="12">
      <t>ソウシン</t>
    </rPh>
    <phoneticPr fontId="2"/>
  </si>
  <si>
    <t>オンライン</t>
  </si>
  <si>
    <t>/バッチ</t>
  </si>
  <si>
    <t>進捗区分</t>
    <rPh sb="0" eb="2">
      <t>シンチョク</t>
    </rPh>
    <rPh sb="2" eb="4">
      <t>クブン</t>
    </rPh>
    <phoneticPr fontId="2"/>
  </si>
  <si>
    <t>予定数</t>
    <rPh sb="0" eb="2">
      <t>ヨテイ</t>
    </rPh>
    <rPh sb="2" eb="3">
      <t>スウ</t>
    </rPh>
    <phoneticPr fontId="2"/>
  </si>
  <si>
    <t>論理削除</t>
    <rPh sb="0" eb="2">
      <t>ロンリ</t>
    </rPh>
    <rPh sb="2" eb="4">
      <t>サクジョ</t>
    </rPh>
    <phoneticPr fontId="2"/>
  </si>
  <si>
    <t>送信済ＦＬＧ</t>
    <rPh sb="0" eb="2">
      <t>ソウシン</t>
    </rPh>
    <rPh sb="2" eb="3">
      <t>ズ</t>
    </rPh>
    <phoneticPr fontId="2"/>
  </si>
  <si>
    <t>期間外</t>
    <rPh sb="0" eb="2">
      <t>キカン</t>
    </rPh>
    <rPh sb="2" eb="3">
      <t>ソト</t>
    </rPh>
    <phoneticPr fontId="2"/>
  </si>
  <si>
    <t>6/1</t>
  </si>
  <si>
    <t>・オーダ保存(回答8/4)</t>
    <rPh sb="4" eb="6">
      <t>ホゾン</t>
    </rPh>
    <rPh sb="7" eb="9">
      <t>カイトウ</t>
    </rPh>
    <phoneticPr fontId="2"/>
  </si>
  <si>
    <t>・納期回答送信</t>
  </si>
  <si>
    <t>仮確定</t>
    <rPh sb="0" eb="1">
      <t>カリ</t>
    </rPh>
    <rPh sb="1" eb="3">
      <t>カクテイ</t>
    </rPh>
    <phoneticPr fontId="2"/>
  </si>
  <si>
    <t>100</t>
  </si>
  <si>
    <t>8/4</t>
  </si>
  <si>
    <t>(ﾊﾟﾀﾝ1:期間外のため送信しない)</t>
  </si>
  <si>
    <t>…</t>
  </si>
  <si>
    <t>0:通常</t>
  </si>
  <si>
    <t>期間内</t>
    <rPh sb="0" eb="2">
      <t>キカン</t>
    </rPh>
    <rPh sb="2" eb="3">
      <t>ナイ</t>
    </rPh>
    <phoneticPr fontId="2"/>
  </si>
  <si>
    <t>7/1</t>
  </si>
  <si>
    <t>(ﾊﾟﾀﾝ3:期間内オーダは毎日送信する)</t>
  </si>
  <si>
    <t>7/2</t>
  </si>
  <si>
    <t>・製造指図</t>
    <rPh sb="1" eb="3">
      <t>セイゾウ</t>
    </rPh>
    <rPh sb="3" eb="5">
      <t>サシズ</t>
    </rPh>
    <phoneticPr fontId="2"/>
  </si>
  <si>
    <t>指図済</t>
    <rPh sb="0" eb="2">
      <t>サシズ</t>
    </rPh>
    <rPh sb="2" eb="3">
      <t>ズ</t>
    </rPh>
    <phoneticPr fontId="2"/>
  </si>
  <si>
    <t>(ﾊﾟﾀﾝ4:期間内オーダは毎日送信する)</t>
  </si>
  <si>
    <t>指図済</t>
  </si>
  <si>
    <t>当日</t>
    <rPh sb="0" eb="2">
      <t>トウジツ</t>
    </rPh>
    <phoneticPr fontId="2"/>
  </si>
  <si>
    <t>・全数承認着荷</t>
  </si>
  <si>
    <t>完了</t>
    <rPh sb="0" eb="2">
      <t>カンリョウ</t>
    </rPh>
    <phoneticPr fontId="2"/>
  </si>
  <si>
    <t>1:削除</t>
    <rPh sb="2" eb="4">
      <t>サクジョ</t>
    </rPh>
    <phoneticPr fontId="2"/>
  </si>
  <si>
    <t>(ﾊﾟﾀﾝ9:全数着荷完了したため削除送信する)</t>
  </si>
  <si>
    <t>(ﾊﾟﾀﾝ10:削除送信済みのため送信しない)</t>
  </si>
  <si>
    <t>□ 各パタンの一例b: 回答納期に対して前倒しで出荷完了</t>
    <rPh sb="2" eb="3">
      <t>カク</t>
    </rPh>
    <rPh sb="7" eb="9">
      <t>イチレイ</t>
    </rPh>
    <rPh sb="12" eb="14">
      <t>カイトウ</t>
    </rPh>
    <rPh sb="14" eb="16">
      <t>ノウキ</t>
    </rPh>
    <rPh sb="17" eb="18">
      <t>タイ</t>
    </rPh>
    <rPh sb="20" eb="22">
      <t>マエダオ</t>
    </rPh>
    <rPh sb="24" eb="26">
      <t>シュッカ</t>
    </rPh>
    <rPh sb="26" eb="28">
      <t>カンリョウ</t>
    </rPh>
    <phoneticPr fontId="2"/>
  </si>
  <si>
    <t>・全数承認着荷</t>
    <rPh sb="1" eb="3">
      <t>ゼンスウ</t>
    </rPh>
    <rPh sb="3" eb="5">
      <t>ショウニン</t>
    </rPh>
    <rPh sb="5" eb="7">
      <t>チャッカ</t>
    </rPh>
    <phoneticPr fontId="2"/>
  </si>
  <si>
    <t>□ 各パタンの一例c: 回答納期に対して遅れて出荷完了</t>
    <rPh sb="12" eb="14">
      <t>カイトウ</t>
    </rPh>
    <rPh sb="14" eb="16">
      <t>ノウキ</t>
    </rPh>
    <rPh sb="17" eb="18">
      <t>タイ</t>
    </rPh>
    <rPh sb="20" eb="21">
      <t>オク</t>
    </rPh>
    <rPh sb="23" eb="25">
      <t>シュッカ</t>
    </rPh>
    <rPh sb="25" eb="27">
      <t>カンリョウ</t>
    </rPh>
    <phoneticPr fontId="2"/>
  </si>
  <si>
    <t>予定数</t>
  </si>
  <si>
    <t>(ﾊﾟﾀﾝ7:過去日となるため送信しない)</t>
  </si>
  <si>
    <t>過去日</t>
    <rPh sb="0" eb="2">
      <t>カコ</t>
    </rPh>
    <rPh sb="2" eb="3">
      <t>ビ</t>
    </rPh>
    <phoneticPr fontId="2"/>
  </si>
  <si>
    <t>8/5</t>
  </si>
  <si>
    <t>・回答変更(回答8/4→8/5)</t>
    <rPh sb="1" eb="3">
      <t>カイトウ</t>
    </rPh>
    <rPh sb="3" eb="5">
      <t>ヘンコウ</t>
    </rPh>
    <rPh sb="6" eb="8">
      <t>カイトウ</t>
    </rPh>
    <phoneticPr fontId="2"/>
  </si>
  <si>
    <t>(ﾊﾟﾀﾝ6:過去日だが内容が変わったため送信する)</t>
  </si>
  <si>
    <t>8/6</t>
  </si>
  <si>
    <t>(ﾊﾟﾀﾝ7:過去日で内容変更ないため送信しない)</t>
    <rPh sb="11" eb="13">
      <t>ナイヨウ</t>
    </rPh>
    <rPh sb="13" eb="15">
      <t>ヘンコウ</t>
    </rPh>
    <phoneticPr fontId="2"/>
  </si>
  <si>
    <t>8/7</t>
  </si>
  <si>
    <t>8/8</t>
  </si>
  <si>
    <t>□ 各パタンの一例d: 回答納期を期間内から期間外へ変更</t>
    <rPh sb="12" eb="14">
      <t>カイトウ</t>
    </rPh>
    <rPh sb="14" eb="16">
      <t>ノウキ</t>
    </rPh>
    <rPh sb="17" eb="19">
      <t>キカン</t>
    </rPh>
    <rPh sb="19" eb="20">
      <t>ナイ</t>
    </rPh>
    <rPh sb="22" eb="24">
      <t>キカン</t>
    </rPh>
    <rPh sb="24" eb="25">
      <t>ソト</t>
    </rPh>
    <rPh sb="26" eb="28">
      <t>ヘンコウ</t>
    </rPh>
    <phoneticPr fontId="2"/>
  </si>
  <si>
    <t>7/3</t>
  </si>
  <si>
    <t>・回答変更(回答8/4→9/30)</t>
    <rPh sb="1" eb="3">
      <t>カイトウ</t>
    </rPh>
    <rPh sb="3" eb="5">
      <t>ヘンコウ</t>
    </rPh>
    <rPh sb="6" eb="8">
      <t>カイトウ</t>
    </rPh>
    <phoneticPr fontId="2"/>
  </si>
  <si>
    <t>9/30</t>
  </si>
  <si>
    <t>(ﾊﾟﾀﾝ2:期間外となったが送信済みのため毎日送信する)</t>
  </si>
  <si>
    <t>□ 各パタンの一例e: 当日作成したオーダで、当日で納期回答したが、回答日より遅れて出荷</t>
    <rPh sb="12" eb="14">
      <t>トウジツ</t>
    </rPh>
    <rPh sb="14" eb="16">
      <t>サクセイ</t>
    </rPh>
    <rPh sb="23" eb="25">
      <t>トウジツ</t>
    </rPh>
    <rPh sb="26" eb="28">
      <t>ノウキ</t>
    </rPh>
    <rPh sb="28" eb="30">
      <t>カイトウ</t>
    </rPh>
    <rPh sb="34" eb="36">
      <t>カイトウ</t>
    </rPh>
    <rPh sb="36" eb="37">
      <t>ビ</t>
    </rPh>
    <rPh sb="39" eb="40">
      <t>オク</t>
    </rPh>
    <rPh sb="42" eb="44">
      <t>シュッカ</t>
    </rPh>
    <phoneticPr fontId="2"/>
  </si>
  <si>
    <t>・オーダ保存(回答8/4)</t>
  </si>
  <si>
    <t>・製造指図</t>
  </si>
  <si>
    <t>(ﾊﾟﾀﾝ5:過去日となるが未送信のため送信する)</t>
  </si>
  <si>
    <t>(ﾊﾟﾀﾝ7:過去日で内容変更ないため送信しない)</t>
  </si>
  <si>
    <t>□ 各パタンの一例f: オーダ作成当日に全数を緊急出荷</t>
    <rPh sb="15" eb="17">
      <t>サクセイ</t>
    </rPh>
    <rPh sb="17" eb="19">
      <t>トウジツ</t>
    </rPh>
    <rPh sb="23" eb="25">
      <t>キンキュウ</t>
    </rPh>
    <rPh sb="25" eb="27">
      <t>シュッカ</t>
    </rPh>
    <phoneticPr fontId="2"/>
  </si>
  <si>
    <t>・オーダ保存(数量100)</t>
    <rPh sb="7" eb="9">
      <t>スウリョウ</t>
    </rPh>
    <phoneticPr fontId="2"/>
  </si>
  <si>
    <t>・納期回答作成のみ</t>
    <rPh sb="5" eb="7">
      <t>サクセイ</t>
    </rPh>
    <phoneticPr fontId="2"/>
  </si>
  <si>
    <t>・緊急出荷(数量100)</t>
    <rPh sb="1" eb="3">
      <t>キンキュウ</t>
    </rPh>
    <rPh sb="3" eb="5">
      <t>シュッカ</t>
    </rPh>
    <rPh sb="6" eb="8">
      <t>スウリョウ</t>
    </rPh>
    <phoneticPr fontId="2"/>
  </si>
  <si>
    <t>0</t>
  </si>
  <si>
    <t>(ﾊﾟﾀﾝ8:未送信の削除データのため送信しない)</t>
  </si>
  <si>
    <t>□ 各パタンの一例g: オーダ作成当日に一部数量を緊急出荷→後日残りを通常出荷</t>
    <rPh sb="15" eb="17">
      <t>サクセイ</t>
    </rPh>
    <rPh sb="17" eb="19">
      <t>トウジツ</t>
    </rPh>
    <rPh sb="20" eb="22">
      <t>イチブ</t>
    </rPh>
    <rPh sb="22" eb="24">
      <t>スウリョウ</t>
    </rPh>
    <rPh sb="25" eb="27">
      <t>キンキュウ</t>
    </rPh>
    <rPh sb="27" eb="29">
      <t>シュッカ</t>
    </rPh>
    <rPh sb="30" eb="32">
      <t>ゴジツ</t>
    </rPh>
    <rPh sb="32" eb="33">
      <t>ノコ</t>
    </rPh>
    <rPh sb="35" eb="37">
      <t>ツウジョウ</t>
    </rPh>
    <rPh sb="37" eb="39">
      <t>シュッカ</t>
    </rPh>
    <phoneticPr fontId="2"/>
  </si>
  <si>
    <t>・緊急出荷(数量80)</t>
    <rPh sb="1" eb="3">
      <t>キンキュウ</t>
    </rPh>
    <rPh sb="3" eb="5">
      <t>シュッカ</t>
    </rPh>
    <rPh sb="6" eb="8">
      <t>スウリョウ</t>
    </rPh>
    <phoneticPr fontId="2"/>
  </si>
  <si>
    <t>20</t>
  </si>
  <si>
    <t>・承認着荷(数量20)</t>
    <rPh sb="6" eb="8">
      <t>スウリョウ</t>
    </rPh>
    <phoneticPr fontId="2"/>
  </si>
  <si>
    <t>□ 各パタンの一例h: オーダ作成当日に納期回答作成バッチを行い、同じ日に保存取消(または納期回答クリア)</t>
    <rPh sb="15" eb="17">
      <t>サクセイ</t>
    </rPh>
    <rPh sb="17" eb="19">
      <t>トウジツ</t>
    </rPh>
    <rPh sb="20" eb="22">
      <t>ノウキ</t>
    </rPh>
    <rPh sb="22" eb="24">
      <t>カイトウ</t>
    </rPh>
    <rPh sb="24" eb="26">
      <t>サクセイ</t>
    </rPh>
    <rPh sb="30" eb="31">
      <t>オコナ</t>
    </rPh>
    <rPh sb="33" eb="34">
      <t>オナ</t>
    </rPh>
    <rPh sb="35" eb="36">
      <t>ヒ</t>
    </rPh>
    <rPh sb="37" eb="39">
      <t>ホゾン</t>
    </rPh>
    <rPh sb="39" eb="41">
      <t>トリケシ</t>
    </rPh>
    <rPh sb="45" eb="47">
      <t>ノウキ</t>
    </rPh>
    <rPh sb="47" eb="49">
      <t>カイトウ</t>
    </rPh>
    <phoneticPr fontId="2"/>
  </si>
  <si>
    <t>・オーダ保存</t>
  </si>
  <si>
    <t>・オーダ保存取消</t>
    <rPh sb="4" eb="6">
      <t>ホゾン</t>
    </rPh>
    <rPh sb="6" eb="8">
      <t>トリケシ</t>
    </rPh>
    <phoneticPr fontId="2"/>
  </si>
  <si>
    <t>未確定</t>
    <rPh sb="0" eb="3">
      <t>ミカクテイ</t>
    </rPh>
    <phoneticPr fontId="2"/>
  </si>
  <si>
    <t>(ﾊﾟﾀﾝ8:未送信の論理削除データのため送信しない)</t>
  </si>
  <si>
    <t>・オーダ保存(再保存)</t>
    <rPh sb="4" eb="6">
      <t>ホゾン</t>
    </rPh>
    <rPh sb="7" eb="10">
      <t>サイホゾン</t>
    </rPh>
    <phoneticPr fontId="2"/>
  </si>
  <si>
    <t>0:有効</t>
    <rPh sb="2" eb="4">
      <t>ユウコウ</t>
    </rPh>
    <phoneticPr fontId="2"/>
  </si>
  <si>
    <t>1:送信済</t>
    <rPh sb="2" eb="4">
      <t>ソウシン</t>
    </rPh>
    <rPh sb="4" eb="5">
      <t>スミ</t>
    </rPh>
    <phoneticPr fontId="2"/>
  </si>
  <si>
    <t>□ 各パタンの一例i: 残打切り</t>
    <rPh sb="12" eb="13">
      <t>ザン</t>
    </rPh>
    <rPh sb="13" eb="15">
      <t>ウチキ</t>
    </rPh>
    <phoneticPr fontId="2"/>
  </si>
  <si>
    <t>・承認着荷(数量80)</t>
    <rPh sb="1" eb="3">
      <t>ショウニン</t>
    </rPh>
    <rPh sb="3" eb="5">
      <t>チャッカ</t>
    </rPh>
    <rPh sb="6" eb="8">
      <t>スウリョウ</t>
    </rPh>
    <phoneticPr fontId="2"/>
  </si>
  <si>
    <t>・回答調整(残数ゼロ(増減-20)に変更)</t>
    <rPh sb="1" eb="3">
      <t>カイトウ</t>
    </rPh>
    <rPh sb="3" eb="5">
      <t>チョウセイ</t>
    </rPh>
    <rPh sb="6" eb="7">
      <t>ザン</t>
    </rPh>
    <rPh sb="7" eb="8">
      <t>スウ</t>
    </rPh>
    <rPh sb="11" eb="13">
      <t>ゾウゲン</t>
    </rPh>
    <rPh sb="18" eb="20">
      <t>ヘンコウ</t>
    </rPh>
    <phoneticPr fontId="2"/>
  </si>
  <si>
    <t>80</t>
  </si>
  <si>
    <t>□ 各パタンの一例h2: 送信後に保存取消(または回答納期クリア)</t>
    <rPh sb="13" eb="15">
      <t>ソウシン</t>
    </rPh>
    <rPh sb="15" eb="16">
      <t>アト</t>
    </rPh>
    <rPh sb="17" eb="19">
      <t>ホゾン</t>
    </rPh>
    <rPh sb="19" eb="20">
      <t>ト</t>
    </rPh>
    <rPh sb="20" eb="21">
      <t>ケ</t>
    </rPh>
    <rPh sb="25" eb="27">
      <t>カイトウ</t>
    </rPh>
    <rPh sb="27" eb="29">
      <t>ノウキ</t>
    </rPh>
    <phoneticPr fontId="2"/>
  </si>
  <si>
    <t>・保存取消</t>
    <rPh sb="1" eb="3">
      <t>ホゾン</t>
    </rPh>
    <rPh sb="3" eb="5">
      <t>トリケシ</t>
    </rPh>
    <phoneticPr fontId="2"/>
  </si>
  <si>
    <t>(ﾊﾟﾀﾝ9:回答削除したため削除送信する)</t>
    <rPh sb="7" eb="9">
      <t>カイトウ</t>
    </rPh>
    <rPh sb="9" eb="11">
      <t>サクジョ</t>
    </rPh>
    <phoneticPr fontId="2"/>
  </si>
  <si>
    <t>7/5</t>
  </si>
  <si>
    <t>・回答納期再入力(回答8/4)</t>
    <rPh sb="1" eb="3">
      <t>カイトウ</t>
    </rPh>
    <rPh sb="3" eb="5">
      <t>ノウキ</t>
    </rPh>
    <rPh sb="5" eb="6">
      <t>サイ</t>
    </rPh>
    <rPh sb="6" eb="8">
      <t>ニュウリョク</t>
    </rPh>
    <phoneticPr fontId="2"/>
  </si>
  <si>
    <t>メイン処理UpdA01</t>
    <rPh sb="3" eb="5">
      <t>ショリ</t>
    </rPh>
    <phoneticPr fontId="2"/>
  </si>
  <si>
    <t>S</t>
  </si>
  <si>
    <t>上り電文</t>
  </si>
  <si>
    <t>前処理</t>
    <rPh sb="0" eb="3">
      <t>マエショリ</t>
    </rPh>
    <phoneticPr fontId="8"/>
  </si>
  <si>
    <t>メッセージID：MAUDL0406</t>
  </si>
  <si>
    <t>2.</t>
  </si>
  <si>
    <t>処理起動</t>
    <rPh sb="0" eb="2">
      <t>ショリ</t>
    </rPh>
    <rPh sb="2" eb="4">
      <t>キドウ</t>
    </rPh>
    <phoneticPr fontId="2"/>
  </si>
  <si>
    <t>起動パラメータ「内外区分」により下記いずれかの処理を実行し、回答用オーダ情報を作成する。</t>
    <rPh sb="0" eb="2">
      <t>キドウ</t>
    </rPh>
    <rPh sb="8" eb="10">
      <t>ナイガイ</t>
    </rPh>
    <rPh sb="10" eb="12">
      <t>クブン</t>
    </rPh>
    <rPh sb="16" eb="18">
      <t>カキ</t>
    </rPh>
    <rPh sb="23" eb="25">
      <t>ショリ</t>
    </rPh>
    <rPh sb="26" eb="28">
      <t>ジッコウ</t>
    </rPh>
    <rPh sb="30" eb="32">
      <t>カイトウ</t>
    </rPh>
    <rPh sb="32" eb="33">
      <t>ヨウ</t>
    </rPh>
    <rPh sb="36" eb="38">
      <t>ジョウホウ</t>
    </rPh>
    <rPh sb="39" eb="41">
      <t>サクセイ</t>
    </rPh>
    <phoneticPr fontId="2"/>
  </si>
  <si>
    <t>＜実行処理名＞</t>
    <rPh sb="1" eb="3">
      <t>ジッコウ</t>
    </rPh>
    <rPh sb="3" eb="5">
      <t>ショリ</t>
    </rPh>
    <rPh sb="5" eb="6">
      <t>メイ</t>
    </rPh>
    <phoneticPr fontId="2"/>
  </si>
  <si>
    <t>起動パラメータ「内外区分」=国内(定数)の場合</t>
    <rPh sb="0" eb="2">
      <t>キドウ</t>
    </rPh>
    <rPh sb="8" eb="10">
      <t>ナイガイ</t>
    </rPh>
    <rPh sb="10" eb="12">
      <t>クブン</t>
    </rPh>
    <rPh sb="14" eb="16">
      <t>コクナイ</t>
    </rPh>
    <rPh sb="17" eb="19">
      <t>テイスウ</t>
    </rPh>
    <rPh sb="21" eb="23">
      <t>バアイ</t>
    </rPh>
    <phoneticPr fontId="2"/>
  </si>
  <si>
    <t>⇒3.納期回答作成処理(国内) を行う</t>
    <rPh sb="3" eb="5">
      <t>ノウキ</t>
    </rPh>
    <rPh sb="5" eb="7">
      <t>カイトウ</t>
    </rPh>
    <rPh sb="7" eb="9">
      <t>サクセイ</t>
    </rPh>
    <rPh sb="9" eb="11">
      <t>ショリ</t>
    </rPh>
    <rPh sb="12" eb="14">
      <t>コクナイ</t>
    </rPh>
    <rPh sb="17" eb="18">
      <t>オコナ</t>
    </rPh>
    <phoneticPr fontId="2"/>
  </si>
  <si>
    <t>MSPAA_IF_PLNORD.P_UPD_PLN_ORD_DM</t>
  </si>
  <si>
    <t>起動パラメータ「内外区分」=海外(定数)の場合</t>
    <rPh sb="0" eb="2">
      <t>キドウ</t>
    </rPh>
    <rPh sb="8" eb="10">
      <t>ナイガイ</t>
    </rPh>
    <rPh sb="10" eb="12">
      <t>クブン</t>
    </rPh>
    <rPh sb="14" eb="16">
      <t>カイガイ</t>
    </rPh>
    <rPh sb="17" eb="19">
      <t>テイスウ</t>
    </rPh>
    <rPh sb="21" eb="23">
      <t>バアイ</t>
    </rPh>
    <phoneticPr fontId="2"/>
  </si>
  <si>
    <t>⇒4.納期回答作成処理(海外) を行う</t>
    <rPh sb="3" eb="5">
      <t>ノウキ</t>
    </rPh>
    <rPh sb="5" eb="7">
      <t>カイトウ</t>
    </rPh>
    <rPh sb="7" eb="9">
      <t>サクセイ</t>
    </rPh>
    <rPh sb="9" eb="11">
      <t>ショリ</t>
    </rPh>
    <rPh sb="12" eb="14">
      <t>カイガイ</t>
    </rPh>
    <rPh sb="17" eb="18">
      <t>オコナ</t>
    </rPh>
    <phoneticPr fontId="2"/>
  </si>
  <si>
    <t>MSPAA_IF_PLNORD.P_UPD_PLN_ORD_FR</t>
  </si>
  <si>
    <t>起動パラメータ「内外区分」=NULLの場合</t>
    <rPh sb="0" eb="2">
      <t>キドウ</t>
    </rPh>
    <rPh sb="8" eb="10">
      <t>ナイガイ</t>
    </rPh>
    <rPh sb="10" eb="12">
      <t>クブン</t>
    </rPh>
    <rPh sb="19" eb="21">
      <t>バアイ</t>
    </rPh>
    <phoneticPr fontId="2"/>
  </si>
  <si>
    <t>＜起動パラメータ＞</t>
    <rPh sb="1" eb="3">
      <t>キドウ</t>
    </rPh>
    <phoneticPr fontId="2"/>
  </si>
  <si>
    <t>対象年月TO</t>
    <rPh sb="0" eb="2">
      <t>タイショウ</t>
    </rPh>
    <rPh sb="2" eb="4">
      <t>ネンゲツ</t>
    </rPh>
    <phoneticPr fontId="2"/>
  </si>
  <si>
    <t>:起動パラメータ「基準年月」＋ｎヵ月</t>
    <rPh sb="1" eb="3">
      <t>キドウ</t>
    </rPh>
    <rPh sb="9" eb="11">
      <t>キジュン</t>
    </rPh>
    <rPh sb="11" eb="13">
      <t>ネンゲツ</t>
    </rPh>
    <rPh sb="17" eb="18">
      <t>ゲツ</t>
    </rPh>
    <phoneticPr fontId="2"/>
  </si>
  <si>
    <t>※</t>
  </si>
  <si>
    <t>ｎは内外区分別に汎用マスタより取得</t>
    <rPh sb="2" eb="4">
      <t>ナイガイ</t>
    </rPh>
    <rPh sb="4" eb="6">
      <t>クブン</t>
    </rPh>
    <rPh sb="6" eb="7">
      <t>ベツ</t>
    </rPh>
    <rPh sb="8" eb="10">
      <t>ハンヨウ</t>
    </rPh>
    <rPh sb="15" eb="17">
      <t>シュトク</t>
    </rPh>
    <phoneticPr fontId="2"/>
  </si>
  <si>
    <t>【汎用マスタ】</t>
    <rPh sb="1" eb="3">
      <t>ハンヨウ</t>
    </rPh>
    <phoneticPr fontId="2"/>
  </si>
  <si>
    <t>国内の場合、nの取得方法</t>
    <rPh sb="0" eb="2">
      <t>コクナイ</t>
    </rPh>
    <rPh sb="3" eb="5">
      <t>バアイ</t>
    </rPh>
    <rPh sb="8" eb="10">
      <t>シュトク</t>
    </rPh>
    <rPh sb="10" eb="12">
      <t>ホウホウ</t>
    </rPh>
    <phoneticPr fontId="2"/>
  </si>
  <si>
    <t>getGpNum(msgList,1,false, MAC_GP_GRP_TYP.OIF_P.key())</t>
  </si>
  <si>
    <t>海外の場合、nの取得方法</t>
    <rPh sb="0" eb="2">
      <t>カイガイ</t>
    </rPh>
    <rPh sb="3" eb="5">
      <t>バアイ</t>
    </rPh>
    <rPh sb="8" eb="10">
      <t>シュトク</t>
    </rPh>
    <rPh sb="10" eb="12">
      <t>ホウホウ</t>
    </rPh>
    <phoneticPr fontId="2"/>
  </si>
  <si>
    <t>getGpNum(msgList,2,false, MAC_GP_GRP_TYP.OIF_P.key())</t>
  </si>
  <si>
    <t>ワーキンググループCD</t>
  </si>
  <si>
    <t>:起動パラメータ「ワーキンググループCD」</t>
    <rPh sb="1" eb="3">
      <t>キドウ</t>
    </rPh>
    <phoneticPr fontId="2"/>
  </si>
  <si>
    <t>＜戻りパラメータ＞</t>
    <rPh sb="1" eb="2">
      <t>モド</t>
    </rPh>
    <phoneticPr fontId="2"/>
  </si>
  <si>
    <t>正常処理件数を作成処理の戻り値として終了ログに件数セットする。</t>
    <rPh sb="0" eb="2">
      <t>セイジョウ</t>
    </rPh>
    <rPh sb="2" eb="4">
      <t>ショリ</t>
    </rPh>
    <rPh sb="4" eb="6">
      <t>ケンスウ</t>
    </rPh>
    <rPh sb="7" eb="9">
      <t>サクセイ</t>
    </rPh>
    <rPh sb="9" eb="11">
      <t>ショリ</t>
    </rPh>
    <rPh sb="12" eb="13">
      <t>モド</t>
    </rPh>
    <rPh sb="14" eb="15">
      <t>チ</t>
    </rPh>
    <rPh sb="18" eb="20">
      <t>シュウリョウ</t>
    </rPh>
    <rPh sb="23" eb="25">
      <t>ケンスウ</t>
    </rPh>
    <phoneticPr fontId="2"/>
  </si>
  <si>
    <t>setCnt(正常処理件数,正常処理件数,0,0);</t>
    <rPh sb="7" eb="9">
      <t>セイジョウ</t>
    </rPh>
    <rPh sb="9" eb="11">
      <t>ショリ</t>
    </rPh>
    <rPh sb="11" eb="13">
      <t>ケンスウ</t>
    </rPh>
    <phoneticPr fontId="2"/>
  </si>
  <si>
    <t>3.</t>
  </si>
  <si>
    <t>後処理</t>
    <rPh sb="0" eb="3">
      <t>アトショリ</t>
    </rPh>
    <phoneticPr fontId="2"/>
  </si>
  <si>
    <t>終了メッセージのログ出力を行う。　※共通処理方式に準拠する。</t>
    <rPh sb="0" eb="2">
      <t>シュウリョウ</t>
    </rPh>
    <rPh sb="10" eb="12">
      <t>シュツリョク</t>
    </rPh>
    <rPh sb="13" eb="14">
      <t>オコナ</t>
    </rPh>
    <phoneticPr fontId="2"/>
  </si>
  <si>
    <t>メッセージID:MAUDLA0001</t>
  </si>
  <si>
    <t xml:space="preserve">処理概要  </t>
  </si>
  <si>
    <t>:納期回答作成処理(国内)　PLSQL(MSPAA_IF_PLNORD.P_UPD_PLN_ORD_DM)</t>
    <rPh sb="1" eb="3">
      <t>ノウキ</t>
    </rPh>
    <rPh sb="3" eb="5">
      <t>カイトウ</t>
    </rPh>
    <rPh sb="5" eb="7">
      <t>サクセイ</t>
    </rPh>
    <rPh sb="7" eb="9">
      <t>ショリ</t>
    </rPh>
    <rPh sb="10" eb="12">
      <t>コクナイ</t>
    </rPh>
    <phoneticPr fontId="2"/>
  </si>
  <si>
    <t>＜起動パラメータ＞</t>
  </si>
  <si>
    <t>処理対象とする入庫要望の期間範囲を指定する。</t>
    <rPh sb="0" eb="2">
      <t>ショリ</t>
    </rPh>
    <rPh sb="2" eb="4">
      <t>タイショウ</t>
    </rPh>
    <rPh sb="7" eb="9">
      <t>ニュウコ</t>
    </rPh>
    <rPh sb="9" eb="11">
      <t>ヨウボウ</t>
    </rPh>
    <rPh sb="12" eb="14">
      <t>キカン</t>
    </rPh>
    <rPh sb="14" eb="16">
      <t>ハンイ</t>
    </rPh>
    <rPh sb="17" eb="19">
      <t>シテイ</t>
    </rPh>
    <phoneticPr fontId="2"/>
  </si>
  <si>
    <t>「入庫要望NO」の前方6文字 ≦ 「対象年月TO」　の入庫要望に対するオーダが処理対象となる。</t>
    <rPh sb="1" eb="3">
      <t>ニュウコ</t>
    </rPh>
    <rPh sb="3" eb="5">
      <t>ヨウボウ</t>
    </rPh>
    <rPh sb="9" eb="11">
      <t>ゼンポウ</t>
    </rPh>
    <rPh sb="12" eb="14">
      <t>モジ</t>
    </rPh>
    <rPh sb="18" eb="20">
      <t>タイショウ</t>
    </rPh>
    <rPh sb="20" eb="22">
      <t>ネンゲツ</t>
    </rPh>
    <rPh sb="27" eb="29">
      <t>ニュウコ</t>
    </rPh>
    <rPh sb="29" eb="31">
      <t>ヨウボウ</t>
    </rPh>
    <rPh sb="32" eb="33">
      <t>タイ</t>
    </rPh>
    <rPh sb="39" eb="41">
      <t>ショリ</t>
    </rPh>
    <rPh sb="41" eb="43">
      <t>タイショウ</t>
    </rPh>
    <phoneticPr fontId="2"/>
  </si>
  <si>
    <t>処理対象とするワーキンググループCDを指定する。未指定の場合はすべてのワーキンググループCDを対象とする。</t>
    <rPh sb="0" eb="2">
      <t>ショリ</t>
    </rPh>
    <rPh sb="2" eb="4">
      <t>タイショウ</t>
    </rPh>
    <rPh sb="19" eb="21">
      <t>シテイ</t>
    </rPh>
    <rPh sb="24" eb="27">
      <t>ミシテイ</t>
    </rPh>
    <rPh sb="28" eb="30">
      <t>バアイ</t>
    </rPh>
    <rPh sb="47" eb="49">
      <t>タイショウ</t>
    </rPh>
    <phoneticPr fontId="2"/>
  </si>
  <si>
    <t>前処理</t>
    <rPh sb="0" eb="3">
      <t>マエショリ</t>
    </rPh>
    <phoneticPr fontId="2"/>
  </si>
  <si>
    <t>更新フラグがオン(1)の国内回答用オーダ情報について、更新フラグをオフ(0)に更新する。</t>
    <rPh sb="39" eb="41">
      <t>コウシン</t>
    </rPh>
    <phoneticPr fontId="2"/>
  </si>
  <si>
    <t>■更新対象テーブル</t>
    <rPh sb="1" eb="3">
      <t>コウシン</t>
    </rPh>
    <rPh sb="3" eb="5">
      <t>タイショウ</t>
    </rPh>
    <phoneticPr fontId="2"/>
  </si>
  <si>
    <t>国内回答用オーダ情報　T1</t>
  </si>
  <si>
    <t>■更新項目</t>
    <rPh sb="1" eb="3">
      <t>コウシン</t>
    </rPh>
    <rPh sb="3" eb="5">
      <t>コウモク</t>
    </rPh>
    <phoneticPr fontId="2"/>
  </si>
  <si>
    <t>T1.更新フラグ ⇐ '0'</t>
  </si>
  <si>
    <t>■更新条件</t>
    <rPh sb="1" eb="3">
      <t>コウシン</t>
    </rPh>
    <rPh sb="3" eb="5">
      <t>ジョウケン</t>
    </rPh>
    <phoneticPr fontId="2"/>
  </si>
  <si>
    <t>T1.ワーキンググループCD = NVL(パラメータ.ワーキンググループCD, T1.ワーキンググループCD)</t>
  </si>
  <si>
    <t>AND    T1.更新フラグ = '1'</t>
  </si>
  <si>
    <t>処理対象オーダ取得</t>
    <rPh sb="0" eb="2">
      <t>ショリ</t>
    </rPh>
    <rPh sb="2" eb="4">
      <t>タイショウ</t>
    </rPh>
    <rPh sb="7" eb="9">
      <t>シュトク</t>
    </rPh>
    <phoneticPr fontId="2"/>
  </si>
  <si>
    <t>【品目オーダ情報】【国内回答用オーダ情報】のいずれか一方が存在するオーダを取得する。</t>
  </si>
  <si>
    <t>&lt;品目オーダ情報取得&gt;</t>
    <rPh sb="8" eb="10">
      <t>シュトク</t>
    </rPh>
    <phoneticPr fontId="2"/>
  </si>
  <si>
    <t>■取得対象テーブル</t>
  </si>
  <si>
    <t>品目オーダ情報</t>
    <rPh sb="0" eb="2">
      <t>ヒンモク</t>
    </rPh>
    <rPh sb="5" eb="7">
      <t>ジョウホウ</t>
    </rPh>
    <phoneticPr fontId="2"/>
  </si>
  <si>
    <t>T1</t>
  </si>
  <si>
    <t>日次生産依頼情報</t>
    <rPh sb="0" eb="2">
      <t>ニチジ</t>
    </rPh>
    <rPh sb="2" eb="4">
      <t>セイサン</t>
    </rPh>
    <rPh sb="4" eb="6">
      <t>イライ</t>
    </rPh>
    <rPh sb="6" eb="8">
      <t>ジョウホウ</t>
    </rPh>
    <phoneticPr fontId="2"/>
  </si>
  <si>
    <t>T2</t>
  </si>
  <si>
    <t>INNER JOIN T2.手配ＮＯ１   = T1.手配ＮＯ１</t>
  </si>
  <si>
    <t>品目マスタ</t>
  </si>
  <si>
    <t>T3</t>
  </si>
  <si>
    <t>INNER JOIN T3.品目ＣＤ = T1.品目ＣＤ</t>
    <rPh sb="14" eb="16">
      <t>ヒンモク</t>
    </rPh>
    <rPh sb="24" eb="26">
      <t>ヒンモク</t>
    </rPh>
    <phoneticPr fontId="2"/>
  </si>
  <si>
    <t>AND T3.枝番１ = T1.枝番１</t>
    <rPh sb="7" eb="8">
      <t>エダ</t>
    </rPh>
    <rPh sb="16" eb="18">
      <t>エダバン</t>
    </rPh>
    <phoneticPr fontId="2"/>
  </si>
  <si>
    <t>AND T3.枝番２ = T1.枝番２</t>
    <rPh sb="7" eb="8">
      <t>エダ</t>
    </rPh>
    <rPh sb="16" eb="18">
      <t>エダバン</t>
    </rPh>
    <phoneticPr fontId="2"/>
  </si>
  <si>
    <t>AND T3.枝番３ = T1.枝番３</t>
    <rPh sb="7" eb="8">
      <t>エダ</t>
    </rPh>
    <rPh sb="16" eb="18">
      <t>エダバン</t>
    </rPh>
    <phoneticPr fontId="2"/>
  </si>
  <si>
    <t>緊急出荷情報</t>
  </si>
  <si>
    <t>T4</t>
  </si>
  <si>
    <t>LEFT JOIN T4.品目オーダNO   = T1.品目オーダNO</t>
  </si>
  <si>
    <t xml:space="preserve">    (下記サブクエリ)</t>
    <rPh sb="5" eb="7">
      <t>カキ</t>
    </rPh>
    <phoneticPr fontId="2"/>
  </si>
  <si>
    <t>■取得対象テーブル</t>
    <rPh sb="1" eb="3">
      <t>シュトク</t>
    </rPh>
    <rPh sb="3" eb="5">
      <t>タイショウ</t>
    </rPh>
    <phoneticPr fontId="2"/>
  </si>
  <si>
    <t>出荷実績明細</t>
  </si>
  <si>
    <t>W</t>
  </si>
  <si>
    <t>WHERE</t>
  </si>
  <si>
    <t>W.取消ＦＬＧ</t>
  </si>
  <si>
    <t>= '0'</t>
  </si>
  <si>
    <t>AND</t>
  </si>
  <si>
    <t>W.緊急出荷ＦＬＧ</t>
  </si>
  <si>
    <t>= '1'</t>
  </si>
  <si>
    <t>GROUP BY</t>
  </si>
  <si>
    <t>W.予備３</t>
  </si>
  <si>
    <t>■項目編集</t>
    <rPh sb="1" eb="3">
      <t>コウモク</t>
    </rPh>
    <rPh sb="3" eb="5">
      <t>ヘンシュウ</t>
    </rPh>
    <phoneticPr fontId="2"/>
  </si>
  <si>
    <t>設定値</t>
    <rPh sb="0" eb="2">
      <t>セッテイ</t>
    </rPh>
    <rPh sb="2" eb="3">
      <t>アタイ</t>
    </rPh>
    <phoneticPr fontId="2"/>
  </si>
  <si>
    <t>緊急出荷数量</t>
    <rPh sb="0" eb="2">
      <t>キンキュウ</t>
    </rPh>
    <rPh sb="2" eb="4">
      <t>シュッカ</t>
    </rPh>
    <rPh sb="4" eb="6">
      <t>スウリョウ</t>
    </rPh>
    <phoneticPr fontId="2"/>
  </si>
  <si>
    <t>SUM(W.基準単位数量)</t>
  </si>
  <si>
    <t>T6</t>
  </si>
  <si>
    <t>LEFT JOIN T6.品目オーダNO   = T1.品目オーダNO</t>
  </si>
  <si>
    <t>汎用マスタ</t>
  </si>
  <si>
    <t>T9</t>
  </si>
  <si>
    <t>LEFT JOIN T9.汎用分類ＣＤ   = 'OIF_P'</t>
  </si>
  <si>
    <t>T2入庫要望区分  LIKE 入庫要望区分.国内 || '%'</t>
    <rPh sb="22" eb="24">
      <t>コクナイ</t>
    </rPh>
    <phoneticPr fontId="2"/>
  </si>
  <si>
    <t>T1.手配ＮＯ１   &lt;&gt; 文字列用定数.ＮＵＬＬ文字</t>
  </si>
  <si>
    <t>SUBSTR(T1.手配ＮＯ１,1,6)  &lt;=  TO_CHAR(パラメータ.対象年月TO,'YYYYMM')</t>
    <rPh sb="40" eb="42">
      <t>タイショウ</t>
    </rPh>
    <rPh sb="42" eb="44">
      <t>ネンゲツ</t>
    </rPh>
    <phoneticPr fontId="2"/>
  </si>
  <si>
    <t>T1.オーダ区分 IN (オーダ区分.製造, オーダ区分.購買, オーダ区分.外注)</t>
    <rPh sb="29" eb="31">
      <t>コウバイ</t>
    </rPh>
    <rPh sb="39" eb="41">
      <t>ガイチュウ</t>
    </rPh>
    <phoneticPr fontId="2"/>
  </si>
  <si>
    <t xml:space="preserve">AND  </t>
  </si>
  <si>
    <t>(T3.品目区分   IN (T9.文字列１, T9.文字列２, T9.文字列３)</t>
  </si>
  <si>
    <t>OR (T9.文字列１ IS NULL AND T9.文字列２ IS NULL AND T9.文字列３ IS NULL))</t>
  </si>
  <si>
    <t>(T1.回答納期 &gt; 運用日付 - T9.数量３</t>
    <rPh sb="11" eb="13">
      <t>ウンヨウ</t>
    </rPh>
    <rPh sb="13" eb="15">
      <t>ヒヅケ</t>
    </rPh>
    <rPh sb="21" eb="23">
      <t>スウリョウ</t>
    </rPh>
    <phoneticPr fontId="2"/>
  </si>
  <si>
    <t>OR T1.回答納期 IS NULL</t>
  </si>
  <si>
    <t>OR T9.数量３ IS NULL）</t>
  </si>
  <si>
    <t>T1.品目オーダNO</t>
  </si>
  <si>
    <t>T1.品目ＣＤ</t>
  </si>
  <si>
    <t>T1.枝番１</t>
  </si>
  <si>
    <t>T1.枝番２</t>
  </si>
  <si>
    <t>T1.枝番３</t>
  </si>
  <si>
    <t>T1.製造場所ＣＤ</t>
  </si>
  <si>
    <t>T1.ワーキンググループＣＤ</t>
  </si>
  <si>
    <t>回答数量</t>
  </si>
  <si>
    <t>T1.出来高予定数量 + T1.増減数量 - T4.緊急出荷数量</t>
  </si>
  <si>
    <t>※計算結果＜０の場合、回答数量を０にする</t>
    <rPh sb="1" eb="3">
      <t>ケイサン</t>
    </rPh>
    <rPh sb="3" eb="5">
      <t>ケッカ</t>
    </rPh>
    <rPh sb="8" eb="10">
      <t>バアイ</t>
    </rPh>
    <rPh sb="11" eb="13">
      <t>カイトウ</t>
    </rPh>
    <rPh sb="13" eb="15">
      <t>スウリョウ</t>
    </rPh>
    <phoneticPr fontId="2"/>
  </si>
  <si>
    <t>T1.製造着手予定日</t>
  </si>
  <si>
    <t>T1.製造終了予定日</t>
  </si>
  <si>
    <t>T1.格納完了予定日</t>
  </si>
  <si>
    <t>使用可能予定日(回答納期)</t>
  </si>
  <si>
    <t>T1.回答納期</t>
  </si>
  <si>
    <t>ファンクション：回答用オーダ状況区分取得</t>
    <rPh sb="18" eb="20">
      <t>シュトク</t>
    </rPh>
    <phoneticPr fontId="2"/>
  </si>
  <si>
    <t>パラメータ：</t>
  </si>
  <si>
    <t>T1.品目オーダ状況区分</t>
  </si>
  <si>
    <t>T1.回答納期</t>
    <rPh sb="3" eb="5">
      <t>カイトウ</t>
    </rPh>
    <rPh sb="5" eb="7">
      <t>ノウキ</t>
    </rPh>
    <phoneticPr fontId="2"/>
  </si>
  <si>
    <t>T1.オーダ区分</t>
  </si>
  <si>
    <t>T1.出来高実績数量（入荷・出来高）</t>
  </si>
  <si>
    <t>※5.回答用オーダ状況区分取得参考する</t>
  </si>
  <si>
    <t>T1.手配ＮＯ１</t>
  </si>
  <si>
    <t>T2.入庫要望区分</t>
  </si>
  <si>
    <t>回答_品目オーダNO</t>
  </si>
  <si>
    <t>T6.品目オーダNO</t>
  </si>
  <si>
    <t>回答_品目ＣＤ</t>
  </si>
  <si>
    <t>T6.品目ＣＤ</t>
  </si>
  <si>
    <t>回答_枝番１</t>
  </si>
  <si>
    <t>T6.枝番１</t>
  </si>
  <si>
    <t>回答_枝番２</t>
  </si>
  <si>
    <t>T6.枝番２</t>
  </si>
  <si>
    <t>回答_枝番３</t>
  </si>
  <si>
    <t>T6.枝番３</t>
  </si>
  <si>
    <t>回答_製造場所ＣＤ</t>
  </si>
  <si>
    <t>T6.製造場所ＣＤ</t>
  </si>
  <si>
    <t>回答_ワーキンググループＣＤ</t>
  </si>
  <si>
    <t>T6.ワーキンググループＣＤ</t>
  </si>
  <si>
    <t>回答_製造予定数量</t>
  </si>
  <si>
    <t>T6.製造予定数量</t>
  </si>
  <si>
    <t>回答_製造着手予定日</t>
  </si>
  <si>
    <t>T6.製造着手予定日</t>
  </si>
  <si>
    <t>回答_製造終了予定日</t>
  </si>
  <si>
    <t>T6.製造終了予定日</t>
  </si>
  <si>
    <t>回答_格納完了予定日</t>
  </si>
  <si>
    <t>T6.格納完了予定日</t>
  </si>
  <si>
    <t>回答_使用可能予定日</t>
  </si>
  <si>
    <t>T6.使用可能予定日</t>
  </si>
  <si>
    <t>回答_回答用オーダ状況区分</t>
  </si>
  <si>
    <t>T6.回答用オーダ状況区分</t>
  </si>
  <si>
    <t>回答_手配NO１</t>
  </si>
  <si>
    <t>T6.手配NO１</t>
  </si>
  <si>
    <t>回答_入庫要望区分</t>
  </si>
  <si>
    <t>T6.入庫要望区分</t>
  </si>
  <si>
    <t>回答_論理削除ＦＬＧ</t>
  </si>
  <si>
    <t>T6.論理削除ＦＬＧ</t>
  </si>
  <si>
    <t>回答_回答納期送信済ＦＬＧ</t>
  </si>
  <si>
    <t>T6.回答納期送信済ＦＬＧ</t>
  </si>
  <si>
    <t>UNION　ALL</t>
  </si>
  <si>
    <t>&lt;国内回答用オーダ情報取得&gt;</t>
    <rPh sb="1" eb="3">
      <t>コクナイ</t>
    </rPh>
    <rPh sb="3" eb="5">
      <t>カイトウ</t>
    </rPh>
    <rPh sb="5" eb="6">
      <t>ヨウ</t>
    </rPh>
    <rPh sb="9" eb="11">
      <t>ジョウホウ</t>
    </rPh>
    <rPh sb="11" eb="13">
      <t>シュトク</t>
    </rPh>
    <phoneticPr fontId="2"/>
  </si>
  <si>
    <t>T6.削除フラグ = '0'</t>
    <rPh sb="3" eb="5">
      <t>サクジョ</t>
    </rPh>
    <phoneticPr fontId="2"/>
  </si>
  <si>
    <t>T1.品目オーダNO　IS NULL</t>
    <rPh sb="3" eb="5">
      <t>ヒンモク</t>
    </rPh>
    <phoneticPr fontId="2"/>
  </si>
  <si>
    <t>NULL</t>
  </si>
  <si>
    <t>回答用オーダ情報作成</t>
    <rPh sb="0" eb="2">
      <t>カイトウ</t>
    </rPh>
    <rPh sb="2" eb="3">
      <t>ヨウ</t>
    </rPh>
    <rPh sb="6" eb="8">
      <t>ジョウホウ</t>
    </rPh>
    <rPh sb="8" eb="10">
      <t>サクセイ</t>
    </rPh>
    <phoneticPr fontId="2"/>
  </si>
  <si>
    <t>下記条件に従い、回答用オーダ情報の追加/更新/論理削除1のいずれかの処理、および論理削除2を行う。</t>
  </si>
  <si>
    <t>【国内回答用オーダ情報】</t>
  </si>
  <si>
    <t>2の検索結果を行(L_REC)毎に下記の処理を行う</t>
    <rPh sb="2" eb="4">
      <t>ケンサク</t>
    </rPh>
    <rPh sb="4" eb="6">
      <t>ケッカ</t>
    </rPh>
    <rPh sb="7" eb="8">
      <t>ギョウ</t>
    </rPh>
    <rPh sb="15" eb="16">
      <t>ゴト</t>
    </rPh>
    <rPh sb="17" eb="19">
      <t>カキ</t>
    </rPh>
    <rPh sb="20" eb="22">
      <t>ショリ</t>
    </rPh>
    <rPh sb="23" eb="24">
      <t>オコナ</t>
    </rPh>
    <phoneticPr fontId="2"/>
  </si>
  <si>
    <t>条件</t>
    <rPh sb="0" eb="2">
      <t>ジョウケン</t>
    </rPh>
    <phoneticPr fontId="35"/>
  </si>
  <si>
    <t>追加</t>
  </si>
  <si>
    <t>新たに回答送信対象となったオーダ</t>
    <rPh sb="0" eb="1">
      <t>アラ</t>
    </rPh>
    <rPh sb="3" eb="5">
      <t>カイトウ</t>
    </rPh>
    <rPh sb="5" eb="7">
      <t>ソウシン</t>
    </rPh>
    <rPh sb="7" eb="9">
      <t>タイショウ</t>
    </rPh>
    <phoneticPr fontId="35"/>
  </si>
  <si>
    <t>【更新入出力仕様】シート</t>
  </si>
  <si>
    <t>L_REC.回答_品目オーダNO IS NULL</t>
  </si>
  <si>
    <t>No「1」を参照</t>
  </si>
  <si>
    <t>L_REC.回答用オーダ状況区分 &lt;&gt; 未確定</t>
  </si>
  <si>
    <t>L_REC.回答数量 &lt;&gt; 0</t>
  </si>
  <si>
    <t>更新</t>
    <rPh sb="0" eb="2">
      <t>コウシン</t>
    </rPh>
    <phoneticPr fontId="35"/>
  </si>
  <si>
    <t>回答送信データ作成済みであるが、内容が変わったオーダ</t>
    <rPh sb="0" eb="2">
      <t>カイトウ</t>
    </rPh>
    <rPh sb="2" eb="4">
      <t>ソウシン</t>
    </rPh>
    <rPh sb="7" eb="9">
      <t>サクセイ</t>
    </rPh>
    <rPh sb="9" eb="10">
      <t>ズ</t>
    </rPh>
    <rPh sb="16" eb="18">
      <t>ナイヨウ</t>
    </rPh>
    <rPh sb="19" eb="20">
      <t>カ</t>
    </rPh>
    <phoneticPr fontId="35"/>
  </si>
  <si>
    <t>L_REC.回答_品目オーダNO IS NOT NULL</t>
  </si>
  <si>
    <t>No「2」を参照</t>
  </si>
  <si>
    <t>下記条件のいずれか</t>
    <rPh sb="0" eb="2">
      <t>カキ</t>
    </rPh>
    <rPh sb="2" eb="4">
      <t>ジョウケン</t>
    </rPh>
    <phoneticPr fontId="35"/>
  </si>
  <si>
    <t>L_REC.回答用オーダ状況区分</t>
    <rPh sb="6" eb="8">
      <t>カイトウ</t>
    </rPh>
    <rPh sb="8" eb="9">
      <t>ヨウ</t>
    </rPh>
    <rPh sb="12" eb="14">
      <t>ジョウキョウ</t>
    </rPh>
    <rPh sb="14" eb="16">
      <t>クブン</t>
    </rPh>
    <phoneticPr fontId="35"/>
  </si>
  <si>
    <t>&lt;&gt; L_REC.回答_回答用オーダ状況区分</t>
    <rPh sb="12" eb="14">
      <t>カイトウ</t>
    </rPh>
    <rPh sb="14" eb="15">
      <t>ヨウ</t>
    </rPh>
    <phoneticPr fontId="1"/>
  </si>
  <si>
    <t>L_REC.回答数量</t>
    <rPh sb="6" eb="8">
      <t>カイトウ</t>
    </rPh>
    <rPh sb="8" eb="10">
      <t>スウリョウ</t>
    </rPh>
    <phoneticPr fontId="35"/>
  </si>
  <si>
    <t>&lt;&gt; L_REC.回答_製造予定数量</t>
    <rPh sb="12" eb="14">
      <t>セイゾウ</t>
    </rPh>
    <rPh sb="14" eb="16">
      <t>ヨテイ</t>
    </rPh>
    <rPh sb="16" eb="18">
      <t>スウリョウ</t>
    </rPh>
    <phoneticPr fontId="1"/>
  </si>
  <si>
    <t>L_REC.回答納期</t>
    <rPh sb="6" eb="8">
      <t>カイトウ</t>
    </rPh>
    <rPh sb="8" eb="10">
      <t>ノウキ</t>
    </rPh>
    <phoneticPr fontId="35"/>
  </si>
  <si>
    <t>&lt;&gt; L_REC.回答_使用可能予定日</t>
    <rPh sb="12" eb="14">
      <t>シヨウ</t>
    </rPh>
    <rPh sb="14" eb="16">
      <t>カノウ</t>
    </rPh>
    <rPh sb="16" eb="18">
      <t>ヨテイ</t>
    </rPh>
    <rPh sb="18" eb="19">
      <t>ビ</t>
    </rPh>
    <phoneticPr fontId="1"/>
  </si>
  <si>
    <t>L_REC.製造着手予定日</t>
    <rPh sb="6" eb="8">
      <t>セイゾウ</t>
    </rPh>
    <rPh sb="8" eb="10">
      <t>チャクシュ</t>
    </rPh>
    <rPh sb="10" eb="12">
      <t>ヨテイ</t>
    </rPh>
    <rPh sb="12" eb="13">
      <t>ビ</t>
    </rPh>
    <phoneticPr fontId="35"/>
  </si>
  <si>
    <t>&lt;&gt; L_REC.回答_製造着手予定日</t>
    <rPh sb="12" eb="14">
      <t>セイゾウ</t>
    </rPh>
    <rPh sb="14" eb="16">
      <t>チャクシュ</t>
    </rPh>
    <rPh sb="16" eb="18">
      <t>ヨテイ</t>
    </rPh>
    <rPh sb="18" eb="19">
      <t>ビ</t>
    </rPh>
    <phoneticPr fontId="1"/>
  </si>
  <si>
    <t>L_REC.製造終了予定日</t>
    <rPh sb="6" eb="8">
      <t>セイゾウ</t>
    </rPh>
    <rPh sb="8" eb="10">
      <t>シュウリョウ</t>
    </rPh>
    <rPh sb="10" eb="12">
      <t>ヨテイ</t>
    </rPh>
    <rPh sb="12" eb="13">
      <t>ビ</t>
    </rPh>
    <phoneticPr fontId="35"/>
  </si>
  <si>
    <t>&lt;&gt; L_REC.回答_製造終了予定日</t>
    <rPh sb="12" eb="14">
      <t>セイゾウ</t>
    </rPh>
    <rPh sb="14" eb="16">
      <t>シュウリョウ</t>
    </rPh>
    <rPh sb="16" eb="18">
      <t>ヨテイ</t>
    </rPh>
    <rPh sb="18" eb="19">
      <t>ビ</t>
    </rPh>
    <phoneticPr fontId="1"/>
  </si>
  <si>
    <t>L_REC.格納完了予定日</t>
    <rPh sb="6" eb="8">
      <t>カクノウ</t>
    </rPh>
    <rPh sb="8" eb="10">
      <t>カンリョウ</t>
    </rPh>
    <rPh sb="10" eb="12">
      <t>ヨテイ</t>
    </rPh>
    <rPh sb="12" eb="13">
      <t>ビ</t>
    </rPh>
    <phoneticPr fontId="35"/>
  </si>
  <si>
    <t>&lt;&gt; L_REC.回答_格納完了予定日</t>
    <rPh sb="12" eb="14">
      <t>カクノウ</t>
    </rPh>
    <rPh sb="14" eb="16">
      <t>カンリョウ</t>
    </rPh>
    <rPh sb="16" eb="18">
      <t>ヨテイ</t>
    </rPh>
    <rPh sb="18" eb="19">
      <t>ビ</t>
    </rPh>
    <phoneticPr fontId="1"/>
  </si>
  <si>
    <t>L_REC.製造場所CD</t>
    <rPh sb="6" eb="8">
      <t>セイゾウ</t>
    </rPh>
    <rPh sb="8" eb="10">
      <t>バショ</t>
    </rPh>
    <phoneticPr fontId="35"/>
  </si>
  <si>
    <t>&lt;&gt; L_REC.回答_製造場所CD</t>
    <rPh sb="12" eb="14">
      <t>セイゾウ</t>
    </rPh>
    <rPh sb="14" eb="16">
      <t>バショ</t>
    </rPh>
    <phoneticPr fontId="1"/>
  </si>
  <si>
    <t>L_REC.手配NO１</t>
    <rPh sb="6" eb="8">
      <t>テハイ</t>
    </rPh>
    <phoneticPr fontId="35"/>
  </si>
  <si>
    <t>&lt;&gt; L_REC.回答_手配NO１</t>
    <rPh sb="12" eb="14">
      <t>テハイ</t>
    </rPh>
    <phoneticPr fontId="1"/>
  </si>
  <si>
    <t>L_REC.入庫要望区分</t>
    <rPh sb="6" eb="8">
      <t>ニュウコ</t>
    </rPh>
    <rPh sb="8" eb="10">
      <t>ヨウボウ</t>
    </rPh>
    <rPh sb="10" eb="12">
      <t>クブン</t>
    </rPh>
    <phoneticPr fontId="35"/>
  </si>
  <si>
    <t>&lt;&gt; L_REC.回答_入庫要望区分</t>
    <rPh sb="12" eb="14">
      <t>ニュウコ</t>
    </rPh>
    <rPh sb="14" eb="16">
      <t>ヨウボウ</t>
    </rPh>
    <rPh sb="16" eb="18">
      <t>クブン</t>
    </rPh>
    <phoneticPr fontId="1"/>
  </si>
  <si>
    <t>L_REC.回答_論理削除ＦＬＧ</t>
    <rPh sb="6" eb="8">
      <t>カイトウ</t>
    </rPh>
    <rPh sb="9" eb="11">
      <t>ロンリ</t>
    </rPh>
    <rPh sb="11" eb="13">
      <t>サクジョ</t>
    </rPh>
    <phoneticPr fontId="35"/>
  </si>
  <si>
    <t>&lt;&gt; オフ(0)</t>
  </si>
  <si>
    <t>論理削除1</t>
    <rPh sb="0" eb="2">
      <t>ロンリ</t>
    </rPh>
    <rPh sb="2" eb="4">
      <t>サクジョ</t>
    </rPh>
    <phoneticPr fontId="35"/>
  </si>
  <si>
    <t>回答送信データ作成済みであるが、回答納期がクリアされ、送信対象外となったオーダ</t>
    <rPh sb="0" eb="2">
      <t>カイトウ</t>
    </rPh>
    <rPh sb="2" eb="4">
      <t>ソウシン</t>
    </rPh>
    <rPh sb="7" eb="9">
      <t>サクセイ</t>
    </rPh>
    <rPh sb="9" eb="10">
      <t>ズ</t>
    </rPh>
    <rPh sb="16" eb="18">
      <t>カイトウ</t>
    </rPh>
    <rPh sb="18" eb="20">
      <t>ノウキ</t>
    </rPh>
    <rPh sb="27" eb="29">
      <t>ソウシン</t>
    </rPh>
    <rPh sb="29" eb="31">
      <t>タイショウ</t>
    </rPh>
    <rPh sb="31" eb="32">
      <t>ガイ</t>
    </rPh>
    <phoneticPr fontId="35"/>
  </si>
  <si>
    <t>(対象⇒対象外)</t>
    <rPh sb="1" eb="3">
      <t>タイショウ</t>
    </rPh>
    <rPh sb="4" eb="7">
      <t>タイショウガイ</t>
    </rPh>
    <phoneticPr fontId="35"/>
  </si>
  <si>
    <t>(回答納期のクリアはオーダを未確定に戻した場合、または保存オーダの回答納期を画面にて</t>
    <rPh sb="1" eb="3">
      <t>カイトウ</t>
    </rPh>
    <rPh sb="3" eb="5">
      <t>ノウキ</t>
    </rPh>
    <rPh sb="14" eb="17">
      <t>ミカクテイ</t>
    </rPh>
    <rPh sb="18" eb="19">
      <t>モド</t>
    </rPh>
    <rPh sb="21" eb="23">
      <t>バアイ</t>
    </rPh>
    <rPh sb="27" eb="29">
      <t>ホゾン</t>
    </rPh>
    <rPh sb="33" eb="35">
      <t>カイトウ</t>
    </rPh>
    <rPh sb="35" eb="37">
      <t>ノウキ</t>
    </rPh>
    <rPh sb="38" eb="40">
      <t>ガメン</t>
    </rPh>
    <phoneticPr fontId="2"/>
  </si>
  <si>
    <t>No「3」を参照</t>
  </si>
  <si>
    <t>クリアした場合に発生する)</t>
  </si>
  <si>
    <t>L_REC.回答_論理削除ＦＬＧ</t>
  </si>
  <si>
    <t>= オフ(0)</t>
  </si>
  <si>
    <t>L_REC.回答用オーダ状況区分</t>
  </si>
  <si>
    <t>＝未確定</t>
    <rPh sb="1" eb="4">
      <t>ミカクテイ</t>
    </rPh>
    <phoneticPr fontId="35"/>
  </si>
  <si>
    <t>回答送信データ作成済みであるが、数量がゼロとなり、送信対象外となったオーダ</t>
    <rPh sb="0" eb="2">
      <t>カイトウ</t>
    </rPh>
    <rPh sb="2" eb="4">
      <t>ソウシン</t>
    </rPh>
    <rPh sb="7" eb="9">
      <t>サクセイ</t>
    </rPh>
    <rPh sb="9" eb="10">
      <t>ズ</t>
    </rPh>
    <rPh sb="16" eb="18">
      <t>スウリョウ</t>
    </rPh>
    <phoneticPr fontId="35"/>
  </si>
  <si>
    <t>＝０</t>
  </si>
  <si>
    <t>回答送信データ作成済みであるが、削除され、送信対象外となったオーダ</t>
    <rPh sb="0" eb="2">
      <t>カイトウ</t>
    </rPh>
    <rPh sb="2" eb="4">
      <t>ソウシン</t>
    </rPh>
    <rPh sb="7" eb="9">
      <t>サクセイ</t>
    </rPh>
    <rPh sb="9" eb="10">
      <t>ズ</t>
    </rPh>
    <rPh sb="16" eb="18">
      <t>サクジョ</t>
    </rPh>
    <rPh sb="21" eb="23">
      <t>ソウシン</t>
    </rPh>
    <rPh sb="23" eb="26">
      <t>タイショウガイ</t>
    </rPh>
    <phoneticPr fontId="35"/>
  </si>
  <si>
    <t>L_REC.品目オーダNO IS NULL</t>
  </si>
  <si>
    <t>上記LOOP処理後、下記の論理削除２処理を行う</t>
    <rPh sb="0" eb="2">
      <t>ジョウキ</t>
    </rPh>
    <rPh sb="6" eb="8">
      <t>ショリ</t>
    </rPh>
    <rPh sb="8" eb="9">
      <t>ゴ</t>
    </rPh>
    <rPh sb="10" eb="12">
      <t>カキ</t>
    </rPh>
    <rPh sb="13" eb="15">
      <t>ロンリ</t>
    </rPh>
    <rPh sb="15" eb="17">
      <t>サクジョ</t>
    </rPh>
    <rPh sb="18" eb="20">
      <t>ショリ</t>
    </rPh>
    <rPh sb="21" eb="22">
      <t>オコナ</t>
    </rPh>
    <phoneticPr fontId="2"/>
  </si>
  <si>
    <t>論理削除2</t>
    <rPh sb="0" eb="2">
      <t>ロンリ</t>
    </rPh>
    <rPh sb="2" eb="4">
      <t>サクジョ</t>
    </rPh>
    <phoneticPr fontId="35"/>
  </si>
  <si>
    <t>販売管理システムに１度送信した後、全数が着荷完納し</t>
    <rPh sb="0" eb="2">
      <t>ハンバイ</t>
    </rPh>
    <rPh sb="2" eb="4">
      <t>カンリ</t>
    </rPh>
    <rPh sb="10" eb="11">
      <t>ド</t>
    </rPh>
    <rPh sb="11" eb="13">
      <t>ソウシン</t>
    </rPh>
    <rPh sb="15" eb="16">
      <t>ノチ</t>
    </rPh>
    <rPh sb="17" eb="19">
      <t>ゼンスウ</t>
    </rPh>
    <rPh sb="20" eb="22">
      <t>チャッカ</t>
    </rPh>
    <rPh sb="22" eb="24">
      <t>カンノウ</t>
    </rPh>
    <phoneticPr fontId="35"/>
  </si>
  <si>
    <t>(全数着荷)</t>
    <rPh sb="1" eb="3">
      <t>ゼンスウ</t>
    </rPh>
    <phoneticPr fontId="35"/>
  </si>
  <si>
    <t>かつ回答納期が(翌日には)過去日付となるオーダ</t>
  </si>
  <si>
    <t>No「4」を参照</t>
  </si>
  <si>
    <t>国内回答用オーダ情報 T1</t>
  </si>
  <si>
    <t>T1．回答納期送信済ＦＬＧ = オン(1)</t>
  </si>
  <si>
    <t>T1．回答用オーダ状況区分　IN (完了、納品完了、計画取消)</t>
  </si>
  <si>
    <t>GREATEST(0, T1.出来高予定数量 + NVL(T1.工場出荷予定増減数量,0)) &lt;= NVL(T1.工場出荷実績数量, 0)</t>
  </si>
  <si>
    <t>T1．使用可能予定日 &lt;= 運用日付</t>
    <rPh sb="14" eb="16">
      <t>ウンヨウ</t>
    </rPh>
    <rPh sb="16" eb="18">
      <t>ヒヅケ</t>
    </rPh>
    <phoneticPr fontId="2"/>
  </si>
  <si>
    <t>T1．論理削除ＦＬＧ　= オフ(0)</t>
    <rPh sb="3" eb="5">
      <t>ロンリ</t>
    </rPh>
    <rPh sb="5" eb="7">
      <t>サクジョ</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</si>
</sst>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0.0_);[Red]\(0.0\)"/>
    <numFmt numFmtId="177" formatCode="00"/>
  </numFmts>
  <fonts count="43">
    <font>
      <sz val="9"/>
      <name val="ＭＳ Ｐゴシック"/>
      <family val="3"/>
      <charset val="128"/>
    </font>
    <font>
      <sz val="11"/>
      <color theme="1"/>
      <name val="ＭＳ Ｐゴシック"/>
      <family val="2"/>
      <charset val="128"/>
      <scheme val="minor"/>
    </font>
    <font>
      <sz val="6"/>
      <name val="ＭＳ Ｐゴシック"/>
      <family val="3"/>
      <charset val="128"/>
    </font>
    <font>
      <sz val="10"/>
      <color indexed="8"/>
      <name val="ＭＳ Ｐゴシック"/>
      <family val="3"/>
      <charset val="128"/>
    </font>
    <font>
      <b/>
      <sz val="12"/>
      <name val="ＭＳ Ｐゴシック"/>
      <family val="3"/>
      <charset val="128"/>
    </font>
    <font>
      <sz val="9"/>
      <color indexed="81"/>
      <name val="ＭＳ Ｐゴシック"/>
      <family val="3"/>
      <charset val="128"/>
    </font>
    <font>
      <b/>
      <sz val="9"/>
      <color indexed="81"/>
      <name val="ＭＳ Ｐゴシック"/>
      <family val="3"/>
      <charset val="128"/>
    </font>
    <font>
      <sz val="9"/>
      <color indexed="10"/>
      <name val="ＭＳ Ｐゴシック"/>
      <family val="3"/>
      <charset val="128"/>
    </font>
    <font>
      <b/>
      <sz val="11"/>
      <name val="Meiryo UI"/>
      <family val="3"/>
      <charset val="128"/>
    </font>
    <font>
      <sz val="9"/>
      <name val="Meiryo UI"/>
      <family val="3"/>
      <charset val="128"/>
    </font>
    <font>
      <sz val="11"/>
      <name val="Meiryo UI"/>
      <family val="3"/>
      <charset val="128"/>
    </font>
    <font>
      <b/>
      <sz val="20"/>
      <color indexed="10"/>
      <name val="Meiryo UI"/>
      <family val="3"/>
      <charset val="128"/>
    </font>
    <font>
      <b/>
      <sz val="12"/>
      <name val="Meiryo UI"/>
      <family val="3"/>
      <charset val="128"/>
    </font>
    <font>
      <b/>
      <sz val="10"/>
      <name val="Meiryo UI"/>
      <family val="3"/>
      <charset val="128"/>
    </font>
    <font>
      <sz val="10"/>
      <name val="Meiryo UI"/>
      <family val="3"/>
      <charset val="128"/>
    </font>
    <font>
      <sz val="9"/>
      <color rgb="FFFF0000"/>
      <name val="Meiryo UI"/>
      <family val="3"/>
      <charset val="128"/>
    </font>
    <font>
      <b/>
      <sz val="9"/>
      <name val="Meiryo UI"/>
      <family val="3"/>
      <charset val="128"/>
    </font>
    <font>
      <sz val="9"/>
      <name val="ＭＳ Ｐゴシック"/>
      <family val="3"/>
      <charset val="128"/>
    </font>
    <font>
      <b/>
      <sz val="8"/>
      <name val="Meiryo UI"/>
      <family val="3"/>
      <charset val="128"/>
    </font>
    <font>
      <sz val="8"/>
      <name val="Meiryo UI"/>
      <family val="3"/>
      <charset val="128"/>
    </font>
    <font>
      <sz val="11"/>
      <name val="ＭＳ Ｐゴシック"/>
      <family val="3"/>
      <charset val="128"/>
    </font>
    <font>
      <sz val="11"/>
      <color indexed="8"/>
      <name val="ＭＳ Ｐゴシック"/>
      <family val="3"/>
      <charset val="128"/>
    </font>
    <font>
      <sz val="9"/>
      <color theme="1"/>
      <name val="Meiryo UI"/>
      <family val="3"/>
      <charset val="128"/>
    </font>
    <font>
      <sz val="6"/>
      <name val="ＭＳ Ｐゴシック"/>
      <family val="3"/>
      <charset val="128"/>
      <scheme val="minor"/>
    </font>
    <font>
      <sz val="11"/>
      <color theme="1"/>
      <name val="ＭＳ Ｐゴシック"/>
      <family val="2"/>
      <scheme val="minor"/>
    </font>
    <font>
      <b/>
      <sz val="11"/>
      <color theme="1"/>
      <name val="Meiryo UI"/>
      <family val="3"/>
      <charset val="128"/>
    </font>
    <font>
      <sz val="9"/>
      <color rgb="FF000000"/>
      <name val="Meiryo UI"/>
      <family val="3"/>
      <charset val="128"/>
    </font>
    <font>
      <sz val="6"/>
      <name val="ＭＳ Ｐ明朝"/>
      <family val="1"/>
      <charset val="128"/>
    </font>
    <font>
      <sz val="9"/>
      <color indexed="8"/>
      <name val="Meiryo UI"/>
      <family val="3"/>
      <charset val="128"/>
    </font>
    <font>
      <b/>
      <sz val="9"/>
      <color theme="1"/>
      <name val="Meiryo UI"/>
      <family val="3"/>
      <charset val="128"/>
    </font>
    <font>
      <b/>
      <sz val="9"/>
      <color indexed="81"/>
      <name val="MS P ゴシック"/>
      <family val="3"/>
      <charset val="128"/>
    </font>
    <font>
      <sz val="9"/>
      <color indexed="81"/>
      <name val="MS P ゴシック"/>
      <family val="3"/>
      <charset val="128"/>
    </font>
    <font>
      <sz val="11"/>
      <color rgb="FF006100"/>
      <name val="ＭＳ Ｐゴシック"/>
      <family val="2"/>
      <charset val="128"/>
      <scheme val="minor"/>
    </font>
    <font>
      <sz val="9"/>
      <color rgb="FF0000FF"/>
      <name val="Meiryo UI"/>
      <family val="3"/>
      <charset val="128"/>
    </font>
    <font>
      <sz val="10"/>
      <color theme="1"/>
      <name val="Meiryo UI"/>
      <family val="3"/>
      <charset val="128"/>
    </font>
    <font>
      <sz val="6"/>
      <name val="ＭＳ Ｐゴシック"/>
      <family val="2"/>
      <charset val="128"/>
      <scheme val="minor"/>
    </font>
    <font>
      <b/>
      <sz val="8"/>
      <color theme="1"/>
      <name val="Meiryo UI"/>
      <family val="3"/>
      <charset val="128"/>
    </font>
    <font>
      <sz val="9"/>
      <color rgb="FF0033CC"/>
      <name val="Meiryo UI"/>
      <family val="3"/>
      <charset val="128"/>
    </font>
    <font>
      <sz val="9"/>
      <color theme="0" tint="-0.499984740745262"/>
      <name val="Meiryo UI"/>
      <family val="3"/>
      <charset val="128"/>
    </font>
    <font>
      <b/>
      <sz val="9"/>
      <color rgb="FFFF0000"/>
      <name val="Meiryo UI"/>
      <family val="3"/>
      <charset val="128"/>
    </font>
    <font>
      <b/>
      <sz val="9"/>
      <color rgb="FF0033CC"/>
      <name val="Meiryo UI"/>
      <family val="3"/>
      <charset val="128"/>
    </font>
    <font>
      <sz val="9"/>
      <color theme="1"/>
      <name val="ＭＳ Ｐゴシック"/>
      <family val="2"/>
      <charset val="128"/>
      <scheme val="minor"/>
    </font>
    <font>
      <sz val="9"/>
      <name val="ＭＳ Ｐゴシック"/>
      <family val="2"/>
      <charset val="128"/>
      <scheme val="minor"/>
    </font>
  </fonts>
  <fills count="11">
    <fill>
      <patternFill patternType="none"/>
    </fill>
    <fill>
      <patternFill patternType="gray125"/>
    </fill>
    <fill>
      <patternFill patternType="solid">
        <fgColor indexed="42"/>
        <bgColor indexed="64"/>
      </patternFill>
    </fill>
    <fill>
      <patternFill patternType="solid">
        <fgColor indexed="43"/>
        <bgColor indexed="64"/>
      </patternFill>
    </fill>
    <fill>
      <patternFill patternType="solid">
        <fgColor theme="0"/>
        <bgColor indexed="64"/>
      </patternFill>
    </fill>
    <fill>
      <patternFill patternType="solid">
        <fgColor rgb="FFFFFF99"/>
        <bgColor indexed="64"/>
      </patternFill>
    </fill>
    <fill>
      <patternFill patternType="solid">
        <fgColor rgb="FFCCFFCC"/>
        <bgColor indexed="64"/>
      </patternFill>
    </fill>
    <fill>
      <patternFill patternType="solid">
        <fgColor theme="0" tint="-0.14999847407452621"/>
        <bgColor indexed="64"/>
      </patternFill>
    </fill>
    <fill>
      <patternFill patternType="solid">
        <fgColor rgb="FFCCFFFF"/>
        <bgColor indexed="64"/>
      </patternFill>
    </fill>
    <fill>
      <patternFill patternType="solid">
        <fgColor theme="1" tint="0.499984740745262"/>
        <bgColor indexed="64"/>
      </patternFill>
    </fill>
    <fill>
      <patternFill patternType="solid">
        <fgColor rgb="FF99CCFF"/>
        <bgColor indexed="64"/>
      </patternFill>
    </fill>
  </fills>
  <borders count="140">
    <border>
      <left/>
      <right/>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top style="double">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double">
        <color indexed="64"/>
      </top>
      <bottom style="thin">
        <color indexed="64"/>
      </bottom>
      <diagonal/>
    </border>
    <border>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right style="thin">
        <color indexed="64"/>
      </right>
      <top/>
      <bottom/>
      <diagonal/>
    </border>
    <border>
      <left/>
      <right style="thin">
        <color indexed="64"/>
      </right>
      <top/>
      <bottom style="medium">
        <color indexed="64"/>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top/>
      <bottom/>
      <diagonal/>
    </border>
    <border>
      <left style="medium">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medium">
        <color indexed="64"/>
      </bottom>
      <diagonal/>
    </border>
    <border>
      <left/>
      <right/>
      <top style="thin">
        <color indexed="64"/>
      </top>
      <bottom style="medium">
        <color indexed="64"/>
      </bottom>
      <diagonal/>
    </border>
    <border>
      <left style="medium">
        <color indexed="64"/>
      </left>
      <right style="thin">
        <color indexed="64"/>
      </right>
      <top style="double">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style="medium">
        <color indexed="64"/>
      </right>
      <top style="medium">
        <color indexed="64"/>
      </top>
      <bottom style="thin">
        <color indexed="64"/>
      </bottom>
      <diagonal/>
    </border>
    <border>
      <left style="thin">
        <color indexed="64"/>
      </left>
      <right style="hair">
        <color indexed="64"/>
      </right>
      <top style="double">
        <color indexed="64"/>
      </top>
      <bottom style="thin">
        <color indexed="64"/>
      </bottom>
      <diagonal/>
    </border>
    <border>
      <left style="thin">
        <color indexed="64"/>
      </left>
      <right style="hair">
        <color indexed="64"/>
      </right>
      <top style="medium">
        <color indexed="64"/>
      </top>
      <bottom style="double">
        <color indexed="64"/>
      </bottom>
      <diagonal/>
    </border>
    <border>
      <left style="thin">
        <color indexed="64"/>
      </left>
      <right style="hair">
        <color indexed="64"/>
      </right>
      <top style="thin">
        <color indexed="64"/>
      </top>
      <bottom style="thin">
        <color indexed="64"/>
      </bottom>
      <diagonal/>
    </border>
    <border>
      <left style="thin">
        <color indexed="64"/>
      </left>
      <right style="hair">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hair">
        <color indexed="64"/>
      </right>
      <top style="thin">
        <color indexed="64"/>
      </top>
      <bottom style="double">
        <color indexed="64"/>
      </bottom>
      <diagonal/>
    </border>
    <border>
      <left style="thin">
        <color indexed="64"/>
      </left>
      <right/>
      <top style="medium">
        <color indexed="64"/>
      </top>
      <bottom/>
      <diagonal/>
    </border>
    <border>
      <left style="thin">
        <color indexed="64"/>
      </left>
      <right/>
      <top/>
      <bottom style="double">
        <color indexed="64"/>
      </bottom>
      <diagonal/>
    </border>
    <border>
      <left/>
      <right/>
      <top/>
      <bottom style="double">
        <color indexed="64"/>
      </bottom>
      <diagonal/>
    </border>
    <border>
      <left/>
      <right style="medium">
        <color indexed="64"/>
      </right>
      <top/>
      <bottom style="double">
        <color indexed="64"/>
      </bottom>
      <diagonal/>
    </border>
    <border>
      <left style="medium">
        <color indexed="64"/>
      </left>
      <right/>
      <top/>
      <bottom style="double">
        <color indexed="64"/>
      </bottom>
      <diagonal/>
    </border>
    <border>
      <left/>
      <right style="thin">
        <color indexed="64"/>
      </right>
      <top/>
      <bottom style="double">
        <color indexed="64"/>
      </bottom>
      <diagonal/>
    </border>
    <border>
      <left/>
      <right style="medium">
        <color indexed="64"/>
      </right>
      <top style="medium">
        <color indexed="64"/>
      </top>
      <bottom style="double">
        <color indexed="64"/>
      </bottom>
      <diagonal/>
    </border>
    <border>
      <left/>
      <right style="medium">
        <color indexed="64"/>
      </right>
      <top style="double">
        <color indexed="64"/>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double">
        <color indexed="64"/>
      </bottom>
      <diagonal/>
    </border>
    <border>
      <left style="medium">
        <color indexed="64"/>
      </left>
      <right/>
      <top style="thin">
        <color indexed="64"/>
      </top>
      <bottom style="medium">
        <color indexed="64"/>
      </bottom>
      <diagonal/>
    </border>
    <border>
      <left style="medium">
        <color indexed="64"/>
      </left>
      <right/>
      <top style="medium">
        <color indexed="64"/>
      </top>
      <bottom style="thin">
        <color indexed="64"/>
      </bottom>
      <diagonal/>
    </border>
    <border>
      <left/>
      <right style="medium">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right/>
      <top style="double">
        <color indexed="64"/>
      </top>
      <bottom/>
      <diagonal/>
    </border>
    <border>
      <left style="medium">
        <color indexed="64"/>
      </left>
      <right/>
      <top style="thin">
        <color indexed="64"/>
      </top>
      <bottom/>
      <diagonal/>
    </border>
    <border>
      <left style="medium">
        <color indexed="64"/>
      </left>
      <right/>
      <top/>
      <bottom style="thin">
        <color indexed="64"/>
      </bottom>
      <diagonal/>
    </border>
    <border>
      <left/>
      <right style="medium">
        <color indexed="64"/>
      </right>
      <top style="double">
        <color indexed="64"/>
      </top>
      <bottom style="thin">
        <color indexed="64"/>
      </bottom>
      <diagonal/>
    </border>
    <border>
      <left/>
      <right style="medium">
        <color indexed="64"/>
      </right>
      <top/>
      <bottom style="thin">
        <color indexed="64"/>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right style="thin">
        <color auto="1"/>
      </right>
      <top style="thin">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medium">
        <color indexed="64"/>
      </left>
      <right style="medium">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style="medium">
        <color indexed="64"/>
      </top>
      <bottom style="double">
        <color indexed="64"/>
      </bottom>
      <diagonal/>
    </border>
    <border>
      <left style="thin">
        <color indexed="64"/>
      </left>
      <right style="thin">
        <color indexed="64"/>
      </right>
      <top/>
      <bottom style="double">
        <color indexed="64"/>
      </bottom>
      <diagonal/>
    </border>
    <border>
      <left style="thin">
        <color indexed="64"/>
      </left>
      <right style="thin">
        <color indexed="64"/>
      </right>
      <top style="medium">
        <color indexed="64"/>
      </top>
      <bottom/>
      <diagonal/>
    </border>
    <border>
      <left style="medium">
        <color indexed="64"/>
      </left>
      <right/>
      <top style="double">
        <color indexed="64"/>
      </top>
      <bottom/>
      <diagonal/>
    </border>
    <border>
      <left style="thin">
        <color indexed="64"/>
      </left>
      <right/>
      <top style="double">
        <color indexed="64"/>
      </top>
      <bottom/>
      <diagonal/>
    </border>
    <border>
      <left style="thin">
        <color indexed="64"/>
      </left>
      <right style="thin">
        <color indexed="64"/>
      </right>
      <top style="double">
        <color indexed="64"/>
      </top>
      <bottom/>
      <diagonal/>
    </border>
    <border>
      <left/>
      <right style="thin">
        <color indexed="64"/>
      </right>
      <top style="double">
        <color indexed="64"/>
      </top>
      <bottom/>
      <diagonal/>
    </border>
    <border>
      <left/>
      <right style="thin">
        <color indexed="64"/>
      </right>
      <top style="medium">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double">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double">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top style="hair">
        <color indexed="64"/>
      </top>
      <bottom style="medium">
        <color indexed="64"/>
      </bottom>
      <diagonal/>
    </border>
    <border>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style="double">
        <color indexed="64"/>
      </top>
      <bottom style="thin">
        <color indexed="64"/>
      </bottom>
      <diagonal/>
    </border>
    <border>
      <left style="thin">
        <color indexed="64"/>
      </left>
      <right style="hair">
        <color indexed="64"/>
      </right>
      <top/>
      <bottom/>
      <diagonal/>
    </border>
    <border>
      <left style="hair">
        <color indexed="64"/>
      </left>
      <right style="hair">
        <color indexed="64"/>
      </right>
      <top/>
      <bottom/>
      <diagonal/>
    </border>
    <border>
      <left style="hair">
        <color indexed="64"/>
      </left>
      <right style="thin">
        <color indexed="64"/>
      </right>
      <top/>
      <bottom/>
      <diagonal/>
    </border>
    <border>
      <left/>
      <right style="thin">
        <color indexed="64"/>
      </right>
      <top style="thin">
        <color indexed="64"/>
      </top>
      <bottom style="double">
        <color indexed="64"/>
      </bottom>
      <diagonal/>
    </border>
    <border>
      <left/>
      <right/>
      <top style="thin">
        <color indexed="64"/>
      </top>
      <bottom style="double">
        <color indexed="64"/>
      </bottom>
      <diagonal/>
    </border>
    <border>
      <left style="thin">
        <color indexed="64"/>
      </left>
      <right/>
      <top style="hair">
        <color indexed="64"/>
      </top>
      <bottom/>
      <diagonal/>
    </border>
    <border>
      <left/>
      <right style="thin">
        <color indexed="64"/>
      </right>
      <top style="hair">
        <color indexed="64"/>
      </top>
      <bottom/>
      <diagonal/>
    </border>
    <border>
      <left/>
      <right/>
      <top style="hair">
        <color indexed="64"/>
      </top>
      <bottom/>
      <diagonal/>
    </border>
    <border>
      <left/>
      <right style="medium">
        <color indexed="64"/>
      </right>
      <top style="hair">
        <color indexed="64"/>
      </top>
      <bottom/>
      <diagonal/>
    </border>
    <border>
      <left style="thin">
        <color indexed="64"/>
      </left>
      <right style="thin">
        <color indexed="64"/>
      </right>
      <top/>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medium">
        <color indexed="64"/>
      </left>
      <right/>
      <top style="hair">
        <color indexed="64"/>
      </top>
      <bottom style="thin">
        <color indexed="64"/>
      </bottom>
      <diagonal/>
    </border>
    <border>
      <left style="medium">
        <color indexed="64"/>
      </left>
      <right/>
      <top style="hair">
        <color indexed="64"/>
      </top>
      <bottom/>
      <diagonal/>
    </border>
    <border>
      <left style="medium">
        <color indexed="64"/>
      </left>
      <right/>
      <top style="thin">
        <color indexed="64"/>
      </top>
      <bottom style="hair">
        <color indexed="64"/>
      </bottom>
      <diagonal/>
    </border>
    <border>
      <left style="hair">
        <color auto="1"/>
      </left>
      <right/>
      <top style="hair">
        <color auto="1"/>
      </top>
      <bottom/>
      <diagonal/>
    </border>
    <border>
      <left/>
      <right style="hair">
        <color auto="1"/>
      </right>
      <top style="hair">
        <color auto="1"/>
      </top>
      <bottom/>
      <diagonal/>
    </border>
    <border>
      <left style="hair">
        <color auto="1"/>
      </left>
      <right/>
      <top/>
      <bottom/>
      <diagonal/>
    </border>
    <border>
      <left/>
      <right style="hair">
        <color auto="1"/>
      </right>
      <top/>
      <bottom/>
      <diagonal/>
    </border>
    <border>
      <left style="hair">
        <color auto="1"/>
      </left>
      <right/>
      <top/>
      <bottom style="hair">
        <color auto="1"/>
      </bottom>
      <diagonal/>
    </border>
    <border>
      <left/>
      <right style="hair">
        <color auto="1"/>
      </right>
      <top/>
      <bottom style="hair">
        <color auto="1"/>
      </bottom>
      <diagonal/>
    </border>
    <border>
      <left style="thin">
        <color indexed="64"/>
      </left>
      <right style="medium">
        <color indexed="64"/>
      </right>
      <top/>
      <bottom/>
      <diagonal/>
    </border>
  </borders>
  <cellStyleXfs count="10">
    <xf numFmtId="0" fontId="0" fillId="0" borderId="0">
      <alignment vertical="center"/>
    </xf>
    <xf numFmtId="0" fontId="20" fillId="0" borderId="0">
      <alignment vertical="center"/>
    </xf>
    <xf numFmtId="0" fontId="20" fillId="0" borderId="0"/>
    <xf numFmtId="0" fontId="20" fillId="0" borderId="0"/>
    <xf numFmtId="0" fontId="20" fillId="0" borderId="0"/>
    <xf numFmtId="0" fontId="24" fillId="0" borderId="0"/>
    <xf numFmtId="0" fontId="17" fillId="0" borderId="0">
      <alignment vertical="center"/>
    </xf>
    <xf numFmtId="0" fontId="20" fillId="0" borderId="0">
      <alignment vertical="center"/>
    </xf>
    <xf numFmtId="0" fontId="17" fillId="0" borderId="0">
      <alignment vertical="center"/>
    </xf>
    <xf numFmtId="0" fontId="1" fillId="0" borderId="0">
      <alignment vertical="center"/>
    </xf>
  </cellStyleXfs>
  <cellXfs count="945">
    <xf numFmtId="0" fontId="0" fillId="0" borderId="0" xfId="0">
      <alignment vertical="center"/>
    </xf>
    <xf numFmtId="0" fontId="9" fillId="0" borderId="0" xfId="0" applyFont="1">
      <alignment vertical="center"/>
    </xf>
    <xf numFmtId="0" fontId="11" fillId="0" borderId="0" xfId="0" applyFont="1">
      <alignment vertical="center"/>
    </xf>
    <xf numFmtId="0" fontId="10" fillId="0" borderId="0" xfId="0" applyFont="1">
      <alignment vertical="center"/>
    </xf>
    <xf numFmtId="0" fontId="9" fillId="0" borderId="0" xfId="0" applyFont="1">
      <alignment vertical="center"/>
    </xf>
    <xf numFmtId="0" fontId="16" fillId="2" borderId="61" xfId="0" applyFont="1" applyFill="1" applyBorder="1" applyAlignment="1">
      <alignment vertical="top"/>
    </xf>
    <xf numFmtId="0" fontId="16" fillId="2" borderId="30" xfId="0" applyFont="1" applyFill="1" applyBorder="1" applyAlignment="1">
      <alignment vertical="top"/>
    </xf>
    <xf numFmtId="0" fontId="16" fillId="4" borderId="32" xfId="0" applyFont="1" applyFill="1" applyBorder="1" applyAlignment="1">
      <alignment vertical="top"/>
    </xf>
    <xf numFmtId="0" fontId="16" fillId="4" borderId="30" xfId="0" applyFont="1" applyFill="1" applyBorder="1" applyAlignment="1">
      <alignment vertical="top"/>
    </xf>
    <xf numFmtId="0" fontId="16" fillId="2" borderId="32" xfId="0" applyFont="1" applyFill="1" applyBorder="1" applyAlignment="1">
      <alignment vertical="top"/>
    </xf>
    <xf numFmtId="0" fontId="16" fillId="4" borderId="41" xfId="0" applyFont="1" applyFill="1" applyBorder="1" applyAlignment="1">
      <alignment vertical="top"/>
    </xf>
    <xf numFmtId="0" fontId="16" fillId="5" borderId="1" xfId="0" applyNumberFormat="1" applyFont="1" applyFill="1" applyBorder="1" applyAlignment="1">
      <alignment vertical="center"/>
    </xf>
    <xf numFmtId="0" fontId="16" fillId="5" borderId="7" xfId="0" applyNumberFormat="1" applyFont="1" applyFill="1" applyBorder="1" applyAlignment="1">
      <alignment vertical="center"/>
    </xf>
    <xf numFmtId="0" fontId="16" fillId="5" borderId="63" xfId="0" applyNumberFormat="1" applyFont="1" applyFill="1" applyBorder="1" applyAlignment="1">
      <alignment vertical="center"/>
    </xf>
    <xf numFmtId="0" fontId="16" fillId="5" borderId="52" xfId="0" applyNumberFormat="1" applyFont="1" applyFill="1" applyBorder="1" applyAlignment="1">
      <alignment vertical="center"/>
    </xf>
    <xf numFmtId="0" fontId="16" fillId="5" borderId="59" xfId="0" applyNumberFormat="1" applyFont="1" applyFill="1" applyBorder="1" applyAlignment="1">
      <alignment vertical="center"/>
    </xf>
    <xf numFmtId="0" fontId="9" fillId="0" borderId="18" xfId="0" applyFont="1" applyFill="1" applyBorder="1" applyAlignment="1"/>
    <xf numFmtId="0" fontId="9" fillId="0" borderId="18" xfId="0" applyFont="1" applyBorder="1" applyAlignment="1">
      <alignment vertical="center"/>
    </xf>
    <xf numFmtId="0" fontId="9" fillId="2" borderId="4" xfId="0" applyFont="1" applyFill="1" applyBorder="1">
      <alignment vertical="center"/>
    </xf>
    <xf numFmtId="0" fontId="9" fillId="2" borderId="5" xfId="0" applyFont="1" applyFill="1" applyBorder="1">
      <alignment vertical="center"/>
    </xf>
    <xf numFmtId="0" fontId="9" fillId="0" borderId="1" xfId="0" applyFont="1" applyBorder="1">
      <alignment vertical="center"/>
    </xf>
    <xf numFmtId="0" fontId="9" fillId="0" borderId="0" xfId="0" applyFont="1" applyBorder="1">
      <alignment vertical="center"/>
    </xf>
    <xf numFmtId="0" fontId="9" fillId="0" borderId="2" xfId="0" applyFont="1" applyBorder="1">
      <alignment vertical="center"/>
    </xf>
    <xf numFmtId="0" fontId="9" fillId="0" borderId="3" xfId="0" applyFont="1" applyBorder="1">
      <alignment vertical="center"/>
    </xf>
    <xf numFmtId="0" fontId="16" fillId="6" borderId="52" xfId="0" applyFont="1" applyFill="1" applyBorder="1" applyAlignment="1">
      <alignment vertical="center"/>
    </xf>
    <xf numFmtId="0" fontId="16" fillId="6" borderId="49" xfId="0" applyFont="1" applyFill="1" applyBorder="1" applyAlignment="1">
      <alignment vertical="center"/>
    </xf>
    <xf numFmtId="0" fontId="16" fillId="2" borderId="49" xfId="0" applyFont="1" applyFill="1" applyBorder="1" applyAlignment="1">
      <alignment vertical="center"/>
    </xf>
    <xf numFmtId="0" fontId="16" fillId="2" borderId="50" xfId="0" applyFont="1" applyFill="1" applyBorder="1" applyAlignment="1">
      <alignment vertical="center"/>
    </xf>
    <xf numFmtId="0" fontId="16" fillId="2" borderId="4" xfId="0" applyFont="1" applyFill="1" applyBorder="1">
      <alignment vertical="center"/>
    </xf>
    <xf numFmtId="0" fontId="16" fillId="2" borderId="5" xfId="0" applyFont="1" applyFill="1" applyBorder="1">
      <alignment vertical="center"/>
    </xf>
    <xf numFmtId="49" fontId="9" fillId="0" borderId="0" xfId="0" applyNumberFormat="1" applyFont="1" applyBorder="1">
      <alignment vertical="center"/>
    </xf>
    <xf numFmtId="0" fontId="9" fillId="2" borderId="54" xfId="0" applyFont="1" applyFill="1" applyBorder="1">
      <alignment vertical="center"/>
    </xf>
    <xf numFmtId="0" fontId="16" fillId="3" borderId="9" xfId="0" applyFont="1" applyFill="1" applyBorder="1">
      <alignment vertical="center"/>
    </xf>
    <xf numFmtId="0" fontId="9" fillId="3" borderId="6" xfId="0" applyFont="1" applyFill="1" applyBorder="1">
      <alignment vertical="center"/>
    </xf>
    <xf numFmtId="0" fontId="9" fillId="3" borderId="68" xfId="0" applyFont="1" applyFill="1" applyBorder="1">
      <alignment vertical="center"/>
    </xf>
    <xf numFmtId="0" fontId="9" fillId="0" borderId="28" xfId="0" applyFont="1" applyBorder="1">
      <alignment vertical="center"/>
    </xf>
    <xf numFmtId="0" fontId="16" fillId="3" borderId="8" xfId="0" applyFont="1" applyFill="1" applyBorder="1">
      <alignment vertical="center"/>
    </xf>
    <xf numFmtId="0" fontId="9" fillId="3" borderId="7" xfId="0" applyFont="1" applyFill="1" applyBorder="1">
      <alignment vertical="center"/>
    </xf>
    <xf numFmtId="0" fontId="9" fillId="3" borderId="39" xfId="0" applyFont="1" applyFill="1" applyBorder="1">
      <alignment vertical="center"/>
    </xf>
    <xf numFmtId="0" fontId="16" fillId="2" borderId="66" xfId="0" applyFont="1" applyFill="1" applyBorder="1">
      <alignment vertical="center"/>
    </xf>
    <xf numFmtId="0" fontId="16" fillId="2" borderId="35" xfId="0" applyFont="1" applyFill="1" applyBorder="1">
      <alignment vertical="center"/>
    </xf>
    <xf numFmtId="0" fontId="16" fillId="6" borderId="33" xfId="0" applyFont="1" applyFill="1" applyBorder="1">
      <alignment vertical="center"/>
    </xf>
    <xf numFmtId="0" fontId="16" fillId="2" borderId="34" xfId="0" applyFont="1" applyFill="1" applyBorder="1">
      <alignment vertical="center"/>
    </xf>
    <xf numFmtId="0" fontId="16" fillId="2" borderId="62" xfId="0" applyFont="1" applyFill="1" applyBorder="1">
      <alignment vertical="center"/>
    </xf>
    <xf numFmtId="0" fontId="16" fillId="2" borderId="67" xfId="0" applyFont="1" applyFill="1" applyBorder="1">
      <alignment vertical="center"/>
    </xf>
    <xf numFmtId="0" fontId="16" fillId="2" borderId="64" xfId="0" applyFont="1" applyFill="1" applyBorder="1">
      <alignment vertical="center"/>
    </xf>
    <xf numFmtId="0" fontId="16" fillId="2" borderId="18" xfId="0" applyFont="1" applyFill="1" applyBorder="1">
      <alignment vertical="center"/>
    </xf>
    <xf numFmtId="0" fontId="16" fillId="2" borderId="7" xfId="0" applyFont="1" applyFill="1" applyBorder="1">
      <alignment vertical="center"/>
    </xf>
    <xf numFmtId="0" fontId="16" fillId="2" borderId="36" xfId="0" applyFont="1" applyFill="1" applyBorder="1">
      <alignment vertical="center"/>
    </xf>
    <xf numFmtId="0" fontId="16" fillId="6" borderId="36" xfId="0" applyFont="1" applyFill="1" applyBorder="1">
      <alignment vertical="center"/>
    </xf>
    <xf numFmtId="0" fontId="16" fillId="2" borderId="57" xfId="0" applyFont="1" applyFill="1" applyBorder="1">
      <alignment vertical="center"/>
    </xf>
    <xf numFmtId="0" fontId="16" fillId="2" borderId="63" xfId="0" applyFont="1" applyFill="1" applyBorder="1">
      <alignment vertical="center"/>
    </xf>
    <xf numFmtId="0" fontId="16" fillId="2" borderId="69" xfId="0" applyFont="1" applyFill="1" applyBorder="1">
      <alignment vertical="center"/>
    </xf>
    <xf numFmtId="0" fontId="9" fillId="0" borderId="34" xfId="0" applyFont="1" applyBorder="1" applyAlignment="1">
      <alignment vertical="center"/>
    </xf>
    <xf numFmtId="0" fontId="9" fillId="0" borderId="34" xfId="0" applyFont="1" applyBorder="1" applyAlignment="1">
      <alignment horizontal="left" vertical="center" wrapText="1"/>
    </xf>
    <xf numFmtId="0" fontId="9" fillId="0" borderId="70" xfId="0" applyFont="1" applyBorder="1" applyAlignment="1">
      <alignment horizontal="center" vertical="center" wrapText="1"/>
    </xf>
    <xf numFmtId="0" fontId="9" fillId="0" borderId="71" xfId="0" applyFont="1" applyBorder="1" applyAlignment="1">
      <alignment horizontal="center" vertical="center"/>
    </xf>
    <xf numFmtId="0" fontId="9" fillId="0" borderId="72" xfId="0" applyFont="1" applyBorder="1" applyAlignment="1">
      <alignment horizontal="center" vertical="center"/>
    </xf>
    <xf numFmtId="0" fontId="9" fillId="0" borderId="34" xfId="0" applyFont="1" applyBorder="1">
      <alignment vertical="center"/>
    </xf>
    <xf numFmtId="0" fontId="9" fillId="0" borderId="62" xfId="0" applyFont="1" applyBorder="1">
      <alignment vertical="center"/>
    </xf>
    <xf numFmtId="0" fontId="9" fillId="0" borderId="67" xfId="0" applyFont="1" applyBorder="1" applyAlignment="1">
      <alignment vertical="center"/>
    </xf>
    <xf numFmtId="0" fontId="9" fillId="0" borderId="63" xfId="0" applyFont="1" applyBorder="1" applyAlignment="1">
      <alignment vertical="center"/>
    </xf>
    <xf numFmtId="0" fontId="9" fillId="0" borderId="63" xfId="0" applyFont="1" applyBorder="1" applyAlignment="1">
      <alignment horizontal="left" vertical="center" wrapText="1"/>
    </xf>
    <xf numFmtId="0" fontId="9" fillId="0" borderId="73" xfId="0" applyFont="1" applyBorder="1" applyAlignment="1">
      <alignment horizontal="center" vertical="center" wrapText="1"/>
    </xf>
    <xf numFmtId="0" fontId="9" fillId="0" borderId="74" xfId="0" applyFont="1" applyBorder="1" applyAlignment="1">
      <alignment horizontal="center" vertical="center"/>
    </xf>
    <xf numFmtId="0" fontId="9" fillId="0" borderId="75" xfId="0" applyFont="1" applyBorder="1" applyAlignment="1">
      <alignment horizontal="center" vertical="center"/>
    </xf>
    <xf numFmtId="0" fontId="9" fillId="0" borderId="63" xfId="0" applyFont="1" applyBorder="1">
      <alignment vertical="center"/>
    </xf>
    <xf numFmtId="0" fontId="9" fillId="0" borderId="69" xfId="0" applyFont="1" applyBorder="1">
      <alignment vertical="center"/>
    </xf>
    <xf numFmtId="0" fontId="9" fillId="0" borderId="29" xfId="0" applyFont="1" applyBorder="1">
      <alignment vertical="center"/>
    </xf>
    <xf numFmtId="0" fontId="9" fillId="0" borderId="22" xfId="0" applyNumberFormat="1" applyFont="1" applyBorder="1" applyAlignment="1">
      <alignment horizontal="center" vertical="top"/>
    </xf>
    <xf numFmtId="0" fontId="9" fillId="0" borderId="23" xfId="0" applyNumberFormat="1" applyFont="1" applyBorder="1" applyAlignment="1">
      <alignment horizontal="center" vertical="top"/>
    </xf>
    <xf numFmtId="0" fontId="9" fillId="0" borderId="24" xfId="0" applyNumberFormat="1" applyFont="1" applyBorder="1" applyAlignment="1">
      <alignment horizontal="center" vertical="top"/>
    </xf>
    <xf numFmtId="0" fontId="9" fillId="0" borderId="0" xfId="0" applyFont="1" applyAlignment="1">
      <alignment vertical="center"/>
    </xf>
    <xf numFmtId="0" fontId="9" fillId="0" borderId="65" xfId="0" applyNumberFormat="1" applyFont="1" applyBorder="1" applyAlignment="1">
      <alignment vertical="center"/>
    </xf>
    <xf numFmtId="0" fontId="9" fillId="0" borderId="55" xfId="0" applyNumberFormat="1" applyFont="1" applyBorder="1" applyAlignment="1">
      <alignment vertical="center"/>
    </xf>
    <xf numFmtId="0" fontId="9" fillId="0" borderId="0" xfId="0" applyNumberFormat="1" applyFont="1" applyBorder="1" applyAlignment="1">
      <alignment vertical="center"/>
    </xf>
    <xf numFmtId="0" fontId="9" fillId="0" borderId="28" xfId="0" applyNumberFormat="1" applyFont="1" applyBorder="1" applyAlignment="1">
      <alignment vertical="center"/>
    </xf>
    <xf numFmtId="0" fontId="9" fillId="0" borderId="3" xfId="0" applyNumberFormat="1" applyFont="1" applyBorder="1" applyAlignment="1">
      <alignment vertical="center"/>
    </xf>
    <xf numFmtId="0" fontId="9" fillId="0" borderId="29" xfId="0" applyNumberFormat="1" applyFont="1" applyBorder="1" applyAlignment="1">
      <alignment vertical="center"/>
    </xf>
    <xf numFmtId="177" fontId="9" fillId="0" borderId="55" xfId="0" applyNumberFormat="1" applyFont="1" applyBorder="1" applyAlignment="1">
      <alignment vertical="center"/>
    </xf>
    <xf numFmtId="0" fontId="9" fillId="0" borderId="33" xfId="0" applyFont="1" applyBorder="1" applyAlignment="1">
      <alignment vertical="center"/>
    </xf>
    <xf numFmtId="0" fontId="9" fillId="0" borderId="57" xfId="0" applyFont="1" applyBorder="1" applyAlignment="1">
      <alignment vertical="center"/>
    </xf>
    <xf numFmtId="0" fontId="16" fillId="6" borderId="54" xfId="0" applyFont="1" applyFill="1" applyBorder="1" applyAlignment="1"/>
    <xf numFmtId="0" fontId="16" fillId="6" borderId="5" xfId="0" applyFont="1" applyFill="1" applyBorder="1" applyAlignment="1"/>
    <xf numFmtId="177" fontId="9" fillId="0" borderId="65" xfId="0" applyNumberFormat="1" applyFont="1" applyBorder="1" applyAlignment="1">
      <alignment vertical="center"/>
    </xf>
    <xf numFmtId="0" fontId="9" fillId="0" borderId="18" xfId="0" applyFont="1" applyBorder="1">
      <alignment vertical="center"/>
    </xf>
    <xf numFmtId="0" fontId="9" fillId="0" borderId="7" xfId="0" applyFont="1" applyBorder="1">
      <alignment vertical="center"/>
    </xf>
    <xf numFmtId="0" fontId="0" fillId="0" borderId="0" xfId="0" applyFont="1">
      <alignment vertical="center"/>
    </xf>
    <xf numFmtId="0" fontId="0" fillId="0" borderId="1" xfId="0" applyFont="1" applyBorder="1">
      <alignment vertical="center"/>
    </xf>
    <xf numFmtId="0" fontId="0" fillId="0" borderId="0" xfId="0" applyFont="1" applyBorder="1">
      <alignment vertical="center"/>
    </xf>
    <xf numFmtId="0" fontId="0" fillId="0" borderId="28" xfId="0" applyFont="1" applyBorder="1">
      <alignment vertical="center"/>
    </xf>
    <xf numFmtId="0" fontId="15" fillId="0" borderId="0" xfId="0" applyFont="1">
      <alignment vertical="center"/>
    </xf>
    <xf numFmtId="0" fontId="0" fillId="4" borderId="7" xfId="2" applyFont="1" applyFill="1" applyBorder="1"/>
    <xf numFmtId="49" fontId="9" fillId="0" borderId="16" xfId="0" applyNumberFormat="1" applyFont="1" applyFill="1" applyBorder="1" applyAlignment="1">
      <alignment horizontal="right" vertical="center"/>
    </xf>
    <xf numFmtId="0" fontId="9" fillId="0" borderId="0" xfId="0" applyFont="1" applyFill="1" applyBorder="1">
      <alignment vertical="center"/>
    </xf>
    <xf numFmtId="0" fontId="0" fillId="0" borderId="0" xfId="0" applyBorder="1">
      <alignment vertical="center"/>
    </xf>
    <xf numFmtId="0" fontId="0" fillId="0" borderId="25" xfId="0" applyBorder="1">
      <alignment vertical="center"/>
    </xf>
    <xf numFmtId="0" fontId="0" fillId="0" borderId="26" xfId="0" applyBorder="1">
      <alignment vertical="center"/>
    </xf>
    <xf numFmtId="0" fontId="0" fillId="0" borderId="27" xfId="0" applyBorder="1">
      <alignment vertical="center"/>
    </xf>
    <xf numFmtId="0" fontId="0" fillId="0" borderId="1" xfId="0" applyBorder="1">
      <alignment vertical="center"/>
    </xf>
    <xf numFmtId="0" fontId="0" fillId="0" borderId="28" xfId="0" applyBorder="1">
      <alignment vertical="center"/>
    </xf>
    <xf numFmtId="0" fontId="0" fillId="0" borderId="2" xfId="0" applyBorder="1">
      <alignment vertical="center"/>
    </xf>
    <xf numFmtId="0" fontId="0" fillId="0" borderId="3" xfId="0" applyBorder="1">
      <alignment vertical="center"/>
    </xf>
    <xf numFmtId="0" fontId="0" fillId="0" borderId="29" xfId="0" applyBorder="1">
      <alignment vertical="center"/>
    </xf>
    <xf numFmtId="177" fontId="9" fillId="0" borderId="38" xfId="0" applyNumberFormat="1" applyFont="1" applyBorder="1" applyAlignment="1">
      <alignment horizontal="center" vertical="top"/>
    </xf>
    <xf numFmtId="0" fontId="9" fillId="0" borderId="38" xfId="0" applyFont="1" applyBorder="1" applyAlignment="1">
      <alignment vertical="top" wrapText="1"/>
    </xf>
    <xf numFmtId="177" fontId="9" fillId="0" borderId="18" xfId="0" applyNumberFormat="1" applyFont="1" applyBorder="1" applyAlignment="1">
      <alignment horizontal="center" vertical="top"/>
    </xf>
    <xf numFmtId="0" fontId="9" fillId="0" borderId="18" xfId="0" applyFont="1" applyBorder="1" applyAlignment="1">
      <alignment vertical="top" wrapText="1"/>
    </xf>
    <xf numFmtId="0" fontId="16" fillId="2" borderId="11" xfId="0" applyFont="1" applyFill="1" applyBorder="1" applyAlignment="1">
      <alignment horizontal="center"/>
    </xf>
    <xf numFmtId="0" fontId="9" fillId="0" borderId="14" xfId="0" applyFont="1" applyBorder="1" applyAlignment="1">
      <alignment vertical="top" wrapText="1"/>
    </xf>
    <xf numFmtId="0" fontId="9" fillId="0" borderId="44" xfId="0" applyFont="1" applyBorder="1" applyAlignment="1">
      <alignment horizontal="center" vertical="top"/>
    </xf>
    <xf numFmtId="0" fontId="9" fillId="0" borderId="45" xfId="0" applyFont="1" applyBorder="1" applyAlignment="1">
      <alignment horizontal="center" vertical="top"/>
    </xf>
    <xf numFmtId="14" fontId="9" fillId="0" borderId="44" xfId="0" applyNumberFormat="1" applyFont="1" applyBorder="1" applyAlignment="1">
      <alignment horizontal="center" vertical="top"/>
    </xf>
    <xf numFmtId="0" fontId="9" fillId="0" borderId="42" xfId="0" applyFont="1" applyBorder="1" applyAlignment="1">
      <alignment horizontal="center" vertical="top"/>
    </xf>
    <xf numFmtId="0" fontId="16" fillId="2" borderId="43" xfId="0" applyFont="1" applyFill="1" applyBorder="1" applyAlignment="1">
      <alignment horizontal="center"/>
    </xf>
    <xf numFmtId="177" fontId="9" fillId="0" borderId="8" xfId="0" applyNumberFormat="1" applyFont="1" applyBorder="1" applyAlignment="1">
      <alignment horizontal="center" vertical="top"/>
    </xf>
    <xf numFmtId="177" fontId="9" fillId="0" borderId="60" xfId="0" applyNumberFormat="1" applyFont="1" applyBorder="1" applyAlignment="1">
      <alignment horizontal="center" vertical="top"/>
    </xf>
    <xf numFmtId="0" fontId="9" fillId="0" borderId="45" xfId="0" applyNumberFormat="1" applyFont="1" applyBorder="1" applyAlignment="1">
      <alignment horizontal="center" vertical="top"/>
    </xf>
    <xf numFmtId="0" fontId="9" fillId="0" borderId="44" xfId="0" applyNumberFormat="1" applyFont="1" applyBorder="1" applyAlignment="1">
      <alignment horizontal="center" vertical="top"/>
    </xf>
    <xf numFmtId="0" fontId="16" fillId="2" borderId="25" xfId="0" applyFont="1" applyFill="1" applyBorder="1" applyAlignment="1">
      <alignment horizontal="center"/>
    </xf>
    <xf numFmtId="0" fontId="9" fillId="6" borderId="52" xfId="0" applyFont="1" applyFill="1" applyBorder="1" applyAlignment="1">
      <alignment horizontal="center"/>
    </xf>
    <xf numFmtId="0" fontId="9" fillId="6" borderId="49" xfId="0" applyFont="1" applyFill="1" applyBorder="1" applyAlignment="1">
      <alignment horizontal="center"/>
    </xf>
    <xf numFmtId="0" fontId="16" fillId="2" borderId="47" xfId="0" applyFont="1" applyFill="1" applyBorder="1" applyAlignment="1">
      <alignment horizontal="center"/>
    </xf>
    <xf numFmtId="0" fontId="9" fillId="0" borderId="18" xfId="0" applyNumberFormat="1" applyFont="1" applyBorder="1" applyAlignment="1">
      <alignment horizontal="center" vertical="top"/>
    </xf>
    <xf numFmtId="0" fontId="9" fillId="0" borderId="56" xfId="0" applyFont="1" applyBorder="1" applyAlignment="1">
      <alignment vertical="center" wrapText="1"/>
    </xf>
    <xf numFmtId="0" fontId="9" fillId="0" borderId="17" xfId="0" applyFont="1" applyBorder="1" applyAlignment="1">
      <alignment vertical="center"/>
    </xf>
    <xf numFmtId="0" fontId="9" fillId="0" borderId="56" xfId="0" applyFont="1" applyBorder="1" applyAlignment="1">
      <alignment horizontal="center" vertical="center"/>
    </xf>
    <xf numFmtId="0" fontId="9" fillId="0" borderId="56" xfId="0" applyFont="1" applyBorder="1" applyAlignment="1">
      <alignment vertical="center"/>
    </xf>
    <xf numFmtId="0" fontId="9" fillId="0" borderId="24" xfId="0" applyFont="1" applyBorder="1" applyAlignment="1">
      <alignment vertical="center"/>
    </xf>
    <xf numFmtId="0" fontId="9" fillId="0" borderId="46" xfId="0" applyFont="1" applyBorder="1" applyAlignment="1">
      <alignment horizontal="center" vertical="center"/>
    </xf>
    <xf numFmtId="0" fontId="9" fillId="0" borderId="46" xfId="0" applyFont="1" applyBorder="1" applyAlignment="1">
      <alignment vertical="center"/>
    </xf>
    <xf numFmtId="0" fontId="9" fillId="0" borderId="46" xfId="0" applyFont="1" applyBorder="1" applyAlignment="1">
      <alignment vertical="center" wrapText="1"/>
    </xf>
    <xf numFmtId="0" fontId="16" fillId="6" borderId="25" xfId="0" applyFont="1" applyFill="1" applyBorder="1" applyAlignment="1">
      <alignment vertical="center"/>
    </xf>
    <xf numFmtId="0" fontId="16" fillId="6" borderId="48" xfId="0" applyFont="1" applyFill="1" applyBorder="1" applyAlignment="1">
      <alignment vertical="center"/>
    </xf>
    <xf numFmtId="0" fontId="16" fillId="2" borderId="48" xfId="0" applyFont="1" applyFill="1" applyBorder="1" applyAlignment="1">
      <alignment vertical="center"/>
    </xf>
    <xf numFmtId="0" fontId="16" fillId="2" borderId="26" xfId="0" applyFont="1" applyFill="1" applyBorder="1" applyAlignment="1">
      <alignment vertical="center"/>
    </xf>
    <xf numFmtId="0" fontId="16" fillId="5" borderId="31" xfId="0" applyFont="1" applyFill="1" applyBorder="1">
      <alignment vertical="center"/>
    </xf>
    <xf numFmtId="0" fontId="9" fillId="0" borderId="84" xfId="0" applyFont="1" applyBorder="1">
      <alignment vertical="center"/>
    </xf>
    <xf numFmtId="0" fontId="16" fillId="5" borderId="84" xfId="0" applyFont="1" applyFill="1" applyBorder="1">
      <alignment vertical="center"/>
    </xf>
    <xf numFmtId="14" fontId="9" fillId="0" borderId="84" xfId="0" applyNumberFormat="1" applyFont="1" applyFill="1" applyBorder="1" applyAlignment="1">
      <alignment horizontal="center" shrinkToFit="1"/>
    </xf>
    <xf numFmtId="0" fontId="16" fillId="5" borderId="85" xfId="0" applyFont="1" applyFill="1" applyBorder="1">
      <alignment vertical="center"/>
    </xf>
    <xf numFmtId="0" fontId="16" fillId="5" borderId="19" xfId="0" applyFont="1" applyFill="1" applyBorder="1">
      <alignment vertical="center"/>
    </xf>
    <xf numFmtId="0" fontId="9" fillId="0" borderId="36" xfId="0" applyFont="1" applyBorder="1">
      <alignment vertical="center"/>
    </xf>
    <xf numFmtId="0" fontId="16" fillId="5" borderId="36" xfId="0" applyFont="1" applyFill="1" applyBorder="1">
      <alignment vertical="center"/>
    </xf>
    <xf numFmtId="14" fontId="9" fillId="0" borderId="36" xfId="0" applyNumberFormat="1" applyFont="1" applyBorder="1" applyAlignment="1">
      <alignment horizontal="center" shrinkToFit="1"/>
    </xf>
    <xf numFmtId="0" fontId="16" fillId="5" borderId="37" xfId="0" applyFont="1" applyFill="1" applyBorder="1">
      <alignment vertical="center"/>
    </xf>
    <xf numFmtId="0" fontId="9" fillId="0" borderId="46" xfId="0" applyFont="1" applyBorder="1">
      <alignment vertical="center"/>
    </xf>
    <xf numFmtId="0" fontId="16" fillId="5" borderId="46" xfId="0" applyFont="1" applyFill="1" applyBorder="1">
      <alignment vertical="center"/>
    </xf>
    <xf numFmtId="177" fontId="9" fillId="0" borderId="46" xfId="0" applyNumberFormat="1" applyFont="1" applyFill="1" applyBorder="1" applyAlignment="1">
      <alignment horizontal="center" shrinkToFit="1"/>
    </xf>
    <xf numFmtId="0" fontId="16" fillId="0" borderId="0" xfId="0" applyFont="1" applyAlignment="1">
      <alignment horizontal="center" vertical="center"/>
    </xf>
    <xf numFmtId="0" fontId="9" fillId="0" borderId="18" xfId="0" applyFont="1" applyBorder="1" applyAlignment="1">
      <alignment horizontal="left" vertical="top" wrapText="1"/>
    </xf>
    <xf numFmtId="177" fontId="9" fillId="0" borderId="88" xfId="0" applyNumberFormat="1" applyFont="1" applyBorder="1" applyAlignment="1">
      <alignment horizontal="center" vertical="top"/>
    </xf>
    <xf numFmtId="0" fontId="16" fillId="2" borderId="89" xfId="0" applyFont="1" applyFill="1" applyBorder="1" applyAlignment="1">
      <alignment horizontal="center"/>
    </xf>
    <xf numFmtId="0" fontId="16" fillId="2" borderId="4" xfId="0" applyFont="1" applyFill="1" applyBorder="1" applyAlignment="1">
      <alignment horizontal="center"/>
    </xf>
    <xf numFmtId="0" fontId="9" fillId="0" borderId="46" xfId="0" applyFont="1" applyBorder="1" applyAlignment="1">
      <alignment horizontal="center" vertical="top"/>
    </xf>
    <xf numFmtId="0" fontId="9" fillId="0" borderId="36" xfId="0" applyFont="1" applyBorder="1" applyAlignment="1">
      <alignment horizontal="center" vertical="top"/>
    </xf>
    <xf numFmtId="0" fontId="9" fillId="0" borderId="73" xfId="0" applyNumberFormat="1" applyFont="1" applyBorder="1" applyAlignment="1">
      <alignment horizontal="center" vertical="top"/>
    </xf>
    <xf numFmtId="0" fontId="9" fillId="0" borderId="57" xfId="0" applyFont="1" applyBorder="1" applyAlignment="1">
      <alignment vertical="top" wrapText="1"/>
    </xf>
    <xf numFmtId="14" fontId="9" fillId="0" borderId="58" xfId="0" applyNumberFormat="1" applyFont="1" applyBorder="1" applyAlignment="1">
      <alignment horizontal="center" vertical="top"/>
    </xf>
    <xf numFmtId="177" fontId="9" fillId="0" borderId="67" xfId="0" applyNumberFormat="1" applyFont="1" applyBorder="1" applyAlignment="1">
      <alignment horizontal="center" vertical="top"/>
    </xf>
    <xf numFmtId="0" fontId="9" fillId="6" borderId="90" xfId="0" applyFont="1" applyFill="1" applyBorder="1" applyAlignment="1">
      <alignment horizontal="center"/>
    </xf>
    <xf numFmtId="0" fontId="16" fillId="2" borderId="91" xfId="0" applyFont="1" applyFill="1" applyBorder="1" applyAlignment="1">
      <alignment horizontal="center"/>
    </xf>
    <xf numFmtId="177" fontId="9" fillId="0" borderId="9" xfId="0" applyNumberFormat="1" applyFont="1" applyBorder="1" applyAlignment="1">
      <alignment horizontal="center" vertical="top"/>
    </xf>
    <xf numFmtId="14" fontId="9" fillId="0" borderId="88" xfId="0" applyNumberFormat="1" applyFont="1" applyBorder="1" applyAlignment="1">
      <alignment horizontal="center" vertical="top" shrinkToFit="1"/>
    </xf>
    <xf numFmtId="0" fontId="9" fillId="0" borderId="42" xfId="0" applyNumberFormat="1" applyFont="1" applyBorder="1" applyAlignment="1">
      <alignment horizontal="center"/>
    </xf>
    <xf numFmtId="0" fontId="25" fillId="0" borderId="0" xfId="5" applyFont="1"/>
    <xf numFmtId="0" fontId="26" fillId="0" borderId="0" xfId="0" applyFont="1" applyAlignment="1">
      <alignment horizontal="center" vertical="center" readingOrder="1"/>
    </xf>
    <xf numFmtId="0" fontId="9" fillId="0" borderId="0" xfId="6" applyFont="1">
      <alignment vertical="center"/>
    </xf>
    <xf numFmtId="0" fontId="16" fillId="6" borderId="61" xfId="2" applyFont="1" applyFill="1" applyBorder="1" applyAlignment="1"/>
    <xf numFmtId="0" fontId="22" fillId="6" borderId="30" xfId="2" applyFont="1" applyFill="1" applyBorder="1" applyAlignment="1"/>
    <xf numFmtId="0" fontId="22" fillId="6" borderId="31" xfId="2" applyFont="1" applyFill="1" applyBorder="1" applyAlignment="1"/>
    <xf numFmtId="0" fontId="16" fillId="0" borderId="30" xfId="3" applyFont="1" applyFill="1" applyBorder="1" applyAlignment="1"/>
    <xf numFmtId="0" fontId="22" fillId="6" borderId="32" xfId="4" applyFont="1" applyFill="1" applyBorder="1" applyAlignment="1">
      <alignment horizontal="left"/>
    </xf>
    <xf numFmtId="0" fontId="22" fillId="6" borderId="41" xfId="2" applyFont="1" applyFill="1" applyBorder="1" applyAlignment="1"/>
    <xf numFmtId="0" fontId="16" fillId="6" borderId="8" xfId="2" applyFont="1" applyFill="1" applyBorder="1" applyAlignment="1"/>
    <xf numFmtId="0" fontId="22" fillId="6" borderId="7" xfId="4" applyFont="1" applyFill="1" applyBorder="1" applyAlignment="1"/>
    <xf numFmtId="0" fontId="22" fillId="6" borderId="19" xfId="2" applyFont="1" applyFill="1" applyBorder="1"/>
    <xf numFmtId="0" fontId="9" fillId="4" borderId="7" xfId="5" applyFont="1" applyFill="1" applyBorder="1" applyAlignment="1">
      <alignment vertical="center"/>
    </xf>
    <xf numFmtId="0" fontId="22" fillId="4" borderId="7" xfId="4" applyFont="1" applyFill="1" applyBorder="1" applyAlignment="1">
      <alignment horizontal="left"/>
    </xf>
    <xf numFmtId="0" fontId="22" fillId="4" borderId="39" xfId="4" applyFont="1" applyFill="1" applyBorder="1" applyAlignment="1">
      <alignment horizontal="left"/>
    </xf>
    <xf numFmtId="0" fontId="22" fillId="4" borderId="7" xfId="3" applyFont="1" applyFill="1" applyBorder="1"/>
    <xf numFmtId="0" fontId="22" fillId="4" borderId="39" xfId="2" applyFont="1" applyFill="1" applyBorder="1"/>
    <xf numFmtId="0" fontId="16" fillId="5" borderId="8" xfId="2" applyFont="1" applyFill="1" applyBorder="1" applyAlignment="1"/>
    <xf numFmtId="0" fontId="16" fillId="5" borderId="7" xfId="4" applyFont="1" applyFill="1" applyBorder="1" applyAlignment="1"/>
    <xf numFmtId="0" fontId="22" fillId="5" borderId="19" xfId="2" applyFont="1" applyFill="1" applyBorder="1"/>
    <xf numFmtId="0" fontId="9" fillId="4" borderId="7" xfId="6" applyFont="1" applyFill="1" applyBorder="1">
      <alignment vertical="center"/>
    </xf>
    <xf numFmtId="0" fontId="16" fillId="5" borderId="66" xfId="2" applyFont="1" applyFill="1" applyBorder="1" applyAlignment="1"/>
    <xf numFmtId="0" fontId="16" fillId="5" borderId="34" xfId="4" applyFont="1" applyFill="1" applyBorder="1" applyAlignment="1"/>
    <xf numFmtId="0" fontId="22" fillId="5" borderId="35" xfId="2" applyFont="1" applyFill="1" applyBorder="1"/>
    <xf numFmtId="0" fontId="9" fillId="4" borderId="34" xfId="6" applyFont="1" applyFill="1" applyBorder="1">
      <alignment vertical="center"/>
    </xf>
    <xf numFmtId="0" fontId="22" fillId="4" borderId="34" xfId="4" applyFont="1" applyFill="1" applyBorder="1" applyAlignment="1">
      <alignment horizontal="left"/>
    </xf>
    <xf numFmtId="0" fontId="22" fillId="4" borderId="62" xfId="4" applyFont="1" applyFill="1" applyBorder="1" applyAlignment="1">
      <alignment horizontal="left"/>
    </xf>
    <xf numFmtId="0" fontId="16" fillId="8" borderId="92" xfId="6" applyFont="1" applyFill="1" applyBorder="1" applyAlignment="1">
      <alignment horizontal="center"/>
    </xf>
    <xf numFmtId="0" fontId="16" fillId="8" borderId="93" xfId="6" applyFont="1" applyFill="1" applyBorder="1" applyAlignment="1">
      <alignment horizontal="left"/>
    </xf>
    <xf numFmtId="0" fontId="16" fillId="8" borderId="94" xfId="6" applyFont="1" applyFill="1" applyBorder="1" applyAlignment="1">
      <alignment horizontal="left"/>
    </xf>
    <xf numFmtId="0" fontId="16" fillId="8" borderId="65" xfId="4" applyFont="1" applyFill="1" applyBorder="1" applyAlignment="1">
      <alignment horizontal="left"/>
    </xf>
    <xf numFmtId="0" fontId="16" fillId="8" borderId="94" xfId="4" applyFont="1" applyFill="1" applyBorder="1" applyAlignment="1">
      <alignment horizontal="left"/>
    </xf>
    <xf numFmtId="0" fontId="16" fillId="8" borderId="95" xfId="4" applyFont="1" applyFill="1" applyBorder="1" applyAlignment="1">
      <alignment horizontal="left"/>
    </xf>
    <xf numFmtId="0" fontId="16" fillId="8" borderId="55" xfId="2" applyFont="1" applyFill="1" applyBorder="1"/>
    <xf numFmtId="0" fontId="9" fillId="0" borderId="0" xfId="6" applyFont="1" applyBorder="1">
      <alignment vertical="center"/>
    </xf>
    <xf numFmtId="0" fontId="16" fillId="8" borderId="52" xfId="6" applyFont="1" applyFill="1" applyBorder="1" applyAlignment="1">
      <alignment horizontal="center"/>
    </xf>
    <xf numFmtId="0" fontId="16" fillId="8" borderId="49" xfId="6" applyFont="1" applyFill="1" applyBorder="1" applyAlignment="1">
      <alignment horizontal="left"/>
    </xf>
    <xf numFmtId="0" fontId="16" fillId="8" borderId="49" xfId="4" applyFont="1" applyFill="1" applyBorder="1" applyAlignment="1">
      <alignment horizontal="left"/>
    </xf>
    <xf numFmtId="0" fontId="16" fillId="8" borderId="90" xfId="4" applyFont="1" applyFill="1" applyBorder="1" applyAlignment="1">
      <alignment horizontal="left"/>
    </xf>
    <xf numFmtId="0" fontId="16" fillId="8" borderId="53" xfId="4" applyFont="1" applyFill="1" applyBorder="1" applyAlignment="1">
      <alignment horizontal="left"/>
    </xf>
    <xf numFmtId="0" fontId="16" fillId="8" borderId="51" xfId="2" applyFont="1" applyFill="1" applyBorder="1"/>
    <xf numFmtId="0" fontId="9" fillId="0" borderId="9" xfId="6" applyFont="1" applyFill="1" applyBorder="1" applyAlignment="1"/>
    <xf numFmtId="0" fontId="9" fillId="0" borderId="57" xfId="5" applyFont="1" applyFill="1" applyBorder="1" applyAlignment="1">
      <alignment vertical="center"/>
    </xf>
    <xf numFmtId="0" fontId="22" fillId="0" borderId="18" xfId="2" applyFont="1" applyFill="1" applyBorder="1"/>
    <xf numFmtId="0" fontId="22" fillId="0" borderId="36" xfId="2" applyFont="1" applyFill="1" applyBorder="1"/>
    <xf numFmtId="0" fontId="22" fillId="0" borderId="15" xfId="2" applyFont="1" applyFill="1" applyBorder="1"/>
    <xf numFmtId="0" fontId="22" fillId="0" borderId="39" xfId="2" applyFont="1" applyFill="1" applyBorder="1"/>
    <xf numFmtId="0" fontId="9" fillId="0" borderId="0" xfId="6" applyFont="1" applyFill="1">
      <alignment vertical="center"/>
    </xf>
    <xf numFmtId="0" fontId="9" fillId="0" borderId="8" xfId="6" applyFont="1" applyFill="1" applyBorder="1" applyAlignment="1"/>
    <xf numFmtId="0" fontId="9" fillId="4" borderId="18" xfId="6" applyFont="1" applyFill="1" applyBorder="1">
      <alignment vertical="center"/>
    </xf>
    <xf numFmtId="0" fontId="22" fillId="4" borderId="18" xfId="2" applyFont="1" applyFill="1" applyBorder="1"/>
    <xf numFmtId="0" fontId="22" fillId="4" borderId="36" xfId="2" applyFont="1" applyFill="1" applyBorder="1"/>
    <xf numFmtId="0" fontId="22" fillId="4" borderId="19" xfId="2" applyFont="1" applyFill="1" applyBorder="1"/>
    <xf numFmtId="0" fontId="9" fillId="4" borderId="36" xfId="6" applyFont="1" applyFill="1" applyBorder="1">
      <alignment vertical="center"/>
    </xf>
    <xf numFmtId="0" fontId="9" fillId="4" borderId="19" xfId="6" applyFont="1" applyFill="1" applyBorder="1">
      <alignment vertical="center"/>
    </xf>
    <xf numFmtId="0" fontId="22" fillId="4" borderId="7" xfId="2" applyFont="1" applyFill="1" applyBorder="1"/>
    <xf numFmtId="0" fontId="9" fillId="0" borderId="23" xfId="6" applyFont="1" applyFill="1" applyBorder="1" applyAlignment="1"/>
    <xf numFmtId="0" fontId="9" fillId="0" borderId="1" xfId="6" applyFont="1" applyBorder="1">
      <alignment vertical="center"/>
    </xf>
    <xf numFmtId="0" fontId="9" fillId="0" borderId="21" xfId="6" applyFont="1" applyBorder="1">
      <alignment vertical="center"/>
    </xf>
    <xf numFmtId="0" fontId="9" fillId="0" borderId="29" xfId="6" applyFont="1" applyBorder="1">
      <alignment vertical="center"/>
    </xf>
    <xf numFmtId="0" fontId="9" fillId="0" borderId="3" xfId="6" applyFont="1" applyBorder="1">
      <alignment vertical="center"/>
    </xf>
    <xf numFmtId="0" fontId="16" fillId="6" borderId="25" xfId="6" applyFont="1" applyFill="1" applyBorder="1">
      <alignment vertical="center"/>
    </xf>
    <xf numFmtId="0" fontId="9" fillId="6" borderId="96" xfId="6" applyFont="1" applyFill="1" applyBorder="1">
      <alignment vertical="center"/>
    </xf>
    <xf numFmtId="0" fontId="9" fillId="0" borderId="84" xfId="6" applyFont="1" applyFill="1" applyBorder="1">
      <alignment vertical="center"/>
    </xf>
    <xf numFmtId="0" fontId="9" fillId="6" borderId="26" xfId="6" applyFont="1" applyFill="1" applyBorder="1">
      <alignment vertical="center"/>
    </xf>
    <xf numFmtId="0" fontId="9" fillId="6" borderId="27" xfId="6" applyFont="1" applyFill="1" applyBorder="1">
      <alignment vertical="center"/>
    </xf>
    <xf numFmtId="0" fontId="16" fillId="6" borderId="8" xfId="6" applyFont="1" applyFill="1" applyBorder="1">
      <alignment vertical="center"/>
    </xf>
    <xf numFmtId="0" fontId="9" fillId="6" borderId="19" xfId="6" applyFont="1" applyFill="1" applyBorder="1">
      <alignment vertical="center"/>
    </xf>
    <xf numFmtId="0" fontId="9" fillId="0" borderId="7" xfId="6" applyFont="1" applyFill="1" applyBorder="1">
      <alignment vertical="center"/>
    </xf>
    <xf numFmtId="0" fontId="9" fillId="0" borderId="39" xfId="6" applyFont="1" applyFill="1" applyBorder="1">
      <alignment vertical="center"/>
    </xf>
    <xf numFmtId="0" fontId="16" fillId="6" borderId="67" xfId="6" applyFont="1" applyFill="1" applyBorder="1">
      <alignment vertical="center"/>
    </xf>
    <xf numFmtId="0" fontId="9" fillId="6" borderId="64" xfId="6" applyFont="1" applyFill="1" applyBorder="1">
      <alignment vertical="center"/>
    </xf>
    <xf numFmtId="0" fontId="9" fillId="0" borderId="57" xfId="6" applyFont="1" applyFill="1" applyBorder="1">
      <alignment vertical="center"/>
    </xf>
    <xf numFmtId="0" fontId="9" fillId="0" borderId="63" xfId="6" applyFont="1" applyFill="1" applyBorder="1">
      <alignment vertical="center"/>
    </xf>
    <xf numFmtId="0" fontId="9" fillId="0" borderId="69" xfId="6" applyFont="1" applyFill="1" applyBorder="1">
      <alignment vertical="center"/>
    </xf>
    <xf numFmtId="0" fontId="16" fillId="5" borderId="23" xfId="6" applyFont="1" applyFill="1" applyBorder="1">
      <alignment vertical="center"/>
    </xf>
    <xf numFmtId="0" fontId="16" fillId="5" borderId="19" xfId="6" applyFont="1" applyFill="1" applyBorder="1">
      <alignment vertical="center"/>
    </xf>
    <xf numFmtId="0" fontId="28" fillId="0" borderId="23" xfId="5" applyNumberFormat="1" applyFont="1" applyFill="1" applyBorder="1" applyAlignment="1">
      <alignment vertical="top"/>
    </xf>
    <xf numFmtId="0" fontId="9" fillId="0" borderId="36" xfId="5" applyNumberFormat="1" applyFont="1" applyFill="1" applyBorder="1" applyAlignment="1">
      <alignment vertical="center"/>
    </xf>
    <xf numFmtId="0" fontId="9" fillId="0" borderId="36" xfId="5" applyNumberFormat="1" applyFont="1" applyFill="1" applyBorder="1" applyAlignment="1">
      <alignment wrapText="1"/>
    </xf>
    <xf numFmtId="0" fontId="9" fillId="0" borderId="97" xfId="5" applyNumberFormat="1" applyFont="1" applyFill="1" applyBorder="1" applyAlignment="1">
      <alignment wrapText="1"/>
    </xf>
    <xf numFmtId="0" fontId="16" fillId="8" borderId="23" xfId="2" applyFont="1" applyFill="1" applyBorder="1" applyAlignment="1"/>
    <xf numFmtId="0" fontId="29" fillId="8" borderId="36" xfId="4" applyFont="1" applyFill="1" applyBorder="1" applyAlignment="1"/>
    <xf numFmtId="0" fontId="29" fillId="8" borderId="58" xfId="2" applyFont="1" applyFill="1" applyBorder="1"/>
    <xf numFmtId="0" fontId="29" fillId="8" borderId="39" xfId="2" applyFont="1" applyFill="1" applyBorder="1" applyAlignment="1"/>
    <xf numFmtId="0" fontId="9" fillId="0" borderId="36" xfId="5" applyNumberFormat="1" applyFont="1" applyFill="1" applyBorder="1" applyAlignment="1">
      <alignment vertical="top"/>
    </xf>
    <xf numFmtId="0" fontId="9" fillId="0" borderId="36" xfId="5" applyNumberFormat="1" applyFont="1" applyFill="1" applyBorder="1" applyAlignment="1">
      <alignment vertical="top" wrapText="1"/>
    </xf>
    <xf numFmtId="0" fontId="9" fillId="0" borderId="69" xfId="5" applyNumberFormat="1" applyFont="1" applyFill="1" applyBorder="1" applyAlignment="1">
      <alignment wrapText="1"/>
    </xf>
    <xf numFmtId="0" fontId="9" fillId="0" borderId="28" xfId="6" applyFont="1" applyBorder="1">
      <alignment vertical="center"/>
    </xf>
    <xf numFmtId="0" fontId="9" fillId="0" borderId="18" xfId="5" applyNumberFormat="1" applyFont="1" applyFill="1" applyBorder="1" applyAlignment="1">
      <alignment vertical="top" wrapText="1"/>
    </xf>
    <xf numFmtId="0" fontId="9" fillId="0" borderId="63" xfId="5" applyNumberFormat="1" applyFont="1" applyFill="1" applyBorder="1" applyAlignment="1">
      <alignment wrapText="1"/>
    </xf>
    <xf numFmtId="0" fontId="9" fillId="0" borderId="67" xfId="6" applyFont="1" applyFill="1" applyBorder="1" applyAlignment="1"/>
    <xf numFmtId="0" fontId="22" fillId="0" borderId="64" xfId="2" applyFont="1" applyFill="1" applyBorder="1"/>
    <xf numFmtId="0" fontId="16" fillId="5" borderId="97" xfId="6" applyFont="1" applyFill="1" applyBorder="1">
      <alignment vertical="center"/>
    </xf>
    <xf numFmtId="0" fontId="16" fillId="5" borderId="18" xfId="6" applyFont="1" applyFill="1" applyBorder="1">
      <alignment vertical="center"/>
    </xf>
    <xf numFmtId="14" fontId="9" fillId="0" borderId="14" xfId="0" applyNumberFormat="1" applyFont="1" applyBorder="1" applyAlignment="1">
      <alignment horizontal="center" vertical="top" shrinkToFit="1"/>
    </xf>
    <xf numFmtId="14" fontId="9" fillId="0" borderId="18" xfId="0" applyNumberFormat="1" applyFont="1" applyBorder="1" applyAlignment="1">
      <alignment horizontal="center" vertical="top"/>
    </xf>
    <xf numFmtId="0" fontId="9" fillId="0" borderId="18" xfId="0" applyFont="1" applyBorder="1" applyAlignment="1">
      <alignment horizontal="center" vertical="top"/>
    </xf>
    <xf numFmtId="0" fontId="9" fillId="0" borderId="38" xfId="0" applyFont="1" applyBorder="1" applyAlignment="1">
      <alignment horizontal="center" vertical="top"/>
    </xf>
    <xf numFmtId="0" fontId="9" fillId="0" borderId="42" xfId="0" applyFont="1" applyBorder="1" applyAlignment="1">
      <alignment horizontal="left" vertical="top"/>
    </xf>
    <xf numFmtId="0" fontId="9" fillId="0" borderId="44" xfId="0" applyFont="1" applyBorder="1" applyAlignment="1">
      <alignment horizontal="left" vertical="top"/>
    </xf>
    <xf numFmtId="0" fontId="9" fillId="0" borderId="45" xfId="0" applyFont="1" applyBorder="1" applyAlignment="1">
      <alignment horizontal="left" vertical="top"/>
    </xf>
    <xf numFmtId="0" fontId="16" fillId="2" borderId="59" xfId="0" applyFont="1" applyFill="1" applyBorder="1" applyAlignment="1">
      <alignment horizontal="center"/>
    </xf>
    <xf numFmtId="0" fontId="9" fillId="0" borderId="14" xfId="0" applyNumberFormat="1" applyFont="1" applyBorder="1" applyAlignment="1">
      <alignment horizontal="center" shrinkToFit="1"/>
    </xf>
    <xf numFmtId="0" fontId="9" fillId="0" borderId="57" xfId="0" applyNumberFormat="1" applyFont="1" applyBorder="1" applyAlignment="1">
      <alignment horizontal="center" vertical="top"/>
    </xf>
    <xf numFmtId="0" fontId="9" fillId="0" borderId="38" xfId="0" applyNumberFormat="1" applyFont="1" applyBorder="1" applyAlignment="1">
      <alignment horizontal="center" vertical="top"/>
    </xf>
    <xf numFmtId="0" fontId="9" fillId="0" borderId="8" xfId="0" applyFont="1" applyBorder="1" applyAlignment="1">
      <alignment vertical="center" wrapText="1"/>
    </xf>
    <xf numFmtId="0" fontId="10" fillId="0" borderId="25" xfId="0" applyFont="1" applyBorder="1">
      <alignment vertical="center"/>
    </xf>
    <xf numFmtId="0" fontId="10" fillId="0" borderId="26" xfId="0" applyFont="1" applyBorder="1">
      <alignment vertical="center"/>
    </xf>
    <xf numFmtId="0" fontId="10" fillId="0" borderId="27" xfId="0" applyFont="1" applyBorder="1">
      <alignment vertical="center"/>
    </xf>
    <xf numFmtId="0" fontId="10" fillId="0" borderId="1" xfId="0" applyFont="1" applyBorder="1">
      <alignment vertical="center"/>
    </xf>
    <xf numFmtId="0" fontId="10" fillId="0" borderId="0" xfId="0" applyFont="1" applyBorder="1">
      <alignment vertical="center"/>
    </xf>
    <xf numFmtId="0" fontId="10" fillId="0" borderId="28" xfId="0" applyFont="1" applyBorder="1">
      <alignment vertical="center"/>
    </xf>
    <xf numFmtId="0" fontId="16" fillId="2" borderId="84" xfId="0" applyFont="1" applyFill="1" applyBorder="1" applyAlignment="1">
      <alignment horizontal="left"/>
    </xf>
    <xf numFmtId="0" fontId="16" fillId="2" borderId="98" xfId="0" applyFont="1" applyFill="1" applyBorder="1" applyAlignment="1">
      <alignment horizontal="left"/>
    </xf>
    <xf numFmtId="0" fontId="16" fillId="2" borderId="63" xfId="0" applyFont="1" applyFill="1" applyBorder="1" applyAlignment="1">
      <alignment vertical="top"/>
    </xf>
    <xf numFmtId="0" fontId="16" fillId="4" borderId="18" xfId="0" applyFont="1" applyFill="1" applyBorder="1" applyAlignment="1">
      <alignment vertical="top"/>
    </xf>
    <xf numFmtId="0" fontId="16" fillId="4" borderId="63" xfId="0" applyFont="1" applyFill="1" applyBorder="1" applyAlignment="1">
      <alignment vertical="top"/>
    </xf>
    <xf numFmtId="0" fontId="16" fillId="4" borderId="69" xfId="0" applyFont="1" applyFill="1" applyBorder="1" applyAlignment="1">
      <alignment vertical="top"/>
    </xf>
    <xf numFmtId="0" fontId="16" fillId="5" borderId="18" xfId="0" applyNumberFormat="1" applyFont="1" applyFill="1" applyBorder="1" applyAlignment="1">
      <alignment vertical="center"/>
    </xf>
    <xf numFmtId="0" fontId="16" fillId="5" borderId="99" xfId="0" applyNumberFormat="1" applyFont="1" applyFill="1" applyBorder="1" applyAlignment="1">
      <alignment vertical="center"/>
    </xf>
    <xf numFmtId="0" fontId="16" fillId="5" borderId="49" xfId="0" applyNumberFormat="1" applyFont="1" applyFill="1" applyBorder="1" applyAlignment="1">
      <alignment horizontal="center" vertical="center"/>
    </xf>
    <xf numFmtId="0" fontId="16" fillId="5" borderId="100" xfId="0" applyNumberFormat="1" applyFont="1" applyFill="1" applyBorder="1" applyAlignment="1">
      <alignment vertical="center"/>
    </xf>
    <xf numFmtId="0" fontId="9" fillId="0" borderId="9" xfId="0" applyFont="1" applyBorder="1" applyAlignment="1">
      <alignment vertical="center" wrapText="1"/>
    </xf>
    <xf numFmtId="0" fontId="9" fillId="0" borderId="18" xfId="0" applyFont="1" applyBorder="1" applyAlignment="1">
      <alignment horizontal="center" vertical="center"/>
    </xf>
    <xf numFmtId="0" fontId="9" fillId="0" borderId="97" xfId="0" applyFont="1" applyBorder="1" applyAlignment="1">
      <alignment vertical="center"/>
    </xf>
    <xf numFmtId="0" fontId="9" fillId="0" borderId="60" xfId="0" applyFont="1" applyBorder="1" applyAlignment="1">
      <alignment vertical="center" wrapText="1"/>
    </xf>
    <xf numFmtId="0" fontId="9" fillId="0" borderId="38" xfId="0" applyFont="1" applyBorder="1" applyAlignment="1">
      <alignment horizontal="center" vertical="center" wrapText="1"/>
    </xf>
    <xf numFmtId="0" fontId="9" fillId="0" borderId="38" xfId="0" applyFont="1" applyBorder="1" applyAlignment="1">
      <alignment vertical="center"/>
    </xf>
    <xf numFmtId="0" fontId="9" fillId="0" borderId="38" xfId="0" applyFont="1" applyBorder="1" applyAlignment="1">
      <alignment horizontal="center" vertical="center"/>
    </xf>
    <xf numFmtId="0" fontId="9" fillId="0" borderId="101" xfId="0" applyFont="1" applyBorder="1" applyAlignment="1">
      <alignment vertical="center"/>
    </xf>
    <xf numFmtId="0" fontId="9" fillId="6" borderId="25" xfId="6" applyFont="1" applyFill="1" applyBorder="1">
      <alignment vertical="center"/>
    </xf>
    <xf numFmtId="0" fontId="9" fillId="6" borderId="66" xfId="6" applyFont="1" applyFill="1" applyBorder="1">
      <alignment vertical="center"/>
    </xf>
    <xf numFmtId="0" fontId="22" fillId="6" borderId="56" xfId="0" applyFont="1" applyFill="1" applyBorder="1" applyAlignment="1"/>
    <xf numFmtId="0" fontId="22" fillId="6" borderId="99" xfId="0" applyFont="1" applyFill="1" applyBorder="1" applyAlignment="1"/>
    <xf numFmtId="0" fontId="22" fillId="6" borderId="98" xfId="0" applyFont="1" applyFill="1" applyBorder="1" applyAlignment="1"/>
    <xf numFmtId="0" fontId="22" fillId="6" borderId="58" xfId="0" applyFont="1" applyFill="1" applyBorder="1" applyAlignment="1"/>
    <xf numFmtId="0" fontId="22" fillId="6" borderId="102" xfId="0" applyFont="1" applyFill="1" applyBorder="1" applyAlignment="1"/>
    <xf numFmtId="0" fontId="9" fillId="9" borderId="63" xfId="6" applyFont="1" applyFill="1" applyBorder="1">
      <alignment vertical="center"/>
    </xf>
    <xf numFmtId="0" fontId="9" fillId="9" borderId="36" xfId="6" applyFont="1" applyFill="1" applyBorder="1">
      <alignment vertical="center"/>
    </xf>
    <xf numFmtId="0" fontId="9" fillId="9" borderId="97" xfId="6" applyFont="1" applyFill="1" applyBorder="1">
      <alignment vertical="center"/>
    </xf>
    <xf numFmtId="0" fontId="16" fillId="5" borderId="36" xfId="6" applyFont="1" applyFill="1" applyBorder="1">
      <alignment vertical="center"/>
    </xf>
    <xf numFmtId="0" fontId="9" fillId="0" borderId="18" xfId="5" applyNumberFormat="1" applyFont="1" applyFill="1" applyBorder="1" applyAlignment="1">
      <alignment wrapText="1"/>
    </xf>
    <xf numFmtId="0" fontId="29" fillId="8" borderId="7" xfId="2" applyFont="1" applyFill="1" applyBorder="1" applyAlignment="1"/>
    <xf numFmtId="0" fontId="29" fillId="8" borderId="36" xfId="2" applyFont="1" applyFill="1" applyBorder="1" applyAlignment="1"/>
    <xf numFmtId="0" fontId="29" fillId="8" borderId="97" xfId="2" applyFont="1" applyFill="1" applyBorder="1" applyAlignment="1"/>
    <xf numFmtId="0" fontId="9" fillId="0" borderId="58" xfId="5" applyNumberFormat="1" applyFont="1" applyFill="1" applyBorder="1" applyAlignment="1">
      <alignment wrapText="1"/>
    </xf>
    <xf numFmtId="0" fontId="9" fillId="0" borderId="102" xfId="5" applyNumberFormat="1" applyFont="1" applyFill="1" applyBorder="1" applyAlignment="1">
      <alignment wrapText="1"/>
    </xf>
    <xf numFmtId="0" fontId="16" fillId="5" borderId="0" xfId="6" applyFont="1" applyFill="1" applyBorder="1">
      <alignment vertical="center"/>
    </xf>
    <xf numFmtId="0" fontId="16" fillId="2" borderId="48" xfId="0" applyFont="1" applyFill="1" applyBorder="1" applyAlignment="1">
      <alignment horizontal="center"/>
    </xf>
    <xf numFmtId="0" fontId="16" fillId="0" borderId="0" xfId="0" applyFont="1" applyFill="1" applyBorder="1" applyAlignment="1">
      <alignment horizontal="left"/>
    </xf>
    <xf numFmtId="0" fontId="16" fillId="0" borderId="0" xfId="0" applyFont="1" applyFill="1" applyBorder="1" applyAlignment="1">
      <alignment horizontal="center"/>
    </xf>
    <xf numFmtId="0" fontId="16" fillId="0" borderId="0" xfId="0" applyFont="1" applyFill="1" applyBorder="1" applyAlignment="1">
      <alignment horizontal="center" shrinkToFit="1"/>
    </xf>
    <xf numFmtId="0" fontId="9" fillId="0" borderId="0" xfId="0" applyFont="1" applyFill="1" applyBorder="1" applyAlignment="1">
      <alignment horizontal="center" shrinkToFit="1"/>
    </xf>
    <xf numFmtId="0" fontId="9" fillId="0" borderId="0" xfId="0" applyFont="1" applyFill="1" applyBorder="1" applyAlignment="1">
      <alignment horizontal="center"/>
    </xf>
    <xf numFmtId="177" fontId="9" fillId="0" borderId="0" xfId="0" applyNumberFormat="1" applyFont="1" applyBorder="1" applyAlignment="1">
      <alignment horizontal="center"/>
    </xf>
    <xf numFmtId="0" fontId="9" fillId="0" borderId="0" xfId="0" applyFont="1" applyBorder="1" applyAlignment="1">
      <alignment horizontal="center"/>
    </xf>
    <xf numFmtId="0" fontId="9" fillId="0" borderId="0" xfId="0" applyNumberFormat="1" applyFont="1" applyBorder="1" applyAlignment="1">
      <alignment horizontal="center"/>
    </xf>
    <xf numFmtId="0" fontId="9" fillId="0" borderId="116" xfId="0" applyFont="1" applyBorder="1" applyAlignment="1">
      <alignment horizontal="left" vertical="top"/>
    </xf>
    <xf numFmtId="0" fontId="9" fillId="0" borderId="102" xfId="0" applyFont="1" applyBorder="1" applyAlignment="1">
      <alignment horizontal="left" vertical="top"/>
    </xf>
    <xf numFmtId="0" fontId="9" fillId="0" borderId="97" xfId="0" applyFont="1" applyBorder="1" applyAlignment="1">
      <alignment horizontal="left" vertical="top"/>
    </xf>
    <xf numFmtId="0" fontId="9" fillId="0" borderId="101" xfId="0" applyFont="1" applyBorder="1" applyAlignment="1">
      <alignment horizontal="left" vertical="top"/>
    </xf>
    <xf numFmtId="0" fontId="9" fillId="0" borderId="66" xfId="0" applyFont="1" applyBorder="1" applyAlignment="1">
      <alignment vertical="center"/>
    </xf>
    <xf numFmtId="0" fontId="9" fillId="0" borderId="1" xfId="0" applyFont="1" applyBorder="1" applyAlignment="1">
      <alignment vertical="center"/>
    </xf>
    <xf numFmtId="0" fontId="9" fillId="0" borderId="12" xfId="0" applyFont="1" applyBorder="1" applyAlignment="1">
      <alignment vertical="center"/>
    </xf>
    <xf numFmtId="0" fontId="9" fillId="0" borderId="16" xfId="0" applyFont="1" applyBorder="1" applyAlignment="1">
      <alignment vertical="center"/>
    </xf>
    <xf numFmtId="0" fontId="9" fillId="0" borderId="0" xfId="0" applyFont="1" applyBorder="1" applyAlignment="1">
      <alignment vertical="center"/>
    </xf>
    <xf numFmtId="0" fontId="9" fillId="0" borderId="0" xfId="0" applyFont="1" applyBorder="1" applyAlignment="1">
      <alignment horizontal="left" vertical="center" wrapText="1"/>
    </xf>
    <xf numFmtId="0" fontId="9" fillId="0" borderId="117" xfId="0" applyFont="1" applyBorder="1" applyAlignment="1">
      <alignment horizontal="center" vertical="center" wrapText="1"/>
    </xf>
    <xf numFmtId="0" fontId="9" fillId="0" borderId="118" xfId="0" applyFont="1" applyBorder="1" applyAlignment="1">
      <alignment horizontal="center" vertical="center"/>
    </xf>
    <xf numFmtId="0" fontId="9" fillId="0" borderId="119" xfId="0" applyFont="1" applyBorder="1" applyAlignment="1">
      <alignment horizontal="center" vertical="center"/>
    </xf>
    <xf numFmtId="0" fontId="9" fillId="0" borderId="1" xfId="0" applyFont="1" applyBorder="1" applyAlignment="1">
      <alignment horizontal="center" vertical="center"/>
    </xf>
    <xf numFmtId="0" fontId="9" fillId="0" borderId="1" xfId="0" applyFont="1" applyFill="1" applyBorder="1" applyAlignment="1">
      <alignment horizontal="center" vertical="center"/>
    </xf>
    <xf numFmtId="0" fontId="9" fillId="0" borderId="0" xfId="7" applyFont="1">
      <alignment vertical="center"/>
    </xf>
    <xf numFmtId="0" fontId="16" fillId="2" borderId="8" xfId="0" applyFont="1" applyFill="1" applyBorder="1">
      <alignment vertical="center"/>
    </xf>
    <xf numFmtId="0" fontId="16" fillId="6" borderId="18" xfId="0" applyFont="1" applyFill="1" applyBorder="1">
      <alignment vertical="center"/>
    </xf>
    <xf numFmtId="0" fontId="16" fillId="2" borderId="39" xfId="0" applyFont="1" applyFill="1" applyBorder="1">
      <alignment vertical="center"/>
    </xf>
    <xf numFmtId="0" fontId="9" fillId="0" borderId="8" xfId="0" applyFont="1" applyBorder="1">
      <alignment vertical="center"/>
    </xf>
    <xf numFmtId="0" fontId="9" fillId="0" borderId="39" xfId="0" applyFont="1" applyBorder="1">
      <alignment vertical="center"/>
    </xf>
    <xf numFmtId="0" fontId="16" fillId="6" borderId="8" xfId="0" applyFont="1" applyFill="1" applyBorder="1">
      <alignment vertical="center"/>
    </xf>
    <xf numFmtId="0" fontId="9" fillId="6" borderId="7" xfId="0" applyFont="1" applyFill="1" applyBorder="1">
      <alignment vertical="center"/>
    </xf>
    <xf numFmtId="0" fontId="9" fillId="0" borderId="8" xfId="0" applyFont="1" applyBorder="1" applyAlignment="1">
      <alignment horizontal="center" vertical="center"/>
    </xf>
    <xf numFmtId="0" fontId="9" fillId="0" borderId="18" xfId="0" applyFont="1" applyBorder="1" applyAlignment="1">
      <alignment horizontal="center" vertical="center"/>
    </xf>
    <xf numFmtId="0" fontId="14" fillId="10" borderId="59" xfId="0" applyNumberFormat="1" applyFont="1" applyFill="1" applyBorder="1" applyAlignment="1">
      <alignment vertical="center"/>
    </xf>
    <xf numFmtId="0" fontId="34" fillId="10" borderId="120" xfId="0" applyFont="1" applyFill="1" applyBorder="1" applyAlignment="1">
      <alignment vertical="center"/>
    </xf>
    <xf numFmtId="0" fontId="34" fillId="10" borderId="121" xfId="0" applyFont="1" applyFill="1" applyBorder="1" applyAlignment="1">
      <alignment vertical="center"/>
    </xf>
    <xf numFmtId="0" fontId="14" fillId="10" borderId="121" xfId="0" applyNumberFormat="1" applyFont="1" applyFill="1" applyBorder="1" applyAlignment="1">
      <alignment vertical="center"/>
    </xf>
    <xf numFmtId="0" fontId="14" fillId="10" borderId="120" xfId="0" applyNumberFormat="1" applyFont="1" applyFill="1" applyBorder="1" applyAlignment="1">
      <alignment vertical="center"/>
    </xf>
    <xf numFmtId="0" fontId="14" fillId="10" borderId="121" xfId="0" applyFont="1" applyFill="1" applyBorder="1" applyAlignment="1">
      <alignment vertical="center"/>
    </xf>
    <xf numFmtId="0" fontId="14" fillId="10" borderId="120" xfId="0" applyFont="1" applyFill="1" applyBorder="1" applyAlignment="1">
      <alignment vertical="center"/>
    </xf>
    <xf numFmtId="0" fontId="14" fillId="0" borderId="0" xfId="0" applyNumberFormat="1" applyFont="1" applyFill="1" applyBorder="1" applyAlignment="1">
      <alignment vertical="center"/>
    </xf>
    <xf numFmtId="0" fontId="14" fillId="0" borderId="0" xfId="0" applyNumberFormat="1" applyFont="1" applyBorder="1" applyAlignment="1">
      <alignment vertical="center"/>
    </xf>
    <xf numFmtId="0" fontId="34" fillId="0" borderId="12" xfId="0" applyFont="1" applyBorder="1" applyAlignment="1">
      <alignment vertical="center"/>
    </xf>
    <xf numFmtId="0" fontId="34" fillId="0" borderId="0" xfId="0" applyFont="1" applyBorder="1" applyAlignment="1">
      <alignment vertical="center"/>
    </xf>
    <xf numFmtId="0" fontId="14" fillId="0" borderId="12" xfId="0" applyNumberFormat="1" applyFont="1" applyBorder="1" applyAlignment="1">
      <alignment vertical="center"/>
    </xf>
    <xf numFmtId="0" fontId="14" fillId="0" borderId="12" xfId="0" applyNumberFormat="1" applyFont="1" applyFill="1" applyBorder="1" applyAlignment="1">
      <alignment vertical="center"/>
    </xf>
    <xf numFmtId="0" fontId="14" fillId="0" borderId="0" xfId="0" applyFont="1" applyBorder="1" applyAlignment="1">
      <alignment vertical="center"/>
    </xf>
    <xf numFmtId="0" fontId="14" fillId="0" borderId="12" xfId="0" applyFont="1" applyBorder="1" applyAlignment="1">
      <alignment vertical="center"/>
    </xf>
    <xf numFmtId="0" fontId="14" fillId="0" borderId="16" xfId="0" applyNumberFormat="1" applyFont="1" applyBorder="1" applyAlignment="1">
      <alignment vertical="center"/>
    </xf>
    <xf numFmtId="0" fontId="14" fillId="9" borderId="18" xfId="0" applyNumberFormat="1" applyFont="1" applyFill="1" applyBorder="1" applyAlignment="1">
      <alignment vertical="center"/>
    </xf>
    <xf numFmtId="0" fontId="34" fillId="9" borderId="19" xfId="0" applyFont="1" applyFill="1" applyBorder="1" applyAlignment="1">
      <alignment vertical="center"/>
    </xf>
    <xf numFmtId="0" fontId="34" fillId="9" borderId="7" xfId="0" applyFont="1" applyFill="1" applyBorder="1" applyAlignment="1">
      <alignment vertical="center"/>
    </xf>
    <xf numFmtId="0" fontId="14" fillId="9" borderId="7" xfId="0" applyNumberFormat="1" applyFont="1" applyFill="1" applyBorder="1" applyAlignment="1">
      <alignment vertical="center"/>
    </xf>
    <xf numFmtId="0" fontId="14" fillId="9" borderId="19" xfId="0" applyNumberFormat="1" applyFont="1" applyFill="1" applyBorder="1" applyAlignment="1">
      <alignment vertical="center"/>
    </xf>
    <xf numFmtId="0" fontId="14" fillId="9" borderId="7" xfId="0" applyFont="1" applyFill="1" applyBorder="1" applyAlignment="1">
      <alignment vertical="center"/>
    </xf>
    <xf numFmtId="0" fontId="14" fillId="9" borderId="19" xfId="0" applyFont="1" applyFill="1" applyBorder="1" applyAlignment="1">
      <alignment vertical="center"/>
    </xf>
    <xf numFmtId="0" fontId="14" fillId="9" borderId="16" xfId="0" applyNumberFormat="1" applyFont="1" applyFill="1" applyBorder="1" applyAlignment="1">
      <alignment vertical="center"/>
    </xf>
    <xf numFmtId="0" fontId="34" fillId="9" borderId="12" xfId="0" applyFont="1" applyFill="1" applyBorder="1" applyAlignment="1">
      <alignment vertical="center"/>
    </xf>
    <xf numFmtId="0" fontId="34" fillId="9" borderId="0" xfId="0" applyFont="1" applyFill="1" applyBorder="1" applyAlignment="1">
      <alignment vertical="center"/>
    </xf>
    <xf numFmtId="0" fontId="14" fillId="9" borderId="0" xfId="0" applyNumberFormat="1" applyFont="1" applyFill="1" applyBorder="1" applyAlignment="1">
      <alignment vertical="center"/>
    </xf>
    <xf numFmtId="0" fontId="14" fillId="9" borderId="12" xfId="0" applyNumberFormat="1" applyFont="1" applyFill="1" applyBorder="1" applyAlignment="1">
      <alignment vertical="center"/>
    </xf>
    <xf numFmtId="0" fontId="14" fillId="9" borderId="0" xfId="0" applyFont="1" applyFill="1" applyBorder="1" applyAlignment="1">
      <alignment vertical="center"/>
    </xf>
    <xf numFmtId="0" fontId="14" fillId="9" borderId="12" xfId="0" applyFont="1" applyFill="1" applyBorder="1" applyAlignment="1">
      <alignment vertical="center"/>
    </xf>
    <xf numFmtId="0" fontId="12" fillId="6" borderId="83" xfId="0" applyFont="1" applyFill="1" applyBorder="1" applyAlignment="1">
      <alignment horizontal="center" vertical="center"/>
    </xf>
    <xf numFmtId="0" fontId="12" fillId="6" borderId="86" xfId="0" applyFont="1" applyFill="1" applyBorder="1" applyAlignment="1">
      <alignment horizontal="center" vertical="center"/>
    </xf>
    <xf numFmtId="0" fontId="12" fillId="6" borderId="87" xfId="0" applyFont="1" applyFill="1" applyBorder="1" applyAlignment="1">
      <alignment horizontal="center" vertical="center"/>
    </xf>
    <xf numFmtId="14" fontId="8" fillId="3" borderId="18" xfId="0" applyNumberFormat="1" applyFont="1" applyFill="1" applyBorder="1" applyAlignment="1">
      <alignment horizontal="center" vertical="center" wrapText="1"/>
    </xf>
    <xf numFmtId="0" fontId="8" fillId="3" borderId="7" xfId="0" applyFont="1" applyFill="1" applyBorder="1" applyAlignment="1">
      <alignment horizontal="center" vertical="center" wrapText="1"/>
    </xf>
    <xf numFmtId="0" fontId="8" fillId="3" borderId="19" xfId="0" applyFont="1" applyFill="1" applyBorder="1" applyAlignment="1">
      <alignment horizontal="center" vertical="center" wrapText="1"/>
    </xf>
    <xf numFmtId="177" fontId="10" fillId="0" borderId="18" xfId="0" applyNumberFormat="1" applyFont="1" applyBorder="1" applyAlignment="1">
      <alignment horizontal="left" vertical="center"/>
    </xf>
    <xf numFmtId="177" fontId="10" fillId="0" borderId="7" xfId="0" applyNumberFormat="1" applyFont="1" applyBorder="1" applyAlignment="1">
      <alignment horizontal="left" vertical="center"/>
    </xf>
    <xf numFmtId="177" fontId="10" fillId="0" borderId="19" xfId="0" applyNumberFormat="1" applyFont="1" applyBorder="1" applyAlignment="1">
      <alignment horizontal="left" vertical="center"/>
    </xf>
    <xf numFmtId="0" fontId="10" fillId="0" borderId="18" xfId="0" applyFont="1" applyBorder="1" applyAlignment="1">
      <alignment horizontal="left" vertical="center" wrapText="1"/>
    </xf>
    <xf numFmtId="0" fontId="10" fillId="0" borderId="7" xfId="0" applyFont="1" applyBorder="1" applyAlignment="1">
      <alignment horizontal="left" vertical="center"/>
    </xf>
    <xf numFmtId="0" fontId="10" fillId="0" borderId="19" xfId="0" applyFont="1" applyBorder="1" applyAlignment="1">
      <alignment horizontal="left" vertical="center"/>
    </xf>
    <xf numFmtId="0" fontId="10" fillId="0" borderId="18" xfId="0" applyFont="1" applyBorder="1" applyAlignment="1">
      <alignment horizontal="left" vertical="center"/>
    </xf>
    <xf numFmtId="0" fontId="8" fillId="3" borderId="18" xfId="0" applyFont="1" applyFill="1" applyBorder="1" applyAlignment="1">
      <alignment horizontal="center" vertical="center" wrapText="1"/>
    </xf>
    <xf numFmtId="0" fontId="10" fillId="3" borderId="7" xfId="0" applyFont="1" applyFill="1" applyBorder="1">
      <alignment vertical="center"/>
    </xf>
    <xf numFmtId="0" fontId="10" fillId="3" borderId="19" xfId="0" applyFont="1" applyFill="1" applyBorder="1">
      <alignment vertical="center"/>
    </xf>
    <xf numFmtId="14" fontId="10" fillId="0" borderId="18" xfId="0" applyNumberFormat="1" applyFont="1" applyBorder="1" applyAlignment="1">
      <alignment horizontal="left" vertical="center"/>
    </xf>
    <xf numFmtId="0" fontId="8" fillId="3" borderId="18" xfId="0" applyFont="1" applyFill="1" applyBorder="1" applyAlignment="1">
      <alignment horizontal="center" vertical="center"/>
    </xf>
    <xf numFmtId="0" fontId="8" fillId="3" borderId="7" xfId="0" applyFont="1" applyFill="1" applyBorder="1" applyAlignment="1">
      <alignment horizontal="center" vertical="center"/>
    </xf>
    <xf numFmtId="0" fontId="8" fillId="3" borderId="19" xfId="0" applyFont="1" applyFill="1" applyBorder="1" applyAlignment="1">
      <alignment horizontal="center" vertical="center"/>
    </xf>
    <xf numFmtId="14" fontId="10" fillId="0" borderId="18" xfId="0" applyNumberFormat="1" applyFont="1" applyBorder="1" applyAlignment="1">
      <alignment horizontal="center" vertical="center" wrapText="1"/>
    </xf>
    <xf numFmtId="0" fontId="9" fillId="0" borderId="7" xfId="0" applyFont="1" applyBorder="1" applyAlignment="1">
      <alignment horizontal="center" vertical="center" wrapText="1"/>
    </xf>
    <xf numFmtId="0" fontId="9" fillId="0" borderId="19" xfId="0" applyFont="1" applyBorder="1" applyAlignment="1">
      <alignment horizontal="center" vertical="center" wrapText="1"/>
    </xf>
    <xf numFmtId="0" fontId="9" fillId="0" borderId="18" xfId="0" applyFont="1" applyBorder="1" applyAlignment="1">
      <alignment horizontal="center" vertical="center" wrapText="1"/>
    </xf>
    <xf numFmtId="0" fontId="10" fillId="0" borderId="36" xfId="0" applyFont="1" applyBorder="1" applyAlignment="1">
      <alignment horizontal="center" vertical="center"/>
    </xf>
    <xf numFmtId="177" fontId="10" fillId="0" borderId="18" xfId="0" applyNumberFormat="1" applyFont="1" applyBorder="1" applyAlignment="1">
      <alignment horizontal="center" vertical="center"/>
    </xf>
    <xf numFmtId="177" fontId="10" fillId="0" borderId="7" xfId="0" applyNumberFormat="1" applyFont="1" applyBorder="1" applyAlignment="1">
      <alignment horizontal="center" vertical="center"/>
    </xf>
    <xf numFmtId="177" fontId="10" fillId="0" borderId="19" xfId="0" applyNumberFormat="1" applyFont="1" applyBorder="1" applyAlignment="1">
      <alignment horizontal="center" vertical="center"/>
    </xf>
    <xf numFmtId="0" fontId="8" fillId="3" borderId="36" xfId="0" applyFont="1" applyFill="1" applyBorder="1" applyAlignment="1">
      <alignment horizontal="center" vertical="center" wrapText="1"/>
    </xf>
    <xf numFmtId="0" fontId="10" fillId="0" borderId="33" xfId="0" applyFont="1" applyBorder="1" applyAlignment="1">
      <alignment horizontal="left" vertical="center"/>
    </xf>
    <xf numFmtId="0" fontId="10" fillId="0" borderId="34" xfId="0" applyFont="1" applyBorder="1" applyAlignment="1">
      <alignment horizontal="left" vertical="center"/>
    </xf>
    <xf numFmtId="0" fontId="10" fillId="0" borderId="35" xfId="0" applyFont="1" applyBorder="1" applyAlignment="1">
      <alignment horizontal="left" vertical="center"/>
    </xf>
    <xf numFmtId="176" fontId="10" fillId="0" borderId="18" xfId="0" applyNumberFormat="1" applyFont="1" applyBorder="1" applyAlignment="1">
      <alignment horizontal="left" vertical="center"/>
    </xf>
    <xf numFmtId="176" fontId="10" fillId="0" borderId="7" xfId="0" applyNumberFormat="1" applyFont="1" applyBorder="1" applyAlignment="1">
      <alignment horizontal="left" vertical="center"/>
    </xf>
    <xf numFmtId="176" fontId="10" fillId="0" borderId="19" xfId="0" applyNumberFormat="1" applyFont="1" applyBorder="1" applyAlignment="1">
      <alignment horizontal="left" vertical="center"/>
    </xf>
    <xf numFmtId="0" fontId="8" fillId="3" borderId="33" xfId="0" applyFont="1" applyFill="1" applyBorder="1" applyAlignment="1">
      <alignment horizontal="center" vertical="center" wrapText="1"/>
    </xf>
    <xf numFmtId="0" fontId="10" fillId="3" borderId="34" xfId="0" applyFont="1" applyFill="1" applyBorder="1">
      <alignment vertical="center"/>
    </xf>
    <xf numFmtId="0" fontId="10" fillId="3" borderId="35" xfId="0" applyFont="1" applyFill="1" applyBorder="1">
      <alignment vertical="center"/>
    </xf>
    <xf numFmtId="0" fontId="10" fillId="0" borderId="18" xfId="0" quotePrefix="1" applyFont="1" applyBorder="1" applyAlignment="1">
      <alignment horizontal="left" vertical="center"/>
    </xf>
    <xf numFmtId="0" fontId="16" fillId="2" borderId="32" xfId="0" applyFont="1" applyFill="1" applyBorder="1" applyAlignment="1">
      <alignment horizontal="center" shrinkToFit="1"/>
    </xf>
    <xf numFmtId="0" fontId="9" fillId="0" borderId="30" xfId="0" applyFont="1" applyBorder="1" applyAlignment="1">
      <alignment horizontal="center" shrinkToFit="1"/>
    </xf>
    <xf numFmtId="0" fontId="16" fillId="2" borderId="32" xfId="0" applyFont="1" applyFill="1" applyBorder="1" applyAlignment="1">
      <alignment horizontal="center"/>
    </xf>
    <xf numFmtId="0" fontId="9" fillId="0" borderId="30" xfId="0" applyFont="1" applyBorder="1" applyAlignment="1">
      <alignment horizontal="center"/>
    </xf>
    <xf numFmtId="0" fontId="16" fillId="2" borderId="115" xfId="0" applyFont="1" applyFill="1" applyBorder="1" applyAlignment="1">
      <alignment horizontal="center"/>
    </xf>
    <xf numFmtId="0" fontId="9" fillId="0" borderId="100" xfId="0" applyFont="1" applyBorder="1" applyAlignment="1">
      <alignment horizontal="center"/>
    </xf>
    <xf numFmtId="14" fontId="9" fillId="0" borderId="112" xfId="0" applyNumberFormat="1" applyFont="1" applyBorder="1" applyAlignment="1">
      <alignment horizontal="center" vertical="top"/>
    </xf>
    <xf numFmtId="14" fontId="9" fillId="0" borderId="113" xfId="0" applyNumberFormat="1" applyFont="1" applyBorder="1" applyAlignment="1">
      <alignment horizontal="center" vertical="top"/>
    </xf>
    <xf numFmtId="14" fontId="9" fillId="0" borderId="114" xfId="0" applyNumberFormat="1" applyFont="1" applyBorder="1" applyAlignment="1">
      <alignment horizontal="center" vertical="top"/>
    </xf>
    <xf numFmtId="0" fontId="9" fillId="0" borderId="108" xfId="0" applyNumberFormat="1" applyFont="1" applyBorder="1" applyAlignment="1">
      <alignment horizontal="center" vertical="top"/>
    </xf>
    <xf numFmtId="0" fontId="9" fillId="0" borderId="79" xfId="0" applyNumberFormat="1" applyFont="1" applyBorder="1" applyAlignment="1">
      <alignment horizontal="center" vertical="top"/>
    </xf>
    <xf numFmtId="177" fontId="9" fillId="0" borderId="77" xfId="0" applyNumberFormat="1" applyFont="1" applyBorder="1" applyAlignment="1">
      <alignment horizontal="center" vertical="top"/>
    </xf>
    <xf numFmtId="177" fontId="9" fillId="0" borderId="78" xfId="0" applyNumberFormat="1" applyFont="1" applyBorder="1" applyAlignment="1">
      <alignment horizontal="center" vertical="top"/>
    </xf>
    <xf numFmtId="177" fontId="9" fillId="0" borderId="79" xfId="0" applyNumberFormat="1" applyFont="1" applyBorder="1" applyAlignment="1">
      <alignment horizontal="center" vertical="top"/>
    </xf>
    <xf numFmtId="0" fontId="9" fillId="0" borderId="77" xfId="0" applyFont="1" applyBorder="1" applyAlignment="1">
      <alignment vertical="top" wrapText="1"/>
    </xf>
    <xf numFmtId="0" fontId="9" fillId="0" borderId="78" xfId="0" applyFont="1" applyBorder="1" applyAlignment="1">
      <alignment vertical="top"/>
    </xf>
    <xf numFmtId="0" fontId="9" fillId="0" borderId="79" xfId="0" applyFont="1" applyBorder="1" applyAlignment="1">
      <alignment vertical="top"/>
    </xf>
    <xf numFmtId="0" fontId="9" fillId="0" borderId="77" xfId="0" applyNumberFormat="1" applyFont="1" applyBorder="1" applyAlignment="1">
      <alignment horizontal="center" vertical="top"/>
    </xf>
    <xf numFmtId="0" fontId="9" fillId="0" borderId="78" xfId="0" applyNumberFormat="1" applyFont="1" applyBorder="1" applyAlignment="1">
      <alignment horizontal="center" vertical="top"/>
    </xf>
    <xf numFmtId="14" fontId="9" fillId="0" borderId="77" xfId="0" applyNumberFormat="1" applyFont="1" applyBorder="1" applyAlignment="1">
      <alignment horizontal="center" vertical="top"/>
    </xf>
    <xf numFmtId="14" fontId="9" fillId="0" borderId="78" xfId="0" applyNumberFormat="1" applyFont="1" applyBorder="1" applyAlignment="1">
      <alignment horizontal="center" vertical="top"/>
    </xf>
    <xf numFmtId="14" fontId="9" fillId="0" borderId="109" xfId="0" applyNumberFormat="1" applyFont="1" applyBorder="1" applyAlignment="1">
      <alignment horizontal="center" vertical="top"/>
    </xf>
    <xf numFmtId="0" fontId="9" fillId="0" borderId="110" xfId="0" applyNumberFormat="1" applyFont="1" applyBorder="1" applyAlignment="1">
      <alignment horizontal="center" vertical="top"/>
    </xf>
    <xf numFmtId="0" fontId="9" fillId="0" borderId="111" xfId="0" applyNumberFormat="1" applyFont="1" applyBorder="1" applyAlignment="1">
      <alignment horizontal="center" vertical="top"/>
    </xf>
    <xf numFmtId="177" fontId="9" fillId="0" borderId="112" xfId="0" applyNumberFormat="1" applyFont="1" applyBorder="1" applyAlignment="1">
      <alignment horizontal="center" vertical="top"/>
    </xf>
    <xf numFmtId="177" fontId="9" fillId="0" borderId="113" xfId="0" applyNumberFormat="1" applyFont="1" applyBorder="1" applyAlignment="1">
      <alignment horizontal="center" vertical="top"/>
    </xf>
    <xf numFmtId="177" fontId="9" fillId="0" borderId="111" xfId="0" applyNumberFormat="1" applyFont="1" applyBorder="1" applyAlignment="1">
      <alignment horizontal="center" vertical="top"/>
    </xf>
    <xf numFmtId="0" fontId="9" fillId="0" borderId="112" xfId="0" applyFont="1" applyBorder="1" applyAlignment="1">
      <alignment horizontal="left" vertical="top" wrapText="1"/>
    </xf>
    <xf numFmtId="0" fontId="9" fillId="0" borderId="113" xfId="0" applyFont="1" applyBorder="1" applyAlignment="1">
      <alignment horizontal="left" vertical="top" wrapText="1"/>
    </xf>
    <xf numFmtId="0" fontId="9" fillId="0" borderId="111" xfId="0" applyFont="1" applyBorder="1" applyAlignment="1">
      <alignment horizontal="left" vertical="top" wrapText="1"/>
    </xf>
    <xf numFmtId="0" fontId="9" fillId="0" borderId="112" xfId="0" applyNumberFormat="1" applyFont="1" applyBorder="1" applyAlignment="1">
      <alignment horizontal="center" vertical="top"/>
    </xf>
    <xf numFmtId="0" fontId="9" fillId="0" borderId="113" xfId="0" applyNumberFormat="1" applyFont="1" applyBorder="1" applyAlignment="1">
      <alignment horizontal="center" vertical="top"/>
    </xf>
    <xf numFmtId="0" fontId="9" fillId="6" borderId="104" xfId="0" applyFont="1" applyFill="1" applyBorder="1" applyAlignment="1">
      <alignment horizontal="center" vertical="top"/>
    </xf>
    <xf numFmtId="0" fontId="9" fillId="6" borderId="84" xfId="0" applyFont="1" applyFill="1" applyBorder="1" applyAlignment="1">
      <alignment horizontal="center" vertical="top"/>
    </xf>
    <xf numFmtId="0" fontId="9" fillId="6" borderId="105" xfId="0" applyFont="1" applyFill="1" applyBorder="1" applyAlignment="1">
      <alignment horizontal="center" vertical="top"/>
    </xf>
    <xf numFmtId="0" fontId="9" fillId="6" borderId="106" xfId="0" applyFont="1" applyFill="1" applyBorder="1" applyAlignment="1">
      <alignment horizontal="center" vertical="top"/>
    </xf>
    <xf numFmtId="0" fontId="9" fillId="2" borderId="84" xfId="0" applyFont="1" applyFill="1" applyBorder="1" applyAlignment="1">
      <alignment horizontal="center" vertical="top"/>
    </xf>
    <xf numFmtId="0" fontId="9" fillId="2" borderId="85" xfId="0" applyFont="1" applyFill="1" applyBorder="1" applyAlignment="1">
      <alignment horizontal="center" vertical="top"/>
    </xf>
    <xf numFmtId="0" fontId="9" fillId="2" borderId="106" xfId="0" applyFont="1" applyFill="1" applyBorder="1" applyAlignment="1">
      <alignment horizontal="center" vertical="top"/>
    </xf>
    <xf numFmtId="0" fontId="9" fillId="2" borderId="107" xfId="0" applyFont="1" applyFill="1" applyBorder="1" applyAlignment="1">
      <alignment horizontal="center" vertical="top"/>
    </xf>
    <xf numFmtId="0" fontId="9" fillId="0" borderId="23" xfId="0" applyNumberFormat="1" applyFont="1" applyBorder="1" applyAlignment="1">
      <alignment horizontal="center" vertical="top"/>
    </xf>
    <xf numFmtId="0" fontId="9" fillId="0" borderId="36" xfId="0" applyNumberFormat="1" applyFont="1" applyBorder="1" applyAlignment="1">
      <alignment horizontal="center" vertical="top"/>
    </xf>
    <xf numFmtId="0" fontId="9" fillId="0" borderId="24" xfId="0" applyNumberFormat="1" applyFont="1" applyBorder="1" applyAlignment="1">
      <alignment horizontal="center" vertical="top"/>
    </xf>
    <xf numFmtId="0" fontId="9" fillId="0" borderId="46" xfId="0" applyNumberFormat="1" applyFont="1" applyBorder="1" applyAlignment="1">
      <alignment horizontal="center" vertical="top"/>
    </xf>
    <xf numFmtId="14" fontId="9" fillId="0" borderId="36" xfId="0" applyNumberFormat="1" applyFont="1" applyBorder="1" applyAlignment="1">
      <alignment horizontal="center" vertical="top"/>
    </xf>
    <xf numFmtId="0" fontId="9" fillId="0" borderId="36" xfId="0" applyFont="1" applyBorder="1" applyAlignment="1">
      <alignment horizontal="center" vertical="top"/>
    </xf>
    <xf numFmtId="0" fontId="9" fillId="0" borderId="46" xfId="0" applyFont="1" applyBorder="1" applyAlignment="1">
      <alignment horizontal="center" vertical="top"/>
    </xf>
    <xf numFmtId="0" fontId="9" fillId="0" borderId="33" xfId="0" applyFont="1" applyBorder="1" applyAlignment="1">
      <alignment horizontal="left" vertical="top"/>
    </xf>
    <xf numFmtId="0" fontId="9" fillId="0" borderId="34" xfId="0" applyFont="1" applyBorder="1" applyAlignment="1">
      <alignment horizontal="left" vertical="top"/>
    </xf>
    <xf numFmtId="0" fontId="9" fillId="0" borderId="35" xfId="0" applyFont="1" applyBorder="1" applyAlignment="1">
      <alignment horizontal="left" vertical="top"/>
    </xf>
    <xf numFmtId="0" fontId="9" fillId="0" borderId="18" xfId="0" applyNumberFormat="1" applyFont="1" applyBorder="1" applyAlignment="1">
      <alignment horizontal="center" vertical="top"/>
    </xf>
    <xf numFmtId="0" fontId="9" fillId="0" borderId="7" xfId="0" applyNumberFormat="1" applyFont="1" applyBorder="1" applyAlignment="1">
      <alignment horizontal="center" vertical="top"/>
    </xf>
    <xf numFmtId="0" fontId="9" fillId="0" borderId="39" xfId="0" applyNumberFormat="1" applyFont="1" applyBorder="1" applyAlignment="1">
      <alignment horizontal="center" vertical="top"/>
    </xf>
    <xf numFmtId="0" fontId="9" fillId="0" borderId="38" xfId="0" applyNumberFormat="1" applyFont="1" applyBorder="1" applyAlignment="1">
      <alignment horizontal="center" vertical="top"/>
    </xf>
    <xf numFmtId="0" fontId="9" fillId="0" borderId="21" xfId="0" applyNumberFormat="1" applyFont="1" applyBorder="1" applyAlignment="1">
      <alignment horizontal="center" vertical="top"/>
    </xf>
    <xf numFmtId="0" fontId="9" fillId="0" borderId="40" xfId="0" applyNumberFormat="1" applyFont="1" applyBorder="1" applyAlignment="1">
      <alignment horizontal="center" vertical="top"/>
    </xf>
    <xf numFmtId="0" fontId="9" fillId="0" borderId="16" xfId="0" applyFont="1" applyBorder="1" applyAlignment="1">
      <alignment horizontal="left" vertical="top"/>
    </xf>
    <xf numFmtId="0" fontId="9" fillId="0" borderId="0" xfId="0" applyFont="1" applyBorder="1" applyAlignment="1">
      <alignment horizontal="left" vertical="top"/>
    </xf>
    <xf numFmtId="0" fontId="9" fillId="0" borderId="12" xfId="0" applyFont="1" applyBorder="1" applyAlignment="1">
      <alignment horizontal="left" vertical="top"/>
    </xf>
    <xf numFmtId="0" fontId="9" fillId="0" borderId="20" xfId="0" applyFont="1" applyBorder="1" applyAlignment="1">
      <alignment horizontal="left" vertical="top"/>
    </xf>
    <xf numFmtId="0" fontId="9" fillId="0" borderId="3" xfId="0" applyFont="1" applyBorder="1" applyAlignment="1">
      <alignment horizontal="left" vertical="top"/>
    </xf>
    <xf numFmtId="0" fontId="9" fillId="0" borderId="13" xfId="0" applyFont="1" applyBorder="1" applyAlignment="1">
      <alignment horizontal="left" vertical="top"/>
    </xf>
    <xf numFmtId="0" fontId="9" fillId="2" borderId="11" xfId="0" applyFont="1" applyFill="1" applyBorder="1" applyAlignment="1">
      <alignment horizontal="center" vertical="top"/>
    </xf>
    <xf numFmtId="0" fontId="9" fillId="2" borderId="5" xfId="0" applyFont="1" applyFill="1" applyBorder="1" applyAlignment="1">
      <alignment horizontal="center" vertical="top"/>
    </xf>
    <xf numFmtId="0" fontId="9" fillId="2" borderId="10" xfId="0" applyFont="1" applyFill="1" applyBorder="1" applyAlignment="1">
      <alignment horizontal="center" vertical="top"/>
    </xf>
    <xf numFmtId="0" fontId="9" fillId="2" borderId="48" xfId="0" applyFont="1" applyFill="1" applyBorder="1" applyAlignment="1">
      <alignment horizontal="center" vertical="top"/>
    </xf>
    <xf numFmtId="0" fontId="9" fillId="2" borderId="26" xfId="0" applyFont="1" applyFill="1" applyBorder="1" applyAlignment="1">
      <alignment horizontal="center" vertical="top"/>
    </xf>
    <xf numFmtId="0" fontId="9" fillId="2" borderId="27" xfId="0" applyFont="1" applyFill="1" applyBorder="1" applyAlignment="1">
      <alignment horizontal="center" vertical="top"/>
    </xf>
    <xf numFmtId="0" fontId="9" fillId="0" borderId="22" xfId="0" applyNumberFormat="1" applyFont="1" applyBorder="1" applyAlignment="1">
      <alignment horizontal="center" vertical="top"/>
    </xf>
    <xf numFmtId="0" fontId="9" fillId="0" borderId="88" xfId="0" applyNumberFormat="1" applyFont="1" applyBorder="1" applyAlignment="1">
      <alignment horizontal="center" vertical="top"/>
    </xf>
    <xf numFmtId="14" fontId="9" fillId="0" borderId="88" xfId="0" applyNumberFormat="1" applyFont="1" applyBorder="1" applyAlignment="1">
      <alignment horizontal="center" vertical="top"/>
    </xf>
    <xf numFmtId="0" fontId="9" fillId="0" borderId="88" xfId="0" applyFont="1" applyBorder="1" applyAlignment="1">
      <alignment horizontal="center" vertical="top"/>
    </xf>
    <xf numFmtId="0" fontId="9" fillId="0" borderId="93" xfId="0" applyFont="1" applyBorder="1" applyAlignment="1">
      <alignment horizontal="left" vertical="top"/>
    </xf>
    <xf numFmtId="0" fontId="9" fillId="0" borderId="65" xfId="0" applyFont="1" applyBorder="1" applyAlignment="1">
      <alignment horizontal="left" vertical="top"/>
    </xf>
    <xf numFmtId="0" fontId="9" fillId="0" borderId="95" xfId="0" applyFont="1" applyBorder="1" applyAlignment="1">
      <alignment horizontal="left" vertical="top"/>
    </xf>
    <xf numFmtId="0" fontId="9" fillId="0" borderId="14" xfId="0" applyNumberFormat="1" applyFont="1" applyBorder="1" applyAlignment="1">
      <alignment horizontal="center" vertical="top"/>
    </xf>
    <xf numFmtId="0" fontId="9" fillId="0" borderId="6" xfId="0" applyNumberFormat="1" applyFont="1" applyBorder="1" applyAlignment="1">
      <alignment horizontal="center" vertical="top"/>
    </xf>
    <xf numFmtId="0" fontId="9" fillId="0" borderId="68" xfId="0" applyNumberFormat="1" applyFont="1" applyBorder="1" applyAlignment="1">
      <alignment horizontal="center" vertical="top"/>
    </xf>
    <xf numFmtId="0" fontId="9" fillId="2" borderId="103" xfId="0" applyFont="1" applyFill="1" applyBorder="1" applyAlignment="1">
      <alignment horizontal="center" vertical="top"/>
    </xf>
    <xf numFmtId="0" fontId="17" fillId="0" borderId="89" xfId="0" applyFont="1" applyBorder="1" applyAlignment="1">
      <alignment horizontal="center" vertical="top"/>
    </xf>
    <xf numFmtId="0" fontId="9" fillId="2" borderId="89" xfId="0" applyFont="1" applyFill="1" applyBorder="1" applyAlignment="1">
      <alignment horizontal="center" vertical="top"/>
    </xf>
    <xf numFmtId="0" fontId="9" fillId="0" borderId="18" xfId="0" applyFont="1" applyBorder="1" applyAlignment="1">
      <alignment horizontal="center" vertical="center"/>
    </xf>
    <xf numFmtId="0" fontId="9" fillId="0" borderId="7" xfId="0" applyFont="1" applyBorder="1" applyAlignment="1">
      <alignment horizontal="center" vertical="center"/>
    </xf>
    <xf numFmtId="0" fontId="9" fillId="0" borderId="19" xfId="0" applyFont="1" applyBorder="1" applyAlignment="1">
      <alignment horizontal="center" vertical="center"/>
    </xf>
    <xf numFmtId="0" fontId="9" fillId="0" borderId="39" xfId="0" applyFont="1" applyBorder="1" applyAlignment="1">
      <alignment horizontal="center" vertical="center"/>
    </xf>
    <xf numFmtId="0" fontId="9" fillId="0" borderId="66" xfId="0" applyFont="1" applyBorder="1" applyAlignment="1">
      <alignment vertical="center"/>
    </xf>
    <xf numFmtId="0" fontId="9" fillId="0" borderId="35" xfId="0" applyFont="1" applyBorder="1" applyAlignment="1">
      <alignment vertical="center"/>
    </xf>
    <xf numFmtId="177" fontId="14" fillId="0" borderId="38" xfId="0" applyNumberFormat="1" applyFont="1" applyFill="1" applyBorder="1" applyAlignment="1">
      <alignment horizontal="center" shrinkToFit="1"/>
    </xf>
    <xf numFmtId="177" fontId="14" fillId="0" borderId="21" xfId="0" applyNumberFormat="1" applyFont="1" applyFill="1" applyBorder="1" applyAlignment="1">
      <alignment horizontal="center" shrinkToFit="1"/>
    </xf>
    <xf numFmtId="177" fontId="14" fillId="0" borderId="37" xfId="0" applyNumberFormat="1" applyFont="1" applyFill="1" applyBorder="1" applyAlignment="1">
      <alignment horizontal="center" shrinkToFit="1"/>
    </xf>
    <xf numFmtId="0" fontId="14" fillId="0" borderId="38" xfId="0" applyFont="1" applyFill="1" applyBorder="1" applyAlignment="1">
      <alignment horizontal="left" shrinkToFit="1"/>
    </xf>
    <xf numFmtId="0" fontId="14" fillId="0" borderId="21" xfId="0" applyFont="1" applyFill="1" applyBorder="1" applyAlignment="1">
      <alignment horizontal="left" shrinkToFit="1"/>
    </xf>
    <xf numFmtId="0" fontId="14" fillId="0" borderId="37" xfId="0" applyFont="1" applyFill="1" applyBorder="1" applyAlignment="1">
      <alignment horizontal="left" shrinkToFit="1"/>
    </xf>
    <xf numFmtId="14" fontId="13" fillId="3" borderId="38" xfId="0" applyNumberFormat="1" applyFont="1" applyFill="1" applyBorder="1" applyAlignment="1">
      <alignment horizontal="center"/>
    </xf>
    <xf numFmtId="14" fontId="13" fillId="3" borderId="21" xfId="0" applyNumberFormat="1" applyFont="1" applyFill="1" applyBorder="1" applyAlignment="1">
      <alignment horizontal="center"/>
    </xf>
    <xf numFmtId="14" fontId="13" fillId="3" borderId="37" xfId="0" applyNumberFormat="1" applyFont="1" applyFill="1" applyBorder="1" applyAlignment="1">
      <alignment horizontal="center"/>
    </xf>
    <xf numFmtId="0" fontId="12" fillId="2" borderId="25" xfId="0" applyFont="1" applyFill="1" applyBorder="1" applyAlignment="1">
      <alignment horizontal="center" vertical="center" wrapText="1"/>
    </xf>
    <xf numFmtId="0" fontId="12" fillId="2" borderId="26" xfId="0" applyFont="1" applyFill="1" applyBorder="1" applyAlignment="1">
      <alignment horizontal="center" vertical="center" wrapText="1"/>
    </xf>
    <xf numFmtId="0" fontId="12" fillId="2" borderId="27" xfId="0" applyFont="1" applyFill="1" applyBorder="1" applyAlignment="1">
      <alignment horizontal="center" vertical="center" wrapText="1"/>
    </xf>
    <xf numFmtId="0" fontId="12" fillId="2" borderId="1" xfId="0" applyFont="1" applyFill="1" applyBorder="1" applyAlignment="1">
      <alignment horizontal="center" vertical="center" wrapText="1"/>
    </xf>
    <xf numFmtId="0" fontId="12" fillId="2" borderId="0" xfId="0" applyFont="1" applyFill="1" applyBorder="1" applyAlignment="1">
      <alignment horizontal="center" vertical="center" wrapText="1"/>
    </xf>
    <xf numFmtId="0" fontId="12" fillId="2" borderId="28" xfId="0" applyFont="1" applyFill="1" applyBorder="1" applyAlignment="1">
      <alignment horizontal="center" vertical="center" wrapText="1"/>
    </xf>
    <xf numFmtId="0" fontId="12" fillId="2" borderId="2" xfId="0" applyFont="1" applyFill="1" applyBorder="1" applyAlignment="1">
      <alignment horizontal="center" vertical="center" wrapText="1"/>
    </xf>
    <xf numFmtId="0" fontId="12" fillId="2" borderId="3" xfId="0" applyFont="1" applyFill="1" applyBorder="1" applyAlignment="1">
      <alignment horizontal="center" vertical="center" wrapText="1"/>
    </xf>
    <xf numFmtId="0" fontId="12" fillId="2" borderId="29" xfId="0" applyFont="1" applyFill="1" applyBorder="1" applyAlignment="1">
      <alignment horizontal="center" vertical="center" wrapText="1"/>
    </xf>
    <xf numFmtId="0" fontId="13" fillId="3" borderId="30" xfId="0" applyFont="1" applyFill="1" applyBorder="1" applyAlignment="1">
      <alignment horizontal="left"/>
    </xf>
    <xf numFmtId="0" fontId="9" fillId="0" borderId="30" xfId="0" applyFont="1" applyBorder="1" applyAlignment="1">
      <alignment horizontal="left"/>
    </xf>
    <xf numFmtId="0" fontId="9" fillId="0" borderId="31" xfId="0" applyFont="1" applyBorder="1" applyAlignment="1">
      <alignment horizontal="left"/>
    </xf>
    <xf numFmtId="0" fontId="14" fillId="0" borderId="32" xfId="0" applyFont="1" applyBorder="1" applyAlignment="1">
      <alignment horizontal="left" shrinkToFit="1"/>
    </xf>
    <xf numFmtId="0" fontId="9" fillId="0" borderId="30" xfId="0" applyFont="1" applyBorder="1" applyAlignment="1">
      <alignment horizontal="left" shrinkToFit="1"/>
    </xf>
    <xf numFmtId="0" fontId="9" fillId="0" borderId="31" xfId="0" applyFont="1" applyBorder="1" applyAlignment="1">
      <alignment horizontal="left" shrinkToFit="1"/>
    </xf>
    <xf numFmtId="0" fontId="13" fillId="3" borderId="32" xfId="0" applyFont="1" applyFill="1" applyBorder="1" applyAlignment="1">
      <alignment horizontal="left"/>
    </xf>
    <xf numFmtId="0" fontId="13" fillId="3" borderId="21" xfId="0" applyFont="1" applyFill="1" applyBorder="1" applyAlignment="1">
      <alignment horizontal="left"/>
    </xf>
    <xf numFmtId="0" fontId="13" fillId="3" borderId="37" xfId="0" applyFont="1" applyFill="1" applyBorder="1" applyAlignment="1">
      <alignment horizontal="left"/>
    </xf>
    <xf numFmtId="0" fontId="9" fillId="0" borderId="21" xfId="0" applyFont="1" applyBorder="1" applyAlignment="1">
      <alignment horizontal="left" shrinkToFit="1"/>
    </xf>
    <xf numFmtId="0" fontId="13" fillId="3" borderId="38" xfId="0" applyFont="1" applyFill="1" applyBorder="1" applyAlignment="1">
      <alignment horizontal="left"/>
    </xf>
    <xf numFmtId="0" fontId="13" fillId="3" borderId="32" xfId="0" applyFont="1" applyFill="1" applyBorder="1" applyAlignment="1">
      <alignment horizontal="center"/>
    </xf>
    <xf numFmtId="0" fontId="13" fillId="3" borderId="30" xfId="0" applyFont="1" applyFill="1" applyBorder="1" applyAlignment="1">
      <alignment horizontal="center"/>
    </xf>
    <xf numFmtId="0" fontId="13" fillId="3" borderId="41" xfId="0" applyFont="1" applyFill="1" applyBorder="1" applyAlignment="1">
      <alignment horizontal="center"/>
    </xf>
    <xf numFmtId="0" fontId="13" fillId="3" borderId="7" xfId="0" applyFont="1" applyFill="1" applyBorder="1" applyAlignment="1">
      <alignment horizontal="left"/>
    </xf>
    <xf numFmtId="0" fontId="9" fillId="0" borderId="7" xfId="0" applyFont="1" applyBorder="1" applyAlignment="1">
      <alignment horizontal="left"/>
    </xf>
    <xf numFmtId="0" fontId="9" fillId="0" borderId="19" xfId="0" applyFont="1" applyBorder="1" applyAlignment="1">
      <alignment horizontal="left"/>
    </xf>
    <xf numFmtId="0" fontId="14" fillId="0" borderId="18" xfId="0" applyFont="1" applyBorder="1" applyAlignment="1">
      <alignment horizontal="left" shrinkToFit="1"/>
    </xf>
    <xf numFmtId="0" fontId="9" fillId="0" borderId="7" xfId="0" applyFont="1" applyBorder="1" applyAlignment="1">
      <alignment horizontal="left" shrinkToFit="1"/>
    </xf>
    <xf numFmtId="0" fontId="9" fillId="0" borderId="19" xfId="0" applyFont="1" applyBorder="1" applyAlignment="1">
      <alignment horizontal="left" shrinkToFit="1"/>
    </xf>
    <xf numFmtId="0" fontId="13" fillId="3" borderId="18" xfId="0" applyFont="1" applyFill="1" applyBorder="1" applyAlignment="1">
      <alignment horizontal="left"/>
    </xf>
    <xf numFmtId="0" fontId="13" fillId="3" borderId="31" xfId="0" applyFont="1" applyFill="1" applyBorder="1" applyAlignment="1">
      <alignment horizontal="center"/>
    </xf>
    <xf numFmtId="0" fontId="14" fillId="0" borderId="32" xfId="0" applyFont="1" applyFill="1" applyBorder="1" applyAlignment="1">
      <alignment horizontal="center" shrinkToFit="1"/>
    </xf>
    <xf numFmtId="0" fontId="14" fillId="0" borderId="30" xfId="0" applyFont="1" applyFill="1" applyBorder="1" applyAlignment="1">
      <alignment horizontal="center" shrinkToFit="1"/>
    </xf>
    <xf numFmtId="0" fontId="14" fillId="0" borderId="31" xfId="0" applyFont="1" applyFill="1" applyBorder="1" applyAlignment="1">
      <alignment horizontal="center" shrinkToFit="1"/>
    </xf>
    <xf numFmtId="14" fontId="14" fillId="0" borderId="32" xfId="0" applyNumberFormat="1" applyFont="1" applyFill="1" applyBorder="1" applyAlignment="1">
      <alignment horizontal="center" shrinkToFit="1"/>
    </xf>
    <xf numFmtId="14" fontId="14" fillId="0" borderId="30" xfId="0" applyNumberFormat="1" applyFont="1" applyFill="1" applyBorder="1" applyAlignment="1">
      <alignment horizontal="center" shrinkToFit="1"/>
    </xf>
    <xf numFmtId="14" fontId="14" fillId="0" borderId="31" xfId="0" applyNumberFormat="1" applyFont="1" applyFill="1" applyBorder="1" applyAlignment="1">
      <alignment horizontal="center" shrinkToFit="1"/>
    </xf>
    <xf numFmtId="0" fontId="13" fillId="3" borderId="18" xfId="0" applyFont="1" applyFill="1" applyBorder="1" applyAlignment="1">
      <alignment horizontal="center"/>
    </xf>
    <xf numFmtId="0" fontId="13" fillId="3" borderId="7" xfId="0" applyFont="1" applyFill="1" applyBorder="1" applyAlignment="1">
      <alignment horizontal="center"/>
    </xf>
    <xf numFmtId="0" fontId="13" fillId="3" borderId="19" xfId="0" applyFont="1" applyFill="1" applyBorder="1" applyAlignment="1">
      <alignment horizontal="center"/>
    </xf>
    <xf numFmtId="0" fontId="14" fillId="0" borderId="18" xfId="0" applyFont="1" applyFill="1" applyBorder="1" applyAlignment="1">
      <alignment horizontal="center" shrinkToFit="1"/>
    </xf>
    <xf numFmtId="0" fontId="14" fillId="0" borderId="7" xfId="0" applyFont="1" applyFill="1" applyBorder="1" applyAlignment="1">
      <alignment horizontal="center" shrinkToFit="1"/>
    </xf>
    <xf numFmtId="0" fontId="14" fillId="0" borderId="19" xfId="0" applyFont="1" applyFill="1" applyBorder="1" applyAlignment="1">
      <alignment horizontal="center" shrinkToFit="1"/>
    </xf>
    <xf numFmtId="14" fontId="13" fillId="3" borderId="18" xfId="0" applyNumberFormat="1" applyFont="1" applyFill="1" applyBorder="1" applyAlignment="1">
      <alignment horizontal="center"/>
    </xf>
    <xf numFmtId="14" fontId="13" fillId="3" borderId="7" xfId="0" applyNumberFormat="1" applyFont="1" applyFill="1" applyBorder="1" applyAlignment="1">
      <alignment horizontal="center"/>
    </xf>
    <xf numFmtId="14" fontId="13" fillId="3" borderId="19" xfId="0" applyNumberFormat="1" applyFont="1" applyFill="1" applyBorder="1" applyAlignment="1">
      <alignment horizontal="center"/>
    </xf>
    <xf numFmtId="14" fontId="14" fillId="0" borderId="18" xfId="0" applyNumberFormat="1" applyFont="1" applyBorder="1" applyAlignment="1">
      <alignment horizontal="center" shrinkToFit="1"/>
    </xf>
    <xf numFmtId="14" fontId="14" fillId="0" borderId="7" xfId="0" applyNumberFormat="1" applyFont="1" applyBorder="1" applyAlignment="1">
      <alignment horizontal="center" shrinkToFit="1"/>
    </xf>
    <xf numFmtId="14" fontId="14" fillId="0" borderId="18" xfId="0" applyNumberFormat="1" applyFont="1" applyFill="1" applyBorder="1" applyAlignment="1">
      <alignment horizontal="center" vertical="center" shrinkToFit="1"/>
    </xf>
    <xf numFmtId="0" fontId="14" fillId="0" borderId="7" xfId="0" applyFont="1" applyFill="1" applyBorder="1" applyAlignment="1">
      <alignment horizontal="center" vertical="center" shrinkToFit="1"/>
    </xf>
    <xf numFmtId="0" fontId="14" fillId="0" borderId="39" xfId="0" applyFont="1" applyFill="1" applyBorder="1" applyAlignment="1">
      <alignment horizontal="center" vertical="center" shrinkToFit="1"/>
    </xf>
    <xf numFmtId="0" fontId="14" fillId="0" borderId="38" xfId="0" applyFont="1" applyFill="1" applyBorder="1" applyAlignment="1">
      <alignment horizontal="center" vertical="center" shrinkToFit="1"/>
    </xf>
    <xf numFmtId="0" fontId="14" fillId="0" borderId="21" xfId="0" applyFont="1" applyFill="1" applyBorder="1" applyAlignment="1">
      <alignment horizontal="center" vertical="center" shrinkToFit="1"/>
    </xf>
    <xf numFmtId="0" fontId="14" fillId="0" borderId="40" xfId="0" applyFont="1" applyFill="1" applyBorder="1" applyAlignment="1">
      <alignment horizontal="center" vertical="center" shrinkToFit="1"/>
    </xf>
    <xf numFmtId="0" fontId="16" fillId="2" borderId="5" xfId="0" applyFont="1" applyFill="1" applyBorder="1" applyAlignment="1">
      <alignment horizontal="center"/>
    </xf>
    <xf numFmtId="0" fontId="16" fillId="0" borderId="54" xfId="0" applyFont="1" applyBorder="1" applyAlignment="1">
      <alignment horizontal="center"/>
    </xf>
    <xf numFmtId="49" fontId="9" fillId="0" borderId="33" xfId="0" applyNumberFormat="1" applyFont="1" applyBorder="1" applyAlignment="1">
      <alignment horizontal="center" vertical="center"/>
    </xf>
    <xf numFmtId="49" fontId="9" fillId="0" borderId="35" xfId="0" applyNumberFormat="1" applyFont="1" applyBorder="1" applyAlignment="1">
      <alignment horizontal="center" vertical="center"/>
    </xf>
    <xf numFmtId="49" fontId="16" fillId="2" borderId="11" xfId="0" applyNumberFormat="1" applyFont="1" applyFill="1" applyBorder="1" applyAlignment="1">
      <alignment horizontal="center" vertical="center"/>
    </xf>
    <xf numFmtId="49" fontId="16" fillId="2" borderId="10" xfId="0" applyNumberFormat="1" applyFont="1" applyFill="1" applyBorder="1" applyAlignment="1">
      <alignment horizontal="center" vertical="center"/>
    </xf>
    <xf numFmtId="0" fontId="9" fillId="0" borderId="99" xfId="0" applyFont="1" applyBorder="1" applyAlignment="1">
      <alignment vertical="center"/>
    </xf>
    <xf numFmtId="0" fontId="9" fillId="0" borderId="139" xfId="0" applyFont="1" applyBorder="1" applyAlignment="1">
      <alignment vertical="center"/>
    </xf>
    <xf numFmtId="0" fontId="16" fillId="5" borderId="16" xfId="0" applyNumberFormat="1" applyFont="1" applyFill="1" applyBorder="1" applyAlignment="1">
      <alignment horizontal="center" vertical="center"/>
    </xf>
    <xf numFmtId="0" fontId="9" fillId="0" borderId="126" xfId="0" applyFont="1" applyBorder="1" applyAlignment="1">
      <alignment vertical="center"/>
    </xf>
    <xf numFmtId="0" fontId="9" fillId="0" borderId="56" xfId="0" applyFont="1" applyBorder="1" applyAlignment="1">
      <alignment horizontal="center" vertical="center" wrapText="1"/>
    </xf>
    <xf numFmtId="0" fontId="16" fillId="5" borderId="33" xfId="0" applyNumberFormat="1" applyFont="1" applyFill="1" applyBorder="1" applyAlignment="1">
      <alignment vertical="center"/>
    </xf>
    <xf numFmtId="0" fontId="9" fillId="0" borderId="7" xfId="0" applyFont="1" applyFill="1" applyBorder="1" applyAlignment="1"/>
    <xf numFmtId="0" fontId="9" fillId="0" borderId="0" xfId="0" applyFont="1">
      <alignment vertical="center"/>
    </xf>
    <xf numFmtId="0" fontId="9" fillId="0" borderId="18" xfId="0" applyFont="1" applyBorder="1" applyAlignment="1">
      <alignment vertical="center"/>
    </xf>
    <xf numFmtId="0" fontId="9" fillId="0" borderId="8" xfId="0" applyFont="1" applyBorder="1" applyAlignment="1">
      <alignment vertical="center" wrapText="1"/>
    </xf>
    <xf numFmtId="0" fontId="9" fillId="0" borderId="0" xfId="0" applyFont="1" applyBorder="1" applyAlignment="1">
      <alignment vertical="center"/>
    </xf>
    <xf numFmtId="0" fontId="9" fillId="0" borderId="12" xfId="0" applyFont="1" applyBorder="1" applyAlignment="1">
      <alignment vertical="center"/>
    </xf>
    <xf numFmtId="0" fontId="9" fillId="0" borderId="34" xfId="0" applyFont="1" applyBorder="1" applyAlignment="1">
      <alignment vertical="center"/>
    </xf>
    <xf numFmtId="0" fontId="9" fillId="0" borderId="64" xfId="0" applyFont="1" applyBorder="1" applyAlignment="1">
      <alignment vertical="center"/>
    </xf>
    <xf numFmtId="0" fontId="9" fillId="0" borderId="63" xfId="0" applyFont="1" applyBorder="1" applyAlignment="1">
      <alignment vertical="center"/>
    </xf>
    <xf numFmtId="0" fontId="9" fillId="0" borderId="35" xfId="0" applyFont="1" applyBorder="1" applyAlignment="1">
      <alignment vertical="center"/>
    </xf>
    <xf numFmtId="0" fontId="9" fillId="0" borderId="18" xfId="0" applyFont="1" applyBorder="1" applyAlignment="1">
      <alignment vertical="center"/>
    </xf>
    <xf numFmtId="0" fontId="9" fillId="0" borderId="7" xfId="0" applyFont="1" applyBorder="1" applyAlignment="1">
      <alignment vertical="center"/>
    </xf>
    <xf numFmtId="0" fontId="9" fillId="0" borderId="58" xfId="0" applyFont="1" applyBorder="1" applyAlignment="1">
      <alignment horizontal="center" vertical="center" wrapText="1"/>
    </xf>
    <xf numFmtId="0" fontId="9" fillId="0" borderId="126" xfId="0" applyFont="1" applyBorder="1" applyAlignment="1">
      <alignment horizontal="center" vertical="center" wrapText="1"/>
    </xf>
    <xf numFmtId="0" fontId="9" fillId="0" borderId="56" xfId="0" applyFont="1" applyBorder="1" applyAlignment="1">
      <alignment vertical="center"/>
    </xf>
    <xf numFmtId="0" fontId="9" fillId="0" borderId="58" xfId="0" applyFont="1" applyBorder="1" applyAlignment="1">
      <alignment vertical="center"/>
    </xf>
    <xf numFmtId="0" fontId="9" fillId="0" borderId="33" xfId="0" applyFont="1" applyBorder="1" applyAlignment="1">
      <alignment horizontal="center" vertical="center"/>
    </xf>
    <xf numFmtId="0" fontId="16" fillId="0" borderId="58" xfId="5" applyNumberFormat="1" applyFont="1" applyFill="1" applyBorder="1" applyAlignment="1">
      <alignment wrapText="1"/>
    </xf>
    <xf numFmtId="0" fontId="9" fillId="0" borderId="16" xfId="0" applyFont="1" applyBorder="1" applyAlignment="1">
      <alignment horizontal="center" vertical="center"/>
    </xf>
    <xf numFmtId="0" fontId="16" fillId="0" borderId="40" xfId="6" applyFont="1" applyBorder="1">
      <alignment vertical="center"/>
    </xf>
    <xf numFmtId="0" fontId="9" fillId="0" borderId="102" xfId="0" applyFont="1" applyBorder="1" applyAlignment="1">
      <alignment vertical="center"/>
    </xf>
    <xf numFmtId="0" fontId="9" fillId="0" borderId="57" xfId="0" applyFont="1" applyBorder="1" applyAlignment="1">
      <alignment horizontal="center" vertical="center"/>
    </xf>
    <xf numFmtId="0" fontId="9" fillId="0" borderId="18" xfId="0" applyFont="1" applyBorder="1" applyAlignment="1">
      <alignment vertical="center"/>
    </xf>
    <xf numFmtId="0" fontId="9" fillId="0" borderId="0" xfId="0" applyFont="1">
      <alignment vertical="center"/>
    </xf>
    <xf numFmtId="0" fontId="9" fillId="0" borderId="16" xfId="0" applyFont="1" applyBorder="1" applyAlignment="1">
      <alignment vertical="center"/>
    </xf>
    <xf numFmtId="0" fontId="9" fillId="0" borderId="0" xfId="0" applyFont="1" applyBorder="1">
      <alignment vertical="center"/>
    </xf>
    <xf numFmtId="0" fontId="9" fillId="0" borderId="33" xfId="0" applyFont="1" applyBorder="1" applyAlignment="1">
      <alignment vertical="center"/>
    </xf>
    <xf numFmtId="0" fontId="9" fillId="0" borderId="57" xfId="0" applyFont="1" applyBorder="1" applyAlignment="1">
      <alignment vertical="center"/>
    </xf>
    <xf numFmtId="0" fontId="16" fillId="0" borderId="21" xfId="6" applyFont="1" applyBorder="1">
      <alignment vertical="center"/>
    </xf>
    <xf numFmtId="0" fontId="16" fillId="0" borderId="102" xfId="5" applyNumberFormat="1" applyFont="1" applyFill="1" applyBorder="1" applyAlignment="1">
      <alignment wrapText="1"/>
    </xf>
    <xf numFmtId="0" fontId="16" fillId="0" borderId="63" xfId="5" applyNumberFormat="1" applyFont="1" applyFill="1" applyBorder="1" applyAlignment="1">
      <alignment wrapText="1"/>
    </xf>
    <xf numFmtId="0" fontId="16" fillId="0" borderId="0" xfId="0" applyFont="1">
      <alignment vertical="center"/>
    </xf>
    <xf numFmtId="0" fontId="16" fillId="0" borderId="60" xfId="6" applyFont="1" applyBorder="1">
      <alignment vertical="center"/>
    </xf>
    <xf numFmtId="0" fontId="9" fillId="0" borderId="2" xfId="6" applyFont="1" applyBorder="1">
      <alignment vertical="center"/>
    </xf>
    <xf numFmtId="0" fontId="9" fillId="0" borderId="0" xfId="0" applyFont="1">
      <alignment vertical="center"/>
    </xf>
    <xf numFmtId="0" fontId="9" fillId="0" borderId="1" xfId="0" applyFont="1" applyBorder="1">
      <alignment vertical="center"/>
    </xf>
    <xf numFmtId="0" fontId="9" fillId="0" borderId="0" xfId="0" applyFont="1" applyBorder="1">
      <alignment vertical="center"/>
    </xf>
    <xf numFmtId="0" fontId="9" fillId="0" borderId="2" xfId="0" applyFont="1" applyBorder="1">
      <alignment vertical="center"/>
    </xf>
    <xf numFmtId="0" fontId="9" fillId="0" borderId="3" xfId="0" applyFont="1" applyBorder="1">
      <alignment vertical="center"/>
    </xf>
    <xf numFmtId="49" fontId="9" fillId="0" borderId="0" xfId="0" applyNumberFormat="1" applyFont="1" applyBorder="1">
      <alignment vertical="center"/>
    </xf>
    <xf numFmtId="49" fontId="9" fillId="0" borderId="16" xfId="0" applyNumberFormat="1" applyFont="1" applyBorder="1">
      <alignment vertical="center"/>
    </xf>
    <xf numFmtId="49" fontId="9" fillId="0" borderId="12" xfId="0" applyNumberFormat="1" applyFont="1" applyBorder="1">
      <alignment vertical="center"/>
    </xf>
    <xf numFmtId="49" fontId="9" fillId="0" borderId="3" xfId="0" applyNumberFormat="1" applyFont="1" applyBorder="1">
      <alignment vertical="center"/>
    </xf>
    <xf numFmtId="0" fontId="9" fillId="0" borderId="28" xfId="0" applyFont="1" applyBorder="1">
      <alignment vertical="center"/>
    </xf>
    <xf numFmtId="49" fontId="9" fillId="0" borderId="34" xfId="0" applyNumberFormat="1" applyFont="1" applyBorder="1">
      <alignment vertical="center"/>
    </xf>
    <xf numFmtId="0" fontId="9" fillId="0" borderId="34" xfId="0" applyFont="1" applyBorder="1">
      <alignment vertical="center"/>
    </xf>
    <xf numFmtId="0" fontId="9" fillId="0" borderId="29" xfId="0" applyFont="1" applyBorder="1">
      <alignment vertical="center"/>
    </xf>
    <xf numFmtId="177" fontId="9" fillId="0" borderId="28" xfId="0" applyNumberFormat="1" applyFont="1" applyBorder="1" applyAlignment="1">
      <alignment vertical="center"/>
    </xf>
    <xf numFmtId="49" fontId="9" fillId="0" borderId="35" xfId="0" applyNumberFormat="1" applyFont="1" applyBorder="1">
      <alignment vertical="center"/>
    </xf>
    <xf numFmtId="49" fontId="9" fillId="0" borderId="57" xfId="0" applyNumberFormat="1" applyFont="1" applyBorder="1">
      <alignment vertical="center"/>
    </xf>
    <xf numFmtId="49" fontId="9" fillId="0" borderId="63" xfId="0" applyNumberFormat="1" applyFont="1" applyBorder="1">
      <alignment vertical="center"/>
    </xf>
    <xf numFmtId="49" fontId="9" fillId="0" borderId="64" xfId="0" applyNumberFormat="1" applyFont="1" applyBorder="1">
      <alignment vertical="center"/>
    </xf>
    <xf numFmtId="49" fontId="9" fillId="0" borderId="33" xfId="0" applyNumberFormat="1" applyFont="1" applyBorder="1">
      <alignment vertical="center"/>
    </xf>
    <xf numFmtId="49" fontId="9" fillId="0" borderId="7" xfId="0" applyNumberFormat="1" applyFont="1" applyBorder="1">
      <alignment vertical="center"/>
    </xf>
    <xf numFmtId="49" fontId="9" fillId="0" borderId="19" xfId="0" applyNumberFormat="1" applyFont="1" applyBorder="1">
      <alignment vertical="center"/>
    </xf>
    <xf numFmtId="49" fontId="9" fillId="0" borderId="18" xfId="0" applyNumberFormat="1" applyFont="1" applyBorder="1">
      <alignment vertical="center"/>
    </xf>
    <xf numFmtId="49" fontId="9" fillId="0" borderId="0" xfId="0" applyNumberFormat="1" applyFont="1" applyFill="1" applyBorder="1">
      <alignment vertical="center"/>
    </xf>
    <xf numFmtId="49" fontId="9" fillId="0" borderId="12" xfId="0" applyNumberFormat="1" applyFont="1" applyFill="1" applyBorder="1">
      <alignment vertical="center"/>
    </xf>
    <xf numFmtId="49" fontId="9" fillId="0" borderId="64" xfId="0" applyNumberFormat="1" applyFont="1" applyFill="1" applyBorder="1">
      <alignment vertical="center"/>
    </xf>
    <xf numFmtId="49" fontId="9" fillId="0" borderId="63" xfId="0" applyNumberFormat="1" applyFont="1" applyFill="1" applyBorder="1">
      <alignment vertical="center"/>
    </xf>
    <xf numFmtId="0" fontId="9" fillId="0" borderId="0" xfId="0" applyFont="1" applyFill="1" applyBorder="1">
      <alignment vertical="center"/>
    </xf>
    <xf numFmtId="0" fontId="16" fillId="0" borderId="0" xfId="0" quotePrefix="1" applyFont="1" applyBorder="1">
      <alignment vertical="center"/>
    </xf>
    <xf numFmtId="0" fontId="16" fillId="0" borderId="0" xfId="0" applyFont="1" applyBorder="1">
      <alignment vertical="center"/>
    </xf>
    <xf numFmtId="0" fontId="9" fillId="0" borderId="26" xfId="0" applyFont="1" applyBorder="1">
      <alignment vertical="center"/>
    </xf>
    <xf numFmtId="177" fontId="9" fillId="0" borderId="27" xfId="0" applyNumberFormat="1" applyFont="1" applyBorder="1" applyAlignment="1">
      <alignment vertical="center"/>
    </xf>
    <xf numFmtId="0" fontId="9" fillId="0" borderId="62" xfId="0" applyFont="1" applyBorder="1">
      <alignment vertical="center"/>
    </xf>
    <xf numFmtId="0" fontId="9" fillId="0" borderId="63" xfId="0" applyFont="1" applyBorder="1">
      <alignment vertical="center"/>
    </xf>
    <xf numFmtId="0" fontId="9" fillId="0" borderId="69" xfId="0" applyFont="1" applyBorder="1">
      <alignment vertical="center"/>
    </xf>
    <xf numFmtId="177" fontId="9" fillId="0" borderId="29" xfId="0" applyNumberFormat="1" applyFont="1" applyBorder="1" applyAlignment="1">
      <alignment vertical="center"/>
    </xf>
    <xf numFmtId="0" fontId="9" fillId="0" borderId="25" xfId="0" applyFont="1" applyBorder="1">
      <alignment vertical="center"/>
    </xf>
    <xf numFmtId="0" fontId="9" fillId="0" borderId="35" xfId="0" applyFont="1" applyBorder="1">
      <alignment vertical="center"/>
    </xf>
    <xf numFmtId="0" fontId="9" fillId="0" borderId="12" xfId="0" applyFont="1" applyBorder="1">
      <alignment vertical="center"/>
    </xf>
    <xf numFmtId="0" fontId="9" fillId="0" borderId="64" xfId="0" applyFont="1" applyBorder="1">
      <alignment vertical="center"/>
    </xf>
    <xf numFmtId="49" fontId="9" fillId="0" borderId="124" xfId="0" applyNumberFormat="1" applyFont="1" applyBorder="1">
      <alignment vertical="center"/>
    </xf>
    <xf numFmtId="49" fontId="37" fillId="0" borderId="0" xfId="0" applyNumberFormat="1" applyFont="1" applyBorder="1">
      <alignment vertical="center"/>
    </xf>
    <xf numFmtId="0" fontId="9" fillId="0" borderId="124" xfId="0" applyFont="1" applyBorder="1">
      <alignment vertical="center"/>
    </xf>
    <xf numFmtId="0" fontId="9" fillId="0" borderId="123" xfId="0" applyFont="1" applyBorder="1">
      <alignment vertical="center"/>
    </xf>
    <xf numFmtId="49" fontId="9" fillId="0" borderId="122" xfId="0" applyNumberFormat="1" applyFont="1" applyBorder="1">
      <alignment vertical="center"/>
    </xf>
    <xf numFmtId="49" fontId="9" fillId="0" borderId="123" xfId="0" applyNumberFormat="1" applyFont="1" applyBorder="1">
      <alignment vertical="center"/>
    </xf>
    <xf numFmtId="49" fontId="9" fillId="0" borderId="127" xfId="0" applyNumberFormat="1" applyFont="1" applyBorder="1">
      <alignment vertical="center"/>
    </xf>
    <xf numFmtId="0" fontId="9" fillId="0" borderId="128" xfId="0" applyFont="1" applyBorder="1">
      <alignment vertical="center"/>
    </xf>
    <xf numFmtId="0" fontId="9" fillId="0" borderId="129" xfId="0" applyFont="1" applyBorder="1">
      <alignment vertical="center"/>
    </xf>
    <xf numFmtId="49" fontId="9" fillId="0" borderId="128" xfId="0" applyNumberFormat="1" applyFont="1" applyBorder="1">
      <alignment vertical="center"/>
    </xf>
    <xf numFmtId="49" fontId="37" fillId="0" borderId="128" xfId="0" applyNumberFormat="1" applyFont="1" applyBorder="1">
      <alignment vertical="center"/>
    </xf>
    <xf numFmtId="49" fontId="9" fillId="0" borderId="129" xfId="0" applyNumberFormat="1" applyFont="1" applyBorder="1">
      <alignment vertical="center"/>
    </xf>
    <xf numFmtId="49" fontId="37" fillId="0" borderId="124" xfId="0" applyNumberFormat="1" applyFont="1" applyBorder="1">
      <alignment vertical="center"/>
    </xf>
    <xf numFmtId="49" fontId="37" fillId="0" borderId="34" xfId="0" applyNumberFormat="1" applyFont="1" applyBorder="1">
      <alignment vertical="center"/>
    </xf>
    <xf numFmtId="49" fontId="9" fillId="7" borderId="33" xfId="0" applyNumberFormat="1" applyFont="1" applyFill="1" applyBorder="1">
      <alignment vertical="center"/>
    </xf>
    <xf numFmtId="49" fontId="9" fillId="7" borderId="34" xfId="0" applyNumberFormat="1" applyFont="1" applyFill="1" applyBorder="1">
      <alignment vertical="center"/>
    </xf>
    <xf numFmtId="49" fontId="9" fillId="7" borderId="35" xfId="0" applyNumberFormat="1" applyFont="1" applyFill="1" applyBorder="1">
      <alignment vertical="center"/>
    </xf>
    <xf numFmtId="0" fontId="9" fillId="7" borderId="34" xfId="0" applyFont="1" applyFill="1" applyBorder="1">
      <alignment vertical="center"/>
    </xf>
    <xf numFmtId="0" fontId="9" fillId="7" borderId="35" xfId="0" applyFont="1" applyFill="1" applyBorder="1">
      <alignment vertical="center"/>
    </xf>
    <xf numFmtId="49" fontId="9" fillId="7" borderId="127" xfId="0" applyNumberFormat="1" applyFont="1" applyFill="1" applyBorder="1">
      <alignment vertical="center"/>
    </xf>
    <xf numFmtId="49" fontId="9" fillId="7" borderId="128" xfId="0" applyNumberFormat="1" applyFont="1" applyFill="1" applyBorder="1">
      <alignment vertical="center"/>
    </xf>
    <xf numFmtId="49" fontId="9" fillId="7" borderId="129" xfId="0" applyNumberFormat="1" applyFont="1" applyFill="1" applyBorder="1">
      <alignment vertical="center"/>
    </xf>
    <xf numFmtId="0" fontId="9" fillId="7" borderId="128" xfId="0" applyFont="1" applyFill="1" applyBorder="1">
      <alignment vertical="center"/>
    </xf>
    <xf numFmtId="0" fontId="9" fillId="7" borderId="129" xfId="0" applyFont="1" applyFill="1" applyBorder="1">
      <alignment vertical="center"/>
    </xf>
    <xf numFmtId="49" fontId="9" fillId="7" borderId="122" xfId="0" applyNumberFormat="1" applyFont="1" applyFill="1" applyBorder="1">
      <alignment vertical="center"/>
    </xf>
    <xf numFmtId="49" fontId="9" fillId="7" borderId="124" xfId="0" applyNumberFormat="1" applyFont="1" applyFill="1" applyBorder="1">
      <alignment vertical="center"/>
    </xf>
    <xf numFmtId="49" fontId="37" fillId="7" borderId="124" xfId="0" applyNumberFormat="1" applyFont="1" applyFill="1" applyBorder="1">
      <alignment vertical="center"/>
    </xf>
    <xf numFmtId="49" fontId="9" fillId="7" borderId="123" xfId="0" applyNumberFormat="1" applyFont="1" applyFill="1" applyBorder="1">
      <alignment vertical="center"/>
    </xf>
    <xf numFmtId="0" fontId="9" fillId="7" borderId="124" xfId="0" applyFont="1" applyFill="1" applyBorder="1">
      <alignment vertical="center"/>
    </xf>
    <xf numFmtId="0" fontId="9" fillId="7" borderId="123" xfId="0" applyFont="1" applyFill="1" applyBorder="1">
      <alignment vertical="center"/>
    </xf>
    <xf numFmtId="49" fontId="9" fillId="7" borderId="57" xfId="0" applyNumberFormat="1" applyFont="1" applyFill="1" applyBorder="1">
      <alignment vertical="center"/>
    </xf>
    <xf numFmtId="49" fontId="9" fillId="7" borderId="63" xfId="0" applyNumberFormat="1" applyFont="1" applyFill="1" applyBorder="1">
      <alignment vertical="center"/>
    </xf>
    <xf numFmtId="49" fontId="9" fillId="7" borderId="64" xfId="0" applyNumberFormat="1" applyFont="1" applyFill="1" applyBorder="1">
      <alignment vertical="center"/>
    </xf>
    <xf numFmtId="0" fontId="9" fillId="7" borderId="63" xfId="0" applyFont="1" applyFill="1" applyBorder="1">
      <alignment vertical="center"/>
    </xf>
    <xf numFmtId="0" fontId="9" fillId="7" borderId="64" xfId="0" applyFont="1" applyFill="1" applyBorder="1">
      <alignment vertical="center"/>
    </xf>
    <xf numFmtId="49" fontId="9" fillId="0" borderId="129" xfId="0" applyNumberFormat="1" applyFont="1" applyBorder="1" applyAlignment="1">
      <alignment horizontal="right" vertical="center"/>
    </xf>
    <xf numFmtId="49" fontId="9" fillId="0" borderId="12" xfId="0" applyNumberFormat="1" applyFont="1" applyBorder="1" applyAlignment="1">
      <alignment horizontal="right" vertical="center"/>
    </xf>
    <xf numFmtId="49" fontId="9" fillId="0" borderId="64" xfId="0" applyNumberFormat="1" applyFont="1" applyBorder="1" applyAlignment="1">
      <alignment horizontal="right" vertical="center"/>
    </xf>
    <xf numFmtId="49" fontId="37" fillId="7" borderId="34" xfId="0" applyNumberFormat="1" applyFont="1" applyFill="1" applyBorder="1">
      <alignment vertical="center"/>
    </xf>
    <xf numFmtId="0" fontId="9" fillId="0" borderId="125" xfId="0" applyFont="1" applyBorder="1">
      <alignment vertical="center"/>
    </xf>
    <xf numFmtId="0" fontId="9" fillId="6" borderId="26" xfId="0" applyFont="1" applyFill="1" applyBorder="1">
      <alignment vertical="center"/>
    </xf>
    <xf numFmtId="0" fontId="9" fillId="6" borderId="27" xfId="0" applyFont="1" applyFill="1" applyBorder="1">
      <alignment vertical="center"/>
    </xf>
    <xf numFmtId="0" fontId="9" fillId="6" borderId="3" xfId="0" applyFont="1" applyFill="1" applyBorder="1">
      <alignment vertical="center"/>
    </xf>
    <xf numFmtId="0" fontId="9" fillId="6" borderId="29" xfId="0" applyFont="1" applyFill="1" applyBorder="1">
      <alignment vertical="center"/>
    </xf>
    <xf numFmtId="49" fontId="9" fillId="0" borderId="33" xfId="0" applyNumberFormat="1" applyFont="1" applyFill="1" applyBorder="1">
      <alignment vertical="center"/>
    </xf>
    <xf numFmtId="49" fontId="9" fillId="0" borderId="34" xfId="0" applyNumberFormat="1" applyFont="1" applyFill="1" applyBorder="1">
      <alignment vertical="center"/>
    </xf>
    <xf numFmtId="49" fontId="37" fillId="0" borderId="34" xfId="0" applyNumberFormat="1" applyFont="1" applyFill="1" applyBorder="1">
      <alignment vertical="center"/>
    </xf>
    <xf numFmtId="49" fontId="9" fillId="0" borderId="35" xfId="0" applyNumberFormat="1" applyFont="1" applyFill="1" applyBorder="1">
      <alignment vertical="center"/>
    </xf>
    <xf numFmtId="0" fontId="9" fillId="0" borderId="34" xfId="0" applyFont="1" applyFill="1" applyBorder="1">
      <alignment vertical="center"/>
    </xf>
    <xf numFmtId="0" fontId="9" fillId="0" borderId="35" xfId="0" applyFont="1" applyFill="1" applyBorder="1">
      <alignment vertical="center"/>
    </xf>
    <xf numFmtId="49" fontId="9" fillId="0" borderId="127" xfId="0" applyNumberFormat="1" applyFont="1" applyFill="1" applyBorder="1">
      <alignment vertical="center"/>
    </xf>
    <xf numFmtId="49" fontId="9" fillId="0" borderId="128" xfId="0" applyNumberFormat="1" applyFont="1" applyFill="1" applyBorder="1">
      <alignment vertical="center"/>
    </xf>
    <xf numFmtId="49" fontId="9" fillId="0" borderId="129" xfId="0" applyNumberFormat="1" applyFont="1" applyFill="1" applyBorder="1">
      <alignment vertical="center"/>
    </xf>
    <xf numFmtId="0" fontId="9" fillId="0" borderId="128" xfId="0" applyFont="1" applyFill="1" applyBorder="1">
      <alignment vertical="center"/>
    </xf>
    <xf numFmtId="0" fontId="9" fillId="0" borderId="129" xfId="0" applyFont="1" applyFill="1" applyBorder="1">
      <alignment vertical="center"/>
    </xf>
    <xf numFmtId="49" fontId="9" fillId="7" borderId="16" xfId="0" applyNumberFormat="1" applyFont="1" applyFill="1" applyBorder="1">
      <alignment vertical="center"/>
    </xf>
    <xf numFmtId="49" fontId="9" fillId="7" borderId="0" xfId="0" applyNumberFormat="1" applyFont="1" applyFill="1" applyBorder="1">
      <alignment vertical="center"/>
    </xf>
    <xf numFmtId="49" fontId="9" fillId="7" borderId="12" xfId="0" applyNumberFormat="1" applyFont="1" applyFill="1" applyBorder="1">
      <alignment vertical="center"/>
    </xf>
    <xf numFmtId="0" fontId="9" fillId="7" borderId="0" xfId="0" applyFont="1" applyFill="1" applyBorder="1">
      <alignment vertical="center"/>
    </xf>
    <xf numFmtId="0" fontId="9" fillId="7" borderId="12" xfId="0" applyFont="1" applyFill="1" applyBorder="1">
      <alignment vertical="center"/>
    </xf>
    <xf numFmtId="49" fontId="9" fillId="0" borderId="16" xfId="0" applyNumberFormat="1" applyFont="1" applyFill="1" applyBorder="1">
      <alignment vertical="center"/>
    </xf>
    <xf numFmtId="49" fontId="37" fillId="0" borderId="0" xfId="0" applyNumberFormat="1" applyFont="1" applyFill="1" applyBorder="1">
      <alignment vertical="center"/>
    </xf>
    <xf numFmtId="0" fontId="9" fillId="0" borderId="12" xfId="0" applyFont="1" applyFill="1" applyBorder="1">
      <alignment vertical="center"/>
    </xf>
    <xf numFmtId="49" fontId="9" fillId="0" borderId="57" xfId="0" applyNumberFormat="1" applyFont="1" applyFill="1" applyBorder="1">
      <alignment vertical="center"/>
    </xf>
    <xf numFmtId="0" fontId="9" fillId="0" borderId="63" xfId="0" applyFont="1" applyFill="1" applyBorder="1">
      <alignment vertical="center"/>
    </xf>
    <xf numFmtId="0" fontId="9" fillId="0" borderId="64" xfId="0" applyFont="1" applyFill="1" applyBorder="1">
      <alignment vertical="center"/>
    </xf>
    <xf numFmtId="49" fontId="37" fillId="7" borderId="0" xfId="0" applyNumberFormat="1" applyFont="1" applyFill="1" applyBorder="1">
      <alignment vertical="center"/>
    </xf>
    <xf numFmtId="49" fontId="38" fillId="7" borderId="16" xfId="0" applyNumberFormat="1" applyFont="1" applyFill="1" applyBorder="1">
      <alignment vertical="center"/>
    </xf>
    <xf numFmtId="49" fontId="38" fillId="7" borderId="0" xfId="0" applyNumberFormat="1" applyFont="1" applyFill="1" applyBorder="1">
      <alignment vertical="center"/>
    </xf>
    <xf numFmtId="49" fontId="38" fillId="0" borderId="16" xfId="0" applyNumberFormat="1" applyFont="1" applyFill="1" applyBorder="1">
      <alignment vertical="center"/>
    </xf>
    <xf numFmtId="49" fontId="38" fillId="0" borderId="0" xfId="0" applyNumberFormat="1" applyFont="1" applyFill="1" applyBorder="1">
      <alignment vertical="center"/>
    </xf>
    <xf numFmtId="0" fontId="16" fillId="6" borderId="25" xfId="0" applyFont="1" applyFill="1" applyBorder="1">
      <alignment vertical="center"/>
    </xf>
    <xf numFmtId="0" fontId="16" fillId="6" borderId="96" xfId="0" applyFont="1" applyFill="1" applyBorder="1">
      <alignment vertical="center"/>
    </xf>
    <xf numFmtId="0" fontId="16" fillId="6" borderId="32" xfId="0" applyFont="1" applyFill="1" applyBorder="1">
      <alignment vertical="center"/>
    </xf>
    <xf numFmtId="0" fontId="16" fillId="6" borderId="30" xfId="0" applyFont="1" applyFill="1" applyBorder="1">
      <alignment vertical="center"/>
    </xf>
    <xf numFmtId="0" fontId="16" fillId="6" borderId="31" xfId="0" applyFont="1" applyFill="1" applyBorder="1">
      <alignment vertical="center"/>
    </xf>
    <xf numFmtId="0" fontId="16" fillId="6" borderId="48" xfId="0" applyFont="1" applyFill="1" applyBorder="1">
      <alignment vertical="center"/>
    </xf>
    <xf numFmtId="0" fontId="16" fillId="6" borderId="26" xfId="0" applyFont="1" applyFill="1" applyBorder="1">
      <alignment vertical="center"/>
    </xf>
    <xf numFmtId="0" fontId="16" fillId="6" borderId="2" xfId="0" applyFont="1" applyFill="1" applyBorder="1" applyAlignment="1">
      <alignment horizontal="center" vertical="center"/>
    </xf>
    <xf numFmtId="0" fontId="16" fillId="6" borderId="13" xfId="0" applyFont="1" applyFill="1" applyBorder="1" applyAlignment="1">
      <alignment horizontal="center" vertical="center"/>
    </xf>
    <xf numFmtId="0" fontId="16" fillId="6" borderId="38" xfId="0" applyFont="1" applyFill="1" applyBorder="1">
      <alignment vertical="center"/>
    </xf>
    <xf numFmtId="0" fontId="16" fillId="6" borderId="21" xfId="0" applyFont="1" applyFill="1" applyBorder="1">
      <alignment vertical="center"/>
    </xf>
    <xf numFmtId="0" fontId="16" fillId="6" borderId="37" xfId="0" applyFont="1" applyFill="1" applyBorder="1">
      <alignment vertical="center"/>
    </xf>
    <xf numFmtId="0" fontId="16" fillId="6" borderId="20" xfId="0" applyFont="1" applyFill="1" applyBorder="1">
      <alignment vertical="center"/>
    </xf>
    <xf numFmtId="0" fontId="16" fillId="6" borderId="3" xfId="0" applyFont="1" applyFill="1" applyBorder="1">
      <alignment vertical="center"/>
    </xf>
    <xf numFmtId="0" fontId="16" fillId="6" borderId="13" xfId="0" applyFont="1" applyFill="1" applyBorder="1">
      <alignment vertical="center"/>
    </xf>
    <xf numFmtId="0" fontId="16" fillId="0" borderId="12" xfId="0" applyFont="1" applyBorder="1" applyAlignment="1">
      <alignment vertical="center"/>
    </xf>
    <xf numFmtId="0" fontId="16" fillId="0" borderId="16" xfId="0" applyFont="1" applyBorder="1">
      <alignment vertical="center"/>
    </xf>
    <xf numFmtId="0" fontId="16" fillId="0" borderId="12" xfId="0" applyFont="1" applyBorder="1">
      <alignment vertical="center"/>
    </xf>
    <xf numFmtId="0" fontId="16" fillId="0" borderId="82" xfId="0" applyFont="1" applyBorder="1" applyAlignment="1">
      <alignment vertical="center"/>
    </xf>
    <xf numFmtId="0" fontId="16" fillId="0" borderId="80" xfId="0" applyFont="1" applyBorder="1">
      <alignment vertical="center"/>
    </xf>
    <xf numFmtId="0" fontId="16" fillId="0" borderId="81" xfId="0" applyFont="1" applyBorder="1">
      <alignment vertical="center"/>
    </xf>
    <xf numFmtId="0" fontId="16" fillId="0" borderId="82" xfId="0" applyFont="1" applyBorder="1">
      <alignment vertical="center"/>
    </xf>
    <xf numFmtId="0" fontId="16" fillId="0" borderId="57" xfId="0" applyFont="1" applyBorder="1">
      <alignment vertical="center"/>
    </xf>
    <xf numFmtId="0" fontId="16" fillId="0" borderId="63" xfId="0" applyFont="1" applyBorder="1">
      <alignment vertical="center"/>
    </xf>
    <xf numFmtId="0" fontId="16" fillId="0" borderId="33" xfId="0" applyFont="1" applyBorder="1">
      <alignment vertical="center"/>
    </xf>
    <xf numFmtId="0" fontId="16" fillId="0" borderId="34" xfId="0" applyFont="1" applyBorder="1">
      <alignment vertical="center"/>
    </xf>
    <xf numFmtId="0" fontId="16" fillId="0" borderId="35" xfId="0" applyFont="1" applyBorder="1">
      <alignment vertical="center"/>
    </xf>
    <xf numFmtId="0" fontId="16" fillId="0" borderId="76" xfId="0" applyFont="1" applyBorder="1">
      <alignment vertical="center"/>
    </xf>
    <xf numFmtId="0" fontId="16" fillId="0" borderId="64" xfId="0" applyFont="1" applyBorder="1">
      <alignment vertical="center"/>
    </xf>
    <xf numFmtId="0" fontId="16" fillId="0" borderId="35" xfId="0" applyFont="1" applyBorder="1" applyAlignment="1">
      <alignment vertical="center"/>
    </xf>
    <xf numFmtId="0" fontId="16" fillId="0" borderId="123" xfId="0" applyFont="1" applyBorder="1" applyAlignment="1">
      <alignment vertical="center"/>
    </xf>
    <xf numFmtId="0" fontId="16" fillId="0" borderId="122" xfId="0" applyFont="1" applyBorder="1">
      <alignment vertical="center"/>
    </xf>
    <xf numFmtId="0" fontId="16" fillId="0" borderId="124" xfId="0" applyFont="1" applyBorder="1">
      <alignment vertical="center"/>
    </xf>
    <xf numFmtId="0" fontId="16" fillId="0" borderId="123" xfId="0" applyFont="1" applyBorder="1">
      <alignment vertical="center"/>
    </xf>
    <xf numFmtId="0" fontId="16" fillId="0" borderId="76" xfId="0" applyFont="1" applyBorder="1" applyAlignment="1">
      <alignment vertical="center"/>
    </xf>
    <xf numFmtId="0" fontId="16" fillId="0" borderId="79" xfId="0" applyFont="1" applyBorder="1" applyAlignment="1">
      <alignment vertical="center"/>
    </xf>
    <xf numFmtId="0" fontId="16" fillId="0" borderId="111" xfId="0" applyFont="1" applyBorder="1" applyAlignment="1">
      <alignment vertical="center"/>
    </xf>
    <xf numFmtId="0" fontId="16" fillId="0" borderId="20" xfId="0" applyFont="1" applyBorder="1">
      <alignment vertical="center"/>
    </xf>
    <xf numFmtId="0" fontId="16" fillId="0" borderId="3" xfId="0" applyFont="1" applyBorder="1">
      <alignment vertical="center"/>
    </xf>
    <xf numFmtId="0" fontId="16" fillId="0" borderId="13" xfId="0" applyFont="1" applyBorder="1">
      <alignment vertical="center"/>
    </xf>
    <xf numFmtId="0" fontId="16" fillId="0" borderId="112" xfId="0" applyFont="1" applyBorder="1">
      <alignment vertical="center"/>
    </xf>
    <xf numFmtId="0" fontId="16" fillId="0" borderId="113" xfId="0" applyFont="1" applyBorder="1">
      <alignment vertical="center"/>
    </xf>
    <xf numFmtId="0" fontId="16" fillId="0" borderId="111" xfId="0" applyFont="1" applyBorder="1">
      <alignment vertical="center"/>
    </xf>
    <xf numFmtId="49" fontId="16" fillId="0" borderId="1" xfId="0" applyNumberFormat="1" applyFont="1" applyBorder="1" applyAlignment="1">
      <alignment horizontal="left" vertical="center"/>
    </xf>
    <xf numFmtId="49" fontId="16" fillId="0" borderId="130" xfId="0" applyNumberFormat="1" applyFont="1" applyBorder="1" applyAlignment="1">
      <alignment horizontal="left" vertical="center"/>
    </xf>
    <xf numFmtId="49" fontId="16" fillId="0" borderId="66" xfId="0" applyNumberFormat="1" applyFont="1" applyBorder="1" applyAlignment="1">
      <alignment horizontal="left" vertical="center"/>
    </xf>
    <xf numFmtId="49" fontId="16" fillId="0" borderId="131" xfId="0" applyNumberFormat="1" applyFont="1" applyBorder="1" applyAlignment="1">
      <alignment horizontal="left" vertical="center"/>
    </xf>
    <xf numFmtId="49" fontId="16" fillId="0" borderId="132" xfId="0" applyNumberFormat="1" applyFont="1" applyBorder="1" applyAlignment="1">
      <alignment horizontal="left" vertical="center"/>
    </xf>
    <xf numFmtId="49" fontId="16" fillId="0" borderId="108" xfId="0" applyNumberFormat="1" applyFont="1" applyBorder="1" applyAlignment="1">
      <alignment horizontal="left" vertical="center"/>
    </xf>
    <xf numFmtId="49" fontId="16" fillId="0" borderId="110" xfId="0" quotePrefix="1" applyNumberFormat="1" applyFont="1" applyBorder="1" applyAlignment="1">
      <alignment horizontal="left" vertical="center"/>
    </xf>
    <xf numFmtId="0" fontId="39" fillId="0" borderId="122" xfId="0" applyFont="1" applyBorder="1">
      <alignment vertical="center"/>
    </xf>
    <xf numFmtId="0" fontId="39" fillId="0" borderId="16" xfId="0" applyFont="1" applyBorder="1">
      <alignment vertical="center"/>
    </xf>
    <xf numFmtId="0" fontId="39" fillId="0" borderId="0" xfId="0" applyFont="1" applyBorder="1">
      <alignment vertical="center"/>
    </xf>
    <xf numFmtId="0" fontId="39" fillId="0" borderId="12" xfId="0" applyFont="1" applyBorder="1">
      <alignment vertical="center"/>
    </xf>
    <xf numFmtId="0" fontId="39" fillId="0" borderId="33" xfId="0" applyFont="1" applyBorder="1">
      <alignment vertical="center"/>
    </xf>
    <xf numFmtId="0" fontId="39" fillId="0" borderId="81" xfId="0" applyFont="1" applyBorder="1">
      <alignment vertical="center"/>
    </xf>
    <xf numFmtId="0" fontId="40" fillId="0" borderId="81" xfId="0" applyFont="1" applyBorder="1">
      <alignment vertical="center"/>
    </xf>
    <xf numFmtId="0" fontId="40" fillId="0" borderId="82" xfId="0" applyFont="1" applyBorder="1">
      <alignment vertical="center"/>
    </xf>
    <xf numFmtId="0" fontId="40" fillId="0" borderId="57" xfId="0" applyFont="1" applyBorder="1">
      <alignment vertical="center"/>
    </xf>
    <xf numFmtId="0" fontId="40" fillId="0" borderId="63" xfId="0" applyFont="1" applyBorder="1">
      <alignment vertical="center"/>
    </xf>
    <xf numFmtId="0" fontId="40" fillId="0" borderId="0" xfId="0" applyFont="1" applyBorder="1">
      <alignment vertical="center"/>
    </xf>
    <xf numFmtId="0" fontId="40" fillId="0" borderId="12" xfId="0" applyFont="1" applyBorder="1">
      <alignment vertical="center"/>
    </xf>
    <xf numFmtId="0" fontId="40" fillId="0" borderId="34" xfId="0" applyFont="1" applyBorder="1">
      <alignment vertical="center"/>
    </xf>
    <xf numFmtId="0" fontId="39" fillId="0" borderId="112" xfId="0" applyFont="1" applyBorder="1">
      <alignment vertical="center"/>
    </xf>
    <xf numFmtId="49" fontId="9" fillId="0" borderId="122" xfId="0" applyNumberFormat="1" applyFont="1" applyFill="1" applyBorder="1">
      <alignment vertical="center"/>
    </xf>
    <xf numFmtId="49" fontId="9" fillId="0" borderId="124" xfId="0" applyNumberFormat="1" applyFont="1" applyFill="1" applyBorder="1">
      <alignment vertical="center"/>
    </xf>
    <xf numFmtId="49" fontId="9" fillId="0" borderId="123" xfId="0" applyNumberFormat="1" applyFont="1" applyFill="1" applyBorder="1">
      <alignment vertical="center"/>
    </xf>
    <xf numFmtId="0" fontId="9" fillId="0" borderId="124" xfId="0" applyFont="1" applyFill="1" applyBorder="1">
      <alignment vertical="center"/>
    </xf>
    <xf numFmtId="0" fontId="9" fillId="0" borderId="123" xfId="0" applyFont="1" applyFill="1" applyBorder="1">
      <alignment vertical="center"/>
    </xf>
    <xf numFmtId="49" fontId="9" fillId="7" borderId="12" xfId="0" applyNumberFormat="1" applyFont="1" applyFill="1" applyBorder="1" applyAlignment="1">
      <alignment horizontal="right" vertical="center"/>
    </xf>
    <xf numFmtId="49" fontId="9" fillId="0" borderId="26" xfId="0" applyNumberFormat="1" applyFont="1" applyBorder="1">
      <alignment vertical="center"/>
    </xf>
    <xf numFmtId="49" fontId="9" fillId="0" borderId="21" xfId="0" applyNumberFormat="1" applyFont="1" applyBorder="1">
      <alignment vertical="center"/>
    </xf>
    <xf numFmtId="49" fontId="33" fillId="0" borderId="128" xfId="0" applyNumberFormat="1" applyFont="1" applyBorder="1">
      <alignment vertical="center"/>
    </xf>
    <xf numFmtId="49" fontId="37" fillId="0" borderId="63" xfId="0" applyNumberFormat="1" applyFont="1" applyBorder="1">
      <alignment vertical="center"/>
    </xf>
    <xf numFmtId="0" fontId="16" fillId="0" borderId="1" xfId="0" applyFont="1" applyBorder="1">
      <alignment vertical="center"/>
    </xf>
    <xf numFmtId="0" fontId="16" fillId="0" borderId="1" xfId="0" quotePrefix="1" applyFont="1" applyBorder="1">
      <alignment vertical="center"/>
    </xf>
    <xf numFmtId="0" fontId="9" fillId="0" borderId="0" xfId="0" applyFont="1">
      <alignment vertical="center"/>
    </xf>
    <xf numFmtId="0" fontId="9" fillId="0" borderId="1" xfId="0" applyFont="1" applyBorder="1">
      <alignment vertical="center"/>
    </xf>
    <xf numFmtId="0" fontId="9" fillId="0" borderId="0" xfId="0" applyFont="1" applyBorder="1">
      <alignment vertical="center"/>
    </xf>
    <xf numFmtId="0" fontId="9" fillId="0" borderId="2" xfId="0" applyFont="1" applyBorder="1">
      <alignment vertical="center"/>
    </xf>
    <xf numFmtId="0" fontId="9" fillId="0" borderId="3" xfId="0" applyFont="1" applyBorder="1">
      <alignment vertical="center"/>
    </xf>
    <xf numFmtId="49" fontId="9" fillId="0" borderId="0" xfId="0" applyNumberFormat="1" applyFont="1" applyBorder="1">
      <alignment vertical="center"/>
    </xf>
    <xf numFmtId="49" fontId="9" fillId="0" borderId="3" xfId="0" applyNumberFormat="1" applyFont="1" applyBorder="1">
      <alignment vertical="center"/>
    </xf>
    <xf numFmtId="177" fontId="9" fillId="0" borderId="28" xfId="0" applyNumberFormat="1" applyFont="1" applyBorder="1" applyAlignment="1">
      <alignment vertical="center"/>
    </xf>
    <xf numFmtId="177" fontId="9" fillId="0" borderId="29" xfId="0" applyNumberFormat="1" applyFont="1" applyBorder="1" applyAlignment="1">
      <alignment vertical="center"/>
    </xf>
    <xf numFmtId="49" fontId="37" fillId="0" borderId="0" xfId="0" applyNumberFormat="1" applyFont="1" applyBorder="1">
      <alignment vertical="center"/>
    </xf>
    <xf numFmtId="49" fontId="9" fillId="0" borderId="0" xfId="0" applyNumberFormat="1" applyFont="1" applyBorder="1" applyAlignment="1">
      <alignment horizontal="right" vertical="center"/>
    </xf>
    <xf numFmtId="49" fontId="19" fillId="0" borderId="33" xfId="0" applyNumberFormat="1" applyFont="1" applyBorder="1" applyAlignment="1">
      <alignment horizontal="center" vertical="center"/>
    </xf>
    <xf numFmtId="49" fontId="9" fillId="0" borderId="123" xfId="0" applyNumberFormat="1" applyFont="1" applyBorder="1" applyAlignment="1">
      <alignment horizontal="center" vertical="center"/>
    </xf>
    <xf numFmtId="0" fontId="19" fillId="0" borderId="0" xfId="0" applyFont="1" applyFill="1" applyBorder="1" applyAlignment="1">
      <alignment vertical="center"/>
    </xf>
    <xf numFmtId="49" fontId="9" fillId="0" borderId="122" xfId="0" applyNumberFormat="1" applyFont="1" applyBorder="1" applyAlignment="1">
      <alignment horizontal="center" vertical="center"/>
    </xf>
    <xf numFmtId="49" fontId="19" fillId="0" borderId="35" xfId="0" applyNumberFormat="1" applyFont="1" applyBorder="1" applyAlignment="1">
      <alignment horizontal="center" vertical="center"/>
    </xf>
    <xf numFmtId="0" fontId="9" fillId="0" borderId="0" xfId="0" applyFont="1" applyBorder="1">
      <alignment vertical="center"/>
    </xf>
    <xf numFmtId="49" fontId="9" fillId="0" borderId="0" xfId="0" applyNumberFormat="1" applyFont="1" applyBorder="1">
      <alignment vertical="center"/>
    </xf>
    <xf numFmtId="49" fontId="9" fillId="0" borderId="16" xfId="0" applyNumberFormat="1" applyFont="1" applyBorder="1">
      <alignment vertical="center"/>
    </xf>
    <xf numFmtId="49" fontId="9" fillId="0" borderId="12" xfId="0" applyNumberFormat="1" applyFont="1" applyBorder="1">
      <alignment vertical="center"/>
    </xf>
    <xf numFmtId="49" fontId="9" fillId="0" borderId="28" xfId="0" applyNumberFormat="1" applyFont="1" applyBorder="1">
      <alignment vertical="center"/>
    </xf>
    <xf numFmtId="49" fontId="16" fillId="3" borderId="18" xfId="0" applyNumberFormat="1" applyFont="1" applyFill="1" applyBorder="1">
      <alignment vertical="center"/>
    </xf>
    <xf numFmtId="49" fontId="9" fillId="3" borderId="7" xfId="0" applyNumberFormat="1" applyFont="1" applyFill="1" applyBorder="1">
      <alignment vertical="center"/>
    </xf>
    <xf numFmtId="49" fontId="9" fillId="3" borderId="39" xfId="0" applyNumberFormat="1" applyFont="1" applyFill="1" applyBorder="1">
      <alignment vertical="center"/>
    </xf>
    <xf numFmtId="49" fontId="16" fillId="2" borderId="4" xfId="0" applyNumberFormat="1" applyFont="1" applyFill="1" applyBorder="1">
      <alignment vertical="center"/>
    </xf>
    <xf numFmtId="49" fontId="16" fillId="2" borderId="5" xfId="0" applyNumberFormat="1" applyFont="1" applyFill="1" applyBorder="1">
      <alignment vertical="center"/>
    </xf>
    <xf numFmtId="49" fontId="16" fillId="2" borderId="10" xfId="0" applyNumberFormat="1" applyFont="1" applyFill="1" applyBorder="1">
      <alignment vertical="center"/>
    </xf>
    <xf numFmtId="49" fontId="16" fillId="2" borderId="54" xfId="0" applyNumberFormat="1" applyFont="1" applyFill="1" applyBorder="1">
      <alignment vertical="center"/>
    </xf>
    <xf numFmtId="49" fontId="18" fillId="0" borderId="17" xfId="0" applyNumberFormat="1" applyFont="1" applyFill="1" applyBorder="1">
      <alignment vertical="center"/>
    </xf>
    <xf numFmtId="49" fontId="9" fillId="0" borderId="0" xfId="0" applyNumberFormat="1" applyFont="1" applyBorder="1" applyAlignment="1">
      <alignment horizontal="left" vertical="center"/>
    </xf>
    <xf numFmtId="49" fontId="19" fillId="0" borderId="1" xfId="0" applyNumberFormat="1" applyFont="1" applyBorder="1">
      <alignment vertical="center"/>
    </xf>
    <xf numFmtId="0" fontId="0" fillId="0" borderId="2" xfId="0" applyFont="1" applyBorder="1">
      <alignment vertical="center"/>
    </xf>
    <xf numFmtId="0" fontId="0" fillId="0" borderId="3" xfId="0" applyFont="1" applyBorder="1">
      <alignment vertical="center"/>
    </xf>
    <xf numFmtId="0" fontId="0" fillId="0" borderId="29" xfId="0" applyFont="1" applyBorder="1">
      <alignment vertical="center"/>
    </xf>
    <xf numFmtId="49" fontId="9" fillId="0" borderId="0" xfId="0" applyNumberFormat="1" applyFont="1" applyFill="1" applyBorder="1">
      <alignment vertical="center"/>
    </xf>
    <xf numFmtId="49" fontId="9" fillId="0" borderId="12" xfId="0" applyNumberFormat="1" applyFont="1" applyFill="1" applyBorder="1">
      <alignment vertical="center"/>
    </xf>
    <xf numFmtId="49" fontId="9" fillId="0" borderId="18" xfId="0" applyNumberFormat="1" applyFont="1" applyFill="1" applyBorder="1" applyAlignment="1">
      <alignment horizontal="left" vertical="center"/>
    </xf>
    <xf numFmtId="0" fontId="9" fillId="0" borderId="0" xfId="0" applyFont="1" applyFill="1" applyBorder="1">
      <alignment vertical="center"/>
    </xf>
    <xf numFmtId="49" fontId="9" fillId="0" borderId="16" xfId="0" applyNumberFormat="1" applyFont="1" applyBorder="1" applyAlignment="1">
      <alignment horizontal="left" vertical="center"/>
    </xf>
    <xf numFmtId="49" fontId="9" fillId="0" borderId="16" xfId="0" applyNumberFormat="1" applyFont="1" applyBorder="1" applyAlignment="1">
      <alignment horizontal="center" vertical="center"/>
    </xf>
    <xf numFmtId="49" fontId="9" fillId="0" borderId="12" xfId="0" applyNumberFormat="1" applyFont="1" applyBorder="1" applyAlignment="1">
      <alignment horizontal="center" vertical="center"/>
    </xf>
    <xf numFmtId="49" fontId="18" fillId="0" borderId="1" xfId="0" applyNumberFormat="1" applyFont="1" applyFill="1" applyBorder="1">
      <alignment vertical="center"/>
    </xf>
    <xf numFmtId="49" fontId="9" fillId="0" borderId="0" xfId="0" applyNumberFormat="1" applyFont="1" applyFill="1" applyBorder="1" applyAlignment="1">
      <alignment horizontal="left" vertical="center"/>
    </xf>
    <xf numFmtId="49" fontId="19" fillId="0" borderId="0" xfId="0" applyNumberFormat="1" applyFont="1" applyFill="1" applyBorder="1" applyAlignment="1">
      <alignment horizontal="left" vertical="center"/>
    </xf>
    <xf numFmtId="49" fontId="9" fillId="0" borderId="0" xfId="0" applyNumberFormat="1" applyFont="1" applyBorder="1" applyAlignment="1">
      <alignment vertical="center"/>
    </xf>
    <xf numFmtId="49" fontId="9" fillId="0" borderId="16" xfId="0" applyNumberFormat="1" applyFont="1" applyBorder="1" applyAlignment="1">
      <alignment vertical="center"/>
    </xf>
    <xf numFmtId="49" fontId="9" fillId="0" borderId="12" xfId="0" applyNumberFormat="1" applyFont="1" applyBorder="1" applyAlignment="1">
      <alignment vertical="center"/>
    </xf>
    <xf numFmtId="49" fontId="9" fillId="0" borderId="63" xfId="0" applyNumberFormat="1" applyFont="1" applyBorder="1" applyAlignment="1">
      <alignment vertical="center"/>
    </xf>
    <xf numFmtId="49" fontId="9" fillId="0" borderId="64" xfId="0" applyNumberFormat="1" applyFont="1" applyBorder="1" applyAlignment="1">
      <alignment vertical="center"/>
    </xf>
    <xf numFmtId="49" fontId="16" fillId="3" borderId="18" xfId="0" applyNumberFormat="1" applyFont="1" applyFill="1" applyBorder="1" applyAlignment="1">
      <alignment vertical="center"/>
    </xf>
    <xf numFmtId="49" fontId="9" fillId="3" borderId="7" xfId="0" applyNumberFormat="1" applyFont="1" applyFill="1" applyBorder="1" applyAlignment="1">
      <alignment vertical="center"/>
    </xf>
    <xf numFmtId="49" fontId="9" fillId="0" borderId="33" xfId="0" applyNumberFormat="1" applyFont="1" applyBorder="1" applyAlignment="1">
      <alignment vertical="center"/>
    </xf>
    <xf numFmtId="49" fontId="9" fillId="0" borderId="16" xfId="0" applyNumberFormat="1" applyFont="1" applyFill="1" applyBorder="1" applyAlignment="1">
      <alignment vertical="center"/>
    </xf>
    <xf numFmtId="49" fontId="9" fillId="0" borderId="0" xfId="0" applyNumberFormat="1" applyFont="1" applyFill="1" applyBorder="1" applyAlignment="1">
      <alignment vertical="center"/>
    </xf>
    <xf numFmtId="49" fontId="9" fillId="0" borderId="12" xfId="0" applyNumberFormat="1" applyFont="1" applyFill="1" applyBorder="1" applyAlignment="1">
      <alignment vertical="center"/>
    </xf>
    <xf numFmtId="49" fontId="16" fillId="3" borderId="7" xfId="0" applyNumberFormat="1" applyFont="1" applyFill="1" applyBorder="1" applyAlignment="1">
      <alignment vertical="center"/>
    </xf>
    <xf numFmtId="49" fontId="19" fillId="0" borderId="0" xfId="0" applyNumberFormat="1" applyFont="1" applyFill="1" applyBorder="1" applyAlignment="1">
      <alignment vertical="center"/>
    </xf>
    <xf numFmtId="49" fontId="19" fillId="0" borderId="0" xfId="0" applyNumberFormat="1" applyFont="1" applyBorder="1" applyAlignment="1">
      <alignment vertical="center"/>
    </xf>
    <xf numFmtId="49" fontId="19" fillId="0" borderId="12" xfId="0" applyNumberFormat="1" applyFont="1" applyBorder="1" applyAlignment="1">
      <alignment vertical="center"/>
    </xf>
    <xf numFmtId="49" fontId="19" fillId="0" borderId="28" xfId="0" applyNumberFormat="1" applyFont="1" applyBorder="1" applyAlignment="1">
      <alignment vertical="center"/>
    </xf>
    <xf numFmtId="49" fontId="19" fillId="0" borderId="16" xfId="0" applyNumberFormat="1" applyFont="1" applyBorder="1" applyAlignment="1">
      <alignment horizontal="center" vertical="center"/>
    </xf>
    <xf numFmtId="49" fontId="19" fillId="0" borderId="12" xfId="0" applyNumberFormat="1" applyFont="1" applyBorder="1" applyAlignment="1">
      <alignment horizontal="center" vertical="center"/>
    </xf>
    <xf numFmtId="49" fontId="19" fillId="0" borderId="12" xfId="0" applyNumberFormat="1" applyFont="1" applyFill="1" applyBorder="1" applyAlignment="1">
      <alignment vertical="center"/>
    </xf>
    <xf numFmtId="49" fontId="19" fillId="0" borderId="28" xfId="0" applyNumberFormat="1" applyFont="1" applyFill="1" applyBorder="1" applyAlignment="1">
      <alignment vertical="center"/>
    </xf>
    <xf numFmtId="49" fontId="9" fillId="0" borderId="124" xfId="0" applyNumberFormat="1" applyFont="1" applyBorder="1" applyAlignment="1">
      <alignment vertical="center"/>
    </xf>
    <xf numFmtId="49" fontId="9" fillId="0" borderId="122" xfId="0" applyNumberFormat="1" applyFont="1" applyBorder="1" applyAlignment="1">
      <alignment horizontal="left" vertical="center"/>
    </xf>
    <xf numFmtId="49" fontId="9" fillId="0" borderId="124" xfId="0" applyNumberFormat="1" applyFont="1" applyBorder="1" applyAlignment="1">
      <alignment horizontal="left" vertical="center"/>
    </xf>
    <xf numFmtId="49" fontId="9" fillId="0" borderId="123" xfId="0" applyNumberFormat="1" applyFont="1" applyBorder="1" applyAlignment="1">
      <alignment vertical="center"/>
    </xf>
    <xf numFmtId="49" fontId="9" fillId="0" borderId="125" xfId="0" applyNumberFormat="1" applyFont="1" applyBorder="1" applyAlignment="1">
      <alignment vertical="center"/>
    </xf>
    <xf numFmtId="49" fontId="9" fillId="0" borderId="12" xfId="0" applyNumberFormat="1" applyFont="1" applyBorder="1" applyAlignment="1">
      <alignment horizontal="left" vertical="center"/>
    </xf>
    <xf numFmtId="49" fontId="36" fillId="0" borderId="16" xfId="9" applyNumberFormat="1" applyFont="1" applyBorder="1" applyAlignment="1">
      <alignment vertical="top"/>
    </xf>
    <xf numFmtId="49" fontId="9" fillId="0" borderId="124" xfId="0" applyNumberFormat="1" applyFont="1" applyBorder="1">
      <alignment vertical="center"/>
    </xf>
    <xf numFmtId="49" fontId="9" fillId="0" borderId="128" xfId="0" applyNumberFormat="1" applyFont="1" applyBorder="1">
      <alignment vertical="center"/>
    </xf>
    <xf numFmtId="49" fontId="29" fillId="0" borderId="18" xfId="9" applyNumberFormat="1" applyFont="1" applyBorder="1" applyAlignment="1">
      <alignment vertical="top"/>
    </xf>
    <xf numFmtId="0" fontId="41" fillId="0" borderId="7" xfId="9" applyFont="1" applyBorder="1">
      <alignment vertical="center"/>
    </xf>
    <xf numFmtId="0" fontId="41" fillId="0" borderId="19" xfId="9" applyFont="1" applyBorder="1">
      <alignment vertical="center"/>
    </xf>
    <xf numFmtId="49" fontId="22" fillId="0" borderId="7" xfId="9" quotePrefix="1" applyNumberFormat="1" applyFont="1" applyBorder="1" applyAlignment="1">
      <alignment vertical="top"/>
    </xf>
    <xf numFmtId="49" fontId="9" fillId="0" borderId="7" xfId="0" applyNumberFormat="1" applyFont="1" applyFill="1" applyBorder="1" applyAlignment="1">
      <alignment horizontal="left" vertical="center"/>
    </xf>
    <xf numFmtId="49" fontId="9" fillId="0" borderId="7" xfId="0" applyNumberFormat="1" applyFont="1" applyFill="1" applyBorder="1" applyAlignment="1">
      <alignment vertical="center"/>
    </xf>
    <xf numFmtId="49" fontId="9" fillId="0" borderId="19" xfId="0" applyNumberFormat="1" applyFont="1" applyFill="1" applyBorder="1" applyAlignment="1">
      <alignment vertical="center"/>
    </xf>
    <xf numFmtId="49" fontId="9" fillId="0" borderId="18" xfId="0" applyNumberFormat="1" applyFont="1" applyFill="1" applyBorder="1" applyAlignment="1">
      <alignment vertical="center"/>
    </xf>
    <xf numFmtId="49" fontId="29" fillId="0" borderId="33" xfId="9" applyNumberFormat="1" applyFont="1" applyBorder="1" applyAlignment="1">
      <alignment vertical="top"/>
    </xf>
    <xf numFmtId="0" fontId="41" fillId="0" borderId="34" xfId="9" applyFont="1" applyBorder="1">
      <alignment vertical="center"/>
    </xf>
    <xf numFmtId="0" fontId="41" fillId="0" borderId="35" xfId="9" applyFont="1" applyBorder="1">
      <alignment vertical="center"/>
    </xf>
    <xf numFmtId="49" fontId="9" fillId="0" borderId="7" xfId="0" applyNumberFormat="1" applyFont="1" applyBorder="1" applyAlignment="1">
      <alignment vertical="center"/>
    </xf>
    <xf numFmtId="49" fontId="9" fillId="0" borderId="34" xfId="0" applyNumberFormat="1" applyFont="1" applyFill="1" applyBorder="1" applyAlignment="1">
      <alignment horizontal="left" vertical="center"/>
    </xf>
    <xf numFmtId="49" fontId="9" fillId="0" borderId="34" xfId="0" applyNumberFormat="1" applyFont="1" applyFill="1" applyBorder="1" applyAlignment="1">
      <alignment vertical="center"/>
    </xf>
    <xf numFmtId="49" fontId="9" fillId="0" borderId="35" xfId="0" applyNumberFormat="1" applyFont="1" applyFill="1" applyBorder="1" applyAlignment="1">
      <alignment vertical="center"/>
    </xf>
    <xf numFmtId="49" fontId="9" fillId="0" borderId="33" xfId="0" applyNumberFormat="1" applyFont="1" applyFill="1" applyBorder="1" applyAlignment="1">
      <alignment vertical="center"/>
    </xf>
    <xf numFmtId="49" fontId="9" fillId="0" borderId="34" xfId="0" applyNumberFormat="1" applyFont="1" applyBorder="1" applyAlignment="1">
      <alignment vertical="center"/>
    </xf>
    <xf numFmtId="49" fontId="29" fillId="0" borderId="16" xfId="9" applyNumberFormat="1" applyFont="1" applyBorder="1" applyAlignment="1">
      <alignment vertical="top"/>
    </xf>
    <xf numFmtId="0" fontId="41" fillId="0" borderId="0" xfId="9" applyFont="1" applyBorder="1">
      <alignment vertical="center"/>
    </xf>
    <xf numFmtId="0" fontId="41" fillId="0" borderId="12" xfId="9" applyFont="1" applyBorder="1">
      <alignment vertical="center"/>
    </xf>
    <xf numFmtId="49" fontId="22" fillId="0" borderId="16" xfId="9" applyNumberFormat="1" applyFont="1" applyBorder="1" applyAlignment="1">
      <alignment vertical="top"/>
    </xf>
    <xf numFmtId="49" fontId="22" fillId="0" borderId="0" xfId="9" quotePrefix="1" applyNumberFormat="1" applyFont="1" applyBorder="1" applyAlignment="1">
      <alignment vertical="top"/>
    </xf>
    <xf numFmtId="0" fontId="41" fillId="0" borderId="16" xfId="9" applyFont="1" applyBorder="1">
      <alignment vertical="center"/>
    </xf>
    <xf numFmtId="49" fontId="22" fillId="0" borderId="0" xfId="9" applyNumberFormat="1" applyFont="1" applyBorder="1" applyAlignment="1">
      <alignment vertical="top"/>
    </xf>
    <xf numFmtId="49" fontId="9" fillId="0" borderId="57" xfId="0" applyNumberFormat="1" applyFont="1" applyFill="1" applyBorder="1" applyAlignment="1">
      <alignment vertical="center"/>
    </xf>
    <xf numFmtId="49" fontId="9" fillId="0" borderId="63" xfId="0" applyNumberFormat="1" applyFont="1" applyFill="1" applyBorder="1" applyAlignment="1">
      <alignment vertical="center"/>
    </xf>
    <xf numFmtId="0" fontId="9" fillId="0" borderId="63" xfId="0" applyFont="1" applyFill="1" applyBorder="1" applyAlignment="1">
      <alignment vertical="center"/>
    </xf>
    <xf numFmtId="49" fontId="9" fillId="0" borderId="63" xfId="0" applyNumberFormat="1" applyFont="1" applyFill="1" applyBorder="1" applyAlignment="1">
      <alignment horizontal="left" vertical="center"/>
    </xf>
    <xf numFmtId="49" fontId="9" fillId="0" borderId="64" xfId="0" applyNumberFormat="1" applyFont="1" applyFill="1" applyBorder="1" applyAlignment="1">
      <alignment vertical="center"/>
    </xf>
    <xf numFmtId="0" fontId="9" fillId="0" borderId="0" xfId="0" applyFont="1" applyFill="1" applyBorder="1" applyAlignment="1">
      <alignment vertical="center"/>
    </xf>
    <xf numFmtId="0" fontId="41" fillId="0" borderId="16" xfId="9" applyFont="1" applyFill="1" applyBorder="1">
      <alignment vertical="center"/>
    </xf>
    <xf numFmtId="0" fontId="41" fillId="0" borderId="0" xfId="9" applyFont="1" applyFill="1" applyBorder="1">
      <alignment vertical="center"/>
    </xf>
    <xf numFmtId="0" fontId="41" fillId="0" borderId="12" xfId="9" applyFont="1" applyFill="1" applyBorder="1">
      <alignment vertical="center"/>
    </xf>
    <xf numFmtId="49" fontId="22" fillId="0" borderId="16" xfId="9" applyNumberFormat="1" applyFont="1" applyFill="1" applyBorder="1" applyAlignment="1">
      <alignment vertical="top"/>
    </xf>
    <xf numFmtId="49" fontId="29" fillId="0" borderId="16" xfId="9" applyNumberFormat="1" applyFont="1" applyFill="1" applyBorder="1" applyAlignment="1">
      <alignment vertical="top"/>
    </xf>
    <xf numFmtId="49" fontId="9" fillId="0" borderId="16" xfId="9" applyNumberFormat="1" applyFont="1" applyFill="1" applyBorder="1" applyAlignment="1">
      <alignment vertical="top"/>
    </xf>
    <xf numFmtId="0" fontId="42" fillId="0" borderId="0" xfId="9" applyFont="1" applyFill="1" applyBorder="1">
      <alignment vertical="center"/>
    </xf>
    <xf numFmtId="49" fontId="9" fillId="0" borderId="0" xfId="9" quotePrefix="1" applyNumberFormat="1" applyFont="1" applyFill="1" applyBorder="1" applyAlignment="1">
      <alignment vertical="top"/>
    </xf>
    <xf numFmtId="49" fontId="22" fillId="0" borderId="0" xfId="9" applyNumberFormat="1" applyFont="1" applyFill="1" applyBorder="1" applyAlignment="1">
      <alignment vertical="top"/>
    </xf>
    <xf numFmtId="49" fontId="16" fillId="0" borderId="33" xfId="9" applyNumberFormat="1" applyFont="1" applyFill="1" applyBorder="1" applyAlignment="1">
      <alignment vertical="top"/>
    </xf>
    <xf numFmtId="0" fontId="42" fillId="0" borderId="34" xfId="9" applyFont="1" applyFill="1" applyBorder="1">
      <alignment vertical="center"/>
    </xf>
    <xf numFmtId="0" fontId="41" fillId="0" borderId="34" xfId="9" applyFont="1" applyFill="1" applyBorder="1">
      <alignment vertical="center"/>
    </xf>
    <xf numFmtId="49" fontId="9" fillId="0" borderId="0" xfId="9" applyNumberFormat="1" applyFont="1" applyFill="1" applyBorder="1" applyAlignment="1">
      <alignment vertical="top"/>
    </xf>
    <xf numFmtId="49" fontId="29" fillId="0" borderId="33" xfId="9" applyNumberFormat="1" applyFont="1" applyFill="1" applyBorder="1" applyAlignment="1">
      <alignment vertical="top"/>
    </xf>
    <xf numFmtId="49" fontId="22" fillId="0" borderId="0" xfId="9" quotePrefix="1" applyNumberFormat="1" applyFont="1" applyFill="1" applyBorder="1" applyAlignment="1">
      <alignment vertical="top"/>
    </xf>
    <xf numFmtId="49" fontId="9" fillId="0" borderId="133" xfId="0" applyNumberFormat="1" applyFont="1" applyBorder="1">
      <alignment vertical="center"/>
    </xf>
    <xf numFmtId="49" fontId="9" fillId="0" borderId="124" xfId="0" applyNumberFormat="1" applyFont="1" applyFill="1" applyBorder="1" applyAlignment="1">
      <alignment vertical="center"/>
    </xf>
    <xf numFmtId="49" fontId="9" fillId="0" borderId="134" xfId="0" applyNumberFormat="1" applyFont="1" applyBorder="1">
      <alignment vertical="center"/>
    </xf>
    <xf numFmtId="49" fontId="9" fillId="0" borderId="135" xfId="0" applyNumberFormat="1" applyFont="1" applyBorder="1">
      <alignment vertical="center"/>
    </xf>
    <xf numFmtId="49" fontId="9" fillId="0" borderId="136" xfId="0" applyNumberFormat="1" applyFont="1" applyBorder="1">
      <alignment vertical="center"/>
    </xf>
    <xf numFmtId="49" fontId="9" fillId="0" borderId="0" xfId="0" applyNumberFormat="1" applyFont="1" applyFill="1" applyBorder="1" applyAlignment="1">
      <alignment vertical="top"/>
    </xf>
    <xf numFmtId="49" fontId="9" fillId="7" borderId="18" xfId="0" applyNumberFormat="1" applyFont="1" applyFill="1" applyBorder="1" applyAlignment="1">
      <alignment vertical="center"/>
    </xf>
    <xf numFmtId="49" fontId="9" fillId="7" borderId="7" xfId="0" applyNumberFormat="1" applyFont="1" applyFill="1" applyBorder="1" applyAlignment="1">
      <alignment vertical="center"/>
    </xf>
    <xf numFmtId="49" fontId="9" fillId="7" borderId="19" xfId="0" applyNumberFormat="1" applyFont="1" applyFill="1" applyBorder="1" applyAlignment="1">
      <alignment vertical="center"/>
    </xf>
    <xf numFmtId="49" fontId="9" fillId="0" borderId="19" xfId="0" applyNumberFormat="1" applyFont="1" applyFill="1" applyBorder="1" applyAlignment="1">
      <alignment horizontal="left" vertical="center"/>
    </xf>
    <xf numFmtId="49" fontId="9" fillId="0" borderId="7" xfId="0" applyNumberFormat="1" applyFont="1" applyFill="1" applyBorder="1" applyAlignment="1">
      <alignment vertical="top"/>
    </xf>
    <xf numFmtId="49" fontId="9" fillId="0" borderId="137" xfId="0" applyNumberFormat="1" applyFont="1" applyBorder="1">
      <alignment vertical="center"/>
    </xf>
    <xf numFmtId="49" fontId="9" fillId="0" borderId="138" xfId="0" applyNumberFormat="1" applyFont="1" applyBorder="1">
      <alignment vertical="center"/>
    </xf>
    <xf numFmtId="49" fontId="9" fillId="0" borderId="133" xfId="0" applyNumberFormat="1" applyFont="1" applyFill="1" applyBorder="1" applyAlignment="1">
      <alignment vertical="center"/>
    </xf>
    <xf numFmtId="49" fontId="9" fillId="0" borderId="135" xfId="0" applyNumberFormat="1" applyFont="1" applyFill="1" applyBorder="1" applyAlignment="1">
      <alignment vertical="center"/>
    </xf>
    <xf numFmtId="49" fontId="9" fillId="0" borderId="119" xfId="0" applyNumberFormat="1" applyFont="1" applyBorder="1">
      <alignment vertical="center"/>
    </xf>
    <xf numFmtId="49" fontId="9" fillId="0" borderId="33" xfId="0" applyNumberFormat="1" applyFont="1" applyFill="1" applyBorder="1" applyAlignment="1">
      <alignment horizontal="left" vertical="center"/>
    </xf>
    <xf numFmtId="49" fontId="9" fillId="0" borderId="35" xfId="0" applyNumberFormat="1" applyFont="1" applyFill="1" applyBorder="1" applyAlignment="1">
      <alignment horizontal="left" vertical="center"/>
    </xf>
    <xf numFmtId="49" fontId="9" fillId="0" borderId="34" xfId="0" applyNumberFormat="1" applyFont="1" applyFill="1" applyBorder="1" applyAlignment="1">
      <alignment vertical="top"/>
    </xf>
    <xf numFmtId="49" fontId="9" fillId="0" borderId="57" xfId="0" applyNumberFormat="1" applyFont="1" applyFill="1" applyBorder="1" applyAlignment="1">
      <alignment horizontal="left" vertical="center"/>
    </xf>
    <xf numFmtId="49" fontId="9" fillId="0" borderId="64" xfId="0" applyNumberFormat="1" applyFont="1" applyFill="1" applyBorder="1" applyAlignment="1">
      <alignment horizontal="left" vertical="center"/>
    </xf>
    <xf numFmtId="49" fontId="9" fillId="0" borderId="63" xfId="0" applyNumberFormat="1" applyFont="1" applyFill="1" applyBorder="1" applyAlignment="1">
      <alignment vertical="top"/>
    </xf>
    <xf numFmtId="49" fontId="9" fillId="0" borderId="16" xfId="0" applyNumberFormat="1" applyFont="1" applyFill="1" applyBorder="1" applyAlignment="1">
      <alignment horizontal="left" vertical="center"/>
    </xf>
    <xf numFmtId="49" fontId="9" fillId="0" borderId="12" xfId="0" applyNumberFormat="1" applyFont="1" applyFill="1" applyBorder="1" applyAlignment="1">
      <alignment horizontal="left" vertical="center"/>
    </xf>
    <xf numFmtId="0" fontId="9" fillId="0" borderId="34" xfId="0" applyFont="1" applyFill="1" applyBorder="1" applyAlignment="1">
      <alignment vertical="center"/>
    </xf>
    <xf numFmtId="0" fontId="22" fillId="0" borderId="0" xfId="9" applyFont="1" applyBorder="1">
      <alignment vertical="center"/>
    </xf>
    <xf numFmtId="0" fontId="22" fillId="0" borderId="12" xfId="9" applyFont="1" applyBorder="1">
      <alignment vertical="center"/>
    </xf>
    <xf numFmtId="0" fontId="22" fillId="0" borderId="16" xfId="9" applyFont="1" applyBorder="1">
      <alignment vertical="center"/>
    </xf>
  </cellXfs>
  <cellStyles count="10">
    <cellStyle name="標準" xfId="0" builtinId="0"/>
    <cellStyle name="標準 2" xfId="1"/>
    <cellStyle name="標準 2 2" xfId="6"/>
    <cellStyle name="標準 3" xfId="9"/>
    <cellStyle name="標準 4" xfId="2"/>
    <cellStyle name="標準 6" xfId="8"/>
    <cellStyle name="標準 8" xfId="5"/>
    <cellStyle name="標準_20020311　キックオフ資料2(阪村産業ASPROVA)" xfId="4"/>
    <cellStyle name="標準_NCA00200_機能設計書（売上情報受信）" xfId="3"/>
    <cellStyle name="標準_画面説明書_CAP0010_承認状況確認" xfId="7"/>
  </cellStyles>
  <dxfs count="0"/>
  <tableStyles count="0" defaultTableStyle="TableStyleMedium9" defaultPivotStyle="PivotStyleLight16"/>
  <colors>
    <mruColors>
      <color rgb="FFCCFFCC"/>
      <color rgb="FFFFCCFF"/>
      <color rgb="FFFFFF99"/>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4.emf"/></Relationships>
</file>

<file path=xl/drawings/_rels/drawing3.xml.rels><?xml version="1.0" encoding="UTF-8" standalone="yes"?>
<Relationships xmlns="http://schemas.openxmlformats.org/package/2006/relationships"><Relationship Id="rId1" Type="http://schemas.openxmlformats.org/officeDocument/2006/relationships/image" Target="../media/image6.emf"/></Relationships>
</file>

<file path=xl/drawings/_rels/drawing4.xml.rels><?xml version="1.0" encoding="UTF-8" standalone="yes"?>
<Relationships xmlns="http://schemas.openxmlformats.org/package/2006/relationships"><Relationship Id="rId1" Type="http://schemas.openxmlformats.org/officeDocument/2006/relationships/image" Target="../media/image8.emf"/></Relationships>
</file>

<file path=xl/drawings/_rels/drawing5.xml.rels><?xml version="1.0" encoding="UTF-8" standalone="yes"?>
<Relationships xmlns="http://schemas.openxmlformats.org/package/2006/relationships"><Relationship Id="rId1" Type="http://schemas.openxmlformats.org/officeDocument/2006/relationships/image" Target="../media/image10.png"/></Relationships>
</file>

<file path=xl/drawings/_rels/drawing6.xml.rels><?xml version="1.0" encoding="UTF-8" standalone="yes"?>
<Relationships xmlns="http://schemas.openxmlformats.org/package/2006/relationships"><Relationship Id="rId1" Type="http://schemas.openxmlformats.org/officeDocument/2006/relationships/image" Target="../media/image1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3.emf"/></Relationships>
</file>

<file path=xl/drawings/_rels/drawing9.xml.rels><?xml version="1.0" encoding="UTF-8" standalone="yes"?>
<Relationships xmlns="http://schemas.openxmlformats.org/package/2006/relationships"><Relationship Id="rId1" Type="http://schemas.openxmlformats.org/officeDocument/2006/relationships/image" Target="../media/image15.emf"/></Relationships>
</file>

<file path=xl/drawings/_rels/drawing11.xml.rels><?xml version="1.0" encoding="UTF-8" standalone="yes"?>
<Relationships xmlns="http://schemas.openxmlformats.org/package/2006/relationships"><Relationship Id="rId1" Type="http://schemas.openxmlformats.org/officeDocument/2006/relationships/image" Target="../media/image16.emf"/></Relationships>
</file>

<file path=xl/drawings/_rels/drawing12.xml.rels><?xml version="1.0" encoding="UTF-8" standalone="yes"?>
<Relationships xmlns="http://schemas.openxmlformats.org/package/2006/relationships"><Relationship Id="rId1" Type="http://schemas.openxmlformats.org/officeDocument/2006/relationships/image" Target="../media/image18.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7.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9.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1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14.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17.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19.emf"/></Relationships>
</file>

<file path=xl/drawings/drawing1.xml><?xml version="1.0" encoding="utf-8"?>
<xdr:wsDr xmlns:xdr="http://schemas.openxmlformats.org/drawingml/2006/spreadsheetDrawing" xmlns:a="http://schemas.openxmlformats.org/drawingml/2006/main">
  <xdr:twoCellAnchor>
    <xdr:from>
      <xdr:col>10</xdr:col>
      <xdr:colOff>104775</xdr:colOff>
      <xdr:row>37</xdr:row>
      <xdr:rowOff>9525</xdr:rowOff>
    </xdr:from>
    <xdr:to>
      <xdr:col>39</xdr:col>
      <xdr:colOff>66675</xdr:colOff>
      <xdr:row>39</xdr:row>
      <xdr:rowOff>19050</xdr:rowOff>
    </xdr:to>
    <xdr:grpSp>
      <xdr:nvGrpSpPr>
        <xdr:cNvPr id="1262" name="Group 2"/>
        <xdr:cNvGrpSpPr>
          <a:grpSpLocks/>
        </xdr:cNvGrpSpPr>
      </xdr:nvGrpSpPr>
      <xdr:grpSpPr bwMode="auto">
        <a:xfrm>
          <a:off x="2009775" y="6267450"/>
          <a:ext cx="5486400" cy="295275"/>
          <a:chOff x="288" y="656"/>
          <a:chExt cx="576" cy="31"/>
        </a:xfrm>
      </xdr:grpSpPr>
      <xdr:pic>
        <xdr:nvPicPr>
          <xdr:cNvPr id="1266" name="Picture 3" descr="BL-J_Bw"/>
          <xdr:cNvPicPr preferRelativeResize="0">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14" y="661"/>
            <a:ext cx="450" cy="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267" name="Picture 4"/>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88" y="656"/>
            <a:ext cx="107" cy="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grpSp>
    <xdr:clientData/>
  </xdr:twoCellAnchor>
  <xdr:twoCellAnchor editAs="oneCell">
    <xdr:from>
      <xdr:col>8</xdr:col>
      <xdr:colOff>142875</xdr:colOff>
      <xdr:row>10</xdr:row>
      <xdr:rowOff>85725</xdr:rowOff>
    </xdr:from>
    <xdr:to>
      <xdr:col>41</xdr:col>
      <xdr:colOff>38100</xdr:colOff>
      <xdr:row>19</xdr:row>
      <xdr:rowOff>17286</xdr:rowOff>
    </xdr:to>
    <xdr:sp macro="" textlink="">
      <xdr:nvSpPr>
        <xdr:cNvPr id="1033" name="AutoShape 5"/>
        <xdr:cNvSpPr>
          <a:spLocks noChangeArrowheads="1"/>
        </xdr:cNvSpPr>
      </xdr:nvSpPr>
      <xdr:spPr bwMode="auto">
        <a:xfrm>
          <a:off x="1666875" y="1514475"/>
          <a:ext cx="6181725" cy="1409700"/>
        </a:xfrm>
        <a:prstGeom prst="roundRect">
          <a:avLst>
            <a:gd name="adj" fmla="val 16667"/>
          </a:avLst>
        </a:prstGeom>
        <a:solidFill>
          <a:srgbClr val="FFFFFF"/>
        </a:solidFill>
        <a:ln w="25400">
          <a:solidFill>
            <a:srgbClr val="000000"/>
          </a:solidFill>
          <a:round/>
          <a:headEnd/>
          <a:tailEnd/>
        </a:ln>
        <a:effectLst>
          <a:outerShdw dist="107763" dir="2700000" algn="ctr" rotWithShape="0">
            <a:srgbClr val="333333"/>
          </a:outerShdw>
        </a:effectLst>
      </xdr:spPr>
      <xdr:txBody>
        <a:bodyPr vertOverflow="clip" wrap="square" lIns="64008" tIns="41148" rIns="64008" bIns="41148" anchor="ctr" upright="1"/>
        <a:lstStyle/>
        <a:p>
          <a:pPr algn="ctr" rtl="0">
            <a:defRPr sz="1000"/>
          </a:pPr>
          <a:r>
            <a:rPr lang="ja-JP" altLang="en-US" sz="3600" b="0" i="0" u="none" strike="noStrike" baseline="0">
              <a:solidFill>
                <a:srgbClr val="000000"/>
              </a:solidFill>
              <a:latin typeface="ＭＳ Ｐゴシック"/>
              <a:ea typeface="ＭＳ Ｐゴシック"/>
            </a:rPr>
            <a:t>バッチ設計書</a:t>
          </a:r>
        </a:p>
      </xdr:txBody>
    </xdr:sp>
    <xdr:clientData/>
  </xdr:twoCellAnchor>
  <xdr:twoCellAnchor editAs="oneCell">
    <xdr:from>
      <xdr:col>44</xdr:col>
      <xdr:colOff>152400</xdr:colOff>
      <xdr:row>0</xdr:row>
      <xdr:rowOff>0</xdr:rowOff>
    </xdr:from>
    <xdr:to>
      <xdr:col>48</xdr:col>
      <xdr:colOff>9525</xdr:colOff>
      <xdr:row>1</xdr:row>
      <xdr:rowOff>45508</xdr:rowOff>
    </xdr:to>
    <xdr:sp macro="" textlink="">
      <xdr:nvSpPr>
        <xdr:cNvPr id="144391" name="Rectangle 7"/>
        <xdr:cNvSpPr>
          <a:spLocks noChangeArrowheads="1"/>
        </xdr:cNvSpPr>
      </xdr:nvSpPr>
      <xdr:spPr bwMode="auto">
        <a:xfrm>
          <a:off x="8067675" y="0"/>
          <a:ext cx="628650" cy="209550"/>
        </a:xfrm>
        <a:prstGeom prst="rect">
          <a:avLst/>
        </a:prstGeom>
        <a:noFill/>
        <a:ln w="6350">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1000" b="0" i="0" u="none" strike="noStrike" baseline="0">
              <a:solidFill>
                <a:srgbClr val="000000"/>
              </a:solidFill>
              <a:latin typeface="ＭＳ Ｐゴシック"/>
              <a:ea typeface="ＭＳ Ｐゴシック"/>
            </a:rPr>
            <a:t>取扱注意</a:t>
          </a:r>
        </a:p>
      </xdr:txBody>
    </xdr:sp>
    <xdr:clientData/>
  </xdr:twoCellAnchor>
  <xdr:twoCellAnchor>
    <xdr:from>
      <xdr:col>0</xdr:col>
      <xdr:colOff>0</xdr:colOff>
      <xdr:row>43</xdr:row>
      <xdr:rowOff>38100</xdr:rowOff>
    </xdr:from>
    <xdr:to>
      <xdr:col>50</xdr:col>
      <xdr:colOff>0</xdr:colOff>
      <xdr:row>43</xdr:row>
      <xdr:rowOff>38100</xdr:rowOff>
    </xdr:to>
    <xdr:sp macro="" textlink="">
      <xdr:nvSpPr>
        <xdr:cNvPr id="1265" name="Line 12"/>
        <xdr:cNvSpPr>
          <a:spLocks noChangeShapeType="1"/>
        </xdr:cNvSpPr>
      </xdr:nvSpPr>
      <xdr:spPr bwMode="auto">
        <a:xfrm>
          <a:off x="0" y="7467600"/>
          <a:ext cx="9525000" cy="0"/>
        </a:xfrm>
        <a:prstGeom prst="line">
          <a:avLst/>
        </a:prstGeom>
        <a:noFill/>
        <a:ln w="9525">
          <a:solidFill>
            <a:srgbClr val="000000"/>
          </a:solidFill>
          <a:round/>
          <a:headEnd type="triangle" w="med" len="med"/>
          <a:tailEnd type="triangle" w="med" len="med"/>
        </a:ln>
        <a:extLst>
          <a:ext uri="{909E8E84-426E-40DD-AFC4-6F175D3DCCD1}">
            <a14:hiddenFill xmlns:a14="http://schemas.microsoft.com/office/drawing/2010/main">
              <a:noFill/>
            </a14:hiddenFill>
          </a:ext>
        </a:extLst>
      </xdr:spPr>
    </xdr:sp>
    <xdr:clientData/>
  </xdr:twoCellAnchor>
  <xdr:twoCellAnchor editAs="oneCell">
    <xdr:from>
      <xdr:col>2</xdr:col>
      <xdr:colOff>0</xdr:colOff>
      <xdr:row>2</xdr:row>
      <xdr:rowOff>0</xdr:rowOff>
    </xdr:from>
    <xdr:to>
      <xdr:col>13</xdr:col>
      <xdr:colOff>45463</xdr:colOff>
      <xdr:row>4</xdr:row>
      <xdr:rowOff>92055</xdr:rowOff>
    </xdr:to>
    <xdr:pic>
      <xdr:nvPicPr>
        <xdr:cNvPr id="10" name="図 9"/>
        <xdr:cNvPicPr>
          <a:picLocks noChangeAspect="1"/>
        </xdr:cNvPicPr>
      </xdr:nvPicPr>
      <xdr:blipFill>
        <a:blip xmlns:r="http://schemas.openxmlformats.org/officeDocument/2006/relationships" r:embed="rId3"/>
        <a:stretch>
          <a:fillRect/>
        </a:stretch>
      </xdr:blipFill>
      <xdr:spPr>
        <a:xfrm>
          <a:off x="406400" y="270933"/>
          <a:ext cx="2280663" cy="36298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oneCellAnchor>
        <xdr:from>
          <xdr:col>0</xdr:col>
          <xdr:colOff>0</xdr:colOff>
          <xdr:row>0</xdr:row>
          <xdr:rowOff>0</xdr:rowOff>
        </xdr:from>
        <xdr:ext cx="9534525" cy="429683"/>
        <xdr:pic>
          <xdr:nvPicPr>
            <xdr:cNvPr id="2" name="図 1"/>
            <xdr:cNvPicPr>
              <a:picLocks noChangeAspect="1" noChangeArrowheads="1"/>
              <a:extLst>
                <a:ext uri="{84589F7E-364E-4C9E-8A38-B11213B215E9}">
                  <a14:cameraTool cellRange="表紙!$BA$47:$BJ$49" spid="_x0000_s37925"/>
                </a:ext>
              </a:extLst>
            </xdr:cNvPicPr>
          </xdr:nvPicPr>
          <xdr:blipFill>
            <a:blip xmlns:r="http://schemas.openxmlformats.org/officeDocument/2006/relationships" r:embed="rId1"/>
            <a:srcRect/>
            <a:stretch>
              <a:fillRect/>
            </a:stretch>
          </xdr:blipFill>
          <xdr:spPr bwMode="auto">
            <a:xfrm>
              <a:off x="0" y="0"/>
              <a:ext cx="9534525" cy="429683"/>
            </a:xfrm>
            <a:prstGeom prst="rect">
              <a:avLst/>
            </a:prstGeom>
            <a:noFill/>
            <a:extLst>
              <a:ext uri="{909E8E84-426E-40DD-AFC4-6F175D3DCCD1}">
                <a14:hiddenFill>
                  <a:solidFill>
                    <a:srgbClr val="FFFFFF"/>
                  </a:solidFill>
                </a14:hiddenFill>
              </a:ext>
            </a:extLst>
          </xdr:spPr>
        </xdr:pic>
        <xdr:clientData/>
      </xdr:one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oneCellAnchor>
        <xdr:from>
          <xdr:col>0</xdr:col>
          <xdr:colOff>0</xdr:colOff>
          <xdr:row>0</xdr:row>
          <xdr:rowOff>0</xdr:rowOff>
        </xdr:from>
        <xdr:ext cx="9534525" cy="429683"/>
        <xdr:pic>
          <xdr:nvPicPr>
            <xdr:cNvPr id="2" name="図 1"/>
            <xdr:cNvPicPr>
              <a:picLocks noChangeAspect="1" noChangeArrowheads="1"/>
              <a:extLst>
                <a:ext uri="{84589F7E-364E-4C9E-8A38-B11213B215E9}">
                  <a14:cameraTool cellRange="表紙!$BA$51:$BJ$53" spid="_x0000_s38949"/>
                </a:ext>
              </a:extLst>
            </xdr:cNvPicPr>
          </xdr:nvPicPr>
          <xdr:blipFill>
            <a:blip xmlns:r="http://schemas.openxmlformats.org/officeDocument/2006/relationships" r:embed="rId1"/>
            <a:srcRect/>
            <a:stretch>
              <a:fillRect/>
            </a:stretch>
          </xdr:blipFill>
          <xdr:spPr bwMode="auto">
            <a:xfrm>
              <a:off x="0" y="0"/>
              <a:ext cx="9534525" cy="429683"/>
            </a:xfrm>
            <a:prstGeom prst="rect">
              <a:avLst/>
            </a:prstGeom>
            <a:noFill/>
            <a:extLst>
              <a:ext uri="{909E8E84-426E-40DD-AFC4-6F175D3DCCD1}">
                <a14:hiddenFill>
                  <a:solidFill>
                    <a:srgbClr val="FFFFFF"/>
                  </a:solidFill>
                </a14:hiddenFill>
              </a:ext>
            </a:extLst>
          </xdr:spPr>
        </xdr:pic>
        <xdr:clientData/>
      </xdr:one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oneCellAnchor>
        <xdr:from>
          <xdr:col>0</xdr:col>
          <xdr:colOff>0</xdr:colOff>
          <xdr:row>0</xdr:row>
          <xdr:rowOff>0</xdr:rowOff>
        </xdr:from>
        <xdr:ext cx="9525000" cy="466725"/>
        <xdr:pic>
          <xdr:nvPicPr>
            <xdr:cNvPr id="4" name="図 3"/>
            <xdr:cNvPicPr>
              <a:picLocks noChangeAspect="1" noChangeArrowheads="1"/>
              <a:extLst>
                <a:ext uri="{84589F7E-364E-4C9E-8A38-B11213B215E9}">
                  <a14:cameraTool cellRange="表紙!$BA$71:$BJ$73" spid="_x0000_s58377"/>
                </a:ext>
              </a:extLst>
            </xdr:cNvPicPr>
          </xdr:nvPicPr>
          <xdr:blipFill>
            <a:blip xmlns:r="http://schemas.openxmlformats.org/officeDocument/2006/relationships" r:embed="rId1"/>
            <a:srcRect/>
            <a:stretch>
              <a:fillRect/>
            </a:stretch>
          </xdr:blipFill>
          <xdr:spPr bwMode="auto">
            <a:xfrm>
              <a:off x="0" y="0"/>
              <a:ext cx="9525000" cy="466725"/>
            </a:xfrm>
            <a:prstGeom prst="rect">
              <a:avLst/>
            </a:prstGeom>
            <a:noFill/>
            <a:extLst>
              <a:ext uri="{909E8E84-426E-40DD-AFC4-6F175D3DCCD1}">
                <a14:hiddenFill>
                  <a:solidFill>
                    <a:srgbClr val="FFFFFF"/>
                  </a:solidFill>
                </a14:hiddenFill>
              </a:ext>
            </a:extLst>
          </xdr:spPr>
        </xdr:pic>
        <xdr:clientData/>
      </xdr:oneCellAnchor>
    </mc:Choice>
    <mc:Fallback/>
  </mc:AlternateContent>
</xdr:wsDr>
</file>

<file path=xl/drawings/drawing5.xml><?xml version="1.0" encoding="utf-8"?>
<xdr:wsDr xmlns:xdr="http://schemas.openxmlformats.org/drawingml/2006/spreadsheetDrawing" xmlns:a="http://schemas.openxmlformats.org/drawingml/2006/main">
  <xdr:twoCellAnchor editAs="oneCell">
    <xdr:from>
      <xdr:col>35</xdr:col>
      <xdr:colOff>59267</xdr:colOff>
      <xdr:row>6</xdr:row>
      <xdr:rowOff>39161</xdr:rowOff>
    </xdr:from>
    <xdr:to>
      <xdr:col>49</xdr:col>
      <xdr:colOff>111827</xdr:colOff>
      <xdr:row>23</xdr:row>
      <xdr:rowOff>4202</xdr:rowOff>
    </xdr:to>
    <xdr:pic>
      <xdr:nvPicPr>
        <xdr:cNvPr id="26" name="図 25"/>
        <xdr:cNvPicPr>
          <a:picLocks noChangeAspect="1"/>
        </xdr:cNvPicPr>
      </xdr:nvPicPr>
      <xdr:blipFill>
        <a:blip xmlns:r="http://schemas.openxmlformats.org/officeDocument/2006/relationships" r:embed="rId1"/>
        <a:stretch>
          <a:fillRect/>
        </a:stretch>
      </xdr:blipFill>
      <xdr:spPr>
        <a:xfrm>
          <a:off x="6726767" y="1134536"/>
          <a:ext cx="2719560" cy="2555841"/>
        </a:xfrm>
        <a:prstGeom prst="rect">
          <a:avLst/>
        </a:prstGeom>
      </xdr:spPr>
    </xdr:pic>
    <xdr:clientData/>
  </xdr:twoCellAnchor>
  <xdr:twoCellAnchor>
    <xdr:from>
      <xdr:col>4</xdr:col>
      <xdr:colOff>130174</xdr:colOff>
      <xdr:row>12</xdr:row>
      <xdr:rowOff>57150</xdr:rowOff>
    </xdr:from>
    <xdr:to>
      <xdr:col>15</xdr:col>
      <xdr:colOff>76381</xdr:colOff>
      <xdr:row>15</xdr:row>
      <xdr:rowOff>109029</xdr:rowOff>
    </xdr:to>
    <xdr:sp macro="" textlink="">
      <xdr:nvSpPr>
        <xdr:cNvPr id="40" name="フローチャート: 処理 39">
          <a:extLst>
            <a:ext uri="{FF2B5EF4-FFF2-40B4-BE49-F238E27FC236}">
              <a16:creationId xmlns:a16="http://schemas.microsoft.com/office/drawing/2014/main" id="{00000000-0008-0000-0600-000005000000}"/>
            </a:ext>
          </a:extLst>
        </xdr:cNvPr>
        <xdr:cNvSpPr/>
      </xdr:nvSpPr>
      <xdr:spPr bwMode="auto">
        <a:xfrm>
          <a:off x="892174" y="2066925"/>
          <a:ext cx="2041707" cy="509079"/>
        </a:xfrm>
        <a:prstGeom prst="flowChartProcess">
          <a:avLst/>
        </a:prstGeom>
        <a:solidFill>
          <a:srgbClr val="FFFFFF"/>
        </a:solidFill>
        <a:ln w="9525" cap="flat" cmpd="sng" algn="ctr">
          <a:solidFill>
            <a:srgbClr val="000000"/>
          </a:solidFill>
          <a:prstDash val="solid"/>
          <a:round/>
          <a:headEnd type="none" w="med" len="med"/>
          <a:tailEnd type="none" w="med" len="med"/>
        </a:ln>
        <a:effectLst/>
      </xdr:spPr>
      <xdr:txBody>
        <a:bodyPr rot="0" spcFirstLastPara="0" vertOverflow="clip" horzOverflow="clip" vert="horz" wrap="square" lIns="18288" tIns="0" rIns="0" bIns="0" numCol="1" spcCol="0" rtlCol="0" fromWordArt="0" anchor="ctr" anchorCtr="0" forceAA="0" upright="1" compatLnSpc="1">
          <a:prstTxWarp prst="textNoShape">
            <a:avLst/>
          </a:prstTxWarp>
          <a:noAutofit/>
        </a:bodyPr>
        <a:lstStyle/>
        <a:p>
          <a:pPr algn="ctr"/>
          <a:r>
            <a:rPr kumimoji="1" lang="en-US" altLang="ja-JP" sz="900">
              <a:latin typeface="Meiryo UI" panose="020B0604030504040204" pitchFamily="50" charset="-128"/>
              <a:ea typeface="Meiryo UI" panose="020B0604030504040204" pitchFamily="50" charset="-128"/>
              <a:cs typeface="Meiryo UI" panose="020B0604030504040204" pitchFamily="50" charset="-128"/>
            </a:rPr>
            <a:t>MSBCBA0040</a:t>
          </a:r>
        </a:p>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納期回答作成バッチ</a:t>
          </a:r>
        </a:p>
      </xdr:txBody>
    </xdr:sp>
    <xdr:clientData/>
  </xdr:twoCellAnchor>
  <xdr:twoCellAnchor>
    <xdr:from>
      <xdr:col>23</xdr:col>
      <xdr:colOff>38688</xdr:colOff>
      <xdr:row>9</xdr:row>
      <xdr:rowOff>94401</xdr:rowOff>
    </xdr:from>
    <xdr:to>
      <xdr:col>30</xdr:col>
      <xdr:colOff>10584</xdr:colOff>
      <xdr:row>18</xdr:row>
      <xdr:rowOff>71966</xdr:rowOff>
    </xdr:to>
    <xdr:sp macro="" textlink="">
      <xdr:nvSpPr>
        <xdr:cNvPr id="41" name="正方形/長方形 40">
          <a:extLst>
            <a:ext uri="{FF2B5EF4-FFF2-40B4-BE49-F238E27FC236}">
              <a16:creationId xmlns:a16="http://schemas.microsoft.com/office/drawing/2014/main" id="{00000000-0008-0000-0600-00000C000000}"/>
            </a:ext>
          </a:extLst>
        </xdr:cNvPr>
        <xdr:cNvSpPr/>
      </xdr:nvSpPr>
      <xdr:spPr bwMode="auto">
        <a:xfrm>
          <a:off x="4420188" y="1494576"/>
          <a:ext cx="1305396" cy="1349165"/>
        </a:xfrm>
        <a:prstGeom prst="rect">
          <a:avLst/>
        </a:prstGeom>
        <a:solidFill>
          <a:sysClr val="window" lastClr="FFFFFF"/>
        </a:solidFill>
        <a:ln w="9525" cap="flat" cmpd="sng" algn="ctr">
          <a:solidFill>
            <a:srgbClr val="000000"/>
          </a:solidFill>
          <a:prstDash val="dash"/>
          <a:round/>
          <a:headEnd type="none" w="med" len="med"/>
          <a:tailEnd type="none" w="med" len="med"/>
        </a:ln>
        <a:effectLst/>
      </xdr:spPr>
      <xdr:txBody>
        <a:bodyPr vertOverflow="clip" horzOverflow="clip" wrap="square" lIns="18288" tIns="0" rIns="0" bIns="0" rtlCol="0" anchor="t" upright="1"/>
        <a:lstStyle/>
        <a:p>
          <a:pPr algn="l"/>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xdr:col>
      <xdr:colOff>152400</xdr:colOff>
      <xdr:row>21</xdr:row>
      <xdr:rowOff>129117</xdr:rowOff>
    </xdr:from>
    <xdr:to>
      <xdr:col>17</xdr:col>
      <xdr:colOff>51172</xdr:colOff>
      <xdr:row>34</xdr:row>
      <xdr:rowOff>8466</xdr:rowOff>
    </xdr:to>
    <xdr:sp macro="" textlink="">
      <xdr:nvSpPr>
        <xdr:cNvPr id="67" name="正方形/長方形 66">
          <a:extLst>
            <a:ext uri="{FF2B5EF4-FFF2-40B4-BE49-F238E27FC236}">
              <a16:creationId xmlns:a16="http://schemas.microsoft.com/office/drawing/2014/main" id="{00000000-0008-0000-0300-000006000000}"/>
            </a:ext>
          </a:extLst>
        </xdr:cNvPr>
        <xdr:cNvSpPr/>
      </xdr:nvSpPr>
      <xdr:spPr bwMode="auto">
        <a:xfrm>
          <a:off x="533400" y="3510492"/>
          <a:ext cx="2756272" cy="1860549"/>
        </a:xfrm>
        <a:prstGeom prst="rect">
          <a:avLst/>
        </a:prstGeom>
        <a:solidFill>
          <a:srgbClr val="FFFFFF"/>
        </a:solidFill>
        <a:ln w="9525" cap="flat" cmpd="sng" algn="ctr">
          <a:solidFill>
            <a:srgbClr val="000000"/>
          </a:solidFill>
          <a:prstDash val="dash"/>
          <a:round/>
          <a:headEnd type="none" w="med" len="med"/>
          <a:tailEnd type="none" w="med" len="med"/>
        </a:ln>
        <a:effectLst/>
      </xdr:spPr>
      <xdr:txBody>
        <a:bodyPr vertOverflow="clip" horzOverflow="clip" wrap="square" lIns="18288" tIns="0" rIns="0" bIns="0" rtlCol="0" anchor="t" upright="1"/>
        <a:lstStyle/>
        <a:p>
          <a:pPr algn="l"/>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xdr:col>
      <xdr:colOff>96369</xdr:colOff>
      <xdr:row>23</xdr:row>
      <xdr:rowOff>993</xdr:rowOff>
    </xdr:from>
    <xdr:to>
      <xdr:col>9</xdr:col>
      <xdr:colOff>149036</xdr:colOff>
      <xdr:row>25</xdr:row>
      <xdr:rowOff>137116</xdr:rowOff>
    </xdr:to>
    <xdr:sp macro="" textlink="">
      <xdr:nvSpPr>
        <xdr:cNvPr id="68" name="Text Box 56">
          <a:extLst>
            <a:ext uri="{FF2B5EF4-FFF2-40B4-BE49-F238E27FC236}">
              <a16:creationId xmlns:a16="http://schemas.microsoft.com/office/drawing/2014/main" id="{00000000-0008-0000-0300-000008000000}"/>
            </a:ext>
          </a:extLst>
        </xdr:cNvPr>
        <xdr:cNvSpPr txBox="1">
          <a:spLocks noChangeArrowheads="1"/>
        </xdr:cNvSpPr>
      </xdr:nvSpPr>
      <xdr:spPr bwMode="auto">
        <a:xfrm>
          <a:off x="667869" y="3687168"/>
          <a:ext cx="1195667" cy="440923"/>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日次生産依頼情報</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91887</xdr:colOff>
      <xdr:row>23</xdr:row>
      <xdr:rowOff>7716</xdr:rowOff>
    </xdr:from>
    <xdr:to>
      <xdr:col>16</xdr:col>
      <xdr:colOff>144554</xdr:colOff>
      <xdr:row>25</xdr:row>
      <xdr:rowOff>143839</xdr:rowOff>
    </xdr:to>
    <xdr:sp macro="" textlink="">
      <xdr:nvSpPr>
        <xdr:cNvPr id="70" name="Text Box 56">
          <a:extLst>
            <a:ext uri="{FF2B5EF4-FFF2-40B4-BE49-F238E27FC236}">
              <a16:creationId xmlns:a16="http://schemas.microsoft.com/office/drawing/2014/main" id="{00000000-0008-0000-0300-000008000000}"/>
            </a:ext>
          </a:extLst>
        </xdr:cNvPr>
        <xdr:cNvSpPr txBox="1">
          <a:spLocks noChangeArrowheads="1"/>
        </xdr:cNvSpPr>
      </xdr:nvSpPr>
      <xdr:spPr bwMode="auto">
        <a:xfrm>
          <a:off x="1996887" y="3693891"/>
          <a:ext cx="1195667" cy="440923"/>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国内用</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オーダ情報</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xdr:col>
      <xdr:colOff>91887</xdr:colOff>
      <xdr:row>26</xdr:row>
      <xdr:rowOff>67482</xdr:rowOff>
    </xdr:from>
    <xdr:to>
      <xdr:col>9</xdr:col>
      <xdr:colOff>144554</xdr:colOff>
      <xdr:row>29</xdr:row>
      <xdr:rowOff>51205</xdr:rowOff>
    </xdr:to>
    <xdr:sp macro="" textlink="">
      <xdr:nvSpPr>
        <xdr:cNvPr id="71" name="Text Box 56">
          <a:extLst>
            <a:ext uri="{FF2B5EF4-FFF2-40B4-BE49-F238E27FC236}">
              <a16:creationId xmlns:a16="http://schemas.microsoft.com/office/drawing/2014/main" id="{00000000-0008-0000-0300-000008000000}"/>
            </a:ext>
          </a:extLst>
        </xdr:cNvPr>
        <xdr:cNvSpPr txBox="1">
          <a:spLocks noChangeArrowheads="1"/>
        </xdr:cNvSpPr>
      </xdr:nvSpPr>
      <xdr:spPr bwMode="auto">
        <a:xfrm>
          <a:off x="663387" y="4210857"/>
          <a:ext cx="1195667" cy="440923"/>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品目オーダ情報</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87405</xdr:colOff>
      <xdr:row>26</xdr:row>
      <xdr:rowOff>74205</xdr:rowOff>
    </xdr:from>
    <xdr:to>
      <xdr:col>16</xdr:col>
      <xdr:colOff>140072</xdr:colOff>
      <xdr:row>29</xdr:row>
      <xdr:rowOff>57928</xdr:rowOff>
    </xdr:to>
    <xdr:sp macro="" textlink="">
      <xdr:nvSpPr>
        <xdr:cNvPr id="72" name="Text Box 56">
          <a:extLst>
            <a:ext uri="{FF2B5EF4-FFF2-40B4-BE49-F238E27FC236}">
              <a16:creationId xmlns:a16="http://schemas.microsoft.com/office/drawing/2014/main" id="{00000000-0008-0000-0300-000008000000}"/>
            </a:ext>
          </a:extLst>
        </xdr:cNvPr>
        <xdr:cNvSpPr txBox="1">
          <a:spLocks noChangeArrowheads="1"/>
        </xdr:cNvSpPr>
      </xdr:nvSpPr>
      <xdr:spPr bwMode="auto">
        <a:xfrm>
          <a:off x="1992405" y="4217580"/>
          <a:ext cx="1195667" cy="440923"/>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海外用</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オーダ情報</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xdr:col>
      <xdr:colOff>91887</xdr:colOff>
      <xdr:row>29</xdr:row>
      <xdr:rowOff>142686</xdr:rowOff>
    </xdr:from>
    <xdr:to>
      <xdr:col>9</xdr:col>
      <xdr:colOff>144554</xdr:colOff>
      <xdr:row>32</xdr:row>
      <xdr:rowOff>126408</xdr:rowOff>
    </xdr:to>
    <xdr:sp macro="" textlink="">
      <xdr:nvSpPr>
        <xdr:cNvPr id="73" name="Text Box 56">
          <a:extLst>
            <a:ext uri="{FF2B5EF4-FFF2-40B4-BE49-F238E27FC236}">
              <a16:creationId xmlns:a16="http://schemas.microsoft.com/office/drawing/2014/main" id="{00000000-0008-0000-0300-000008000000}"/>
            </a:ext>
          </a:extLst>
        </xdr:cNvPr>
        <xdr:cNvSpPr txBox="1">
          <a:spLocks noChangeArrowheads="1"/>
        </xdr:cNvSpPr>
      </xdr:nvSpPr>
      <xdr:spPr bwMode="auto">
        <a:xfrm>
          <a:off x="663387" y="4743261"/>
          <a:ext cx="1195667" cy="440922"/>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出荷実績明細</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6536</xdr:colOff>
      <xdr:row>15</xdr:row>
      <xdr:rowOff>109029</xdr:rowOff>
    </xdr:from>
    <xdr:to>
      <xdr:col>10</xdr:col>
      <xdr:colOff>8028</xdr:colOff>
      <xdr:row>21</xdr:row>
      <xdr:rowOff>129117</xdr:rowOff>
    </xdr:to>
    <xdr:cxnSp macro="">
      <xdr:nvCxnSpPr>
        <xdr:cNvPr id="75" name="カギ線コネクタ 74">
          <a:extLst>
            <a:ext uri="{FF2B5EF4-FFF2-40B4-BE49-F238E27FC236}">
              <a16:creationId xmlns:a16="http://schemas.microsoft.com/office/drawing/2014/main" id="{00000000-0008-0000-0300-000003000000}"/>
            </a:ext>
          </a:extLst>
        </xdr:cNvPr>
        <xdr:cNvCxnSpPr>
          <a:stCxn id="67" idx="0"/>
          <a:endCxn id="40" idx="2"/>
        </xdr:cNvCxnSpPr>
      </xdr:nvCxnSpPr>
      <xdr:spPr bwMode="auto">
        <a:xfrm rot="5400000" flipH="1" flipV="1">
          <a:off x="1445038" y="3042502"/>
          <a:ext cx="934488" cy="1492"/>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15</xdr:col>
      <xdr:colOff>76381</xdr:colOff>
      <xdr:row>14</xdr:row>
      <xdr:rowOff>6890</xdr:rowOff>
    </xdr:from>
    <xdr:to>
      <xdr:col>23</xdr:col>
      <xdr:colOff>38688</xdr:colOff>
      <xdr:row>14</xdr:row>
      <xdr:rowOff>6984</xdr:rowOff>
    </xdr:to>
    <xdr:cxnSp macro="">
      <xdr:nvCxnSpPr>
        <xdr:cNvPr id="82" name="カギ線コネクタ 81">
          <a:extLst>
            <a:ext uri="{FF2B5EF4-FFF2-40B4-BE49-F238E27FC236}">
              <a16:creationId xmlns:a16="http://schemas.microsoft.com/office/drawing/2014/main" id="{00000000-0008-0000-0300-000003000000}"/>
            </a:ext>
          </a:extLst>
        </xdr:cNvPr>
        <xdr:cNvCxnSpPr>
          <a:stCxn id="40" idx="3"/>
          <a:endCxn id="41" idx="1"/>
        </xdr:cNvCxnSpPr>
      </xdr:nvCxnSpPr>
      <xdr:spPr bwMode="auto">
        <a:xfrm>
          <a:off x="2933881" y="2169065"/>
          <a:ext cx="1486307" cy="94"/>
        </a:xfrm>
        <a:prstGeom prst="bentConnector3">
          <a:avLst>
            <a:gd name="adj1" fmla="val 50000"/>
          </a:avLst>
        </a:prstGeom>
        <a:solidFill>
          <a:srgbClr val="FFFFFF"/>
        </a:solidFill>
        <a:ln w="9525" cap="flat" cmpd="sng" algn="ctr">
          <a:solidFill>
            <a:srgbClr val="000000"/>
          </a:solidFill>
          <a:prstDash val="solid"/>
          <a:round/>
          <a:headEnd type="none" w="med" len="med"/>
          <a:tailEnd type="triangle"/>
        </a:ln>
        <a:effectLst/>
      </xdr:spPr>
    </xdr:cxnSp>
    <xdr:clientData/>
  </xdr:twoCellAnchor>
  <xdr:twoCellAnchor>
    <xdr:from>
      <xdr:col>23</xdr:col>
      <xdr:colOff>110937</xdr:colOff>
      <xdr:row>11</xdr:row>
      <xdr:rowOff>7716</xdr:rowOff>
    </xdr:from>
    <xdr:to>
      <xdr:col>29</xdr:col>
      <xdr:colOff>163604</xdr:colOff>
      <xdr:row>13</xdr:row>
      <xdr:rowOff>143839</xdr:rowOff>
    </xdr:to>
    <xdr:sp macro="" textlink="">
      <xdr:nvSpPr>
        <xdr:cNvPr id="65" name="Text Box 56">
          <a:extLst>
            <a:ext uri="{FF2B5EF4-FFF2-40B4-BE49-F238E27FC236}">
              <a16:creationId xmlns:a16="http://schemas.microsoft.com/office/drawing/2014/main" id="{00000000-0008-0000-0300-000008000000}"/>
            </a:ext>
          </a:extLst>
        </xdr:cNvPr>
        <xdr:cNvSpPr txBox="1">
          <a:spLocks noChangeArrowheads="1"/>
        </xdr:cNvSpPr>
      </xdr:nvSpPr>
      <xdr:spPr bwMode="auto">
        <a:xfrm>
          <a:off x="4492437" y="1712691"/>
          <a:ext cx="1195667" cy="440923"/>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国内用</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オーダ情報</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23</xdr:col>
      <xdr:colOff>106455</xdr:colOff>
      <xdr:row>14</xdr:row>
      <xdr:rowOff>74205</xdr:rowOff>
    </xdr:from>
    <xdr:to>
      <xdr:col>29</xdr:col>
      <xdr:colOff>159122</xdr:colOff>
      <xdr:row>17</xdr:row>
      <xdr:rowOff>57928</xdr:rowOff>
    </xdr:to>
    <xdr:sp macro="" textlink="">
      <xdr:nvSpPr>
        <xdr:cNvPr id="66" name="Text Box 56">
          <a:extLst>
            <a:ext uri="{FF2B5EF4-FFF2-40B4-BE49-F238E27FC236}">
              <a16:creationId xmlns:a16="http://schemas.microsoft.com/office/drawing/2014/main" id="{00000000-0008-0000-0300-000008000000}"/>
            </a:ext>
          </a:extLst>
        </xdr:cNvPr>
        <xdr:cNvSpPr txBox="1">
          <a:spLocks noChangeArrowheads="1"/>
        </xdr:cNvSpPr>
      </xdr:nvSpPr>
      <xdr:spPr bwMode="auto">
        <a:xfrm>
          <a:off x="4487955" y="2236380"/>
          <a:ext cx="1195667" cy="440923"/>
        </a:xfrm>
        <a:prstGeom prst="rect">
          <a:avLst/>
        </a:prstGeom>
        <a:solidFill>
          <a:srgbClr val="FFFFFF"/>
        </a:solidFill>
        <a:ln w="38100" cmpd="dbl">
          <a:solidFill>
            <a:srgbClr val="000000"/>
          </a:solidFill>
          <a:miter lim="800000"/>
          <a:headEnd/>
          <a:tailEnd/>
        </a:ln>
      </xdr:spPr>
      <xdr:txBody>
        <a:bodyPr vertOverflow="clip" wrap="square" lIns="27432" tIns="18288" rIns="0"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海外用</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オーダ情報</a:t>
          </a:r>
          <a:endParaRPr lang="en-US" altLang="ja-JP" sz="9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8</xdr:col>
          <xdr:colOff>19050</xdr:colOff>
          <xdr:row>2</xdr:row>
          <xdr:rowOff>133350</xdr:rowOff>
        </xdr:to>
        <xdr:pic>
          <xdr:nvPicPr>
            <xdr:cNvPr id="2" name="図 1"/>
            <xdr:cNvPicPr>
              <a:picLocks noChangeAspect="1" noChangeArrowheads="1"/>
              <a:extLst>
                <a:ext uri="{84589F7E-364E-4C9E-8A38-B11213B215E9}">
                  <a14:cameraTool cellRange="表紙!$BA$67:$BJ$69" spid="_x0000_s51227"/>
                </a:ext>
              </a:extLst>
            </xdr:cNvPicPr>
          </xdr:nvPicPr>
          <xdr:blipFill>
            <a:blip xmlns:r="http://schemas.openxmlformats.org/officeDocument/2006/relationships" r:embed="rId1"/>
            <a:srcRect/>
            <a:stretch>
              <a:fillRect/>
            </a:stretch>
          </xdr:blipFill>
          <xdr:spPr bwMode="auto">
            <a:xfrm>
              <a:off x="0" y="0"/>
              <a:ext cx="9534525" cy="47625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oneCellAnchor>
        <xdr:from>
          <xdr:col>0</xdr:col>
          <xdr:colOff>0</xdr:colOff>
          <xdr:row>0</xdr:row>
          <xdr:rowOff>0</xdr:rowOff>
        </xdr:from>
        <xdr:ext cx="9525000" cy="444500"/>
        <xdr:pic>
          <xdr:nvPicPr>
            <xdr:cNvPr id="2" name="図 1"/>
            <xdr:cNvPicPr>
              <a:picLocks noChangeAspect="1" noChangeArrowheads="1"/>
              <a:extLst>
                <a:ext uri="{84589F7E-364E-4C9E-8A38-B11213B215E9}">
                  <a14:cameraTool cellRange="表紙!$BA$51:$BJ$53" spid="_x0000_s39973"/>
                </a:ext>
              </a:extLst>
            </xdr:cNvPicPr>
          </xdr:nvPicPr>
          <xdr:blipFill>
            <a:blip xmlns:r="http://schemas.openxmlformats.org/officeDocument/2006/relationships" r:embed="rId1"/>
            <a:srcRect/>
            <a:stretch>
              <a:fillRect/>
            </a:stretch>
          </xdr:blipFill>
          <xdr:spPr bwMode="auto">
            <a:xfrm>
              <a:off x="0" y="0"/>
              <a:ext cx="9525000" cy="444500"/>
            </a:xfrm>
            <a:prstGeom prst="rect">
              <a:avLst/>
            </a:prstGeom>
            <a:noFill/>
            <a:extLst>
              <a:ext uri="{909E8E84-426E-40DD-AFC4-6F175D3DCCD1}">
                <a14:hiddenFill>
                  <a:solidFill>
                    <a:srgbClr val="FFFFFF"/>
                  </a:solidFill>
                </a14:hiddenFill>
              </a:ext>
            </a:extLst>
          </xdr:spPr>
        </xdr:pic>
        <xdr:clientData/>
      </xdr:oneCellAnchor>
    </mc:Choice>
    <mc:Fallback/>
  </mc:AlternateContent>
  <xdr:twoCellAnchor editAs="oneCell">
    <xdr:from>
      <xdr:col>2</xdr:col>
      <xdr:colOff>1</xdr:colOff>
      <xdr:row>7</xdr:row>
      <xdr:rowOff>0</xdr:rowOff>
    </xdr:from>
    <xdr:to>
      <xdr:col>3</xdr:col>
      <xdr:colOff>3429001</xdr:colOff>
      <xdr:row>10</xdr:row>
      <xdr:rowOff>13020</xdr:rowOff>
    </xdr:to>
    <xdr:sp macro="" textlink="">
      <xdr:nvSpPr>
        <xdr:cNvPr id="3" name="shpSquare02" descr="付箋検索用文字列">
          <a:extLst>
            <a:ext uri="{FF2B5EF4-FFF2-40B4-BE49-F238E27FC236}">
              <a16:creationId xmlns:a16="http://schemas.microsoft.com/office/drawing/2014/main" id="{00000000-0008-0000-0800-000002000000}"/>
            </a:ext>
          </a:extLst>
        </xdr:cNvPr>
        <xdr:cNvSpPr/>
      </xdr:nvSpPr>
      <xdr:spPr>
        <a:xfrm>
          <a:off x="762001" y="1076325"/>
          <a:ext cx="4381500" cy="470220"/>
        </a:xfrm>
        <a:prstGeom prst="rect">
          <a:avLst/>
        </a:prstGeom>
        <a:solidFill>
          <a:srgbClr val="CCFFFF"/>
        </a:solidFill>
        <a:ln>
          <a:solidFill>
            <a:sysClr val="windowText" lastClr="000000"/>
          </a:solidFill>
        </a:ln>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t">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a:solidFill>
                <a:schemeClr val="dk1"/>
              </a:solidFill>
              <a:effectLst/>
              <a:latin typeface="+mj-lt"/>
              <a:ea typeface="+mn-ea"/>
              <a:cs typeface="+mn-cs"/>
            </a:rPr>
            <a:t>メッセージなし</a:t>
          </a:r>
          <a:endParaRPr lang="ja-JP" altLang="ja-JP" sz="900">
            <a:effectLst/>
            <a:latin typeface="+mj-lt"/>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10</xdr:col>
      <xdr:colOff>0</xdr:colOff>
      <xdr:row>9</xdr:row>
      <xdr:rowOff>1</xdr:rowOff>
    </xdr:from>
    <xdr:to>
      <xdr:col>17</xdr:col>
      <xdr:colOff>0</xdr:colOff>
      <xdr:row>10</xdr:row>
      <xdr:rowOff>1</xdr:rowOff>
    </xdr:to>
    <xdr:sp macro="" textlink="">
      <xdr:nvSpPr>
        <xdr:cNvPr id="2" name="正方形/長方形 1"/>
        <xdr:cNvSpPr/>
      </xdr:nvSpPr>
      <xdr:spPr>
        <a:xfrm>
          <a:off x="1905000" y="1460501"/>
          <a:ext cx="1333500" cy="162278"/>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18</xdr:col>
      <xdr:colOff>0</xdr:colOff>
      <xdr:row>11</xdr:row>
      <xdr:rowOff>0</xdr:rowOff>
    </xdr:from>
    <xdr:to>
      <xdr:col>24</xdr:col>
      <xdr:colOff>0</xdr:colOff>
      <xdr:row>12</xdr:row>
      <xdr:rowOff>0</xdr:rowOff>
    </xdr:to>
    <xdr:sp macro="" textlink="">
      <xdr:nvSpPr>
        <xdr:cNvPr id="3" name="正方形/長方形 2"/>
        <xdr:cNvSpPr/>
      </xdr:nvSpPr>
      <xdr:spPr>
        <a:xfrm>
          <a:off x="3429000" y="1785056"/>
          <a:ext cx="1143000" cy="16227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17</xdr:col>
      <xdr:colOff>0</xdr:colOff>
      <xdr:row>9</xdr:row>
      <xdr:rowOff>81140</xdr:rowOff>
    </xdr:from>
    <xdr:to>
      <xdr:col>18</xdr:col>
      <xdr:colOff>0</xdr:colOff>
      <xdr:row>11</xdr:row>
      <xdr:rowOff>81139</xdr:rowOff>
    </xdr:to>
    <xdr:cxnSp macro="">
      <xdr:nvCxnSpPr>
        <xdr:cNvPr id="4" name="直線矢印コネクタ 3"/>
        <xdr:cNvCxnSpPr>
          <a:stCxn id="2" idx="3"/>
          <a:endCxn id="3" idx="1"/>
        </xdr:cNvCxnSpPr>
      </xdr:nvCxnSpPr>
      <xdr:spPr>
        <a:xfrm>
          <a:off x="3238500" y="1541640"/>
          <a:ext cx="190500" cy="324555"/>
        </a:xfrm>
        <a:prstGeom prst="bentConnector3">
          <a:avLst>
            <a:gd name="adj1" fmla="val 50000"/>
          </a:avLst>
        </a:prstGeom>
        <a:ln w="127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9</xdr:row>
      <xdr:rowOff>0</xdr:rowOff>
    </xdr:from>
    <xdr:to>
      <xdr:col>9</xdr:col>
      <xdr:colOff>0</xdr:colOff>
      <xdr:row>10</xdr:row>
      <xdr:rowOff>0</xdr:rowOff>
    </xdr:to>
    <xdr:sp macro="" textlink="">
      <xdr:nvSpPr>
        <xdr:cNvPr id="12" name="正方形/長方形 11"/>
        <xdr:cNvSpPr/>
      </xdr:nvSpPr>
      <xdr:spPr>
        <a:xfrm>
          <a:off x="571500" y="1460500"/>
          <a:ext cx="1143000" cy="162278"/>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10</xdr:col>
      <xdr:colOff>0</xdr:colOff>
      <xdr:row>14</xdr:row>
      <xdr:rowOff>0</xdr:rowOff>
    </xdr:from>
    <xdr:to>
      <xdr:col>17</xdr:col>
      <xdr:colOff>0</xdr:colOff>
      <xdr:row>15</xdr:row>
      <xdr:rowOff>0</xdr:rowOff>
    </xdr:to>
    <xdr:sp macro="" textlink="">
      <xdr:nvSpPr>
        <xdr:cNvPr id="13" name="正方形/長方形 12"/>
        <xdr:cNvSpPr/>
      </xdr:nvSpPr>
      <xdr:spPr>
        <a:xfrm>
          <a:off x="1905000" y="2271889"/>
          <a:ext cx="1333500" cy="162278"/>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9</xdr:col>
      <xdr:colOff>0</xdr:colOff>
      <xdr:row>9</xdr:row>
      <xdr:rowOff>81139</xdr:rowOff>
    </xdr:from>
    <xdr:to>
      <xdr:col>10</xdr:col>
      <xdr:colOff>0</xdr:colOff>
      <xdr:row>14</xdr:row>
      <xdr:rowOff>81139</xdr:rowOff>
    </xdr:to>
    <xdr:cxnSp macro="">
      <xdr:nvCxnSpPr>
        <xdr:cNvPr id="14" name="直線矢印コネクタ 13"/>
        <xdr:cNvCxnSpPr>
          <a:stCxn id="12" idx="3"/>
          <a:endCxn id="13" idx="1"/>
        </xdr:cNvCxnSpPr>
      </xdr:nvCxnSpPr>
      <xdr:spPr>
        <a:xfrm>
          <a:off x="1714500" y="1541639"/>
          <a:ext cx="190500" cy="811389"/>
        </a:xfrm>
        <a:prstGeom prst="bentConnector3">
          <a:avLst>
            <a:gd name="adj1" fmla="val 50000"/>
          </a:avLst>
        </a:prstGeom>
        <a:ln w="127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0</xdr:colOff>
      <xdr:row>22</xdr:row>
      <xdr:rowOff>0</xdr:rowOff>
    </xdr:from>
    <xdr:to>
      <xdr:col>9</xdr:col>
      <xdr:colOff>0</xdr:colOff>
      <xdr:row>23</xdr:row>
      <xdr:rowOff>1</xdr:rowOff>
    </xdr:to>
    <xdr:sp macro="" textlink="">
      <xdr:nvSpPr>
        <xdr:cNvPr id="21" name="正方形/長方形 20"/>
        <xdr:cNvSpPr/>
      </xdr:nvSpPr>
      <xdr:spPr>
        <a:xfrm>
          <a:off x="578069" y="3494690"/>
          <a:ext cx="1156138" cy="15765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27</xdr:col>
      <xdr:colOff>0</xdr:colOff>
      <xdr:row>9</xdr:row>
      <xdr:rowOff>0</xdr:rowOff>
    </xdr:from>
    <xdr:to>
      <xdr:col>32</xdr:col>
      <xdr:colOff>0</xdr:colOff>
      <xdr:row>10</xdr:row>
      <xdr:rowOff>0</xdr:rowOff>
    </xdr:to>
    <xdr:sp macro="" textlink="">
      <xdr:nvSpPr>
        <xdr:cNvPr id="29" name="正方形/長方形 28"/>
        <xdr:cNvSpPr/>
      </xdr:nvSpPr>
      <xdr:spPr>
        <a:xfrm>
          <a:off x="5334000" y="1460500"/>
          <a:ext cx="952500" cy="162278"/>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9</xdr:col>
      <xdr:colOff>0</xdr:colOff>
      <xdr:row>9</xdr:row>
      <xdr:rowOff>78828</xdr:rowOff>
    </xdr:from>
    <xdr:to>
      <xdr:col>27</xdr:col>
      <xdr:colOff>0</xdr:colOff>
      <xdr:row>22</xdr:row>
      <xdr:rowOff>78828</xdr:rowOff>
    </xdr:to>
    <xdr:cxnSp macro="">
      <xdr:nvCxnSpPr>
        <xdr:cNvPr id="30" name="直線矢印コネクタ 13"/>
        <xdr:cNvCxnSpPr>
          <a:stCxn id="21" idx="3"/>
          <a:endCxn id="29" idx="1"/>
        </xdr:cNvCxnSpPr>
      </xdr:nvCxnSpPr>
      <xdr:spPr>
        <a:xfrm flipV="1">
          <a:off x="1734207" y="1524000"/>
          <a:ext cx="3468414" cy="2049518"/>
        </a:xfrm>
        <a:prstGeom prst="bentConnector3">
          <a:avLst>
            <a:gd name="adj1" fmla="val 93939"/>
          </a:avLst>
        </a:prstGeom>
        <a:ln w="127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0</xdr:colOff>
      <xdr:row>11</xdr:row>
      <xdr:rowOff>0</xdr:rowOff>
    </xdr:from>
    <xdr:to>
      <xdr:col>40</xdr:col>
      <xdr:colOff>0</xdr:colOff>
      <xdr:row>12</xdr:row>
      <xdr:rowOff>0</xdr:rowOff>
    </xdr:to>
    <xdr:sp macro="" textlink="">
      <xdr:nvSpPr>
        <xdr:cNvPr id="31" name="正方形/長方形 30"/>
        <xdr:cNvSpPr/>
      </xdr:nvSpPr>
      <xdr:spPr>
        <a:xfrm>
          <a:off x="6477000" y="1785056"/>
          <a:ext cx="1333500" cy="16227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32</xdr:col>
      <xdr:colOff>0</xdr:colOff>
      <xdr:row>9</xdr:row>
      <xdr:rowOff>81139</xdr:rowOff>
    </xdr:from>
    <xdr:to>
      <xdr:col>33</xdr:col>
      <xdr:colOff>0</xdr:colOff>
      <xdr:row>11</xdr:row>
      <xdr:rowOff>81139</xdr:rowOff>
    </xdr:to>
    <xdr:cxnSp macro="">
      <xdr:nvCxnSpPr>
        <xdr:cNvPr id="33" name="直線矢印コネクタ 13"/>
        <xdr:cNvCxnSpPr>
          <a:stCxn id="29" idx="3"/>
          <a:endCxn id="31" idx="1"/>
        </xdr:cNvCxnSpPr>
      </xdr:nvCxnSpPr>
      <xdr:spPr>
        <a:xfrm>
          <a:off x="6286500" y="1541639"/>
          <a:ext cx="190500" cy="324556"/>
        </a:xfrm>
        <a:prstGeom prst="bentConnector3">
          <a:avLst>
            <a:gd name="adj1" fmla="val 50000"/>
          </a:avLst>
        </a:prstGeom>
        <a:ln w="127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0</xdr:colOff>
      <xdr:row>9</xdr:row>
      <xdr:rowOff>0</xdr:rowOff>
    </xdr:from>
    <xdr:to>
      <xdr:col>24</xdr:col>
      <xdr:colOff>0</xdr:colOff>
      <xdr:row>10</xdr:row>
      <xdr:rowOff>0</xdr:rowOff>
    </xdr:to>
    <xdr:sp macro="" textlink="">
      <xdr:nvSpPr>
        <xdr:cNvPr id="37" name="正方形/長方形 36"/>
        <xdr:cNvSpPr/>
      </xdr:nvSpPr>
      <xdr:spPr>
        <a:xfrm>
          <a:off x="3429000" y="1460500"/>
          <a:ext cx="1143000" cy="162278"/>
        </a:xfrm>
        <a:prstGeom prst="rect">
          <a:avLst/>
        </a:prstGeom>
        <a:no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41</xdr:col>
      <xdr:colOff>0</xdr:colOff>
      <xdr:row>23</xdr:row>
      <xdr:rowOff>0</xdr:rowOff>
    </xdr:from>
    <xdr:to>
      <xdr:col>48</xdr:col>
      <xdr:colOff>0</xdr:colOff>
      <xdr:row>24</xdr:row>
      <xdr:rowOff>0</xdr:rowOff>
    </xdr:to>
    <xdr:sp macro="" textlink="">
      <xdr:nvSpPr>
        <xdr:cNvPr id="38" name="正方形/長方形 37"/>
        <xdr:cNvSpPr/>
      </xdr:nvSpPr>
      <xdr:spPr>
        <a:xfrm>
          <a:off x="7810500" y="3732389"/>
          <a:ext cx="1333500" cy="162278"/>
        </a:xfrm>
        <a:prstGeom prst="rect">
          <a:avLst/>
        </a:prstGeom>
        <a:noFill/>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900">
            <a:latin typeface="Meiryo UI" panose="020B0604030504040204" pitchFamily="50" charset="-128"/>
            <a:ea typeface="Meiryo UI" panose="020B0604030504040204" pitchFamily="50" charset="-128"/>
          </a:endParaRPr>
        </a:p>
      </xdr:txBody>
    </xdr:sp>
    <xdr:clientData/>
  </xdr:twoCellAnchor>
  <xdr:twoCellAnchor>
    <xdr:from>
      <xdr:col>24</xdr:col>
      <xdr:colOff>0</xdr:colOff>
      <xdr:row>9</xdr:row>
      <xdr:rowOff>81139</xdr:rowOff>
    </xdr:from>
    <xdr:to>
      <xdr:col>41</xdr:col>
      <xdr:colOff>0</xdr:colOff>
      <xdr:row>23</xdr:row>
      <xdr:rowOff>81139</xdr:rowOff>
    </xdr:to>
    <xdr:cxnSp macro="">
      <xdr:nvCxnSpPr>
        <xdr:cNvPr id="39" name="直線矢印コネクタ 13"/>
        <xdr:cNvCxnSpPr>
          <a:stCxn id="37" idx="3"/>
          <a:endCxn id="38" idx="1"/>
        </xdr:cNvCxnSpPr>
      </xdr:nvCxnSpPr>
      <xdr:spPr>
        <a:xfrm>
          <a:off x="4572000" y="1541639"/>
          <a:ext cx="3238500" cy="2271889"/>
        </a:xfrm>
        <a:prstGeom prst="bentConnector3">
          <a:avLst>
            <a:gd name="adj1" fmla="val 6427"/>
          </a:avLst>
        </a:prstGeom>
        <a:ln w="12700">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7</xdr:col>
      <xdr:colOff>82477</xdr:colOff>
      <xdr:row>25</xdr:row>
      <xdr:rowOff>27370</xdr:rowOff>
    </xdr:from>
    <xdr:ext cx="1467555" cy="557389"/>
    <xdr:sp macro="" textlink="">
      <xdr:nvSpPr>
        <xdr:cNvPr id="44" name="四角形吹き出し 43"/>
        <xdr:cNvSpPr/>
      </xdr:nvSpPr>
      <xdr:spPr>
        <a:xfrm>
          <a:off x="1415977" y="3763287"/>
          <a:ext cx="1467555" cy="557389"/>
        </a:xfrm>
        <a:prstGeom prst="wedgeRectCallout">
          <a:avLst>
            <a:gd name="adj1" fmla="val -38153"/>
            <a:gd name="adj2" fmla="val -112963"/>
          </a:avLst>
        </a:prstGeom>
        <a:solidFill>
          <a:srgbClr val="CCFFFF"/>
        </a:solidFill>
        <a:ln>
          <a:solidFill>
            <a:sysClr val="windowText" lastClr="000000"/>
          </a:solidFill>
        </a:ln>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t">
          <a:noAutofit/>
        </a:bodyPr>
        <a:lstStyle/>
        <a:p>
          <a:r>
            <a:rPr kumimoji="0" lang="ja-JP" altLang="en-US" sz="900">
              <a:solidFill>
                <a:sysClr val="windowText" lastClr="000000"/>
              </a:solidFill>
              <a:effectLst/>
              <a:latin typeface="Meiryo UI" panose="020B0604030504040204" pitchFamily="50" charset="-128"/>
              <a:ea typeface="Meiryo UI" panose="020B0604030504040204" pitchFamily="50" charset="-128"/>
              <a:cs typeface="+mn-cs"/>
            </a:rPr>
            <a:t>ＷＧ間依頼回答の登録時のひもづけ</a:t>
          </a:r>
          <a:endParaRPr kumimoji="0" lang="en-US" altLang="ja-JP" sz="900">
            <a:solidFill>
              <a:sysClr val="windowText" lastClr="000000"/>
            </a:solidFill>
            <a:effectLst/>
            <a:latin typeface="Meiryo UI" panose="020B0604030504040204" pitchFamily="50" charset="-128"/>
            <a:ea typeface="Meiryo UI" panose="020B0604030504040204" pitchFamily="50" charset="-128"/>
            <a:cs typeface="+mn-cs"/>
          </a:endParaRPr>
        </a:p>
      </xdr:txBody>
    </xdr:sp>
    <xdr:clientData/>
  </xdr:oneCellAnchor>
  <xdr:oneCellAnchor>
    <xdr:from>
      <xdr:col>29</xdr:col>
      <xdr:colOff>119944</xdr:colOff>
      <xdr:row>26</xdr:row>
      <xdr:rowOff>7055</xdr:rowOff>
    </xdr:from>
    <xdr:ext cx="1770945" cy="557390"/>
    <xdr:sp macro="" textlink="">
      <xdr:nvSpPr>
        <xdr:cNvPr id="45" name="四角形吹き出し 44"/>
        <xdr:cNvSpPr/>
      </xdr:nvSpPr>
      <xdr:spPr>
        <a:xfrm>
          <a:off x="5644444" y="4226277"/>
          <a:ext cx="1770945" cy="557390"/>
        </a:xfrm>
        <a:prstGeom prst="wedgeRectCallout">
          <a:avLst>
            <a:gd name="adj1" fmla="val -43882"/>
            <a:gd name="adj2" fmla="val -121512"/>
          </a:avLst>
        </a:prstGeom>
        <a:solidFill>
          <a:srgbClr val="CCFFFF"/>
        </a:solidFill>
        <a:ln>
          <a:solidFill>
            <a:sysClr val="windowText" lastClr="000000"/>
          </a:solidFill>
        </a:ln>
      </xdr:spPr>
      <xdr:style>
        <a:lnRef idx="1">
          <a:schemeClr val="accent5"/>
        </a:lnRef>
        <a:fillRef idx="2">
          <a:schemeClr val="accent5"/>
        </a:fillRef>
        <a:effectRef idx="1">
          <a:schemeClr val="accent5"/>
        </a:effectRef>
        <a:fontRef idx="minor">
          <a:schemeClr val="dk1"/>
        </a:fontRef>
      </xdr:style>
      <xdr:txBody>
        <a:bodyPr vertOverflow="clip" horzOverflow="clip" wrap="square" rtlCol="0" anchor="t">
          <a:noAutofit/>
        </a:bodyPr>
        <a:lstStyle/>
        <a:p>
          <a:r>
            <a:rPr kumimoji="0" lang="ja-JP" altLang="en-US" sz="900">
              <a:solidFill>
                <a:sysClr val="windowText" lastClr="000000"/>
              </a:solidFill>
              <a:effectLst/>
              <a:latin typeface="Meiryo UI" panose="020B0604030504040204" pitchFamily="50" charset="-128"/>
              <a:ea typeface="Meiryo UI" panose="020B0604030504040204" pitchFamily="50" charset="-128"/>
              <a:cs typeface="+mn-cs"/>
            </a:rPr>
            <a:t>ＷＧ間依頼回答の訂正・削除時のひもづけ</a:t>
          </a:r>
          <a:endParaRPr kumimoji="0" lang="en-US" altLang="ja-JP" sz="900">
            <a:solidFill>
              <a:sysClr val="windowText" lastClr="000000"/>
            </a:solidFill>
            <a:effectLst/>
            <a:latin typeface="Meiryo UI" panose="020B0604030504040204" pitchFamily="50" charset="-128"/>
            <a:ea typeface="Meiryo UI" panose="020B0604030504040204" pitchFamily="50" charset="-128"/>
            <a:cs typeface="+mn-cs"/>
          </a:endParaRPr>
        </a:p>
      </xdr:txBody>
    </xdr:sp>
    <xdr:clientData/>
  </xdr:oneCellAnchor>
</xdr:wsDr>
</file>

<file path=xl/drawings/drawing9.xml><?xml version="1.0" encoding="utf-8"?>
<xdr:wsDr xmlns:xdr="http://schemas.openxmlformats.org/drawingml/2006/spreadsheetDrawing" xmlns:a="http://schemas.openxmlformats.org/drawingml/2006/main">
  <xdr:twoCellAnchor>
    <xdr:from>
      <xdr:col>18</xdr:col>
      <xdr:colOff>169333</xdr:colOff>
      <xdr:row>12</xdr:row>
      <xdr:rowOff>38805</xdr:rowOff>
    </xdr:from>
    <xdr:to>
      <xdr:col>29</xdr:col>
      <xdr:colOff>49388</xdr:colOff>
      <xdr:row>15</xdr:row>
      <xdr:rowOff>74082</xdr:rowOff>
    </xdr:to>
    <xdr:sp macro="" textlink="">
      <xdr:nvSpPr>
        <xdr:cNvPr id="13" name="AutoShape 6"/>
        <xdr:cNvSpPr>
          <a:spLocks noChangeArrowheads="1"/>
        </xdr:cNvSpPr>
      </xdr:nvSpPr>
      <xdr:spPr bwMode="auto">
        <a:xfrm>
          <a:off x="3598333" y="1901472"/>
          <a:ext cx="1975555" cy="479777"/>
        </a:xfrm>
        <a:prstGeom prst="flowChartPredefinedProcess">
          <a:avLst/>
        </a:prstGeom>
        <a:noFill/>
        <a:ln w="12700">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処理対象オーダ取得</a:t>
          </a:r>
          <a:endParaRPr lang="en-US" altLang="ja-JP" sz="900" b="0" i="0" u="none" strike="noStrike" baseline="0">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18</xdr:col>
      <xdr:colOff>169333</xdr:colOff>
      <xdr:row>17</xdr:row>
      <xdr:rowOff>0</xdr:rowOff>
    </xdr:from>
    <xdr:to>
      <xdr:col>29</xdr:col>
      <xdr:colOff>49388</xdr:colOff>
      <xdr:row>20</xdr:row>
      <xdr:rowOff>49389</xdr:rowOff>
    </xdr:to>
    <xdr:sp macro="" textlink="">
      <xdr:nvSpPr>
        <xdr:cNvPr id="41" name="AutoShape 6"/>
        <xdr:cNvSpPr>
          <a:spLocks noChangeArrowheads="1"/>
        </xdr:cNvSpPr>
      </xdr:nvSpPr>
      <xdr:spPr bwMode="auto">
        <a:xfrm>
          <a:off x="3598333" y="2603500"/>
          <a:ext cx="1975555" cy="493889"/>
        </a:xfrm>
        <a:prstGeom prst="flowChartPredefinedProcess">
          <a:avLst/>
        </a:prstGeom>
        <a:noFill/>
        <a:ln w="12700">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解凍用オーダ情報作成</a:t>
          </a:r>
          <a:endParaRPr lang="en-US" altLang="ja-JP" sz="900" b="0" i="0" u="none" strike="noStrike" baseline="0">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24</xdr:col>
      <xdr:colOff>14111</xdr:colOff>
      <xdr:row>15</xdr:row>
      <xdr:rowOff>74082</xdr:rowOff>
    </xdr:from>
    <xdr:to>
      <xdr:col>24</xdr:col>
      <xdr:colOff>14111</xdr:colOff>
      <xdr:row>17</xdr:row>
      <xdr:rowOff>0</xdr:rowOff>
    </xdr:to>
    <xdr:cxnSp macro="">
      <xdr:nvCxnSpPr>
        <xdr:cNvPr id="43" name="カギ線コネクタ 42"/>
        <xdr:cNvCxnSpPr>
          <a:stCxn id="13" idx="2"/>
          <a:endCxn id="41" idx="0"/>
        </xdr:cNvCxnSpPr>
      </xdr:nvCxnSpPr>
      <xdr:spPr>
        <a:xfrm>
          <a:off x="4586111" y="2381249"/>
          <a:ext cx="0" cy="222251"/>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95251</xdr:colOff>
      <xdr:row>7</xdr:row>
      <xdr:rowOff>116417</xdr:rowOff>
    </xdr:from>
    <xdr:to>
      <xdr:col>27</xdr:col>
      <xdr:colOff>127001</xdr:colOff>
      <xdr:row>9</xdr:row>
      <xdr:rowOff>127000</xdr:rowOff>
    </xdr:to>
    <xdr:sp macro="" textlink="">
      <xdr:nvSpPr>
        <xdr:cNvPr id="15" name="角丸四角形 14"/>
        <xdr:cNvSpPr/>
      </xdr:nvSpPr>
      <xdr:spPr>
        <a:xfrm>
          <a:off x="3905251" y="1185334"/>
          <a:ext cx="1365250" cy="359833"/>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処理開始</a:t>
          </a:r>
        </a:p>
      </xdr:txBody>
    </xdr:sp>
    <xdr:clientData/>
  </xdr:twoCellAnchor>
  <xdr:twoCellAnchor>
    <xdr:from>
      <xdr:col>20</xdr:col>
      <xdr:colOff>91017</xdr:colOff>
      <xdr:row>22</xdr:row>
      <xdr:rowOff>35985</xdr:rowOff>
    </xdr:from>
    <xdr:to>
      <xdr:col>27</xdr:col>
      <xdr:colOff>122767</xdr:colOff>
      <xdr:row>24</xdr:row>
      <xdr:rowOff>46567</xdr:rowOff>
    </xdr:to>
    <xdr:sp macro="" textlink="">
      <xdr:nvSpPr>
        <xdr:cNvPr id="16" name="角丸四角形 15"/>
        <xdr:cNvSpPr/>
      </xdr:nvSpPr>
      <xdr:spPr>
        <a:xfrm>
          <a:off x="3901017" y="3464985"/>
          <a:ext cx="1365250" cy="315382"/>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処理終了</a:t>
          </a:r>
          <a:endParaRPr kumimoji="1" lang="en-US" altLang="ja-JP" sz="900">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24</xdr:col>
      <xdr:colOff>14111</xdr:colOff>
      <xdr:row>9</xdr:row>
      <xdr:rowOff>127000</xdr:rowOff>
    </xdr:from>
    <xdr:to>
      <xdr:col>24</xdr:col>
      <xdr:colOff>15876</xdr:colOff>
      <xdr:row>12</xdr:row>
      <xdr:rowOff>38805</xdr:rowOff>
    </xdr:to>
    <xdr:cxnSp macro="">
      <xdr:nvCxnSpPr>
        <xdr:cNvPr id="17" name="カギ線コネクタ 42"/>
        <xdr:cNvCxnSpPr>
          <a:stCxn id="15" idx="2"/>
          <a:endCxn id="13" idx="0"/>
        </xdr:cNvCxnSpPr>
      </xdr:nvCxnSpPr>
      <xdr:spPr>
        <a:xfrm flipH="1">
          <a:off x="4586111" y="1545167"/>
          <a:ext cx="1765" cy="356305"/>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11642</xdr:colOff>
      <xdr:row>20</xdr:row>
      <xdr:rowOff>49389</xdr:rowOff>
    </xdr:from>
    <xdr:to>
      <xdr:col>24</xdr:col>
      <xdr:colOff>14111</xdr:colOff>
      <xdr:row>22</xdr:row>
      <xdr:rowOff>35985</xdr:rowOff>
    </xdr:to>
    <xdr:cxnSp macro="">
      <xdr:nvCxnSpPr>
        <xdr:cNvPr id="28" name="カギ線コネクタ 42"/>
        <xdr:cNvCxnSpPr>
          <a:stCxn id="41" idx="2"/>
          <a:endCxn id="16" idx="0"/>
        </xdr:cNvCxnSpPr>
      </xdr:nvCxnSpPr>
      <xdr:spPr>
        <a:xfrm flipH="1">
          <a:off x="4583642" y="3173589"/>
          <a:ext cx="2469" cy="291396"/>
        </a:xfrm>
        <a:prstGeom prst="straightConnector1">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152400</xdr:colOff>
      <xdr:row>6</xdr:row>
      <xdr:rowOff>104775</xdr:rowOff>
    </xdr:from>
    <xdr:to>
      <xdr:col>49</xdr:col>
      <xdr:colOff>0</xdr:colOff>
      <xdr:row>25</xdr:row>
      <xdr:rowOff>93902</xdr:rowOff>
    </xdr:to>
    <xdr:grpSp>
      <xdr:nvGrpSpPr>
        <xdr:cNvPr id="42" name="グループ化 41"/>
        <xdr:cNvGrpSpPr/>
      </xdr:nvGrpSpPr>
      <xdr:grpSpPr>
        <a:xfrm>
          <a:off x="7200900" y="1047750"/>
          <a:ext cx="2133600" cy="2932352"/>
          <a:chOff x="7153275" y="1047750"/>
          <a:chExt cx="2133600" cy="2932352"/>
        </a:xfrm>
      </xdr:grpSpPr>
      <xdr:grpSp>
        <xdr:nvGrpSpPr>
          <xdr:cNvPr id="45" name="Group 15"/>
          <xdr:cNvGrpSpPr>
            <a:grpSpLocks/>
          </xdr:cNvGrpSpPr>
        </xdr:nvGrpSpPr>
        <xdr:grpSpPr bwMode="auto">
          <a:xfrm>
            <a:off x="7153275" y="1047750"/>
            <a:ext cx="2133600" cy="2932352"/>
            <a:chOff x="8" y="532"/>
            <a:chExt cx="224" cy="312"/>
          </a:xfrm>
          <a:noFill/>
        </xdr:grpSpPr>
        <xdr:sp macro="" textlink="">
          <xdr:nvSpPr>
            <xdr:cNvPr id="49" name="AutoShape 2"/>
            <xdr:cNvSpPr>
              <a:spLocks noChangeArrowheads="1"/>
            </xdr:cNvSpPr>
          </xdr:nvSpPr>
          <xdr:spPr bwMode="auto">
            <a:xfrm>
              <a:off x="8" y="532"/>
              <a:ext cx="224" cy="312"/>
            </a:xfrm>
            <a:prstGeom prst="roundRect">
              <a:avLst>
                <a:gd name="adj" fmla="val 3847"/>
              </a:avLst>
            </a:prstGeom>
            <a:grpFill/>
            <a:ln w="12700">
              <a:solidFill>
                <a:sysClr val="windowText" lastClr="000000"/>
              </a:solidFill>
              <a:round/>
              <a:headEnd/>
              <a:tailEnd/>
            </a:ln>
          </xdr:spPr>
          <xdr:txBody>
            <a:bodyPr vertOverflow="clip" wrap="square" lIns="27432" tIns="18288" rIns="0" bIns="0" anchor="t" upright="1"/>
            <a:lstStyle/>
            <a:p>
              <a:pPr algn="l"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凡例</a:t>
              </a:r>
            </a:p>
          </xdr:txBody>
        </xdr:sp>
        <xdr:pic>
          <xdr:nvPicPr>
            <xdr:cNvPr id="50" name="Picture 3" descr="コンピュータ"/>
            <xdr:cNvPicPr preferRelativeResize="0">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 y="556"/>
              <a:ext cx="45" cy="40"/>
            </a:xfrm>
            <a:prstGeom prst="rect">
              <a:avLst/>
            </a:prstGeom>
            <a:grpFill/>
            <a:ln w="9525">
              <a:noFill/>
              <a:miter lim="800000"/>
              <a:headEnd/>
              <a:tailEnd/>
            </a:ln>
            <a:extLst/>
          </xdr:spPr>
        </xdr:pic>
        <xdr:sp macro="" textlink="">
          <xdr:nvSpPr>
            <xdr:cNvPr id="51" name="AutoShape 6"/>
            <xdr:cNvSpPr>
              <a:spLocks noChangeArrowheads="1"/>
            </xdr:cNvSpPr>
          </xdr:nvSpPr>
          <xdr:spPr bwMode="auto">
            <a:xfrm>
              <a:off x="123" y="683"/>
              <a:ext cx="97" cy="34"/>
            </a:xfrm>
            <a:prstGeom prst="flowChartPredefinedProcess">
              <a:avLst/>
            </a:prstGeom>
            <a:grpFill/>
            <a:ln w="12700">
              <a:solidFill>
                <a:sysClr val="windowText" lastClr="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処理名</a:t>
              </a:r>
            </a:p>
          </xdr:txBody>
        </xdr:sp>
        <xdr:sp macro="" textlink="">
          <xdr:nvSpPr>
            <xdr:cNvPr id="52" name="Text Box 7"/>
            <xdr:cNvSpPr txBox="1">
              <a:spLocks noChangeArrowheads="1"/>
            </xdr:cNvSpPr>
          </xdr:nvSpPr>
          <xdr:spPr bwMode="auto">
            <a:xfrm>
              <a:off x="50" y="596"/>
              <a:ext cx="43" cy="19"/>
            </a:xfrm>
            <a:prstGeom prst="rect">
              <a:avLst/>
            </a:prstGeom>
            <a:grpFill/>
            <a:ln w="12700">
              <a:noFill/>
              <a:miter lim="800000"/>
              <a:headEnd/>
              <a:tailEnd/>
            </a:ln>
            <a:effectLst/>
          </xdr:spPr>
          <xdr:txBody>
            <a:bodyPr wrap="none" lIns="18288" tIns="18288" rIns="0" bIns="0" anchor="t" upright="1">
              <a:noAutofit/>
            </a:bodyPr>
            <a:lstStyle/>
            <a:p>
              <a:pPr algn="l" rtl="0">
                <a:defRPr sz="1000"/>
              </a:pPr>
              <a:r>
                <a:rPr lang="ja-JP" altLang="en-US" sz="1000" b="0" i="0" u="none" strike="noStrike" baseline="0">
                  <a:solidFill>
                    <a:srgbClr val="000000"/>
                  </a:solidFill>
                  <a:latin typeface="Meiryo UI" panose="020B0604030504040204" pitchFamily="50" charset="-128"/>
                  <a:ea typeface="Meiryo UI" panose="020B0604030504040204" pitchFamily="50" charset="-128"/>
                </a:rPr>
                <a:t>画面名</a:t>
              </a:r>
            </a:p>
          </xdr:txBody>
        </xdr:sp>
        <xdr:sp macro="" textlink="">
          <xdr:nvSpPr>
            <xdr:cNvPr id="53" name="Text Box 8"/>
            <xdr:cNvSpPr txBox="1">
              <a:spLocks noChangeArrowheads="1"/>
            </xdr:cNvSpPr>
          </xdr:nvSpPr>
          <xdr:spPr bwMode="auto">
            <a:xfrm>
              <a:off x="27" y="681"/>
              <a:ext cx="80" cy="36"/>
            </a:xfrm>
            <a:prstGeom prst="rect">
              <a:avLst/>
            </a:prstGeom>
            <a:grpFill/>
            <a:ln w="9525">
              <a:solidFill>
                <a:sysClr val="windowText" lastClr="000000"/>
              </a:solidFill>
              <a:miter lim="800000"/>
              <a:headEnd/>
              <a:tailEnd/>
            </a:ln>
          </xdr:spPr>
          <xdr:txBody>
            <a:bodyPr vertOverflow="clip" wrap="square" lIns="0" tIns="46800" rIns="0" bIns="46800"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補足説明</a:t>
              </a:r>
            </a:p>
          </xdr:txBody>
        </xdr:sp>
        <xdr:sp macro="" textlink="">
          <xdr:nvSpPr>
            <xdr:cNvPr id="54" name="AutoShape 49"/>
            <xdr:cNvSpPr>
              <a:spLocks noChangeArrowheads="1"/>
            </xdr:cNvSpPr>
          </xdr:nvSpPr>
          <xdr:spPr bwMode="auto">
            <a:xfrm>
              <a:off x="136" y="556"/>
              <a:ext cx="71" cy="43"/>
            </a:xfrm>
            <a:prstGeom prst="flowChartDocument">
              <a:avLst/>
            </a:prstGeom>
            <a:grpFill/>
            <a:ln w="9525">
              <a:solidFill>
                <a:sysClr val="windowText" lastClr="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帳票名</a:t>
              </a:r>
            </a:p>
          </xdr:txBody>
        </xdr:sp>
        <xdr:sp macro="" textlink="">
          <xdr:nvSpPr>
            <xdr:cNvPr id="55" name="AutoShape 78"/>
            <xdr:cNvSpPr>
              <a:spLocks noChangeArrowheads="1"/>
            </xdr:cNvSpPr>
          </xdr:nvSpPr>
          <xdr:spPr bwMode="auto">
            <a:xfrm>
              <a:off x="133" y="622"/>
              <a:ext cx="76" cy="38"/>
            </a:xfrm>
            <a:prstGeom prst="can">
              <a:avLst>
                <a:gd name="adj" fmla="val 25000"/>
              </a:avLst>
            </a:prstGeom>
            <a:grpFill/>
            <a:ln w="12700">
              <a:solidFill>
                <a:sysClr val="windowText" lastClr="000000"/>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テーブル名</a:t>
              </a:r>
            </a:p>
          </xdr:txBody>
        </xdr:sp>
        <xdr:sp macro="" textlink="">
          <xdr:nvSpPr>
            <xdr:cNvPr id="56" name="フローチャート: データ 50"/>
            <xdr:cNvSpPr>
              <a:spLocks noChangeArrowheads="1"/>
            </xdr:cNvSpPr>
          </xdr:nvSpPr>
          <xdr:spPr bwMode="auto">
            <a:xfrm>
              <a:off x="18" y="624"/>
              <a:ext cx="102" cy="35"/>
            </a:xfrm>
            <a:prstGeom prst="flowChartInputOutput">
              <a:avLst/>
            </a:prstGeom>
            <a:grpFill/>
            <a:ln w="9525" algn="ctr">
              <a:solidFill>
                <a:sysClr val="windowText" lastClr="000000"/>
              </a:solidFill>
              <a:miter lim="800000"/>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Meiryo UI" panose="020B0604030504040204" pitchFamily="50" charset="-128"/>
                  <a:ea typeface="Meiryo UI" panose="020B0604030504040204" pitchFamily="50" charset="-128"/>
                </a:rPr>
                <a:t>ファイル名</a:t>
              </a:r>
            </a:p>
          </xdr:txBody>
        </xdr:sp>
        <xdr:sp macro="" textlink="">
          <xdr:nvSpPr>
            <xdr:cNvPr id="63" name="Text Box 24"/>
            <xdr:cNvSpPr txBox="1">
              <a:spLocks noChangeArrowheads="1"/>
            </xdr:cNvSpPr>
          </xdr:nvSpPr>
          <xdr:spPr bwMode="auto">
            <a:xfrm>
              <a:off x="43" y="805"/>
              <a:ext cx="143" cy="19"/>
            </a:xfrm>
            <a:prstGeom prst="rect">
              <a:avLst/>
            </a:prstGeom>
            <a:grpFill/>
            <a:ln w="9525">
              <a:noFill/>
              <a:miter lim="800000"/>
              <a:headEnd/>
              <a:tailEnd/>
            </a:ln>
          </xdr:spPr>
          <xdr:txBody>
            <a:bodyPr wrap="none" lIns="18288" tIns="18288" rIns="0" bIns="0" anchor="t" upright="1">
              <a:spAutoFit/>
            </a:bodyPr>
            <a:lstStyle/>
            <a:p>
              <a:pPr algn="l" rtl="0">
                <a:defRPr sz="1000"/>
              </a:pPr>
              <a:r>
                <a:rPr lang="en-US" altLang="ja-JP" sz="900" b="0" i="0" u="none" strike="noStrike" baseline="0">
                  <a:solidFill>
                    <a:srgbClr val="000000"/>
                  </a:solidFill>
                  <a:latin typeface="Meiryo UI" panose="020B0604030504040204" pitchFamily="50" charset="-128"/>
                  <a:ea typeface="Meiryo UI" panose="020B0604030504040204" pitchFamily="50" charset="-128"/>
                </a:rPr>
                <a:t>※</a:t>
              </a:r>
              <a:r>
                <a:rPr lang="ja-JP" altLang="en-US" sz="900" b="0" i="0" u="none" strike="noStrike" baseline="0">
                  <a:solidFill>
                    <a:srgbClr val="000000"/>
                  </a:solidFill>
                  <a:latin typeface="Meiryo UI" panose="020B0604030504040204" pitchFamily="50" charset="-128"/>
                  <a:ea typeface="Meiryo UI" panose="020B0604030504040204" pitchFamily="50" charset="-128"/>
                </a:rPr>
                <a:t>橙背景は本設計書の対象</a:t>
              </a:r>
            </a:p>
          </xdr:txBody>
        </xdr:sp>
      </xdr:grpSp>
      <xdr:sp macro="" textlink="">
        <xdr:nvSpPr>
          <xdr:cNvPr id="46" name="片側の 2 つの角を切り取った四角形 45"/>
          <xdr:cNvSpPr/>
        </xdr:nvSpPr>
        <xdr:spPr>
          <a:xfrm>
            <a:off x="7372350" y="3067050"/>
            <a:ext cx="742950" cy="189820"/>
          </a:xfrm>
          <a:prstGeom prst="snip2SameRect">
            <a:avLst/>
          </a:prstGeom>
          <a:noFill/>
          <a:ln>
            <a:solidFill>
              <a:sysClr val="windowText" lastClr="000000"/>
            </a:solid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ループ</a:t>
            </a:r>
          </a:p>
        </xdr:txBody>
      </xdr:sp>
      <xdr:sp macro="" textlink="">
        <xdr:nvSpPr>
          <xdr:cNvPr id="47" name="片側の 2 つの角を切り取った四角形 46"/>
          <xdr:cNvSpPr/>
        </xdr:nvSpPr>
        <xdr:spPr>
          <a:xfrm flipV="1">
            <a:off x="7372350" y="3286125"/>
            <a:ext cx="742950" cy="171450"/>
          </a:xfrm>
          <a:prstGeom prst="snip2SameRect">
            <a:avLst/>
          </a:prstGeom>
          <a:noFill/>
          <a:ln>
            <a:solidFill>
              <a:sysClr val="windowText" lastClr="000000"/>
            </a:solidFill>
          </a:ln>
        </xdr:spPr>
        <xdr:style>
          <a:lnRef idx="1">
            <a:schemeClr val="accent5"/>
          </a:lnRef>
          <a:fillRef idx="2">
            <a:schemeClr val="accent5"/>
          </a:fillRef>
          <a:effectRef idx="1">
            <a:schemeClr val="accent5"/>
          </a:effectRef>
          <a:fontRef idx="minor">
            <a:schemeClr val="dk1"/>
          </a:fontRef>
        </xdr:style>
        <xdr:txBody>
          <a:bodyPr vertOverflow="clip" horzOverflow="clip" vert="horz" rtlCol="0" anchor="t"/>
          <a:lstStyle/>
          <a:p>
            <a:pPr algn="l"/>
            <a:endParaRPr kumimoji="1" lang="ja-JP" altLang="en-US" sz="900">
              <a:latin typeface="Meiryo UI" panose="020B0604030504040204" pitchFamily="50" charset="-128"/>
              <a:ea typeface="Meiryo UI" panose="020B0604030504040204" pitchFamily="50" charset="-128"/>
              <a:cs typeface="Meiryo UI" panose="020B0604030504040204" pitchFamily="50" charset="-128"/>
            </a:endParaRPr>
          </a:p>
        </xdr:txBody>
      </xdr:sp>
      <xdr:sp macro="" textlink="">
        <xdr:nvSpPr>
          <xdr:cNvPr id="48" name="フローチャート: 判断 47"/>
          <xdr:cNvSpPr/>
        </xdr:nvSpPr>
        <xdr:spPr>
          <a:xfrm>
            <a:off x="8258174" y="2952749"/>
            <a:ext cx="942975" cy="561975"/>
          </a:xfrm>
          <a:prstGeom prst="flowChartDecision">
            <a:avLst/>
          </a:prstGeom>
          <a:noFill/>
          <a:ln>
            <a:solidFill>
              <a:sysClr val="windowText" lastClr="000000"/>
            </a:solid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ctr"/>
          <a:lstStyle/>
          <a:p>
            <a:pPr algn="ctr"/>
            <a:r>
              <a:rPr kumimoji="1" lang="ja-JP" altLang="en-US" sz="900">
                <a:latin typeface="Meiryo UI" panose="020B0604030504040204" pitchFamily="50" charset="-128"/>
                <a:ea typeface="Meiryo UI" panose="020B0604030504040204" pitchFamily="50" charset="-128"/>
                <a:cs typeface="Meiryo UI" panose="020B0604030504040204" pitchFamily="50" charset="-128"/>
              </a:rPr>
              <a:t>分岐</a:t>
            </a:r>
          </a:p>
        </xdr:txBody>
      </xdr:sp>
    </xdr:grpSp>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xdr:row>
      <xdr:rowOff>142875</xdr:rowOff>
    </xdr:from>
    <xdr:to>
      <xdr:col>48</xdr:col>
      <xdr:colOff>105833</xdr:colOff>
      <xdr:row>10</xdr:row>
      <xdr:rowOff>125941</xdr:rowOff>
    </xdr:to>
    <xdr:sp macro="" textlink="">
      <xdr:nvSpPr>
        <xdr:cNvPr id="2" name="正方形/長方形 1"/>
        <xdr:cNvSpPr/>
      </xdr:nvSpPr>
      <xdr:spPr>
        <a:xfrm>
          <a:off x="381000" y="1171575"/>
          <a:ext cx="8868833" cy="592666"/>
        </a:xfrm>
        <a:prstGeom prst="rect">
          <a:avLst/>
        </a:prstGeom>
        <a:solidFill>
          <a:schemeClr val="bg1">
            <a:lumMod val="75000"/>
            <a:alpha val="50000"/>
          </a:schemeClr>
        </a:solidFill>
        <a:ln w="12700">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当記述は</a:t>
          </a:r>
          <a:r>
            <a:rPr kumimoji="1" lang="en-US" altLang="ja-JP"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sample</a:t>
          </a:r>
          <a:r>
            <a:rPr kumimoji="1" lang="ja-JP" altLang="en-US" sz="110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のため、処理の整合性を保証するものではありません。</a:t>
          </a:r>
        </a:p>
      </xdr:txBody>
    </xdr:sp>
    <xdr:clientData/>
  </xdr:twoCellAnchor>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7</xdr:col>
          <xdr:colOff>0</xdr:colOff>
          <xdr:row>2</xdr:row>
          <xdr:rowOff>133350</xdr:rowOff>
        </xdr:to>
        <xdr:pic>
          <xdr:nvPicPr>
            <xdr:cNvPr id="2" name="図 1"/>
            <xdr:cNvPicPr>
              <a:picLocks noChangeAspect="1" noChangeArrowheads="1"/>
              <a:extLst>
                <a:ext uri="{84589F7E-364E-4C9E-8A38-B11213B215E9}">
                  <a14:cameraTool cellRange="表紙!$BA$59:$BJ$61" spid="_x0000_s49181"/>
                </a:ext>
              </a:extLst>
            </xdr:cNvPicPr>
          </xdr:nvPicPr>
          <xdr:blipFill>
            <a:blip xmlns:r="http://schemas.openxmlformats.org/officeDocument/2006/relationships" r:embed="rId1"/>
            <a:srcRect/>
            <a:stretch>
              <a:fillRect/>
            </a:stretch>
          </xdr:blipFill>
          <xdr:spPr bwMode="auto">
            <a:xfrm>
              <a:off x="0" y="0"/>
              <a:ext cx="9534525" cy="43815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1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5</xdr:col>
          <xdr:colOff>28575</xdr:colOff>
          <xdr:row>3</xdr:row>
          <xdr:rowOff>19050</xdr:rowOff>
        </xdr:to>
        <xdr:pic>
          <xdr:nvPicPr>
            <xdr:cNvPr id="2" name="図 1"/>
            <xdr:cNvPicPr>
              <a:picLocks noChangeAspect="1" noChangeArrowheads="1"/>
              <a:extLst>
                <a:ext uri="{84589F7E-364E-4C9E-8A38-B11213B215E9}">
                  <a14:cameraTool cellRange="表紙!$BA$63:$BJ$65" spid="_x0000_s50245"/>
                </a:ext>
              </a:extLst>
            </xdr:cNvPicPr>
          </xdr:nvPicPr>
          <xdr:blipFill>
            <a:blip xmlns:r="http://schemas.openxmlformats.org/officeDocument/2006/relationships" r:embed="rId1"/>
            <a:srcRect/>
            <a:stretch>
              <a:fillRect/>
            </a:stretch>
          </xdr:blipFill>
          <xdr:spPr bwMode="auto">
            <a:xfrm>
              <a:off x="0" y="0"/>
              <a:ext cx="9534525" cy="47625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6.xml"/><Relationship Id="rId1" Type="http://schemas.openxmlformats.org/officeDocument/2006/relationships/printerSettings" Target="../printerSettings/printerSettings7.bin"/><Relationship Id="rId4" Type="http://schemas.openxmlformats.org/officeDocument/2006/relationships/comments" Target="../comments2.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0.xml"/><Relationship Id="rId1" Type="http://schemas.openxmlformats.org/officeDocument/2006/relationships/printerSettings" Target="../printerSettings/printerSettings11.bin"/><Relationship Id="rId4" Type="http://schemas.openxmlformats.org/officeDocument/2006/relationships/comments" Target="../comments3.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12.xml"/><Relationship Id="rId1" Type="http://schemas.openxmlformats.org/officeDocument/2006/relationships/printerSettings" Target="../printerSettings/printerSettings13.bin"/><Relationship Id="rId4" Type="http://schemas.openxmlformats.org/officeDocument/2006/relationships/comments" Target="../comments4.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99"/>
  </sheetPr>
  <dimension ref="A3:BJ73"/>
  <sheetViews>
    <sheetView showGridLines="0" topLeftCell="A46" zoomScaleNormal="100" zoomScaleSheetLayoutView="90" workbookViewId="0">
      <selection activeCell="AJ53" sqref="AJ53"/>
    </sheetView>
  </sheetViews>
  <sheetFormatPr defaultColWidth="8.83203125" defaultRowHeight="12"/>
  <cols>
    <col min="1" max="50" width="3.33203125" style="1" customWidth="1"/>
    <col min="51" max="52" width="8.83203125" style="1"/>
    <col min="53" max="53" width="23.33203125" style="4" customWidth="1"/>
    <col min="54" max="54" width="13.33203125" style="4" customWidth="1"/>
    <col min="55" max="55" width="23.33203125" style="4" customWidth="1"/>
    <col min="56" max="56" width="13.33203125" style="4" customWidth="1"/>
    <col min="57" max="57" width="23.33203125" style="4" customWidth="1"/>
    <col min="58" max="58" width="13.33203125" style="4" customWidth="1"/>
    <col min="59" max="59" width="16.6640625" style="4" customWidth="1"/>
    <col min="60" max="62" width="13.33203125" style="4" customWidth="1"/>
    <col min="63" max="16384" width="8.83203125" style="1"/>
  </cols>
  <sheetData>
    <row r="3" spans="32:49" ht="11.25" customHeight="1">
      <c r="AF3" s="391" t="s">
        <v>0</v>
      </c>
      <c r="AG3" s="399"/>
      <c r="AH3" s="399"/>
      <c r="AI3" s="399"/>
      <c r="AJ3" s="399"/>
      <c r="AK3" s="400"/>
      <c r="AL3" s="406" t="s">
        <v>21</v>
      </c>
      <c r="AM3" s="406"/>
      <c r="AN3" s="406"/>
      <c r="AO3" s="406"/>
      <c r="AP3" s="406"/>
      <c r="AQ3" s="406"/>
      <c r="AR3" s="395" t="s">
        <v>1</v>
      </c>
      <c r="AS3" s="396"/>
      <c r="AT3" s="396"/>
      <c r="AU3" s="396"/>
      <c r="AV3" s="396"/>
      <c r="AW3" s="397"/>
    </row>
    <row r="4" spans="32:49" ht="11.25" customHeight="1">
      <c r="AF4" s="401"/>
      <c r="AG4" s="399"/>
      <c r="AH4" s="399"/>
      <c r="AI4" s="399"/>
      <c r="AJ4" s="399"/>
      <c r="AK4" s="400"/>
      <c r="AL4" s="406"/>
      <c r="AM4" s="406"/>
      <c r="AN4" s="406"/>
      <c r="AO4" s="406"/>
      <c r="AP4" s="406"/>
      <c r="AQ4" s="406"/>
      <c r="AR4" s="395"/>
      <c r="AS4" s="396"/>
      <c r="AT4" s="396"/>
      <c r="AU4" s="396"/>
      <c r="AV4" s="396"/>
      <c r="AW4" s="397"/>
    </row>
    <row r="5" spans="32:49" ht="11.25" customHeight="1">
      <c r="AF5" s="398" t="str">
        <f>IF(文書番号="","",文書番号)</f>
        <v>XX-XX-9999</v>
      </c>
      <c r="AG5" s="399"/>
      <c r="AH5" s="399"/>
      <c r="AI5" s="399"/>
      <c r="AJ5" s="399"/>
      <c r="AK5" s="400"/>
      <c r="AL5" s="402" t="str">
        <f>IF(Version="","",Version)</f>
        <v>7.0.1.1</v>
      </c>
      <c r="AM5" s="402"/>
      <c r="AN5" s="402"/>
      <c r="AO5" s="402"/>
      <c r="AP5" s="402"/>
      <c r="AQ5" s="402"/>
      <c r="AR5" s="403" t="str">
        <f>IF(Rev="","",Rev)</f>
        <v>r02.00</v>
      </c>
      <c r="AS5" s="404"/>
      <c r="AT5" s="404"/>
      <c r="AU5" s="404"/>
      <c r="AV5" s="404"/>
      <c r="AW5" s="405"/>
    </row>
    <row r="6" spans="32:49" ht="11.25" customHeight="1">
      <c r="AF6" s="401"/>
      <c r="AG6" s="399"/>
      <c r="AH6" s="399"/>
      <c r="AI6" s="399"/>
      <c r="AJ6" s="399"/>
      <c r="AK6" s="400"/>
      <c r="AL6" s="402"/>
      <c r="AM6" s="402"/>
      <c r="AN6" s="402"/>
      <c r="AO6" s="402"/>
      <c r="AP6" s="402"/>
      <c r="AQ6" s="402"/>
      <c r="AR6" s="403"/>
      <c r="AS6" s="404"/>
      <c r="AT6" s="404"/>
      <c r="AU6" s="404"/>
      <c r="AV6" s="404"/>
      <c r="AW6" s="405"/>
    </row>
    <row r="27" spans="16:33" ht="22.5" customHeight="1">
      <c r="P27" s="381" t="s">
        <v>2</v>
      </c>
      <c r="Q27" s="382"/>
      <c r="R27" s="382"/>
      <c r="S27" s="382"/>
      <c r="T27" s="382"/>
      <c r="U27" s="383"/>
      <c r="V27" s="407" t="str">
        <f>IF(顧客名="","",顧客名)</f>
        <v>株式会社XXXX殿</v>
      </c>
      <c r="W27" s="408"/>
      <c r="X27" s="408"/>
      <c r="Y27" s="408"/>
      <c r="Z27" s="408"/>
      <c r="AA27" s="408"/>
      <c r="AB27" s="408"/>
      <c r="AC27" s="408"/>
      <c r="AD27" s="408"/>
      <c r="AE27" s="408"/>
      <c r="AF27" s="408"/>
      <c r="AG27" s="409"/>
    </row>
    <row r="28" spans="16:33" ht="22.5" customHeight="1">
      <c r="P28" s="381" t="s">
        <v>3</v>
      </c>
      <c r="Q28" s="382"/>
      <c r="R28" s="382"/>
      <c r="S28" s="382"/>
      <c r="T28" s="382"/>
      <c r="U28" s="383"/>
      <c r="V28" s="407" t="str">
        <f>IF(プロジェクト名="","",プロジェクト名)</f>
        <v>新基幹システム構築プロジェクト</v>
      </c>
      <c r="W28" s="408"/>
      <c r="X28" s="408"/>
      <c r="Y28" s="408"/>
      <c r="Z28" s="408"/>
      <c r="AA28" s="408"/>
      <c r="AB28" s="408"/>
      <c r="AC28" s="408"/>
      <c r="AD28" s="408"/>
      <c r="AE28" s="408"/>
      <c r="AF28" s="408"/>
      <c r="AG28" s="409"/>
    </row>
    <row r="29" spans="16:33" ht="22.5" customHeight="1">
      <c r="P29" s="381" t="s">
        <v>4</v>
      </c>
      <c r="Q29" s="382"/>
      <c r="R29" s="382"/>
      <c r="S29" s="382"/>
      <c r="T29" s="382"/>
      <c r="U29" s="383"/>
      <c r="V29" s="390" t="str">
        <f>IF(分類ID="","",分類ID)</f>
        <v>MSBC</v>
      </c>
      <c r="W29" s="388"/>
      <c r="X29" s="388"/>
      <c r="Y29" s="388"/>
      <c r="Z29" s="388"/>
      <c r="AA29" s="389"/>
      <c r="AB29" s="410" t="str">
        <f>IF(機能ID="","",機能ID)</f>
        <v>MSBCBA0040</v>
      </c>
      <c r="AC29" s="411"/>
      <c r="AD29" s="411"/>
      <c r="AE29" s="411"/>
      <c r="AF29" s="411"/>
      <c r="AG29" s="412"/>
    </row>
    <row r="30" spans="16:33" ht="22.5" customHeight="1">
      <c r="P30" s="413" t="s">
        <v>5</v>
      </c>
      <c r="Q30" s="414"/>
      <c r="R30" s="414"/>
      <c r="S30" s="414"/>
      <c r="T30" s="414"/>
      <c r="U30" s="415"/>
      <c r="V30" s="390" t="str">
        <f>IF(分類名="","",分類名)</f>
        <v>生産管理</v>
      </c>
      <c r="W30" s="388"/>
      <c r="X30" s="388"/>
      <c r="Y30" s="388"/>
      <c r="Z30" s="388"/>
      <c r="AA30" s="388"/>
      <c r="AB30" s="388"/>
      <c r="AC30" s="388"/>
      <c r="AD30" s="388"/>
      <c r="AE30" s="388"/>
      <c r="AF30" s="388"/>
      <c r="AG30" s="389"/>
    </row>
    <row r="31" spans="16:33" ht="22.5" customHeight="1">
      <c r="P31" s="391" t="s">
        <v>6</v>
      </c>
      <c r="Q31" s="392"/>
      <c r="R31" s="392"/>
      <c r="S31" s="392"/>
      <c r="T31" s="392"/>
      <c r="U31" s="393"/>
      <c r="V31" s="390" t="str">
        <f>IF(機能名="","",機能名)</f>
        <v>納期回答作成バッチ</v>
      </c>
      <c r="W31" s="388"/>
      <c r="X31" s="388"/>
      <c r="Y31" s="388"/>
      <c r="Z31" s="388"/>
      <c r="AA31" s="388"/>
      <c r="AB31" s="388"/>
      <c r="AC31" s="388"/>
      <c r="AD31" s="388"/>
      <c r="AE31" s="388"/>
      <c r="AF31" s="388"/>
      <c r="AG31" s="389"/>
    </row>
    <row r="37" spans="1:62" ht="11.25" customHeight="1"/>
    <row r="38" spans="1:62" ht="11.25" customHeight="1"/>
    <row r="39" spans="1:62" ht="11.25" customHeight="1"/>
    <row r="40" spans="1:62" ht="11.25" customHeight="1"/>
    <row r="46" spans="1:62" ht="29.25" thickBot="1">
      <c r="A46" s="2" t="s">
        <v>22</v>
      </c>
    </row>
    <row r="47" spans="1:62" ht="11.25" customHeight="1">
      <c r="A47" s="381" t="s">
        <v>2</v>
      </c>
      <c r="B47" s="382"/>
      <c r="C47" s="382"/>
      <c r="D47" s="382"/>
      <c r="E47" s="382"/>
      <c r="F47" s="383"/>
      <c r="G47" s="387" t="s">
        <v>100</v>
      </c>
      <c r="H47" s="388"/>
      <c r="I47" s="388"/>
      <c r="J47" s="388"/>
      <c r="K47" s="388"/>
      <c r="L47" s="388"/>
      <c r="M47" s="388"/>
      <c r="N47" s="388"/>
      <c r="O47" s="388"/>
      <c r="P47" s="388"/>
      <c r="Q47" s="388"/>
      <c r="R47" s="389"/>
      <c r="BA47" s="378" t="s">
        <v>23</v>
      </c>
      <c r="BB47" s="136" t="s">
        <v>2</v>
      </c>
      <c r="BC47" s="137" t="str">
        <f>IF(顧客名="","",顧客名)</f>
        <v>株式会社XXXX殿</v>
      </c>
      <c r="BD47" s="138" t="s">
        <v>7</v>
      </c>
      <c r="BE47" s="137" t="str">
        <f>IF(システム="","",システム)</f>
        <v>mcframe7</v>
      </c>
      <c r="BF47" s="138" t="s">
        <v>17</v>
      </c>
      <c r="BG47" s="137" t="str">
        <f>IF(作成者="","",作成者)</f>
        <v>XX</v>
      </c>
      <c r="BH47" s="138" t="s">
        <v>18</v>
      </c>
      <c r="BI47" s="139">
        <f>IF(作成日="","",作成日)</f>
        <v>42902</v>
      </c>
      <c r="BJ47" s="140" t="s">
        <v>0</v>
      </c>
    </row>
    <row r="48" spans="1:62" ht="11.25" customHeight="1">
      <c r="A48" s="381" t="s">
        <v>3</v>
      </c>
      <c r="B48" s="382"/>
      <c r="C48" s="382"/>
      <c r="D48" s="382"/>
      <c r="E48" s="382"/>
      <c r="F48" s="383"/>
      <c r="G48" s="390" t="s">
        <v>70</v>
      </c>
      <c r="H48" s="388"/>
      <c r="I48" s="388"/>
      <c r="J48" s="388"/>
      <c r="K48" s="388"/>
      <c r="L48" s="388"/>
      <c r="M48" s="388"/>
      <c r="N48" s="388"/>
      <c r="O48" s="388"/>
      <c r="P48" s="388"/>
      <c r="Q48" s="388"/>
      <c r="R48" s="389"/>
      <c r="BA48" s="379"/>
      <c r="BB48" s="141" t="s">
        <v>49</v>
      </c>
      <c r="BC48" s="142" t="str">
        <f>IF(プロジェクト名="","",プロジェクト名)</f>
        <v>新基幹システム構築プロジェクト</v>
      </c>
      <c r="BD48" s="143" t="s">
        <v>16</v>
      </c>
      <c r="BE48" s="142" t="str">
        <f>IF(サブシステム="","",サブシステム)</f>
        <v>SCM</v>
      </c>
      <c r="BF48" s="143" t="s">
        <v>10</v>
      </c>
      <c r="BG48" s="142" t="str">
        <f>IF(修正者="","",修正者)</f>
        <v>XX</v>
      </c>
      <c r="BH48" s="143" t="s">
        <v>11</v>
      </c>
      <c r="BI48" s="144">
        <f>IF(修正日="","",修正日)</f>
        <v>43007</v>
      </c>
      <c r="BJ48" s="35" t="str">
        <f>IF(文書番号="","",文書番号)</f>
        <v>XX-XX-9999</v>
      </c>
    </row>
    <row r="49" spans="1:62" ht="11.25" customHeight="1" thickBot="1">
      <c r="A49" s="381" t="s">
        <v>15</v>
      </c>
      <c r="B49" s="382"/>
      <c r="C49" s="382"/>
      <c r="D49" s="382"/>
      <c r="E49" s="382"/>
      <c r="F49" s="383"/>
      <c r="G49" s="390" t="s">
        <v>74</v>
      </c>
      <c r="H49" s="388"/>
      <c r="I49" s="388"/>
      <c r="J49" s="388"/>
      <c r="K49" s="388"/>
      <c r="L49" s="388"/>
      <c r="M49" s="388"/>
      <c r="N49" s="388"/>
      <c r="O49" s="388"/>
      <c r="P49" s="388"/>
      <c r="Q49" s="388"/>
      <c r="R49" s="389"/>
      <c r="BA49" s="380"/>
      <c r="BB49" s="145" t="s">
        <v>13</v>
      </c>
      <c r="BC49" s="146" t="str">
        <f>IF(機能ID="","",機能ID)</f>
        <v>MSBCBA0040</v>
      </c>
      <c r="BD49" s="147" t="s">
        <v>6</v>
      </c>
      <c r="BE49" s="23" t="str">
        <f>IF(機能名="","",機能名)</f>
        <v>納期回答作成バッチ</v>
      </c>
      <c r="BF49" s="23"/>
      <c r="BG49" s="23"/>
      <c r="BH49" s="147" t="s">
        <v>151</v>
      </c>
      <c r="BI49" s="148" t="str">
        <f>IF(Rev="","",Rev)</f>
        <v>r02.00</v>
      </c>
      <c r="BJ49" s="68"/>
    </row>
    <row r="50" spans="1:62" ht="11.25" customHeight="1" thickBot="1">
      <c r="A50" s="381" t="s">
        <v>21</v>
      </c>
      <c r="B50" s="382"/>
      <c r="C50" s="382"/>
      <c r="D50" s="382"/>
      <c r="E50" s="382"/>
      <c r="F50" s="383"/>
      <c r="G50" s="416" t="s">
        <v>150</v>
      </c>
      <c r="H50" s="388"/>
      <c r="I50" s="388"/>
      <c r="J50" s="388"/>
      <c r="K50" s="388"/>
      <c r="L50" s="388"/>
      <c r="M50" s="388"/>
      <c r="N50" s="388"/>
      <c r="O50" s="388"/>
      <c r="P50" s="388"/>
      <c r="Q50" s="388"/>
      <c r="R50" s="389"/>
      <c r="BA50" s="149"/>
    </row>
    <row r="51" spans="1:62" ht="11.25" customHeight="1">
      <c r="A51" s="381" t="s">
        <v>16</v>
      </c>
      <c r="B51" s="382"/>
      <c r="C51" s="382"/>
      <c r="D51" s="382"/>
      <c r="E51" s="382"/>
      <c r="F51" s="383"/>
      <c r="G51" s="390" t="s">
        <v>167</v>
      </c>
      <c r="H51" s="388"/>
      <c r="I51" s="388"/>
      <c r="J51" s="388"/>
      <c r="K51" s="388"/>
      <c r="L51" s="388"/>
      <c r="M51" s="388"/>
      <c r="N51" s="388"/>
      <c r="O51" s="388"/>
      <c r="P51" s="388"/>
      <c r="Q51" s="388"/>
      <c r="R51" s="389"/>
      <c r="BA51" s="378" t="s">
        <v>51</v>
      </c>
      <c r="BB51" s="136" t="s">
        <v>2</v>
      </c>
      <c r="BC51" s="137" t="str">
        <f>IF(顧客名="","",顧客名)</f>
        <v>株式会社XXXX殿</v>
      </c>
      <c r="BD51" s="138" t="s">
        <v>7</v>
      </c>
      <c r="BE51" s="137" t="str">
        <f>IF(システム="","",システム)</f>
        <v>mcframe7</v>
      </c>
      <c r="BF51" s="138" t="s">
        <v>17</v>
      </c>
      <c r="BG51" s="137" t="str">
        <f>IF(作成者="","",作成者)</f>
        <v>XX</v>
      </c>
      <c r="BH51" s="138" t="s">
        <v>18</v>
      </c>
      <c r="BI51" s="139">
        <f>IF(作成日="","",作成日)</f>
        <v>42902</v>
      </c>
      <c r="BJ51" s="140" t="s">
        <v>0</v>
      </c>
    </row>
    <row r="52" spans="1:62" ht="11.25" customHeight="1">
      <c r="A52" s="381" t="s">
        <v>20</v>
      </c>
      <c r="B52" s="382"/>
      <c r="C52" s="382"/>
      <c r="D52" s="382"/>
      <c r="E52" s="382"/>
      <c r="F52" s="383"/>
      <c r="G52" s="390" t="s">
        <v>234</v>
      </c>
      <c r="H52" s="388"/>
      <c r="I52" s="388"/>
      <c r="J52" s="388"/>
      <c r="K52" s="388"/>
      <c r="L52" s="388"/>
      <c r="M52" s="388"/>
      <c r="N52" s="388"/>
      <c r="O52" s="388"/>
      <c r="P52" s="388"/>
      <c r="Q52" s="388"/>
      <c r="R52" s="389"/>
      <c r="BA52" s="379"/>
      <c r="BB52" s="141" t="s">
        <v>49</v>
      </c>
      <c r="BC52" s="142" t="str">
        <f>IF(プロジェクト名="","",プロジェクト名)</f>
        <v>新基幹システム構築プロジェクト</v>
      </c>
      <c r="BD52" s="143" t="s">
        <v>16</v>
      </c>
      <c r="BE52" s="142" t="str">
        <f>IF(サブシステム="","",サブシステム)</f>
        <v>SCM</v>
      </c>
      <c r="BF52" s="143" t="s">
        <v>10</v>
      </c>
      <c r="BG52" s="142" t="str">
        <f>IF(修正者="","",修正者)</f>
        <v>XX</v>
      </c>
      <c r="BH52" s="143" t="s">
        <v>11</v>
      </c>
      <c r="BI52" s="144">
        <f>IF(修正日="","",修正日)</f>
        <v>43007</v>
      </c>
      <c r="BJ52" s="35" t="str">
        <f>IF(文書番号="","",文書番号)</f>
        <v>XX-XX-9999</v>
      </c>
    </row>
    <row r="53" spans="1:62" ht="11.25" customHeight="1" thickBot="1">
      <c r="A53" s="381" t="s">
        <v>13</v>
      </c>
      <c r="B53" s="382"/>
      <c r="C53" s="382"/>
      <c r="D53" s="382"/>
      <c r="E53" s="382"/>
      <c r="F53" s="383"/>
      <c r="G53" s="390" t="s">
        <v>235</v>
      </c>
      <c r="H53" s="388"/>
      <c r="I53" s="388"/>
      <c r="J53" s="388"/>
      <c r="K53" s="388"/>
      <c r="L53" s="388"/>
      <c r="M53" s="388"/>
      <c r="N53" s="388"/>
      <c r="O53" s="388"/>
      <c r="P53" s="388"/>
      <c r="Q53" s="388"/>
      <c r="R53" s="389"/>
      <c r="BA53" s="380"/>
      <c r="BB53" s="145" t="s">
        <v>13</v>
      </c>
      <c r="BC53" s="146" t="str">
        <f>IF(機能ID="","",機能ID)</f>
        <v>MSBCBA0040</v>
      </c>
      <c r="BD53" s="147" t="s">
        <v>6</v>
      </c>
      <c r="BE53" s="23" t="str">
        <f>IF(機能名="","",機能名)</f>
        <v>納期回答作成バッチ</v>
      </c>
      <c r="BF53" s="23"/>
      <c r="BG53" s="23"/>
      <c r="BH53" s="147" t="s">
        <v>151</v>
      </c>
      <c r="BI53" s="148" t="str">
        <f>IF(Rev="","",Rev)</f>
        <v>r02.00</v>
      </c>
      <c r="BJ53" s="68"/>
    </row>
    <row r="54" spans="1:62" ht="11.25" customHeight="1" thickBot="1">
      <c r="A54" s="391" t="s">
        <v>5</v>
      </c>
      <c r="B54" s="392"/>
      <c r="C54" s="392"/>
      <c r="D54" s="392"/>
      <c r="E54" s="392"/>
      <c r="F54" s="393"/>
      <c r="G54" s="390" t="s">
        <v>236</v>
      </c>
      <c r="H54" s="388"/>
      <c r="I54" s="388"/>
      <c r="J54" s="388"/>
      <c r="K54" s="388"/>
      <c r="L54" s="388"/>
      <c r="M54" s="388"/>
      <c r="N54" s="388"/>
      <c r="O54" s="388"/>
      <c r="P54" s="388"/>
      <c r="Q54" s="388"/>
      <c r="R54" s="389"/>
      <c r="BA54" s="149"/>
    </row>
    <row r="55" spans="1:62" ht="11.25" customHeight="1">
      <c r="A55" s="391" t="s">
        <v>6</v>
      </c>
      <c r="B55" s="392"/>
      <c r="C55" s="392"/>
      <c r="D55" s="392"/>
      <c r="E55" s="392"/>
      <c r="F55" s="393"/>
      <c r="G55" s="390" t="s">
        <v>237</v>
      </c>
      <c r="H55" s="388"/>
      <c r="I55" s="388"/>
      <c r="J55" s="388"/>
      <c r="K55" s="388"/>
      <c r="L55" s="388"/>
      <c r="M55" s="388"/>
      <c r="N55" s="388"/>
      <c r="O55" s="388"/>
      <c r="P55" s="388"/>
      <c r="Q55" s="388"/>
      <c r="R55" s="389"/>
      <c r="BA55" s="378" t="s">
        <v>152</v>
      </c>
      <c r="BB55" s="136" t="s">
        <v>2</v>
      </c>
      <c r="BC55" s="137" t="str">
        <f>IF(顧客名="","",顧客名)</f>
        <v>株式会社XXXX殿</v>
      </c>
      <c r="BD55" s="138" t="s">
        <v>7</v>
      </c>
      <c r="BE55" s="137" t="str">
        <f>IF(システム="","",システム)</f>
        <v>mcframe7</v>
      </c>
      <c r="BF55" s="138" t="s">
        <v>17</v>
      </c>
      <c r="BG55" s="137" t="str">
        <f>IF(作成者="","",作成者)</f>
        <v>XX</v>
      </c>
      <c r="BH55" s="138" t="s">
        <v>18</v>
      </c>
      <c r="BI55" s="139">
        <f>IF(作成日="","",作成日)</f>
        <v>42902</v>
      </c>
      <c r="BJ55" s="140" t="s">
        <v>0</v>
      </c>
    </row>
    <row r="56" spans="1:62" ht="11.25" customHeight="1">
      <c r="A56" s="381" t="s">
        <v>17</v>
      </c>
      <c r="B56" s="382"/>
      <c r="C56" s="382"/>
      <c r="D56" s="382"/>
      <c r="E56" s="382"/>
      <c r="F56" s="383"/>
      <c r="G56" s="390" t="s">
        <v>101</v>
      </c>
      <c r="H56" s="388"/>
      <c r="I56" s="388"/>
      <c r="J56" s="388"/>
      <c r="K56" s="388"/>
      <c r="L56" s="388"/>
      <c r="M56" s="388"/>
      <c r="N56" s="388"/>
      <c r="O56" s="388"/>
      <c r="P56" s="388"/>
      <c r="Q56" s="388"/>
      <c r="R56" s="389"/>
      <c r="S56" s="1" t="s">
        <v>58</v>
      </c>
      <c r="BA56" s="379"/>
      <c r="BB56" s="141" t="s">
        <v>49</v>
      </c>
      <c r="BC56" s="142" t="str">
        <f>IF(プロジェクト名="","",プロジェクト名)</f>
        <v>新基幹システム構築プロジェクト</v>
      </c>
      <c r="BD56" s="143" t="s">
        <v>153</v>
      </c>
      <c r="BE56" s="142" t="str">
        <f>IF(サブシステム="","",サブシステム)</f>
        <v>SCM</v>
      </c>
      <c r="BF56" s="143" t="s">
        <v>10</v>
      </c>
      <c r="BG56" s="142" t="str">
        <f>IF(修正者="","",修正者)</f>
        <v>XX</v>
      </c>
      <c r="BH56" s="143" t="s">
        <v>11</v>
      </c>
      <c r="BI56" s="144">
        <f>IF(修正日="","",修正日)</f>
        <v>43007</v>
      </c>
      <c r="BJ56" s="35" t="str">
        <f>IF(文書番号="","",文書番号)</f>
        <v>XX-XX-9999</v>
      </c>
    </row>
    <row r="57" spans="1:62" ht="11.25" customHeight="1" thickBot="1">
      <c r="A57" s="381" t="s">
        <v>10</v>
      </c>
      <c r="B57" s="382"/>
      <c r="C57" s="382"/>
      <c r="D57" s="382"/>
      <c r="E57" s="382"/>
      <c r="F57" s="383"/>
      <c r="G57" s="390" t="s">
        <v>101</v>
      </c>
      <c r="H57" s="388"/>
      <c r="I57" s="388"/>
      <c r="J57" s="388"/>
      <c r="K57" s="388"/>
      <c r="L57" s="388"/>
      <c r="M57" s="388"/>
      <c r="N57" s="388"/>
      <c r="O57" s="388"/>
      <c r="P57" s="388"/>
      <c r="Q57" s="388"/>
      <c r="R57" s="389"/>
      <c r="S57" s="1" t="s">
        <v>58</v>
      </c>
      <c r="BA57" s="380"/>
      <c r="BB57" s="145" t="s">
        <v>13</v>
      </c>
      <c r="BC57" s="146" t="str">
        <f>IF(機能ID="","",機能ID)</f>
        <v>MSBCBA0040</v>
      </c>
      <c r="BD57" s="147" t="s">
        <v>6</v>
      </c>
      <c r="BE57" s="23" t="str">
        <f>IF(機能名="","",機能名)</f>
        <v>納期回答作成バッチ</v>
      </c>
      <c r="BF57" s="23"/>
      <c r="BG57" s="23"/>
      <c r="BH57" s="147" t="s">
        <v>151</v>
      </c>
      <c r="BI57" s="148" t="str">
        <f>IF(Rev="","",Rev)</f>
        <v>r02.00</v>
      </c>
      <c r="BJ57" s="68"/>
    </row>
    <row r="58" spans="1:62" ht="11.25" customHeight="1" thickBot="1">
      <c r="A58" s="381" t="s">
        <v>18</v>
      </c>
      <c r="B58" s="382"/>
      <c r="C58" s="382"/>
      <c r="D58" s="382"/>
      <c r="E58" s="382"/>
      <c r="F58" s="383"/>
      <c r="G58" s="394">
        <f>来歴!E6</f>
        <v>42902</v>
      </c>
      <c r="H58" s="388"/>
      <c r="I58" s="388"/>
      <c r="J58" s="388"/>
      <c r="K58" s="388"/>
      <c r="L58" s="388"/>
      <c r="M58" s="388"/>
      <c r="N58" s="388"/>
      <c r="O58" s="388"/>
      <c r="P58" s="388"/>
      <c r="Q58" s="388"/>
      <c r="R58" s="389"/>
      <c r="S58" s="1" t="s">
        <v>58</v>
      </c>
      <c r="BA58" s="149"/>
    </row>
    <row r="59" spans="1:62" ht="11.25" customHeight="1">
      <c r="A59" s="381" t="s">
        <v>11</v>
      </c>
      <c r="B59" s="382"/>
      <c r="C59" s="382"/>
      <c r="D59" s="382"/>
      <c r="E59" s="382"/>
      <c r="F59" s="383"/>
      <c r="G59" s="394">
        <f>IF(VLOOKUP(MAXA(来歴!A6:A46),来歴!A6:F46,5)="","",VLOOKUP(MAXA(来歴!A6:A46),来歴!A6:F46,5))</f>
        <v>43007</v>
      </c>
      <c r="H59" s="388"/>
      <c r="I59" s="388"/>
      <c r="J59" s="388"/>
      <c r="K59" s="388"/>
      <c r="L59" s="388"/>
      <c r="M59" s="388"/>
      <c r="N59" s="388"/>
      <c r="O59" s="388"/>
      <c r="P59" s="388"/>
      <c r="Q59" s="388"/>
      <c r="R59" s="389"/>
      <c r="S59" s="1" t="s">
        <v>58</v>
      </c>
      <c r="BA59" s="378" t="s">
        <v>190</v>
      </c>
      <c r="BB59" s="136" t="s">
        <v>2</v>
      </c>
      <c r="BC59" s="137" t="str">
        <f>IF(顧客名="","",顧客名)</f>
        <v>株式会社XXXX殿</v>
      </c>
      <c r="BD59" s="138" t="s">
        <v>7</v>
      </c>
      <c r="BE59" s="137" t="str">
        <f>IF(システム="","",システム)</f>
        <v>mcframe7</v>
      </c>
      <c r="BF59" s="138" t="s">
        <v>17</v>
      </c>
      <c r="BG59" s="137" t="str">
        <f>IF(作成者="","",作成者)</f>
        <v>XX</v>
      </c>
      <c r="BH59" s="138" t="s">
        <v>18</v>
      </c>
      <c r="BI59" s="139">
        <f>IF(作成日="","",作成日)</f>
        <v>42902</v>
      </c>
      <c r="BJ59" s="140" t="s">
        <v>0</v>
      </c>
    </row>
    <row r="60" spans="1:62" ht="11.25" customHeight="1">
      <c r="A60" s="381" t="s">
        <v>19</v>
      </c>
      <c r="B60" s="382"/>
      <c r="C60" s="382"/>
      <c r="D60" s="382"/>
      <c r="E60" s="382"/>
      <c r="F60" s="383"/>
      <c r="G60" s="384" t="str">
        <f>IF(VLOOKUP(MAXA(来歴!A6:A46),来歴!A6:F46,2)="","",VLOOKUP(MAXA(来歴!A6:A46),来歴!A6:F46,2))</f>
        <v>r02.00</v>
      </c>
      <c r="H60" s="385"/>
      <c r="I60" s="385"/>
      <c r="J60" s="385"/>
      <c r="K60" s="385"/>
      <c r="L60" s="385"/>
      <c r="M60" s="385"/>
      <c r="N60" s="385"/>
      <c r="O60" s="385"/>
      <c r="P60" s="385"/>
      <c r="Q60" s="385"/>
      <c r="R60" s="386"/>
      <c r="S60" s="1" t="s">
        <v>58</v>
      </c>
      <c r="BA60" s="379"/>
      <c r="BB60" s="141" t="s">
        <v>49</v>
      </c>
      <c r="BC60" s="142" t="str">
        <f>IF(プロジェクト名="","",プロジェクト名)</f>
        <v>新基幹システム構築プロジェクト</v>
      </c>
      <c r="BD60" s="143" t="s">
        <v>16</v>
      </c>
      <c r="BE60" s="142" t="str">
        <f>IF(サブシステム="","",サブシステム)</f>
        <v>SCM</v>
      </c>
      <c r="BF60" s="143" t="s">
        <v>10</v>
      </c>
      <c r="BG60" s="142" t="str">
        <f>IF(修正者="","",修正者)</f>
        <v>XX</v>
      </c>
      <c r="BH60" s="143" t="s">
        <v>11</v>
      </c>
      <c r="BI60" s="144">
        <f>IF(修正日="","",修正日)</f>
        <v>43007</v>
      </c>
      <c r="BJ60" s="35" t="str">
        <f>IF(文書番号="","",文書番号)</f>
        <v>XX-XX-9999</v>
      </c>
    </row>
    <row r="61" spans="1:62" ht="11.25" customHeight="1" thickBot="1">
      <c r="A61" s="381" t="s">
        <v>0</v>
      </c>
      <c r="B61" s="382"/>
      <c r="C61" s="382"/>
      <c r="D61" s="382"/>
      <c r="E61" s="382"/>
      <c r="F61" s="383"/>
      <c r="G61" s="390" t="s">
        <v>106</v>
      </c>
      <c r="H61" s="388"/>
      <c r="I61" s="388"/>
      <c r="J61" s="388"/>
      <c r="K61" s="388"/>
      <c r="L61" s="388"/>
      <c r="M61" s="388"/>
      <c r="N61" s="388"/>
      <c r="O61" s="388"/>
      <c r="P61" s="388"/>
      <c r="Q61" s="388"/>
      <c r="R61" s="389"/>
      <c r="BA61" s="380"/>
      <c r="BB61" s="145" t="s">
        <v>13</v>
      </c>
      <c r="BC61" s="146" t="str">
        <f>IF(機能ID="","",機能ID)</f>
        <v>MSBCBA0040</v>
      </c>
      <c r="BD61" s="147" t="s">
        <v>6</v>
      </c>
      <c r="BE61" s="23" t="str">
        <f>IF(機能名="","",機能名)</f>
        <v>納期回答作成バッチ</v>
      </c>
      <c r="BF61" s="23"/>
      <c r="BG61" s="23"/>
      <c r="BH61" s="147" t="s">
        <v>151</v>
      </c>
      <c r="BI61" s="148" t="str">
        <f>IF(Rev="","",Rev)</f>
        <v>r02.00</v>
      </c>
      <c r="BJ61" s="68"/>
    </row>
    <row r="62" spans="1:62" ht="11.25" customHeight="1" thickBot="1">
      <c r="BA62" s="149"/>
    </row>
    <row r="63" spans="1:62">
      <c r="BA63" s="378" t="s">
        <v>171</v>
      </c>
      <c r="BB63" s="136" t="s">
        <v>2</v>
      </c>
      <c r="BC63" s="137" t="str">
        <f>IF(顧客名="","",顧客名)</f>
        <v>株式会社XXXX殿</v>
      </c>
      <c r="BD63" s="138" t="s">
        <v>7</v>
      </c>
      <c r="BE63" s="137" t="str">
        <f>IF(システム="","",システム)</f>
        <v>mcframe7</v>
      </c>
      <c r="BF63" s="138" t="s">
        <v>17</v>
      </c>
      <c r="BG63" s="137" t="str">
        <f>IF(作成者="","",作成者)</f>
        <v>XX</v>
      </c>
      <c r="BH63" s="138" t="s">
        <v>18</v>
      </c>
      <c r="BI63" s="139">
        <f>IF(作成日="","",作成日)</f>
        <v>42902</v>
      </c>
      <c r="BJ63" s="140" t="s">
        <v>0</v>
      </c>
    </row>
    <row r="64" spans="1:62">
      <c r="BA64" s="379"/>
      <c r="BB64" s="141" t="s">
        <v>49</v>
      </c>
      <c r="BC64" s="142" t="str">
        <f>IF(プロジェクト名="","",プロジェクト名)</f>
        <v>新基幹システム構築プロジェクト</v>
      </c>
      <c r="BD64" s="143" t="s">
        <v>153</v>
      </c>
      <c r="BE64" s="142" t="str">
        <f>IF(サブシステム="","",サブシステム)</f>
        <v>SCM</v>
      </c>
      <c r="BF64" s="143" t="s">
        <v>10</v>
      </c>
      <c r="BG64" s="142" t="str">
        <f>IF(修正者="","",修正者)</f>
        <v>XX</v>
      </c>
      <c r="BH64" s="143" t="s">
        <v>11</v>
      </c>
      <c r="BI64" s="144">
        <f>IF(修正日="","",修正日)</f>
        <v>43007</v>
      </c>
      <c r="BJ64" s="35" t="str">
        <f>IF(文書番号="","",文書番号)</f>
        <v>XX-XX-9999</v>
      </c>
    </row>
    <row r="65" spans="53:62" ht="12.75" thickBot="1">
      <c r="BA65" s="380"/>
      <c r="BB65" s="145" t="s">
        <v>13</v>
      </c>
      <c r="BC65" s="146" t="str">
        <f>IF(機能ID="","",機能ID)</f>
        <v>MSBCBA0040</v>
      </c>
      <c r="BD65" s="147" t="s">
        <v>6</v>
      </c>
      <c r="BE65" s="23" t="str">
        <f>IF(機能名="","",機能名)</f>
        <v>納期回答作成バッチ</v>
      </c>
      <c r="BF65" s="23"/>
      <c r="BG65" s="23"/>
      <c r="BH65" s="147" t="s">
        <v>151</v>
      </c>
      <c r="BI65" s="148" t="str">
        <f>IF(Rev="","",Rev)</f>
        <v>r02.00</v>
      </c>
      <c r="BJ65" s="68"/>
    </row>
    <row r="66" spans="53:62" ht="12.75" thickBot="1"/>
    <row r="67" spans="53:62">
      <c r="BA67" s="378" t="s">
        <v>196</v>
      </c>
      <c r="BB67" s="136" t="s">
        <v>2</v>
      </c>
      <c r="BC67" s="137" t="str">
        <f>IF(顧客名="","",顧客名)</f>
        <v>株式会社XXXX殿</v>
      </c>
      <c r="BD67" s="138" t="s">
        <v>7</v>
      </c>
      <c r="BE67" s="137" t="str">
        <f>IF(システム="","",システム)</f>
        <v>mcframe7</v>
      </c>
      <c r="BF67" s="138" t="s">
        <v>17</v>
      </c>
      <c r="BG67" s="137" t="str">
        <f>IF(作成者="","",作成者)</f>
        <v>XX</v>
      </c>
      <c r="BH67" s="138" t="s">
        <v>18</v>
      </c>
      <c r="BI67" s="139">
        <f>IF(作成日="","",作成日)</f>
        <v>42902</v>
      </c>
      <c r="BJ67" s="140" t="s">
        <v>0</v>
      </c>
    </row>
    <row r="68" spans="53:62">
      <c r="BA68" s="379"/>
      <c r="BB68" s="141" t="s">
        <v>49</v>
      </c>
      <c r="BC68" s="142" t="str">
        <f>IF(プロジェクト名="","",プロジェクト名)</f>
        <v>新基幹システム構築プロジェクト</v>
      </c>
      <c r="BD68" s="143" t="s">
        <v>16</v>
      </c>
      <c r="BE68" s="142" t="str">
        <f>IF(サブシステム="","",サブシステム)</f>
        <v>SCM</v>
      </c>
      <c r="BF68" s="143" t="s">
        <v>10</v>
      </c>
      <c r="BG68" s="142" t="str">
        <f>IF(修正者="","",修正者)</f>
        <v>XX</v>
      </c>
      <c r="BH68" s="143" t="s">
        <v>11</v>
      </c>
      <c r="BI68" s="144">
        <f>IF(修正日="","",修正日)</f>
        <v>43007</v>
      </c>
      <c r="BJ68" s="35" t="str">
        <f>IF(文書番号="","",文書番号)</f>
        <v>XX-XX-9999</v>
      </c>
    </row>
    <row r="69" spans="53:62" ht="12.75" thickBot="1">
      <c r="BA69" s="380"/>
      <c r="BB69" s="145" t="s">
        <v>13</v>
      </c>
      <c r="BC69" s="146" t="str">
        <f>IF(機能ID="","",機能ID)</f>
        <v>MSBCBA0040</v>
      </c>
      <c r="BD69" s="147" t="s">
        <v>6</v>
      </c>
      <c r="BE69" s="23" t="str">
        <f>IF(機能名="","",機能名)</f>
        <v>納期回答作成バッチ</v>
      </c>
      <c r="BF69" s="23"/>
      <c r="BG69" s="23"/>
      <c r="BH69" s="147" t="s">
        <v>151</v>
      </c>
      <c r="BI69" s="148" t="str">
        <f>IF(Rev="","",Rev)</f>
        <v>r02.00</v>
      </c>
      <c r="BJ69" s="68"/>
    </row>
    <row r="70" spans="53:62" ht="12.75" thickBot="1"/>
    <row r="71" spans="53:62">
      <c r="BA71" s="378" t="s">
        <v>229</v>
      </c>
      <c r="BB71" s="136" t="s">
        <v>2</v>
      </c>
      <c r="BC71" s="137" t="str">
        <f>IF(顧客名="","",顧客名)</f>
        <v>株式会社XXXX殿</v>
      </c>
      <c r="BD71" s="138" t="s">
        <v>7</v>
      </c>
      <c r="BE71" s="137" t="str">
        <f>IF(システム="","",システム)</f>
        <v>mcframe7</v>
      </c>
      <c r="BF71" s="138" t="s">
        <v>17</v>
      </c>
      <c r="BG71" s="137" t="str">
        <f>IF(作成者="","",作成者)</f>
        <v>XX</v>
      </c>
      <c r="BH71" s="138" t="s">
        <v>18</v>
      </c>
      <c r="BI71" s="139">
        <f>IF(作成日="","",作成日)</f>
        <v>42902</v>
      </c>
      <c r="BJ71" s="140" t="s">
        <v>0</v>
      </c>
    </row>
    <row r="72" spans="53:62">
      <c r="BA72" s="379"/>
      <c r="BB72" s="141" t="s">
        <v>49</v>
      </c>
      <c r="BC72" s="142" t="str">
        <f>IF(プロジェクト名="","",プロジェクト名)</f>
        <v>新基幹システム構築プロジェクト</v>
      </c>
      <c r="BD72" s="143" t="s">
        <v>16</v>
      </c>
      <c r="BE72" s="142" t="str">
        <f>IF(サブシステム="","",サブシステム)</f>
        <v>SCM</v>
      </c>
      <c r="BF72" s="143" t="s">
        <v>10</v>
      </c>
      <c r="BG72" s="142" t="str">
        <f>IF(修正者="","",修正者)</f>
        <v>XX</v>
      </c>
      <c r="BH72" s="143" t="s">
        <v>11</v>
      </c>
      <c r="BI72" s="144">
        <f>IF(修正日="","",修正日)</f>
        <v>43007</v>
      </c>
      <c r="BJ72" s="35" t="str">
        <f>IF(文書番号="","",文書番号)</f>
        <v>XX-XX-9999</v>
      </c>
    </row>
    <row r="73" spans="53:62" ht="12.75" thickBot="1">
      <c r="BA73" s="380"/>
      <c r="BB73" s="145" t="s">
        <v>13</v>
      </c>
      <c r="BC73" s="146" t="str">
        <f>IF(機能ID="","",機能ID)</f>
        <v>MSBCBA0040</v>
      </c>
      <c r="BD73" s="147" t="s">
        <v>6</v>
      </c>
      <c r="BE73" s="23" t="str">
        <f>IF(機能名="","",機能名)</f>
        <v>納期回答作成バッチ</v>
      </c>
      <c r="BF73" s="23"/>
      <c r="BG73" s="23"/>
      <c r="BH73" s="147" t="s">
        <v>151</v>
      </c>
      <c r="BI73" s="148" t="str">
        <f>IF(Rev="","",Rev)</f>
        <v>r02.00</v>
      </c>
      <c r="BJ73" s="68"/>
    </row>
  </sheetData>
  <mergeCells count="54">
    <mergeCell ref="BA67:BA69"/>
    <mergeCell ref="BA59:BA61"/>
    <mergeCell ref="BA63:BA65"/>
    <mergeCell ref="A49:F49"/>
    <mergeCell ref="G49:R49"/>
    <mergeCell ref="A51:F51"/>
    <mergeCell ref="G51:R51"/>
    <mergeCell ref="A50:F50"/>
    <mergeCell ref="G50:R50"/>
    <mergeCell ref="G53:R53"/>
    <mergeCell ref="A61:F61"/>
    <mergeCell ref="G61:R61"/>
    <mergeCell ref="G56:R56"/>
    <mergeCell ref="A56:F56"/>
    <mergeCell ref="G59:R59"/>
    <mergeCell ref="A57:F57"/>
    <mergeCell ref="V31:AG31"/>
    <mergeCell ref="P29:U29"/>
    <mergeCell ref="V29:AA29"/>
    <mergeCell ref="AB29:AG29"/>
    <mergeCell ref="P30:U30"/>
    <mergeCell ref="V30:AG30"/>
    <mergeCell ref="A59:F59"/>
    <mergeCell ref="BA47:BA49"/>
    <mergeCell ref="BA51:BA53"/>
    <mergeCell ref="BA55:BA57"/>
    <mergeCell ref="AR3:AW4"/>
    <mergeCell ref="AF5:AK6"/>
    <mergeCell ref="AL5:AQ6"/>
    <mergeCell ref="AR5:AW6"/>
    <mergeCell ref="AF3:AK4"/>
    <mergeCell ref="AL3:AQ4"/>
    <mergeCell ref="G57:R57"/>
    <mergeCell ref="P27:U27"/>
    <mergeCell ref="V27:AG27"/>
    <mergeCell ref="P28:U28"/>
    <mergeCell ref="V28:AG28"/>
    <mergeCell ref="P31:U31"/>
    <mergeCell ref="BA71:BA73"/>
    <mergeCell ref="A60:F60"/>
    <mergeCell ref="G60:R60"/>
    <mergeCell ref="A47:F47"/>
    <mergeCell ref="G47:R47"/>
    <mergeCell ref="A48:F48"/>
    <mergeCell ref="G48:R48"/>
    <mergeCell ref="A55:F55"/>
    <mergeCell ref="G55:R55"/>
    <mergeCell ref="A52:F52"/>
    <mergeCell ref="A54:F54"/>
    <mergeCell ref="G54:R54"/>
    <mergeCell ref="G52:R52"/>
    <mergeCell ref="A53:F53"/>
    <mergeCell ref="A58:F58"/>
    <mergeCell ref="G58:R58"/>
  </mergeCells>
  <phoneticPr fontId="2"/>
  <pageMargins left="0.39370078740157483" right="0.39370078740157483" top="0.51181102362204722" bottom="0.51181102362204722" header="0.31496062992125984" footer="0.31496062992125984"/>
  <pageSetup paperSize="9" fitToHeight="0" orientation="landscape" horizontalDpi="200" verticalDpi="200" r:id="rId1"/>
  <headerFooter alignWithMargins="0"/>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99"/>
    <pageSetUpPr fitToPage="1"/>
  </sheetPr>
  <dimension ref="A1:F46"/>
  <sheetViews>
    <sheetView showGridLines="0" zoomScaleNormal="100" zoomScaleSheetLayoutView="90" workbookViewId="0">
      <selection activeCell="AV14" sqref="AV14"/>
    </sheetView>
  </sheetViews>
  <sheetFormatPr defaultColWidth="9.33203125" defaultRowHeight="12"/>
  <cols>
    <col min="1" max="1" width="3.33203125" style="4" customWidth="1"/>
    <col min="2" max="2" width="10" style="4" customWidth="1"/>
    <col min="3" max="3" width="103.33203125" style="4" customWidth="1"/>
    <col min="4" max="5" width="13.33203125" style="4" customWidth="1"/>
    <col min="6" max="6" width="23.33203125" style="4" customWidth="1"/>
    <col min="7" max="7" width="1.83203125" style="4" customWidth="1"/>
    <col min="8" max="16384" width="9.33203125" style="4"/>
  </cols>
  <sheetData>
    <row r="1" spans="1:6" ht="12" customHeight="1"/>
    <row r="2" spans="1:6" ht="12" customHeight="1"/>
    <row r="3" spans="1:6" ht="12.75" customHeight="1"/>
    <row r="4" spans="1:6" ht="12.75" thickBot="1"/>
    <row r="5" spans="1:6" ht="12.75" thickBot="1">
      <c r="A5" s="153" t="s">
        <v>59</v>
      </c>
      <c r="B5" s="152" t="s">
        <v>151</v>
      </c>
      <c r="C5" s="108" t="s">
        <v>24</v>
      </c>
      <c r="D5" s="114" t="s">
        <v>25</v>
      </c>
      <c r="E5" s="108" t="s">
        <v>26</v>
      </c>
      <c r="F5" s="114" t="s">
        <v>27</v>
      </c>
    </row>
    <row r="6" spans="1:6" ht="12.75" thickTop="1">
      <c r="A6" s="69">
        <v>1</v>
      </c>
      <c r="B6" s="151" t="s">
        <v>157</v>
      </c>
      <c r="C6" s="109" t="s">
        <v>60</v>
      </c>
      <c r="D6" s="113" t="s">
        <v>162</v>
      </c>
      <c r="E6" s="260">
        <v>42902</v>
      </c>
      <c r="F6" s="264"/>
    </row>
    <row r="7" spans="1:6">
      <c r="A7" s="70">
        <v>2</v>
      </c>
      <c r="B7" s="106" t="s">
        <v>158</v>
      </c>
      <c r="C7" s="107" t="s">
        <v>83</v>
      </c>
      <c r="D7" s="112" t="s">
        <v>162</v>
      </c>
      <c r="E7" s="261">
        <v>42950</v>
      </c>
      <c r="F7" s="265"/>
    </row>
    <row r="8" spans="1:6">
      <c r="A8" s="70">
        <v>3</v>
      </c>
      <c r="B8" s="106" t="s">
        <v>159</v>
      </c>
      <c r="C8" s="150" t="s">
        <v>84</v>
      </c>
      <c r="D8" s="112" t="s">
        <v>162</v>
      </c>
      <c r="E8" s="261">
        <v>42978</v>
      </c>
      <c r="F8" s="265"/>
    </row>
    <row r="9" spans="1:6">
      <c r="A9" s="70">
        <v>4</v>
      </c>
      <c r="B9" s="106" t="s">
        <v>160</v>
      </c>
      <c r="C9" s="150" t="s">
        <v>98</v>
      </c>
      <c r="D9" s="112" t="s">
        <v>162</v>
      </c>
      <c r="E9" s="261">
        <v>43000</v>
      </c>
      <c r="F9" s="265"/>
    </row>
    <row r="10" spans="1:6" ht="12.75" customHeight="1">
      <c r="A10" s="70">
        <v>5</v>
      </c>
      <c r="B10" s="106" t="s">
        <v>161</v>
      </c>
      <c r="C10" s="107" t="s">
        <v>103</v>
      </c>
      <c r="D10" s="112" t="s">
        <v>162</v>
      </c>
      <c r="E10" s="261">
        <v>43007</v>
      </c>
      <c r="F10" s="265"/>
    </row>
    <row r="11" spans="1:6">
      <c r="A11" s="70"/>
      <c r="B11" s="106"/>
      <c r="C11" s="107"/>
      <c r="D11" s="110"/>
      <c r="E11" s="261"/>
      <c r="F11" s="265"/>
    </row>
    <row r="12" spans="1:6">
      <c r="A12" s="70"/>
      <c r="B12" s="106"/>
      <c r="C12" s="107"/>
      <c r="D12" s="110"/>
      <c r="E12" s="261"/>
      <c r="F12" s="265"/>
    </row>
    <row r="13" spans="1:6">
      <c r="A13" s="70"/>
      <c r="B13" s="106"/>
      <c r="C13" s="107"/>
      <c r="D13" s="110"/>
      <c r="E13" s="261"/>
      <c r="F13" s="265"/>
    </row>
    <row r="14" spans="1:6" ht="12.75" customHeight="1">
      <c r="A14" s="70"/>
      <c r="B14" s="106"/>
      <c r="C14" s="107"/>
      <c r="D14" s="110"/>
      <c r="E14" s="261"/>
      <c r="F14" s="265"/>
    </row>
    <row r="15" spans="1:6">
      <c r="A15" s="70"/>
      <c r="B15" s="106"/>
      <c r="C15" s="107"/>
      <c r="D15" s="110"/>
      <c r="E15" s="261"/>
      <c r="F15" s="265"/>
    </row>
    <row r="16" spans="1:6">
      <c r="A16" s="70"/>
      <c r="B16" s="106"/>
      <c r="C16" s="107"/>
      <c r="D16" s="110"/>
      <c r="E16" s="261"/>
      <c r="F16" s="265"/>
    </row>
    <row r="17" spans="1:6">
      <c r="A17" s="70"/>
      <c r="B17" s="106"/>
      <c r="C17" s="107"/>
      <c r="D17" s="110"/>
      <c r="E17" s="262"/>
      <c r="F17" s="265"/>
    </row>
    <row r="18" spans="1:6">
      <c r="A18" s="70"/>
      <c r="B18" s="106"/>
      <c r="C18" s="107"/>
      <c r="D18" s="110"/>
      <c r="E18" s="262"/>
      <c r="F18" s="265"/>
    </row>
    <row r="19" spans="1:6">
      <c r="A19" s="70"/>
      <c r="B19" s="106"/>
      <c r="C19" s="107"/>
      <c r="D19" s="110"/>
      <c r="E19" s="262"/>
      <c r="F19" s="265"/>
    </row>
    <row r="20" spans="1:6">
      <c r="A20" s="70"/>
      <c r="B20" s="106"/>
      <c r="C20" s="107"/>
      <c r="D20" s="110"/>
      <c r="E20" s="262"/>
      <c r="F20" s="265"/>
    </row>
    <row r="21" spans="1:6">
      <c r="A21" s="70"/>
      <c r="B21" s="106"/>
      <c r="C21" s="107"/>
      <c r="D21" s="110"/>
      <c r="E21" s="262"/>
      <c r="F21" s="265"/>
    </row>
    <row r="22" spans="1:6">
      <c r="A22" s="70"/>
      <c r="B22" s="106"/>
      <c r="C22" s="107"/>
      <c r="D22" s="110"/>
      <c r="E22" s="262"/>
      <c r="F22" s="265"/>
    </row>
    <row r="23" spans="1:6">
      <c r="A23" s="70"/>
      <c r="B23" s="106"/>
      <c r="C23" s="107"/>
      <c r="D23" s="110"/>
      <c r="E23" s="262"/>
      <c r="F23" s="265"/>
    </row>
    <row r="24" spans="1:6">
      <c r="A24" s="70"/>
      <c r="B24" s="106"/>
      <c r="C24" s="107"/>
      <c r="D24" s="110"/>
      <c r="E24" s="262"/>
      <c r="F24" s="265"/>
    </row>
    <row r="25" spans="1:6">
      <c r="A25" s="70"/>
      <c r="B25" s="106"/>
      <c r="C25" s="107"/>
      <c r="D25" s="110"/>
      <c r="E25" s="262"/>
      <c r="F25" s="265"/>
    </row>
    <row r="26" spans="1:6">
      <c r="A26" s="70"/>
      <c r="B26" s="106"/>
      <c r="C26" s="107"/>
      <c r="D26" s="110"/>
      <c r="E26" s="262"/>
      <c r="F26" s="265"/>
    </row>
    <row r="27" spans="1:6">
      <c r="A27" s="70"/>
      <c r="B27" s="106"/>
      <c r="C27" s="107"/>
      <c r="D27" s="110"/>
      <c r="E27" s="262"/>
      <c r="F27" s="265"/>
    </row>
    <row r="28" spans="1:6">
      <c r="A28" s="70"/>
      <c r="B28" s="106"/>
      <c r="C28" s="107"/>
      <c r="D28" s="110"/>
      <c r="E28" s="262"/>
      <c r="F28" s="265"/>
    </row>
    <row r="29" spans="1:6">
      <c r="A29" s="70"/>
      <c r="B29" s="106"/>
      <c r="C29" s="107"/>
      <c r="D29" s="110"/>
      <c r="E29" s="262"/>
      <c r="F29" s="265"/>
    </row>
    <row r="30" spans="1:6">
      <c r="A30" s="70"/>
      <c r="B30" s="106"/>
      <c r="C30" s="107"/>
      <c r="D30" s="110"/>
      <c r="E30" s="262"/>
      <c r="F30" s="265"/>
    </row>
    <row r="31" spans="1:6">
      <c r="A31" s="70"/>
      <c r="B31" s="106"/>
      <c r="C31" s="107"/>
      <c r="D31" s="110"/>
      <c r="E31" s="262"/>
      <c r="F31" s="265"/>
    </row>
    <row r="32" spans="1:6">
      <c r="A32" s="70"/>
      <c r="B32" s="106"/>
      <c r="C32" s="107"/>
      <c r="D32" s="110"/>
      <c r="E32" s="262"/>
      <c r="F32" s="265"/>
    </row>
    <row r="33" spans="1:6">
      <c r="A33" s="70"/>
      <c r="B33" s="106"/>
      <c r="C33" s="107"/>
      <c r="D33" s="110"/>
      <c r="E33" s="262"/>
      <c r="F33" s="265"/>
    </row>
    <row r="34" spans="1:6">
      <c r="A34" s="70"/>
      <c r="B34" s="106"/>
      <c r="C34" s="107"/>
      <c r="D34" s="110"/>
      <c r="E34" s="262"/>
      <c r="F34" s="265"/>
    </row>
    <row r="35" spans="1:6">
      <c r="A35" s="70"/>
      <c r="B35" s="106"/>
      <c r="C35" s="107"/>
      <c r="D35" s="110"/>
      <c r="E35" s="262"/>
      <c r="F35" s="265"/>
    </row>
    <row r="36" spans="1:6">
      <c r="A36" s="70"/>
      <c r="B36" s="106"/>
      <c r="C36" s="107"/>
      <c r="D36" s="110"/>
      <c r="E36" s="262"/>
      <c r="F36" s="265"/>
    </row>
    <row r="37" spans="1:6">
      <c r="A37" s="70"/>
      <c r="B37" s="106"/>
      <c r="C37" s="107"/>
      <c r="D37" s="110"/>
      <c r="E37" s="262"/>
      <c r="F37" s="265"/>
    </row>
    <row r="38" spans="1:6">
      <c r="A38" s="70"/>
      <c r="B38" s="106"/>
      <c r="C38" s="107"/>
      <c r="D38" s="110"/>
      <c r="E38" s="262"/>
      <c r="F38" s="265"/>
    </row>
    <row r="39" spans="1:6">
      <c r="A39" s="70"/>
      <c r="B39" s="106"/>
      <c r="C39" s="107"/>
      <c r="D39" s="110"/>
      <c r="E39" s="262"/>
      <c r="F39" s="265"/>
    </row>
    <row r="40" spans="1:6">
      <c r="A40" s="70"/>
      <c r="B40" s="106"/>
      <c r="C40" s="107"/>
      <c r="D40" s="110"/>
      <c r="E40" s="262"/>
      <c r="F40" s="265"/>
    </row>
    <row r="41" spans="1:6">
      <c r="A41" s="70"/>
      <c r="B41" s="106"/>
      <c r="C41" s="107"/>
      <c r="D41" s="110"/>
      <c r="E41" s="262"/>
      <c r="F41" s="265"/>
    </row>
    <row r="42" spans="1:6">
      <c r="A42" s="70"/>
      <c r="B42" s="106"/>
      <c r="C42" s="107"/>
      <c r="D42" s="110"/>
      <c r="E42" s="262"/>
      <c r="F42" s="265"/>
    </row>
    <row r="43" spans="1:6">
      <c r="A43" s="70"/>
      <c r="B43" s="106"/>
      <c r="C43" s="107"/>
      <c r="D43" s="110"/>
      <c r="E43" s="262"/>
      <c r="F43" s="265"/>
    </row>
    <row r="44" spans="1:6">
      <c r="A44" s="70"/>
      <c r="B44" s="106"/>
      <c r="C44" s="107"/>
      <c r="D44" s="110"/>
      <c r="E44" s="262"/>
      <c r="F44" s="265"/>
    </row>
    <row r="45" spans="1:6">
      <c r="A45" s="70"/>
      <c r="B45" s="106"/>
      <c r="C45" s="107"/>
      <c r="D45" s="110"/>
      <c r="E45" s="262"/>
      <c r="F45" s="265"/>
    </row>
    <row r="46" spans="1:6" ht="12.75" thickBot="1">
      <c r="A46" s="71"/>
      <c r="B46" s="104"/>
      <c r="C46" s="105"/>
      <c r="D46" s="111"/>
      <c r="E46" s="263"/>
      <c r="F46" s="266"/>
    </row>
  </sheetData>
  <phoneticPr fontId="2"/>
  <dataValidations count="1">
    <dataValidation imeMode="off" allowBlank="1" showInputMessage="1" showErrorMessage="1" sqref="E6:E46 A6:B46"/>
  </dataValidations>
  <pageMargins left="0.39370078740157483" right="0.39370078740157483" top="0.51181102362204722" bottom="0.51181102362204722" header="0.31496062992125984" footer="0.31496062992125984"/>
  <pageSetup paperSize="9" fitToHeight="0" orientation="landscape" horizontalDpi="200" verticalDpi="200" r:id="rId1"/>
  <headerFooter alignWithMargins="0">
    <oddFooter>&amp;L&amp;A&amp;C&amp;P/&amp;N&amp;R©Toyo Business Engineering Corp.(B-EN-G) / Confidential</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99"/>
    <pageSetUpPr fitToPage="1"/>
  </sheetPr>
  <dimension ref="A1:I47"/>
  <sheetViews>
    <sheetView showGridLines="0" zoomScaleNormal="100" zoomScaleSheetLayoutView="90" workbookViewId="0">
      <selection activeCell="C22" sqref="C22"/>
    </sheetView>
  </sheetViews>
  <sheetFormatPr defaultColWidth="9.33203125" defaultRowHeight="12"/>
  <cols>
    <col min="1" max="1" width="10" style="4" customWidth="1"/>
    <col min="2" max="2" width="13.33203125" style="4" customWidth="1"/>
    <col min="3" max="3" width="53.33203125" style="4" customWidth="1"/>
    <col min="4" max="8" width="13.33203125" style="4" customWidth="1"/>
    <col min="9" max="9" width="23.33203125" style="4" customWidth="1"/>
    <col min="10" max="16384" width="9.33203125" style="4"/>
  </cols>
  <sheetData>
    <row r="1" spans="1:9" ht="12" customHeight="1"/>
    <row r="2" spans="1:9" ht="12" customHeight="1"/>
    <row r="3" spans="1:9" ht="12.75" customHeight="1"/>
    <row r="4" spans="1:9" ht="12.75" thickBot="1"/>
    <row r="5" spans="1:9">
      <c r="A5" s="119" t="s">
        <v>154</v>
      </c>
      <c r="B5" s="161" t="s">
        <v>18</v>
      </c>
      <c r="C5" s="314" t="s">
        <v>24</v>
      </c>
      <c r="D5" s="417" t="s">
        <v>69</v>
      </c>
      <c r="E5" s="418"/>
      <c r="F5" s="418"/>
      <c r="G5" s="419" t="s">
        <v>102</v>
      </c>
      <c r="H5" s="420"/>
      <c r="I5" s="421" t="s">
        <v>27</v>
      </c>
    </row>
    <row r="6" spans="1:9" ht="12.75" thickBot="1">
      <c r="A6" s="120"/>
      <c r="B6" s="160"/>
      <c r="C6" s="121"/>
      <c r="D6" s="122" t="s">
        <v>17</v>
      </c>
      <c r="E6" s="122" t="s">
        <v>39</v>
      </c>
      <c r="F6" s="122" t="s">
        <v>40</v>
      </c>
      <c r="G6" s="122" t="s">
        <v>39</v>
      </c>
      <c r="H6" s="267" t="s">
        <v>41</v>
      </c>
      <c r="I6" s="422"/>
    </row>
    <row r="7" spans="1:9" ht="12.75" customHeight="1" thickTop="1">
      <c r="A7" s="162" t="s">
        <v>163</v>
      </c>
      <c r="B7" s="163">
        <v>42978</v>
      </c>
      <c r="C7" s="109" t="s">
        <v>164</v>
      </c>
      <c r="D7" s="164" t="s">
        <v>101</v>
      </c>
      <c r="E7" s="164" t="s">
        <v>165</v>
      </c>
      <c r="F7" s="164" t="s">
        <v>166</v>
      </c>
      <c r="G7" s="164" t="s">
        <v>101</v>
      </c>
      <c r="H7" s="268" t="s">
        <v>101</v>
      </c>
      <c r="I7" s="323"/>
    </row>
    <row r="8" spans="1:9" ht="12.75" customHeight="1">
      <c r="A8" s="159"/>
      <c r="B8" s="158"/>
      <c r="C8" s="157"/>
      <c r="D8" s="156"/>
      <c r="E8" s="156"/>
      <c r="F8" s="156"/>
      <c r="G8" s="156"/>
      <c r="H8" s="269"/>
      <c r="I8" s="324"/>
    </row>
    <row r="9" spans="1:9">
      <c r="A9" s="115"/>
      <c r="B9" s="155"/>
      <c r="C9" s="107"/>
      <c r="D9" s="118"/>
      <c r="E9" s="118"/>
      <c r="F9" s="118"/>
      <c r="G9" s="118"/>
      <c r="H9" s="123"/>
      <c r="I9" s="325"/>
    </row>
    <row r="10" spans="1:9">
      <c r="A10" s="115"/>
      <c r="B10" s="155"/>
      <c r="C10" s="107"/>
      <c r="D10" s="118"/>
      <c r="E10" s="118"/>
      <c r="F10" s="118"/>
      <c r="G10" s="118"/>
      <c r="H10" s="123"/>
      <c r="I10" s="325"/>
    </row>
    <row r="11" spans="1:9">
      <c r="A11" s="115"/>
      <c r="B11" s="155"/>
      <c r="C11" s="107"/>
      <c r="D11" s="118"/>
      <c r="E11" s="118"/>
      <c r="F11" s="118"/>
      <c r="G11" s="118"/>
      <c r="H11" s="123"/>
      <c r="I11" s="325"/>
    </row>
    <row r="12" spans="1:9">
      <c r="A12" s="115"/>
      <c r="B12" s="155"/>
      <c r="C12" s="107"/>
      <c r="D12" s="118"/>
      <c r="E12" s="118"/>
      <c r="F12" s="118"/>
      <c r="G12" s="118"/>
      <c r="H12" s="123"/>
      <c r="I12" s="325"/>
    </row>
    <row r="13" spans="1:9">
      <c r="A13" s="115"/>
      <c r="B13" s="155"/>
      <c r="C13" s="107"/>
      <c r="D13" s="118"/>
      <c r="E13" s="118"/>
      <c r="F13" s="118"/>
      <c r="G13" s="118"/>
      <c r="H13" s="123"/>
      <c r="I13" s="325"/>
    </row>
    <row r="14" spans="1:9">
      <c r="A14" s="115"/>
      <c r="B14" s="155"/>
      <c r="C14" s="107"/>
      <c r="D14" s="118"/>
      <c r="E14" s="118"/>
      <c r="F14" s="118"/>
      <c r="G14" s="118"/>
      <c r="H14" s="123"/>
      <c r="I14" s="325"/>
    </row>
    <row r="15" spans="1:9">
      <c r="A15" s="115"/>
      <c r="B15" s="155"/>
      <c r="C15" s="107"/>
      <c r="D15" s="118"/>
      <c r="E15" s="118"/>
      <c r="F15" s="118"/>
      <c r="G15" s="118"/>
      <c r="H15" s="123"/>
      <c r="I15" s="325"/>
    </row>
    <row r="16" spans="1:9">
      <c r="A16" s="115"/>
      <c r="B16" s="155"/>
      <c r="C16" s="107"/>
      <c r="D16" s="118"/>
      <c r="E16" s="118"/>
      <c r="F16" s="118"/>
      <c r="G16" s="118"/>
      <c r="H16" s="123"/>
      <c r="I16" s="325"/>
    </row>
    <row r="17" spans="1:9">
      <c r="A17" s="115"/>
      <c r="B17" s="155"/>
      <c r="C17" s="107"/>
      <c r="D17" s="118"/>
      <c r="E17" s="118"/>
      <c r="F17" s="118"/>
      <c r="G17" s="118"/>
      <c r="H17" s="123"/>
      <c r="I17" s="325"/>
    </row>
    <row r="18" spans="1:9">
      <c r="A18" s="115"/>
      <c r="B18" s="155"/>
      <c r="C18" s="107"/>
      <c r="D18" s="118"/>
      <c r="E18" s="118"/>
      <c r="F18" s="118"/>
      <c r="G18" s="118"/>
      <c r="H18" s="123"/>
      <c r="I18" s="325"/>
    </row>
    <row r="19" spans="1:9">
      <c r="A19" s="115"/>
      <c r="B19" s="155"/>
      <c r="C19" s="107"/>
      <c r="D19" s="118"/>
      <c r="E19" s="118"/>
      <c r="F19" s="118"/>
      <c r="G19" s="118"/>
      <c r="H19" s="123"/>
      <c r="I19" s="325"/>
    </row>
    <row r="20" spans="1:9">
      <c r="A20" s="115"/>
      <c r="B20" s="155"/>
      <c r="C20" s="107"/>
      <c r="D20" s="118"/>
      <c r="E20" s="118"/>
      <c r="F20" s="118"/>
      <c r="G20" s="118"/>
      <c r="H20" s="123"/>
      <c r="I20" s="325"/>
    </row>
    <row r="21" spans="1:9">
      <c r="A21" s="115"/>
      <c r="B21" s="155"/>
      <c r="C21" s="107"/>
      <c r="D21" s="118"/>
      <c r="E21" s="118"/>
      <c r="F21" s="118"/>
      <c r="G21" s="118"/>
      <c r="H21" s="123"/>
      <c r="I21" s="325"/>
    </row>
    <row r="22" spans="1:9">
      <c r="A22" s="115"/>
      <c r="B22" s="155"/>
      <c r="C22" s="107"/>
      <c r="D22" s="118"/>
      <c r="E22" s="118"/>
      <c r="F22" s="118"/>
      <c r="G22" s="118"/>
      <c r="H22" s="123"/>
      <c r="I22" s="325"/>
    </row>
    <row r="23" spans="1:9">
      <c r="A23" s="115"/>
      <c r="B23" s="155"/>
      <c r="C23" s="107"/>
      <c r="D23" s="118"/>
      <c r="E23" s="118"/>
      <c r="F23" s="118"/>
      <c r="G23" s="118"/>
      <c r="H23" s="123"/>
      <c r="I23" s="325"/>
    </row>
    <row r="24" spans="1:9">
      <c r="A24" s="115"/>
      <c r="B24" s="155"/>
      <c r="C24" s="107"/>
      <c r="D24" s="118"/>
      <c r="E24" s="118"/>
      <c r="F24" s="118"/>
      <c r="G24" s="118"/>
      <c r="H24" s="123"/>
      <c r="I24" s="325"/>
    </row>
    <row r="25" spans="1:9">
      <c r="A25" s="115"/>
      <c r="B25" s="155"/>
      <c r="C25" s="107"/>
      <c r="D25" s="118"/>
      <c r="E25" s="118"/>
      <c r="F25" s="118"/>
      <c r="G25" s="118"/>
      <c r="H25" s="123"/>
      <c r="I25" s="325"/>
    </row>
    <row r="26" spans="1:9">
      <c r="A26" s="115"/>
      <c r="B26" s="155"/>
      <c r="C26" s="107"/>
      <c r="D26" s="118"/>
      <c r="E26" s="118"/>
      <c r="F26" s="118"/>
      <c r="G26" s="118"/>
      <c r="H26" s="123"/>
      <c r="I26" s="325"/>
    </row>
    <row r="27" spans="1:9">
      <c r="A27" s="115"/>
      <c r="B27" s="155"/>
      <c r="C27" s="107"/>
      <c r="D27" s="118"/>
      <c r="E27" s="118"/>
      <c r="F27" s="118"/>
      <c r="G27" s="118"/>
      <c r="H27" s="123"/>
      <c r="I27" s="325"/>
    </row>
    <row r="28" spans="1:9">
      <c r="A28" s="115"/>
      <c r="B28" s="155"/>
      <c r="C28" s="107"/>
      <c r="D28" s="123"/>
      <c r="E28" s="123"/>
      <c r="F28" s="123"/>
      <c r="G28" s="123"/>
      <c r="H28" s="123"/>
      <c r="I28" s="325"/>
    </row>
    <row r="29" spans="1:9">
      <c r="A29" s="115"/>
      <c r="B29" s="155"/>
      <c r="C29" s="107"/>
      <c r="D29" s="118"/>
      <c r="E29" s="118"/>
      <c r="F29" s="118"/>
      <c r="G29" s="118"/>
      <c r="H29" s="123"/>
      <c r="I29" s="325"/>
    </row>
    <row r="30" spans="1:9">
      <c r="A30" s="115"/>
      <c r="B30" s="155"/>
      <c r="C30" s="107"/>
      <c r="D30" s="118"/>
      <c r="E30" s="118"/>
      <c r="F30" s="118"/>
      <c r="G30" s="118"/>
      <c r="H30" s="123"/>
      <c r="I30" s="325"/>
    </row>
    <row r="31" spans="1:9">
      <c r="A31" s="115"/>
      <c r="B31" s="155"/>
      <c r="C31" s="107"/>
      <c r="D31" s="118"/>
      <c r="E31" s="118"/>
      <c r="F31" s="118"/>
      <c r="G31" s="118"/>
      <c r="H31" s="123"/>
      <c r="I31" s="325"/>
    </row>
    <row r="32" spans="1:9">
      <c r="A32" s="115"/>
      <c r="B32" s="155"/>
      <c r="C32" s="107"/>
      <c r="D32" s="118"/>
      <c r="E32" s="118"/>
      <c r="F32" s="118"/>
      <c r="G32" s="118"/>
      <c r="H32" s="123"/>
      <c r="I32" s="325"/>
    </row>
    <row r="33" spans="1:9">
      <c r="A33" s="115"/>
      <c r="B33" s="155"/>
      <c r="C33" s="107"/>
      <c r="D33" s="118"/>
      <c r="E33" s="118"/>
      <c r="F33" s="118"/>
      <c r="G33" s="118"/>
      <c r="H33" s="123"/>
      <c r="I33" s="325"/>
    </row>
    <row r="34" spans="1:9">
      <c r="A34" s="115"/>
      <c r="B34" s="155"/>
      <c r="C34" s="107"/>
      <c r="D34" s="118"/>
      <c r="E34" s="118"/>
      <c r="F34" s="118"/>
      <c r="G34" s="118"/>
      <c r="H34" s="123"/>
      <c r="I34" s="325"/>
    </row>
    <row r="35" spans="1:9">
      <c r="A35" s="115"/>
      <c r="B35" s="155"/>
      <c r="C35" s="107"/>
      <c r="D35" s="118"/>
      <c r="E35" s="118"/>
      <c r="F35" s="118"/>
      <c r="G35" s="118"/>
      <c r="H35" s="123"/>
      <c r="I35" s="325"/>
    </row>
    <row r="36" spans="1:9">
      <c r="A36" s="115"/>
      <c r="B36" s="155"/>
      <c r="C36" s="107"/>
      <c r="D36" s="118"/>
      <c r="E36" s="118"/>
      <c r="F36" s="118"/>
      <c r="G36" s="118"/>
      <c r="H36" s="123"/>
      <c r="I36" s="325"/>
    </row>
    <row r="37" spans="1:9">
      <c r="A37" s="115"/>
      <c r="B37" s="155"/>
      <c r="C37" s="107"/>
      <c r="D37" s="118"/>
      <c r="E37" s="118"/>
      <c r="F37" s="118"/>
      <c r="G37" s="118"/>
      <c r="H37" s="123"/>
      <c r="I37" s="325"/>
    </row>
    <row r="38" spans="1:9">
      <c r="A38" s="115"/>
      <c r="B38" s="155"/>
      <c r="C38" s="107"/>
      <c r="D38" s="118"/>
      <c r="E38" s="118"/>
      <c r="F38" s="118"/>
      <c r="G38" s="118"/>
      <c r="H38" s="123"/>
      <c r="I38" s="325"/>
    </row>
    <row r="39" spans="1:9">
      <c r="A39" s="115"/>
      <c r="B39" s="155"/>
      <c r="C39" s="107"/>
      <c r="D39" s="118"/>
      <c r="E39" s="118"/>
      <c r="F39" s="118"/>
      <c r="G39" s="118"/>
      <c r="H39" s="123"/>
      <c r="I39" s="325"/>
    </row>
    <row r="40" spans="1:9">
      <c r="A40" s="115"/>
      <c r="B40" s="155"/>
      <c r="C40" s="107"/>
      <c r="D40" s="118"/>
      <c r="E40" s="118"/>
      <c r="F40" s="118"/>
      <c r="G40" s="118"/>
      <c r="H40" s="123"/>
      <c r="I40" s="325"/>
    </row>
    <row r="41" spans="1:9">
      <c r="A41" s="115"/>
      <c r="B41" s="155"/>
      <c r="C41" s="107"/>
      <c r="D41" s="118"/>
      <c r="E41" s="118"/>
      <c r="F41" s="118"/>
      <c r="G41" s="118"/>
      <c r="H41" s="123"/>
      <c r="I41" s="325"/>
    </row>
    <row r="42" spans="1:9">
      <c r="A42" s="115"/>
      <c r="B42" s="155"/>
      <c r="C42" s="107"/>
      <c r="D42" s="118"/>
      <c r="E42" s="118"/>
      <c r="F42" s="118"/>
      <c r="G42" s="118"/>
      <c r="H42" s="123"/>
      <c r="I42" s="325"/>
    </row>
    <row r="43" spans="1:9">
      <c r="A43" s="115"/>
      <c r="B43" s="155"/>
      <c r="C43" s="107"/>
      <c r="D43" s="118"/>
      <c r="E43" s="118"/>
      <c r="F43" s="118"/>
      <c r="G43" s="118"/>
      <c r="H43" s="123"/>
      <c r="I43" s="325"/>
    </row>
    <row r="44" spans="1:9">
      <c r="A44" s="115"/>
      <c r="B44" s="155"/>
      <c r="C44" s="107"/>
      <c r="D44" s="118"/>
      <c r="E44" s="118"/>
      <c r="F44" s="118"/>
      <c r="G44" s="118"/>
      <c r="H44" s="123"/>
      <c r="I44" s="325"/>
    </row>
    <row r="45" spans="1:9">
      <c r="A45" s="115"/>
      <c r="B45" s="155"/>
      <c r="C45" s="107"/>
      <c r="D45" s="118"/>
      <c r="E45" s="118"/>
      <c r="F45" s="118"/>
      <c r="G45" s="118"/>
      <c r="H45" s="123"/>
      <c r="I45" s="325"/>
    </row>
    <row r="46" spans="1:9">
      <c r="A46" s="115"/>
      <c r="B46" s="155"/>
      <c r="C46" s="107"/>
      <c r="D46" s="118"/>
      <c r="E46" s="118"/>
      <c r="F46" s="118"/>
      <c r="G46" s="118"/>
      <c r="H46" s="123"/>
      <c r="I46" s="325"/>
    </row>
    <row r="47" spans="1:9" ht="12.75" thickBot="1">
      <c r="A47" s="116"/>
      <c r="B47" s="154"/>
      <c r="C47" s="105"/>
      <c r="D47" s="117"/>
      <c r="E47" s="117"/>
      <c r="F47" s="117"/>
      <c r="G47" s="117"/>
      <c r="H47" s="270"/>
      <c r="I47" s="326"/>
    </row>
  </sheetData>
  <mergeCells count="3">
    <mergeCell ref="D5:F5"/>
    <mergeCell ref="G5:H5"/>
    <mergeCell ref="I5:I6"/>
  </mergeCells>
  <phoneticPr fontId="2"/>
  <dataValidations count="1">
    <dataValidation imeMode="off" allowBlank="1" showInputMessage="1" showErrorMessage="1" sqref="A7:B47"/>
  </dataValidations>
  <pageMargins left="0.39370078740157483" right="0.39370078740157483" top="0.51181102362204722" bottom="0.51181102362204722" header="0.31496062992125984" footer="0.31496062992125984"/>
  <pageSetup paperSize="9" fitToHeight="0" orientation="landscape" horizontalDpi="200" verticalDpi="200" r:id="rId1"/>
  <headerFooter alignWithMargins="0">
    <oddFooter>&amp;L&amp;A&amp;C&amp;P/&amp;N&amp;R©Toyo Business Engineering Corp.(B-EN-G) / Confidential</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99"/>
    <pageSetUpPr fitToPage="1"/>
  </sheetPr>
  <dimension ref="A3:AX26"/>
  <sheetViews>
    <sheetView showGridLines="0" zoomScaleNormal="100" zoomScaleSheetLayoutView="90" workbookViewId="0">
      <selection activeCell="I10" sqref="I10:V12"/>
    </sheetView>
  </sheetViews>
  <sheetFormatPr defaultColWidth="9.33203125" defaultRowHeight="12"/>
  <cols>
    <col min="1" max="50" width="3.33203125" style="4" customWidth="1"/>
    <col min="51" max="51" width="1.5" style="4" customWidth="1"/>
    <col min="52" max="16384" width="9.33203125" style="4"/>
  </cols>
  <sheetData>
    <row r="3" spans="1:50" ht="12.75" customHeight="1"/>
    <row r="5" spans="1:50" ht="12.75" thickBot="1">
      <c r="A5" s="315" t="s">
        <v>214</v>
      </c>
      <c r="B5" s="316"/>
      <c r="C5" s="316"/>
      <c r="D5" s="316"/>
      <c r="E5" s="316"/>
      <c r="F5" s="316"/>
      <c r="G5" s="316"/>
      <c r="H5" s="316"/>
      <c r="I5" s="316"/>
      <c r="J5" s="316"/>
      <c r="K5" s="316"/>
      <c r="L5" s="316"/>
      <c r="M5" s="316"/>
      <c r="N5" s="316"/>
      <c r="O5" s="316"/>
      <c r="P5" s="316"/>
      <c r="Q5" s="316"/>
      <c r="R5" s="316"/>
      <c r="S5" s="316"/>
      <c r="T5" s="316"/>
      <c r="U5" s="316"/>
      <c r="V5" s="316"/>
      <c r="W5" s="316"/>
      <c r="X5" s="317"/>
      <c r="Y5" s="317"/>
      <c r="Z5" s="317"/>
      <c r="AA5" s="317"/>
      <c r="AB5" s="318"/>
      <c r="AC5" s="318"/>
      <c r="AD5" s="318"/>
      <c r="AE5" s="318"/>
      <c r="AF5" s="318"/>
      <c r="AG5" s="318"/>
      <c r="AH5" s="318"/>
      <c r="AI5" s="318"/>
      <c r="AJ5" s="316"/>
      <c r="AK5" s="316"/>
      <c r="AL5" s="316"/>
      <c r="AM5" s="316"/>
      <c r="AN5" s="319"/>
      <c r="AO5" s="319"/>
      <c r="AP5" s="319"/>
      <c r="AQ5" s="319"/>
      <c r="AR5" s="316"/>
      <c r="AS5" s="316"/>
      <c r="AT5" s="316"/>
      <c r="AU5" s="316"/>
      <c r="AV5" s="316"/>
      <c r="AW5" s="316"/>
      <c r="AX5" s="316"/>
    </row>
    <row r="6" spans="1:50" ht="12.75" thickBot="1">
      <c r="A6" s="495" t="s">
        <v>215</v>
      </c>
      <c r="B6" s="496"/>
      <c r="C6" s="497" t="s">
        <v>216</v>
      </c>
      <c r="D6" s="497"/>
      <c r="E6" s="497"/>
      <c r="F6" s="497"/>
      <c r="G6" s="497"/>
      <c r="H6" s="497"/>
      <c r="I6" s="497" t="s">
        <v>217</v>
      </c>
      <c r="J6" s="497"/>
      <c r="K6" s="497"/>
      <c r="L6" s="497"/>
      <c r="M6" s="497"/>
      <c r="N6" s="497"/>
      <c r="O6" s="497"/>
      <c r="P6" s="497"/>
      <c r="Q6" s="497"/>
      <c r="R6" s="497"/>
      <c r="S6" s="497"/>
      <c r="T6" s="497"/>
      <c r="U6" s="497"/>
      <c r="V6" s="497"/>
      <c r="W6" s="479" t="s">
        <v>218</v>
      </c>
      <c r="X6" s="480"/>
      <c r="Y6" s="480"/>
      <c r="Z6" s="480"/>
      <c r="AA6" s="480"/>
      <c r="AB6" s="480"/>
      <c r="AC6" s="480"/>
      <c r="AD6" s="480"/>
      <c r="AE6" s="480"/>
      <c r="AF6" s="480"/>
      <c r="AG6" s="480"/>
      <c r="AH6" s="480"/>
      <c r="AI6" s="480"/>
      <c r="AJ6" s="480"/>
      <c r="AK6" s="480"/>
      <c r="AL6" s="481"/>
      <c r="AM6" s="482" t="s">
        <v>27</v>
      </c>
      <c r="AN6" s="483"/>
      <c r="AO6" s="483"/>
      <c r="AP6" s="483"/>
      <c r="AQ6" s="483"/>
      <c r="AR6" s="483"/>
      <c r="AS6" s="483"/>
      <c r="AT6" s="483"/>
      <c r="AU6" s="483"/>
      <c r="AV6" s="483"/>
      <c r="AW6" s="483"/>
      <c r="AX6" s="484"/>
    </row>
    <row r="7" spans="1:50" ht="12.75" customHeight="1" thickTop="1">
      <c r="A7" s="485">
        <v>1</v>
      </c>
      <c r="B7" s="486"/>
      <c r="C7" s="487">
        <v>42988</v>
      </c>
      <c r="D7" s="486"/>
      <c r="E7" s="486"/>
      <c r="F7" s="486"/>
      <c r="G7" s="486"/>
      <c r="H7" s="486"/>
      <c r="I7" s="488" t="s">
        <v>219</v>
      </c>
      <c r="J7" s="488"/>
      <c r="K7" s="488"/>
      <c r="L7" s="488"/>
      <c r="M7" s="488"/>
      <c r="N7" s="488"/>
      <c r="O7" s="488"/>
      <c r="P7" s="488"/>
      <c r="Q7" s="488"/>
      <c r="R7" s="488"/>
      <c r="S7" s="488"/>
      <c r="T7" s="488"/>
      <c r="U7" s="488"/>
      <c r="V7" s="488"/>
      <c r="W7" s="489" t="s">
        <v>220</v>
      </c>
      <c r="X7" s="490"/>
      <c r="Y7" s="490"/>
      <c r="Z7" s="490"/>
      <c r="AA7" s="490"/>
      <c r="AB7" s="490"/>
      <c r="AC7" s="490"/>
      <c r="AD7" s="490"/>
      <c r="AE7" s="490"/>
      <c r="AF7" s="490"/>
      <c r="AG7" s="490"/>
      <c r="AH7" s="490"/>
      <c r="AI7" s="490"/>
      <c r="AJ7" s="490"/>
      <c r="AK7" s="490"/>
      <c r="AL7" s="491"/>
      <c r="AM7" s="492"/>
      <c r="AN7" s="493"/>
      <c r="AO7" s="493"/>
      <c r="AP7" s="493"/>
      <c r="AQ7" s="493"/>
      <c r="AR7" s="493"/>
      <c r="AS7" s="493"/>
      <c r="AT7" s="493"/>
      <c r="AU7" s="493"/>
      <c r="AV7" s="493"/>
      <c r="AW7" s="493"/>
      <c r="AX7" s="494"/>
    </row>
    <row r="8" spans="1:50" ht="12.75" customHeight="1">
      <c r="A8" s="457"/>
      <c r="B8" s="458"/>
      <c r="C8" s="458"/>
      <c r="D8" s="458"/>
      <c r="E8" s="458"/>
      <c r="F8" s="458"/>
      <c r="G8" s="458"/>
      <c r="H8" s="458"/>
      <c r="I8" s="462"/>
      <c r="J8" s="462"/>
      <c r="K8" s="462"/>
      <c r="L8" s="462"/>
      <c r="M8" s="462"/>
      <c r="N8" s="462"/>
      <c r="O8" s="462"/>
      <c r="P8" s="462"/>
      <c r="Q8" s="462"/>
      <c r="R8" s="462"/>
      <c r="S8" s="462"/>
      <c r="T8" s="462"/>
      <c r="U8" s="462"/>
      <c r="V8" s="462"/>
      <c r="W8" s="473" t="s">
        <v>221</v>
      </c>
      <c r="X8" s="474"/>
      <c r="Y8" s="474"/>
      <c r="Z8" s="474"/>
      <c r="AA8" s="474"/>
      <c r="AB8" s="474"/>
      <c r="AC8" s="474"/>
      <c r="AD8" s="474"/>
      <c r="AE8" s="474"/>
      <c r="AF8" s="474"/>
      <c r="AG8" s="474"/>
      <c r="AH8" s="474"/>
      <c r="AI8" s="474"/>
      <c r="AJ8" s="474"/>
      <c r="AK8" s="474"/>
      <c r="AL8" s="475"/>
      <c r="AM8" s="467"/>
      <c r="AN8" s="468"/>
      <c r="AO8" s="468"/>
      <c r="AP8" s="468"/>
      <c r="AQ8" s="468"/>
      <c r="AR8" s="468"/>
      <c r="AS8" s="468"/>
      <c r="AT8" s="468"/>
      <c r="AU8" s="468"/>
      <c r="AV8" s="468"/>
      <c r="AW8" s="468"/>
      <c r="AX8" s="469"/>
    </row>
    <row r="9" spans="1:50">
      <c r="A9" s="457"/>
      <c r="B9" s="458"/>
      <c r="C9" s="458"/>
      <c r="D9" s="458"/>
      <c r="E9" s="458"/>
      <c r="F9" s="458"/>
      <c r="G9" s="458"/>
      <c r="H9" s="458"/>
      <c r="I9" s="462"/>
      <c r="J9" s="462"/>
      <c r="K9" s="462"/>
      <c r="L9" s="462"/>
      <c r="M9" s="462"/>
      <c r="N9" s="462"/>
      <c r="O9" s="462"/>
      <c r="P9" s="462"/>
      <c r="Q9" s="462"/>
      <c r="R9" s="462"/>
      <c r="S9" s="462"/>
      <c r="T9" s="462"/>
      <c r="U9" s="462"/>
      <c r="V9" s="462"/>
      <c r="W9" s="473" t="s">
        <v>222</v>
      </c>
      <c r="X9" s="474"/>
      <c r="Y9" s="474"/>
      <c r="Z9" s="474"/>
      <c r="AA9" s="474"/>
      <c r="AB9" s="474"/>
      <c r="AC9" s="474"/>
      <c r="AD9" s="474"/>
      <c r="AE9" s="474"/>
      <c r="AF9" s="474"/>
      <c r="AG9" s="474"/>
      <c r="AH9" s="474"/>
      <c r="AI9" s="474"/>
      <c r="AJ9" s="474"/>
      <c r="AK9" s="474"/>
      <c r="AL9" s="475"/>
      <c r="AM9" s="467"/>
      <c r="AN9" s="468"/>
      <c r="AO9" s="468"/>
      <c r="AP9" s="468"/>
      <c r="AQ9" s="468"/>
      <c r="AR9" s="468"/>
      <c r="AS9" s="468"/>
      <c r="AT9" s="468"/>
      <c r="AU9" s="468"/>
      <c r="AV9" s="468"/>
      <c r="AW9" s="468"/>
      <c r="AX9" s="469"/>
    </row>
    <row r="10" spans="1:50">
      <c r="A10" s="457"/>
      <c r="B10" s="458"/>
      <c r="C10" s="461"/>
      <c r="D10" s="458"/>
      <c r="E10" s="458"/>
      <c r="F10" s="458"/>
      <c r="G10" s="458"/>
      <c r="H10" s="458"/>
      <c r="I10" s="462"/>
      <c r="J10" s="462"/>
      <c r="K10" s="462"/>
      <c r="L10" s="462"/>
      <c r="M10" s="462"/>
      <c r="N10" s="462"/>
      <c r="O10" s="462"/>
      <c r="P10" s="462"/>
      <c r="Q10" s="462"/>
      <c r="R10" s="462"/>
      <c r="S10" s="462"/>
      <c r="T10" s="462"/>
      <c r="U10" s="462"/>
      <c r="V10" s="462"/>
      <c r="W10" s="464"/>
      <c r="X10" s="465"/>
      <c r="Y10" s="465"/>
      <c r="Z10" s="465"/>
      <c r="AA10" s="465"/>
      <c r="AB10" s="465"/>
      <c r="AC10" s="465"/>
      <c r="AD10" s="465"/>
      <c r="AE10" s="465"/>
      <c r="AF10" s="465"/>
      <c r="AG10" s="465"/>
      <c r="AH10" s="465"/>
      <c r="AI10" s="465"/>
      <c r="AJ10" s="465"/>
      <c r="AK10" s="465"/>
      <c r="AL10" s="466"/>
      <c r="AM10" s="467"/>
      <c r="AN10" s="468"/>
      <c r="AO10" s="468"/>
      <c r="AP10" s="468"/>
      <c r="AQ10" s="468"/>
      <c r="AR10" s="468"/>
      <c r="AS10" s="468"/>
      <c r="AT10" s="468"/>
      <c r="AU10" s="468"/>
      <c r="AV10" s="468"/>
      <c r="AW10" s="468"/>
      <c r="AX10" s="469"/>
    </row>
    <row r="11" spans="1:50">
      <c r="A11" s="457"/>
      <c r="B11" s="458"/>
      <c r="C11" s="458"/>
      <c r="D11" s="458"/>
      <c r="E11" s="458"/>
      <c r="F11" s="458"/>
      <c r="G11" s="458"/>
      <c r="H11" s="458"/>
      <c r="I11" s="462"/>
      <c r="J11" s="462"/>
      <c r="K11" s="462"/>
      <c r="L11" s="462"/>
      <c r="M11" s="462"/>
      <c r="N11" s="462"/>
      <c r="O11" s="462"/>
      <c r="P11" s="462"/>
      <c r="Q11" s="462"/>
      <c r="R11" s="462"/>
      <c r="S11" s="462"/>
      <c r="T11" s="462"/>
      <c r="U11" s="462"/>
      <c r="V11" s="462"/>
      <c r="W11" s="473"/>
      <c r="X11" s="474"/>
      <c r="Y11" s="474"/>
      <c r="Z11" s="474"/>
      <c r="AA11" s="474"/>
      <c r="AB11" s="474"/>
      <c r="AC11" s="474"/>
      <c r="AD11" s="474"/>
      <c r="AE11" s="474"/>
      <c r="AF11" s="474"/>
      <c r="AG11" s="474"/>
      <c r="AH11" s="474"/>
      <c r="AI11" s="474"/>
      <c r="AJ11" s="474"/>
      <c r="AK11" s="474"/>
      <c r="AL11" s="475"/>
      <c r="AM11" s="467"/>
      <c r="AN11" s="468"/>
      <c r="AO11" s="468"/>
      <c r="AP11" s="468"/>
      <c r="AQ11" s="468"/>
      <c r="AR11" s="468"/>
      <c r="AS11" s="468"/>
      <c r="AT11" s="468"/>
      <c r="AU11" s="468"/>
      <c r="AV11" s="468"/>
      <c r="AW11" s="468"/>
      <c r="AX11" s="469"/>
    </row>
    <row r="12" spans="1:50" ht="12.75" thickBot="1">
      <c r="A12" s="459"/>
      <c r="B12" s="460"/>
      <c r="C12" s="460"/>
      <c r="D12" s="460"/>
      <c r="E12" s="460"/>
      <c r="F12" s="460"/>
      <c r="G12" s="460"/>
      <c r="H12" s="460"/>
      <c r="I12" s="463"/>
      <c r="J12" s="463"/>
      <c r="K12" s="463"/>
      <c r="L12" s="463"/>
      <c r="M12" s="463"/>
      <c r="N12" s="463"/>
      <c r="O12" s="463"/>
      <c r="P12" s="463"/>
      <c r="Q12" s="463"/>
      <c r="R12" s="463"/>
      <c r="S12" s="463"/>
      <c r="T12" s="463"/>
      <c r="U12" s="463"/>
      <c r="V12" s="463"/>
      <c r="W12" s="476"/>
      <c r="X12" s="477"/>
      <c r="Y12" s="477"/>
      <c r="Z12" s="477"/>
      <c r="AA12" s="477"/>
      <c r="AB12" s="477"/>
      <c r="AC12" s="477"/>
      <c r="AD12" s="477"/>
      <c r="AE12" s="477"/>
      <c r="AF12" s="477"/>
      <c r="AG12" s="477"/>
      <c r="AH12" s="477"/>
      <c r="AI12" s="477"/>
      <c r="AJ12" s="477"/>
      <c r="AK12" s="477"/>
      <c r="AL12" s="478"/>
      <c r="AM12" s="470"/>
      <c r="AN12" s="471"/>
      <c r="AO12" s="471"/>
      <c r="AP12" s="471"/>
      <c r="AQ12" s="471"/>
      <c r="AR12" s="471"/>
      <c r="AS12" s="471"/>
      <c r="AT12" s="471"/>
      <c r="AU12" s="471"/>
      <c r="AV12" s="471"/>
      <c r="AW12" s="471"/>
      <c r="AX12" s="472"/>
    </row>
    <row r="13" spans="1:50">
      <c r="A13" s="320"/>
      <c r="B13" s="320"/>
      <c r="C13" s="320"/>
      <c r="D13" s="321"/>
      <c r="E13" s="321"/>
      <c r="F13" s="321"/>
      <c r="G13" s="321"/>
      <c r="H13" s="321"/>
      <c r="I13" s="321"/>
      <c r="J13" s="321"/>
      <c r="K13" s="321"/>
      <c r="L13" s="321"/>
      <c r="M13" s="321"/>
      <c r="N13" s="321"/>
      <c r="O13" s="321"/>
      <c r="P13" s="321"/>
      <c r="Q13" s="321"/>
      <c r="R13" s="321"/>
      <c r="S13" s="321"/>
      <c r="T13" s="321"/>
      <c r="U13" s="321"/>
      <c r="V13" s="321"/>
      <c r="W13" s="321"/>
      <c r="X13" s="322"/>
      <c r="Y13" s="322"/>
      <c r="Z13" s="322"/>
      <c r="AA13" s="322"/>
      <c r="AB13" s="322"/>
      <c r="AC13" s="322"/>
      <c r="AD13" s="322"/>
      <c r="AE13" s="322"/>
      <c r="AF13" s="322"/>
      <c r="AG13" s="322"/>
      <c r="AH13" s="322"/>
      <c r="AI13" s="322"/>
      <c r="AJ13" s="322"/>
      <c r="AK13" s="322"/>
      <c r="AL13" s="322"/>
      <c r="AM13" s="322"/>
      <c r="AN13" s="322"/>
      <c r="AO13" s="322"/>
      <c r="AP13" s="322"/>
      <c r="AQ13" s="322"/>
      <c r="AR13" s="321"/>
      <c r="AS13" s="321"/>
      <c r="AT13" s="321"/>
      <c r="AU13" s="321"/>
      <c r="AV13" s="321"/>
      <c r="AW13" s="321"/>
      <c r="AX13" s="321"/>
    </row>
    <row r="14" spans="1:50" ht="12.75" thickBot="1">
      <c r="A14" s="315" t="s">
        <v>223</v>
      </c>
      <c r="B14" s="320"/>
      <c r="C14" s="320"/>
      <c r="D14" s="321"/>
      <c r="E14" s="321"/>
      <c r="F14" s="321"/>
      <c r="G14" s="321"/>
      <c r="H14" s="321"/>
      <c r="I14" s="321"/>
      <c r="J14" s="321"/>
      <c r="K14" s="321"/>
      <c r="L14" s="321"/>
      <c r="M14" s="321"/>
      <c r="N14" s="321"/>
      <c r="O14" s="321"/>
      <c r="P14" s="321"/>
      <c r="Q14" s="321"/>
      <c r="R14" s="321"/>
      <c r="S14" s="321"/>
      <c r="T14" s="321"/>
      <c r="U14" s="321"/>
      <c r="V14" s="321"/>
      <c r="W14" s="321"/>
      <c r="X14" s="322"/>
      <c r="Y14" s="322"/>
      <c r="Z14" s="322"/>
      <c r="AA14" s="322"/>
      <c r="AB14" s="322"/>
      <c r="AC14" s="322"/>
      <c r="AD14" s="322"/>
      <c r="AE14" s="322"/>
      <c r="AF14" s="322"/>
      <c r="AG14" s="322"/>
      <c r="AH14" s="322"/>
      <c r="AI14" s="322"/>
      <c r="AJ14" s="322"/>
      <c r="AK14" s="322"/>
      <c r="AL14" s="322"/>
      <c r="AM14" s="322"/>
      <c r="AN14" s="322"/>
      <c r="AO14" s="322"/>
      <c r="AP14" s="322"/>
      <c r="AQ14" s="322"/>
      <c r="AR14" s="321"/>
      <c r="AS14" s="321"/>
      <c r="AT14" s="321"/>
      <c r="AU14" s="321"/>
      <c r="AV14" s="321"/>
      <c r="AW14" s="321"/>
      <c r="AX14" s="321"/>
    </row>
    <row r="15" spans="1:50">
      <c r="A15" s="449" t="s">
        <v>215</v>
      </c>
      <c r="B15" s="450"/>
      <c r="C15" s="450" t="s">
        <v>224</v>
      </c>
      <c r="D15" s="450"/>
      <c r="E15" s="450"/>
      <c r="F15" s="450"/>
      <c r="G15" s="450"/>
      <c r="H15" s="450"/>
      <c r="I15" s="450"/>
      <c r="J15" s="450"/>
      <c r="K15" s="450"/>
      <c r="L15" s="450"/>
      <c r="M15" s="450"/>
      <c r="N15" s="450"/>
      <c r="O15" s="450"/>
      <c r="P15" s="450"/>
      <c r="Q15" s="450"/>
      <c r="R15" s="450"/>
      <c r="S15" s="450"/>
      <c r="T15" s="450"/>
      <c r="U15" s="450"/>
      <c r="V15" s="450"/>
      <c r="W15" s="450"/>
      <c r="X15" s="450" t="s">
        <v>225</v>
      </c>
      <c r="Y15" s="450"/>
      <c r="Z15" s="450"/>
      <c r="AA15" s="450"/>
      <c r="AB15" s="450"/>
      <c r="AC15" s="450"/>
      <c r="AD15" s="450"/>
      <c r="AE15" s="450"/>
      <c r="AF15" s="450"/>
      <c r="AG15" s="450"/>
      <c r="AH15" s="450"/>
      <c r="AI15" s="450"/>
      <c r="AJ15" s="450"/>
      <c r="AK15" s="450"/>
      <c r="AL15" s="450"/>
      <c r="AM15" s="450"/>
      <c r="AN15" s="450"/>
      <c r="AO15" s="450"/>
      <c r="AP15" s="450"/>
      <c r="AQ15" s="450"/>
      <c r="AR15" s="450"/>
      <c r="AS15" s="453" t="s">
        <v>226</v>
      </c>
      <c r="AT15" s="453"/>
      <c r="AU15" s="453"/>
      <c r="AV15" s="453"/>
      <c r="AW15" s="453"/>
      <c r="AX15" s="454"/>
    </row>
    <row r="16" spans="1:50" ht="12.75" thickBot="1">
      <c r="A16" s="451"/>
      <c r="B16" s="452"/>
      <c r="C16" s="452" t="s">
        <v>227</v>
      </c>
      <c r="D16" s="452"/>
      <c r="E16" s="452"/>
      <c r="F16" s="452"/>
      <c r="G16" s="452" t="s">
        <v>47</v>
      </c>
      <c r="H16" s="452"/>
      <c r="I16" s="452"/>
      <c r="J16" s="452"/>
      <c r="K16" s="452"/>
      <c r="L16" s="452"/>
      <c r="M16" s="452"/>
      <c r="N16" s="452"/>
      <c r="O16" s="452"/>
      <c r="P16" s="452"/>
      <c r="Q16" s="452"/>
      <c r="R16" s="452"/>
      <c r="S16" s="452"/>
      <c r="T16" s="452"/>
      <c r="U16" s="452"/>
      <c r="V16" s="452"/>
      <c r="W16" s="452"/>
      <c r="X16" s="452" t="s">
        <v>227</v>
      </c>
      <c r="Y16" s="452"/>
      <c r="Z16" s="452"/>
      <c r="AA16" s="452"/>
      <c r="AB16" s="452" t="s">
        <v>47</v>
      </c>
      <c r="AC16" s="452"/>
      <c r="AD16" s="452"/>
      <c r="AE16" s="452"/>
      <c r="AF16" s="452"/>
      <c r="AG16" s="452"/>
      <c r="AH16" s="452"/>
      <c r="AI16" s="452"/>
      <c r="AJ16" s="452"/>
      <c r="AK16" s="452"/>
      <c r="AL16" s="452"/>
      <c r="AM16" s="452"/>
      <c r="AN16" s="452"/>
      <c r="AO16" s="452"/>
      <c r="AP16" s="452"/>
      <c r="AQ16" s="452"/>
      <c r="AR16" s="452"/>
      <c r="AS16" s="455"/>
      <c r="AT16" s="455"/>
      <c r="AU16" s="455"/>
      <c r="AV16" s="455"/>
      <c r="AW16" s="455"/>
      <c r="AX16" s="456"/>
    </row>
    <row r="17" spans="1:50" ht="12.75" thickTop="1">
      <c r="A17" s="426">
        <v>1</v>
      </c>
      <c r="B17" s="427"/>
      <c r="C17" s="428" t="s">
        <v>228</v>
      </c>
      <c r="D17" s="429"/>
      <c r="E17" s="429"/>
      <c r="F17" s="430"/>
      <c r="G17" s="431"/>
      <c r="H17" s="432"/>
      <c r="I17" s="432"/>
      <c r="J17" s="432"/>
      <c r="K17" s="432"/>
      <c r="L17" s="432"/>
      <c r="M17" s="432"/>
      <c r="N17" s="432"/>
      <c r="O17" s="432"/>
      <c r="P17" s="432"/>
      <c r="Q17" s="432"/>
      <c r="R17" s="432"/>
      <c r="S17" s="432"/>
      <c r="T17" s="432"/>
      <c r="U17" s="432"/>
      <c r="V17" s="432"/>
      <c r="W17" s="433"/>
      <c r="X17" s="434" t="s">
        <v>228</v>
      </c>
      <c r="Y17" s="435"/>
      <c r="Z17" s="435"/>
      <c r="AA17" s="427"/>
      <c r="AB17" s="431"/>
      <c r="AC17" s="432"/>
      <c r="AD17" s="432"/>
      <c r="AE17" s="432"/>
      <c r="AF17" s="432"/>
      <c r="AG17" s="432"/>
      <c r="AH17" s="432"/>
      <c r="AI17" s="432"/>
      <c r="AJ17" s="432"/>
      <c r="AK17" s="432"/>
      <c r="AL17" s="432"/>
      <c r="AM17" s="432"/>
      <c r="AN17" s="432"/>
      <c r="AO17" s="432"/>
      <c r="AP17" s="432"/>
      <c r="AQ17" s="432"/>
      <c r="AR17" s="433"/>
      <c r="AS17" s="436">
        <v>42998</v>
      </c>
      <c r="AT17" s="437"/>
      <c r="AU17" s="437"/>
      <c r="AV17" s="437"/>
      <c r="AW17" s="437"/>
      <c r="AX17" s="438"/>
    </row>
    <row r="18" spans="1:50">
      <c r="A18" s="426"/>
      <c r="B18" s="427"/>
      <c r="C18" s="428"/>
      <c r="D18" s="429"/>
      <c r="E18" s="429"/>
      <c r="F18" s="430"/>
      <c r="G18" s="431"/>
      <c r="H18" s="432"/>
      <c r="I18" s="432"/>
      <c r="J18" s="432"/>
      <c r="K18" s="432"/>
      <c r="L18" s="432"/>
      <c r="M18" s="432"/>
      <c r="N18" s="432"/>
      <c r="O18" s="432"/>
      <c r="P18" s="432"/>
      <c r="Q18" s="432"/>
      <c r="R18" s="432"/>
      <c r="S18" s="432"/>
      <c r="T18" s="432"/>
      <c r="U18" s="432"/>
      <c r="V18" s="432"/>
      <c r="W18" s="433"/>
      <c r="X18" s="434"/>
      <c r="Y18" s="435"/>
      <c r="Z18" s="435"/>
      <c r="AA18" s="427"/>
      <c r="AB18" s="431"/>
      <c r="AC18" s="432"/>
      <c r="AD18" s="432"/>
      <c r="AE18" s="432"/>
      <c r="AF18" s="432"/>
      <c r="AG18" s="432"/>
      <c r="AH18" s="432"/>
      <c r="AI18" s="432"/>
      <c r="AJ18" s="432"/>
      <c r="AK18" s="432"/>
      <c r="AL18" s="432"/>
      <c r="AM18" s="432"/>
      <c r="AN18" s="432"/>
      <c r="AO18" s="432"/>
      <c r="AP18" s="432"/>
      <c r="AQ18" s="432"/>
      <c r="AR18" s="433"/>
      <c r="AS18" s="436"/>
      <c r="AT18" s="437"/>
      <c r="AU18" s="437"/>
      <c r="AV18" s="437"/>
      <c r="AW18" s="437"/>
      <c r="AX18" s="438"/>
    </row>
    <row r="19" spans="1:50">
      <c r="A19" s="426"/>
      <c r="B19" s="427"/>
      <c r="C19" s="428"/>
      <c r="D19" s="429"/>
      <c r="E19" s="429"/>
      <c r="F19" s="430"/>
      <c r="G19" s="431"/>
      <c r="H19" s="432"/>
      <c r="I19" s="432"/>
      <c r="J19" s="432"/>
      <c r="K19" s="432"/>
      <c r="L19" s="432"/>
      <c r="M19" s="432"/>
      <c r="N19" s="432"/>
      <c r="O19" s="432"/>
      <c r="P19" s="432"/>
      <c r="Q19" s="432"/>
      <c r="R19" s="432"/>
      <c r="S19" s="432"/>
      <c r="T19" s="432"/>
      <c r="U19" s="432"/>
      <c r="V19" s="432"/>
      <c r="W19" s="433"/>
      <c r="X19" s="434"/>
      <c r="Y19" s="435"/>
      <c r="Z19" s="435"/>
      <c r="AA19" s="427"/>
      <c r="AB19" s="431"/>
      <c r="AC19" s="432"/>
      <c r="AD19" s="432"/>
      <c r="AE19" s="432"/>
      <c r="AF19" s="432"/>
      <c r="AG19" s="432"/>
      <c r="AH19" s="432"/>
      <c r="AI19" s="432"/>
      <c r="AJ19" s="432"/>
      <c r="AK19" s="432"/>
      <c r="AL19" s="432"/>
      <c r="AM19" s="432"/>
      <c r="AN19" s="432"/>
      <c r="AO19" s="432"/>
      <c r="AP19" s="432"/>
      <c r="AQ19" s="432"/>
      <c r="AR19" s="433"/>
      <c r="AS19" s="436"/>
      <c r="AT19" s="437"/>
      <c r="AU19" s="437"/>
      <c r="AV19" s="437"/>
      <c r="AW19" s="437"/>
      <c r="AX19" s="438"/>
    </row>
    <row r="20" spans="1:50">
      <c r="A20" s="426"/>
      <c r="B20" s="427"/>
      <c r="C20" s="428"/>
      <c r="D20" s="429"/>
      <c r="E20" s="429"/>
      <c r="F20" s="430"/>
      <c r="G20" s="431"/>
      <c r="H20" s="432"/>
      <c r="I20" s="432"/>
      <c r="J20" s="432"/>
      <c r="K20" s="432"/>
      <c r="L20" s="432"/>
      <c r="M20" s="432"/>
      <c r="N20" s="432"/>
      <c r="O20" s="432"/>
      <c r="P20" s="432"/>
      <c r="Q20" s="432"/>
      <c r="R20" s="432"/>
      <c r="S20" s="432"/>
      <c r="T20" s="432"/>
      <c r="U20" s="432"/>
      <c r="V20" s="432"/>
      <c r="W20" s="433"/>
      <c r="X20" s="434"/>
      <c r="Y20" s="435"/>
      <c r="Z20" s="435"/>
      <c r="AA20" s="427"/>
      <c r="AB20" s="431"/>
      <c r="AC20" s="432"/>
      <c r="AD20" s="432"/>
      <c r="AE20" s="432"/>
      <c r="AF20" s="432"/>
      <c r="AG20" s="432"/>
      <c r="AH20" s="432"/>
      <c r="AI20" s="432"/>
      <c r="AJ20" s="432"/>
      <c r="AK20" s="432"/>
      <c r="AL20" s="432"/>
      <c r="AM20" s="432"/>
      <c r="AN20" s="432"/>
      <c r="AO20" s="432"/>
      <c r="AP20" s="432"/>
      <c r="AQ20" s="432"/>
      <c r="AR20" s="433"/>
      <c r="AS20" s="436"/>
      <c r="AT20" s="437"/>
      <c r="AU20" s="437"/>
      <c r="AV20" s="437"/>
      <c r="AW20" s="437"/>
      <c r="AX20" s="438"/>
    </row>
    <row r="21" spans="1:50">
      <c r="A21" s="426"/>
      <c r="B21" s="427"/>
      <c r="C21" s="428"/>
      <c r="D21" s="429"/>
      <c r="E21" s="429"/>
      <c r="F21" s="430"/>
      <c r="G21" s="431"/>
      <c r="H21" s="432"/>
      <c r="I21" s="432"/>
      <c r="J21" s="432"/>
      <c r="K21" s="432"/>
      <c r="L21" s="432"/>
      <c r="M21" s="432"/>
      <c r="N21" s="432"/>
      <c r="O21" s="432"/>
      <c r="P21" s="432"/>
      <c r="Q21" s="432"/>
      <c r="R21" s="432"/>
      <c r="S21" s="432"/>
      <c r="T21" s="432"/>
      <c r="U21" s="432"/>
      <c r="V21" s="432"/>
      <c r="W21" s="433"/>
      <c r="X21" s="434"/>
      <c r="Y21" s="435"/>
      <c r="Z21" s="435"/>
      <c r="AA21" s="427"/>
      <c r="AB21" s="431"/>
      <c r="AC21" s="432"/>
      <c r="AD21" s="432"/>
      <c r="AE21" s="432"/>
      <c r="AF21" s="432"/>
      <c r="AG21" s="432"/>
      <c r="AH21" s="432"/>
      <c r="AI21" s="432"/>
      <c r="AJ21" s="432"/>
      <c r="AK21" s="432"/>
      <c r="AL21" s="432"/>
      <c r="AM21" s="432"/>
      <c r="AN21" s="432"/>
      <c r="AO21" s="432"/>
      <c r="AP21" s="432"/>
      <c r="AQ21" s="432"/>
      <c r="AR21" s="433"/>
      <c r="AS21" s="436"/>
      <c r="AT21" s="437"/>
      <c r="AU21" s="437"/>
      <c r="AV21" s="437"/>
      <c r="AW21" s="437"/>
      <c r="AX21" s="438"/>
    </row>
    <row r="22" spans="1:50">
      <c r="A22" s="426"/>
      <c r="B22" s="427"/>
      <c r="C22" s="428"/>
      <c r="D22" s="429"/>
      <c r="E22" s="429"/>
      <c r="F22" s="430"/>
      <c r="G22" s="431"/>
      <c r="H22" s="432"/>
      <c r="I22" s="432"/>
      <c r="J22" s="432"/>
      <c r="K22" s="432"/>
      <c r="L22" s="432"/>
      <c r="M22" s="432"/>
      <c r="N22" s="432"/>
      <c r="O22" s="432"/>
      <c r="P22" s="432"/>
      <c r="Q22" s="432"/>
      <c r="R22" s="432"/>
      <c r="S22" s="432"/>
      <c r="T22" s="432"/>
      <c r="U22" s="432"/>
      <c r="V22" s="432"/>
      <c r="W22" s="433"/>
      <c r="X22" s="434"/>
      <c r="Y22" s="435"/>
      <c r="Z22" s="435"/>
      <c r="AA22" s="427"/>
      <c r="AB22" s="431"/>
      <c r="AC22" s="432"/>
      <c r="AD22" s="432"/>
      <c r="AE22" s="432"/>
      <c r="AF22" s="432"/>
      <c r="AG22" s="432"/>
      <c r="AH22" s="432"/>
      <c r="AI22" s="432"/>
      <c r="AJ22" s="432"/>
      <c r="AK22" s="432"/>
      <c r="AL22" s="432"/>
      <c r="AM22" s="432"/>
      <c r="AN22" s="432"/>
      <c r="AO22" s="432"/>
      <c r="AP22" s="432"/>
      <c r="AQ22" s="432"/>
      <c r="AR22" s="433"/>
      <c r="AS22" s="436"/>
      <c r="AT22" s="437"/>
      <c r="AU22" s="437"/>
      <c r="AV22" s="437"/>
      <c r="AW22" s="437"/>
      <c r="AX22" s="438"/>
    </row>
    <row r="23" spans="1:50">
      <c r="A23" s="426"/>
      <c r="B23" s="427"/>
      <c r="C23" s="428"/>
      <c r="D23" s="429"/>
      <c r="E23" s="429"/>
      <c r="F23" s="430"/>
      <c r="G23" s="431"/>
      <c r="H23" s="432"/>
      <c r="I23" s="432"/>
      <c r="J23" s="432"/>
      <c r="K23" s="432"/>
      <c r="L23" s="432"/>
      <c r="M23" s="432"/>
      <c r="N23" s="432"/>
      <c r="O23" s="432"/>
      <c r="P23" s="432"/>
      <c r="Q23" s="432"/>
      <c r="R23" s="432"/>
      <c r="S23" s="432"/>
      <c r="T23" s="432"/>
      <c r="U23" s="432"/>
      <c r="V23" s="432"/>
      <c r="W23" s="433"/>
      <c r="X23" s="434"/>
      <c r="Y23" s="435"/>
      <c r="Z23" s="435"/>
      <c r="AA23" s="427"/>
      <c r="AB23" s="431"/>
      <c r="AC23" s="432"/>
      <c r="AD23" s="432"/>
      <c r="AE23" s="432"/>
      <c r="AF23" s="432"/>
      <c r="AG23" s="432"/>
      <c r="AH23" s="432"/>
      <c r="AI23" s="432"/>
      <c r="AJ23" s="432"/>
      <c r="AK23" s="432"/>
      <c r="AL23" s="432"/>
      <c r="AM23" s="432"/>
      <c r="AN23" s="432"/>
      <c r="AO23" s="432"/>
      <c r="AP23" s="432"/>
      <c r="AQ23" s="432"/>
      <c r="AR23" s="433"/>
      <c r="AS23" s="436"/>
      <c r="AT23" s="437"/>
      <c r="AU23" s="437"/>
      <c r="AV23" s="437"/>
      <c r="AW23" s="437"/>
      <c r="AX23" s="438"/>
    </row>
    <row r="24" spans="1:50">
      <c r="A24" s="426"/>
      <c r="B24" s="427"/>
      <c r="C24" s="428"/>
      <c r="D24" s="429"/>
      <c r="E24" s="429"/>
      <c r="F24" s="430"/>
      <c r="G24" s="431"/>
      <c r="H24" s="432"/>
      <c r="I24" s="432"/>
      <c r="J24" s="432"/>
      <c r="K24" s="432"/>
      <c r="L24" s="432"/>
      <c r="M24" s="432"/>
      <c r="N24" s="432"/>
      <c r="O24" s="432"/>
      <c r="P24" s="432"/>
      <c r="Q24" s="432"/>
      <c r="R24" s="432"/>
      <c r="S24" s="432"/>
      <c r="T24" s="432"/>
      <c r="U24" s="432"/>
      <c r="V24" s="432"/>
      <c r="W24" s="433"/>
      <c r="X24" s="434"/>
      <c r="Y24" s="435"/>
      <c r="Z24" s="435"/>
      <c r="AA24" s="427"/>
      <c r="AB24" s="431"/>
      <c r="AC24" s="432"/>
      <c r="AD24" s="432"/>
      <c r="AE24" s="432"/>
      <c r="AF24" s="432"/>
      <c r="AG24" s="432"/>
      <c r="AH24" s="432"/>
      <c r="AI24" s="432"/>
      <c r="AJ24" s="432"/>
      <c r="AK24" s="432"/>
      <c r="AL24" s="432"/>
      <c r="AM24" s="432"/>
      <c r="AN24" s="432"/>
      <c r="AO24" s="432"/>
      <c r="AP24" s="432"/>
      <c r="AQ24" s="432"/>
      <c r="AR24" s="433"/>
      <c r="AS24" s="436"/>
      <c r="AT24" s="437"/>
      <c r="AU24" s="437"/>
      <c r="AV24" s="437"/>
      <c r="AW24" s="437"/>
      <c r="AX24" s="438"/>
    </row>
    <row r="25" spans="1:50">
      <c r="A25" s="426"/>
      <c r="B25" s="427"/>
      <c r="C25" s="428"/>
      <c r="D25" s="429"/>
      <c r="E25" s="429"/>
      <c r="F25" s="430"/>
      <c r="G25" s="431"/>
      <c r="H25" s="432"/>
      <c r="I25" s="432"/>
      <c r="J25" s="432"/>
      <c r="K25" s="432"/>
      <c r="L25" s="432"/>
      <c r="M25" s="432"/>
      <c r="N25" s="432"/>
      <c r="O25" s="432"/>
      <c r="P25" s="432"/>
      <c r="Q25" s="432"/>
      <c r="R25" s="432"/>
      <c r="S25" s="432"/>
      <c r="T25" s="432"/>
      <c r="U25" s="432"/>
      <c r="V25" s="432"/>
      <c r="W25" s="433"/>
      <c r="X25" s="434"/>
      <c r="Y25" s="435"/>
      <c r="Z25" s="435"/>
      <c r="AA25" s="427"/>
      <c r="AB25" s="431"/>
      <c r="AC25" s="432"/>
      <c r="AD25" s="432"/>
      <c r="AE25" s="432"/>
      <c r="AF25" s="432"/>
      <c r="AG25" s="432"/>
      <c r="AH25" s="432"/>
      <c r="AI25" s="432"/>
      <c r="AJ25" s="432"/>
      <c r="AK25" s="432"/>
      <c r="AL25" s="432"/>
      <c r="AM25" s="432"/>
      <c r="AN25" s="432"/>
      <c r="AO25" s="432"/>
      <c r="AP25" s="432"/>
      <c r="AQ25" s="432"/>
      <c r="AR25" s="433"/>
      <c r="AS25" s="436"/>
      <c r="AT25" s="437"/>
      <c r="AU25" s="437"/>
      <c r="AV25" s="437"/>
      <c r="AW25" s="437"/>
      <c r="AX25" s="438"/>
    </row>
    <row r="26" spans="1:50" ht="12.75" thickBot="1">
      <c r="A26" s="439"/>
      <c r="B26" s="440"/>
      <c r="C26" s="441"/>
      <c r="D26" s="442"/>
      <c r="E26" s="442"/>
      <c r="F26" s="443"/>
      <c r="G26" s="444"/>
      <c r="H26" s="445"/>
      <c r="I26" s="445"/>
      <c r="J26" s="445"/>
      <c r="K26" s="445"/>
      <c r="L26" s="445"/>
      <c r="M26" s="445"/>
      <c r="N26" s="445"/>
      <c r="O26" s="445"/>
      <c r="P26" s="445"/>
      <c r="Q26" s="445"/>
      <c r="R26" s="445"/>
      <c r="S26" s="445"/>
      <c r="T26" s="445"/>
      <c r="U26" s="445"/>
      <c r="V26" s="445"/>
      <c r="W26" s="446"/>
      <c r="X26" s="447"/>
      <c r="Y26" s="448"/>
      <c r="Z26" s="448"/>
      <c r="AA26" s="440"/>
      <c r="AB26" s="444"/>
      <c r="AC26" s="445"/>
      <c r="AD26" s="445"/>
      <c r="AE26" s="445"/>
      <c r="AF26" s="445"/>
      <c r="AG26" s="445"/>
      <c r="AH26" s="445"/>
      <c r="AI26" s="445"/>
      <c r="AJ26" s="445"/>
      <c r="AK26" s="445"/>
      <c r="AL26" s="445"/>
      <c r="AM26" s="445"/>
      <c r="AN26" s="445"/>
      <c r="AO26" s="445"/>
      <c r="AP26" s="445"/>
      <c r="AQ26" s="445"/>
      <c r="AR26" s="446"/>
      <c r="AS26" s="423"/>
      <c r="AT26" s="424"/>
      <c r="AU26" s="424"/>
      <c r="AV26" s="424"/>
      <c r="AW26" s="424"/>
      <c r="AX26" s="425"/>
    </row>
  </sheetData>
  <mergeCells count="87">
    <mergeCell ref="W6:AL6"/>
    <mergeCell ref="AM6:AX6"/>
    <mergeCell ref="A7:B9"/>
    <mergeCell ref="C7:H9"/>
    <mergeCell ref="I7:V9"/>
    <mergeCell ref="W7:AL7"/>
    <mergeCell ref="AM7:AX9"/>
    <mergeCell ref="W8:AL8"/>
    <mergeCell ref="W9:AL9"/>
    <mergeCell ref="A6:B6"/>
    <mergeCell ref="C6:H6"/>
    <mergeCell ref="I6:V6"/>
    <mergeCell ref="A10:B12"/>
    <mergeCell ref="C10:H12"/>
    <mergeCell ref="I10:V12"/>
    <mergeCell ref="W10:AL10"/>
    <mergeCell ref="AM10:AX12"/>
    <mergeCell ref="W11:AL11"/>
    <mergeCell ref="W12:AL12"/>
    <mergeCell ref="A15:B16"/>
    <mergeCell ref="C15:W15"/>
    <mergeCell ref="X15:AR15"/>
    <mergeCell ref="AS15:AX16"/>
    <mergeCell ref="C16:F16"/>
    <mergeCell ref="G16:W16"/>
    <mergeCell ref="X16:AA16"/>
    <mergeCell ref="AB16:AR16"/>
    <mergeCell ref="AS18:AX18"/>
    <mergeCell ref="A17:B17"/>
    <mergeCell ref="C17:F17"/>
    <mergeCell ref="G17:W17"/>
    <mergeCell ref="X17:AA17"/>
    <mergeCell ref="AB17:AR17"/>
    <mergeCell ref="AS17:AX17"/>
    <mergeCell ref="A18:B18"/>
    <mergeCell ref="C18:F18"/>
    <mergeCell ref="G18:W18"/>
    <mergeCell ref="X18:AA18"/>
    <mergeCell ref="AB18:AR18"/>
    <mergeCell ref="AS20:AX20"/>
    <mergeCell ref="A19:B19"/>
    <mergeCell ref="C19:F19"/>
    <mergeCell ref="G19:W19"/>
    <mergeCell ref="X19:AA19"/>
    <mergeCell ref="AB19:AR19"/>
    <mergeCell ref="AS19:AX19"/>
    <mergeCell ref="A20:B20"/>
    <mergeCell ref="C20:F20"/>
    <mergeCell ref="G20:W20"/>
    <mergeCell ref="X20:AA20"/>
    <mergeCell ref="AB20:AR20"/>
    <mergeCell ref="AS22:AX22"/>
    <mergeCell ref="A21:B21"/>
    <mergeCell ref="C21:F21"/>
    <mergeCell ref="G21:W21"/>
    <mergeCell ref="X21:AA21"/>
    <mergeCell ref="AB21:AR21"/>
    <mergeCell ref="AS21:AX21"/>
    <mergeCell ref="A22:B22"/>
    <mergeCell ref="C22:F22"/>
    <mergeCell ref="G22:W22"/>
    <mergeCell ref="X22:AA22"/>
    <mergeCell ref="AB22:AR22"/>
    <mergeCell ref="AS24:AX24"/>
    <mergeCell ref="A23:B23"/>
    <mergeCell ref="C23:F23"/>
    <mergeCell ref="G23:W23"/>
    <mergeCell ref="X23:AA23"/>
    <mergeCell ref="AB23:AR23"/>
    <mergeCell ref="AS23:AX23"/>
    <mergeCell ref="A24:B24"/>
    <mergeCell ref="C24:F24"/>
    <mergeCell ref="G24:W24"/>
    <mergeCell ref="X24:AA24"/>
    <mergeCell ref="AB24:AR24"/>
    <mergeCell ref="AS26:AX26"/>
    <mergeCell ref="A25:B25"/>
    <mergeCell ref="C25:F25"/>
    <mergeCell ref="G25:W25"/>
    <mergeCell ref="X25:AA25"/>
    <mergeCell ref="AB25:AR25"/>
    <mergeCell ref="AS25:AX25"/>
    <mergeCell ref="A26:B26"/>
    <mergeCell ref="C26:F26"/>
    <mergeCell ref="G26:W26"/>
    <mergeCell ref="X26:AA26"/>
    <mergeCell ref="AB26:AR26"/>
  </mergeCells>
  <phoneticPr fontId="2"/>
  <dataValidations count="1">
    <dataValidation imeMode="off" allowBlank="1" showInputMessage="1" showErrorMessage="1" sqref="A27:B47 D13:D14 A7 A10 A13 A17:A26"/>
  </dataValidations>
  <pageMargins left="0.39370078740157483" right="0.39370078740157483" top="0.51181102362204722" bottom="0.51181102362204722" header="0.31496062992125984" footer="0.31496062992125984"/>
  <pageSetup paperSize="9" fitToHeight="0" orientation="landscape" horizontalDpi="200" verticalDpi="200" r:id="rId1"/>
  <headerFooter alignWithMargins="0">
    <oddFooter>&amp;L&amp;A&amp;C&amp;P/&amp;N&amp;R©Toyo Business Engineering Corp.(B-EN-G) / Confidential</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99"/>
  </sheetPr>
  <dimension ref="A1:AX65"/>
  <sheetViews>
    <sheetView showGridLines="0" tabSelected="1" topLeftCell="A18" zoomScaleNormal="100" zoomScaleSheetLayoutView="90" workbookViewId="0">
      <selection activeCell="BH22" sqref="BH22"/>
    </sheetView>
  </sheetViews>
  <sheetFormatPr defaultColWidth="8.83203125" defaultRowHeight="12"/>
  <cols>
    <col min="1" max="50" width="3.33203125" style="1" customWidth="1"/>
    <col min="51" max="51" width="1.5" style="1" customWidth="1"/>
    <col min="52" max="16384" width="8.83203125" style="1"/>
  </cols>
  <sheetData>
    <row r="1" spans="1:50" s="72" customFormat="1" ht="12.6" customHeight="1">
      <c r="A1" s="513" t="s">
        <v>30</v>
      </c>
      <c r="B1" s="514"/>
      <c r="C1" s="514"/>
      <c r="D1" s="514"/>
      <c r="E1" s="514"/>
      <c r="F1" s="514"/>
      <c r="G1" s="515"/>
      <c r="H1" s="522" t="s">
        <v>2</v>
      </c>
      <c r="I1" s="523"/>
      <c r="J1" s="523"/>
      <c r="K1" s="524"/>
      <c r="L1" s="525" t="str">
        <f>IF(顧客名="","",顧客名)</f>
        <v>株式会社XXXX殿</v>
      </c>
      <c r="M1" s="526"/>
      <c r="N1" s="526"/>
      <c r="O1" s="526"/>
      <c r="P1" s="526"/>
      <c r="Q1" s="526"/>
      <c r="R1" s="527"/>
      <c r="S1" s="528" t="s">
        <v>52</v>
      </c>
      <c r="T1" s="523"/>
      <c r="U1" s="523"/>
      <c r="V1" s="524"/>
      <c r="W1" s="525" t="str">
        <f>IF(システム="","",システム)</f>
        <v>mcframe7</v>
      </c>
      <c r="X1" s="526"/>
      <c r="Y1" s="526"/>
      <c r="Z1" s="526"/>
      <c r="AA1" s="526"/>
      <c r="AB1" s="526"/>
      <c r="AC1" s="527"/>
      <c r="AD1" s="533" t="s">
        <v>8</v>
      </c>
      <c r="AE1" s="534"/>
      <c r="AF1" s="534"/>
      <c r="AG1" s="543"/>
      <c r="AH1" s="544" t="str">
        <f>IF(作成者="","",作成者)</f>
        <v>XX</v>
      </c>
      <c r="AI1" s="545"/>
      <c r="AJ1" s="545"/>
      <c r="AK1" s="545"/>
      <c r="AL1" s="546"/>
      <c r="AM1" s="533" t="s">
        <v>9</v>
      </c>
      <c r="AN1" s="534"/>
      <c r="AO1" s="534"/>
      <c r="AP1" s="543"/>
      <c r="AQ1" s="547">
        <f>IF(作成日="","",作成日)</f>
        <v>42902</v>
      </c>
      <c r="AR1" s="548"/>
      <c r="AS1" s="548"/>
      <c r="AT1" s="549"/>
      <c r="AU1" s="533" t="s">
        <v>0</v>
      </c>
      <c r="AV1" s="534"/>
      <c r="AW1" s="534"/>
      <c r="AX1" s="535"/>
    </row>
    <row r="2" spans="1:50" s="72" customFormat="1" ht="12.6" customHeight="1">
      <c r="A2" s="516"/>
      <c r="B2" s="517"/>
      <c r="C2" s="517"/>
      <c r="D2" s="517"/>
      <c r="E2" s="517"/>
      <c r="F2" s="517"/>
      <c r="G2" s="518"/>
      <c r="H2" s="536" t="s">
        <v>53</v>
      </c>
      <c r="I2" s="537"/>
      <c r="J2" s="537"/>
      <c r="K2" s="538"/>
      <c r="L2" s="539" t="str">
        <f>IF(プロジェクト名="","",プロジェクト名)</f>
        <v>新基幹システム構築プロジェクト</v>
      </c>
      <c r="M2" s="540"/>
      <c r="N2" s="540"/>
      <c r="O2" s="540"/>
      <c r="P2" s="540"/>
      <c r="Q2" s="540"/>
      <c r="R2" s="541"/>
      <c r="S2" s="542" t="s">
        <v>54</v>
      </c>
      <c r="T2" s="537"/>
      <c r="U2" s="537"/>
      <c r="V2" s="538"/>
      <c r="W2" s="539" t="str">
        <f>IF(サブシステム="","",サブシステム)</f>
        <v>SCM</v>
      </c>
      <c r="X2" s="540"/>
      <c r="Y2" s="540"/>
      <c r="Z2" s="540"/>
      <c r="AA2" s="540"/>
      <c r="AB2" s="540"/>
      <c r="AC2" s="541"/>
      <c r="AD2" s="550" t="s">
        <v>10</v>
      </c>
      <c r="AE2" s="551"/>
      <c r="AF2" s="551"/>
      <c r="AG2" s="552"/>
      <c r="AH2" s="553" t="str">
        <f>IF(修正者="","",修正者)</f>
        <v>XX</v>
      </c>
      <c r="AI2" s="554"/>
      <c r="AJ2" s="554"/>
      <c r="AK2" s="554"/>
      <c r="AL2" s="555"/>
      <c r="AM2" s="556" t="s">
        <v>11</v>
      </c>
      <c r="AN2" s="557"/>
      <c r="AO2" s="557"/>
      <c r="AP2" s="558"/>
      <c r="AQ2" s="559">
        <f>IF(修正日="","",修正日)</f>
        <v>43007</v>
      </c>
      <c r="AR2" s="560"/>
      <c r="AS2" s="560"/>
      <c r="AT2" s="560"/>
      <c r="AU2" s="561" t="str">
        <f>IF(文書番号="","",文書番号)</f>
        <v>XX-XX-9999</v>
      </c>
      <c r="AV2" s="562"/>
      <c r="AW2" s="562"/>
      <c r="AX2" s="563"/>
    </row>
    <row r="3" spans="1:50" s="72" customFormat="1" ht="12.6" customHeight="1" thickBot="1">
      <c r="A3" s="519"/>
      <c r="B3" s="520"/>
      <c r="C3" s="520"/>
      <c r="D3" s="520"/>
      <c r="E3" s="520"/>
      <c r="F3" s="520"/>
      <c r="G3" s="521"/>
      <c r="H3" s="529" t="s">
        <v>13</v>
      </c>
      <c r="I3" s="529"/>
      <c r="J3" s="529"/>
      <c r="K3" s="530"/>
      <c r="L3" s="507" t="str">
        <f>IF(機能ID="","",機能ID)</f>
        <v>MSBCBA0040</v>
      </c>
      <c r="M3" s="531"/>
      <c r="N3" s="531"/>
      <c r="O3" s="531"/>
      <c r="P3" s="531"/>
      <c r="Q3" s="531"/>
      <c r="R3" s="531"/>
      <c r="S3" s="532" t="s">
        <v>14</v>
      </c>
      <c r="T3" s="529"/>
      <c r="U3" s="529"/>
      <c r="V3" s="530"/>
      <c r="W3" s="507" t="str">
        <f>IF(機能名="","",機能名)</f>
        <v>納期回答作成バッチ</v>
      </c>
      <c r="X3" s="508"/>
      <c r="Y3" s="508"/>
      <c r="Z3" s="508"/>
      <c r="AA3" s="508"/>
      <c r="AB3" s="508"/>
      <c r="AC3" s="508"/>
      <c r="AD3" s="508"/>
      <c r="AE3" s="508"/>
      <c r="AF3" s="508"/>
      <c r="AG3" s="508"/>
      <c r="AH3" s="508"/>
      <c r="AI3" s="508"/>
      <c r="AJ3" s="508"/>
      <c r="AK3" s="508"/>
      <c r="AL3" s="509"/>
      <c r="AM3" s="510" t="s">
        <v>12</v>
      </c>
      <c r="AN3" s="511"/>
      <c r="AO3" s="511"/>
      <c r="AP3" s="512"/>
      <c r="AQ3" s="504" t="str">
        <f>IF(Rev="","",Rev)</f>
        <v>r02.00</v>
      </c>
      <c r="AR3" s="505"/>
      <c r="AS3" s="505"/>
      <c r="AT3" s="506"/>
      <c r="AU3" s="564"/>
      <c r="AV3" s="565"/>
      <c r="AW3" s="565"/>
      <c r="AX3" s="566"/>
    </row>
    <row r="4" spans="1:50" ht="12.75" thickBot="1"/>
    <row r="5" spans="1:50" ht="12.75" thickBot="1">
      <c r="A5" s="18"/>
      <c r="B5" s="19"/>
      <c r="C5" s="19"/>
      <c r="D5" s="19"/>
      <c r="E5" s="19"/>
      <c r="F5" s="19"/>
      <c r="G5" s="19"/>
      <c r="H5" s="19"/>
      <c r="I5" s="19"/>
      <c r="J5" s="19"/>
      <c r="K5" s="19"/>
      <c r="L5" s="19"/>
      <c r="M5" s="19"/>
      <c r="N5" s="19"/>
      <c r="O5" s="19"/>
      <c r="P5" s="19"/>
      <c r="Q5" s="19"/>
      <c r="R5" s="19"/>
      <c r="S5" s="19"/>
      <c r="T5" s="19"/>
      <c r="U5" s="19"/>
      <c r="V5" s="19"/>
      <c r="W5" s="19"/>
      <c r="X5" s="19"/>
      <c r="Y5" s="19"/>
      <c r="Z5" s="19"/>
      <c r="AA5" s="19"/>
      <c r="AB5" s="19"/>
      <c r="AC5" s="19"/>
      <c r="AD5" s="19"/>
      <c r="AE5" s="19"/>
      <c r="AF5" s="19"/>
      <c r="AG5" s="19"/>
      <c r="AH5" s="19"/>
      <c r="AI5" s="19"/>
      <c r="AJ5" s="19"/>
      <c r="AK5" s="19"/>
      <c r="AL5" s="19"/>
      <c r="AM5" s="19"/>
      <c r="AN5" s="19"/>
      <c r="AO5" s="19"/>
      <c r="AP5" s="19"/>
      <c r="AQ5" s="19"/>
      <c r="AR5" s="19"/>
      <c r="AS5" s="19"/>
      <c r="AT5" s="19"/>
      <c r="AU5" s="19"/>
      <c r="AV5" s="19"/>
      <c r="AW5" s="19"/>
      <c r="AX5" s="31"/>
    </row>
    <row r="6" spans="1:50" ht="12.75" thickTop="1">
      <c r="A6" s="32" t="s">
        <v>33</v>
      </c>
      <c r="B6" s="33"/>
      <c r="C6" s="33"/>
      <c r="D6" s="33"/>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4"/>
    </row>
    <row r="7" spans="1:50">
      <c r="A7" s="20"/>
      <c r="B7" s="21" t="s">
        <v>104</v>
      </c>
      <c r="C7" s="21"/>
      <c r="D7" s="21"/>
      <c r="E7" s="21"/>
      <c r="F7" s="21"/>
      <c r="G7" s="21"/>
      <c r="H7" s="21"/>
      <c r="I7" s="21"/>
      <c r="J7" s="21"/>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c r="AM7" s="21"/>
      <c r="AN7" s="21"/>
      <c r="AO7" s="21"/>
      <c r="AP7" s="21"/>
      <c r="AQ7" s="21"/>
      <c r="AR7" s="21"/>
      <c r="AS7" s="21"/>
      <c r="AT7" s="21"/>
      <c r="AU7" s="21"/>
      <c r="AV7" s="21"/>
      <c r="AW7" s="21"/>
      <c r="AX7" s="35"/>
    </row>
    <row r="8" spans="1:50">
      <c r="A8" s="20"/>
      <c r="B8" s="30" t="s">
        <v>75</v>
      </c>
      <c r="C8" s="21" t="s">
        <v>230</v>
      </c>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35"/>
    </row>
    <row r="9" spans="1:50">
      <c r="A9" s="20"/>
      <c r="B9" s="30" t="s">
        <v>238</v>
      </c>
      <c r="C9" s="21" t="s">
        <v>231</v>
      </c>
      <c r="D9" s="21"/>
      <c r="E9" s="21"/>
      <c r="F9" s="21"/>
      <c r="G9" s="21"/>
      <c r="H9" s="21"/>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c r="AM9" s="21"/>
      <c r="AN9" s="21"/>
      <c r="AO9" s="21"/>
      <c r="AP9" s="21"/>
      <c r="AQ9" s="21"/>
      <c r="AR9" s="21"/>
      <c r="AS9" s="21"/>
      <c r="AT9" s="21"/>
      <c r="AU9" s="21"/>
      <c r="AV9" s="21"/>
      <c r="AW9" s="21"/>
      <c r="AX9" s="35"/>
    </row>
    <row r="10" spans="1:50">
      <c r="A10" s="20"/>
      <c r="B10" s="30"/>
      <c r="C10" s="21"/>
      <c r="D10" s="21"/>
      <c r="E10" s="21"/>
      <c r="F10" s="21"/>
      <c r="G10" s="21"/>
      <c r="H10" s="21"/>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c r="AM10" s="21"/>
      <c r="AN10" s="21"/>
      <c r="AO10" s="21"/>
      <c r="AP10" s="21"/>
      <c r="AQ10" s="21"/>
      <c r="AR10" s="21"/>
      <c r="AS10" s="21"/>
      <c r="AT10" s="21"/>
      <c r="AU10" s="21"/>
      <c r="AV10" s="21"/>
      <c r="AW10" s="21"/>
      <c r="AX10" s="35"/>
    </row>
    <row r="11" spans="1:50" s="4" customFormat="1">
      <c r="A11" s="20"/>
      <c r="B11" s="30" t="s">
        <v>105</v>
      </c>
      <c r="C11" s="21"/>
      <c r="D11" s="21"/>
      <c r="E11" s="21"/>
      <c r="F11" s="21"/>
      <c r="G11" s="21"/>
      <c r="H11" s="21"/>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c r="AM11" s="21"/>
      <c r="AN11" s="21"/>
      <c r="AO11" s="21"/>
      <c r="AP11" s="21"/>
      <c r="AQ11" s="21"/>
      <c r="AR11" s="21"/>
      <c r="AS11" s="21"/>
      <c r="AT11" s="21"/>
      <c r="AU11" s="21"/>
      <c r="AV11" s="21"/>
      <c r="AW11" s="21"/>
      <c r="AX11" s="35"/>
    </row>
    <row r="12" spans="1:50" s="4" customFormat="1">
      <c r="A12" s="20"/>
      <c r="B12" s="30" t="s">
        <v>75</v>
      </c>
      <c r="C12" s="21" t="s">
        <v>232</v>
      </c>
      <c r="D12" s="21"/>
      <c r="E12" s="21"/>
      <c r="F12" s="21"/>
      <c r="G12" s="21"/>
      <c r="H12" s="21"/>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c r="AM12" s="21"/>
      <c r="AN12" s="21"/>
      <c r="AO12" s="21"/>
      <c r="AP12" s="21"/>
      <c r="AQ12" s="21"/>
      <c r="AR12" s="21"/>
      <c r="AS12" s="21"/>
      <c r="AT12" s="21"/>
      <c r="AU12" s="21"/>
      <c r="AV12" s="21"/>
      <c r="AW12" s="21"/>
      <c r="AX12" s="35"/>
    </row>
    <row r="13" spans="1:50" s="4" customFormat="1">
      <c r="A13" s="20"/>
      <c r="B13" s="30" t="s">
        <v>75</v>
      </c>
      <c r="C13" s="21" t="s">
        <v>233</v>
      </c>
      <c r="D13" s="21"/>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c r="AO13" s="21"/>
      <c r="AP13" s="21"/>
      <c r="AQ13" s="21"/>
      <c r="AR13" s="21"/>
      <c r="AS13" s="21"/>
      <c r="AT13" s="21"/>
      <c r="AU13" s="21"/>
      <c r="AV13" s="21"/>
      <c r="AW13" s="21"/>
      <c r="AX13" s="35"/>
    </row>
    <row r="14" spans="1:50" s="4" customFormat="1">
      <c r="A14" s="20"/>
      <c r="B14" s="30"/>
      <c r="C14" s="21"/>
      <c r="D14" s="21"/>
      <c r="E14" s="21"/>
      <c r="F14" s="21"/>
      <c r="G14" s="21"/>
      <c r="H14" s="21"/>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c r="AM14" s="21"/>
      <c r="AN14" s="21"/>
      <c r="AO14" s="21"/>
      <c r="AP14" s="21"/>
      <c r="AQ14" s="21"/>
      <c r="AR14" s="21"/>
      <c r="AS14" s="21"/>
      <c r="AT14" s="21"/>
      <c r="AU14" s="21"/>
      <c r="AV14" s="21"/>
      <c r="AW14" s="21"/>
      <c r="AX14" s="35"/>
    </row>
    <row r="15" spans="1:50">
      <c r="A15" s="20"/>
      <c r="B15" s="21"/>
      <c r="C15" s="21"/>
      <c r="D15" s="21"/>
      <c r="E15" s="21"/>
      <c r="F15" s="21"/>
      <c r="G15" s="21"/>
      <c r="H15" s="21"/>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c r="AM15" s="21"/>
      <c r="AN15" s="21"/>
      <c r="AO15" s="21"/>
      <c r="AP15" s="21"/>
      <c r="AQ15" s="21"/>
      <c r="AR15" s="21"/>
      <c r="AS15" s="21"/>
      <c r="AT15" s="21"/>
      <c r="AU15" s="21"/>
      <c r="AV15" s="21"/>
      <c r="AW15" s="21"/>
      <c r="AX15" s="35"/>
    </row>
    <row r="16" spans="1:50">
      <c r="A16" s="36" t="s">
        <v>61</v>
      </c>
      <c r="B16" s="37"/>
      <c r="C16" s="37"/>
      <c r="D16" s="37"/>
      <c r="E16" s="37"/>
      <c r="F16" s="37"/>
      <c r="G16" s="37"/>
      <c r="H16" s="37"/>
      <c r="I16" s="37"/>
      <c r="J16" s="37"/>
      <c r="K16" s="37"/>
      <c r="L16" s="37"/>
      <c r="M16" s="37"/>
      <c r="N16" s="37"/>
      <c r="O16" s="37"/>
      <c r="P16" s="37"/>
      <c r="Q16" s="37"/>
      <c r="R16" s="37"/>
      <c r="S16" s="37"/>
      <c r="T16" s="37"/>
      <c r="U16" s="37"/>
      <c r="V16" s="37"/>
      <c r="W16" s="37"/>
      <c r="X16" s="37"/>
      <c r="Y16" s="37"/>
      <c r="Z16" s="37"/>
      <c r="AA16" s="37"/>
      <c r="AB16" s="37"/>
      <c r="AC16" s="37"/>
      <c r="AD16" s="37"/>
      <c r="AE16" s="37"/>
      <c r="AF16" s="37"/>
      <c r="AG16" s="37"/>
      <c r="AH16" s="37"/>
      <c r="AI16" s="37"/>
      <c r="AJ16" s="37"/>
      <c r="AK16" s="37"/>
      <c r="AL16" s="37"/>
      <c r="AM16" s="37"/>
      <c r="AN16" s="37"/>
      <c r="AO16" s="37"/>
      <c r="AP16" s="37"/>
      <c r="AQ16" s="37"/>
      <c r="AR16" s="37"/>
      <c r="AS16" s="37"/>
      <c r="AT16" s="37"/>
      <c r="AU16" s="37"/>
      <c r="AV16" s="37"/>
      <c r="AW16" s="37"/>
      <c r="AX16" s="38"/>
    </row>
    <row r="17" spans="1:50">
      <c r="A17" s="20"/>
      <c r="B17" s="21"/>
      <c r="C17" s="21"/>
      <c r="D17" s="21"/>
      <c r="E17" s="21"/>
      <c r="F17" s="21"/>
      <c r="G17" s="21"/>
      <c r="H17" s="21"/>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21"/>
      <c r="AR17" s="21"/>
      <c r="AS17" s="21"/>
      <c r="AT17" s="21"/>
      <c r="AU17" s="21"/>
      <c r="AV17" s="21"/>
      <c r="AW17" s="21"/>
      <c r="AX17" s="35"/>
    </row>
    <row r="18" spans="1:50">
      <c r="A18" s="20"/>
      <c r="B18" s="21"/>
      <c r="C18" s="21"/>
      <c r="D18" s="21"/>
      <c r="E18" s="21"/>
      <c r="F18" s="21"/>
      <c r="G18" s="21"/>
      <c r="H18" s="21"/>
      <c r="I18" s="21"/>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c r="AM18" s="21"/>
      <c r="AN18" s="21"/>
      <c r="AO18" s="21"/>
      <c r="AP18" s="21"/>
      <c r="AQ18" s="21"/>
      <c r="AR18" s="21"/>
      <c r="AS18" s="21"/>
      <c r="AT18" s="21"/>
      <c r="AU18" s="21"/>
      <c r="AV18" s="21"/>
      <c r="AW18" s="21"/>
      <c r="AX18" s="35"/>
    </row>
    <row r="19" spans="1:50">
      <c r="A19" s="36" t="s">
        <v>62</v>
      </c>
      <c r="B19" s="37"/>
      <c r="C19" s="37"/>
      <c r="D19" s="37"/>
      <c r="E19" s="37"/>
      <c r="F19" s="37"/>
      <c r="G19" s="37"/>
      <c r="H19" s="37"/>
      <c r="I19" s="37"/>
      <c r="J19" s="37"/>
      <c r="K19" s="37"/>
      <c r="L19" s="37"/>
      <c r="M19" s="37"/>
      <c r="N19" s="37"/>
      <c r="O19" s="37"/>
      <c r="P19" s="37"/>
      <c r="Q19" s="37"/>
      <c r="R19" s="37"/>
      <c r="S19" s="37"/>
      <c r="T19" s="37"/>
      <c r="U19" s="37"/>
      <c r="V19" s="37"/>
      <c r="W19" s="37"/>
      <c r="X19" s="37"/>
      <c r="Y19" s="37"/>
      <c r="Z19" s="37"/>
      <c r="AA19" s="37"/>
      <c r="AB19" s="37"/>
      <c r="AC19" s="37"/>
      <c r="AD19" s="37"/>
      <c r="AE19" s="37"/>
      <c r="AF19" s="37"/>
      <c r="AG19" s="37"/>
      <c r="AH19" s="37"/>
      <c r="AI19" s="37"/>
      <c r="AJ19" s="37"/>
      <c r="AK19" s="37"/>
      <c r="AL19" s="37"/>
      <c r="AM19" s="37"/>
      <c r="AN19" s="37"/>
      <c r="AO19" s="37"/>
      <c r="AP19" s="37"/>
      <c r="AQ19" s="37"/>
      <c r="AR19" s="37"/>
      <c r="AS19" s="37"/>
      <c r="AT19" s="37"/>
      <c r="AU19" s="37"/>
      <c r="AV19" s="37"/>
      <c r="AW19" s="37"/>
      <c r="AX19" s="38"/>
    </row>
    <row r="20" spans="1:50">
      <c r="A20" s="39" t="s">
        <v>68</v>
      </c>
      <c r="B20" s="40"/>
      <c r="C20" s="41" t="s">
        <v>71</v>
      </c>
      <c r="D20" s="42"/>
      <c r="E20" s="42"/>
      <c r="F20" s="42"/>
      <c r="G20" s="42"/>
      <c r="H20" s="40"/>
      <c r="I20" s="41" t="s">
        <v>47</v>
      </c>
      <c r="J20" s="42"/>
      <c r="K20" s="42"/>
      <c r="L20" s="42"/>
      <c r="M20" s="42"/>
      <c r="N20" s="42"/>
      <c r="O20" s="42"/>
      <c r="P20" s="42"/>
      <c r="Q20" s="42"/>
      <c r="R20" s="42"/>
      <c r="S20" s="42"/>
      <c r="T20" s="42"/>
      <c r="U20" s="42"/>
      <c r="V20" s="42"/>
      <c r="W20" s="42"/>
      <c r="X20" s="42"/>
      <c r="Y20" s="42"/>
      <c r="Z20" s="42"/>
      <c r="AA20" s="42"/>
      <c r="AB20" s="42"/>
      <c r="AC20" s="42"/>
      <c r="AD20" s="42"/>
      <c r="AE20" s="42"/>
      <c r="AF20" s="42"/>
      <c r="AG20" s="42"/>
      <c r="AH20" s="42"/>
      <c r="AI20" s="42"/>
      <c r="AJ20" s="42"/>
      <c r="AK20" s="42"/>
      <c r="AL20" s="42"/>
      <c r="AM20" s="42"/>
      <c r="AN20" s="42"/>
      <c r="AO20" s="42"/>
      <c r="AP20" s="42"/>
      <c r="AQ20" s="42"/>
      <c r="AR20" s="42"/>
      <c r="AS20" s="42"/>
      <c r="AT20" s="42"/>
      <c r="AU20" s="42"/>
      <c r="AV20" s="42"/>
      <c r="AW20" s="42"/>
      <c r="AX20" s="43"/>
    </row>
    <row r="21" spans="1:50">
      <c r="A21" s="44"/>
      <c r="B21" s="45"/>
      <c r="C21" s="46" t="s">
        <v>72</v>
      </c>
      <c r="D21" s="47"/>
      <c r="E21" s="47"/>
      <c r="F21" s="48" t="s">
        <v>73</v>
      </c>
      <c r="G21" s="49"/>
      <c r="H21" s="48"/>
      <c r="I21" s="50"/>
      <c r="J21" s="51"/>
      <c r="K21" s="51"/>
      <c r="L21" s="51"/>
      <c r="M21" s="51"/>
      <c r="N21" s="51"/>
      <c r="O21" s="51"/>
      <c r="P21" s="51"/>
      <c r="Q21" s="51"/>
      <c r="R21" s="51"/>
      <c r="S21" s="51"/>
      <c r="T21" s="51"/>
      <c r="U21" s="51"/>
      <c r="V21" s="51"/>
      <c r="W21" s="51"/>
      <c r="X21" s="51"/>
      <c r="Y21" s="51"/>
      <c r="Z21" s="51"/>
      <c r="AA21" s="51"/>
      <c r="AB21" s="51"/>
      <c r="AC21" s="51"/>
      <c r="AD21" s="51"/>
      <c r="AE21" s="51"/>
      <c r="AF21" s="51"/>
      <c r="AG21" s="51"/>
      <c r="AH21" s="51"/>
      <c r="AI21" s="51"/>
      <c r="AJ21" s="51"/>
      <c r="AK21" s="51"/>
      <c r="AL21" s="51"/>
      <c r="AM21" s="51"/>
      <c r="AN21" s="51"/>
      <c r="AO21" s="51"/>
      <c r="AP21" s="51"/>
      <c r="AQ21" s="51"/>
      <c r="AR21" s="51"/>
      <c r="AS21" s="51"/>
      <c r="AT21" s="51"/>
      <c r="AU21" s="51"/>
      <c r="AV21" s="51"/>
      <c r="AW21" s="51"/>
      <c r="AX21" s="52"/>
    </row>
    <row r="22" spans="1:50" s="4" customFormat="1">
      <c r="A22" s="502">
        <v>1</v>
      </c>
      <c r="B22" s="503"/>
      <c r="C22" s="80" t="s">
        <v>82</v>
      </c>
      <c r="D22" s="53"/>
      <c r="E22" s="54"/>
      <c r="F22" s="55">
        <v>7</v>
      </c>
      <c r="G22" s="56">
        <v>3</v>
      </c>
      <c r="H22" s="57">
        <v>1</v>
      </c>
      <c r="I22" s="58" t="s">
        <v>239</v>
      </c>
      <c r="J22" s="58"/>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c r="AM22" s="21"/>
      <c r="AN22" s="21"/>
      <c r="AO22" s="21"/>
      <c r="AP22" s="21"/>
      <c r="AQ22" s="21"/>
      <c r="AR22" s="21"/>
      <c r="AS22" s="21"/>
      <c r="AT22" s="21"/>
      <c r="AU22" s="21"/>
      <c r="AV22" s="21"/>
      <c r="AW22" s="21"/>
      <c r="AX22" s="35"/>
    </row>
    <row r="23" spans="1:50" s="4" customFormat="1">
      <c r="A23" s="328"/>
      <c r="B23" s="329"/>
      <c r="C23" s="330"/>
      <c r="D23" s="331"/>
      <c r="E23" s="332"/>
      <c r="F23" s="333"/>
      <c r="G23" s="334"/>
      <c r="H23" s="335"/>
      <c r="I23" s="21" t="s">
        <v>169</v>
      </c>
      <c r="J23" s="21" t="s">
        <v>240</v>
      </c>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c r="AM23" s="21"/>
      <c r="AN23" s="21"/>
      <c r="AO23" s="21"/>
      <c r="AP23" s="21"/>
      <c r="AQ23" s="21"/>
      <c r="AR23" s="21"/>
      <c r="AS23" s="21"/>
      <c r="AT23" s="21"/>
      <c r="AU23" s="21"/>
      <c r="AV23" s="21"/>
      <c r="AW23" s="21"/>
      <c r="AX23" s="35"/>
    </row>
    <row r="24" spans="1:50" s="4" customFormat="1">
      <c r="A24" s="328"/>
      <c r="B24" s="331"/>
      <c r="C24" s="330"/>
      <c r="D24" s="331"/>
      <c r="E24" s="332"/>
      <c r="F24" s="333"/>
      <c r="G24" s="334"/>
      <c r="H24" s="335"/>
      <c r="I24" s="21" t="s">
        <v>169</v>
      </c>
      <c r="J24" s="21" t="s">
        <v>241</v>
      </c>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c r="AM24" s="21"/>
      <c r="AN24" s="21"/>
      <c r="AO24" s="21"/>
      <c r="AP24" s="21"/>
      <c r="AQ24" s="21"/>
      <c r="AR24" s="21"/>
      <c r="AS24" s="21"/>
      <c r="AT24" s="21"/>
      <c r="AU24" s="21"/>
      <c r="AV24" s="21"/>
      <c r="AW24" s="21"/>
      <c r="AX24" s="35"/>
    </row>
    <row r="25" spans="1:50" s="4" customFormat="1">
      <c r="A25" s="328"/>
      <c r="B25" s="331"/>
      <c r="C25" s="81"/>
      <c r="D25" s="61"/>
      <c r="E25" s="62"/>
      <c r="F25" s="63"/>
      <c r="G25" s="64"/>
      <c r="H25" s="65"/>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c r="AM25" s="21"/>
      <c r="AN25" s="21"/>
      <c r="AO25" s="21"/>
      <c r="AP25" s="21"/>
      <c r="AQ25" s="21"/>
      <c r="AR25" s="21"/>
      <c r="AS25" s="21"/>
      <c r="AT25" s="21"/>
      <c r="AU25" s="21"/>
      <c r="AV25" s="21"/>
      <c r="AW25" s="21"/>
      <c r="AX25" s="35"/>
    </row>
    <row r="26" spans="1:50" s="4" customFormat="1">
      <c r="A26" s="327"/>
      <c r="B26" s="53">
        <v>2</v>
      </c>
      <c r="C26" s="80" t="s">
        <v>82</v>
      </c>
      <c r="D26" s="53"/>
      <c r="E26" s="54"/>
      <c r="F26" s="55">
        <v>7</v>
      </c>
      <c r="G26" s="56">
        <v>3</v>
      </c>
      <c r="H26" s="57">
        <v>2</v>
      </c>
      <c r="I26" s="58" t="s">
        <v>242</v>
      </c>
      <c r="J26" s="58"/>
      <c r="K26" s="58"/>
      <c r="L26" s="58"/>
      <c r="M26" s="58"/>
      <c r="N26" s="58"/>
      <c r="O26" s="58"/>
      <c r="P26" s="58"/>
      <c r="Q26" s="58"/>
      <c r="R26" s="58"/>
      <c r="S26" s="58"/>
      <c r="T26" s="58"/>
      <c r="U26" s="58"/>
      <c r="V26" s="58"/>
      <c r="W26" s="58"/>
      <c r="X26" s="58"/>
      <c r="Y26" s="58"/>
      <c r="Z26" s="58"/>
      <c r="AA26" s="58"/>
      <c r="AB26" s="58"/>
      <c r="AC26" s="58"/>
      <c r="AD26" s="58"/>
      <c r="AE26" s="58"/>
      <c r="AF26" s="58"/>
      <c r="AG26" s="58"/>
      <c r="AH26" s="58"/>
      <c r="AI26" s="58"/>
      <c r="AJ26" s="58"/>
      <c r="AK26" s="58"/>
      <c r="AL26" s="58"/>
      <c r="AM26" s="58"/>
      <c r="AN26" s="58"/>
      <c r="AO26" s="58"/>
      <c r="AP26" s="58"/>
      <c r="AQ26" s="58"/>
      <c r="AR26" s="58"/>
      <c r="AS26" s="58"/>
      <c r="AT26" s="58"/>
      <c r="AU26" s="58"/>
      <c r="AV26" s="58"/>
      <c r="AW26" s="58"/>
      <c r="AX26" s="59"/>
    </row>
    <row r="27" spans="1:50" s="4" customFormat="1">
      <c r="A27" s="328"/>
      <c r="B27" s="331"/>
      <c r="C27" s="330"/>
      <c r="D27" s="331"/>
      <c r="E27" s="332"/>
      <c r="F27" s="333"/>
      <c r="G27" s="334"/>
      <c r="H27" s="335"/>
      <c r="I27" s="21" t="s">
        <v>169</v>
      </c>
      <c r="J27" s="21" t="s">
        <v>243</v>
      </c>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c r="AM27" s="21"/>
      <c r="AN27" s="21"/>
      <c r="AO27" s="21"/>
      <c r="AP27" s="21"/>
      <c r="AQ27" s="21"/>
      <c r="AR27" s="21"/>
      <c r="AS27" s="21"/>
      <c r="AT27" s="21"/>
      <c r="AU27" s="21"/>
      <c r="AV27" s="21"/>
      <c r="AW27" s="21"/>
      <c r="AX27" s="35"/>
    </row>
    <row r="28" spans="1:50" s="4" customFormat="1">
      <c r="A28" s="60"/>
      <c r="B28" s="61"/>
      <c r="C28" s="330"/>
      <c r="D28" s="331"/>
      <c r="E28" s="332"/>
      <c r="F28" s="333"/>
      <c r="G28" s="334"/>
      <c r="H28" s="335"/>
      <c r="I28" s="66"/>
      <c r="J28" s="66"/>
      <c r="K28" s="66"/>
      <c r="L28" s="66"/>
      <c r="M28" s="66"/>
      <c r="N28" s="66"/>
      <c r="O28" s="66"/>
      <c r="P28" s="66"/>
      <c r="Q28" s="66"/>
      <c r="R28" s="66"/>
      <c r="S28" s="66"/>
      <c r="T28" s="66"/>
      <c r="U28" s="66"/>
      <c r="V28" s="66"/>
      <c r="W28" s="66"/>
      <c r="X28" s="66"/>
      <c r="Y28" s="66"/>
      <c r="Z28" s="66"/>
      <c r="AA28" s="66"/>
      <c r="AB28" s="66"/>
      <c r="AC28" s="66"/>
      <c r="AD28" s="66"/>
      <c r="AE28" s="66"/>
      <c r="AF28" s="66"/>
      <c r="AG28" s="66"/>
      <c r="AH28" s="66"/>
      <c r="AI28" s="66"/>
      <c r="AJ28" s="66"/>
      <c r="AK28" s="66"/>
      <c r="AL28" s="66"/>
      <c r="AM28" s="66"/>
      <c r="AN28" s="66"/>
      <c r="AO28" s="66"/>
      <c r="AP28" s="66"/>
      <c r="AQ28" s="66"/>
      <c r="AR28" s="66"/>
      <c r="AS28" s="66"/>
      <c r="AT28" s="66"/>
      <c r="AU28" s="66"/>
      <c r="AV28" s="66"/>
      <c r="AW28" s="66"/>
      <c r="AX28" s="67"/>
    </row>
    <row r="29" spans="1:50" s="4" customFormat="1">
      <c r="A29" s="36" t="s">
        <v>244</v>
      </c>
      <c r="B29" s="37"/>
      <c r="C29" s="37"/>
      <c r="D29" s="37"/>
      <c r="E29" s="37"/>
      <c r="F29" s="37"/>
      <c r="G29" s="37"/>
      <c r="H29" s="37"/>
      <c r="I29" s="37"/>
      <c r="J29" s="37"/>
      <c r="K29" s="37"/>
      <c r="L29" s="37"/>
      <c r="M29" s="37"/>
      <c r="N29" s="37"/>
      <c r="O29" s="37"/>
      <c r="P29" s="37"/>
      <c r="Q29" s="37"/>
      <c r="R29" s="37"/>
      <c r="S29" s="37"/>
      <c r="T29" s="37"/>
      <c r="U29" s="37"/>
      <c r="V29" s="37"/>
      <c r="W29" s="37"/>
      <c r="X29" s="37"/>
      <c r="Y29" s="37"/>
      <c r="Z29" s="37"/>
      <c r="AA29" s="37"/>
      <c r="AB29" s="37"/>
      <c r="AC29" s="37"/>
      <c r="AD29" s="37"/>
      <c r="AE29" s="37"/>
      <c r="AF29" s="37"/>
      <c r="AG29" s="37"/>
      <c r="AH29" s="37"/>
      <c r="AI29" s="37"/>
      <c r="AJ29" s="37"/>
      <c r="AK29" s="37"/>
      <c r="AL29" s="37"/>
      <c r="AM29" s="37"/>
      <c r="AN29" s="37"/>
      <c r="AO29" s="37"/>
      <c r="AP29" s="37"/>
      <c r="AQ29" s="37"/>
      <c r="AR29" s="37"/>
      <c r="AS29" s="37"/>
      <c r="AT29" s="37"/>
      <c r="AU29" s="37"/>
      <c r="AV29" s="37"/>
      <c r="AW29" s="37"/>
      <c r="AX29" s="38"/>
    </row>
    <row r="30" spans="1:50" s="4" customFormat="1">
      <c r="A30" s="336" t="s">
        <v>245</v>
      </c>
      <c r="B30" s="21" t="s">
        <v>246</v>
      </c>
      <c r="C30" s="21"/>
      <c r="D30" s="21"/>
      <c r="E30" s="21"/>
      <c r="F30" s="21"/>
      <c r="G30" s="21"/>
      <c r="H30" s="21"/>
      <c r="I30" s="21"/>
      <c r="J30" s="21"/>
      <c r="K30" s="21"/>
      <c r="L30" s="21"/>
      <c r="M30" s="21"/>
      <c r="N30" s="21"/>
      <c r="O30" s="21"/>
      <c r="P30" s="21"/>
      <c r="Q30" s="21"/>
      <c r="R30" s="21"/>
      <c r="S30" s="21"/>
      <c r="T30" s="21"/>
      <c r="U30" s="21"/>
      <c r="V30" s="21"/>
      <c r="W30" s="21"/>
      <c r="X30" s="21"/>
      <c r="Y30" s="21"/>
      <c r="Z30" s="21"/>
      <c r="AA30" s="21"/>
      <c r="AB30" s="21"/>
      <c r="AC30" s="21"/>
      <c r="AD30" s="21"/>
      <c r="AE30" s="21"/>
      <c r="AF30" s="21"/>
      <c r="AG30" s="21"/>
      <c r="AH30" s="21"/>
      <c r="AI30" s="21"/>
      <c r="AJ30" s="21"/>
      <c r="AK30" s="21"/>
      <c r="AL30" s="21"/>
      <c r="AM30" s="21"/>
      <c r="AN30" s="21"/>
      <c r="AO30" s="21"/>
      <c r="AP30" s="21"/>
      <c r="AQ30" s="21"/>
      <c r="AR30" s="21"/>
      <c r="AS30" s="21"/>
      <c r="AT30" s="21"/>
      <c r="AU30" s="21"/>
      <c r="AV30" s="21"/>
      <c r="AW30" s="21"/>
      <c r="AX30" s="35"/>
    </row>
    <row r="31" spans="1:50" s="4" customFormat="1">
      <c r="A31" s="20"/>
      <c r="B31" s="21"/>
      <c r="C31" s="21"/>
      <c r="D31" s="21"/>
      <c r="E31" s="21"/>
      <c r="F31" s="21"/>
      <c r="G31" s="21"/>
      <c r="H31" s="21"/>
      <c r="I31" s="21"/>
      <c r="J31" s="21"/>
      <c r="K31" s="21"/>
      <c r="L31" s="21"/>
      <c r="M31" s="21"/>
      <c r="N31" s="21"/>
      <c r="O31" s="21"/>
      <c r="P31" s="21"/>
      <c r="Q31" s="21"/>
      <c r="R31" s="21"/>
      <c r="S31" s="21"/>
      <c r="T31" s="21"/>
      <c r="U31" s="21"/>
      <c r="V31" s="21"/>
      <c r="W31" s="21"/>
      <c r="X31" s="21"/>
      <c r="Y31" s="21"/>
      <c r="Z31" s="21"/>
      <c r="AA31" s="21"/>
      <c r="AB31" s="21"/>
      <c r="AC31" s="21"/>
      <c r="AD31" s="21"/>
      <c r="AE31" s="21"/>
      <c r="AF31" s="21"/>
      <c r="AG31" s="21"/>
      <c r="AH31" s="21"/>
      <c r="AI31" s="21"/>
      <c r="AJ31" s="21"/>
      <c r="AK31" s="21"/>
      <c r="AL31" s="21"/>
      <c r="AM31" s="21"/>
      <c r="AN31" s="21"/>
      <c r="AO31" s="21"/>
      <c r="AP31" s="21"/>
      <c r="AQ31" s="21"/>
      <c r="AR31" s="21"/>
      <c r="AS31" s="21"/>
      <c r="AT31" s="21"/>
      <c r="AU31" s="21"/>
      <c r="AV31" s="21"/>
      <c r="AW31" s="21"/>
      <c r="AX31" s="35"/>
    </row>
    <row r="32" spans="1:50" s="4" customFormat="1">
      <c r="A32" s="36" t="s">
        <v>249</v>
      </c>
      <c r="B32" s="37"/>
      <c r="C32" s="37"/>
      <c r="D32" s="37"/>
      <c r="E32" s="37"/>
      <c r="F32" s="37"/>
      <c r="G32" s="37"/>
      <c r="H32" s="37"/>
      <c r="I32" s="37"/>
      <c r="J32" s="37"/>
      <c r="K32" s="37"/>
      <c r="L32" s="37"/>
      <c r="M32" s="37"/>
      <c r="N32" s="37"/>
      <c r="O32" s="37"/>
      <c r="P32" s="37"/>
      <c r="Q32" s="37"/>
      <c r="R32" s="37"/>
      <c r="S32" s="37"/>
      <c r="T32" s="37"/>
      <c r="U32" s="37"/>
      <c r="V32" s="37"/>
      <c r="W32" s="37"/>
      <c r="X32" s="37"/>
      <c r="Y32" s="37"/>
      <c r="Z32" s="37"/>
      <c r="AA32" s="37"/>
      <c r="AB32" s="37"/>
      <c r="AC32" s="37"/>
      <c r="AD32" s="37"/>
      <c r="AE32" s="37"/>
      <c r="AF32" s="37"/>
      <c r="AG32" s="37"/>
      <c r="AH32" s="37"/>
      <c r="AI32" s="37"/>
      <c r="AJ32" s="37"/>
      <c r="AK32" s="37"/>
      <c r="AL32" s="37"/>
      <c r="AM32" s="37"/>
      <c r="AN32" s="37"/>
      <c r="AO32" s="37"/>
      <c r="AP32" s="37"/>
      <c r="AQ32" s="37"/>
      <c r="AR32" s="37"/>
      <c r="AS32" s="37"/>
      <c r="AT32" s="37"/>
      <c r="AU32" s="37"/>
      <c r="AV32" s="37"/>
      <c r="AW32" s="37"/>
      <c r="AX32" s="38"/>
    </row>
    <row r="33" spans="1:50" s="4" customFormat="1">
      <c r="A33" s="339" t="s">
        <v>250</v>
      </c>
      <c r="B33" s="340" t="s">
        <v>28</v>
      </c>
      <c r="C33" s="47"/>
      <c r="D33" s="47"/>
      <c r="E33" s="47"/>
      <c r="F33" s="47"/>
      <c r="G33" s="47"/>
      <c r="H33" s="47"/>
      <c r="I33" s="47"/>
      <c r="J33" s="47"/>
      <c r="K33" s="340" t="s">
        <v>194</v>
      </c>
      <c r="L33" s="47"/>
      <c r="M33" s="47"/>
      <c r="N33" s="47"/>
      <c r="O33" s="47"/>
      <c r="P33" s="47"/>
      <c r="Q33" s="47"/>
      <c r="R33" s="47"/>
      <c r="S33" s="47"/>
      <c r="T33" s="47"/>
      <c r="U33" s="47"/>
      <c r="V33" s="47"/>
      <c r="W33" s="47"/>
      <c r="X33" s="47"/>
      <c r="Y33" s="47"/>
      <c r="Z33" s="47"/>
      <c r="AA33" s="47"/>
      <c r="AB33" s="47"/>
      <c r="AC33" s="47"/>
      <c r="AD33" s="47"/>
      <c r="AE33" s="47"/>
      <c r="AF33" s="47"/>
      <c r="AG33" s="47"/>
      <c r="AH33" s="47"/>
      <c r="AI33" s="47"/>
      <c r="AJ33" s="47"/>
      <c r="AK33" s="47"/>
      <c r="AL33" s="340" t="s">
        <v>251</v>
      </c>
      <c r="AM33" s="47"/>
      <c r="AN33" s="47"/>
      <c r="AO33" s="47"/>
      <c r="AP33" s="47"/>
      <c r="AQ33" s="47"/>
      <c r="AR33" s="47"/>
      <c r="AS33" s="47"/>
      <c r="AT33" s="47"/>
      <c r="AU33" s="47"/>
      <c r="AV33" s="47"/>
      <c r="AW33" s="47"/>
      <c r="AX33" s="341"/>
    </row>
    <row r="34" spans="1:50" s="4" customFormat="1">
      <c r="A34" s="342"/>
      <c r="B34" s="85" t="s">
        <v>252</v>
      </c>
      <c r="C34" s="86"/>
      <c r="D34" s="86"/>
      <c r="E34" s="86"/>
      <c r="F34" s="86"/>
      <c r="G34" s="86"/>
      <c r="H34" s="86"/>
      <c r="I34" s="86"/>
      <c r="J34" s="86"/>
      <c r="K34" s="85" t="s">
        <v>258</v>
      </c>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5" t="s">
        <v>255</v>
      </c>
      <c r="AM34" s="86"/>
      <c r="AN34" s="86"/>
      <c r="AO34" s="86"/>
      <c r="AP34" s="86"/>
      <c r="AQ34" s="86"/>
      <c r="AR34" s="86"/>
      <c r="AS34" s="86"/>
      <c r="AT34" s="86"/>
      <c r="AU34" s="86"/>
      <c r="AV34" s="86"/>
      <c r="AW34" s="86"/>
      <c r="AX34" s="343"/>
    </row>
    <row r="35" spans="1:50" s="4" customFormat="1">
      <c r="A35" s="342"/>
      <c r="B35" s="85" t="s">
        <v>253</v>
      </c>
      <c r="C35" s="86"/>
      <c r="D35" s="86"/>
      <c r="E35" s="86"/>
      <c r="F35" s="86"/>
      <c r="G35" s="86"/>
      <c r="H35" s="86"/>
      <c r="I35" s="86"/>
      <c r="J35" s="86"/>
      <c r="K35" s="85" t="s">
        <v>259</v>
      </c>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5" t="s">
        <v>256</v>
      </c>
      <c r="AM35" s="86"/>
      <c r="AN35" s="86"/>
      <c r="AO35" s="86"/>
      <c r="AP35" s="86"/>
      <c r="AQ35" s="86"/>
      <c r="AR35" s="86"/>
      <c r="AS35" s="86"/>
      <c r="AT35" s="86"/>
      <c r="AU35" s="86"/>
      <c r="AV35" s="86"/>
      <c r="AW35" s="86"/>
      <c r="AX35" s="343"/>
    </row>
    <row r="36" spans="1:50" s="4" customFormat="1">
      <c r="A36" s="342"/>
      <c r="B36" s="85" t="s">
        <v>254</v>
      </c>
      <c r="C36" s="86"/>
      <c r="D36" s="86"/>
      <c r="E36" s="86"/>
      <c r="F36" s="86"/>
      <c r="G36" s="86"/>
      <c r="H36" s="86"/>
      <c r="I36" s="86"/>
      <c r="J36" s="86"/>
      <c r="K36" s="85" t="s">
        <v>260</v>
      </c>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5" t="s">
        <v>257</v>
      </c>
      <c r="AM36" s="86"/>
      <c r="AN36" s="86"/>
      <c r="AO36" s="86"/>
      <c r="AP36" s="86"/>
      <c r="AQ36" s="86"/>
      <c r="AR36" s="86"/>
      <c r="AS36" s="86"/>
      <c r="AT36" s="86"/>
      <c r="AU36" s="86"/>
      <c r="AV36" s="86"/>
      <c r="AW36" s="86"/>
      <c r="AX36" s="343"/>
    </row>
    <row r="37" spans="1:50" s="4" customFormat="1">
      <c r="A37" s="36" t="s">
        <v>261</v>
      </c>
      <c r="B37" s="37"/>
      <c r="C37" s="37"/>
      <c r="D37" s="37"/>
      <c r="E37" s="37"/>
      <c r="F37" s="37"/>
      <c r="G37" s="37"/>
      <c r="H37" s="37"/>
      <c r="I37" s="37"/>
      <c r="J37" s="37"/>
      <c r="K37" s="37"/>
      <c r="L37" s="37"/>
      <c r="M37" s="37"/>
      <c r="N37" s="37"/>
      <c r="O37" s="37"/>
      <c r="P37" s="37"/>
      <c r="Q37" s="37"/>
      <c r="R37" s="37"/>
      <c r="S37" s="37"/>
      <c r="T37" s="37"/>
      <c r="U37" s="37"/>
      <c r="V37" s="37"/>
      <c r="W37" s="37"/>
      <c r="X37" s="37"/>
      <c r="Y37" s="37"/>
      <c r="Z37" s="37"/>
      <c r="AA37" s="37"/>
      <c r="AB37" s="37"/>
      <c r="AC37" s="37"/>
      <c r="AD37" s="37"/>
      <c r="AE37" s="37"/>
      <c r="AF37" s="37"/>
      <c r="AG37" s="37"/>
      <c r="AH37" s="37"/>
      <c r="AI37" s="37"/>
      <c r="AJ37" s="37"/>
      <c r="AK37" s="37"/>
      <c r="AL37" s="37"/>
      <c r="AM37" s="37"/>
      <c r="AN37" s="37"/>
      <c r="AO37" s="37"/>
      <c r="AP37" s="37"/>
      <c r="AQ37" s="37"/>
      <c r="AR37" s="37"/>
      <c r="AS37" s="37"/>
      <c r="AT37" s="37"/>
      <c r="AU37" s="37"/>
      <c r="AV37" s="37"/>
      <c r="AW37" s="37"/>
      <c r="AX37" s="38"/>
    </row>
    <row r="38" spans="1:50" s="4" customFormat="1">
      <c r="A38" s="344" t="s">
        <v>156</v>
      </c>
      <c r="B38" s="345"/>
      <c r="C38" s="340" t="s">
        <v>263</v>
      </c>
      <c r="D38" s="47"/>
      <c r="E38" s="47"/>
      <c r="F38" s="47"/>
      <c r="G38" s="340" t="s">
        <v>264</v>
      </c>
      <c r="H38" s="47"/>
      <c r="I38" s="47"/>
      <c r="J38" s="47"/>
      <c r="K38" s="340" t="s">
        <v>194</v>
      </c>
      <c r="L38" s="47"/>
      <c r="M38" s="47"/>
      <c r="N38" s="47"/>
      <c r="O38" s="47"/>
      <c r="P38" s="47"/>
      <c r="Q38" s="47"/>
      <c r="R38" s="47"/>
      <c r="S38" s="47"/>
      <c r="T38" s="47"/>
      <c r="U38" s="47"/>
      <c r="V38" s="47"/>
      <c r="W38" s="47"/>
      <c r="X38" s="47"/>
      <c r="Y38" s="47"/>
      <c r="Z38" s="47"/>
      <c r="AA38" s="47"/>
      <c r="AB38" s="47"/>
      <c r="AC38" s="47"/>
      <c r="AD38" s="47"/>
      <c r="AE38" s="47"/>
      <c r="AF38" s="47"/>
      <c r="AG38" s="47"/>
      <c r="AH38" s="47"/>
      <c r="AI38" s="47"/>
      <c r="AJ38" s="47"/>
      <c r="AK38" s="47"/>
      <c r="AL38" s="47"/>
      <c r="AM38" s="47"/>
      <c r="AN38" s="47"/>
      <c r="AO38" s="47"/>
      <c r="AP38" s="47"/>
      <c r="AQ38" s="47"/>
      <c r="AR38" s="47"/>
      <c r="AS38" s="47"/>
      <c r="AT38" s="47"/>
      <c r="AU38" s="340" t="s">
        <v>265</v>
      </c>
      <c r="AV38" s="47"/>
      <c r="AW38" s="47"/>
      <c r="AX38" s="341"/>
    </row>
    <row r="39" spans="1:50" s="4" customFormat="1">
      <c r="A39" s="346"/>
      <c r="B39" s="86">
        <v>1</v>
      </c>
      <c r="C39" s="498" t="s">
        <v>266</v>
      </c>
      <c r="D39" s="499"/>
      <c r="E39" s="499"/>
      <c r="F39" s="500"/>
      <c r="G39" s="498" t="s">
        <v>267</v>
      </c>
      <c r="H39" s="499"/>
      <c r="I39" s="499"/>
      <c r="J39" s="500"/>
      <c r="K39" s="85" t="s">
        <v>268</v>
      </c>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498">
        <v>0</v>
      </c>
      <c r="AV39" s="499"/>
      <c r="AW39" s="499"/>
      <c r="AX39" s="501"/>
    </row>
    <row r="40" spans="1:50" s="4" customFormat="1">
      <c r="A40" s="346"/>
      <c r="B40" s="86">
        <v>2</v>
      </c>
      <c r="C40" s="498" t="s">
        <v>266</v>
      </c>
      <c r="D40" s="499"/>
      <c r="E40" s="499"/>
      <c r="F40" s="500"/>
      <c r="G40" s="498" t="s">
        <v>267</v>
      </c>
      <c r="H40" s="499"/>
      <c r="I40" s="499"/>
      <c r="J40" s="500"/>
      <c r="K40" s="85" t="s">
        <v>269</v>
      </c>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498">
        <v>0</v>
      </c>
      <c r="AV40" s="499"/>
      <c r="AW40" s="499"/>
      <c r="AX40" s="501"/>
    </row>
    <row r="41" spans="1:50" s="4" customFormat="1">
      <c r="A41" s="346"/>
      <c r="B41" s="86"/>
      <c r="C41" s="498"/>
      <c r="D41" s="499"/>
      <c r="E41" s="499"/>
      <c r="F41" s="500"/>
      <c r="G41" s="498"/>
      <c r="H41" s="499"/>
      <c r="I41" s="499"/>
      <c r="J41" s="500"/>
      <c r="K41" s="85"/>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498"/>
      <c r="AV41" s="499"/>
      <c r="AW41" s="499"/>
      <c r="AX41" s="501"/>
    </row>
    <row r="42" spans="1:50" s="4" customFormat="1">
      <c r="A42" s="36" t="s">
        <v>270</v>
      </c>
      <c r="B42" s="37"/>
      <c r="C42" s="37"/>
      <c r="D42" s="37"/>
      <c r="E42" s="37"/>
      <c r="F42" s="37"/>
      <c r="G42" s="37"/>
      <c r="H42" s="37"/>
      <c r="I42" s="37"/>
      <c r="J42" s="37"/>
      <c r="K42" s="37"/>
      <c r="L42" s="37"/>
      <c r="M42" s="37"/>
      <c r="N42" s="37"/>
      <c r="O42" s="37"/>
      <c r="P42" s="37"/>
      <c r="Q42" s="37"/>
      <c r="R42" s="37"/>
      <c r="S42" s="37"/>
      <c r="T42" s="37"/>
      <c r="U42" s="37"/>
      <c r="V42" s="37"/>
      <c r="W42" s="37"/>
      <c r="X42" s="37"/>
      <c r="Y42" s="37"/>
      <c r="Z42" s="37"/>
      <c r="AA42" s="37"/>
      <c r="AB42" s="37"/>
      <c r="AC42" s="37"/>
      <c r="AD42" s="37"/>
      <c r="AE42" s="37"/>
      <c r="AF42" s="37"/>
      <c r="AG42" s="37"/>
      <c r="AH42" s="37"/>
      <c r="AI42" s="37"/>
      <c r="AJ42" s="37"/>
      <c r="AK42" s="37"/>
      <c r="AL42" s="37"/>
      <c r="AM42" s="37"/>
      <c r="AN42" s="37"/>
      <c r="AO42" s="37"/>
      <c r="AP42" s="37"/>
      <c r="AQ42" s="37"/>
      <c r="AR42" s="37"/>
      <c r="AS42" s="37"/>
      <c r="AT42" s="37"/>
      <c r="AU42" s="37"/>
      <c r="AV42" s="37"/>
      <c r="AW42" s="37"/>
      <c r="AX42" s="38"/>
    </row>
    <row r="43" spans="1:50" s="4" customFormat="1">
      <c r="A43" s="337" t="s">
        <v>75</v>
      </c>
      <c r="B43" s="94" t="s">
        <v>271</v>
      </c>
      <c r="C43" s="21"/>
      <c r="D43" s="21"/>
      <c r="E43" s="21"/>
      <c r="F43" s="21"/>
      <c r="G43" s="21"/>
      <c r="H43" s="21"/>
      <c r="I43" s="21"/>
      <c r="J43" s="21"/>
      <c r="K43" s="21"/>
      <c r="L43" s="21"/>
      <c r="M43" s="21"/>
      <c r="N43" s="21"/>
      <c r="O43" s="21"/>
      <c r="P43" s="21"/>
      <c r="Q43" s="21"/>
      <c r="R43" s="21"/>
      <c r="S43" s="21"/>
      <c r="T43" s="21"/>
      <c r="U43" s="21"/>
      <c r="V43" s="21"/>
      <c r="W43" s="21"/>
      <c r="X43" s="21"/>
      <c r="Y43" s="21"/>
      <c r="Z43" s="21"/>
      <c r="AA43" s="21"/>
      <c r="AB43" s="21"/>
      <c r="AC43" s="21"/>
      <c r="AD43" s="21"/>
      <c r="AE43" s="21"/>
      <c r="AF43" s="21"/>
      <c r="AG43" s="21"/>
      <c r="AH43" s="21"/>
      <c r="AI43" s="21"/>
      <c r="AJ43" s="21"/>
      <c r="AK43" s="21"/>
      <c r="AL43" s="21"/>
      <c r="AM43" s="21"/>
      <c r="AN43" s="21"/>
      <c r="AO43" s="21"/>
      <c r="AP43" s="21"/>
      <c r="AQ43" s="21"/>
      <c r="AR43" s="21"/>
      <c r="AS43" s="21"/>
      <c r="AT43" s="21"/>
      <c r="AU43" s="21"/>
      <c r="AV43" s="21"/>
      <c r="AW43" s="21"/>
      <c r="AX43" s="35"/>
    </row>
    <row r="44" spans="1:50" s="4" customFormat="1">
      <c r="A44" s="337" t="s">
        <v>245</v>
      </c>
      <c r="B44" s="94" t="s">
        <v>272</v>
      </c>
      <c r="C44" s="21"/>
      <c r="D44" s="21"/>
      <c r="E44" s="21"/>
      <c r="F44" s="21"/>
      <c r="G44" s="21"/>
      <c r="H44" s="21"/>
      <c r="I44" s="21"/>
      <c r="J44" s="21"/>
      <c r="K44" s="21"/>
      <c r="L44" s="21"/>
      <c r="M44" s="21"/>
      <c r="N44" s="21"/>
      <c r="O44" s="21"/>
      <c r="P44" s="21"/>
      <c r="Q44" s="21"/>
      <c r="R44" s="21"/>
      <c r="S44" s="21"/>
      <c r="T44" s="21"/>
      <c r="U44" s="21"/>
      <c r="V44" s="21"/>
      <c r="W44" s="21"/>
      <c r="X44" s="21"/>
      <c r="Y44" s="21"/>
      <c r="Z44" s="21"/>
      <c r="AA44" s="21"/>
      <c r="AB44" s="21"/>
      <c r="AC44" s="21"/>
      <c r="AD44" s="21"/>
      <c r="AE44" s="21"/>
      <c r="AF44" s="21"/>
      <c r="AG44" s="21"/>
      <c r="AH44" s="21"/>
      <c r="AI44" s="21"/>
      <c r="AJ44" s="21"/>
      <c r="AK44" s="21"/>
      <c r="AL44" s="21"/>
      <c r="AM44" s="21"/>
      <c r="AN44" s="21"/>
      <c r="AO44" s="21"/>
      <c r="AP44" s="21"/>
      <c r="AQ44" s="21"/>
      <c r="AR44" s="21"/>
      <c r="AS44" s="21"/>
      <c r="AT44" s="21"/>
      <c r="AU44" s="21"/>
      <c r="AV44" s="21"/>
      <c r="AW44" s="21"/>
      <c r="AX44" s="35"/>
    </row>
    <row r="45" spans="1:50" s="4" customFormat="1">
      <c r="A45" s="20"/>
      <c r="B45" s="21"/>
      <c r="C45" s="21"/>
      <c r="D45" s="21"/>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c r="AO45" s="21"/>
      <c r="AP45" s="21"/>
      <c r="AQ45" s="21"/>
      <c r="AR45" s="21"/>
      <c r="AS45" s="21"/>
      <c r="AT45" s="21"/>
      <c r="AU45" s="21"/>
      <c r="AV45" s="21"/>
      <c r="AW45" s="21"/>
      <c r="AX45" s="35"/>
    </row>
    <row r="46" spans="1:50" s="4" customFormat="1">
      <c r="A46" s="36" t="s">
        <v>273</v>
      </c>
      <c r="B46" s="37"/>
      <c r="C46" s="37"/>
      <c r="D46" s="37"/>
      <c r="E46" s="37"/>
      <c r="F46" s="37"/>
      <c r="G46" s="37"/>
      <c r="H46" s="37"/>
      <c r="I46" s="37"/>
      <c r="J46" s="37"/>
      <c r="K46" s="37"/>
      <c r="L46" s="37"/>
      <c r="M46" s="37"/>
      <c r="N46" s="37"/>
      <c r="O46" s="37"/>
      <c r="P46" s="37"/>
      <c r="Q46" s="37"/>
      <c r="R46" s="37"/>
      <c r="S46" s="37"/>
      <c r="T46" s="37"/>
      <c r="U46" s="37"/>
      <c r="V46" s="37"/>
      <c r="W46" s="37"/>
      <c r="X46" s="37"/>
      <c r="Y46" s="37"/>
      <c r="Z46" s="37"/>
      <c r="AA46" s="37"/>
      <c r="AB46" s="37"/>
      <c r="AC46" s="37"/>
      <c r="AD46" s="37"/>
      <c r="AE46" s="37"/>
      <c r="AF46" s="37"/>
      <c r="AG46" s="37"/>
      <c r="AH46" s="37"/>
      <c r="AI46" s="37"/>
      <c r="AJ46" s="37"/>
      <c r="AK46" s="37"/>
      <c r="AL46" s="37"/>
      <c r="AM46" s="37"/>
      <c r="AN46" s="37"/>
      <c r="AO46" s="37"/>
      <c r="AP46" s="37"/>
      <c r="AQ46" s="37"/>
      <c r="AR46" s="37"/>
      <c r="AS46" s="37"/>
      <c r="AT46" s="37"/>
      <c r="AU46" s="37"/>
      <c r="AV46" s="37"/>
      <c r="AW46" s="37"/>
      <c r="AX46" s="38"/>
    </row>
    <row r="47" spans="1:50" s="4" customFormat="1">
      <c r="A47" s="20"/>
      <c r="B47" s="21" t="s">
        <v>288</v>
      </c>
      <c r="C47" s="21"/>
      <c r="D47" s="21"/>
      <c r="E47" s="21"/>
      <c r="F47" s="21"/>
      <c r="G47" s="21"/>
      <c r="H47" s="21"/>
      <c r="I47" s="21"/>
      <c r="J47" s="21"/>
      <c r="K47" s="21"/>
      <c r="L47" s="21"/>
      <c r="M47" s="21"/>
      <c r="N47" s="21"/>
      <c r="O47" s="21"/>
      <c r="P47" s="21"/>
      <c r="Q47" s="21"/>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c r="AQ47" s="21"/>
      <c r="AR47" s="21"/>
      <c r="AS47" s="21"/>
      <c r="AT47" s="21"/>
      <c r="AU47" s="21"/>
      <c r="AV47" s="21"/>
      <c r="AW47" s="21"/>
      <c r="AX47" s="35"/>
    </row>
    <row r="48" spans="1:50" s="4" customFormat="1">
      <c r="A48" s="20"/>
      <c r="B48" s="21"/>
      <c r="C48" s="21"/>
      <c r="D48" s="21"/>
      <c r="E48" s="21"/>
      <c r="F48" s="21"/>
      <c r="G48" s="21"/>
      <c r="H48" s="21"/>
      <c r="I48" s="21"/>
      <c r="J48" s="21"/>
      <c r="K48" s="21"/>
      <c r="L48" s="21"/>
      <c r="M48" s="21"/>
      <c r="N48" s="21"/>
      <c r="O48" s="21"/>
      <c r="P48" s="21"/>
      <c r="Q48" s="21"/>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c r="AV48" s="21"/>
      <c r="AW48" s="21"/>
      <c r="AX48" s="35"/>
    </row>
    <row r="49" spans="1:50" s="4" customFormat="1">
      <c r="A49" s="36" t="s">
        <v>274</v>
      </c>
      <c r="B49" s="37"/>
      <c r="C49" s="37"/>
      <c r="D49" s="37"/>
      <c r="E49" s="37"/>
      <c r="F49" s="37"/>
      <c r="G49" s="37"/>
      <c r="H49" s="37"/>
      <c r="I49" s="37"/>
      <c r="J49" s="37"/>
      <c r="K49" s="37"/>
      <c r="L49" s="37"/>
      <c r="M49" s="37"/>
      <c r="N49" s="37"/>
      <c r="O49" s="37"/>
      <c r="P49" s="37"/>
      <c r="Q49" s="37"/>
      <c r="R49" s="37"/>
      <c r="S49" s="37"/>
      <c r="T49" s="37"/>
      <c r="U49" s="37"/>
      <c r="V49" s="37"/>
      <c r="W49" s="37"/>
      <c r="X49" s="37"/>
      <c r="Y49" s="37"/>
      <c r="Z49" s="37"/>
      <c r="AA49" s="37"/>
      <c r="AB49" s="37"/>
      <c r="AC49" s="37"/>
      <c r="AD49" s="37"/>
      <c r="AE49" s="37"/>
      <c r="AF49" s="37"/>
      <c r="AG49" s="37"/>
      <c r="AH49" s="37"/>
      <c r="AI49" s="37"/>
      <c r="AJ49" s="37"/>
      <c r="AK49" s="37"/>
      <c r="AL49" s="37"/>
      <c r="AM49" s="37"/>
      <c r="AN49" s="37"/>
      <c r="AO49" s="37"/>
      <c r="AP49" s="37"/>
      <c r="AQ49" s="37"/>
      <c r="AR49" s="37"/>
      <c r="AS49" s="37"/>
      <c r="AT49" s="37"/>
      <c r="AU49" s="37"/>
      <c r="AV49" s="37"/>
      <c r="AW49" s="37"/>
      <c r="AX49" s="38"/>
    </row>
    <row r="50" spans="1:50" s="4" customFormat="1">
      <c r="A50" s="336"/>
      <c r="B50" s="21"/>
      <c r="C50" s="21"/>
      <c r="D50" s="21"/>
      <c r="E50" s="21"/>
      <c r="F50" s="21"/>
      <c r="G50" s="21"/>
      <c r="H50" s="21"/>
      <c r="I50" s="21"/>
      <c r="J50" s="21"/>
      <c r="K50" s="21"/>
      <c r="L50" s="21"/>
      <c r="M50" s="21"/>
      <c r="N50" s="21"/>
      <c r="O50" s="21"/>
      <c r="P50" s="21"/>
      <c r="Q50" s="21"/>
      <c r="R50" s="21"/>
      <c r="S50" s="21"/>
      <c r="T50" s="21"/>
      <c r="U50" s="21"/>
      <c r="V50" s="21"/>
      <c r="W50" s="21"/>
      <c r="X50" s="21"/>
      <c r="Y50" s="21"/>
      <c r="Z50" s="21"/>
      <c r="AA50" s="21"/>
      <c r="AB50" s="21"/>
      <c r="AC50" s="21"/>
      <c r="AD50" s="21"/>
      <c r="AE50" s="21"/>
      <c r="AF50" s="21"/>
      <c r="AG50" s="21"/>
      <c r="AH50" s="21"/>
      <c r="AI50" s="21"/>
      <c r="AJ50" s="21"/>
      <c r="AK50" s="21"/>
      <c r="AL50" s="21"/>
      <c r="AM50" s="21"/>
      <c r="AN50" s="21"/>
      <c r="AO50" s="21"/>
      <c r="AP50" s="21"/>
      <c r="AQ50" s="21"/>
      <c r="AR50" s="21"/>
      <c r="AS50" s="21"/>
      <c r="AT50" s="21"/>
      <c r="AU50" s="21"/>
      <c r="AV50" s="21"/>
      <c r="AW50" s="21"/>
      <c r="AX50" s="35"/>
    </row>
    <row r="51" spans="1:50" s="4" customFormat="1">
      <c r="A51" s="336"/>
      <c r="B51" s="21"/>
      <c r="C51" s="21"/>
      <c r="D51" s="21"/>
      <c r="E51" s="21"/>
      <c r="F51" s="21"/>
      <c r="G51" s="21"/>
      <c r="H51" s="21"/>
      <c r="I51" s="21"/>
      <c r="J51" s="21"/>
      <c r="K51" s="21"/>
      <c r="L51" s="21"/>
      <c r="M51" s="21"/>
      <c r="N51" s="21"/>
      <c r="O51" s="21"/>
      <c r="P51" s="21"/>
      <c r="Q51" s="21"/>
      <c r="R51" s="21"/>
      <c r="S51" s="21"/>
      <c r="T51" s="21"/>
      <c r="U51" s="21"/>
      <c r="V51" s="21"/>
      <c r="W51" s="21"/>
      <c r="X51" s="21"/>
      <c r="Y51" s="21"/>
      <c r="Z51" s="21"/>
      <c r="AA51" s="21"/>
      <c r="AB51" s="21"/>
      <c r="AC51" s="21"/>
      <c r="AD51" s="21"/>
      <c r="AE51" s="21"/>
      <c r="AF51" s="21"/>
      <c r="AG51" s="21"/>
      <c r="AH51" s="21"/>
      <c r="AI51" s="21"/>
      <c r="AJ51" s="21"/>
      <c r="AK51" s="21"/>
      <c r="AL51" s="21"/>
      <c r="AM51" s="21"/>
      <c r="AN51" s="21"/>
      <c r="AO51" s="21"/>
      <c r="AP51" s="21"/>
      <c r="AQ51" s="21"/>
      <c r="AR51" s="21"/>
      <c r="AS51" s="21"/>
      <c r="AT51" s="21"/>
      <c r="AU51" s="21"/>
      <c r="AV51" s="21"/>
      <c r="AW51" s="21"/>
      <c r="AX51" s="35"/>
    </row>
    <row r="52" spans="1:50" s="4" customFormat="1" ht="15" thickBot="1">
      <c r="A52" s="336"/>
      <c r="B52" s="21"/>
      <c r="C52" s="348" t="s">
        <v>262</v>
      </c>
      <c r="D52" s="349"/>
      <c r="E52" s="350" t="s">
        <v>275</v>
      </c>
      <c r="F52" s="350"/>
      <c r="G52" s="350"/>
      <c r="H52" s="350"/>
      <c r="I52" s="351"/>
      <c r="J52" s="351"/>
      <c r="K52" s="351"/>
      <c r="L52" s="352"/>
      <c r="M52" s="351" t="s">
        <v>276</v>
      </c>
      <c r="N52" s="351"/>
      <c r="O52" s="351"/>
      <c r="P52" s="351"/>
      <c r="Q52" s="351"/>
      <c r="R52" s="351"/>
      <c r="S52" s="351"/>
      <c r="T52" s="352"/>
      <c r="U52" s="351" t="s">
        <v>277</v>
      </c>
      <c r="V52" s="351"/>
      <c r="W52" s="351"/>
      <c r="X52" s="351"/>
      <c r="Y52" s="351"/>
      <c r="Z52" s="351"/>
      <c r="AA52" s="351"/>
      <c r="AB52" s="351"/>
      <c r="AC52" s="351"/>
      <c r="AD52" s="351"/>
      <c r="AE52" s="351"/>
      <c r="AF52" s="351"/>
      <c r="AG52" s="351"/>
      <c r="AH52" s="353"/>
      <c r="AI52" s="353"/>
      <c r="AJ52" s="353"/>
      <c r="AK52" s="351"/>
      <c r="AL52" s="353"/>
      <c r="AM52" s="353"/>
      <c r="AN52" s="354"/>
      <c r="AO52" s="355"/>
      <c r="AP52" s="21"/>
      <c r="AQ52" s="21"/>
      <c r="AR52" s="21"/>
      <c r="AS52" s="21"/>
      <c r="AT52" s="21"/>
      <c r="AU52" s="21"/>
      <c r="AV52" s="21"/>
      <c r="AW52" s="21"/>
      <c r="AX52" s="35"/>
    </row>
    <row r="53" spans="1:50" s="4" customFormat="1" ht="15" thickTop="1">
      <c r="A53" s="336"/>
      <c r="B53" s="21"/>
      <c r="C53" s="363">
        <v>1</v>
      </c>
      <c r="D53" s="357"/>
      <c r="E53" s="358" t="s">
        <v>278</v>
      </c>
      <c r="F53" s="358"/>
      <c r="G53" s="358"/>
      <c r="H53" s="358"/>
      <c r="I53" s="356"/>
      <c r="J53" s="356"/>
      <c r="K53" s="356"/>
      <c r="L53" s="359"/>
      <c r="M53" s="356" t="s">
        <v>278</v>
      </c>
      <c r="N53" s="356"/>
      <c r="O53" s="356"/>
      <c r="P53" s="356"/>
      <c r="Q53" s="356"/>
      <c r="R53" s="355"/>
      <c r="S53" s="355"/>
      <c r="T53" s="360"/>
      <c r="U53" s="355" t="s">
        <v>279</v>
      </c>
      <c r="V53" s="355"/>
      <c r="W53" s="355"/>
      <c r="X53" s="355"/>
      <c r="Y53" s="355"/>
      <c r="Z53" s="355"/>
      <c r="AA53" s="355"/>
      <c r="AB53" s="355"/>
      <c r="AC53" s="355"/>
      <c r="AD53" s="355"/>
      <c r="AE53" s="355"/>
      <c r="AF53" s="355"/>
      <c r="AG53" s="355"/>
      <c r="AH53" s="361"/>
      <c r="AI53" s="361"/>
      <c r="AJ53" s="361"/>
      <c r="AK53" s="355"/>
      <c r="AL53" s="361"/>
      <c r="AM53" s="361"/>
      <c r="AN53" s="362"/>
      <c r="AO53" s="355"/>
      <c r="AP53" s="21"/>
      <c r="AQ53" s="21"/>
      <c r="AR53" s="21"/>
      <c r="AS53" s="21"/>
      <c r="AT53" s="21"/>
      <c r="AU53" s="21"/>
      <c r="AV53" s="21"/>
      <c r="AW53" s="21"/>
      <c r="AX53" s="35"/>
    </row>
    <row r="54" spans="1:50" s="4" customFormat="1" ht="14.25">
      <c r="A54" s="336"/>
      <c r="B54" s="21"/>
      <c r="C54" s="364">
        <v>2</v>
      </c>
      <c r="D54" s="365"/>
      <c r="E54" s="366" t="s">
        <v>278</v>
      </c>
      <c r="F54" s="366"/>
      <c r="G54" s="366"/>
      <c r="H54" s="366"/>
      <c r="I54" s="367"/>
      <c r="J54" s="367"/>
      <c r="K54" s="367"/>
      <c r="L54" s="368"/>
      <c r="M54" s="367" t="s">
        <v>280</v>
      </c>
      <c r="N54" s="367"/>
      <c r="O54" s="367"/>
      <c r="P54" s="367"/>
      <c r="Q54" s="367"/>
      <c r="R54" s="367"/>
      <c r="S54" s="367"/>
      <c r="T54" s="368"/>
      <c r="U54" s="367" t="s">
        <v>281</v>
      </c>
      <c r="V54" s="367"/>
      <c r="W54" s="367"/>
      <c r="X54" s="367"/>
      <c r="Y54" s="367"/>
      <c r="Z54" s="367"/>
      <c r="AA54" s="367"/>
      <c r="AB54" s="367"/>
      <c r="AC54" s="367"/>
      <c r="AD54" s="367"/>
      <c r="AE54" s="367"/>
      <c r="AF54" s="367"/>
      <c r="AG54" s="367"/>
      <c r="AH54" s="369"/>
      <c r="AI54" s="369"/>
      <c r="AJ54" s="369"/>
      <c r="AK54" s="367"/>
      <c r="AL54" s="369"/>
      <c r="AM54" s="369"/>
      <c r="AN54" s="370"/>
      <c r="AO54" s="355"/>
      <c r="AP54" s="21"/>
      <c r="AQ54" s="21"/>
      <c r="AR54" s="21"/>
      <c r="AS54" s="21"/>
      <c r="AT54" s="21"/>
      <c r="AU54" s="21"/>
      <c r="AV54" s="21"/>
      <c r="AW54" s="21"/>
      <c r="AX54" s="35"/>
    </row>
    <row r="55" spans="1:50" s="4" customFormat="1" ht="14.25">
      <c r="A55" s="336"/>
      <c r="B55" s="21"/>
      <c r="C55" s="371">
        <v>3</v>
      </c>
      <c r="D55" s="372"/>
      <c r="E55" s="373" t="s">
        <v>278</v>
      </c>
      <c r="F55" s="373"/>
      <c r="G55" s="373"/>
      <c r="H55" s="373"/>
      <c r="I55" s="374"/>
      <c r="J55" s="374"/>
      <c r="K55" s="374"/>
      <c r="L55" s="375"/>
      <c r="M55" s="374" t="s">
        <v>282</v>
      </c>
      <c r="N55" s="374"/>
      <c r="O55" s="374"/>
      <c r="P55" s="374"/>
      <c r="Q55" s="374"/>
      <c r="R55" s="374"/>
      <c r="S55" s="374"/>
      <c r="T55" s="375"/>
      <c r="U55" s="374" t="s">
        <v>283</v>
      </c>
      <c r="V55" s="374"/>
      <c r="W55" s="374"/>
      <c r="X55" s="374"/>
      <c r="Y55" s="374"/>
      <c r="Z55" s="374"/>
      <c r="AA55" s="374"/>
      <c r="AB55" s="374"/>
      <c r="AC55" s="374"/>
      <c r="AD55" s="374"/>
      <c r="AE55" s="374"/>
      <c r="AF55" s="374"/>
      <c r="AG55" s="374"/>
      <c r="AH55" s="376"/>
      <c r="AI55" s="376"/>
      <c r="AJ55" s="376"/>
      <c r="AK55" s="374"/>
      <c r="AL55" s="376"/>
      <c r="AM55" s="376"/>
      <c r="AN55" s="377"/>
      <c r="AO55" s="355"/>
      <c r="AP55" s="21"/>
      <c r="AQ55" s="21"/>
      <c r="AR55" s="21"/>
      <c r="AS55" s="21"/>
      <c r="AT55" s="21"/>
      <c r="AU55" s="21"/>
      <c r="AV55" s="21"/>
      <c r="AW55" s="21"/>
      <c r="AX55" s="35"/>
    </row>
    <row r="56" spans="1:50" s="4" customFormat="1" ht="14.25">
      <c r="A56" s="336"/>
      <c r="B56" s="21"/>
      <c r="C56" s="364">
        <v>4</v>
      </c>
      <c r="D56" s="365"/>
      <c r="E56" s="366" t="s">
        <v>284</v>
      </c>
      <c r="F56" s="366"/>
      <c r="G56" s="366"/>
      <c r="H56" s="366"/>
      <c r="I56" s="367"/>
      <c r="J56" s="367"/>
      <c r="K56" s="367"/>
      <c r="L56" s="368"/>
      <c r="M56" s="367" t="s">
        <v>278</v>
      </c>
      <c r="N56" s="367"/>
      <c r="O56" s="367"/>
      <c r="P56" s="367"/>
      <c r="Q56" s="367"/>
      <c r="R56" s="367"/>
      <c r="S56" s="367"/>
      <c r="T56" s="368"/>
      <c r="U56" s="367" t="s">
        <v>285</v>
      </c>
      <c r="V56" s="367"/>
      <c r="W56" s="367"/>
      <c r="X56" s="367"/>
      <c r="Y56" s="367"/>
      <c r="Z56" s="367"/>
      <c r="AA56" s="367"/>
      <c r="AB56" s="367"/>
      <c r="AC56" s="367"/>
      <c r="AD56" s="367"/>
      <c r="AE56" s="367"/>
      <c r="AF56" s="367"/>
      <c r="AG56" s="367"/>
      <c r="AH56" s="369"/>
      <c r="AI56" s="369"/>
      <c r="AJ56" s="369"/>
      <c r="AK56" s="367"/>
      <c r="AL56" s="369"/>
      <c r="AM56" s="369"/>
      <c r="AN56" s="370"/>
      <c r="AO56" s="355"/>
      <c r="AP56" s="21"/>
      <c r="AQ56" s="21"/>
      <c r="AR56" s="21"/>
      <c r="AS56" s="21"/>
      <c r="AT56" s="21"/>
      <c r="AU56" s="21"/>
      <c r="AV56" s="21"/>
      <c r="AW56" s="21"/>
      <c r="AX56" s="35"/>
    </row>
    <row r="57" spans="1:50" s="4" customFormat="1" ht="14.25">
      <c r="A57" s="336"/>
      <c r="B57" s="21"/>
      <c r="C57" s="371">
        <v>5</v>
      </c>
      <c r="D57" s="372"/>
      <c r="E57" s="373" t="s">
        <v>284</v>
      </c>
      <c r="F57" s="373"/>
      <c r="G57" s="373"/>
      <c r="H57" s="373"/>
      <c r="I57" s="374"/>
      <c r="J57" s="374"/>
      <c r="K57" s="374"/>
      <c r="L57" s="368"/>
      <c r="M57" s="374" t="s">
        <v>280</v>
      </c>
      <c r="N57" s="374"/>
      <c r="O57" s="374"/>
      <c r="P57" s="374"/>
      <c r="Q57" s="374"/>
      <c r="R57" s="374"/>
      <c r="S57" s="374"/>
      <c r="T57" s="375"/>
      <c r="U57" s="374" t="s">
        <v>286</v>
      </c>
      <c r="V57" s="374"/>
      <c r="W57" s="374"/>
      <c r="X57" s="374"/>
      <c r="Y57" s="374"/>
      <c r="Z57" s="374"/>
      <c r="AA57" s="374"/>
      <c r="AB57" s="374"/>
      <c r="AC57" s="374"/>
      <c r="AD57" s="374"/>
      <c r="AE57" s="374"/>
      <c r="AF57" s="374"/>
      <c r="AG57" s="374"/>
      <c r="AH57" s="376"/>
      <c r="AI57" s="376"/>
      <c r="AJ57" s="376"/>
      <c r="AK57" s="374"/>
      <c r="AL57" s="376"/>
      <c r="AM57" s="376"/>
      <c r="AN57" s="377"/>
      <c r="AO57" s="355"/>
      <c r="AP57" s="21"/>
      <c r="AQ57" s="21"/>
      <c r="AR57" s="21"/>
      <c r="AS57" s="21"/>
      <c r="AT57" s="21"/>
      <c r="AU57" s="21"/>
      <c r="AV57" s="21"/>
      <c r="AW57" s="21"/>
      <c r="AX57" s="35"/>
    </row>
    <row r="58" spans="1:50" s="4" customFormat="1" ht="14.25">
      <c r="A58" s="336"/>
      <c r="B58" s="21"/>
      <c r="C58" s="364">
        <v>6</v>
      </c>
      <c r="D58" s="365"/>
      <c r="E58" s="366" t="s">
        <v>284</v>
      </c>
      <c r="F58" s="366"/>
      <c r="G58" s="366"/>
      <c r="H58" s="366"/>
      <c r="I58" s="367"/>
      <c r="J58" s="367"/>
      <c r="K58" s="367"/>
      <c r="L58" s="368"/>
      <c r="M58" s="367" t="s">
        <v>282</v>
      </c>
      <c r="N58" s="367"/>
      <c r="O58" s="367"/>
      <c r="P58" s="367"/>
      <c r="Q58" s="367"/>
      <c r="R58" s="367"/>
      <c r="S58" s="367"/>
      <c r="T58" s="368"/>
      <c r="U58" s="367" t="s">
        <v>287</v>
      </c>
      <c r="V58" s="367"/>
      <c r="W58" s="367"/>
      <c r="X58" s="367"/>
      <c r="Y58" s="367"/>
      <c r="Z58" s="367"/>
      <c r="AA58" s="367"/>
      <c r="AB58" s="367"/>
      <c r="AC58" s="367"/>
      <c r="AD58" s="367"/>
      <c r="AE58" s="367"/>
      <c r="AF58" s="367"/>
      <c r="AG58" s="367"/>
      <c r="AH58" s="369"/>
      <c r="AI58" s="369"/>
      <c r="AJ58" s="369"/>
      <c r="AK58" s="367"/>
      <c r="AL58" s="369"/>
      <c r="AM58" s="369"/>
      <c r="AN58" s="370"/>
      <c r="AO58" s="355"/>
      <c r="AP58" s="21"/>
      <c r="AQ58" s="21"/>
      <c r="AR58" s="21"/>
      <c r="AS58" s="21"/>
      <c r="AT58" s="21"/>
      <c r="AU58" s="21"/>
      <c r="AV58" s="21"/>
      <c r="AW58" s="21"/>
      <c r="AX58" s="35"/>
    </row>
    <row r="59" spans="1:50" s="4" customFormat="1">
      <c r="A59" s="20"/>
      <c r="B59" s="21"/>
      <c r="C59" s="21"/>
      <c r="D59" s="21"/>
      <c r="E59" s="21"/>
      <c r="F59" s="21"/>
      <c r="G59" s="21"/>
      <c r="H59" s="21"/>
      <c r="I59" s="21"/>
      <c r="J59" s="21"/>
      <c r="K59" s="21"/>
      <c r="L59" s="21"/>
      <c r="M59" s="21"/>
      <c r="N59" s="21"/>
      <c r="O59" s="21"/>
      <c r="P59" s="21"/>
      <c r="Q59" s="21"/>
      <c r="R59" s="21"/>
      <c r="S59" s="21"/>
      <c r="T59" s="21"/>
      <c r="U59" s="21"/>
      <c r="V59" s="21"/>
      <c r="W59" s="21"/>
      <c r="X59" s="21"/>
      <c r="Y59" s="21"/>
      <c r="Z59" s="21"/>
      <c r="AA59" s="21"/>
      <c r="AB59" s="21"/>
      <c r="AC59" s="21"/>
      <c r="AD59" s="21"/>
      <c r="AE59" s="21"/>
      <c r="AF59" s="21"/>
      <c r="AG59" s="21"/>
      <c r="AH59" s="21"/>
      <c r="AI59" s="21"/>
      <c r="AJ59" s="21"/>
      <c r="AK59" s="21"/>
      <c r="AL59" s="21"/>
      <c r="AM59" s="21"/>
      <c r="AN59" s="21"/>
      <c r="AO59" s="21"/>
      <c r="AP59" s="21"/>
      <c r="AQ59" s="21"/>
      <c r="AR59" s="21"/>
      <c r="AS59" s="21"/>
      <c r="AT59" s="21"/>
      <c r="AU59" s="21"/>
      <c r="AV59" s="21"/>
      <c r="AW59" s="21"/>
      <c r="AX59" s="35"/>
    </row>
    <row r="60" spans="1:50" s="4" customFormat="1">
      <c r="A60" s="36" t="s">
        <v>289</v>
      </c>
      <c r="B60" s="37"/>
      <c r="C60" s="37"/>
      <c r="D60" s="37"/>
      <c r="E60" s="37"/>
      <c r="F60" s="37"/>
      <c r="G60" s="37"/>
      <c r="H60" s="37"/>
      <c r="I60" s="37"/>
      <c r="J60" s="37"/>
      <c r="K60" s="37"/>
      <c r="L60" s="37"/>
      <c r="M60" s="37"/>
      <c r="N60" s="37"/>
      <c r="O60" s="37"/>
      <c r="P60" s="37"/>
      <c r="Q60" s="37"/>
      <c r="R60" s="37"/>
      <c r="S60" s="37"/>
      <c r="T60" s="37"/>
      <c r="U60" s="37"/>
      <c r="V60" s="37"/>
      <c r="W60" s="37"/>
      <c r="X60" s="37"/>
      <c r="Y60" s="37"/>
      <c r="Z60" s="37"/>
      <c r="AA60" s="37"/>
      <c r="AB60" s="37"/>
      <c r="AC60" s="37"/>
      <c r="AD60" s="37"/>
      <c r="AE60" s="37"/>
      <c r="AF60" s="37"/>
      <c r="AG60" s="37"/>
      <c r="AH60" s="37"/>
      <c r="AI60" s="37"/>
      <c r="AJ60" s="37"/>
      <c r="AK60" s="37"/>
      <c r="AL60" s="37"/>
      <c r="AM60" s="37"/>
      <c r="AN60" s="37"/>
      <c r="AO60" s="37"/>
      <c r="AP60" s="37"/>
      <c r="AQ60" s="37"/>
      <c r="AR60" s="37"/>
      <c r="AS60" s="37"/>
      <c r="AT60" s="37"/>
      <c r="AU60" s="37"/>
      <c r="AV60" s="37"/>
      <c r="AW60" s="37"/>
      <c r="AX60" s="38"/>
    </row>
    <row r="61" spans="1:50" s="4" customFormat="1">
      <c r="A61" s="20" t="s">
        <v>75</v>
      </c>
      <c r="B61" s="21" t="s">
        <v>247</v>
      </c>
      <c r="C61" s="21"/>
      <c r="D61" s="21"/>
      <c r="E61" s="21"/>
      <c r="F61" s="21"/>
      <c r="G61" s="21"/>
      <c r="H61" s="21"/>
      <c r="I61" s="21"/>
      <c r="J61" s="21"/>
      <c r="K61" s="21"/>
      <c r="L61" s="21"/>
      <c r="M61" s="21"/>
      <c r="N61" s="21"/>
      <c r="O61" s="21"/>
      <c r="P61" s="21"/>
      <c r="Q61" s="21"/>
      <c r="R61" s="21"/>
      <c r="S61" s="21"/>
      <c r="T61" s="21"/>
      <c r="U61" s="21"/>
      <c r="V61" s="21"/>
      <c r="W61" s="21"/>
      <c r="X61" s="21"/>
      <c r="Y61" s="21"/>
      <c r="Z61" s="21"/>
      <c r="AA61" s="21"/>
      <c r="AB61" s="21"/>
      <c r="AC61" s="21"/>
      <c r="AD61" s="21"/>
      <c r="AE61" s="21"/>
      <c r="AF61" s="21"/>
      <c r="AG61" s="21"/>
      <c r="AH61" s="21"/>
      <c r="AI61" s="21"/>
      <c r="AJ61" s="21"/>
      <c r="AK61" s="21"/>
      <c r="AL61" s="21"/>
      <c r="AM61" s="21"/>
      <c r="AN61" s="21"/>
      <c r="AO61" s="21"/>
      <c r="AP61" s="21"/>
      <c r="AQ61" s="21"/>
      <c r="AR61" s="21"/>
      <c r="AS61" s="21"/>
      <c r="AT61" s="21"/>
      <c r="AU61" s="21"/>
      <c r="AV61" s="21"/>
      <c r="AW61" s="21"/>
      <c r="AX61" s="35"/>
    </row>
    <row r="62" spans="1:50" s="4" customFormat="1">
      <c r="A62" s="20"/>
      <c r="B62" s="21"/>
      <c r="C62" s="21"/>
      <c r="D62" s="21"/>
      <c r="E62" s="21"/>
      <c r="F62" s="21"/>
      <c r="G62" s="21"/>
      <c r="H62" s="21"/>
      <c r="I62" s="21"/>
      <c r="J62" s="21"/>
      <c r="K62" s="21"/>
      <c r="L62" s="21"/>
      <c r="M62" s="21"/>
      <c r="N62" s="21"/>
      <c r="O62" s="21"/>
      <c r="P62" s="21"/>
      <c r="Q62" s="21"/>
      <c r="R62" s="21"/>
      <c r="S62" s="21"/>
      <c r="T62" s="21"/>
      <c r="U62" s="21"/>
      <c r="V62" s="21"/>
      <c r="W62" s="21"/>
      <c r="X62" s="21"/>
      <c r="Y62" s="21"/>
      <c r="Z62" s="21"/>
      <c r="AA62" s="21"/>
      <c r="AB62" s="21"/>
      <c r="AC62" s="21"/>
      <c r="AD62" s="21"/>
      <c r="AE62" s="21"/>
      <c r="AF62" s="21"/>
      <c r="AG62" s="21"/>
      <c r="AH62" s="21"/>
      <c r="AI62" s="21"/>
      <c r="AJ62" s="21"/>
      <c r="AK62" s="21"/>
      <c r="AL62" s="21"/>
      <c r="AM62" s="21"/>
      <c r="AN62" s="21"/>
      <c r="AO62" s="21"/>
      <c r="AP62" s="21"/>
      <c r="AQ62" s="21"/>
      <c r="AR62" s="21"/>
      <c r="AS62" s="21"/>
      <c r="AT62" s="21"/>
      <c r="AU62" s="21"/>
      <c r="AV62" s="21"/>
      <c r="AW62" s="21"/>
      <c r="AX62" s="35"/>
    </row>
    <row r="63" spans="1:50" s="4" customFormat="1">
      <c r="A63" s="36" t="s">
        <v>290</v>
      </c>
      <c r="B63" s="37"/>
      <c r="C63" s="37"/>
      <c r="D63" s="37"/>
      <c r="E63" s="37"/>
      <c r="F63" s="37"/>
      <c r="G63" s="37"/>
      <c r="H63" s="37"/>
      <c r="I63" s="37"/>
      <c r="J63" s="37"/>
      <c r="K63" s="37"/>
      <c r="L63" s="37"/>
      <c r="M63" s="37"/>
      <c r="N63" s="37"/>
      <c r="O63" s="37"/>
      <c r="P63" s="37"/>
      <c r="Q63" s="37"/>
      <c r="R63" s="37"/>
      <c r="S63" s="37"/>
      <c r="T63" s="37"/>
      <c r="U63" s="37"/>
      <c r="V63" s="37"/>
      <c r="W63" s="37"/>
      <c r="X63" s="37"/>
      <c r="Y63" s="37"/>
      <c r="Z63" s="37"/>
      <c r="AA63" s="37"/>
      <c r="AB63" s="37"/>
      <c r="AC63" s="37"/>
      <c r="AD63" s="37"/>
      <c r="AE63" s="37"/>
      <c r="AF63" s="37"/>
      <c r="AG63" s="37"/>
      <c r="AH63" s="37"/>
      <c r="AI63" s="37"/>
      <c r="AJ63" s="37"/>
      <c r="AK63" s="37"/>
      <c r="AL63" s="37"/>
      <c r="AM63" s="37"/>
      <c r="AN63" s="37"/>
      <c r="AO63" s="37"/>
      <c r="AP63" s="37"/>
      <c r="AQ63" s="37"/>
      <c r="AR63" s="37"/>
      <c r="AS63" s="37"/>
      <c r="AT63" s="37"/>
      <c r="AU63" s="37"/>
      <c r="AV63" s="37"/>
      <c r="AW63" s="37"/>
      <c r="AX63" s="38"/>
    </row>
    <row r="64" spans="1:50" s="4" customFormat="1">
      <c r="A64" s="336" t="s">
        <v>245</v>
      </c>
      <c r="B64" s="338" t="s">
        <v>248</v>
      </c>
      <c r="C64" s="21"/>
      <c r="D64" s="21"/>
      <c r="E64" s="21"/>
      <c r="F64" s="21"/>
      <c r="G64" s="21"/>
      <c r="H64" s="21"/>
      <c r="I64" s="21"/>
      <c r="J64" s="21"/>
      <c r="K64" s="21"/>
      <c r="L64" s="21"/>
      <c r="M64" s="21"/>
      <c r="N64" s="21"/>
      <c r="O64" s="21"/>
      <c r="P64" s="21"/>
      <c r="Q64" s="21"/>
      <c r="R64" s="21"/>
      <c r="S64" s="21"/>
      <c r="T64" s="21"/>
      <c r="U64" s="21"/>
      <c r="V64" s="21"/>
      <c r="W64" s="21"/>
      <c r="X64" s="21"/>
      <c r="Y64" s="21"/>
      <c r="Z64" s="21"/>
      <c r="AA64" s="21"/>
      <c r="AB64" s="21"/>
      <c r="AC64" s="21"/>
      <c r="AD64" s="21"/>
      <c r="AE64" s="21"/>
      <c r="AF64" s="21"/>
      <c r="AG64" s="21"/>
      <c r="AH64" s="21"/>
      <c r="AI64" s="21"/>
      <c r="AJ64" s="21"/>
      <c r="AK64" s="21"/>
      <c r="AL64" s="21"/>
      <c r="AM64" s="21"/>
      <c r="AN64" s="21"/>
      <c r="AO64" s="21"/>
      <c r="AP64" s="21"/>
      <c r="AQ64" s="21"/>
      <c r="AR64" s="21"/>
      <c r="AS64" s="21"/>
      <c r="AT64" s="21"/>
      <c r="AU64" s="21"/>
      <c r="AV64" s="21"/>
      <c r="AW64" s="21"/>
      <c r="AX64" s="35"/>
    </row>
    <row r="65" spans="1:50" s="4" customFormat="1" ht="12.75" thickBot="1">
      <c r="A65" s="22"/>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68"/>
    </row>
  </sheetData>
  <mergeCells count="35">
    <mergeCell ref="AU1:AX1"/>
    <mergeCell ref="H2:K2"/>
    <mergeCell ref="L2:R2"/>
    <mergeCell ref="S2:V2"/>
    <mergeCell ref="W2:AC2"/>
    <mergeCell ref="W1:AC1"/>
    <mergeCell ref="AD1:AG1"/>
    <mergeCell ref="AH1:AL1"/>
    <mergeCell ref="AM1:AP1"/>
    <mergeCell ref="AQ1:AT1"/>
    <mergeCell ref="AD2:AG2"/>
    <mergeCell ref="AH2:AL2"/>
    <mergeCell ref="AM2:AP2"/>
    <mergeCell ref="AQ2:AT2"/>
    <mergeCell ref="AU2:AX3"/>
    <mergeCell ref="A22:B22"/>
    <mergeCell ref="C39:F39"/>
    <mergeCell ref="C40:F40"/>
    <mergeCell ref="AQ3:AT3"/>
    <mergeCell ref="W3:AL3"/>
    <mergeCell ref="AM3:AP3"/>
    <mergeCell ref="A1:G3"/>
    <mergeCell ref="H1:K1"/>
    <mergeCell ref="L1:R1"/>
    <mergeCell ref="S1:V1"/>
    <mergeCell ref="H3:K3"/>
    <mergeCell ref="L3:R3"/>
    <mergeCell ref="S3:V3"/>
    <mergeCell ref="C41:F41"/>
    <mergeCell ref="G39:J39"/>
    <mergeCell ref="G40:J40"/>
    <mergeCell ref="G41:J41"/>
    <mergeCell ref="AU39:AX39"/>
    <mergeCell ref="AU40:AX40"/>
    <mergeCell ref="AU41:AX41"/>
  </mergeCells>
  <phoneticPr fontId="2"/>
  <pageMargins left="0.39370078740157483" right="0.39370078740157483" top="0.51181102362204722" bottom="0.51181102362204722" header="0.31496062992125984" footer="0.31496062992125984"/>
  <pageSetup paperSize="9" fitToHeight="0" orientation="landscape" horizontalDpi="200" verticalDpi="200" r:id="rId1"/>
  <headerFooter alignWithMargins="0">
    <oddFooter>&amp;L&amp;A&amp;C&amp;P/&amp;N&amp;R©Toyo Business Engineering Corp.(B-EN-G) / Confidential</oddFooter>
  </headerFooter>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99"/>
  </sheetPr>
  <dimension ref="A1:AX40"/>
  <sheetViews>
    <sheetView showGridLines="0" zoomScaleNormal="100" zoomScaleSheetLayoutView="90" workbookViewId="0">
      <selection activeCell="X35" sqref="X35"/>
    </sheetView>
  </sheetViews>
  <sheetFormatPr defaultColWidth="8.83203125" defaultRowHeight="12"/>
  <cols>
    <col min="1" max="50" width="3.33203125" style="4" customWidth="1"/>
    <col min="51" max="51" width="1.5" style="4" customWidth="1"/>
    <col min="52" max="16384" width="8.83203125" style="4"/>
  </cols>
  <sheetData>
    <row r="1" spans="1:50" s="72" customFormat="1" ht="12.6" customHeight="1">
      <c r="A1" s="513" t="s">
        <v>168</v>
      </c>
      <c r="B1" s="514"/>
      <c r="C1" s="514"/>
      <c r="D1" s="514"/>
      <c r="E1" s="514"/>
      <c r="F1" s="514"/>
      <c r="G1" s="515"/>
      <c r="H1" s="522" t="s">
        <v>2</v>
      </c>
      <c r="I1" s="523"/>
      <c r="J1" s="523"/>
      <c r="K1" s="524"/>
      <c r="L1" s="525" t="str">
        <f>IF(顧客名="","",顧客名)</f>
        <v>株式会社XXXX殿</v>
      </c>
      <c r="M1" s="526"/>
      <c r="N1" s="526"/>
      <c r="O1" s="526"/>
      <c r="P1" s="526"/>
      <c r="Q1" s="526"/>
      <c r="R1" s="527"/>
      <c r="S1" s="528" t="s">
        <v>7</v>
      </c>
      <c r="T1" s="523"/>
      <c r="U1" s="523"/>
      <c r="V1" s="524"/>
      <c r="W1" s="525" t="str">
        <f>IF(システム="","",システム)</f>
        <v>mcframe7</v>
      </c>
      <c r="X1" s="526"/>
      <c r="Y1" s="526"/>
      <c r="Z1" s="526"/>
      <c r="AA1" s="526"/>
      <c r="AB1" s="526"/>
      <c r="AC1" s="527"/>
      <c r="AD1" s="533" t="s">
        <v>8</v>
      </c>
      <c r="AE1" s="534"/>
      <c r="AF1" s="534"/>
      <c r="AG1" s="543"/>
      <c r="AH1" s="544" t="str">
        <f>IF(作成者="","",作成者)</f>
        <v>XX</v>
      </c>
      <c r="AI1" s="545"/>
      <c r="AJ1" s="545"/>
      <c r="AK1" s="545"/>
      <c r="AL1" s="546"/>
      <c r="AM1" s="533" t="s">
        <v>9</v>
      </c>
      <c r="AN1" s="534"/>
      <c r="AO1" s="534"/>
      <c r="AP1" s="543"/>
      <c r="AQ1" s="547">
        <f>IF(作成日="","",作成日)</f>
        <v>42902</v>
      </c>
      <c r="AR1" s="548"/>
      <c r="AS1" s="548"/>
      <c r="AT1" s="549"/>
      <c r="AU1" s="533" t="s">
        <v>0</v>
      </c>
      <c r="AV1" s="534"/>
      <c r="AW1" s="534"/>
      <c r="AX1" s="535"/>
    </row>
    <row r="2" spans="1:50" s="72" customFormat="1" ht="12.6" customHeight="1">
      <c r="A2" s="516"/>
      <c r="B2" s="517"/>
      <c r="C2" s="517"/>
      <c r="D2" s="517"/>
      <c r="E2" s="517"/>
      <c r="F2" s="517"/>
      <c r="G2" s="518"/>
      <c r="H2" s="536" t="s">
        <v>49</v>
      </c>
      <c r="I2" s="537"/>
      <c r="J2" s="537"/>
      <c r="K2" s="538"/>
      <c r="L2" s="539" t="str">
        <f>IF(プロジェクト名="","",プロジェクト名)</f>
        <v>新基幹システム構築プロジェクト</v>
      </c>
      <c r="M2" s="540"/>
      <c r="N2" s="540"/>
      <c r="O2" s="540"/>
      <c r="P2" s="540"/>
      <c r="Q2" s="540"/>
      <c r="R2" s="541"/>
      <c r="S2" s="542" t="s">
        <v>50</v>
      </c>
      <c r="T2" s="537"/>
      <c r="U2" s="537"/>
      <c r="V2" s="538"/>
      <c r="W2" s="539" t="str">
        <f>IF(サブシステム="","",サブシステム)</f>
        <v>SCM</v>
      </c>
      <c r="X2" s="540"/>
      <c r="Y2" s="540"/>
      <c r="Z2" s="540"/>
      <c r="AA2" s="540"/>
      <c r="AB2" s="540"/>
      <c r="AC2" s="541"/>
      <c r="AD2" s="550" t="s">
        <v>10</v>
      </c>
      <c r="AE2" s="551"/>
      <c r="AF2" s="551"/>
      <c r="AG2" s="552"/>
      <c r="AH2" s="553" t="str">
        <f>IF(修正者="","",修正者)</f>
        <v>XX</v>
      </c>
      <c r="AI2" s="554"/>
      <c r="AJ2" s="554"/>
      <c r="AK2" s="554"/>
      <c r="AL2" s="555"/>
      <c r="AM2" s="556" t="s">
        <v>11</v>
      </c>
      <c r="AN2" s="557"/>
      <c r="AO2" s="557"/>
      <c r="AP2" s="558"/>
      <c r="AQ2" s="559">
        <f>IF(修正日="","",修正日)</f>
        <v>43007</v>
      </c>
      <c r="AR2" s="560"/>
      <c r="AS2" s="560"/>
      <c r="AT2" s="560"/>
      <c r="AU2" s="561" t="str">
        <f>IF(文書番号="","",文書番号)</f>
        <v>XX-XX-9999</v>
      </c>
      <c r="AV2" s="562"/>
      <c r="AW2" s="562"/>
      <c r="AX2" s="563"/>
    </row>
    <row r="3" spans="1:50" s="72" customFormat="1" ht="12.6" customHeight="1" thickBot="1">
      <c r="A3" s="519"/>
      <c r="B3" s="520"/>
      <c r="C3" s="520"/>
      <c r="D3" s="520"/>
      <c r="E3" s="520"/>
      <c r="F3" s="520"/>
      <c r="G3" s="521"/>
      <c r="H3" s="529" t="s">
        <v>13</v>
      </c>
      <c r="I3" s="529"/>
      <c r="J3" s="529"/>
      <c r="K3" s="530"/>
      <c r="L3" s="507" t="str">
        <f>IF(機能ID="","",機能ID)</f>
        <v>MSBCBA0040</v>
      </c>
      <c r="M3" s="531"/>
      <c r="N3" s="531"/>
      <c r="O3" s="531"/>
      <c r="P3" s="531"/>
      <c r="Q3" s="531"/>
      <c r="R3" s="531"/>
      <c r="S3" s="532" t="s">
        <v>14</v>
      </c>
      <c r="T3" s="529"/>
      <c r="U3" s="529"/>
      <c r="V3" s="530"/>
      <c r="W3" s="507" t="str">
        <f>IF(機能名="","",機能名)</f>
        <v>納期回答作成バッチ</v>
      </c>
      <c r="X3" s="508"/>
      <c r="Y3" s="508"/>
      <c r="Z3" s="508"/>
      <c r="AA3" s="508"/>
      <c r="AB3" s="508"/>
      <c r="AC3" s="508"/>
      <c r="AD3" s="508"/>
      <c r="AE3" s="508"/>
      <c r="AF3" s="508"/>
      <c r="AG3" s="508"/>
      <c r="AH3" s="508"/>
      <c r="AI3" s="508"/>
      <c r="AJ3" s="508"/>
      <c r="AK3" s="508"/>
      <c r="AL3" s="509"/>
      <c r="AM3" s="510" t="s">
        <v>12</v>
      </c>
      <c r="AN3" s="511"/>
      <c r="AO3" s="511"/>
      <c r="AP3" s="512"/>
      <c r="AQ3" s="504" t="str">
        <f>IF(Rev="","",Rev)</f>
        <v>r02.00</v>
      </c>
      <c r="AR3" s="505"/>
      <c r="AS3" s="505"/>
      <c r="AT3" s="506"/>
      <c r="AU3" s="564"/>
      <c r="AV3" s="565"/>
      <c r="AW3" s="565"/>
      <c r="AX3" s="566"/>
    </row>
    <row r="4" spans="1:50" ht="12.75" thickBot="1"/>
    <row r="5" spans="1:50" ht="12.75" thickBot="1">
      <c r="A5" s="28" t="s">
        <v>168</v>
      </c>
      <c r="B5" s="19"/>
      <c r="C5" s="19"/>
      <c r="D5" s="19"/>
      <c r="E5" s="19"/>
      <c r="F5" s="19"/>
      <c r="G5" s="19"/>
      <c r="H5" s="19"/>
      <c r="I5" s="19"/>
      <c r="J5" s="19"/>
      <c r="K5" s="19"/>
      <c r="L5" s="19"/>
      <c r="M5" s="19"/>
      <c r="N5" s="19"/>
      <c r="O5" s="19"/>
      <c r="P5" s="19"/>
      <c r="Q5" s="19"/>
      <c r="R5" s="19"/>
      <c r="S5" s="19"/>
      <c r="T5" s="19"/>
      <c r="U5" s="19"/>
      <c r="V5" s="19"/>
      <c r="W5" s="19"/>
      <c r="X5" s="19"/>
      <c r="Y5" s="29"/>
      <c r="Z5" s="19"/>
      <c r="AA5" s="19"/>
      <c r="AB5" s="19"/>
      <c r="AC5" s="19"/>
      <c r="AD5" s="19"/>
      <c r="AE5" s="19"/>
      <c r="AF5" s="19"/>
      <c r="AG5" s="19"/>
      <c r="AH5" s="19"/>
      <c r="AI5" s="19"/>
      <c r="AJ5" s="19"/>
      <c r="AK5" s="19"/>
      <c r="AL5" s="19"/>
      <c r="AM5" s="19"/>
      <c r="AN5" s="19"/>
      <c r="AO5" s="19"/>
      <c r="AP5" s="19"/>
      <c r="AQ5" s="19"/>
      <c r="AR5" s="19"/>
      <c r="AS5" s="19"/>
      <c r="AT5" s="19"/>
      <c r="AU5" s="19"/>
      <c r="AV5" s="19"/>
      <c r="AW5" s="567"/>
      <c r="AX5" s="568"/>
    </row>
    <row r="6" spans="1:50" ht="12.75" thickTop="1">
      <c r="A6" s="20"/>
      <c r="B6" s="21"/>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75"/>
      <c r="AX6" s="76"/>
    </row>
    <row r="7" spans="1:50">
      <c r="A7" s="20"/>
      <c r="B7" s="21"/>
      <c r="C7" s="21"/>
      <c r="D7" s="21"/>
      <c r="E7" s="21"/>
      <c r="F7" s="21"/>
      <c r="G7" s="21"/>
      <c r="H7" s="21"/>
      <c r="I7" s="21"/>
      <c r="J7" s="21"/>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c r="AM7" s="21"/>
      <c r="AN7" s="21"/>
      <c r="AO7" s="21"/>
      <c r="AP7" s="21"/>
      <c r="AQ7" s="21"/>
      <c r="AR7" s="21"/>
      <c r="AS7" s="21"/>
      <c r="AT7" s="21"/>
      <c r="AU7" s="21"/>
      <c r="AV7" s="21"/>
      <c r="AW7" s="75"/>
      <c r="AX7" s="76"/>
    </row>
    <row r="8" spans="1:50">
      <c r="A8" s="20"/>
      <c r="B8" s="21"/>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75"/>
      <c r="AX8" s="76"/>
    </row>
    <row r="9" spans="1:50">
      <c r="A9" s="20"/>
      <c r="B9" s="21"/>
      <c r="C9" s="21"/>
      <c r="D9" s="21"/>
      <c r="E9" s="21"/>
      <c r="F9" s="21"/>
      <c r="G9" s="21"/>
      <c r="H9" s="21"/>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c r="AM9" s="21"/>
      <c r="AN9" s="21"/>
      <c r="AO9" s="21"/>
      <c r="AP9" s="21"/>
      <c r="AQ9" s="21"/>
      <c r="AR9" s="21"/>
      <c r="AS9" s="21"/>
      <c r="AT9" s="21"/>
      <c r="AU9" s="21"/>
      <c r="AV9" s="21"/>
      <c r="AW9" s="75"/>
      <c r="AX9" s="76"/>
    </row>
    <row r="10" spans="1:50">
      <c r="A10" s="20"/>
      <c r="B10" s="21"/>
      <c r="C10" s="21"/>
      <c r="D10" s="21"/>
      <c r="E10" s="21"/>
      <c r="F10" s="21"/>
      <c r="G10" s="21"/>
      <c r="H10" s="21"/>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c r="AM10" s="21"/>
      <c r="AN10" s="21"/>
      <c r="AO10" s="21"/>
      <c r="AP10" s="21"/>
      <c r="AQ10" s="21"/>
      <c r="AR10" s="21"/>
      <c r="AS10" s="21"/>
      <c r="AT10" s="21"/>
      <c r="AU10" s="21"/>
      <c r="AV10" s="21"/>
      <c r="AW10" s="75"/>
      <c r="AX10" s="76"/>
    </row>
    <row r="11" spans="1:50">
      <c r="A11" s="20"/>
      <c r="B11" s="21"/>
      <c r="C11" s="21"/>
      <c r="D11" s="21"/>
      <c r="E11" s="21"/>
      <c r="F11" s="21"/>
      <c r="G11" s="21"/>
      <c r="H11" s="21"/>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c r="AM11" s="21"/>
      <c r="AN11" s="21"/>
      <c r="AO11" s="21"/>
      <c r="AP11" s="21"/>
      <c r="AQ11" s="21"/>
      <c r="AR11" s="21"/>
      <c r="AS11" s="21"/>
      <c r="AT11" s="21"/>
      <c r="AU11" s="21"/>
      <c r="AV11" s="21"/>
      <c r="AW11" s="75"/>
      <c r="AX11" s="76"/>
    </row>
    <row r="12" spans="1:50">
      <c r="A12" s="20"/>
      <c r="B12" s="21"/>
      <c r="C12" s="21"/>
      <c r="D12" s="21"/>
      <c r="E12" s="21"/>
      <c r="F12" s="21"/>
      <c r="G12" s="21"/>
      <c r="H12" s="21"/>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c r="AM12" s="21"/>
      <c r="AN12" s="21"/>
      <c r="AO12" s="21"/>
      <c r="AP12" s="21"/>
      <c r="AQ12" s="21"/>
      <c r="AR12" s="21"/>
      <c r="AS12" s="21"/>
      <c r="AT12" s="21"/>
      <c r="AU12" s="21"/>
      <c r="AV12" s="21"/>
      <c r="AW12" s="75"/>
      <c r="AX12" s="76"/>
    </row>
    <row r="13" spans="1:50">
      <c r="A13" s="20"/>
      <c r="B13" s="21"/>
      <c r="C13" s="21"/>
      <c r="D13" s="21"/>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c r="AO13" s="21"/>
      <c r="AP13" s="21"/>
      <c r="AQ13" s="21"/>
      <c r="AR13" s="21"/>
      <c r="AS13" s="21"/>
      <c r="AT13" s="21"/>
      <c r="AU13" s="21"/>
      <c r="AV13" s="21"/>
      <c r="AW13" s="75"/>
      <c r="AX13" s="76"/>
    </row>
    <row r="14" spans="1:50">
      <c r="A14" s="20"/>
      <c r="B14" s="21"/>
      <c r="C14" s="21"/>
      <c r="D14" s="21"/>
      <c r="E14" s="21"/>
      <c r="F14" s="21"/>
      <c r="G14" s="21"/>
      <c r="H14" s="21"/>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c r="AM14" s="21"/>
      <c r="AN14" s="21"/>
      <c r="AO14" s="21"/>
      <c r="AP14" s="21"/>
      <c r="AQ14" s="21"/>
      <c r="AR14" s="21"/>
      <c r="AS14" s="21"/>
      <c r="AT14" s="21"/>
      <c r="AU14" s="21"/>
      <c r="AV14" s="21"/>
      <c r="AW14" s="75"/>
      <c r="AX14" s="76"/>
    </row>
    <row r="15" spans="1:50">
      <c r="A15" s="20"/>
      <c r="B15" s="21"/>
      <c r="C15" s="21"/>
      <c r="D15" s="21"/>
      <c r="E15" s="21"/>
      <c r="F15" s="21"/>
      <c r="G15" s="21"/>
      <c r="H15" s="21"/>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c r="AM15" s="21"/>
      <c r="AN15" s="21"/>
      <c r="AO15" s="21"/>
      <c r="AP15" s="21"/>
      <c r="AQ15" s="21"/>
      <c r="AR15" s="21"/>
      <c r="AS15" s="21"/>
      <c r="AT15" s="21"/>
      <c r="AU15" s="21"/>
      <c r="AV15" s="21"/>
      <c r="AW15" s="75"/>
      <c r="AX15" s="76"/>
    </row>
    <row r="16" spans="1:50">
      <c r="A16" s="20"/>
      <c r="B16" s="21"/>
      <c r="C16" s="21"/>
      <c r="D16" s="21"/>
      <c r="E16" s="21"/>
      <c r="F16" s="21"/>
      <c r="G16" s="21"/>
      <c r="H16" s="21"/>
      <c r="I16" s="21"/>
      <c r="J16" s="21"/>
      <c r="K16" s="21"/>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c r="AM16" s="21"/>
      <c r="AN16" s="21"/>
      <c r="AO16" s="21"/>
      <c r="AP16" s="21"/>
      <c r="AQ16" s="21"/>
      <c r="AR16" s="21"/>
      <c r="AS16" s="21"/>
      <c r="AT16" s="21"/>
      <c r="AU16" s="21"/>
      <c r="AV16" s="21"/>
      <c r="AW16" s="75"/>
      <c r="AX16" s="76"/>
    </row>
    <row r="17" spans="1:50">
      <c r="A17" s="20"/>
      <c r="B17" s="21"/>
      <c r="C17" s="21"/>
      <c r="D17" s="21"/>
      <c r="E17" s="21"/>
      <c r="F17" s="21"/>
      <c r="G17" s="21"/>
      <c r="H17" s="21"/>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21"/>
      <c r="AR17" s="21"/>
      <c r="AS17" s="21"/>
      <c r="AT17" s="21"/>
      <c r="AU17" s="21"/>
      <c r="AV17" s="21"/>
      <c r="AW17" s="75"/>
      <c r="AX17" s="76"/>
    </row>
    <row r="18" spans="1:50">
      <c r="A18" s="20"/>
      <c r="B18" s="21"/>
      <c r="C18" s="21"/>
      <c r="D18" s="21"/>
      <c r="E18" s="21"/>
      <c r="F18" s="21"/>
      <c r="G18" s="21"/>
      <c r="H18" s="21"/>
      <c r="I18" s="21"/>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c r="AM18" s="21"/>
      <c r="AN18" s="21"/>
      <c r="AO18" s="21"/>
      <c r="AP18" s="21"/>
      <c r="AQ18" s="21"/>
      <c r="AR18" s="21"/>
      <c r="AS18" s="21"/>
      <c r="AT18" s="21"/>
      <c r="AU18" s="21"/>
      <c r="AV18" s="21"/>
      <c r="AW18" s="75"/>
      <c r="AX18" s="76"/>
    </row>
    <row r="19" spans="1:50">
      <c r="A19" s="20"/>
      <c r="B19" s="21"/>
      <c r="C19" s="21"/>
      <c r="D19" s="21"/>
      <c r="E19" s="21"/>
      <c r="F19" s="21"/>
      <c r="G19" s="21"/>
      <c r="H19" s="21"/>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c r="AM19" s="21"/>
      <c r="AN19" s="21"/>
      <c r="AO19" s="21"/>
      <c r="AP19" s="21"/>
      <c r="AQ19" s="21"/>
      <c r="AR19" s="21"/>
      <c r="AS19" s="21"/>
      <c r="AT19" s="21"/>
      <c r="AU19" s="21"/>
      <c r="AV19" s="21"/>
      <c r="AW19" s="75"/>
      <c r="AX19" s="76"/>
    </row>
    <row r="20" spans="1:50">
      <c r="A20" s="20"/>
      <c r="B20" s="21"/>
      <c r="C20" s="21"/>
      <c r="D20" s="21"/>
      <c r="E20" s="21"/>
      <c r="F20" s="21"/>
      <c r="G20" s="21"/>
      <c r="H20" s="21"/>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c r="AM20" s="21"/>
      <c r="AN20" s="21"/>
      <c r="AO20" s="21"/>
      <c r="AP20" s="21"/>
      <c r="AQ20" s="21"/>
      <c r="AR20" s="21"/>
      <c r="AS20" s="21"/>
      <c r="AT20" s="21"/>
      <c r="AU20" s="21"/>
      <c r="AV20" s="21"/>
      <c r="AW20" s="75"/>
      <c r="AX20" s="76"/>
    </row>
    <row r="21" spans="1:50">
      <c r="A21" s="20"/>
      <c r="B21" s="21"/>
      <c r="C21" s="21"/>
      <c r="D21" s="21"/>
      <c r="E21" s="21"/>
      <c r="F21" s="21"/>
      <c r="G21" s="21"/>
      <c r="H21" s="21"/>
      <c r="I21" s="21"/>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c r="AM21" s="21"/>
      <c r="AN21" s="21"/>
      <c r="AO21" s="21"/>
      <c r="AP21" s="21"/>
      <c r="AQ21" s="21"/>
      <c r="AR21" s="21"/>
      <c r="AS21" s="21"/>
      <c r="AT21" s="21"/>
      <c r="AU21" s="21"/>
      <c r="AV21" s="21"/>
      <c r="AW21" s="75"/>
      <c r="AX21" s="76"/>
    </row>
    <row r="22" spans="1:50">
      <c r="A22" s="20"/>
      <c r="B22" s="21"/>
      <c r="C22" s="21"/>
      <c r="D22" s="21"/>
      <c r="E22" s="21"/>
      <c r="F22" s="21"/>
      <c r="G22" s="21"/>
      <c r="H22" s="21"/>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c r="AM22" s="21"/>
      <c r="AN22" s="21"/>
      <c r="AO22" s="21"/>
      <c r="AP22" s="21"/>
      <c r="AQ22" s="21"/>
      <c r="AR22" s="21"/>
      <c r="AS22" s="21"/>
      <c r="AT22" s="21"/>
      <c r="AU22" s="21"/>
      <c r="AV22" s="21"/>
      <c r="AW22" s="75"/>
      <c r="AX22" s="76"/>
    </row>
    <row r="23" spans="1:50">
      <c r="A23" s="20"/>
      <c r="B23" s="21"/>
      <c r="C23" s="21"/>
      <c r="D23" s="21"/>
      <c r="E23" s="21"/>
      <c r="F23" s="21"/>
      <c r="G23" s="21"/>
      <c r="H23" s="21"/>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c r="AM23" s="21"/>
      <c r="AN23" s="21"/>
      <c r="AO23" s="21"/>
      <c r="AP23" s="21"/>
      <c r="AQ23" s="21"/>
      <c r="AR23" s="21"/>
      <c r="AS23" s="21"/>
      <c r="AT23" s="21"/>
      <c r="AU23" s="21"/>
      <c r="AV23" s="21"/>
      <c r="AW23" s="75"/>
      <c r="AX23" s="76"/>
    </row>
    <row r="24" spans="1:50">
      <c r="A24" s="20"/>
      <c r="B24" s="21"/>
      <c r="C24" s="21"/>
      <c r="D24" s="21"/>
      <c r="E24" s="21"/>
      <c r="F24" s="21"/>
      <c r="G24" s="21"/>
      <c r="H24" s="21"/>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c r="AM24" s="21"/>
      <c r="AN24" s="21"/>
      <c r="AO24" s="21"/>
      <c r="AP24" s="21"/>
      <c r="AQ24" s="21"/>
      <c r="AR24" s="21"/>
      <c r="AS24" s="21"/>
      <c r="AT24" s="21"/>
      <c r="AU24" s="21"/>
      <c r="AV24" s="21"/>
      <c r="AW24" s="75"/>
      <c r="AX24" s="76"/>
    </row>
    <row r="25" spans="1:50">
      <c r="A25" s="20"/>
      <c r="B25" s="21"/>
      <c r="C25" s="21"/>
      <c r="D25" s="21"/>
      <c r="E25" s="21"/>
      <c r="F25" s="21"/>
      <c r="G25" s="21"/>
      <c r="H25" s="21"/>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c r="AM25" s="21"/>
      <c r="AN25" s="21"/>
      <c r="AO25" s="21"/>
      <c r="AP25" s="21"/>
      <c r="AQ25" s="21"/>
      <c r="AR25" s="21"/>
      <c r="AS25" s="21"/>
      <c r="AT25" s="21"/>
      <c r="AU25" s="21"/>
      <c r="AV25" s="21"/>
      <c r="AW25" s="75"/>
      <c r="AX25" s="76"/>
    </row>
    <row r="26" spans="1:50">
      <c r="A26" s="20"/>
      <c r="B26" s="21"/>
      <c r="C26" s="21"/>
      <c r="D26" s="21"/>
      <c r="E26" s="21"/>
      <c r="F26" s="21"/>
      <c r="G26" s="21"/>
      <c r="H26" s="21"/>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c r="AM26" s="21"/>
      <c r="AN26" s="21"/>
      <c r="AO26" s="21"/>
      <c r="AP26" s="21"/>
      <c r="AQ26" s="21"/>
      <c r="AR26" s="21"/>
      <c r="AS26" s="21"/>
      <c r="AT26" s="21"/>
      <c r="AU26" s="21"/>
      <c r="AV26" s="21"/>
      <c r="AW26" s="75"/>
      <c r="AX26" s="76"/>
    </row>
    <row r="27" spans="1:50">
      <c r="A27" s="20"/>
      <c r="B27" s="21"/>
      <c r="C27" s="21"/>
      <c r="D27" s="21"/>
      <c r="E27" s="21"/>
      <c r="F27" s="21"/>
      <c r="G27" s="21"/>
      <c r="H27" s="21"/>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c r="AM27" s="21"/>
      <c r="AN27" s="21"/>
      <c r="AO27" s="21"/>
      <c r="AP27" s="21"/>
      <c r="AQ27" s="21"/>
      <c r="AR27" s="21"/>
      <c r="AS27" s="21"/>
      <c r="AT27" s="21"/>
      <c r="AU27" s="21"/>
      <c r="AV27" s="21"/>
      <c r="AW27" s="75"/>
      <c r="AX27" s="76"/>
    </row>
    <row r="28" spans="1:50">
      <c r="A28" s="20"/>
      <c r="B28" s="21"/>
      <c r="C28" s="21"/>
      <c r="D28" s="21"/>
      <c r="E28" s="21"/>
      <c r="F28" s="21"/>
      <c r="G28" s="21"/>
      <c r="H28" s="21"/>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c r="AM28" s="21"/>
      <c r="AN28" s="21"/>
      <c r="AO28" s="21"/>
      <c r="AP28" s="21"/>
      <c r="AQ28" s="21"/>
      <c r="AR28" s="21"/>
      <c r="AS28" s="21"/>
      <c r="AT28" s="21"/>
      <c r="AU28" s="21"/>
      <c r="AV28" s="21"/>
      <c r="AW28" s="75"/>
      <c r="AX28" s="76"/>
    </row>
    <row r="29" spans="1:50">
      <c r="A29" s="20"/>
      <c r="B29" s="21"/>
      <c r="C29" s="21"/>
      <c r="D29" s="21"/>
      <c r="E29" s="21"/>
      <c r="F29" s="21"/>
      <c r="G29" s="21"/>
      <c r="H29" s="21"/>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c r="AM29" s="21"/>
      <c r="AN29" s="21"/>
      <c r="AO29" s="21"/>
      <c r="AP29" s="21"/>
      <c r="AQ29" s="21"/>
      <c r="AR29" s="21"/>
      <c r="AS29" s="21"/>
      <c r="AT29" s="21"/>
      <c r="AU29" s="21"/>
      <c r="AV29" s="21"/>
      <c r="AW29" s="75"/>
      <c r="AX29" s="76"/>
    </row>
    <row r="30" spans="1:50">
      <c r="A30" s="20"/>
      <c r="B30" s="21"/>
      <c r="C30" s="21"/>
      <c r="D30" s="21"/>
      <c r="E30" s="21"/>
      <c r="F30" s="21"/>
      <c r="G30" s="21"/>
      <c r="H30" s="21"/>
      <c r="I30" s="21"/>
      <c r="J30" s="21"/>
      <c r="K30" s="21"/>
      <c r="L30" s="21"/>
      <c r="M30" s="21"/>
      <c r="N30" s="21"/>
      <c r="O30" s="21"/>
      <c r="P30" s="21"/>
      <c r="Q30" s="21"/>
      <c r="R30" s="21"/>
      <c r="S30" s="21"/>
      <c r="T30" s="21"/>
      <c r="U30" s="21"/>
      <c r="V30" s="21"/>
      <c r="W30" s="21"/>
      <c r="X30" s="21"/>
      <c r="Y30" s="21"/>
      <c r="Z30" s="21"/>
      <c r="AA30" s="21"/>
      <c r="AB30" s="21"/>
      <c r="AC30" s="21"/>
      <c r="AD30" s="21"/>
      <c r="AE30" s="21"/>
      <c r="AF30" s="21"/>
      <c r="AG30" s="21"/>
      <c r="AH30" s="21"/>
      <c r="AI30" s="21"/>
      <c r="AJ30" s="21"/>
      <c r="AK30" s="21"/>
      <c r="AL30" s="21"/>
      <c r="AM30" s="21"/>
      <c r="AN30" s="21"/>
      <c r="AO30" s="21"/>
      <c r="AP30" s="21"/>
      <c r="AQ30" s="21"/>
      <c r="AR30" s="21"/>
      <c r="AS30" s="21"/>
      <c r="AT30" s="21"/>
      <c r="AU30" s="21"/>
      <c r="AV30" s="21"/>
      <c r="AW30" s="75"/>
      <c r="AX30" s="76"/>
    </row>
    <row r="31" spans="1:50">
      <c r="A31" s="20"/>
      <c r="B31" s="21"/>
      <c r="C31" s="21"/>
      <c r="D31" s="21"/>
      <c r="E31" s="21"/>
      <c r="F31" s="21"/>
      <c r="G31" s="21"/>
      <c r="H31" s="21"/>
      <c r="I31" s="21"/>
      <c r="J31" s="21"/>
      <c r="K31" s="21"/>
      <c r="L31" s="21"/>
      <c r="M31" s="21"/>
      <c r="N31" s="21"/>
      <c r="O31" s="21"/>
      <c r="P31" s="21"/>
      <c r="Q31" s="21"/>
      <c r="R31" s="21"/>
      <c r="S31" s="21"/>
      <c r="T31" s="21"/>
      <c r="U31" s="21"/>
      <c r="V31" s="21"/>
      <c r="W31" s="21"/>
      <c r="X31" s="21"/>
      <c r="Y31" s="21"/>
      <c r="Z31" s="21"/>
      <c r="AA31" s="21"/>
      <c r="AB31" s="21"/>
      <c r="AC31" s="21"/>
      <c r="AD31" s="21"/>
      <c r="AE31" s="21"/>
      <c r="AF31" s="21"/>
      <c r="AG31" s="21"/>
      <c r="AH31" s="21"/>
      <c r="AI31" s="21"/>
      <c r="AJ31" s="21"/>
      <c r="AK31" s="21"/>
      <c r="AL31" s="21"/>
      <c r="AM31" s="21"/>
      <c r="AN31" s="21"/>
      <c r="AO31" s="21"/>
      <c r="AP31" s="21"/>
      <c r="AQ31" s="21"/>
      <c r="AR31" s="21"/>
      <c r="AS31" s="21"/>
      <c r="AT31" s="21"/>
      <c r="AU31" s="21"/>
      <c r="AV31" s="21"/>
      <c r="AW31" s="75"/>
      <c r="AX31" s="76"/>
    </row>
    <row r="32" spans="1:50">
      <c r="A32" s="20"/>
      <c r="B32" s="21"/>
      <c r="C32" s="21"/>
      <c r="D32" s="21"/>
      <c r="E32" s="21"/>
      <c r="F32" s="21"/>
      <c r="G32" s="21"/>
      <c r="H32" s="21"/>
      <c r="I32" s="21"/>
      <c r="J32" s="21"/>
      <c r="K32" s="21"/>
      <c r="L32" s="21"/>
      <c r="M32" s="21"/>
      <c r="N32" s="21"/>
      <c r="O32" s="21"/>
      <c r="P32" s="21"/>
      <c r="Q32" s="21"/>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c r="AR32" s="21"/>
      <c r="AS32" s="21"/>
      <c r="AT32" s="21"/>
      <c r="AU32" s="21"/>
      <c r="AV32" s="21"/>
      <c r="AW32" s="75"/>
      <c r="AX32" s="76"/>
    </row>
    <row r="33" spans="1:50">
      <c r="A33" s="20"/>
      <c r="B33" s="21"/>
      <c r="C33" s="21"/>
      <c r="D33" s="21"/>
      <c r="E33" s="21"/>
      <c r="F33" s="21"/>
      <c r="G33" s="21"/>
      <c r="H33" s="21"/>
      <c r="I33" s="21"/>
      <c r="J33" s="21"/>
      <c r="K33" s="21"/>
      <c r="L33" s="21"/>
      <c r="M33" s="21"/>
      <c r="N33" s="21"/>
      <c r="O33" s="21"/>
      <c r="P33" s="21"/>
      <c r="Q33" s="21"/>
      <c r="R33" s="21"/>
      <c r="S33" s="21"/>
      <c r="T33" s="21"/>
      <c r="U33" s="21"/>
      <c r="V33" s="21"/>
      <c r="W33" s="21"/>
      <c r="X33" s="21"/>
      <c r="Y33" s="21"/>
      <c r="Z33" s="21"/>
      <c r="AA33" s="21"/>
      <c r="AB33" s="21"/>
      <c r="AC33" s="21"/>
      <c r="AD33" s="21"/>
      <c r="AE33" s="21"/>
      <c r="AF33" s="21"/>
      <c r="AG33" s="21"/>
      <c r="AH33" s="21"/>
      <c r="AI33" s="21"/>
      <c r="AJ33" s="21"/>
      <c r="AK33" s="21"/>
      <c r="AL33" s="21"/>
      <c r="AM33" s="21"/>
      <c r="AN33" s="21"/>
      <c r="AO33" s="21"/>
      <c r="AP33" s="21"/>
      <c r="AQ33" s="21"/>
      <c r="AR33" s="21"/>
      <c r="AS33" s="21"/>
      <c r="AT33" s="21"/>
      <c r="AU33" s="21"/>
      <c r="AV33" s="21"/>
      <c r="AW33" s="75"/>
      <c r="AX33" s="76"/>
    </row>
    <row r="34" spans="1:50">
      <c r="A34" s="20"/>
      <c r="B34" s="21"/>
      <c r="C34" s="21"/>
      <c r="D34" s="21"/>
      <c r="E34" s="21"/>
      <c r="F34" s="21"/>
      <c r="G34" s="21"/>
      <c r="H34" s="21"/>
      <c r="I34" s="21"/>
      <c r="J34" s="21"/>
      <c r="K34" s="21"/>
      <c r="L34" s="21"/>
      <c r="M34" s="21"/>
      <c r="N34" s="21"/>
      <c r="O34" s="21"/>
      <c r="P34" s="21"/>
      <c r="Q34" s="21"/>
      <c r="R34" s="21"/>
      <c r="S34" s="21"/>
      <c r="T34" s="21"/>
      <c r="U34" s="21"/>
      <c r="V34" s="21"/>
      <c r="W34" s="21"/>
      <c r="X34" s="21"/>
      <c r="Y34" s="21"/>
      <c r="Z34" s="21"/>
      <c r="AA34" s="21"/>
      <c r="AB34" s="21"/>
      <c r="AC34" s="21"/>
      <c r="AD34" s="21"/>
      <c r="AE34" s="21"/>
      <c r="AF34" s="21"/>
      <c r="AG34" s="21"/>
      <c r="AH34" s="21"/>
      <c r="AI34" s="21"/>
      <c r="AJ34" s="21"/>
      <c r="AK34" s="21"/>
      <c r="AL34" s="21"/>
      <c r="AM34" s="21"/>
      <c r="AN34" s="21"/>
      <c r="AO34" s="21"/>
      <c r="AP34" s="21"/>
      <c r="AQ34" s="21"/>
      <c r="AR34" s="21"/>
      <c r="AS34" s="21"/>
      <c r="AT34" s="21"/>
      <c r="AU34" s="21"/>
      <c r="AV34" s="21"/>
      <c r="AW34" s="75"/>
      <c r="AX34" s="76"/>
    </row>
    <row r="35" spans="1:50">
      <c r="A35" s="20"/>
      <c r="B35" s="21"/>
      <c r="C35" s="21"/>
      <c r="D35" s="21"/>
      <c r="E35" s="21"/>
      <c r="F35" s="21"/>
      <c r="G35" s="21"/>
      <c r="H35" s="21"/>
      <c r="I35" s="21"/>
      <c r="J35" s="21"/>
      <c r="K35" s="21"/>
      <c r="L35" s="21"/>
      <c r="M35" s="21"/>
      <c r="N35" s="21"/>
      <c r="O35" s="21"/>
      <c r="P35" s="21"/>
      <c r="Q35" s="21"/>
      <c r="R35" s="21"/>
      <c r="S35" s="21"/>
      <c r="T35" s="21"/>
      <c r="U35" s="21"/>
      <c r="V35" s="21"/>
      <c r="W35" s="21"/>
      <c r="X35" s="21"/>
      <c r="Y35" s="21"/>
      <c r="Z35" s="21"/>
      <c r="AA35" s="21"/>
      <c r="AB35" s="21"/>
      <c r="AC35" s="21"/>
      <c r="AD35" s="21"/>
      <c r="AE35" s="21"/>
      <c r="AF35" s="21"/>
      <c r="AG35" s="21"/>
      <c r="AH35" s="21"/>
      <c r="AI35" s="21"/>
      <c r="AJ35" s="21"/>
      <c r="AK35" s="21"/>
      <c r="AL35" s="21"/>
      <c r="AM35" s="21"/>
      <c r="AN35" s="21"/>
      <c r="AO35" s="21"/>
      <c r="AP35" s="21"/>
      <c r="AQ35" s="21"/>
      <c r="AR35" s="21"/>
      <c r="AS35" s="21"/>
      <c r="AT35" s="21"/>
      <c r="AU35" s="21"/>
      <c r="AV35" s="21"/>
      <c r="AW35" s="75"/>
      <c r="AX35" s="76"/>
    </row>
    <row r="36" spans="1:50">
      <c r="A36" s="20"/>
      <c r="B36" s="21"/>
      <c r="C36" s="21"/>
      <c r="D36" s="21"/>
      <c r="E36" s="21"/>
      <c r="F36" s="21"/>
      <c r="G36" s="21"/>
      <c r="H36" s="21"/>
      <c r="I36" s="21"/>
      <c r="J36" s="21"/>
      <c r="K36" s="21"/>
      <c r="L36" s="21"/>
      <c r="M36" s="21"/>
      <c r="N36" s="21"/>
      <c r="O36" s="21"/>
      <c r="P36" s="21"/>
      <c r="Q36" s="21"/>
      <c r="R36" s="21"/>
      <c r="S36" s="21"/>
      <c r="T36" s="21"/>
      <c r="U36" s="21"/>
      <c r="V36" s="21"/>
      <c r="W36" s="21"/>
      <c r="X36" s="21"/>
      <c r="Y36" s="21"/>
      <c r="Z36" s="21"/>
      <c r="AA36" s="21"/>
      <c r="AB36" s="21"/>
      <c r="AC36" s="21"/>
      <c r="AD36" s="21"/>
      <c r="AE36" s="21"/>
      <c r="AF36" s="21"/>
      <c r="AG36" s="21"/>
      <c r="AH36" s="21"/>
      <c r="AI36" s="21"/>
      <c r="AJ36" s="21"/>
      <c r="AK36" s="21"/>
      <c r="AL36" s="21"/>
      <c r="AM36" s="21"/>
      <c r="AN36" s="21"/>
      <c r="AO36" s="21"/>
      <c r="AP36" s="21"/>
      <c r="AQ36" s="21"/>
      <c r="AR36" s="21"/>
      <c r="AS36" s="21"/>
      <c r="AT36" s="21"/>
      <c r="AU36" s="21"/>
      <c r="AV36" s="21"/>
      <c r="AW36" s="75"/>
      <c r="AX36" s="76"/>
    </row>
    <row r="37" spans="1:50">
      <c r="A37" s="20"/>
      <c r="B37" s="21"/>
      <c r="C37" s="21"/>
      <c r="D37" s="21"/>
      <c r="E37" s="21"/>
      <c r="F37" s="21"/>
      <c r="G37" s="21"/>
      <c r="H37" s="21"/>
      <c r="I37" s="21"/>
      <c r="J37" s="21"/>
      <c r="K37" s="21"/>
      <c r="L37" s="21"/>
      <c r="M37" s="21"/>
      <c r="N37" s="21"/>
      <c r="O37" s="21"/>
      <c r="P37" s="21"/>
      <c r="Q37" s="21"/>
      <c r="R37" s="21"/>
      <c r="S37" s="21"/>
      <c r="T37" s="21"/>
      <c r="U37" s="21"/>
      <c r="V37" s="21"/>
      <c r="W37" s="21"/>
      <c r="X37" s="21"/>
      <c r="Y37" s="21"/>
      <c r="Z37" s="21"/>
      <c r="AA37" s="21"/>
      <c r="AB37" s="21"/>
      <c r="AC37" s="21"/>
      <c r="AD37" s="21"/>
      <c r="AE37" s="21"/>
      <c r="AF37" s="21"/>
      <c r="AG37" s="21"/>
      <c r="AH37" s="21"/>
      <c r="AI37" s="21"/>
      <c r="AJ37" s="21"/>
      <c r="AK37" s="21"/>
      <c r="AL37" s="21"/>
      <c r="AM37" s="21"/>
      <c r="AN37" s="21"/>
      <c r="AO37" s="21"/>
      <c r="AP37" s="21"/>
      <c r="AQ37" s="21"/>
      <c r="AR37" s="21"/>
      <c r="AS37" s="21"/>
      <c r="AT37" s="21"/>
      <c r="AU37" s="21"/>
      <c r="AV37" s="21"/>
      <c r="AW37" s="75"/>
      <c r="AX37" s="76"/>
    </row>
    <row r="38" spans="1:50">
      <c r="A38" s="20"/>
      <c r="B38" s="21"/>
      <c r="C38" s="21"/>
      <c r="D38" s="21"/>
      <c r="E38" s="21"/>
      <c r="F38" s="21"/>
      <c r="G38" s="21"/>
      <c r="H38" s="21"/>
      <c r="I38" s="21"/>
      <c r="J38" s="21"/>
      <c r="K38" s="21"/>
      <c r="L38" s="21"/>
      <c r="M38" s="21"/>
      <c r="N38" s="21"/>
      <c r="O38" s="21"/>
      <c r="P38" s="21"/>
      <c r="Q38" s="21"/>
      <c r="R38" s="21"/>
      <c r="S38" s="21"/>
      <c r="T38" s="21"/>
      <c r="U38" s="21"/>
      <c r="V38" s="21"/>
      <c r="W38" s="21"/>
      <c r="X38" s="21"/>
      <c r="Y38" s="21"/>
      <c r="Z38" s="21"/>
      <c r="AA38" s="21"/>
      <c r="AB38" s="21"/>
      <c r="AC38" s="21"/>
      <c r="AD38" s="21"/>
      <c r="AE38" s="21"/>
      <c r="AF38" s="21"/>
      <c r="AG38" s="21"/>
      <c r="AH38" s="21"/>
      <c r="AI38" s="21"/>
      <c r="AJ38" s="21"/>
      <c r="AK38" s="21"/>
      <c r="AL38" s="21"/>
      <c r="AM38" s="21"/>
      <c r="AN38" s="21"/>
      <c r="AO38" s="21"/>
      <c r="AP38" s="21"/>
      <c r="AQ38" s="21"/>
      <c r="AR38" s="21"/>
      <c r="AS38" s="21"/>
      <c r="AT38" s="21"/>
      <c r="AU38" s="21"/>
      <c r="AV38" s="21"/>
      <c r="AW38" s="75"/>
      <c r="AX38" s="76"/>
    </row>
    <row r="39" spans="1:50">
      <c r="A39" s="20"/>
      <c r="B39" s="21"/>
      <c r="C39" s="21"/>
      <c r="D39" s="21"/>
      <c r="E39" s="21"/>
      <c r="F39" s="21"/>
      <c r="G39" s="21"/>
      <c r="H39" s="21"/>
      <c r="I39" s="21"/>
      <c r="J39" s="21"/>
      <c r="K39" s="21"/>
      <c r="L39" s="21"/>
      <c r="M39" s="21"/>
      <c r="N39" s="21"/>
      <c r="O39" s="21"/>
      <c r="P39" s="21"/>
      <c r="Q39" s="21"/>
      <c r="R39" s="21"/>
      <c r="S39" s="21"/>
      <c r="T39" s="21"/>
      <c r="U39" s="21"/>
      <c r="V39" s="21"/>
      <c r="W39" s="21"/>
      <c r="X39" s="21"/>
      <c r="Y39" s="21"/>
      <c r="Z39" s="21"/>
      <c r="AA39" s="21"/>
      <c r="AB39" s="21"/>
      <c r="AC39" s="21"/>
      <c r="AD39" s="21"/>
      <c r="AE39" s="21"/>
      <c r="AF39" s="21"/>
      <c r="AG39" s="21"/>
      <c r="AH39" s="21"/>
      <c r="AI39" s="21"/>
      <c r="AJ39" s="21"/>
      <c r="AK39" s="21"/>
      <c r="AL39" s="21"/>
      <c r="AM39" s="21"/>
      <c r="AN39" s="21"/>
      <c r="AO39" s="21"/>
      <c r="AP39" s="21"/>
      <c r="AQ39" s="21"/>
      <c r="AR39" s="21"/>
      <c r="AS39" s="21"/>
      <c r="AT39" s="21"/>
      <c r="AU39" s="21"/>
      <c r="AV39" s="21"/>
      <c r="AW39" s="75"/>
      <c r="AX39" s="76"/>
    </row>
    <row r="40" spans="1:50" ht="12.75" thickBot="1">
      <c r="A40" s="22"/>
      <c r="B40" s="23"/>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77"/>
      <c r="AX40" s="78"/>
    </row>
  </sheetData>
  <mergeCells count="26">
    <mergeCell ref="A1:G3"/>
    <mergeCell ref="H1:K1"/>
    <mergeCell ref="L1:R1"/>
    <mergeCell ref="S1:V1"/>
    <mergeCell ref="W1:AC1"/>
    <mergeCell ref="AH1:AL1"/>
    <mergeCell ref="AM1:AP1"/>
    <mergeCell ref="AQ1:AT1"/>
    <mergeCell ref="AU1:AX1"/>
    <mergeCell ref="H2:K2"/>
    <mergeCell ref="L2:R2"/>
    <mergeCell ref="S2:V2"/>
    <mergeCell ref="W2:AC2"/>
    <mergeCell ref="AD2:AG2"/>
    <mergeCell ref="AH2:AL2"/>
    <mergeCell ref="AD1:AG1"/>
    <mergeCell ref="AW5:AX5"/>
    <mergeCell ref="AM2:AP2"/>
    <mergeCell ref="AQ2:AT2"/>
    <mergeCell ref="AU2:AX3"/>
    <mergeCell ref="H3:K3"/>
    <mergeCell ref="L3:R3"/>
    <mergeCell ref="S3:V3"/>
    <mergeCell ref="W3:AL3"/>
    <mergeCell ref="AM3:AP3"/>
    <mergeCell ref="AQ3:AT3"/>
  </mergeCells>
  <phoneticPr fontId="2"/>
  <dataValidations count="1">
    <dataValidation imeMode="off" allowBlank="1" showInputMessage="1" showErrorMessage="1" sqref="AW6:AX40"/>
  </dataValidations>
  <pageMargins left="0.39370078740157483" right="0.39370078740157483" top="0.51181102362204722" bottom="0.51181102362204722" header="0.31496062992125984" footer="0.31496062992125984"/>
  <pageSetup paperSize="9" fitToHeight="0" orientation="landscape" horizontalDpi="200" verticalDpi="200" r:id="rId1"/>
  <headerFooter alignWithMargins="0">
    <oddFooter>&amp;L&amp;A&amp;C&amp;P/&amp;N&amp;R©Toyo Business Engineering Corp.(B-EN-G) / Confidential</oddFooter>
  </headerFooter>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99"/>
    <pageSetUpPr fitToPage="1"/>
  </sheetPr>
  <dimension ref="A1:J30"/>
  <sheetViews>
    <sheetView showGridLines="0" zoomScaleNormal="100" zoomScaleSheetLayoutView="85" workbookViewId="0">
      <selection activeCell="D27" sqref="D27"/>
    </sheetView>
  </sheetViews>
  <sheetFormatPr defaultColWidth="9.33203125" defaultRowHeight="13.5" customHeight="1"/>
  <cols>
    <col min="1" max="1" width="6.6640625" style="3" customWidth="1"/>
    <col min="2" max="2" width="3.33203125" style="3" customWidth="1"/>
    <col min="3" max="3" width="23.33203125" style="3" customWidth="1"/>
    <col min="4" max="4" width="23.1640625" style="3" customWidth="1"/>
    <col min="5" max="5" width="3.33203125" style="3" customWidth="1"/>
    <col min="6" max="7" width="23.33203125" style="3" customWidth="1"/>
    <col min="8" max="8" width="60" style="3" customWidth="1"/>
    <col min="9" max="9" width="1.83203125" style="3" customWidth="1"/>
    <col min="10" max="212" width="9.33203125" style="3" customWidth="1"/>
    <col min="213" max="16384" width="9.33203125" style="3"/>
  </cols>
  <sheetData>
    <row r="1" spans="1:9" ht="13.5" customHeight="1">
      <c r="A1" s="272"/>
      <c r="B1" s="273"/>
      <c r="C1" s="273"/>
      <c r="D1" s="273"/>
      <c r="E1" s="273"/>
      <c r="F1" s="273"/>
      <c r="G1" s="273"/>
      <c r="H1" s="274"/>
    </row>
    <row r="2" spans="1:9" ht="13.5" customHeight="1">
      <c r="A2" s="275"/>
      <c r="B2" s="276"/>
      <c r="C2" s="276"/>
      <c r="D2" s="276"/>
      <c r="E2" s="276"/>
      <c r="F2" s="276"/>
      <c r="G2" s="276"/>
      <c r="H2" s="277"/>
    </row>
    <row r="3" spans="1:9" ht="13.5" customHeight="1">
      <c r="A3" s="275"/>
      <c r="B3" s="276"/>
      <c r="C3" s="276"/>
      <c r="D3" s="276"/>
      <c r="E3" s="276"/>
      <c r="F3" s="276"/>
      <c r="G3" s="276"/>
      <c r="H3" s="277"/>
    </row>
    <row r="4" spans="1:9" ht="6.75" customHeight="1" thickBot="1">
      <c r="A4" s="275"/>
      <c r="B4" s="276"/>
      <c r="C4" s="276"/>
      <c r="D4" s="276"/>
      <c r="E4" s="276"/>
      <c r="F4" s="276"/>
      <c r="G4" s="276"/>
      <c r="H4" s="277"/>
    </row>
    <row r="5" spans="1:9" s="4" customFormat="1" ht="13.5" customHeight="1">
      <c r="A5" s="5" t="s">
        <v>192</v>
      </c>
      <c r="B5" s="6"/>
      <c r="C5" s="7">
        <v>1</v>
      </c>
      <c r="D5" s="9" t="s">
        <v>193</v>
      </c>
      <c r="E5" s="7" t="s">
        <v>291</v>
      </c>
      <c r="F5" s="8"/>
      <c r="G5" s="278" t="s">
        <v>34</v>
      </c>
      <c r="H5" s="10"/>
    </row>
    <row r="6" spans="1:9" s="4" customFormat="1" ht="13.5" customHeight="1">
      <c r="A6" s="279" t="s">
        <v>36</v>
      </c>
      <c r="B6" s="280"/>
      <c r="C6" s="281" t="s">
        <v>43</v>
      </c>
      <c r="D6" s="282"/>
      <c r="E6" s="282"/>
      <c r="F6" s="282"/>
      <c r="G6" s="282"/>
      <c r="H6" s="283"/>
    </row>
    <row r="7" spans="1:9" s="4" customFormat="1" ht="13.5" customHeight="1">
      <c r="A7" s="11" t="s">
        <v>192</v>
      </c>
      <c r="B7" s="284" t="s">
        <v>46</v>
      </c>
      <c r="C7" s="12"/>
      <c r="D7" s="13"/>
      <c r="E7" s="284" t="s">
        <v>35</v>
      </c>
      <c r="F7" s="12"/>
      <c r="G7" s="13"/>
      <c r="H7" s="285" t="s">
        <v>194</v>
      </c>
    </row>
    <row r="8" spans="1:9" s="4" customFormat="1" ht="13.5" customHeight="1" thickBot="1">
      <c r="A8" s="14"/>
      <c r="B8" s="575" t="s">
        <v>66</v>
      </c>
      <c r="C8" s="578" t="s">
        <v>195</v>
      </c>
      <c r="D8" s="15" t="s">
        <v>28</v>
      </c>
      <c r="E8" s="286" t="s">
        <v>66</v>
      </c>
      <c r="F8" s="15" t="s">
        <v>195</v>
      </c>
      <c r="G8" s="15" t="s">
        <v>28</v>
      </c>
      <c r="H8" s="287"/>
    </row>
    <row r="9" spans="1:9" s="4" customFormat="1" ht="13.5" customHeight="1" thickTop="1">
      <c r="A9" s="288">
        <v>1</v>
      </c>
      <c r="B9" s="577" t="s">
        <v>67</v>
      </c>
      <c r="C9" s="588" t="s">
        <v>292</v>
      </c>
      <c r="D9" s="579" t="s">
        <v>296</v>
      </c>
      <c r="E9" s="289" t="s">
        <v>67</v>
      </c>
      <c r="F9" s="17" t="s">
        <v>307</v>
      </c>
      <c r="G9" s="16" t="s">
        <v>311</v>
      </c>
      <c r="H9" s="290"/>
    </row>
    <row r="10" spans="1:9" s="4" customFormat="1" ht="13.5" customHeight="1">
      <c r="A10" s="271">
        <v>2</v>
      </c>
      <c r="B10" s="592"/>
      <c r="C10" s="584"/>
      <c r="D10" s="579" t="s">
        <v>44</v>
      </c>
      <c r="E10" s="347" t="s">
        <v>67</v>
      </c>
      <c r="F10" s="17" t="s">
        <v>307</v>
      </c>
      <c r="G10" s="16" t="s">
        <v>44</v>
      </c>
      <c r="H10" s="290"/>
    </row>
    <row r="11" spans="1:9" s="4" customFormat="1" ht="13.5" customHeight="1">
      <c r="A11" s="271">
        <v>3</v>
      </c>
      <c r="B11" s="592"/>
      <c r="C11" s="584"/>
      <c r="D11" s="579" t="s">
        <v>78</v>
      </c>
      <c r="E11" s="347" t="s">
        <v>67</v>
      </c>
      <c r="F11" s="17" t="s">
        <v>307</v>
      </c>
      <c r="G11" s="16" t="s">
        <v>78</v>
      </c>
      <c r="H11" s="290"/>
    </row>
    <row r="12" spans="1:9" s="4" customFormat="1" ht="13.5" customHeight="1">
      <c r="A12" s="271">
        <v>4</v>
      </c>
      <c r="B12" s="592"/>
      <c r="C12" s="584"/>
      <c r="D12" s="579" t="s">
        <v>79</v>
      </c>
      <c r="E12" s="347" t="s">
        <v>67</v>
      </c>
      <c r="F12" s="17" t="s">
        <v>307</v>
      </c>
      <c r="G12" s="16" t="s">
        <v>79</v>
      </c>
      <c r="H12" s="290"/>
    </row>
    <row r="13" spans="1:9" s="4" customFormat="1" ht="13.5" customHeight="1">
      <c r="A13" s="271">
        <v>5</v>
      </c>
      <c r="B13" s="592"/>
      <c r="C13" s="584"/>
      <c r="D13" s="579" t="s">
        <v>80</v>
      </c>
      <c r="E13" s="347" t="s">
        <v>67</v>
      </c>
      <c r="F13" s="17" t="s">
        <v>307</v>
      </c>
      <c r="G13" s="16" t="s">
        <v>80</v>
      </c>
      <c r="H13" s="290"/>
    </row>
    <row r="14" spans="1:9" s="4" customFormat="1" ht="13.5" customHeight="1">
      <c r="A14" s="271">
        <v>6</v>
      </c>
      <c r="B14" s="592"/>
      <c r="C14" s="584"/>
      <c r="D14" s="579" t="s">
        <v>297</v>
      </c>
      <c r="E14" s="347" t="s">
        <v>67</v>
      </c>
      <c r="F14" s="17" t="s">
        <v>307</v>
      </c>
      <c r="G14" s="16" t="s">
        <v>312</v>
      </c>
      <c r="H14" s="290"/>
    </row>
    <row r="15" spans="1:9" s="4" customFormat="1" ht="13.5" customHeight="1">
      <c r="A15" s="271">
        <v>7</v>
      </c>
      <c r="B15" s="592"/>
      <c r="C15" s="584"/>
      <c r="D15" s="585" t="s">
        <v>81</v>
      </c>
      <c r="E15" s="347" t="s">
        <v>67</v>
      </c>
      <c r="F15" s="17" t="s">
        <v>307</v>
      </c>
      <c r="G15" s="17" t="s">
        <v>81</v>
      </c>
      <c r="H15" s="290"/>
    </row>
    <row r="16" spans="1:9" s="4" customFormat="1" ht="13.5" customHeight="1">
      <c r="A16" s="271">
        <v>8</v>
      </c>
      <c r="B16" s="592"/>
      <c r="C16" s="583"/>
      <c r="D16" s="593" t="s">
        <v>298</v>
      </c>
      <c r="E16" s="595"/>
      <c r="F16" s="605"/>
      <c r="G16" s="605" t="s">
        <v>313</v>
      </c>
      <c r="H16" s="573"/>
      <c r="I16" s="604"/>
    </row>
    <row r="17" spans="1:10" s="4" customFormat="1" ht="13.5" customHeight="1">
      <c r="A17" s="271">
        <v>9</v>
      </c>
      <c r="B17" s="592"/>
      <c r="C17" s="583"/>
      <c r="D17" s="576"/>
      <c r="E17" s="597" t="s">
        <v>67</v>
      </c>
      <c r="F17" s="603" t="s">
        <v>76</v>
      </c>
      <c r="G17" s="576" t="s">
        <v>314</v>
      </c>
      <c r="H17" s="574"/>
      <c r="I17" s="604"/>
      <c r="J17" s="604"/>
    </row>
    <row r="18" spans="1:10" s="4" customFormat="1" ht="13.5" customHeight="1">
      <c r="A18" s="271">
        <v>10</v>
      </c>
      <c r="B18" s="592"/>
      <c r="C18" s="583"/>
      <c r="D18" s="576"/>
      <c r="E18" s="597" t="s">
        <v>67</v>
      </c>
      <c r="F18" s="603" t="s">
        <v>76</v>
      </c>
      <c r="G18" s="603" t="s">
        <v>315</v>
      </c>
      <c r="H18" s="574"/>
      <c r="I18" s="604"/>
      <c r="J18" s="604"/>
    </row>
    <row r="19" spans="1:10" s="4" customFormat="1" ht="13.5" customHeight="1">
      <c r="A19" s="271">
        <v>11</v>
      </c>
      <c r="B19" s="592"/>
      <c r="C19" s="583"/>
      <c r="D19" s="594"/>
      <c r="E19" s="600" t="s">
        <v>67</v>
      </c>
      <c r="F19" s="606" t="s">
        <v>77</v>
      </c>
      <c r="G19" s="606" t="s">
        <v>316</v>
      </c>
      <c r="H19" s="599"/>
    </row>
    <row r="20" spans="1:10" s="4" customFormat="1" ht="13.5" customHeight="1">
      <c r="A20" s="271">
        <v>12</v>
      </c>
      <c r="B20" s="592"/>
      <c r="C20" s="584"/>
      <c r="D20" s="587" t="s">
        <v>299</v>
      </c>
      <c r="E20" s="347" t="s">
        <v>67</v>
      </c>
      <c r="F20" s="589" t="s">
        <v>307</v>
      </c>
      <c r="G20" s="17" t="s">
        <v>299</v>
      </c>
      <c r="H20" s="290"/>
    </row>
    <row r="21" spans="1:10" s="580" customFormat="1" ht="13.5" customHeight="1">
      <c r="A21" s="582"/>
      <c r="B21" s="592"/>
      <c r="C21" s="584"/>
      <c r="D21" s="590" t="s">
        <v>300</v>
      </c>
      <c r="E21" s="347" t="s">
        <v>67</v>
      </c>
      <c r="F21" s="589" t="s">
        <v>307</v>
      </c>
      <c r="G21" s="581" t="s">
        <v>300</v>
      </c>
      <c r="H21" s="290"/>
    </row>
    <row r="22" spans="1:10" s="580" customFormat="1" ht="13.5" customHeight="1">
      <c r="A22" s="582"/>
      <c r="B22" s="592"/>
      <c r="C22" s="584"/>
      <c r="D22" s="590" t="s">
        <v>301</v>
      </c>
      <c r="E22" s="347" t="s">
        <v>67</v>
      </c>
      <c r="F22" s="589" t="s">
        <v>307</v>
      </c>
      <c r="G22" s="581" t="s">
        <v>301</v>
      </c>
      <c r="H22" s="290"/>
    </row>
    <row r="23" spans="1:10" s="580" customFormat="1" ht="13.5" customHeight="1">
      <c r="A23" s="582"/>
      <c r="B23" s="592"/>
      <c r="C23" s="584"/>
      <c r="D23" s="590" t="s">
        <v>302</v>
      </c>
      <c r="E23" s="347" t="s">
        <v>67</v>
      </c>
      <c r="F23" s="589" t="s">
        <v>307</v>
      </c>
      <c r="G23" s="581" t="s">
        <v>317</v>
      </c>
      <c r="H23" s="290"/>
    </row>
    <row r="24" spans="1:10" s="580" customFormat="1" ht="13.5" customHeight="1">
      <c r="A24" s="582"/>
      <c r="B24" s="592"/>
      <c r="C24" s="584"/>
      <c r="D24" s="590" t="s">
        <v>303</v>
      </c>
      <c r="E24" s="347" t="s">
        <v>67</v>
      </c>
      <c r="F24" s="589" t="s">
        <v>307</v>
      </c>
      <c r="G24" s="581" t="s">
        <v>318</v>
      </c>
      <c r="H24" s="290"/>
    </row>
    <row r="25" spans="1:10" s="580" customFormat="1" ht="13.5" customHeight="1">
      <c r="A25" s="582"/>
      <c r="B25" s="592"/>
      <c r="C25" s="584"/>
      <c r="D25" s="590" t="s">
        <v>304</v>
      </c>
      <c r="E25" s="347" t="s">
        <v>67</v>
      </c>
      <c r="F25" s="589" t="s">
        <v>307</v>
      </c>
      <c r="G25" s="581" t="s">
        <v>319</v>
      </c>
      <c r="H25" s="290"/>
    </row>
    <row r="26" spans="1:10" s="580" customFormat="1" ht="13.5" customHeight="1">
      <c r="A26" s="582"/>
      <c r="B26" s="592"/>
      <c r="C26" s="584"/>
      <c r="D26" s="590" t="s">
        <v>305</v>
      </c>
      <c r="E26" s="347" t="s">
        <v>67</v>
      </c>
      <c r="F26" s="601" t="s">
        <v>308</v>
      </c>
      <c r="G26" s="581" t="s">
        <v>305</v>
      </c>
      <c r="H26" s="290"/>
    </row>
    <row r="27" spans="1:10" s="580" customFormat="1" ht="13.5" customHeight="1">
      <c r="A27" s="582"/>
      <c r="B27" s="592"/>
      <c r="C27" s="584"/>
      <c r="D27" s="590" t="s">
        <v>294</v>
      </c>
      <c r="E27" s="347"/>
      <c r="F27" s="589"/>
      <c r="G27" s="581"/>
      <c r="H27" s="290" t="s">
        <v>309</v>
      </c>
    </row>
    <row r="28" spans="1:10" s="580" customFormat="1" ht="13.5" customHeight="1">
      <c r="A28" s="582"/>
      <c r="B28" s="592"/>
      <c r="C28" s="584"/>
      <c r="D28" s="590" t="s">
        <v>306</v>
      </c>
      <c r="E28" s="347"/>
      <c r="F28" s="589"/>
      <c r="G28" s="581"/>
      <c r="H28" s="290" t="s">
        <v>309</v>
      </c>
    </row>
    <row r="29" spans="1:10" s="580" customFormat="1" ht="13.5" customHeight="1">
      <c r="A29" s="582"/>
      <c r="B29" s="591"/>
      <c r="C29" s="586"/>
      <c r="D29" s="590" t="s">
        <v>295</v>
      </c>
      <c r="E29" s="347"/>
      <c r="F29" s="589"/>
      <c r="G29" s="581"/>
      <c r="H29" s="290" t="s">
        <v>310</v>
      </c>
    </row>
    <row r="30" spans="1:10" s="4" customFormat="1" ht="13.5" customHeight="1" thickBot="1">
      <c r="A30" s="291"/>
      <c r="B30" s="292"/>
      <c r="C30" s="293"/>
      <c r="D30" s="293"/>
      <c r="E30" s="294"/>
      <c r="F30" s="293"/>
      <c r="G30" s="293"/>
      <c r="H30" s="295"/>
    </row>
  </sheetData>
  <phoneticPr fontId="2"/>
  <dataValidations count="1">
    <dataValidation imeMode="off" allowBlank="1" showInputMessage="1" showErrorMessage="1" sqref="F65526:F65550 F131062:F131086 F196598:F196622 F262134:F262158 F327670:F327694 F393206:F393230 F458742:F458766 F524278:F524302 F589814:F589838 F655350:F655374 F720886:F720910 F786422:F786446 F851958:F851982 F917494:F917518 F983030:F983054 C65526:C65566 C131062:C131102 C196598:C196638 C262134:C262174 C327670:C327710 C393206:C393246 C458742:C458782 C524278:C524318 C589814:C589854 C655350:C655390 C720886:C720926 C786422:C786462 C851958:C851998 C917494:C917534 C983030:C983070 F9:F14 F20:F29 C9:C30"/>
  </dataValidations>
  <pageMargins left="0.39370078740157483" right="0.39370078740157483" top="0.39370078740157483" bottom="0.39370078740157483" header="0.19685039370078741" footer="0.19685039370078741"/>
  <pageSetup paperSize="9" fitToHeight="0" orientation="landscape" r:id="rId1"/>
  <headerFooter alignWithMargins="0">
    <oddFooter>&amp;L&amp;A&amp;C&amp;U&amp;P/&amp;N&amp;R©Toyo Business Engineering Corp.(B-EN-G) / Confidential</oddFoot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99"/>
    <pageSetUpPr fitToPage="1"/>
  </sheetPr>
  <dimension ref="A4:E34"/>
  <sheetViews>
    <sheetView showGridLines="0" zoomScaleNormal="100" zoomScaleSheetLayoutView="90" workbookViewId="0">
      <selection activeCell="E38" sqref="E38"/>
    </sheetView>
  </sheetViews>
  <sheetFormatPr defaultColWidth="9.33203125" defaultRowHeight="13.5" customHeight="1"/>
  <cols>
    <col min="1" max="2" width="6.6640625" style="3" customWidth="1"/>
    <col min="3" max="3" width="16.6640625" style="3" customWidth="1"/>
    <col min="4" max="4" width="76.6640625" style="3" customWidth="1"/>
    <col min="5" max="5" width="60.5" style="3" customWidth="1"/>
    <col min="6" max="207" width="9.33203125" style="3" customWidth="1"/>
    <col min="208" max="16384" width="9.33203125" style="3"/>
  </cols>
  <sheetData>
    <row r="4" spans="1:5" ht="6.75" customHeight="1" thickBot="1"/>
    <row r="5" spans="1:5" s="4" customFormat="1" ht="12">
      <c r="A5" s="132" t="s">
        <v>156</v>
      </c>
      <c r="B5" s="133" t="s">
        <v>64</v>
      </c>
      <c r="C5" s="134" t="s">
        <v>155</v>
      </c>
      <c r="D5" s="135" t="s">
        <v>31</v>
      </c>
      <c r="E5" s="134" t="s">
        <v>32</v>
      </c>
    </row>
    <row r="6" spans="1:5" s="4" customFormat="1" ht="12.75" thickBot="1">
      <c r="A6" s="24"/>
      <c r="B6" s="25" t="s">
        <v>65</v>
      </c>
      <c r="C6" s="26"/>
      <c r="D6" s="27"/>
      <c r="E6" s="26"/>
    </row>
    <row r="7" spans="1:5" s="4" customFormat="1" ht="12.75" thickTop="1">
      <c r="A7" s="125"/>
      <c r="B7" s="126"/>
      <c r="C7" s="127"/>
      <c r="D7" s="124"/>
      <c r="E7" s="124"/>
    </row>
    <row r="8" spans="1:5" s="4" customFormat="1" ht="12">
      <c r="A8" s="125"/>
      <c r="B8" s="126"/>
      <c r="C8" s="127"/>
      <c r="D8" s="124"/>
      <c r="E8" s="124"/>
    </row>
    <row r="9" spans="1:5" s="4" customFormat="1" ht="12">
      <c r="A9" s="125"/>
      <c r="B9" s="126"/>
      <c r="C9" s="127"/>
      <c r="D9" s="124"/>
      <c r="E9" s="124"/>
    </row>
    <row r="10" spans="1:5" s="4" customFormat="1" ht="12">
      <c r="A10" s="125"/>
      <c r="B10" s="126"/>
      <c r="C10" s="127"/>
      <c r="D10" s="124"/>
      <c r="E10" s="124"/>
    </row>
    <row r="11" spans="1:5" s="4" customFormat="1" ht="12">
      <c r="A11" s="125"/>
      <c r="B11" s="126"/>
      <c r="C11" s="127"/>
      <c r="D11" s="124"/>
      <c r="E11" s="124"/>
    </row>
    <row r="12" spans="1:5" s="4" customFormat="1" ht="12">
      <c r="A12" s="125"/>
      <c r="B12" s="126"/>
      <c r="C12" s="127"/>
      <c r="D12" s="124"/>
      <c r="E12" s="124"/>
    </row>
    <row r="13" spans="1:5" s="4" customFormat="1" ht="12">
      <c r="A13" s="125"/>
      <c r="B13" s="126"/>
      <c r="C13" s="127"/>
      <c r="D13" s="124"/>
      <c r="E13" s="124"/>
    </row>
    <row r="14" spans="1:5" s="4" customFormat="1" ht="12">
      <c r="A14" s="125"/>
      <c r="B14" s="126"/>
      <c r="C14" s="127"/>
      <c r="D14" s="124"/>
      <c r="E14" s="124"/>
    </row>
    <row r="15" spans="1:5" s="4" customFormat="1" ht="12">
      <c r="A15" s="125"/>
      <c r="B15" s="126"/>
      <c r="C15" s="127"/>
      <c r="D15" s="124"/>
      <c r="E15" s="124"/>
    </row>
    <row r="16" spans="1:5" s="4" customFormat="1" ht="12">
      <c r="A16" s="125"/>
      <c r="B16" s="126"/>
      <c r="C16" s="127"/>
      <c r="D16" s="124"/>
      <c r="E16" s="124"/>
    </row>
    <row r="17" spans="1:5" s="4" customFormat="1" ht="12">
      <c r="A17" s="125"/>
      <c r="B17" s="126"/>
      <c r="C17" s="127"/>
      <c r="D17" s="124"/>
      <c r="E17" s="124"/>
    </row>
    <row r="18" spans="1:5" s="4" customFormat="1" ht="12">
      <c r="A18" s="125"/>
      <c r="B18" s="126"/>
      <c r="C18" s="127"/>
      <c r="D18" s="124"/>
      <c r="E18" s="124"/>
    </row>
    <row r="19" spans="1:5" s="4" customFormat="1" ht="12">
      <c r="A19" s="125"/>
      <c r="B19" s="126"/>
      <c r="C19" s="127"/>
      <c r="D19" s="124"/>
      <c r="E19" s="124"/>
    </row>
    <row r="20" spans="1:5" s="4" customFormat="1" ht="12">
      <c r="A20" s="125"/>
      <c r="B20" s="126"/>
      <c r="C20" s="127"/>
      <c r="D20" s="124"/>
      <c r="E20" s="124"/>
    </row>
    <row r="21" spans="1:5" s="4" customFormat="1" ht="12">
      <c r="A21" s="125"/>
      <c r="B21" s="126"/>
      <c r="C21" s="127"/>
      <c r="D21" s="124"/>
      <c r="E21" s="124"/>
    </row>
    <row r="22" spans="1:5" s="4" customFormat="1" ht="12">
      <c r="A22" s="125"/>
      <c r="B22" s="126"/>
      <c r="C22" s="127"/>
      <c r="D22" s="124"/>
      <c r="E22" s="124"/>
    </row>
    <row r="23" spans="1:5" s="4" customFormat="1" ht="12">
      <c r="A23" s="125"/>
      <c r="B23" s="126"/>
      <c r="C23" s="127"/>
      <c r="D23" s="124"/>
      <c r="E23" s="124"/>
    </row>
    <row r="24" spans="1:5" s="4" customFormat="1" ht="12">
      <c r="A24" s="125"/>
      <c r="B24" s="126"/>
      <c r="C24" s="127"/>
      <c r="D24" s="124"/>
      <c r="E24" s="124"/>
    </row>
    <row r="25" spans="1:5" s="4" customFormat="1" ht="12">
      <c r="A25" s="125"/>
      <c r="B25" s="126"/>
      <c r="C25" s="127"/>
      <c r="D25" s="124"/>
      <c r="E25" s="124"/>
    </row>
    <row r="26" spans="1:5" s="4" customFormat="1" ht="12">
      <c r="A26" s="125"/>
      <c r="B26" s="126"/>
      <c r="C26" s="127"/>
      <c r="D26" s="124"/>
      <c r="E26" s="124"/>
    </row>
    <row r="27" spans="1:5" s="4" customFormat="1" ht="12">
      <c r="A27" s="125"/>
      <c r="B27" s="126"/>
      <c r="C27" s="127"/>
      <c r="D27" s="124"/>
      <c r="E27" s="124"/>
    </row>
    <row r="28" spans="1:5" s="4" customFormat="1" ht="12">
      <c r="A28" s="125"/>
      <c r="B28" s="126"/>
      <c r="C28" s="127"/>
      <c r="D28" s="124"/>
      <c r="E28" s="124"/>
    </row>
    <row r="29" spans="1:5" s="4" customFormat="1" ht="12">
      <c r="A29" s="125"/>
      <c r="B29" s="126"/>
      <c r="C29" s="127"/>
      <c r="D29" s="124"/>
      <c r="E29" s="124"/>
    </row>
    <row r="30" spans="1:5" s="4" customFormat="1" ht="12">
      <c r="A30" s="125"/>
      <c r="B30" s="126"/>
      <c r="C30" s="127"/>
      <c r="D30" s="124"/>
      <c r="E30" s="124"/>
    </row>
    <row r="31" spans="1:5" s="4" customFormat="1" ht="12">
      <c r="A31" s="125"/>
      <c r="B31" s="126"/>
      <c r="C31" s="127"/>
      <c r="D31" s="124"/>
      <c r="E31" s="124"/>
    </row>
    <row r="32" spans="1:5" s="4" customFormat="1" ht="12">
      <c r="A32" s="125"/>
      <c r="B32" s="126"/>
      <c r="C32" s="127"/>
      <c r="D32" s="124"/>
      <c r="E32" s="124"/>
    </row>
    <row r="33" spans="1:5" s="4" customFormat="1" ht="12">
      <c r="A33" s="125"/>
      <c r="B33" s="126"/>
      <c r="C33" s="127"/>
      <c r="D33" s="124"/>
      <c r="E33" s="124"/>
    </row>
    <row r="34" spans="1:5" s="4" customFormat="1" ht="12.75" thickBot="1">
      <c r="A34" s="128"/>
      <c r="B34" s="129"/>
      <c r="C34" s="130"/>
      <c r="D34" s="131"/>
      <c r="E34" s="131"/>
    </row>
  </sheetData>
  <phoneticPr fontId="2"/>
  <pageMargins left="0.39370078740157483" right="0.39370078740157483" top="0.39370078740157483" bottom="0.39370078740157483" header="0.19685039370078741" footer="0.19685039370078741"/>
  <pageSetup paperSize="9" fitToHeight="0" orientation="landscape" r:id="rId1"/>
  <headerFooter alignWithMargins="0">
    <oddFooter>&amp;L&amp;A&amp;C&amp;U&amp;P/&amp;N&amp;R©Toyo Business Engineering Corp.(B-EN-G) / Confidential</oddFooter>
  </headerFooter>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99"/>
  </sheetPr>
  <dimension ref="A1:BQ182"/>
  <sheetViews>
    <sheetView showGridLines="0" topLeftCell="A157" zoomScaleNormal="100" zoomScaleSheetLayoutView="90" workbookViewId="0">
      <selection activeCell="AZ176" sqref="AZ176"/>
    </sheetView>
  </sheetViews>
  <sheetFormatPr defaultColWidth="8.83203125" defaultRowHeight="12"/>
  <cols>
    <col min="1" max="50" width="3.33203125" style="1" customWidth="1"/>
    <col min="51" max="51" width="1.5" style="1" customWidth="1"/>
    <col min="52" max="16384" width="8.83203125" style="1"/>
  </cols>
  <sheetData>
    <row r="1" spans="1:69" s="72" customFormat="1" ht="12.6" customHeight="1">
      <c r="A1" s="513" t="s">
        <v>48</v>
      </c>
      <c r="B1" s="514"/>
      <c r="C1" s="514"/>
      <c r="D1" s="514"/>
      <c r="E1" s="514"/>
      <c r="F1" s="514"/>
      <c r="G1" s="515"/>
      <c r="H1" s="522" t="s">
        <v>2</v>
      </c>
      <c r="I1" s="523"/>
      <c r="J1" s="523"/>
      <c r="K1" s="524"/>
      <c r="L1" s="525" t="str">
        <f>IF(顧客名="","",顧客名)</f>
        <v>株式会社XXXX殿</v>
      </c>
      <c r="M1" s="526"/>
      <c r="N1" s="526"/>
      <c r="O1" s="526"/>
      <c r="P1" s="526"/>
      <c r="Q1" s="526"/>
      <c r="R1" s="527"/>
      <c r="S1" s="528" t="s">
        <v>55</v>
      </c>
      <c r="T1" s="523"/>
      <c r="U1" s="523"/>
      <c r="V1" s="524"/>
      <c r="W1" s="525" t="str">
        <f>IF(システム="","",システム)</f>
        <v>mcframe7</v>
      </c>
      <c r="X1" s="526"/>
      <c r="Y1" s="526"/>
      <c r="Z1" s="526"/>
      <c r="AA1" s="526"/>
      <c r="AB1" s="526"/>
      <c r="AC1" s="527"/>
      <c r="AD1" s="533" t="s">
        <v>8</v>
      </c>
      <c r="AE1" s="534"/>
      <c r="AF1" s="534"/>
      <c r="AG1" s="543"/>
      <c r="AH1" s="544" t="str">
        <f>IF(作成者="","",作成者)</f>
        <v>XX</v>
      </c>
      <c r="AI1" s="545"/>
      <c r="AJ1" s="545"/>
      <c r="AK1" s="545"/>
      <c r="AL1" s="546"/>
      <c r="AM1" s="533" t="s">
        <v>9</v>
      </c>
      <c r="AN1" s="534"/>
      <c r="AO1" s="534"/>
      <c r="AP1" s="543"/>
      <c r="AQ1" s="547">
        <f>IF(作成日="","",作成日)</f>
        <v>42902</v>
      </c>
      <c r="AR1" s="548"/>
      <c r="AS1" s="548"/>
      <c r="AT1" s="549"/>
      <c r="AU1" s="533" t="s">
        <v>0</v>
      </c>
      <c r="AV1" s="534"/>
      <c r="AW1" s="534"/>
      <c r="AX1" s="535"/>
    </row>
    <row r="2" spans="1:69" s="72" customFormat="1" ht="12.6" customHeight="1">
      <c r="A2" s="516"/>
      <c r="B2" s="517"/>
      <c r="C2" s="517"/>
      <c r="D2" s="517"/>
      <c r="E2" s="517"/>
      <c r="F2" s="517"/>
      <c r="G2" s="518"/>
      <c r="H2" s="536" t="s">
        <v>56</v>
      </c>
      <c r="I2" s="537"/>
      <c r="J2" s="537"/>
      <c r="K2" s="538"/>
      <c r="L2" s="539" t="str">
        <f>IF(プロジェクト名="","",プロジェクト名)</f>
        <v>新基幹システム構築プロジェクト</v>
      </c>
      <c r="M2" s="540"/>
      <c r="N2" s="540"/>
      <c r="O2" s="540"/>
      <c r="P2" s="540"/>
      <c r="Q2" s="540"/>
      <c r="R2" s="541"/>
      <c r="S2" s="542" t="s">
        <v>57</v>
      </c>
      <c r="T2" s="537"/>
      <c r="U2" s="537"/>
      <c r="V2" s="538"/>
      <c r="W2" s="539" t="str">
        <f>IF(サブシステム="","",サブシステム)</f>
        <v>SCM</v>
      </c>
      <c r="X2" s="540"/>
      <c r="Y2" s="540"/>
      <c r="Z2" s="540"/>
      <c r="AA2" s="540"/>
      <c r="AB2" s="540"/>
      <c r="AC2" s="541"/>
      <c r="AD2" s="550" t="s">
        <v>10</v>
      </c>
      <c r="AE2" s="551"/>
      <c r="AF2" s="551"/>
      <c r="AG2" s="552"/>
      <c r="AH2" s="553" t="str">
        <f>IF(修正者="","",修正者)</f>
        <v>XX</v>
      </c>
      <c r="AI2" s="554"/>
      <c r="AJ2" s="554"/>
      <c r="AK2" s="554"/>
      <c r="AL2" s="555"/>
      <c r="AM2" s="556" t="s">
        <v>11</v>
      </c>
      <c r="AN2" s="557"/>
      <c r="AO2" s="557"/>
      <c r="AP2" s="558"/>
      <c r="AQ2" s="559">
        <f>IF(修正日="","",修正日)</f>
        <v>43007</v>
      </c>
      <c r="AR2" s="560"/>
      <c r="AS2" s="560"/>
      <c r="AT2" s="560"/>
      <c r="AU2" s="561" t="str">
        <f>IF(文書番号="","",文書番号)</f>
        <v>XX-XX-9999</v>
      </c>
      <c r="AV2" s="562"/>
      <c r="AW2" s="562"/>
      <c r="AX2" s="563"/>
    </row>
    <row r="3" spans="1:69" s="72" customFormat="1" ht="12.6" customHeight="1" thickBot="1">
      <c r="A3" s="519"/>
      <c r="B3" s="520"/>
      <c r="C3" s="520"/>
      <c r="D3" s="520"/>
      <c r="E3" s="520"/>
      <c r="F3" s="520"/>
      <c r="G3" s="521"/>
      <c r="H3" s="529" t="s">
        <v>13</v>
      </c>
      <c r="I3" s="529"/>
      <c r="J3" s="529"/>
      <c r="K3" s="530"/>
      <c r="L3" s="507" t="str">
        <f>IF(機能ID="","",機能ID)</f>
        <v>MSBCBA0040</v>
      </c>
      <c r="M3" s="531"/>
      <c r="N3" s="531"/>
      <c r="O3" s="531"/>
      <c r="P3" s="531"/>
      <c r="Q3" s="531"/>
      <c r="R3" s="531"/>
      <c r="S3" s="532" t="s">
        <v>14</v>
      </c>
      <c r="T3" s="529"/>
      <c r="U3" s="529"/>
      <c r="V3" s="530"/>
      <c r="W3" s="507" t="str">
        <f>IF(機能名="","",機能名)</f>
        <v>納期回答作成バッチ</v>
      </c>
      <c r="X3" s="508"/>
      <c r="Y3" s="508"/>
      <c r="Z3" s="508"/>
      <c r="AA3" s="508"/>
      <c r="AB3" s="508"/>
      <c r="AC3" s="508"/>
      <c r="AD3" s="508"/>
      <c r="AE3" s="508"/>
      <c r="AF3" s="508"/>
      <c r="AG3" s="508"/>
      <c r="AH3" s="508"/>
      <c r="AI3" s="508"/>
      <c r="AJ3" s="508"/>
      <c r="AK3" s="508"/>
      <c r="AL3" s="509"/>
      <c r="AM3" s="510" t="s">
        <v>12</v>
      </c>
      <c r="AN3" s="511"/>
      <c r="AO3" s="511"/>
      <c r="AP3" s="512"/>
      <c r="AQ3" s="504" t="str">
        <f>IF(Rev="","",Rev)</f>
        <v>r02.00</v>
      </c>
      <c r="AR3" s="505"/>
      <c r="AS3" s="505"/>
      <c r="AT3" s="506"/>
      <c r="AU3" s="564"/>
      <c r="AV3" s="565"/>
      <c r="AW3" s="565"/>
      <c r="AX3" s="566"/>
    </row>
    <row r="4" spans="1:69" ht="12.75" thickBot="1"/>
    <row r="5" spans="1:69" ht="12.75" thickBot="1">
      <c r="A5" s="18"/>
      <c r="B5" s="19"/>
      <c r="C5" s="19"/>
      <c r="D5" s="19"/>
      <c r="E5" s="19"/>
      <c r="F5" s="19"/>
      <c r="G5" s="19"/>
      <c r="H5" s="19"/>
      <c r="I5" s="19"/>
      <c r="J5" s="19"/>
      <c r="K5" s="19"/>
      <c r="L5" s="19"/>
      <c r="M5" s="19"/>
      <c r="N5" s="19"/>
      <c r="O5" s="19"/>
      <c r="P5" s="19"/>
      <c r="Q5" s="19"/>
      <c r="R5" s="19"/>
      <c r="S5" s="19"/>
      <c r="T5" s="19"/>
      <c r="U5" s="19"/>
      <c r="V5" s="19"/>
      <c r="W5" s="19"/>
      <c r="X5" s="19"/>
      <c r="Y5" s="19"/>
      <c r="Z5" s="19"/>
      <c r="AA5" s="19"/>
      <c r="AB5" s="19"/>
      <c r="AC5" s="19"/>
      <c r="AD5" s="19"/>
      <c r="AE5" s="19"/>
      <c r="AF5" s="19"/>
      <c r="AG5" s="19"/>
      <c r="AH5" s="19"/>
      <c r="AI5" s="19"/>
      <c r="AJ5" s="19"/>
      <c r="AK5" s="19"/>
      <c r="AL5" s="19"/>
      <c r="AM5" s="19"/>
      <c r="AN5" s="19"/>
      <c r="AO5" s="19"/>
      <c r="AP5" s="19"/>
      <c r="AQ5" s="19"/>
      <c r="AR5" s="19"/>
      <c r="AS5" s="19"/>
      <c r="AT5" s="19"/>
      <c r="AU5" s="19"/>
      <c r="AV5" s="19"/>
      <c r="AW5" s="83"/>
      <c r="AX5" s="82"/>
    </row>
    <row r="6" spans="1:69" ht="12.75" thickTop="1">
      <c r="A6" s="20"/>
      <c r="B6" s="21"/>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84"/>
      <c r="AX6" s="79"/>
    </row>
    <row r="7" spans="1:69">
      <c r="A7" s="614"/>
      <c r="B7" s="640" t="s">
        <v>320</v>
      </c>
      <c r="C7" s="641" t="s">
        <v>321</v>
      </c>
      <c r="D7" s="615"/>
      <c r="E7" s="615"/>
      <c r="F7" s="615"/>
      <c r="G7" s="615"/>
      <c r="H7" s="615"/>
      <c r="I7" s="615"/>
      <c r="J7" s="615"/>
      <c r="K7" s="615"/>
      <c r="L7" s="615"/>
      <c r="M7" s="615"/>
      <c r="N7" s="615"/>
      <c r="O7" s="615"/>
      <c r="P7" s="615"/>
      <c r="Q7" s="615"/>
      <c r="R7" s="615"/>
      <c r="S7" s="615"/>
      <c r="T7" s="615"/>
      <c r="U7" s="615"/>
      <c r="V7" s="615"/>
      <c r="W7" s="615"/>
      <c r="X7" s="615"/>
      <c r="Y7" s="615"/>
      <c r="Z7" s="615"/>
      <c r="AA7" s="615"/>
      <c r="AB7" s="615"/>
      <c r="AC7" s="615"/>
      <c r="AD7" s="615"/>
      <c r="AE7" s="615"/>
      <c r="AF7" s="615"/>
      <c r="AG7" s="615"/>
      <c r="AH7" s="615"/>
      <c r="AI7" s="615"/>
      <c r="AJ7" s="615"/>
      <c r="AK7" s="615"/>
      <c r="AL7" s="615"/>
      <c r="AM7" s="615"/>
      <c r="AN7" s="615"/>
      <c r="AO7" s="615"/>
      <c r="AP7" s="615"/>
      <c r="AQ7" s="615"/>
      <c r="AR7" s="615"/>
      <c r="AS7" s="615"/>
      <c r="AT7" s="615"/>
      <c r="AU7" s="615"/>
      <c r="AV7" s="615"/>
      <c r="AW7" s="615"/>
      <c r="AX7" s="626"/>
      <c r="AY7" s="602"/>
      <c r="AZ7" s="602"/>
      <c r="BA7" s="602"/>
      <c r="BB7" s="602"/>
      <c r="BC7" s="602"/>
      <c r="BD7" s="602"/>
      <c r="BE7" s="602"/>
      <c r="BF7" s="602"/>
      <c r="BG7" s="602"/>
      <c r="BH7" s="602"/>
      <c r="BI7" s="602"/>
      <c r="BJ7" s="602"/>
      <c r="BK7" s="602"/>
      <c r="BL7" s="602"/>
      <c r="BM7" s="602"/>
      <c r="BN7" s="602"/>
      <c r="BO7" s="602"/>
      <c r="BP7" s="602"/>
      <c r="BQ7" s="602"/>
    </row>
    <row r="8" spans="1:69">
      <c r="A8" s="614"/>
      <c r="B8" s="615"/>
      <c r="C8" s="615" t="s">
        <v>322</v>
      </c>
      <c r="D8" s="615"/>
      <c r="E8" s="615"/>
      <c r="F8" s="615"/>
      <c r="G8" s="615"/>
      <c r="H8" s="615"/>
      <c r="I8" s="615"/>
      <c r="J8" s="615"/>
      <c r="K8" s="615"/>
      <c r="L8" s="615"/>
      <c r="M8" s="615"/>
      <c r="N8" s="615"/>
      <c r="O8" s="615"/>
      <c r="P8" s="615"/>
      <c r="Q8" s="615"/>
      <c r="R8" s="615"/>
      <c r="S8" s="615"/>
      <c r="T8" s="615"/>
      <c r="U8" s="615"/>
      <c r="V8" s="615"/>
      <c r="W8" s="615"/>
      <c r="X8" s="615"/>
      <c r="Y8" s="615"/>
      <c r="Z8" s="615"/>
      <c r="AA8" s="615"/>
      <c r="AB8" s="615"/>
      <c r="AC8" s="615"/>
      <c r="AD8" s="615"/>
      <c r="AE8" s="615"/>
      <c r="AF8" s="615"/>
      <c r="AG8" s="615"/>
      <c r="AH8" s="615"/>
      <c r="AI8" s="615"/>
      <c r="AJ8" s="615"/>
      <c r="AK8" s="615"/>
      <c r="AL8" s="615"/>
      <c r="AM8" s="615"/>
      <c r="AN8" s="615"/>
      <c r="AO8" s="615"/>
      <c r="AP8" s="615"/>
      <c r="AQ8" s="615"/>
      <c r="AR8" s="615"/>
      <c r="AS8" s="615"/>
      <c r="AT8" s="615"/>
      <c r="AU8" s="615"/>
      <c r="AV8" s="615"/>
      <c r="AW8" s="615"/>
      <c r="AX8" s="626"/>
      <c r="AY8" s="602"/>
      <c r="AZ8" s="602"/>
      <c r="BA8" s="602"/>
      <c r="BB8" s="602"/>
      <c r="BC8" s="602"/>
      <c r="BD8" s="602"/>
      <c r="BE8" s="602"/>
      <c r="BF8" s="602"/>
      <c r="BG8" s="602"/>
      <c r="BH8" s="602"/>
      <c r="BI8" s="602"/>
      <c r="BJ8" s="602"/>
      <c r="BK8" s="602"/>
      <c r="BL8" s="602"/>
      <c r="BM8" s="602"/>
      <c r="BN8" s="602"/>
      <c r="BO8" s="602"/>
      <c r="BP8" s="602"/>
      <c r="BQ8" s="602"/>
    </row>
    <row r="9" spans="1:69" ht="12.75" thickBot="1">
      <c r="A9" s="614"/>
      <c r="B9" s="615"/>
      <c r="C9" s="615"/>
      <c r="D9" s="615"/>
      <c r="E9" s="615"/>
      <c r="F9" s="615"/>
      <c r="G9" s="615"/>
      <c r="H9" s="615"/>
      <c r="I9" s="615"/>
      <c r="J9" s="615"/>
      <c r="K9" s="615"/>
      <c r="L9" s="615"/>
      <c r="M9" s="615"/>
      <c r="N9" s="615"/>
      <c r="O9" s="615"/>
      <c r="P9" s="615"/>
      <c r="Q9" s="615"/>
      <c r="R9" s="615"/>
      <c r="S9" s="615"/>
      <c r="T9" s="615"/>
      <c r="U9" s="615"/>
      <c r="V9" s="615"/>
      <c r="W9" s="615"/>
      <c r="X9" s="615"/>
      <c r="Y9" s="615"/>
      <c r="Z9" s="615"/>
      <c r="AA9" s="615"/>
      <c r="AB9" s="615"/>
      <c r="AC9" s="615"/>
      <c r="AD9" s="615"/>
      <c r="AE9" s="615"/>
      <c r="AF9" s="615"/>
      <c r="AG9" s="615"/>
      <c r="AH9" s="615"/>
      <c r="AI9" s="615"/>
      <c r="AJ9" s="615"/>
      <c r="AK9" s="615"/>
      <c r="AL9" s="615"/>
      <c r="AM9" s="615"/>
      <c r="AN9" s="615"/>
      <c r="AO9" s="615"/>
      <c r="AP9" s="615"/>
      <c r="AQ9" s="615"/>
      <c r="AR9" s="615"/>
      <c r="AS9" s="615"/>
      <c r="AT9" s="615"/>
      <c r="AU9" s="615"/>
      <c r="AV9" s="615"/>
      <c r="AW9" s="615"/>
      <c r="AX9" s="626"/>
      <c r="AY9" s="602"/>
      <c r="AZ9" s="602"/>
      <c r="BA9" s="602"/>
      <c r="BB9" s="602"/>
      <c r="BC9" s="602"/>
      <c r="BD9" s="602"/>
      <c r="BE9" s="602"/>
      <c r="BF9" s="602"/>
      <c r="BG9" s="602"/>
      <c r="BH9" s="602"/>
      <c r="BI9" s="602"/>
      <c r="BJ9" s="602"/>
      <c r="BK9" s="602"/>
      <c r="BL9" s="602"/>
      <c r="BM9" s="602"/>
      <c r="BN9" s="602"/>
      <c r="BO9" s="602"/>
      <c r="BP9" s="602"/>
      <c r="BQ9" s="602"/>
    </row>
    <row r="10" spans="1:69">
      <c r="A10" s="797"/>
      <c r="B10" s="615"/>
      <c r="C10" s="723" t="s">
        <v>323</v>
      </c>
      <c r="D10" s="724"/>
      <c r="E10" s="725" t="s">
        <v>324</v>
      </c>
      <c r="F10" s="726"/>
      <c r="G10" s="726"/>
      <c r="H10" s="726"/>
      <c r="I10" s="726"/>
      <c r="J10" s="726"/>
      <c r="K10" s="726"/>
      <c r="L10" s="726"/>
      <c r="M10" s="726"/>
      <c r="N10" s="726"/>
      <c r="O10" s="726"/>
      <c r="P10" s="726"/>
      <c r="Q10" s="726"/>
      <c r="R10" s="726"/>
      <c r="S10" s="726"/>
      <c r="T10" s="726"/>
      <c r="U10" s="726"/>
      <c r="V10" s="726"/>
      <c r="W10" s="726"/>
      <c r="X10" s="726"/>
      <c r="Y10" s="726"/>
      <c r="Z10" s="727"/>
      <c r="AA10" s="728" t="s">
        <v>325</v>
      </c>
      <c r="AB10" s="729"/>
      <c r="AC10" s="729"/>
      <c r="AD10" s="724"/>
      <c r="AE10" s="728" t="s">
        <v>27</v>
      </c>
      <c r="AF10" s="729"/>
      <c r="AG10" s="729"/>
      <c r="AH10" s="729"/>
      <c r="AI10" s="692"/>
      <c r="AJ10" s="692"/>
      <c r="AK10" s="692"/>
      <c r="AL10" s="692"/>
      <c r="AM10" s="692"/>
      <c r="AN10" s="692"/>
      <c r="AO10" s="692"/>
      <c r="AP10" s="692"/>
      <c r="AQ10" s="692"/>
      <c r="AR10" s="692"/>
      <c r="AS10" s="692"/>
      <c r="AT10" s="692"/>
      <c r="AU10" s="692"/>
      <c r="AV10" s="692"/>
      <c r="AW10" s="693"/>
      <c r="AX10" s="626"/>
      <c r="AY10" s="602"/>
      <c r="AZ10" s="602"/>
      <c r="BA10" s="602"/>
      <c r="BB10" s="602"/>
      <c r="BC10" s="602"/>
      <c r="BD10" s="602"/>
      <c r="BE10" s="602"/>
      <c r="BF10" s="602"/>
      <c r="BG10" s="602"/>
      <c r="BH10" s="602"/>
      <c r="BI10" s="602"/>
      <c r="BJ10" s="602"/>
      <c r="BK10" s="602"/>
      <c r="BL10" s="602"/>
      <c r="BM10" s="602"/>
      <c r="BN10" s="602"/>
      <c r="BO10" s="602"/>
      <c r="BP10" s="602"/>
      <c r="BQ10" s="602"/>
    </row>
    <row r="11" spans="1:69" ht="12.75" thickBot="1">
      <c r="A11" s="797"/>
      <c r="B11" s="615"/>
      <c r="C11" s="730"/>
      <c r="D11" s="731"/>
      <c r="E11" s="732" t="s">
        <v>294</v>
      </c>
      <c r="F11" s="733"/>
      <c r="G11" s="733"/>
      <c r="H11" s="734"/>
      <c r="I11" s="733" t="s">
        <v>326</v>
      </c>
      <c r="J11" s="733"/>
      <c r="K11" s="733"/>
      <c r="L11" s="733"/>
      <c r="M11" s="733"/>
      <c r="N11" s="733"/>
      <c r="O11" s="734"/>
      <c r="P11" s="732" t="s">
        <v>327</v>
      </c>
      <c r="Q11" s="733"/>
      <c r="R11" s="733"/>
      <c r="S11" s="734"/>
      <c r="T11" s="732" t="s">
        <v>328</v>
      </c>
      <c r="U11" s="733"/>
      <c r="V11" s="733"/>
      <c r="W11" s="733"/>
      <c r="X11" s="733"/>
      <c r="Y11" s="733"/>
      <c r="Z11" s="733"/>
      <c r="AA11" s="735"/>
      <c r="AB11" s="736"/>
      <c r="AC11" s="736"/>
      <c r="AD11" s="737"/>
      <c r="AE11" s="735"/>
      <c r="AF11" s="736"/>
      <c r="AG11" s="736"/>
      <c r="AH11" s="736"/>
      <c r="AI11" s="694"/>
      <c r="AJ11" s="694"/>
      <c r="AK11" s="694"/>
      <c r="AL11" s="694"/>
      <c r="AM11" s="694"/>
      <c r="AN11" s="694"/>
      <c r="AO11" s="694"/>
      <c r="AP11" s="694"/>
      <c r="AQ11" s="694"/>
      <c r="AR11" s="694"/>
      <c r="AS11" s="694"/>
      <c r="AT11" s="694"/>
      <c r="AU11" s="694"/>
      <c r="AV11" s="694"/>
      <c r="AW11" s="695"/>
      <c r="AX11" s="626"/>
      <c r="AY11" s="602"/>
      <c r="AZ11" s="602"/>
      <c r="BA11" s="602"/>
      <c r="BB11" s="602"/>
      <c r="BC11" s="602"/>
      <c r="BD11" s="602"/>
      <c r="BE11" s="602"/>
      <c r="BF11" s="602"/>
      <c r="BG11" s="602"/>
      <c r="BH11" s="602"/>
      <c r="BI11" s="602"/>
      <c r="BJ11" s="602"/>
      <c r="BK11" s="602"/>
      <c r="BL11" s="602"/>
      <c r="BM11" s="602"/>
      <c r="BN11" s="602"/>
      <c r="BO11" s="602"/>
      <c r="BP11" s="602"/>
      <c r="BQ11" s="602"/>
    </row>
    <row r="12" spans="1:69">
      <c r="A12" s="798"/>
      <c r="B12" s="615"/>
      <c r="C12" s="766" t="s">
        <v>329</v>
      </c>
      <c r="D12" s="738"/>
      <c r="E12" s="739" t="s">
        <v>330</v>
      </c>
      <c r="F12" s="641"/>
      <c r="G12" s="641"/>
      <c r="H12" s="740"/>
      <c r="I12" s="641" t="s">
        <v>331</v>
      </c>
      <c r="J12" s="641"/>
      <c r="K12" s="641"/>
      <c r="L12" s="641"/>
      <c r="M12" s="641"/>
      <c r="N12" s="641"/>
      <c r="O12" s="740"/>
      <c r="P12" s="739" t="s">
        <v>332</v>
      </c>
      <c r="Q12" s="641"/>
      <c r="R12" s="641"/>
      <c r="S12" s="740"/>
      <c r="T12" s="739" t="s">
        <v>333</v>
      </c>
      <c r="U12" s="641"/>
      <c r="V12" s="641"/>
      <c r="W12" s="641"/>
      <c r="X12" s="641"/>
      <c r="Y12" s="641"/>
      <c r="Z12" s="641"/>
      <c r="AA12" s="774" t="s">
        <v>334</v>
      </c>
      <c r="AB12" s="775"/>
      <c r="AC12" s="775"/>
      <c r="AD12" s="776"/>
      <c r="AE12" s="774" t="s">
        <v>335</v>
      </c>
      <c r="AF12" s="641"/>
      <c r="AG12" s="641"/>
      <c r="AH12" s="641"/>
      <c r="AI12" s="615"/>
      <c r="AJ12" s="615"/>
      <c r="AK12" s="615"/>
      <c r="AL12" s="615"/>
      <c r="AM12" s="615"/>
      <c r="AN12" s="615"/>
      <c r="AO12" s="615"/>
      <c r="AP12" s="615"/>
      <c r="AQ12" s="615"/>
      <c r="AR12" s="615"/>
      <c r="AS12" s="615"/>
      <c r="AT12" s="615"/>
      <c r="AU12" s="615"/>
      <c r="AV12" s="615"/>
      <c r="AW12" s="622"/>
      <c r="AX12" s="626"/>
      <c r="AY12" s="602"/>
      <c r="AZ12" s="602"/>
      <c r="BA12" s="602"/>
      <c r="BB12" s="602"/>
      <c r="BC12" s="602"/>
      <c r="BD12" s="602"/>
      <c r="BE12" s="602"/>
      <c r="BF12" s="602"/>
      <c r="BG12" s="602"/>
      <c r="BH12" s="602"/>
      <c r="BI12" s="602"/>
      <c r="BJ12" s="602"/>
      <c r="BK12" s="602"/>
      <c r="BL12" s="602"/>
      <c r="BM12" s="602"/>
      <c r="BN12" s="602"/>
      <c r="BO12" s="602"/>
      <c r="BP12" s="602"/>
      <c r="BQ12" s="602"/>
    </row>
    <row r="13" spans="1:69">
      <c r="A13" s="797"/>
      <c r="B13" s="615"/>
      <c r="C13" s="767" t="s">
        <v>336</v>
      </c>
      <c r="D13" s="741"/>
      <c r="E13" s="739"/>
      <c r="F13" s="641"/>
      <c r="G13" s="641"/>
      <c r="H13" s="740"/>
      <c r="I13" s="641"/>
      <c r="J13" s="641"/>
      <c r="K13" s="641"/>
      <c r="L13" s="641"/>
      <c r="M13" s="641"/>
      <c r="N13" s="641"/>
      <c r="O13" s="740"/>
      <c r="P13" s="742" t="s">
        <v>337</v>
      </c>
      <c r="Q13" s="743"/>
      <c r="R13" s="743"/>
      <c r="S13" s="744"/>
      <c r="T13" s="742" t="s">
        <v>333</v>
      </c>
      <c r="U13" s="743"/>
      <c r="V13" s="743"/>
      <c r="W13" s="743"/>
      <c r="X13" s="743"/>
      <c r="Y13" s="743"/>
      <c r="Z13" s="743"/>
      <c r="AA13" s="742" t="s">
        <v>338</v>
      </c>
      <c r="AB13" s="779"/>
      <c r="AC13" s="779"/>
      <c r="AD13" s="780"/>
      <c r="AE13" s="745" t="s">
        <v>339</v>
      </c>
      <c r="AF13" s="782"/>
      <c r="AG13" s="746"/>
      <c r="AH13" s="746"/>
      <c r="AI13" s="645"/>
      <c r="AJ13" s="645"/>
      <c r="AK13" s="645"/>
      <c r="AL13" s="645"/>
      <c r="AM13" s="645"/>
      <c r="AN13" s="645"/>
      <c r="AO13" s="645"/>
      <c r="AP13" s="645"/>
      <c r="AQ13" s="645"/>
      <c r="AR13" s="645"/>
      <c r="AS13" s="645"/>
      <c r="AT13" s="645"/>
      <c r="AU13" s="645"/>
      <c r="AV13" s="645"/>
      <c r="AW13" s="646"/>
      <c r="AX13" s="626"/>
      <c r="AY13" s="602"/>
      <c r="AZ13" s="602"/>
      <c r="BA13" s="602"/>
      <c r="BB13" s="602"/>
      <c r="BC13" s="602"/>
      <c r="BD13" s="602"/>
      <c r="BE13" s="602"/>
      <c r="BF13" s="602"/>
      <c r="BG13" s="602"/>
      <c r="BH13" s="602"/>
      <c r="BI13" s="602"/>
      <c r="BJ13" s="602"/>
      <c r="BK13" s="602"/>
      <c r="BL13" s="602"/>
      <c r="BM13" s="602"/>
      <c r="BN13" s="602"/>
      <c r="BO13" s="602"/>
      <c r="BP13" s="602"/>
      <c r="BQ13" s="602"/>
    </row>
    <row r="14" spans="1:69">
      <c r="A14" s="797"/>
      <c r="B14" s="615"/>
      <c r="C14" s="766" t="s">
        <v>340</v>
      </c>
      <c r="D14" s="738"/>
      <c r="E14" s="739"/>
      <c r="F14" s="641"/>
      <c r="G14" s="641"/>
      <c r="H14" s="740"/>
      <c r="I14" s="747" t="s">
        <v>341</v>
      </c>
      <c r="J14" s="748"/>
      <c r="K14" s="748"/>
      <c r="L14" s="748"/>
      <c r="M14" s="748"/>
      <c r="N14" s="748"/>
      <c r="O14" s="749"/>
      <c r="P14" s="739" t="s">
        <v>332</v>
      </c>
      <c r="Q14" s="641"/>
      <c r="R14" s="641"/>
      <c r="S14" s="740"/>
      <c r="T14" s="739" t="s">
        <v>333</v>
      </c>
      <c r="U14" s="641"/>
      <c r="V14" s="641"/>
      <c r="W14" s="641"/>
      <c r="X14" s="641"/>
      <c r="Y14" s="641"/>
      <c r="Z14" s="750"/>
      <c r="AA14" s="641" t="s">
        <v>342</v>
      </c>
      <c r="AB14" s="783"/>
      <c r="AC14" s="783"/>
      <c r="AD14" s="784"/>
      <c r="AE14" s="747" t="s">
        <v>343</v>
      </c>
      <c r="AF14" s="785"/>
      <c r="AG14" s="748"/>
      <c r="AH14" s="748"/>
      <c r="AI14" s="624"/>
      <c r="AJ14" s="624"/>
      <c r="AK14" s="624"/>
      <c r="AL14" s="624"/>
      <c r="AM14" s="624"/>
      <c r="AN14" s="624"/>
      <c r="AO14" s="624"/>
      <c r="AP14" s="624"/>
      <c r="AQ14" s="624"/>
      <c r="AR14" s="624"/>
      <c r="AS14" s="624"/>
      <c r="AT14" s="624"/>
      <c r="AU14" s="624"/>
      <c r="AV14" s="624"/>
      <c r="AW14" s="644"/>
      <c r="AX14" s="626"/>
      <c r="AY14" s="602"/>
      <c r="AZ14" s="602"/>
      <c r="BA14" s="602"/>
      <c r="BB14" s="602"/>
      <c r="BC14" s="602"/>
      <c r="BD14" s="602"/>
      <c r="BE14" s="602"/>
      <c r="BF14" s="602"/>
      <c r="BG14" s="602"/>
      <c r="BH14" s="602"/>
      <c r="BI14" s="602"/>
      <c r="BJ14" s="602"/>
      <c r="BK14" s="602"/>
      <c r="BL14" s="602"/>
      <c r="BM14" s="602"/>
      <c r="BN14" s="602"/>
      <c r="BO14" s="602"/>
      <c r="BP14" s="602"/>
      <c r="BQ14" s="602"/>
    </row>
    <row r="15" spans="1:69">
      <c r="A15" s="797"/>
      <c r="B15" s="615"/>
      <c r="C15" s="767" t="s">
        <v>344</v>
      </c>
      <c r="D15" s="741"/>
      <c r="E15" s="739"/>
      <c r="F15" s="641"/>
      <c r="G15" s="641"/>
      <c r="H15" s="740"/>
      <c r="I15" s="745"/>
      <c r="J15" s="746"/>
      <c r="K15" s="746"/>
      <c r="L15" s="746"/>
      <c r="M15" s="746"/>
      <c r="N15" s="746"/>
      <c r="O15" s="751"/>
      <c r="P15" s="742" t="s">
        <v>337</v>
      </c>
      <c r="Q15" s="743"/>
      <c r="R15" s="743"/>
      <c r="S15" s="744"/>
      <c r="T15" s="742" t="s">
        <v>333</v>
      </c>
      <c r="U15" s="743"/>
      <c r="V15" s="743"/>
      <c r="W15" s="743"/>
      <c r="X15" s="743"/>
      <c r="Y15" s="743"/>
      <c r="Z15" s="744"/>
      <c r="AA15" s="743" t="s">
        <v>338</v>
      </c>
      <c r="AB15" s="779"/>
      <c r="AC15" s="779"/>
      <c r="AD15" s="780"/>
      <c r="AE15" s="781"/>
      <c r="AF15" s="782"/>
      <c r="AG15" s="746"/>
      <c r="AH15" s="746"/>
      <c r="AI15" s="645"/>
      <c r="AJ15" s="645"/>
      <c r="AK15" s="645"/>
      <c r="AL15" s="645"/>
      <c r="AM15" s="645"/>
      <c r="AN15" s="645"/>
      <c r="AO15" s="645"/>
      <c r="AP15" s="645"/>
      <c r="AQ15" s="645"/>
      <c r="AR15" s="645"/>
      <c r="AS15" s="645"/>
      <c r="AT15" s="645"/>
      <c r="AU15" s="645"/>
      <c r="AV15" s="645"/>
      <c r="AW15" s="646"/>
      <c r="AX15" s="626"/>
      <c r="AY15" s="602"/>
      <c r="AZ15" s="602"/>
      <c r="BA15" s="602"/>
      <c r="BB15" s="602"/>
      <c r="BC15" s="602"/>
      <c r="BD15" s="602"/>
      <c r="BE15" s="602"/>
      <c r="BF15" s="602"/>
      <c r="BG15" s="602"/>
      <c r="BH15" s="602"/>
      <c r="BI15" s="602"/>
      <c r="BJ15" s="602"/>
      <c r="BK15" s="602"/>
      <c r="BL15" s="602"/>
      <c r="BM15" s="602"/>
      <c r="BN15" s="602"/>
      <c r="BO15" s="602"/>
      <c r="BP15" s="602"/>
      <c r="BQ15" s="602"/>
    </row>
    <row r="16" spans="1:69">
      <c r="A16" s="797"/>
      <c r="B16" s="615"/>
      <c r="C16" s="768" t="s">
        <v>345</v>
      </c>
      <c r="D16" s="752"/>
      <c r="E16" s="739"/>
      <c r="F16" s="641"/>
      <c r="G16" s="641"/>
      <c r="H16" s="740"/>
      <c r="I16" s="747" t="s">
        <v>346</v>
      </c>
      <c r="J16" s="748"/>
      <c r="K16" s="748"/>
      <c r="L16" s="748"/>
      <c r="M16" s="748"/>
      <c r="N16" s="748"/>
      <c r="O16" s="749"/>
      <c r="P16" s="747" t="s">
        <v>332</v>
      </c>
      <c r="Q16" s="748"/>
      <c r="R16" s="748"/>
      <c r="S16" s="749"/>
      <c r="T16" s="747" t="s">
        <v>333</v>
      </c>
      <c r="U16" s="748"/>
      <c r="V16" s="748"/>
      <c r="W16" s="748"/>
      <c r="X16" s="748"/>
      <c r="Y16" s="748"/>
      <c r="Z16" s="749"/>
      <c r="AA16" s="748" t="s">
        <v>338</v>
      </c>
      <c r="AB16" s="748"/>
      <c r="AC16" s="748"/>
      <c r="AD16" s="749"/>
      <c r="AE16" s="777" t="s">
        <v>347</v>
      </c>
      <c r="AF16" s="748"/>
      <c r="AG16" s="748"/>
      <c r="AH16" s="748"/>
      <c r="AI16" s="624"/>
      <c r="AJ16" s="624"/>
      <c r="AK16" s="624"/>
      <c r="AL16" s="624"/>
      <c r="AM16" s="624"/>
      <c r="AN16" s="624"/>
      <c r="AO16" s="624"/>
      <c r="AP16" s="624"/>
      <c r="AQ16" s="624"/>
      <c r="AR16" s="624"/>
      <c r="AS16" s="624"/>
      <c r="AT16" s="624"/>
      <c r="AU16" s="624"/>
      <c r="AV16" s="624"/>
      <c r="AW16" s="644"/>
      <c r="AX16" s="626"/>
      <c r="AY16" s="602"/>
      <c r="AZ16" s="602"/>
      <c r="BA16" s="602"/>
      <c r="BB16" s="602"/>
      <c r="BC16" s="602"/>
      <c r="BD16" s="602"/>
      <c r="BE16" s="602"/>
      <c r="BF16" s="602"/>
      <c r="BG16" s="602"/>
      <c r="BH16" s="602"/>
      <c r="BI16" s="602"/>
      <c r="BJ16" s="602"/>
      <c r="BK16" s="602"/>
      <c r="BL16" s="602"/>
      <c r="BM16" s="602"/>
      <c r="BN16" s="602"/>
      <c r="BO16" s="602"/>
      <c r="BP16" s="602"/>
      <c r="BQ16" s="602"/>
    </row>
    <row r="17" spans="1:69">
      <c r="A17" s="797"/>
      <c r="B17" s="615"/>
      <c r="C17" s="769" t="s">
        <v>348</v>
      </c>
      <c r="D17" s="753"/>
      <c r="E17" s="739"/>
      <c r="F17" s="641"/>
      <c r="G17" s="641"/>
      <c r="H17" s="740"/>
      <c r="I17" s="739"/>
      <c r="J17" s="641"/>
      <c r="K17" s="641"/>
      <c r="L17" s="641"/>
      <c r="M17" s="641"/>
      <c r="N17" s="641"/>
      <c r="O17" s="740"/>
      <c r="P17" s="754" t="s">
        <v>337</v>
      </c>
      <c r="Q17" s="755"/>
      <c r="R17" s="755"/>
      <c r="S17" s="756"/>
      <c r="T17" s="754" t="s">
        <v>349</v>
      </c>
      <c r="U17" s="755"/>
      <c r="V17" s="755"/>
      <c r="W17" s="755"/>
      <c r="X17" s="755"/>
      <c r="Y17" s="755"/>
      <c r="Z17" s="756"/>
      <c r="AA17" s="755" t="s">
        <v>342</v>
      </c>
      <c r="AB17" s="755"/>
      <c r="AC17" s="755"/>
      <c r="AD17" s="756"/>
      <c r="AE17" s="739" t="s">
        <v>350</v>
      </c>
      <c r="AF17" s="641"/>
      <c r="AG17" s="641"/>
      <c r="AH17" s="641"/>
      <c r="AI17" s="615"/>
      <c r="AJ17" s="615"/>
      <c r="AK17" s="615"/>
      <c r="AL17" s="615"/>
      <c r="AM17" s="615"/>
      <c r="AN17" s="615"/>
      <c r="AO17" s="615"/>
      <c r="AP17" s="615"/>
      <c r="AQ17" s="615"/>
      <c r="AR17" s="615"/>
      <c r="AS17" s="615"/>
      <c r="AT17" s="615"/>
      <c r="AU17" s="615"/>
      <c r="AV17" s="615"/>
      <c r="AW17" s="622"/>
      <c r="AX17" s="626"/>
      <c r="AY17" s="602"/>
      <c r="AZ17" s="602"/>
      <c r="BA17" s="602"/>
      <c r="BB17" s="602"/>
      <c r="BC17" s="602"/>
      <c r="BD17" s="602"/>
      <c r="BE17" s="602"/>
      <c r="BF17" s="602"/>
      <c r="BG17" s="602"/>
      <c r="BH17" s="602"/>
      <c r="BI17" s="602"/>
      <c r="BJ17" s="602"/>
      <c r="BK17" s="602"/>
      <c r="BL17" s="602"/>
      <c r="BM17" s="602"/>
      <c r="BN17" s="602"/>
      <c r="BO17" s="602"/>
      <c r="BP17" s="602"/>
      <c r="BQ17" s="602"/>
    </row>
    <row r="18" spans="1:69">
      <c r="A18" s="797"/>
      <c r="B18" s="615"/>
      <c r="C18" s="767" t="s">
        <v>351</v>
      </c>
      <c r="D18" s="741"/>
      <c r="E18" s="745"/>
      <c r="F18" s="746"/>
      <c r="G18" s="746"/>
      <c r="H18" s="751"/>
      <c r="I18" s="745"/>
      <c r="J18" s="746"/>
      <c r="K18" s="746"/>
      <c r="L18" s="746"/>
      <c r="M18" s="746"/>
      <c r="N18" s="746"/>
      <c r="O18" s="751"/>
      <c r="P18" s="745"/>
      <c r="Q18" s="746"/>
      <c r="R18" s="746"/>
      <c r="S18" s="751"/>
      <c r="T18" s="742" t="s">
        <v>352</v>
      </c>
      <c r="U18" s="743"/>
      <c r="V18" s="743"/>
      <c r="W18" s="743"/>
      <c r="X18" s="743"/>
      <c r="Y18" s="743"/>
      <c r="Z18" s="744"/>
      <c r="AA18" s="778" t="s">
        <v>334</v>
      </c>
      <c r="AB18" s="743"/>
      <c r="AC18" s="743"/>
      <c r="AD18" s="744"/>
      <c r="AE18" s="745"/>
      <c r="AF18" s="746"/>
      <c r="AG18" s="746"/>
      <c r="AH18" s="746"/>
      <c r="AI18" s="645"/>
      <c r="AJ18" s="645"/>
      <c r="AK18" s="645"/>
      <c r="AL18" s="645"/>
      <c r="AM18" s="645"/>
      <c r="AN18" s="645"/>
      <c r="AO18" s="645"/>
      <c r="AP18" s="645"/>
      <c r="AQ18" s="645"/>
      <c r="AR18" s="645"/>
      <c r="AS18" s="645"/>
      <c r="AT18" s="645"/>
      <c r="AU18" s="645"/>
      <c r="AV18" s="645"/>
      <c r="AW18" s="646"/>
      <c r="AX18" s="626"/>
      <c r="AY18" s="602"/>
      <c r="AZ18" s="602"/>
      <c r="BA18" s="602"/>
      <c r="BB18" s="602"/>
      <c r="BC18" s="602"/>
      <c r="BD18" s="602"/>
      <c r="BE18" s="602"/>
      <c r="BF18" s="602"/>
      <c r="BG18" s="602"/>
      <c r="BH18" s="602"/>
      <c r="BI18" s="602"/>
      <c r="BJ18" s="602"/>
      <c r="BK18" s="602"/>
      <c r="BL18" s="602"/>
      <c r="BM18" s="602"/>
      <c r="BN18" s="602"/>
      <c r="BO18" s="602"/>
      <c r="BP18" s="602"/>
      <c r="BQ18" s="602"/>
    </row>
    <row r="19" spans="1:69">
      <c r="A19" s="797"/>
      <c r="B19" s="615"/>
      <c r="C19" s="770" t="s">
        <v>353</v>
      </c>
      <c r="D19" s="757"/>
      <c r="E19" s="747" t="s">
        <v>354</v>
      </c>
      <c r="F19" s="748"/>
      <c r="G19" s="748"/>
      <c r="H19" s="749"/>
      <c r="I19" s="641" t="s">
        <v>333</v>
      </c>
      <c r="J19" s="641"/>
      <c r="K19" s="641"/>
      <c r="L19" s="641"/>
      <c r="M19" s="641"/>
      <c r="N19" s="641"/>
      <c r="O19" s="740"/>
      <c r="P19" s="747" t="s">
        <v>355</v>
      </c>
      <c r="Q19" s="748"/>
      <c r="R19" s="748"/>
      <c r="S19" s="749"/>
      <c r="T19" s="747" t="s">
        <v>333</v>
      </c>
      <c r="U19" s="748"/>
      <c r="V19" s="748"/>
      <c r="W19" s="748"/>
      <c r="X19" s="748"/>
      <c r="Y19" s="748"/>
      <c r="Z19" s="748"/>
      <c r="AA19" s="777" t="s">
        <v>356</v>
      </c>
      <c r="AB19" s="748"/>
      <c r="AC19" s="748"/>
      <c r="AD19" s="749"/>
      <c r="AE19" s="773" t="s">
        <v>357</v>
      </c>
      <c r="AF19" s="755"/>
      <c r="AG19" s="755"/>
      <c r="AH19" s="755"/>
      <c r="AI19" s="654"/>
      <c r="AJ19" s="654"/>
      <c r="AK19" s="654"/>
      <c r="AL19" s="654"/>
      <c r="AM19" s="654"/>
      <c r="AN19" s="654"/>
      <c r="AO19" s="654"/>
      <c r="AP19" s="654"/>
      <c r="AQ19" s="654"/>
      <c r="AR19" s="654"/>
      <c r="AS19" s="654"/>
      <c r="AT19" s="654"/>
      <c r="AU19" s="654"/>
      <c r="AV19" s="654"/>
      <c r="AW19" s="691"/>
      <c r="AX19" s="626"/>
      <c r="AY19" s="602"/>
      <c r="AZ19" s="602"/>
      <c r="BA19" s="602"/>
      <c r="BB19" s="602"/>
      <c r="BC19" s="602"/>
      <c r="BD19" s="602"/>
      <c r="BE19" s="602"/>
      <c r="BF19" s="602"/>
      <c r="BG19" s="602"/>
      <c r="BH19" s="602"/>
      <c r="BI19" s="602"/>
      <c r="BJ19" s="602"/>
      <c r="BK19" s="602"/>
      <c r="BL19" s="602"/>
      <c r="BM19" s="602"/>
      <c r="BN19" s="602"/>
      <c r="BO19" s="602"/>
      <c r="BP19" s="602"/>
      <c r="BQ19" s="602"/>
    </row>
    <row r="20" spans="1:69">
      <c r="A20" s="797"/>
      <c r="B20" s="615"/>
      <c r="C20" s="771" t="s">
        <v>358</v>
      </c>
      <c r="D20" s="758"/>
      <c r="E20" s="739"/>
      <c r="F20" s="641"/>
      <c r="G20" s="641"/>
      <c r="H20" s="740"/>
      <c r="I20" s="739"/>
      <c r="J20" s="641"/>
      <c r="K20" s="641"/>
      <c r="L20" s="641"/>
      <c r="M20" s="641"/>
      <c r="N20" s="641"/>
      <c r="O20" s="740"/>
      <c r="P20" s="754" t="s">
        <v>359</v>
      </c>
      <c r="Q20" s="755"/>
      <c r="R20" s="755"/>
      <c r="S20" s="756"/>
      <c r="T20" s="754" t="s">
        <v>360</v>
      </c>
      <c r="U20" s="755"/>
      <c r="V20" s="755"/>
      <c r="W20" s="755"/>
      <c r="X20" s="755"/>
      <c r="Y20" s="755"/>
      <c r="Z20" s="755"/>
      <c r="AA20" s="754" t="s">
        <v>338</v>
      </c>
      <c r="AB20" s="755"/>
      <c r="AC20" s="755"/>
      <c r="AD20" s="756"/>
      <c r="AE20" s="739" t="s">
        <v>361</v>
      </c>
      <c r="AF20" s="641"/>
      <c r="AG20" s="641"/>
      <c r="AH20" s="641"/>
      <c r="AI20" s="615"/>
      <c r="AJ20" s="615"/>
      <c r="AK20" s="615"/>
      <c r="AL20" s="615"/>
      <c r="AM20" s="615"/>
      <c r="AN20" s="615"/>
      <c r="AO20" s="615"/>
      <c r="AP20" s="615"/>
      <c r="AQ20" s="615"/>
      <c r="AR20" s="615"/>
      <c r="AS20" s="615"/>
      <c r="AT20" s="615"/>
      <c r="AU20" s="615"/>
      <c r="AV20" s="615"/>
      <c r="AW20" s="622"/>
      <c r="AX20" s="626"/>
      <c r="AY20" s="602"/>
      <c r="AZ20" s="602"/>
      <c r="BA20" s="602"/>
      <c r="BB20" s="602"/>
      <c r="BC20" s="602"/>
      <c r="BD20" s="602"/>
      <c r="BE20" s="602"/>
      <c r="BF20" s="602"/>
      <c r="BG20" s="602"/>
      <c r="BH20" s="602"/>
      <c r="BI20" s="602"/>
      <c r="BJ20" s="602"/>
      <c r="BK20" s="602"/>
      <c r="BL20" s="602"/>
      <c r="BM20" s="602"/>
      <c r="BN20" s="602"/>
      <c r="BO20" s="602"/>
      <c r="BP20" s="602"/>
      <c r="BQ20" s="602"/>
    </row>
    <row r="21" spans="1:69" ht="12.75" thickBot="1">
      <c r="A21" s="797"/>
      <c r="B21" s="615"/>
      <c r="C21" s="772" t="s">
        <v>362</v>
      </c>
      <c r="D21" s="759"/>
      <c r="E21" s="760"/>
      <c r="F21" s="761"/>
      <c r="G21" s="761"/>
      <c r="H21" s="762"/>
      <c r="I21" s="760"/>
      <c r="J21" s="761"/>
      <c r="K21" s="761"/>
      <c r="L21" s="761"/>
      <c r="M21" s="761"/>
      <c r="N21" s="761"/>
      <c r="O21" s="762"/>
      <c r="P21" s="760"/>
      <c r="Q21" s="761"/>
      <c r="R21" s="761"/>
      <c r="S21" s="762"/>
      <c r="T21" s="763" t="s">
        <v>363</v>
      </c>
      <c r="U21" s="764"/>
      <c r="V21" s="764"/>
      <c r="W21" s="764"/>
      <c r="X21" s="764"/>
      <c r="Y21" s="764"/>
      <c r="Z21" s="764"/>
      <c r="AA21" s="786" t="s">
        <v>356</v>
      </c>
      <c r="AB21" s="764"/>
      <c r="AC21" s="764"/>
      <c r="AD21" s="765"/>
      <c r="AE21" s="760"/>
      <c r="AF21" s="761"/>
      <c r="AG21" s="761"/>
      <c r="AH21" s="761"/>
      <c r="AI21" s="617"/>
      <c r="AJ21" s="617"/>
      <c r="AK21" s="617"/>
      <c r="AL21" s="617"/>
      <c r="AM21" s="617"/>
      <c r="AN21" s="617"/>
      <c r="AO21" s="617"/>
      <c r="AP21" s="617"/>
      <c r="AQ21" s="617"/>
      <c r="AR21" s="617"/>
      <c r="AS21" s="617"/>
      <c r="AT21" s="617"/>
      <c r="AU21" s="617"/>
      <c r="AV21" s="617"/>
      <c r="AW21" s="625"/>
      <c r="AX21" s="626"/>
      <c r="AY21" s="602"/>
      <c r="AZ21" s="602"/>
      <c r="BA21" s="602"/>
      <c r="BB21" s="602"/>
      <c r="BC21" s="602"/>
      <c r="BD21" s="602"/>
      <c r="BE21" s="602"/>
      <c r="BF21" s="602"/>
      <c r="BG21" s="602"/>
      <c r="BH21" s="602"/>
      <c r="BI21" s="602"/>
      <c r="BJ21" s="602"/>
      <c r="BK21" s="602"/>
      <c r="BL21" s="602"/>
      <c r="BM21" s="602"/>
      <c r="BN21" s="602"/>
      <c r="BO21" s="602"/>
      <c r="BP21" s="602"/>
      <c r="BQ21" s="602"/>
    </row>
    <row r="22" spans="1:69">
      <c r="A22" s="614"/>
      <c r="B22" s="615"/>
      <c r="C22" s="615" t="s">
        <v>364</v>
      </c>
      <c r="D22" s="615"/>
      <c r="E22" s="615"/>
      <c r="F22" s="615"/>
      <c r="G22" s="615"/>
      <c r="H22" s="615"/>
      <c r="I22" s="615"/>
      <c r="J22" s="615"/>
      <c r="K22" s="615"/>
      <c r="L22" s="615"/>
      <c r="M22" s="615"/>
      <c r="N22" s="615"/>
      <c r="O22" s="615"/>
      <c r="P22" s="615"/>
      <c r="Q22" s="615"/>
      <c r="R22" s="615"/>
      <c r="S22" s="615"/>
      <c r="T22" s="615"/>
      <c r="U22" s="615"/>
      <c r="V22" s="615"/>
      <c r="W22" s="615"/>
      <c r="X22" s="615"/>
      <c r="Y22" s="615"/>
      <c r="Z22" s="615"/>
      <c r="AA22" s="615"/>
      <c r="AB22" s="615"/>
      <c r="AC22" s="615"/>
      <c r="AD22" s="615"/>
      <c r="AE22" s="615"/>
      <c r="AF22" s="615"/>
      <c r="AG22" s="615"/>
      <c r="AH22" s="615"/>
      <c r="AI22" s="615"/>
      <c r="AJ22" s="615"/>
      <c r="AK22" s="615"/>
      <c r="AL22" s="615"/>
      <c r="AM22" s="615"/>
      <c r="AN22" s="615"/>
      <c r="AO22" s="615"/>
      <c r="AP22" s="615"/>
      <c r="AQ22" s="615"/>
      <c r="AR22" s="615"/>
      <c r="AS22" s="615"/>
      <c r="AT22" s="615"/>
      <c r="AU22" s="615"/>
      <c r="AV22" s="615"/>
      <c r="AW22" s="615"/>
      <c r="AX22" s="626"/>
      <c r="AY22" s="602"/>
      <c r="AZ22" s="602"/>
      <c r="BA22" s="602"/>
      <c r="BB22" s="602"/>
      <c r="BC22" s="602"/>
      <c r="BD22" s="602"/>
      <c r="BE22" s="602"/>
      <c r="BF22" s="602"/>
      <c r="BG22" s="602"/>
      <c r="BH22" s="602"/>
      <c r="BI22" s="602"/>
      <c r="BJ22" s="602"/>
      <c r="BK22" s="602"/>
      <c r="BL22" s="602"/>
      <c r="BM22" s="602"/>
      <c r="BN22" s="602"/>
      <c r="BO22" s="602"/>
      <c r="BP22" s="602"/>
      <c r="BQ22" s="602"/>
    </row>
    <row r="23" spans="1:69">
      <c r="A23" s="614"/>
      <c r="B23" s="615"/>
      <c r="C23" s="615" t="s">
        <v>365</v>
      </c>
      <c r="D23" s="615"/>
      <c r="E23" s="615"/>
      <c r="F23" s="615"/>
      <c r="G23" s="615"/>
      <c r="H23" s="615"/>
      <c r="I23" s="615"/>
      <c r="J23" s="615"/>
      <c r="K23" s="615"/>
      <c r="L23" s="615"/>
      <c r="M23" s="615"/>
      <c r="N23" s="615"/>
      <c r="O23" s="615"/>
      <c r="P23" s="615"/>
      <c r="Q23" s="615"/>
      <c r="R23" s="615"/>
      <c r="S23" s="615"/>
      <c r="T23" s="615"/>
      <c r="U23" s="615"/>
      <c r="V23" s="615"/>
      <c r="W23" s="615"/>
      <c r="X23" s="615"/>
      <c r="Y23" s="615"/>
      <c r="Z23" s="615"/>
      <c r="AA23" s="615"/>
      <c r="AB23" s="615"/>
      <c r="AC23" s="615"/>
      <c r="AD23" s="615"/>
      <c r="AE23" s="615"/>
      <c r="AF23" s="615"/>
      <c r="AG23" s="615"/>
      <c r="AH23" s="615"/>
      <c r="AI23" s="615"/>
      <c r="AJ23" s="615"/>
      <c r="AK23" s="615"/>
      <c r="AL23" s="615"/>
      <c r="AM23" s="615"/>
      <c r="AN23" s="615"/>
      <c r="AO23" s="615"/>
      <c r="AP23" s="615"/>
      <c r="AQ23" s="615"/>
      <c r="AR23" s="615"/>
      <c r="AS23" s="615"/>
      <c r="AT23" s="615"/>
      <c r="AU23" s="615"/>
      <c r="AV23" s="615"/>
      <c r="AW23" s="615"/>
      <c r="AX23" s="626"/>
      <c r="AY23" s="602"/>
      <c r="AZ23" s="602"/>
      <c r="BA23" s="602"/>
      <c r="BB23" s="602"/>
      <c r="BC23" s="602"/>
      <c r="BD23" s="602"/>
      <c r="BE23" s="602"/>
      <c r="BF23" s="602"/>
      <c r="BG23" s="602"/>
      <c r="BH23" s="602"/>
      <c r="BI23" s="602"/>
      <c r="BJ23" s="602"/>
      <c r="BK23" s="602"/>
      <c r="BL23" s="602"/>
      <c r="BM23" s="602"/>
      <c r="BN23" s="602"/>
      <c r="BO23" s="602"/>
      <c r="BP23" s="602"/>
      <c r="BQ23" s="602"/>
    </row>
    <row r="24" spans="1:69">
      <c r="A24" s="614"/>
      <c r="B24" s="615"/>
      <c r="C24" s="615"/>
      <c r="D24" s="615"/>
      <c r="E24" s="615"/>
      <c r="F24" s="615"/>
      <c r="G24" s="615"/>
      <c r="H24" s="615"/>
      <c r="I24" s="615"/>
      <c r="J24" s="615"/>
      <c r="K24" s="615"/>
      <c r="L24" s="615"/>
      <c r="M24" s="615"/>
      <c r="N24" s="615"/>
      <c r="O24" s="615"/>
      <c r="P24" s="615"/>
      <c r="Q24" s="615"/>
      <c r="R24" s="615"/>
      <c r="S24" s="615"/>
      <c r="T24" s="615"/>
      <c r="U24" s="615"/>
      <c r="V24" s="615"/>
      <c r="W24" s="615"/>
      <c r="X24" s="615"/>
      <c r="Y24" s="615"/>
      <c r="Z24" s="615"/>
      <c r="AA24" s="615"/>
      <c r="AB24" s="615"/>
      <c r="AC24" s="615"/>
      <c r="AD24" s="615"/>
      <c r="AE24" s="615"/>
      <c r="AF24" s="615"/>
      <c r="AG24" s="615"/>
      <c r="AH24" s="615"/>
      <c r="AI24" s="615"/>
      <c r="AJ24" s="615"/>
      <c r="AK24" s="615"/>
      <c r="AL24" s="615"/>
      <c r="AM24" s="615"/>
      <c r="AN24" s="615"/>
      <c r="AO24" s="615"/>
      <c r="AP24" s="615"/>
      <c r="AQ24" s="615"/>
      <c r="AR24" s="615"/>
      <c r="AS24" s="615"/>
      <c r="AT24" s="615"/>
      <c r="AU24" s="615"/>
      <c r="AV24" s="615"/>
      <c r="AW24" s="615"/>
      <c r="AX24" s="626"/>
      <c r="AY24" s="602"/>
      <c r="AZ24" s="602"/>
      <c r="BA24" s="602"/>
      <c r="BB24" s="602"/>
      <c r="BC24" s="602"/>
      <c r="BD24" s="602"/>
      <c r="BE24" s="602"/>
      <c r="BF24" s="602"/>
      <c r="BG24" s="602"/>
      <c r="BH24" s="602"/>
      <c r="BI24" s="602"/>
      <c r="BJ24" s="602"/>
      <c r="BK24" s="602"/>
      <c r="BL24" s="602"/>
      <c r="BM24" s="602"/>
      <c r="BN24" s="602"/>
      <c r="BO24" s="602"/>
      <c r="BP24" s="602"/>
      <c r="BQ24" s="602"/>
    </row>
    <row r="25" spans="1:69">
      <c r="A25" s="614"/>
      <c r="B25" s="615"/>
      <c r="C25" s="615" t="s">
        <v>366</v>
      </c>
      <c r="D25" s="615"/>
      <c r="E25" s="615"/>
      <c r="F25" s="615"/>
      <c r="G25" s="615"/>
      <c r="H25" s="615"/>
      <c r="I25" s="615"/>
      <c r="J25" s="615"/>
      <c r="K25" s="615"/>
      <c r="L25" s="615"/>
      <c r="M25" s="615"/>
      <c r="N25" s="615"/>
      <c r="O25" s="615"/>
      <c r="P25" s="615"/>
      <c r="Q25" s="615"/>
      <c r="R25" s="615"/>
      <c r="S25" s="615"/>
      <c r="T25" s="615"/>
      <c r="U25" s="615"/>
      <c r="V25" s="615"/>
      <c r="W25" s="615"/>
      <c r="X25" s="615"/>
      <c r="Y25" s="615"/>
      <c r="Z25" s="615"/>
      <c r="AA25" s="615"/>
      <c r="AB25" s="615"/>
      <c r="AC25" s="615"/>
      <c r="AD25" s="615"/>
      <c r="AE25" s="615"/>
      <c r="AF25" s="615"/>
      <c r="AG25" s="615"/>
      <c r="AH25" s="615"/>
      <c r="AI25" s="615"/>
      <c r="AJ25" s="615"/>
      <c r="AK25" s="615"/>
      <c r="AL25" s="615"/>
      <c r="AM25" s="615"/>
      <c r="AN25" s="615"/>
      <c r="AO25" s="615"/>
      <c r="AP25" s="615"/>
      <c r="AQ25" s="615"/>
      <c r="AR25" s="615"/>
      <c r="AS25" s="615"/>
      <c r="AT25" s="615"/>
      <c r="AU25" s="615"/>
      <c r="AV25" s="615"/>
      <c r="AW25" s="615"/>
      <c r="AX25" s="626"/>
      <c r="AY25" s="602"/>
      <c r="AZ25" s="602"/>
      <c r="BA25" s="602"/>
      <c r="BB25" s="602"/>
      <c r="BC25" s="602"/>
      <c r="BD25" s="602"/>
      <c r="BE25" s="602"/>
      <c r="BF25" s="602"/>
      <c r="BG25" s="602"/>
      <c r="BH25" s="602"/>
      <c r="BI25" s="602"/>
      <c r="BJ25" s="602"/>
      <c r="BK25" s="602"/>
      <c r="BL25" s="602"/>
      <c r="BM25" s="602"/>
      <c r="BN25" s="602"/>
      <c r="BO25" s="602"/>
      <c r="BP25" s="602"/>
      <c r="BQ25" s="602"/>
    </row>
    <row r="26" spans="1:69">
      <c r="A26" s="614"/>
      <c r="B26" s="615"/>
      <c r="C26" s="631" t="s">
        <v>367</v>
      </c>
      <c r="D26" s="623"/>
      <c r="E26" s="623"/>
      <c r="F26" s="623"/>
      <c r="G26" s="627"/>
      <c r="H26" s="631" t="s">
        <v>368</v>
      </c>
      <c r="I26" s="623"/>
      <c r="J26" s="623"/>
      <c r="K26" s="623"/>
      <c r="L26" s="623"/>
      <c r="M26" s="623"/>
      <c r="N26" s="623"/>
      <c r="O26" s="627"/>
      <c r="P26" s="634" t="s">
        <v>369</v>
      </c>
      <c r="Q26" s="632"/>
      <c r="R26" s="632"/>
      <c r="S26" s="632"/>
      <c r="T26" s="632"/>
      <c r="U26" s="632"/>
      <c r="V26" s="632"/>
      <c r="W26" s="632"/>
      <c r="X26" s="632"/>
      <c r="Y26" s="632"/>
      <c r="Z26" s="632"/>
      <c r="AA26" s="632"/>
      <c r="AB26" s="632"/>
      <c r="AC26" s="632"/>
      <c r="AD26" s="633"/>
      <c r="AE26" s="631" t="s">
        <v>370</v>
      </c>
      <c r="AF26" s="624"/>
      <c r="AG26" s="624"/>
      <c r="AH26" s="624"/>
      <c r="AI26" s="624"/>
      <c r="AJ26" s="624"/>
      <c r="AK26" s="624"/>
      <c r="AL26" s="624"/>
      <c r="AM26" s="624"/>
      <c r="AN26" s="624"/>
      <c r="AO26" s="624"/>
      <c r="AP26" s="624"/>
      <c r="AQ26" s="624"/>
      <c r="AR26" s="624"/>
      <c r="AS26" s="624"/>
      <c r="AT26" s="624"/>
      <c r="AU26" s="624"/>
      <c r="AV26" s="624"/>
      <c r="AW26" s="649"/>
      <c r="AX26" s="626"/>
      <c r="AY26" s="602"/>
      <c r="AZ26" s="602"/>
      <c r="BA26" s="602"/>
      <c r="BB26" s="602"/>
      <c r="BC26" s="602"/>
      <c r="BD26" s="602"/>
      <c r="BE26" s="602"/>
      <c r="BF26" s="602"/>
      <c r="BG26" s="602"/>
      <c r="BH26" s="602"/>
      <c r="BI26" s="602"/>
      <c r="BJ26" s="602"/>
      <c r="BK26" s="602"/>
      <c r="BL26" s="602"/>
      <c r="BM26" s="602"/>
      <c r="BN26" s="602"/>
      <c r="BO26" s="602"/>
      <c r="BP26" s="602"/>
      <c r="BQ26" s="602"/>
    </row>
    <row r="27" spans="1:69">
      <c r="A27" s="614"/>
      <c r="B27" s="615"/>
      <c r="C27" s="628"/>
      <c r="D27" s="629"/>
      <c r="E27" s="629"/>
      <c r="F27" s="629"/>
      <c r="G27" s="630"/>
      <c r="H27" s="628" t="s">
        <v>371</v>
      </c>
      <c r="I27" s="629"/>
      <c r="J27" s="629"/>
      <c r="K27" s="629"/>
      <c r="L27" s="629" t="s">
        <v>372</v>
      </c>
      <c r="M27" s="629"/>
      <c r="N27" s="629"/>
      <c r="O27" s="630"/>
      <c r="P27" s="631" t="s">
        <v>373</v>
      </c>
      <c r="Q27" s="623"/>
      <c r="R27" s="623"/>
      <c r="S27" s="623" t="s">
        <v>374</v>
      </c>
      <c r="T27" s="623"/>
      <c r="U27" s="623" t="s">
        <v>326</v>
      </c>
      <c r="V27" s="623"/>
      <c r="W27" s="623"/>
      <c r="X27" s="623" t="s">
        <v>375</v>
      </c>
      <c r="Y27" s="623"/>
      <c r="Z27" s="623"/>
      <c r="AA27" s="623" t="s">
        <v>376</v>
      </c>
      <c r="AB27" s="623"/>
      <c r="AC27" s="623"/>
      <c r="AD27" s="627"/>
      <c r="AE27" s="628"/>
      <c r="AF27" s="645"/>
      <c r="AG27" s="645"/>
      <c r="AH27" s="645"/>
      <c r="AI27" s="645"/>
      <c r="AJ27" s="645"/>
      <c r="AK27" s="645"/>
      <c r="AL27" s="645"/>
      <c r="AM27" s="645"/>
      <c r="AN27" s="645"/>
      <c r="AO27" s="645"/>
      <c r="AP27" s="645"/>
      <c r="AQ27" s="645"/>
      <c r="AR27" s="645"/>
      <c r="AS27" s="645"/>
      <c r="AT27" s="645"/>
      <c r="AU27" s="645"/>
      <c r="AV27" s="645"/>
      <c r="AW27" s="651"/>
      <c r="AX27" s="626"/>
      <c r="AY27" s="602"/>
      <c r="AZ27" s="602"/>
      <c r="BA27" s="602"/>
      <c r="BB27" s="602"/>
      <c r="BC27" s="602"/>
      <c r="BD27" s="602"/>
      <c r="BE27" s="602"/>
      <c r="BF27" s="602"/>
      <c r="BG27" s="602"/>
      <c r="BH27" s="602"/>
      <c r="BI27" s="602"/>
      <c r="BJ27" s="602"/>
      <c r="BK27" s="602"/>
      <c r="BL27" s="602"/>
      <c r="BM27" s="602"/>
      <c r="BN27" s="602"/>
      <c r="BO27" s="602"/>
      <c r="BP27" s="602"/>
      <c r="BQ27" s="602"/>
    </row>
    <row r="28" spans="1:69">
      <c r="A28" s="614"/>
      <c r="B28" s="615"/>
      <c r="C28" s="631" t="s">
        <v>377</v>
      </c>
      <c r="D28" s="623"/>
      <c r="E28" s="627"/>
      <c r="F28" s="631" t="s">
        <v>378</v>
      </c>
      <c r="G28" s="627"/>
      <c r="H28" s="631" t="s">
        <v>379</v>
      </c>
      <c r="I28" s="623"/>
      <c r="J28" s="623"/>
      <c r="K28" s="623"/>
      <c r="L28" s="623"/>
      <c r="M28" s="623"/>
      <c r="N28" s="623"/>
      <c r="O28" s="627"/>
      <c r="P28" s="666"/>
      <c r="Q28" s="667"/>
      <c r="R28" s="667"/>
      <c r="S28" s="667"/>
      <c r="T28" s="667"/>
      <c r="U28" s="667"/>
      <c r="V28" s="667"/>
      <c r="W28" s="667"/>
      <c r="X28" s="667"/>
      <c r="Y28" s="667"/>
      <c r="Z28" s="667"/>
      <c r="AA28" s="667"/>
      <c r="AB28" s="667"/>
      <c r="AC28" s="667"/>
      <c r="AD28" s="668"/>
      <c r="AE28" s="666"/>
      <c r="AF28" s="669"/>
      <c r="AG28" s="669"/>
      <c r="AH28" s="669"/>
      <c r="AI28" s="669"/>
      <c r="AJ28" s="669"/>
      <c r="AK28" s="669"/>
      <c r="AL28" s="669"/>
      <c r="AM28" s="669"/>
      <c r="AN28" s="669"/>
      <c r="AO28" s="669"/>
      <c r="AP28" s="669"/>
      <c r="AQ28" s="669"/>
      <c r="AR28" s="669"/>
      <c r="AS28" s="669"/>
      <c r="AT28" s="669"/>
      <c r="AU28" s="669"/>
      <c r="AV28" s="669"/>
      <c r="AW28" s="670"/>
      <c r="AX28" s="626"/>
      <c r="AY28" s="602"/>
      <c r="AZ28" s="602"/>
      <c r="BA28" s="602"/>
      <c r="BB28" s="602"/>
      <c r="BC28" s="602"/>
      <c r="BD28" s="602"/>
      <c r="BE28" s="602"/>
      <c r="BF28" s="602"/>
      <c r="BG28" s="602"/>
      <c r="BH28" s="602"/>
      <c r="BI28" s="602"/>
      <c r="BJ28" s="602"/>
      <c r="BK28" s="602"/>
      <c r="BL28" s="602"/>
      <c r="BM28" s="602"/>
      <c r="BN28" s="602"/>
      <c r="BO28" s="602"/>
      <c r="BP28" s="602"/>
      <c r="BQ28" s="602"/>
    </row>
    <row r="29" spans="1:69">
      <c r="A29" s="614"/>
      <c r="B29" s="615"/>
      <c r="C29" s="619"/>
      <c r="D29" s="618"/>
      <c r="E29" s="620"/>
      <c r="F29" s="658"/>
      <c r="G29" s="663"/>
      <c r="H29" s="658"/>
      <c r="I29" s="661"/>
      <c r="J29" s="661"/>
      <c r="K29" s="661"/>
      <c r="L29" s="661"/>
      <c r="M29" s="661"/>
      <c r="N29" s="661"/>
      <c r="O29" s="687" t="s">
        <v>380</v>
      </c>
      <c r="P29" s="671" t="s">
        <v>381</v>
      </c>
      <c r="Q29" s="672"/>
      <c r="R29" s="672"/>
      <c r="S29" s="672" t="s">
        <v>382</v>
      </c>
      <c r="T29" s="672"/>
      <c r="U29" s="672" t="s">
        <v>383</v>
      </c>
      <c r="V29" s="672"/>
      <c r="W29" s="672"/>
      <c r="X29" s="672" t="s">
        <v>330</v>
      </c>
      <c r="Y29" s="672"/>
      <c r="Z29" s="672"/>
      <c r="AA29" s="672" t="s">
        <v>355</v>
      </c>
      <c r="AB29" s="672"/>
      <c r="AC29" s="672"/>
      <c r="AD29" s="673"/>
      <c r="AE29" s="671" t="s">
        <v>356</v>
      </c>
      <c r="AF29" s="674"/>
      <c r="AG29" s="674"/>
      <c r="AH29" s="674" t="s">
        <v>384</v>
      </c>
      <c r="AI29" s="674"/>
      <c r="AJ29" s="674"/>
      <c r="AK29" s="674"/>
      <c r="AL29" s="674"/>
      <c r="AM29" s="674"/>
      <c r="AN29" s="674"/>
      <c r="AO29" s="674"/>
      <c r="AP29" s="674"/>
      <c r="AQ29" s="674"/>
      <c r="AR29" s="674"/>
      <c r="AS29" s="674"/>
      <c r="AT29" s="674"/>
      <c r="AU29" s="674"/>
      <c r="AV29" s="674"/>
      <c r="AW29" s="675"/>
      <c r="AX29" s="626"/>
      <c r="AY29" s="602"/>
      <c r="AZ29" s="602"/>
      <c r="BA29" s="602"/>
      <c r="BB29" s="602"/>
      <c r="BC29" s="602"/>
      <c r="BD29" s="602"/>
      <c r="BE29" s="602"/>
      <c r="BF29" s="602"/>
      <c r="BG29" s="602"/>
      <c r="BH29" s="602"/>
      <c r="BI29" s="602"/>
      <c r="BJ29" s="602"/>
      <c r="BK29" s="602"/>
      <c r="BL29" s="602"/>
      <c r="BM29" s="602"/>
      <c r="BN29" s="602"/>
      <c r="BO29" s="602"/>
      <c r="BP29" s="602"/>
      <c r="BQ29" s="602"/>
    </row>
    <row r="30" spans="1:69">
      <c r="A30" s="614"/>
      <c r="B30" s="615"/>
      <c r="C30" s="619"/>
      <c r="D30" s="618"/>
      <c r="E30" s="620"/>
      <c r="F30" s="656" t="s">
        <v>385</v>
      </c>
      <c r="G30" s="657"/>
      <c r="H30" s="656"/>
      <c r="I30" s="652"/>
      <c r="J30" s="652"/>
      <c r="K30" s="652"/>
      <c r="L30" s="652"/>
      <c r="M30" s="652"/>
      <c r="N30" s="652"/>
      <c r="O30" s="657"/>
      <c r="P30" s="676"/>
      <c r="Q30" s="677"/>
      <c r="R30" s="677"/>
      <c r="S30" s="677"/>
      <c r="T30" s="677"/>
      <c r="U30" s="677"/>
      <c r="V30" s="677"/>
      <c r="W30" s="677"/>
      <c r="X30" s="677"/>
      <c r="Y30" s="677"/>
      <c r="Z30" s="677"/>
      <c r="AA30" s="678"/>
      <c r="AB30" s="677"/>
      <c r="AC30" s="677"/>
      <c r="AD30" s="679"/>
      <c r="AE30" s="676"/>
      <c r="AF30" s="680"/>
      <c r="AG30" s="680"/>
      <c r="AH30" s="680"/>
      <c r="AI30" s="680"/>
      <c r="AJ30" s="680"/>
      <c r="AK30" s="680"/>
      <c r="AL30" s="680"/>
      <c r="AM30" s="680"/>
      <c r="AN30" s="680"/>
      <c r="AO30" s="680"/>
      <c r="AP30" s="680"/>
      <c r="AQ30" s="680"/>
      <c r="AR30" s="680"/>
      <c r="AS30" s="680"/>
      <c r="AT30" s="680"/>
      <c r="AU30" s="680"/>
      <c r="AV30" s="680"/>
      <c r="AW30" s="681"/>
      <c r="AX30" s="626"/>
      <c r="AY30" s="602"/>
      <c r="AZ30" s="602"/>
      <c r="BA30" s="602"/>
      <c r="BB30" s="602"/>
      <c r="BC30" s="602"/>
      <c r="BD30" s="602"/>
      <c r="BE30" s="602"/>
      <c r="BF30" s="602"/>
      <c r="BG30" s="602"/>
      <c r="BH30" s="602"/>
      <c r="BI30" s="602"/>
      <c r="BJ30" s="602"/>
      <c r="BK30" s="602"/>
      <c r="BL30" s="602"/>
      <c r="BM30" s="602"/>
      <c r="BN30" s="602"/>
      <c r="BO30" s="602"/>
      <c r="BP30" s="602"/>
      <c r="BQ30" s="602"/>
    </row>
    <row r="31" spans="1:69">
      <c r="A31" s="614"/>
      <c r="B31" s="615"/>
      <c r="C31" s="619"/>
      <c r="D31" s="618"/>
      <c r="E31" s="620"/>
      <c r="F31" s="619"/>
      <c r="G31" s="620"/>
      <c r="H31" s="619"/>
      <c r="I31" s="618"/>
      <c r="J31" s="618"/>
      <c r="K31" s="618"/>
      <c r="L31" s="618"/>
      <c r="M31" s="618"/>
      <c r="N31" s="618"/>
      <c r="O31" s="688" t="s">
        <v>380</v>
      </c>
      <c r="P31" s="707" t="s">
        <v>381</v>
      </c>
      <c r="Q31" s="708"/>
      <c r="R31" s="708"/>
      <c r="S31" s="708" t="s">
        <v>382</v>
      </c>
      <c r="T31" s="708"/>
      <c r="U31" s="708" t="s">
        <v>383</v>
      </c>
      <c r="V31" s="708"/>
      <c r="W31" s="708"/>
      <c r="X31" s="708" t="s">
        <v>386</v>
      </c>
      <c r="Y31" s="708"/>
      <c r="Z31" s="708"/>
      <c r="AA31" s="708" t="s">
        <v>355</v>
      </c>
      <c r="AB31" s="708"/>
      <c r="AC31" s="708"/>
      <c r="AD31" s="709"/>
      <c r="AE31" s="707" t="s">
        <v>356</v>
      </c>
      <c r="AF31" s="710"/>
      <c r="AG31" s="710"/>
      <c r="AH31" s="710" t="s">
        <v>384</v>
      </c>
      <c r="AI31" s="710"/>
      <c r="AJ31" s="710"/>
      <c r="AK31" s="710"/>
      <c r="AL31" s="710"/>
      <c r="AM31" s="710"/>
      <c r="AN31" s="710"/>
      <c r="AO31" s="710"/>
      <c r="AP31" s="710"/>
      <c r="AQ31" s="710"/>
      <c r="AR31" s="710"/>
      <c r="AS31" s="710"/>
      <c r="AT31" s="710"/>
      <c r="AU31" s="710"/>
      <c r="AV31" s="710"/>
      <c r="AW31" s="711"/>
      <c r="AX31" s="626"/>
      <c r="AY31" s="602"/>
      <c r="AZ31" s="602"/>
      <c r="BA31" s="602"/>
      <c r="BB31" s="602"/>
      <c r="BC31" s="602"/>
      <c r="BD31" s="602"/>
      <c r="BE31" s="602"/>
      <c r="BF31" s="602"/>
      <c r="BG31" s="602"/>
      <c r="BH31" s="602"/>
      <c r="BI31" s="602"/>
      <c r="BJ31" s="602"/>
      <c r="BK31" s="602"/>
      <c r="BL31" s="602"/>
      <c r="BM31" s="602"/>
      <c r="BN31" s="602"/>
      <c r="BO31" s="602"/>
      <c r="BP31" s="602"/>
      <c r="BQ31" s="602"/>
    </row>
    <row r="32" spans="1:69">
      <c r="A32" s="614"/>
      <c r="B32" s="615"/>
      <c r="C32" s="631" t="s">
        <v>387</v>
      </c>
      <c r="D32" s="623"/>
      <c r="E32" s="627"/>
      <c r="F32" s="631" t="s">
        <v>388</v>
      </c>
      <c r="G32" s="627"/>
      <c r="H32" s="631"/>
      <c r="I32" s="623"/>
      <c r="J32" s="623"/>
      <c r="K32" s="623"/>
      <c r="L32" s="623"/>
      <c r="M32" s="623"/>
      <c r="N32" s="623"/>
      <c r="O32" s="627"/>
      <c r="P32" s="631"/>
      <c r="Q32" s="623"/>
      <c r="R32" s="623"/>
      <c r="S32" s="623"/>
      <c r="T32" s="623"/>
      <c r="U32" s="623"/>
      <c r="V32" s="623"/>
      <c r="W32" s="623"/>
      <c r="X32" s="623"/>
      <c r="Y32" s="623"/>
      <c r="Z32" s="623"/>
      <c r="AA32" s="665"/>
      <c r="AB32" s="623"/>
      <c r="AC32" s="623"/>
      <c r="AD32" s="627"/>
      <c r="AE32" s="631"/>
      <c r="AF32" s="624"/>
      <c r="AG32" s="624"/>
      <c r="AH32" s="624"/>
      <c r="AI32" s="624"/>
      <c r="AJ32" s="624"/>
      <c r="AK32" s="624"/>
      <c r="AL32" s="624"/>
      <c r="AM32" s="624"/>
      <c r="AN32" s="624"/>
      <c r="AO32" s="624"/>
      <c r="AP32" s="624"/>
      <c r="AQ32" s="624"/>
      <c r="AR32" s="624"/>
      <c r="AS32" s="624"/>
      <c r="AT32" s="624"/>
      <c r="AU32" s="624"/>
      <c r="AV32" s="624"/>
      <c r="AW32" s="649"/>
      <c r="AX32" s="626"/>
      <c r="AY32" s="602"/>
      <c r="AZ32" s="602"/>
      <c r="BA32" s="602"/>
      <c r="BB32" s="602"/>
      <c r="BC32" s="602"/>
      <c r="BD32" s="602"/>
      <c r="BE32" s="602"/>
      <c r="BF32" s="602"/>
      <c r="BG32" s="602"/>
      <c r="BH32" s="602"/>
      <c r="BI32" s="602"/>
      <c r="BJ32" s="602"/>
      <c r="BK32" s="602"/>
      <c r="BL32" s="602"/>
      <c r="BM32" s="602"/>
      <c r="BN32" s="602"/>
      <c r="BO32" s="602"/>
      <c r="BP32" s="602"/>
      <c r="BQ32" s="602"/>
    </row>
    <row r="33" spans="1:69">
      <c r="A33" s="614"/>
      <c r="B33" s="615"/>
      <c r="C33" s="619"/>
      <c r="D33" s="618"/>
      <c r="E33" s="620"/>
      <c r="F33" s="658"/>
      <c r="G33" s="663"/>
      <c r="H33" s="658"/>
      <c r="I33" s="661"/>
      <c r="J33" s="661"/>
      <c r="K33" s="661"/>
      <c r="L33" s="661"/>
      <c r="M33" s="661"/>
      <c r="N33" s="661"/>
      <c r="O33" s="687" t="s">
        <v>380</v>
      </c>
      <c r="P33" s="658" t="s">
        <v>381</v>
      </c>
      <c r="Q33" s="661"/>
      <c r="R33" s="661"/>
      <c r="S33" s="661" t="s">
        <v>382</v>
      </c>
      <c r="T33" s="661"/>
      <c r="U33" s="661" t="s">
        <v>383</v>
      </c>
      <c r="V33" s="661"/>
      <c r="W33" s="661"/>
      <c r="X33" s="661" t="s">
        <v>386</v>
      </c>
      <c r="Y33" s="661"/>
      <c r="Z33" s="661"/>
      <c r="AA33" s="662" t="s">
        <v>337</v>
      </c>
      <c r="AB33" s="661"/>
      <c r="AC33" s="661"/>
      <c r="AD33" s="663"/>
      <c r="AE33" s="658" t="s">
        <v>338</v>
      </c>
      <c r="AF33" s="659"/>
      <c r="AG33" s="659"/>
      <c r="AH33" s="659" t="s">
        <v>389</v>
      </c>
      <c r="AI33" s="659"/>
      <c r="AJ33" s="659"/>
      <c r="AK33" s="659"/>
      <c r="AL33" s="659"/>
      <c r="AM33" s="659"/>
      <c r="AN33" s="659"/>
      <c r="AO33" s="659"/>
      <c r="AP33" s="659"/>
      <c r="AQ33" s="659"/>
      <c r="AR33" s="659"/>
      <c r="AS33" s="659"/>
      <c r="AT33" s="659"/>
      <c r="AU33" s="659"/>
      <c r="AV33" s="659"/>
      <c r="AW33" s="660"/>
      <c r="AX33" s="626"/>
      <c r="AY33" s="602"/>
      <c r="AZ33" s="602"/>
      <c r="BA33" s="602"/>
      <c r="BB33" s="602"/>
      <c r="BC33" s="602"/>
      <c r="BD33" s="602"/>
      <c r="BE33" s="602"/>
      <c r="BF33" s="602"/>
      <c r="BG33" s="602"/>
      <c r="BH33" s="602"/>
      <c r="BI33" s="602"/>
      <c r="BJ33" s="602"/>
      <c r="BK33" s="602"/>
      <c r="BL33" s="602"/>
      <c r="BM33" s="602"/>
      <c r="BN33" s="602"/>
      <c r="BO33" s="602"/>
      <c r="BP33" s="602"/>
      <c r="BQ33" s="602"/>
    </row>
    <row r="34" spans="1:69">
      <c r="A34" s="614"/>
      <c r="B34" s="615"/>
      <c r="C34" s="619"/>
      <c r="D34" s="618"/>
      <c r="E34" s="620"/>
      <c r="F34" s="619" t="s">
        <v>390</v>
      </c>
      <c r="G34" s="620"/>
      <c r="H34" s="656" t="s">
        <v>391</v>
      </c>
      <c r="I34" s="652"/>
      <c r="J34" s="652"/>
      <c r="K34" s="652"/>
      <c r="L34" s="652"/>
      <c r="M34" s="652"/>
      <c r="N34" s="652"/>
      <c r="O34" s="657"/>
      <c r="P34" s="656"/>
      <c r="Q34" s="652"/>
      <c r="R34" s="652"/>
      <c r="S34" s="652"/>
      <c r="T34" s="652"/>
      <c r="U34" s="652"/>
      <c r="V34" s="652"/>
      <c r="W34" s="652"/>
      <c r="X34" s="652"/>
      <c r="Y34" s="652"/>
      <c r="Z34" s="652"/>
      <c r="AA34" s="664"/>
      <c r="AB34" s="652"/>
      <c r="AC34" s="652"/>
      <c r="AD34" s="657"/>
      <c r="AE34" s="656"/>
      <c r="AF34" s="654"/>
      <c r="AG34" s="654"/>
      <c r="AH34" s="654"/>
      <c r="AI34" s="654"/>
      <c r="AJ34" s="654"/>
      <c r="AK34" s="654"/>
      <c r="AL34" s="654"/>
      <c r="AM34" s="654"/>
      <c r="AN34" s="654"/>
      <c r="AO34" s="654"/>
      <c r="AP34" s="654"/>
      <c r="AQ34" s="654"/>
      <c r="AR34" s="654"/>
      <c r="AS34" s="654"/>
      <c r="AT34" s="654"/>
      <c r="AU34" s="654"/>
      <c r="AV34" s="654"/>
      <c r="AW34" s="655"/>
      <c r="AX34" s="626"/>
      <c r="AY34" s="602"/>
      <c r="AZ34" s="602"/>
      <c r="BA34" s="602"/>
      <c r="BB34" s="602"/>
      <c r="BC34" s="602"/>
      <c r="BD34" s="602"/>
      <c r="BE34" s="602"/>
      <c r="BF34" s="602"/>
      <c r="BG34" s="602"/>
      <c r="BH34" s="602"/>
      <c r="BI34" s="602"/>
      <c r="BJ34" s="602"/>
      <c r="BK34" s="602"/>
      <c r="BL34" s="602"/>
      <c r="BM34" s="602"/>
      <c r="BN34" s="602"/>
      <c r="BO34" s="602"/>
      <c r="BP34" s="602"/>
      <c r="BQ34" s="602"/>
    </row>
    <row r="35" spans="1:69">
      <c r="A35" s="614"/>
      <c r="B35" s="615"/>
      <c r="C35" s="619"/>
      <c r="D35" s="618"/>
      <c r="E35" s="620"/>
      <c r="F35" s="619"/>
      <c r="G35" s="620"/>
      <c r="H35" s="658"/>
      <c r="I35" s="661"/>
      <c r="J35" s="661"/>
      <c r="K35" s="661"/>
      <c r="L35" s="661"/>
      <c r="M35" s="661"/>
      <c r="N35" s="661"/>
      <c r="O35" s="687" t="s">
        <v>380</v>
      </c>
      <c r="P35" s="658" t="s">
        <v>392</v>
      </c>
      <c r="Q35" s="661"/>
      <c r="R35" s="661"/>
      <c r="S35" s="661" t="s">
        <v>382</v>
      </c>
      <c r="T35" s="661"/>
      <c r="U35" s="661" t="s">
        <v>383</v>
      </c>
      <c r="V35" s="661"/>
      <c r="W35" s="661"/>
      <c r="X35" s="661" t="s">
        <v>386</v>
      </c>
      <c r="Y35" s="661"/>
      <c r="Z35" s="661"/>
      <c r="AA35" s="661" t="s">
        <v>337</v>
      </c>
      <c r="AB35" s="661"/>
      <c r="AC35" s="661"/>
      <c r="AD35" s="663"/>
      <c r="AE35" s="658" t="s">
        <v>338</v>
      </c>
      <c r="AF35" s="659"/>
      <c r="AG35" s="659"/>
      <c r="AH35" s="659" t="s">
        <v>393</v>
      </c>
      <c r="AI35" s="659"/>
      <c r="AJ35" s="659"/>
      <c r="AK35" s="659"/>
      <c r="AL35" s="659"/>
      <c r="AM35" s="659"/>
      <c r="AN35" s="659"/>
      <c r="AO35" s="659"/>
      <c r="AP35" s="659"/>
      <c r="AQ35" s="659"/>
      <c r="AR35" s="659"/>
      <c r="AS35" s="659"/>
      <c r="AT35" s="659"/>
      <c r="AU35" s="659"/>
      <c r="AV35" s="659"/>
      <c r="AW35" s="660"/>
      <c r="AX35" s="626"/>
      <c r="AY35" s="602"/>
      <c r="AZ35" s="602"/>
      <c r="BA35" s="602"/>
      <c r="BB35" s="602"/>
      <c r="BC35" s="602"/>
      <c r="BD35" s="602"/>
      <c r="BE35" s="602"/>
      <c r="BF35" s="602"/>
      <c r="BG35" s="602"/>
      <c r="BH35" s="602"/>
      <c r="BI35" s="602"/>
      <c r="BJ35" s="602"/>
      <c r="BK35" s="602"/>
      <c r="BL35" s="602"/>
      <c r="BM35" s="602"/>
      <c r="BN35" s="602"/>
      <c r="BO35" s="602"/>
      <c r="BP35" s="602"/>
      <c r="BQ35" s="602"/>
    </row>
    <row r="36" spans="1:69" s="4" customFormat="1">
      <c r="A36" s="614"/>
      <c r="B36" s="615"/>
      <c r="C36" s="619"/>
      <c r="D36" s="618"/>
      <c r="E36" s="620"/>
      <c r="F36" s="656" t="s">
        <v>385</v>
      </c>
      <c r="G36" s="657"/>
      <c r="H36" s="656"/>
      <c r="I36" s="652"/>
      <c r="J36" s="652"/>
      <c r="K36" s="652"/>
      <c r="L36" s="652"/>
      <c r="M36" s="652"/>
      <c r="N36" s="652"/>
      <c r="O36" s="657"/>
      <c r="P36" s="656"/>
      <c r="Q36" s="652"/>
      <c r="R36" s="652"/>
      <c r="S36" s="652"/>
      <c r="T36" s="652"/>
      <c r="U36" s="652"/>
      <c r="V36" s="652"/>
      <c r="W36" s="652"/>
      <c r="X36" s="652"/>
      <c r="Y36" s="652"/>
      <c r="Z36" s="652"/>
      <c r="AA36" s="664"/>
      <c r="AB36" s="652"/>
      <c r="AC36" s="652"/>
      <c r="AD36" s="657"/>
      <c r="AE36" s="656"/>
      <c r="AF36" s="654"/>
      <c r="AG36" s="654"/>
      <c r="AH36" s="654"/>
      <c r="AI36" s="654"/>
      <c r="AJ36" s="654"/>
      <c r="AK36" s="654"/>
      <c r="AL36" s="654"/>
      <c r="AM36" s="654"/>
      <c r="AN36" s="654"/>
      <c r="AO36" s="654"/>
      <c r="AP36" s="654"/>
      <c r="AQ36" s="654"/>
      <c r="AR36" s="654"/>
      <c r="AS36" s="654"/>
      <c r="AT36" s="654"/>
      <c r="AU36" s="654"/>
      <c r="AV36" s="654"/>
      <c r="AW36" s="655"/>
      <c r="AX36" s="626"/>
      <c r="AY36" s="602"/>
      <c r="AZ36" s="602"/>
      <c r="BA36" s="602"/>
      <c r="BB36" s="602"/>
      <c r="BC36" s="602"/>
      <c r="BD36" s="602"/>
      <c r="BE36" s="602"/>
      <c r="BF36" s="602"/>
      <c r="BG36" s="602"/>
      <c r="BH36" s="602"/>
      <c r="BI36" s="602"/>
      <c r="BJ36" s="602"/>
      <c r="BK36" s="602"/>
      <c r="BL36" s="602"/>
      <c r="BM36" s="602"/>
      <c r="BN36" s="602"/>
      <c r="BO36" s="602"/>
      <c r="BP36" s="602"/>
      <c r="BQ36" s="602"/>
    </row>
    <row r="37" spans="1:69" s="4" customFormat="1">
      <c r="A37" s="614"/>
      <c r="B37" s="615"/>
      <c r="C37" s="658"/>
      <c r="D37" s="661"/>
      <c r="E37" s="663"/>
      <c r="F37" s="658"/>
      <c r="G37" s="663"/>
      <c r="H37" s="658"/>
      <c r="I37" s="661"/>
      <c r="J37" s="661"/>
      <c r="K37" s="661"/>
      <c r="L37" s="661"/>
      <c r="M37" s="661"/>
      <c r="N37" s="661"/>
      <c r="O37" s="687" t="s">
        <v>380</v>
      </c>
      <c r="P37" s="658" t="s">
        <v>394</v>
      </c>
      <c r="Q37" s="661"/>
      <c r="R37" s="661"/>
      <c r="S37" s="661" t="s">
        <v>382</v>
      </c>
      <c r="T37" s="661"/>
      <c r="U37" s="661" t="s">
        <v>383</v>
      </c>
      <c r="V37" s="661"/>
      <c r="W37" s="661"/>
      <c r="X37" s="661" t="s">
        <v>386</v>
      </c>
      <c r="Y37" s="661"/>
      <c r="Z37" s="661"/>
      <c r="AA37" s="661" t="s">
        <v>337</v>
      </c>
      <c r="AB37" s="661"/>
      <c r="AC37" s="661"/>
      <c r="AD37" s="663"/>
      <c r="AE37" s="658" t="s">
        <v>338</v>
      </c>
      <c r="AF37" s="659"/>
      <c r="AG37" s="659"/>
      <c r="AH37" s="659" t="s">
        <v>393</v>
      </c>
      <c r="AI37" s="659"/>
      <c r="AJ37" s="659"/>
      <c r="AK37" s="659"/>
      <c r="AL37" s="659"/>
      <c r="AM37" s="659"/>
      <c r="AN37" s="659"/>
      <c r="AO37" s="659"/>
      <c r="AP37" s="659"/>
      <c r="AQ37" s="659"/>
      <c r="AR37" s="659"/>
      <c r="AS37" s="659"/>
      <c r="AT37" s="659"/>
      <c r="AU37" s="659"/>
      <c r="AV37" s="659"/>
      <c r="AW37" s="660"/>
      <c r="AX37" s="626"/>
      <c r="AY37" s="602"/>
      <c r="AZ37" s="602"/>
      <c r="BA37" s="602"/>
      <c r="BB37" s="602"/>
      <c r="BC37" s="602"/>
      <c r="BD37" s="602"/>
      <c r="BE37" s="602"/>
      <c r="BF37" s="602"/>
      <c r="BG37" s="602"/>
      <c r="BH37" s="602"/>
      <c r="BI37" s="602"/>
      <c r="BJ37" s="602"/>
      <c r="BK37" s="602"/>
      <c r="BL37" s="602"/>
      <c r="BM37" s="602"/>
      <c r="BN37" s="602"/>
      <c r="BO37" s="602"/>
      <c r="BP37" s="602"/>
      <c r="BQ37" s="602"/>
    </row>
    <row r="38" spans="1:69" s="4" customFormat="1">
      <c r="A38" s="614"/>
      <c r="B38" s="615"/>
      <c r="C38" s="656" t="s">
        <v>395</v>
      </c>
      <c r="D38" s="652"/>
      <c r="E38" s="657"/>
      <c r="F38" s="656" t="s">
        <v>383</v>
      </c>
      <c r="G38" s="657"/>
      <c r="H38" s="656" t="s">
        <v>396</v>
      </c>
      <c r="I38" s="652"/>
      <c r="J38" s="652"/>
      <c r="K38" s="652"/>
      <c r="L38" s="652"/>
      <c r="M38" s="652"/>
      <c r="N38" s="652"/>
      <c r="O38" s="657"/>
      <c r="P38" s="656"/>
      <c r="Q38" s="652"/>
      <c r="R38" s="652"/>
      <c r="S38" s="652"/>
      <c r="T38" s="652"/>
      <c r="U38" s="652"/>
      <c r="V38" s="652"/>
      <c r="W38" s="652"/>
      <c r="X38" s="652"/>
      <c r="Y38" s="652"/>
      <c r="Z38" s="652"/>
      <c r="AA38" s="664"/>
      <c r="AB38" s="652"/>
      <c r="AC38" s="652"/>
      <c r="AD38" s="657"/>
      <c r="AE38" s="656"/>
      <c r="AF38" s="654"/>
      <c r="AG38" s="654"/>
      <c r="AH38" s="654"/>
      <c r="AI38" s="654"/>
      <c r="AJ38" s="654"/>
      <c r="AK38" s="654"/>
      <c r="AL38" s="654"/>
      <c r="AM38" s="654"/>
      <c r="AN38" s="654"/>
      <c r="AO38" s="654"/>
      <c r="AP38" s="654"/>
      <c r="AQ38" s="654"/>
      <c r="AR38" s="654"/>
      <c r="AS38" s="654"/>
      <c r="AT38" s="654"/>
      <c r="AU38" s="654"/>
      <c r="AV38" s="654"/>
      <c r="AW38" s="655"/>
      <c r="AX38" s="626"/>
      <c r="AY38" s="602"/>
      <c r="AZ38" s="602"/>
      <c r="BA38" s="602"/>
      <c r="BB38" s="602"/>
      <c r="BC38" s="602"/>
      <c r="BD38" s="602"/>
      <c r="BE38" s="602"/>
      <c r="BF38" s="602"/>
      <c r="BG38" s="602"/>
      <c r="BH38" s="602"/>
      <c r="BI38" s="602"/>
      <c r="BJ38" s="602"/>
      <c r="BK38" s="602"/>
      <c r="BL38" s="602"/>
      <c r="BM38" s="602"/>
      <c r="BN38" s="602"/>
      <c r="BO38" s="602"/>
      <c r="BP38" s="602"/>
      <c r="BQ38" s="602"/>
    </row>
    <row r="39" spans="1:69" s="4" customFormat="1">
      <c r="A39" s="614"/>
      <c r="B39" s="615"/>
      <c r="C39" s="619"/>
      <c r="D39" s="618"/>
      <c r="E39" s="620"/>
      <c r="F39" s="619"/>
      <c r="G39" s="620"/>
      <c r="H39" s="619"/>
      <c r="I39" s="618"/>
      <c r="J39" s="618"/>
      <c r="K39" s="618"/>
      <c r="L39" s="618"/>
      <c r="M39" s="618"/>
      <c r="N39" s="618"/>
      <c r="O39" s="687" t="s">
        <v>380</v>
      </c>
      <c r="P39" s="619" t="s">
        <v>397</v>
      </c>
      <c r="Q39" s="618"/>
      <c r="R39" s="618"/>
      <c r="S39" s="618" t="s">
        <v>382</v>
      </c>
      <c r="T39" s="618"/>
      <c r="U39" s="618" t="s">
        <v>383</v>
      </c>
      <c r="V39" s="618"/>
      <c r="W39" s="618"/>
      <c r="X39" s="653" t="s">
        <v>398</v>
      </c>
      <c r="Y39" s="618"/>
      <c r="Z39" s="618"/>
      <c r="AA39" s="618" t="s">
        <v>337</v>
      </c>
      <c r="AB39" s="618"/>
      <c r="AC39" s="618"/>
      <c r="AD39" s="620"/>
      <c r="AE39" s="619" t="s">
        <v>338</v>
      </c>
      <c r="AF39" s="615"/>
      <c r="AG39" s="615"/>
      <c r="AH39" s="615" t="s">
        <v>399</v>
      </c>
      <c r="AI39" s="615"/>
      <c r="AJ39" s="615"/>
      <c r="AK39" s="615"/>
      <c r="AL39" s="615"/>
      <c r="AM39" s="615"/>
      <c r="AN39" s="615"/>
      <c r="AO39" s="615"/>
      <c r="AP39" s="615"/>
      <c r="AQ39" s="615"/>
      <c r="AR39" s="615"/>
      <c r="AS39" s="615"/>
      <c r="AT39" s="615"/>
      <c r="AU39" s="615"/>
      <c r="AV39" s="615"/>
      <c r="AW39" s="650"/>
      <c r="AX39" s="626"/>
      <c r="AY39" s="602"/>
      <c r="AZ39" s="602"/>
      <c r="BA39" s="602"/>
      <c r="BB39" s="602"/>
      <c r="BC39" s="602"/>
      <c r="BD39" s="602"/>
      <c r="BE39" s="602"/>
      <c r="BF39" s="602"/>
      <c r="BG39" s="602"/>
      <c r="BH39" s="602"/>
      <c r="BI39" s="602"/>
      <c r="BJ39" s="602"/>
      <c r="BK39" s="602"/>
      <c r="BL39" s="602"/>
      <c r="BM39" s="602"/>
      <c r="BN39" s="602"/>
      <c r="BO39" s="602"/>
      <c r="BP39" s="602"/>
      <c r="BQ39" s="602"/>
    </row>
    <row r="40" spans="1:69" s="4" customFormat="1">
      <c r="A40" s="614"/>
      <c r="B40" s="615"/>
      <c r="C40" s="619"/>
      <c r="D40" s="618"/>
      <c r="E40" s="620"/>
      <c r="F40" s="656" t="s">
        <v>385</v>
      </c>
      <c r="G40" s="657"/>
      <c r="H40" s="656"/>
      <c r="I40" s="652"/>
      <c r="J40" s="652"/>
      <c r="K40" s="652"/>
      <c r="L40" s="652"/>
      <c r="M40" s="652"/>
      <c r="N40" s="652"/>
      <c r="O40" s="657"/>
      <c r="P40" s="676"/>
      <c r="Q40" s="677"/>
      <c r="R40" s="677"/>
      <c r="S40" s="677"/>
      <c r="T40" s="677"/>
      <c r="U40" s="677"/>
      <c r="V40" s="677"/>
      <c r="W40" s="677"/>
      <c r="X40" s="677"/>
      <c r="Y40" s="677"/>
      <c r="Z40" s="677"/>
      <c r="AA40" s="678"/>
      <c r="AB40" s="677"/>
      <c r="AC40" s="677"/>
      <c r="AD40" s="679"/>
      <c r="AE40" s="676"/>
      <c r="AF40" s="680"/>
      <c r="AG40" s="680"/>
      <c r="AH40" s="680"/>
      <c r="AI40" s="680"/>
      <c r="AJ40" s="680"/>
      <c r="AK40" s="680"/>
      <c r="AL40" s="680"/>
      <c r="AM40" s="680"/>
      <c r="AN40" s="680"/>
      <c r="AO40" s="680"/>
      <c r="AP40" s="680"/>
      <c r="AQ40" s="680"/>
      <c r="AR40" s="680"/>
      <c r="AS40" s="680"/>
      <c r="AT40" s="680"/>
      <c r="AU40" s="680"/>
      <c r="AV40" s="680"/>
      <c r="AW40" s="681"/>
      <c r="AX40" s="626"/>
      <c r="AY40" s="602"/>
      <c r="AZ40" s="602"/>
      <c r="BA40" s="602"/>
      <c r="BB40" s="602"/>
      <c r="BC40" s="602"/>
      <c r="BD40" s="602"/>
      <c r="BE40" s="602"/>
      <c r="BF40" s="602"/>
      <c r="BG40" s="602"/>
      <c r="BH40" s="602"/>
      <c r="BI40" s="602"/>
      <c r="BJ40" s="602"/>
      <c r="BK40" s="602"/>
      <c r="BL40" s="602"/>
      <c r="BM40" s="602"/>
      <c r="BN40" s="602"/>
      <c r="BO40" s="602"/>
      <c r="BP40" s="602"/>
      <c r="BQ40" s="602"/>
    </row>
    <row r="41" spans="1:69" s="4" customFormat="1">
      <c r="A41" s="614"/>
      <c r="B41" s="615"/>
      <c r="C41" s="628"/>
      <c r="D41" s="629"/>
      <c r="E41" s="630"/>
      <c r="F41" s="628"/>
      <c r="G41" s="630"/>
      <c r="H41" s="628"/>
      <c r="I41" s="629"/>
      <c r="J41" s="629"/>
      <c r="K41" s="629"/>
      <c r="L41" s="629"/>
      <c r="M41" s="629"/>
      <c r="N41" s="629"/>
      <c r="O41" s="688" t="s">
        <v>380</v>
      </c>
      <c r="P41" s="682" t="s">
        <v>397</v>
      </c>
      <c r="Q41" s="683"/>
      <c r="R41" s="683"/>
      <c r="S41" s="683" t="s">
        <v>382</v>
      </c>
      <c r="T41" s="683"/>
      <c r="U41" s="683" t="s">
        <v>383</v>
      </c>
      <c r="V41" s="683"/>
      <c r="W41" s="683"/>
      <c r="X41" s="683" t="s">
        <v>354</v>
      </c>
      <c r="Y41" s="683"/>
      <c r="Z41" s="683"/>
      <c r="AA41" s="683" t="s">
        <v>337</v>
      </c>
      <c r="AB41" s="683"/>
      <c r="AC41" s="683"/>
      <c r="AD41" s="684"/>
      <c r="AE41" s="682" t="s">
        <v>356</v>
      </c>
      <c r="AF41" s="685"/>
      <c r="AG41" s="685"/>
      <c r="AH41" s="685" t="s">
        <v>400</v>
      </c>
      <c r="AI41" s="685"/>
      <c r="AJ41" s="685"/>
      <c r="AK41" s="685"/>
      <c r="AL41" s="685"/>
      <c r="AM41" s="685"/>
      <c r="AN41" s="685"/>
      <c r="AO41" s="685"/>
      <c r="AP41" s="685"/>
      <c r="AQ41" s="685"/>
      <c r="AR41" s="685"/>
      <c r="AS41" s="685"/>
      <c r="AT41" s="685"/>
      <c r="AU41" s="685"/>
      <c r="AV41" s="685"/>
      <c r="AW41" s="686"/>
      <c r="AX41" s="626"/>
      <c r="AY41" s="602"/>
      <c r="AZ41" s="602"/>
      <c r="BA41" s="602"/>
      <c r="BB41" s="602"/>
      <c r="BC41" s="602"/>
      <c r="BD41" s="602"/>
      <c r="BE41" s="602"/>
      <c r="BF41" s="602"/>
      <c r="BG41" s="602"/>
      <c r="BH41" s="602"/>
      <c r="BI41" s="602"/>
      <c r="BJ41" s="602"/>
      <c r="BK41" s="602"/>
      <c r="BL41" s="602"/>
      <c r="BM41" s="602"/>
      <c r="BN41" s="602"/>
      <c r="BO41" s="602"/>
      <c r="BP41" s="602"/>
      <c r="BQ41" s="602"/>
    </row>
    <row r="42" spans="1:69" s="4" customFormat="1" ht="12.75" thickBot="1">
      <c r="A42" s="616"/>
      <c r="B42" s="617"/>
      <c r="C42" s="621"/>
      <c r="D42" s="621"/>
      <c r="E42" s="621"/>
      <c r="F42" s="621"/>
      <c r="G42" s="621"/>
      <c r="H42" s="621"/>
      <c r="I42" s="621"/>
      <c r="J42" s="621"/>
      <c r="K42" s="621"/>
      <c r="L42" s="621"/>
      <c r="M42" s="621"/>
      <c r="N42" s="621"/>
      <c r="O42" s="794"/>
      <c r="P42" s="621"/>
      <c r="Q42" s="621"/>
      <c r="R42" s="621"/>
      <c r="S42" s="621"/>
      <c r="T42" s="621"/>
      <c r="U42" s="621"/>
      <c r="V42" s="621"/>
      <c r="W42" s="621"/>
      <c r="X42" s="621"/>
      <c r="Y42" s="621"/>
      <c r="Z42" s="621"/>
      <c r="AA42" s="621"/>
      <c r="AB42" s="621"/>
      <c r="AC42" s="621"/>
      <c r="AD42" s="621"/>
      <c r="AE42" s="621"/>
      <c r="AF42" s="617"/>
      <c r="AG42" s="617"/>
      <c r="AH42" s="617"/>
      <c r="AI42" s="617"/>
      <c r="AJ42" s="617"/>
      <c r="AK42" s="617"/>
      <c r="AL42" s="617"/>
      <c r="AM42" s="617"/>
      <c r="AN42" s="617"/>
      <c r="AO42" s="617"/>
      <c r="AP42" s="617"/>
      <c r="AQ42" s="617"/>
      <c r="AR42" s="617"/>
      <c r="AS42" s="617"/>
      <c r="AT42" s="617"/>
      <c r="AU42" s="617"/>
      <c r="AV42" s="617"/>
      <c r="AW42" s="617"/>
      <c r="AX42" s="647"/>
      <c r="AY42" s="602"/>
      <c r="AZ42" s="602"/>
      <c r="BA42" s="602"/>
      <c r="BB42" s="602"/>
      <c r="BC42" s="602"/>
      <c r="BD42" s="602"/>
      <c r="BE42" s="602"/>
      <c r="BF42" s="602"/>
      <c r="BG42" s="602"/>
      <c r="BH42" s="602"/>
      <c r="BI42" s="602"/>
      <c r="BJ42" s="602"/>
      <c r="BK42" s="602"/>
      <c r="BL42" s="602"/>
      <c r="BM42" s="602"/>
      <c r="BN42" s="602"/>
      <c r="BO42" s="602"/>
      <c r="BP42" s="602"/>
      <c r="BQ42" s="602"/>
    </row>
    <row r="43" spans="1:69" s="4" customFormat="1">
      <c r="A43" s="648"/>
      <c r="B43" s="642"/>
      <c r="C43" s="793"/>
      <c r="D43" s="793"/>
      <c r="E43" s="793"/>
      <c r="F43" s="793"/>
      <c r="G43" s="793"/>
      <c r="H43" s="793"/>
      <c r="I43" s="793"/>
      <c r="J43" s="793"/>
      <c r="K43" s="793"/>
      <c r="L43" s="793"/>
      <c r="M43" s="793"/>
      <c r="N43" s="793"/>
      <c r="O43" s="793"/>
      <c r="P43" s="793"/>
      <c r="Q43" s="793"/>
      <c r="R43" s="793"/>
      <c r="S43" s="793"/>
      <c r="T43" s="793"/>
      <c r="U43" s="793"/>
      <c r="V43" s="793"/>
      <c r="W43" s="793"/>
      <c r="X43" s="793"/>
      <c r="Y43" s="793"/>
      <c r="Z43" s="793"/>
      <c r="AA43" s="793"/>
      <c r="AB43" s="793"/>
      <c r="AC43" s="793"/>
      <c r="AD43" s="793"/>
      <c r="AE43" s="793"/>
      <c r="AF43" s="642"/>
      <c r="AG43" s="642"/>
      <c r="AH43" s="642"/>
      <c r="AI43" s="642"/>
      <c r="AJ43" s="642"/>
      <c r="AK43" s="642"/>
      <c r="AL43" s="642"/>
      <c r="AM43" s="642"/>
      <c r="AN43" s="642"/>
      <c r="AO43" s="642"/>
      <c r="AP43" s="642"/>
      <c r="AQ43" s="642"/>
      <c r="AR43" s="642"/>
      <c r="AS43" s="642"/>
      <c r="AT43" s="642"/>
      <c r="AU43" s="642"/>
      <c r="AV43" s="642"/>
      <c r="AW43" s="642"/>
      <c r="AX43" s="643"/>
      <c r="AY43" s="602"/>
      <c r="AZ43" s="602"/>
      <c r="BA43" s="602"/>
      <c r="BB43" s="602"/>
      <c r="BC43" s="602"/>
      <c r="BD43" s="602"/>
      <c r="BE43" s="602"/>
      <c r="BF43" s="602"/>
      <c r="BG43" s="602"/>
      <c r="BH43" s="602"/>
      <c r="BI43" s="602"/>
      <c r="BJ43" s="602"/>
      <c r="BK43" s="602"/>
      <c r="BL43" s="602"/>
      <c r="BM43" s="602"/>
      <c r="BN43" s="602"/>
      <c r="BO43" s="602"/>
      <c r="BP43" s="602"/>
      <c r="BQ43" s="602"/>
    </row>
    <row r="44" spans="1:69">
      <c r="A44" s="614"/>
      <c r="B44" s="615"/>
      <c r="C44" s="615" t="s">
        <v>401</v>
      </c>
      <c r="D44" s="615"/>
      <c r="E44" s="615"/>
      <c r="F44" s="615"/>
      <c r="G44" s="615"/>
      <c r="H44" s="615"/>
      <c r="I44" s="615"/>
      <c r="J44" s="615"/>
      <c r="K44" s="615"/>
      <c r="L44" s="615"/>
      <c r="M44" s="615"/>
      <c r="N44" s="615"/>
      <c r="O44" s="615"/>
      <c r="P44" s="615"/>
      <c r="Q44" s="615"/>
      <c r="R44" s="615"/>
      <c r="S44" s="615"/>
      <c r="T44" s="615"/>
      <c r="U44" s="615"/>
      <c r="V44" s="615"/>
      <c r="W44" s="615"/>
      <c r="X44" s="615"/>
      <c r="Y44" s="615"/>
      <c r="Z44" s="615"/>
      <c r="AA44" s="615"/>
      <c r="AB44" s="615"/>
      <c r="AC44" s="615"/>
      <c r="AD44" s="615"/>
      <c r="AE44" s="615"/>
      <c r="AF44" s="615"/>
      <c r="AG44" s="615"/>
      <c r="AH44" s="615"/>
      <c r="AI44" s="615"/>
      <c r="AJ44" s="615"/>
      <c r="AK44" s="615"/>
      <c r="AL44" s="615"/>
      <c r="AM44" s="615"/>
      <c r="AN44" s="615"/>
      <c r="AO44" s="615"/>
      <c r="AP44" s="615"/>
      <c r="AQ44" s="615"/>
      <c r="AR44" s="615"/>
      <c r="AS44" s="615"/>
      <c r="AT44" s="615"/>
      <c r="AU44" s="615"/>
      <c r="AV44" s="615"/>
      <c r="AW44" s="615"/>
      <c r="AX44" s="626"/>
      <c r="AY44" s="602"/>
      <c r="AZ44" s="602"/>
      <c r="BA44" s="602"/>
      <c r="BB44" s="602"/>
      <c r="BC44" s="602"/>
      <c r="BD44" s="602"/>
      <c r="BE44" s="602"/>
      <c r="BF44" s="602"/>
      <c r="BG44" s="602"/>
      <c r="BH44" s="602"/>
      <c r="BI44" s="602"/>
      <c r="BJ44" s="602"/>
      <c r="BK44" s="602"/>
      <c r="BL44" s="602"/>
      <c r="BM44" s="602"/>
      <c r="BN44" s="602"/>
      <c r="BO44" s="602"/>
      <c r="BP44" s="602"/>
      <c r="BQ44" s="602"/>
    </row>
    <row r="45" spans="1:69">
      <c r="A45" s="614"/>
      <c r="B45" s="615"/>
      <c r="C45" s="631" t="s">
        <v>367</v>
      </c>
      <c r="D45" s="623"/>
      <c r="E45" s="623"/>
      <c r="F45" s="623"/>
      <c r="G45" s="627"/>
      <c r="H45" s="631" t="s">
        <v>368</v>
      </c>
      <c r="I45" s="623"/>
      <c r="J45" s="623"/>
      <c r="K45" s="623"/>
      <c r="L45" s="623"/>
      <c r="M45" s="623"/>
      <c r="N45" s="623"/>
      <c r="O45" s="627"/>
      <c r="P45" s="634" t="s">
        <v>369</v>
      </c>
      <c r="Q45" s="632"/>
      <c r="R45" s="632"/>
      <c r="S45" s="632"/>
      <c r="T45" s="632"/>
      <c r="U45" s="632"/>
      <c r="V45" s="632"/>
      <c r="W45" s="632"/>
      <c r="X45" s="632"/>
      <c r="Y45" s="632"/>
      <c r="Z45" s="632"/>
      <c r="AA45" s="632"/>
      <c r="AB45" s="632"/>
      <c r="AC45" s="632"/>
      <c r="AD45" s="633"/>
      <c r="AE45" s="631" t="s">
        <v>370</v>
      </c>
      <c r="AF45" s="624"/>
      <c r="AG45" s="624"/>
      <c r="AH45" s="624"/>
      <c r="AI45" s="624"/>
      <c r="AJ45" s="624"/>
      <c r="AK45" s="624"/>
      <c r="AL45" s="624"/>
      <c r="AM45" s="624"/>
      <c r="AN45" s="624"/>
      <c r="AO45" s="624"/>
      <c r="AP45" s="624"/>
      <c r="AQ45" s="624"/>
      <c r="AR45" s="624"/>
      <c r="AS45" s="624"/>
      <c r="AT45" s="624"/>
      <c r="AU45" s="624"/>
      <c r="AV45" s="624"/>
      <c r="AW45" s="649"/>
      <c r="AX45" s="626"/>
      <c r="AY45" s="602"/>
      <c r="AZ45" s="602"/>
      <c r="BA45" s="602"/>
      <c r="BB45" s="602"/>
      <c r="BC45" s="602"/>
      <c r="BD45" s="602"/>
      <c r="BE45" s="602"/>
      <c r="BF45" s="602"/>
      <c r="BG45" s="602"/>
      <c r="BH45" s="602"/>
      <c r="BI45" s="602"/>
      <c r="BJ45" s="602"/>
      <c r="BK45" s="602"/>
      <c r="BL45" s="602"/>
      <c r="BM45" s="602"/>
      <c r="BN45" s="602"/>
      <c r="BO45" s="602"/>
      <c r="BP45" s="602"/>
      <c r="BQ45" s="602"/>
    </row>
    <row r="46" spans="1:69">
      <c r="A46" s="614"/>
      <c r="B46" s="615"/>
      <c r="C46" s="628"/>
      <c r="D46" s="629"/>
      <c r="E46" s="629"/>
      <c r="F46" s="629"/>
      <c r="G46" s="630"/>
      <c r="H46" s="628" t="s">
        <v>371</v>
      </c>
      <c r="I46" s="629"/>
      <c r="J46" s="629"/>
      <c r="K46" s="629"/>
      <c r="L46" s="629" t="s">
        <v>372</v>
      </c>
      <c r="M46" s="629"/>
      <c r="N46" s="629"/>
      <c r="O46" s="630"/>
      <c r="P46" s="631" t="s">
        <v>373</v>
      </c>
      <c r="Q46" s="623"/>
      <c r="R46" s="623"/>
      <c r="S46" s="623" t="s">
        <v>374</v>
      </c>
      <c r="T46" s="623"/>
      <c r="U46" s="623" t="s">
        <v>326</v>
      </c>
      <c r="V46" s="623"/>
      <c r="W46" s="623"/>
      <c r="X46" s="623" t="s">
        <v>375</v>
      </c>
      <c r="Y46" s="623"/>
      <c r="Z46" s="623"/>
      <c r="AA46" s="623" t="s">
        <v>376</v>
      </c>
      <c r="AB46" s="623"/>
      <c r="AC46" s="623"/>
      <c r="AD46" s="627"/>
      <c r="AE46" s="628"/>
      <c r="AF46" s="645"/>
      <c r="AG46" s="645"/>
      <c r="AH46" s="645"/>
      <c r="AI46" s="645"/>
      <c r="AJ46" s="645"/>
      <c r="AK46" s="645"/>
      <c r="AL46" s="645"/>
      <c r="AM46" s="645"/>
      <c r="AN46" s="645"/>
      <c r="AO46" s="645"/>
      <c r="AP46" s="645"/>
      <c r="AQ46" s="645"/>
      <c r="AR46" s="645"/>
      <c r="AS46" s="645"/>
      <c r="AT46" s="645"/>
      <c r="AU46" s="645"/>
      <c r="AV46" s="645"/>
      <c r="AW46" s="651"/>
      <c r="AX46" s="626"/>
      <c r="AY46" s="602"/>
      <c r="AZ46" s="602"/>
      <c r="BA46" s="602"/>
      <c r="BB46" s="602"/>
      <c r="BC46" s="602"/>
      <c r="BD46" s="602"/>
      <c r="BE46" s="602"/>
      <c r="BF46" s="602"/>
      <c r="BG46" s="602"/>
      <c r="BH46" s="602"/>
      <c r="BI46" s="602"/>
      <c r="BJ46" s="602"/>
      <c r="BK46" s="602"/>
      <c r="BL46" s="602"/>
      <c r="BM46" s="602"/>
      <c r="BN46" s="602"/>
      <c r="BO46" s="602"/>
      <c r="BP46" s="602"/>
      <c r="BQ46" s="602"/>
    </row>
    <row r="47" spans="1:69">
      <c r="A47" s="614"/>
      <c r="B47" s="615"/>
      <c r="C47" s="631" t="s">
        <v>377</v>
      </c>
      <c r="D47" s="623"/>
      <c r="E47" s="627"/>
      <c r="F47" s="631" t="s">
        <v>378</v>
      </c>
      <c r="G47" s="627"/>
      <c r="H47" s="631" t="s">
        <v>379</v>
      </c>
      <c r="I47" s="623"/>
      <c r="J47" s="623"/>
      <c r="K47" s="623"/>
      <c r="L47" s="623"/>
      <c r="M47" s="623"/>
      <c r="N47" s="623"/>
      <c r="O47" s="627"/>
      <c r="P47" s="666"/>
      <c r="Q47" s="667"/>
      <c r="R47" s="667"/>
      <c r="S47" s="667"/>
      <c r="T47" s="667"/>
      <c r="U47" s="667"/>
      <c r="V47" s="667"/>
      <c r="W47" s="667"/>
      <c r="X47" s="667"/>
      <c r="Y47" s="667"/>
      <c r="Z47" s="667"/>
      <c r="AA47" s="667"/>
      <c r="AB47" s="667"/>
      <c r="AC47" s="667"/>
      <c r="AD47" s="668"/>
      <c r="AE47" s="666"/>
      <c r="AF47" s="669"/>
      <c r="AG47" s="669"/>
      <c r="AH47" s="669"/>
      <c r="AI47" s="669"/>
      <c r="AJ47" s="669"/>
      <c r="AK47" s="669"/>
      <c r="AL47" s="669"/>
      <c r="AM47" s="669"/>
      <c r="AN47" s="669"/>
      <c r="AO47" s="669"/>
      <c r="AP47" s="669"/>
      <c r="AQ47" s="669"/>
      <c r="AR47" s="669"/>
      <c r="AS47" s="669"/>
      <c r="AT47" s="669"/>
      <c r="AU47" s="669"/>
      <c r="AV47" s="669"/>
      <c r="AW47" s="670"/>
      <c r="AX47" s="626"/>
      <c r="AY47" s="602"/>
      <c r="AZ47" s="602"/>
      <c r="BA47" s="602"/>
      <c r="BB47" s="602"/>
      <c r="BC47" s="602"/>
      <c r="BD47" s="602"/>
      <c r="BE47" s="602"/>
      <c r="BF47" s="602"/>
      <c r="BG47" s="602"/>
      <c r="BH47" s="602"/>
      <c r="BI47" s="602"/>
      <c r="BJ47" s="602"/>
      <c r="BK47" s="602"/>
      <c r="BL47" s="602"/>
      <c r="BM47" s="602"/>
      <c r="BN47" s="602"/>
      <c r="BO47" s="602"/>
      <c r="BP47" s="602"/>
      <c r="BQ47" s="602"/>
    </row>
    <row r="48" spans="1:69">
      <c r="A48" s="614"/>
      <c r="B48" s="615"/>
      <c r="C48" s="619"/>
      <c r="D48" s="618"/>
      <c r="E48" s="620"/>
      <c r="F48" s="658"/>
      <c r="G48" s="663"/>
      <c r="H48" s="658"/>
      <c r="I48" s="661"/>
      <c r="J48" s="661"/>
      <c r="K48" s="661"/>
      <c r="L48" s="661"/>
      <c r="M48" s="661"/>
      <c r="N48" s="661"/>
      <c r="O48" s="687" t="s">
        <v>380</v>
      </c>
      <c r="P48" s="671" t="s">
        <v>381</v>
      </c>
      <c r="Q48" s="672"/>
      <c r="R48" s="672"/>
      <c r="S48" s="672" t="s">
        <v>382</v>
      </c>
      <c r="T48" s="672"/>
      <c r="U48" s="672" t="s">
        <v>383</v>
      </c>
      <c r="V48" s="672"/>
      <c r="W48" s="672"/>
      <c r="X48" s="672" t="s">
        <v>330</v>
      </c>
      <c r="Y48" s="672"/>
      <c r="Z48" s="672"/>
      <c r="AA48" s="672" t="s">
        <v>355</v>
      </c>
      <c r="AB48" s="672"/>
      <c r="AC48" s="672"/>
      <c r="AD48" s="673"/>
      <c r="AE48" s="671" t="s">
        <v>356</v>
      </c>
      <c r="AF48" s="674"/>
      <c r="AG48" s="674"/>
      <c r="AH48" s="674" t="s">
        <v>384</v>
      </c>
      <c r="AI48" s="674"/>
      <c r="AJ48" s="674"/>
      <c r="AK48" s="674"/>
      <c r="AL48" s="674"/>
      <c r="AM48" s="674"/>
      <c r="AN48" s="674"/>
      <c r="AO48" s="674"/>
      <c r="AP48" s="674"/>
      <c r="AQ48" s="674"/>
      <c r="AR48" s="674"/>
      <c r="AS48" s="674"/>
      <c r="AT48" s="674"/>
      <c r="AU48" s="674"/>
      <c r="AV48" s="674"/>
      <c r="AW48" s="675"/>
      <c r="AX48" s="626"/>
      <c r="AY48" s="602"/>
      <c r="AZ48" s="602"/>
      <c r="BA48" s="602"/>
      <c r="BB48" s="602"/>
      <c r="BC48" s="602"/>
      <c r="BD48" s="602"/>
      <c r="BE48" s="602"/>
      <c r="BF48" s="602"/>
      <c r="BG48" s="602"/>
      <c r="BH48" s="602"/>
      <c r="BI48" s="602"/>
      <c r="BJ48" s="602"/>
      <c r="BK48" s="602"/>
      <c r="BL48" s="602"/>
      <c r="BM48" s="602"/>
      <c r="BN48" s="602"/>
      <c r="BO48" s="602"/>
      <c r="BP48" s="602"/>
      <c r="BQ48" s="602"/>
    </row>
    <row r="49" spans="1:69">
      <c r="A49" s="614"/>
      <c r="B49" s="615"/>
      <c r="C49" s="619"/>
      <c r="D49" s="618"/>
      <c r="E49" s="620"/>
      <c r="F49" s="656" t="s">
        <v>385</v>
      </c>
      <c r="G49" s="657"/>
      <c r="H49" s="656"/>
      <c r="I49" s="652"/>
      <c r="J49" s="652"/>
      <c r="K49" s="652"/>
      <c r="L49" s="652"/>
      <c r="M49" s="652"/>
      <c r="N49" s="652"/>
      <c r="O49" s="657"/>
      <c r="P49" s="676"/>
      <c r="Q49" s="677"/>
      <c r="R49" s="677"/>
      <c r="S49" s="677"/>
      <c r="T49" s="677"/>
      <c r="U49" s="677"/>
      <c r="V49" s="677"/>
      <c r="W49" s="677"/>
      <c r="X49" s="677"/>
      <c r="Y49" s="677"/>
      <c r="Z49" s="677"/>
      <c r="AA49" s="678"/>
      <c r="AB49" s="677"/>
      <c r="AC49" s="677"/>
      <c r="AD49" s="679"/>
      <c r="AE49" s="676"/>
      <c r="AF49" s="680"/>
      <c r="AG49" s="680"/>
      <c r="AH49" s="680"/>
      <c r="AI49" s="680"/>
      <c r="AJ49" s="680"/>
      <c r="AK49" s="680"/>
      <c r="AL49" s="680"/>
      <c r="AM49" s="680"/>
      <c r="AN49" s="680"/>
      <c r="AO49" s="680"/>
      <c r="AP49" s="680"/>
      <c r="AQ49" s="680"/>
      <c r="AR49" s="680"/>
      <c r="AS49" s="680"/>
      <c r="AT49" s="680"/>
      <c r="AU49" s="680"/>
      <c r="AV49" s="680"/>
      <c r="AW49" s="681"/>
      <c r="AX49" s="626"/>
      <c r="AY49" s="602"/>
      <c r="AZ49" s="602"/>
      <c r="BA49" s="602"/>
      <c r="BB49" s="602"/>
      <c r="BC49" s="602"/>
      <c r="BD49" s="602"/>
      <c r="BE49" s="602"/>
      <c r="BF49" s="602"/>
      <c r="BG49" s="602"/>
      <c r="BH49" s="602"/>
      <c r="BI49" s="602"/>
      <c r="BJ49" s="602"/>
      <c r="BK49" s="602"/>
      <c r="BL49" s="602"/>
      <c r="BM49" s="602"/>
      <c r="BN49" s="602"/>
      <c r="BO49" s="602"/>
      <c r="BP49" s="602"/>
      <c r="BQ49" s="602"/>
    </row>
    <row r="50" spans="1:69">
      <c r="A50" s="614"/>
      <c r="B50" s="615"/>
      <c r="C50" s="619"/>
      <c r="D50" s="618"/>
      <c r="E50" s="620"/>
      <c r="F50" s="619"/>
      <c r="G50" s="620"/>
      <c r="H50" s="619"/>
      <c r="I50" s="618"/>
      <c r="J50" s="618"/>
      <c r="K50" s="618"/>
      <c r="L50" s="618"/>
      <c r="M50" s="618"/>
      <c r="N50" s="618"/>
      <c r="O50" s="688" t="s">
        <v>380</v>
      </c>
      <c r="P50" s="707" t="s">
        <v>381</v>
      </c>
      <c r="Q50" s="708"/>
      <c r="R50" s="708"/>
      <c r="S50" s="708" t="s">
        <v>382</v>
      </c>
      <c r="T50" s="708"/>
      <c r="U50" s="708" t="s">
        <v>383</v>
      </c>
      <c r="V50" s="708"/>
      <c r="W50" s="708"/>
      <c r="X50" s="708" t="s">
        <v>386</v>
      </c>
      <c r="Y50" s="708"/>
      <c r="Z50" s="708"/>
      <c r="AA50" s="708" t="s">
        <v>355</v>
      </c>
      <c r="AB50" s="708"/>
      <c r="AC50" s="708"/>
      <c r="AD50" s="709"/>
      <c r="AE50" s="707" t="s">
        <v>356</v>
      </c>
      <c r="AF50" s="710"/>
      <c r="AG50" s="710"/>
      <c r="AH50" s="710" t="s">
        <v>384</v>
      </c>
      <c r="AI50" s="710"/>
      <c r="AJ50" s="710"/>
      <c r="AK50" s="710"/>
      <c r="AL50" s="710"/>
      <c r="AM50" s="710"/>
      <c r="AN50" s="710"/>
      <c r="AO50" s="710"/>
      <c r="AP50" s="710"/>
      <c r="AQ50" s="710"/>
      <c r="AR50" s="710"/>
      <c r="AS50" s="710"/>
      <c r="AT50" s="710"/>
      <c r="AU50" s="710"/>
      <c r="AV50" s="710"/>
      <c r="AW50" s="711"/>
      <c r="AX50" s="626"/>
      <c r="AY50" s="602"/>
      <c r="AZ50" s="602"/>
      <c r="BA50" s="602"/>
      <c r="BB50" s="602"/>
      <c r="BC50" s="602"/>
      <c r="BD50" s="602"/>
      <c r="BE50" s="602"/>
      <c r="BF50" s="602"/>
      <c r="BG50" s="602"/>
      <c r="BH50" s="602"/>
      <c r="BI50" s="602"/>
      <c r="BJ50" s="602"/>
      <c r="BK50" s="602"/>
      <c r="BL50" s="602"/>
      <c r="BM50" s="602"/>
      <c r="BN50" s="602"/>
      <c r="BO50" s="602"/>
      <c r="BP50" s="602"/>
      <c r="BQ50" s="602"/>
    </row>
    <row r="51" spans="1:69">
      <c r="A51" s="614"/>
      <c r="B51" s="615"/>
      <c r="C51" s="631" t="s">
        <v>387</v>
      </c>
      <c r="D51" s="623"/>
      <c r="E51" s="627"/>
      <c r="F51" s="631" t="s">
        <v>388</v>
      </c>
      <c r="G51" s="627"/>
      <c r="H51" s="631"/>
      <c r="I51" s="623"/>
      <c r="J51" s="623"/>
      <c r="K51" s="623"/>
      <c r="L51" s="623"/>
      <c r="M51" s="623"/>
      <c r="N51" s="623"/>
      <c r="O51" s="627"/>
      <c r="P51" s="631"/>
      <c r="Q51" s="623"/>
      <c r="R51" s="623"/>
      <c r="S51" s="623"/>
      <c r="T51" s="623"/>
      <c r="U51" s="623"/>
      <c r="V51" s="623"/>
      <c r="W51" s="623"/>
      <c r="X51" s="623"/>
      <c r="Y51" s="623"/>
      <c r="Z51" s="623"/>
      <c r="AA51" s="665"/>
      <c r="AB51" s="623"/>
      <c r="AC51" s="623"/>
      <c r="AD51" s="627"/>
      <c r="AE51" s="631"/>
      <c r="AF51" s="624"/>
      <c r="AG51" s="624"/>
      <c r="AH51" s="624"/>
      <c r="AI51" s="624"/>
      <c r="AJ51" s="624"/>
      <c r="AK51" s="624"/>
      <c r="AL51" s="624"/>
      <c r="AM51" s="624"/>
      <c r="AN51" s="624"/>
      <c r="AO51" s="624"/>
      <c r="AP51" s="624"/>
      <c r="AQ51" s="624"/>
      <c r="AR51" s="624"/>
      <c r="AS51" s="624"/>
      <c r="AT51" s="624"/>
      <c r="AU51" s="624"/>
      <c r="AV51" s="624"/>
      <c r="AW51" s="649"/>
      <c r="AX51" s="626"/>
      <c r="AY51" s="602"/>
      <c r="AZ51" s="602"/>
      <c r="BA51" s="602"/>
      <c r="BB51" s="602"/>
      <c r="BC51" s="602"/>
      <c r="BD51" s="602"/>
      <c r="BE51" s="602"/>
      <c r="BF51" s="602"/>
      <c r="BG51" s="602"/>
      <c r="BH51" s="602"/>
      <c r="BI51" s="602"/>
      <c r="BJ51" s="602"/>
      <c r="BK51" s="602"/>
      <c r="BL51" s="602"/>
      <c r="BM51" s="602"/>
      <c r="BN51" s="602"/>
      <c r="BO51" s="602"/>
      <c r="BP51" s="602"/>
      <c r="BQ51" s="602"/>
    </row>
    <row r="52" spans="1:69">
      <c r="A52" s="614"/>
      <c r="B52" s="615"/>
      <c r="C52" s="619"/>
      <c r="D52" s="618"/>
      <c r="E52" s="620"/>
      <c r="F52" s="658"/>
      <c r="G52" s="663"/>
      <c r="H52" s="658"/>
      <c r="I52" s="661"/>
      <c r="J52" s="661"/>
      <c r="K52" s="661"/>
      <c r="L52" s="661"/>
      <c r="M52" s="661"/>
      <c r="N52" s="661"/>
      <c r="O52" s="687" t="s">
        <v>380</v>
      </c>
      <c r="P52" s="658" t="s">
        <v>381</v>
      </c>
      <c r="Q52" s="661"/>
      <c r="R52" s="661"/>
      <c r="S52" s="661" t="s">
        <v>382</v>
      </c>
      <c r="T52" s="661"/>
      <c r="U52" s="661" t="s">
        <v>383</v>
      </c>
      <c r="V52" s="661"/>
      <c r="W52" s="661"/>
      <c r="X52" s="661" t="s">
        <v>386</v>
      </c>
      <c r="Y52" s="661"/>
      <c r="Z52" s="661"/>
      <c r="AA52" s="662" t="s">
        <v>337</v>
      </c>
      <c r="AB52" s="661"/>
      <c r="AC52" s="661"/>
      <c r="AD52" s="663"/>
      <c r="AE52" s="658" t="s">
        <v>338</v>
      </c>
      <c r="AF52" s="659"/>
      <c r="AG52" s="659"/>
      <c r="AH52" s="659" t="s">
        <v>389</v>
      </c>
      <c r="AI52" s="659"/>
      <c r="AJ52" s="659"/>
      <c r="AK52" s="659"/>
      <c r="AL52" s="659"/>
      <c r="AM52" s="659"/>
      <c r="AN52" s="659"/>
      <c r="AO52" s="659"/>
      <c r="AP52" s="659"/>
      <c r="AQ52" s="659"/>
      <c r="AR52" s="659"/>
      <c r="AS52" s="659"/>
      <c r="AT52" s="659"/>
      <c r="AU52" s="659"/>
      <c r="AV52" s="659"/>
      <c r="AW52" s="660"/>
      <c r="AX52" s="626"/>
      <c r="AY52" s="602"/>
      <c r="AZ52" s="602"/>
      <c r="BA52" s="602"/>
      <c r="BB52" s="602"/>
      <c r="BC52" s="602"/>
      <c r="BD52" s="602"/>
      <c r="BE52" s="602"/>
      <c r="BF52" s="602"/>
      <c r="BG52" s="602"/>
      <c r="BH52" s="602"/>
      <c r="BI52" s="602"/>
      <c r="BJ52" s="602"/>
      <c r="BK52" s="602"/>
      <c r="BL52" s="602"/>
      <c r="BM52" s="602"/>
      <c r="BN52" s="602"/>
      <c r="BO52" s="602"/>
      <c r="BP52" s="602"/>
      <c r="BQ52" s="602"/>
    </row>
    <row r="53" spans="1:69">
      <c r="A53" s="614"/>
      <c r="B53" s="615"/>
      <c r="C53" s="619"/>
      <c r="D53" s="618"/>
      <c r="E53" s="620"/>
      <c r="F53" s="619" t="s">
        <v>390</v>
      </c>
      <c r="G53" s="620"/>
      <c r="H53" s="656" t="s">
        <v>402</v>
      </c>
      <c r="I53" s="652"/>
      <c r="J53" s="652"/>
      <c r="K53" s="652"/>
      <c r="L53" s="652"/>
      <c r="M53" s="652"/>
      <c r="N53" s="652"/>
      <c r="O53" s="657"/>
      <c r="P53" s="656"/>
      <c r="Q53" s="652"/>
      <c r="R53" s="652"/>
      <c r="S53" s="652"/>
      <c r="T53" s="652"/>
      <c r="U53" s="652"/>
      <c r="V53" s="652"/>
      <c r="W53" s="652"/>
      <c r="X53" s="652"/>
      <c r="Y53" s="652"/>
      <c r="Z53" s="652"/>
      <c r="AA53" s="664"/>
      <c r="AB53" s="652"/>
      <c r="AC53" s="652"/>
      <c r="AD53" s="657"/>
      <c r="AE53" s="656"/>
      <c r="AF53" s="654"/>
      <c r="AG53" s="654"/>
      <c r="AH53" s="654"/>
      <c r="AI53" s="654"/>
      <c r="AJ53" s="654"/>
      <c r="AK53" s="654"/>
      <c r="AL53" s="654"/>
      <c r="AM53" s="654"/>
      <c r="AN53" s="654"/>
      <c r="AO53" s="654"/>
      <c r="AP53" s="654"/>
      <c r="AQ53" s="654"/>
      <c r="AR53" s="654"/>
      <c r="AS53" s="654"/>
      <c r="AT53" s="654"/>
      <c r="AU53" s="654"/>
      <c r="AV53" s="654"/>
      <c r="AW53" s="655"/>
      <c r="AX53" s="626"/>
      <c r="AY53" s="602"/>
      <c r="AZ53" s="602"/>
      <c r="BA53" s="602"/>
      <c r="BB53" s="602"/>
      <c r="BC53" s="602"/>
      <c r="BD53" s="602"/>
      <c r="BE53" s="602"/>
      <c r="BF53" s="602"/>
      <c r="BG53" s="602"/>
      <c r="BH53" s="602"/>
      <c r="BI53" s="602"/>
      <c r="BJ53" s="602"/>
      <c r="BK53" s="602"/>
      <c r="BL53" s="602"/>
      <c r="BM53" s="602"/>
      <c r="BN53" s="602"/>
      <c r="BO53" s="602"/>
      <c r="BP53" s="602"/>
      <c r="BQ53" s="602"/>
    </row>
    <row r="54" spans="1:69">
      <c r="A54" s="614"/>
      <c r="B54" s="615"/>
      <c r="C54" s="619"/>
      <c r="D54" s="618"/>
      <c r="E54" s="620"/>
      <c r="F54" s="619"/>
      <c r="G54" s="620"/>
      <c r="H54" s="658"/>
      <c r="I54" s="661"/>
      <c r="J54" s="661"/>
      <c r="K54" s="661"/>
      <c r="L54" s="661"/>
      <c r="M54" s="661"/>
      <c r="N54" s="661"/>
      <c r="O54" s="687" t="s">
        <v>380</v>
      </c>
      <c r="P54" s="658" t="s">
        <v>397</v>
      </c>
      <c r="Q54" s="661"/>
      <c r="R54" s="661"/>
      <c r="S54" s="661" t="s">
        <v>382</v>
      </c>
      <c r="T54" s="661"/>
      <c r="U54" s="661" t="s">
        <v>383</v>
      </c>
      <c r="V54" s="661"/>
      <c r="W54" s="661"/>
      <c r="X54" s="661" t="s">
        <v>386</v>
      </c>
      <c r="Y54" s="661"/>
      <c r="Z54" s="661"/>
      <c r="AA54" s="661" t="s">
        <v>337</v>
      </c>
      <c r="AB54" s="661"/>
      <c r="AC54" s="661"/>
      <c r="AD54" s="663"/>
      <c r="AE54" s="658" t="s">
        <v>338</v>
      </c>
      <c r="AF54" s="659"/>
      <c r="AG54" s="659"/>
      <c r="AH54" s="659" t="s">
        <v>393</v>
      </c>
      <c r="AI54" s="659"/>
      <c r="AJ54" s="659"/>
      <c r="AK54" s="659"/>
      <c r="AL54" s="659"/>
      <c r="AM54" s="659"/>
      <c r="AN54" s="659"/>
      <c r="AO54" s="659"/>
      <c r="AP54" s="659"/>
      <c r="AQ54" s="659"/>
      <c r="AR54" s="659"/>
      <c r="AS54" s="659"/>
      <c r="AT54" s="659"/>
      <c r="AU54" s="659"/>
      <c r="AV54" s="659"/>
      <c r="AW54" s="660"/>
      <c r="AX54" s="626"/>
      <c r="AY54" s="602"/>
      <c r="AZ54" s="602"/>
      <c r="BA54" s="602"/>
      <c r="BB54" s="602"/>
      <c r="BC54" s="602"/>
      <c r="BD54" s="602"/>
      <c r="BE54" s="602"/>
      <c r="BF54" s="602"/>
      <c r="BG54" s="602"/>
      <c r="BH54" s="602"/>
      <c r="BI54" s="602"/>
      <c r="BJ54" s="602"/>
      <c r="BK54" s="602"/>
      <c r="BL54" s="602"/>
      <c r="BM54" s="602"/>
      <c r="BN54" s="602"/>
      <c r="BO54" s="602"/>
      <c r="BP54" s="602"/>
      <c r="BQ54" s="602"/>
    </row>
    <row r="55" spans="1:69">
      <c r="A55" s="614"/>
      <c r="B55" s="615"/>
      <c r="C55" s="619"/>
      <c r="D55" s="618"/>
      <c r="E55" s="620"/>
      <c r="F55" s="656" t="s">
        <v>385</v>
      </c>
      <c r="G55" s="657"/>
      <c r="H55" s="656"/>
      <c r="I55" s="652"/>
      <c r="J55" s="652"/>
      <c r="K55" s="652"/>
      <c r="L55" s="652"/>
      <c r="M55" s="652"/>
      <c r="N55" s="652"/>
      <c r="O55" s="657"/>
      <c r="P55" s="656"/>
      <c r="Q55" s="652"/>
      <c r="R55" s="652"/>
      <c r="S55" s="652"/>
      <c r="T55" s="652"/>
      <c r="U55" s="652"/>
      <c r="V55" s="652"/>
      <c r="W55" s="652"/>
      <c r="X55" s="652"/>
      <c r="Y55" s="652"/>
      <c r="Z55" s="652"/>
      <c r="AA55" s="664"/>
      <c r="AB55" s="652"/>
      <c r="AC55" s="652"/>
      <c r="AD55" s="657"/>
      <c r="AE55" s="656"/>
      <c r="AF55" s="654"/>
      <c r="AG55" s="654"/>
      <c r="AH55" s="654"/>
      <c r="AI55" s="654"/>
      <c r="AJ55" s="654"/>
      <c r="AK55" s="654"/>
      <c r="AL55" s="654"/>
      <c r="AM55" s="654"/>
      <c r="AN55" s="654"/>
      <c r="AO55" s="654"/>
      <c r="AP55" s="654"/>
      <c r="AQ55" s="654"/>
      <c r="AR55" s="654"/>
      <c r="AS55" s="654"/>
      <c r="AT55" s="654"/>
      <c r="AU55" s="654"/>
      <c r="AV55" s="654"/>
      <c r="AW55" s="655"/>
      <c r="AX55" s="626"/>
      <c r="AY55" s="602"/>
      <c r="AZ55" s="602"/>
      <c r="BA55" s="602"/>
      <c r="BB55" s="602"/>
      <c r="BC55" s="602"/>
      <c r="BD55" s="602"/>
      <c r="BE55" s="602"/>
      <c r="BF55" s="602"/>
      <c r="BG55" s="602"/>
      <c r="BH55" s="602"/>
      <c r="BI55" s="602"/>
      <c r="BJ55" s="602"/>
      <c r="BK55" s="602"/>
      <c r="BL55" s="602"/>
      <c r="BM55" s="602"/>
      <c r="BN55" s="602"/>
      <c r="BO55" s="602"/>
      <c r="BP55" s="602"/>
      <c r="BQ55" s="602"/>
    </row>
    <row r="56" spans="1:69">
      <c r="A56" s="614"/>
      <c r="B56" s="615"/>
      <c r="C56" s="658"/>
      <c r="D56" s="661"/>
      <c r="E56" s="663"/>
      <c r="F56" s="658"/>
      <c r="G56" s="663"/>
      <c r="H56" s="658"/>
      <c r="I56" s="661"/>
      <c r="J56" s="661"/>
      <c r="K56" s="661"/>
      <c r="L56" s="661"/>
      <c r="M56" s="661"/>
      <c r="N56" s="661"/>
      <c r="O56" s="687" t="s">
        <v>380</v>
      </c>
      <c r="P56" s="658" t="s">
        <v>397</v>
      </c>
      <c r="Q56" s="661"/>
      <c r="R56" s="661"/>
      <c r="S56" s="661" t="s">
        <v>382</v>
      </c>
      <c r="T56" s="661"/>
      <c r="U56" s="661" t="s">
        <v>383</v>
      </c>
      <c r="V56" s="661"/>
      <c r="W56" s="661"/>
      <c r="X56" s="661" t="s">
        <v>386</v>
      </c>
      <c r="Y56" s="661"/>
      <c r="Z56" s="661"/>
      <c r="AA56" s="661" t="s">
        <v>337</v>
      </c>
      <c r="AB56" s="661"/>
      <c r="AC56" s="661"/>
      <c r="AD56" s="663"/>
      <c r="AE56" s="658" t="s">
        <v>338</v>
      </c>
      <c r="AF56" s="659"/>
      <c r="AG56" s="659"/>
      <c r="AH56" s="659" t="s">
        <v>393</v>
      </c>
      <c r="AI56" s="659"/>
      <c r="AJ56" s="659"/>
      <c r="AK56" s="659"/>
      <c r="AL56" s="659"/>
      <c r="AM56" s="659"/>
      <c r="AN56" s="659"/>
      <c r="AO56" s="659"/>
      <c r="AP56" s="659"/>
      <c r="AQ56" s="659"/>
      <c r="AR56" s="659"/>
      <c r="AS56" s="659"/>
      <c r="AT56" s="659"/>
      <c r="AU56" s="659"/>
      <c r="AV56" s="659"/>
      <c r="AW56" s="660"/>
      <c r="AX56" s="626"/>
      <c r="AY56" s="602"/>
      <c r="AZ56" s="602"/>
      <c r="BA56" s="602"/>
      <c r="BB56" s="602"/>
      <c r="BC56" s="602"/>
      <c r="BD56" s="602"/>
      <c r="BE56" s="602"/>
      <c r="BF56" s="602"/>
      <c r="BG56" s="602"/>
      <c r="BH56" s="602"/>
      <c r="BI56" s="602"/>
      <c r="BJ56" s="602"/>
      <c r="BK56" s="602"/>
      <c r="BL56" s="602"/>
      <c r="BM56" s="602"/>
      <c r="BN56" s="602"/>
      <c r="BO56" s="602"/>
      <c r="BP56" s="602"/>
      <c r="BQ56" s="602"/>
    </row>
    <row r="57" spans="1:69">
      <c r="A57" s="614"/>
      <c r="B57" s="615"/>
      <c r="C57" s="656" t="s">
        <v>395</v>
      </c>
      <c r="D57" s="652"/>
      <c r="E57" s="657"/>
      <c r="F57" s="656" t="s">
        <v>383</v>
      </c>
      <c r="G57" s="657"/>
      <c r="H57" s="656"/>
      <c r="I57" s="652"/>
      <c r="J57" s="652"/>
      <c r="K57" s="652"/>
      <c r="L57" s="652"/>
      <c r="M57" s="652"/>
      <c r="N57" s="652"/>
      <c r="O57" s="657"/>
      <c r="P57" s="656"/>
      <c r="Q57" s="652"/>
      <c r="R57" s="652"/>
      <c r="S57" s="652"/>
      <c r="T57" s="652"/>
      <c r="U57" s="652"/>
      <c r="V57" s="652"/>
      <c r="W57" s="652"/>
      <c r="X57" s="652"/>
      <c r="Y57" s="652"/>
      <c r="Z57" s="652"/>
      <c r="AA57" s="664"/>
      <c r="AB57" s="652"/>
      <c r="AC57" s="652"/>
      <c r="AD57" s="657"/>
      <c r="AE57" s="656"/>
      <c r="AF57" s="654"/>
      <c r="AG57" s="654"/>
      <c r="AH57" s="654"/>
      <c r="AI57" s="654"/>
      <c r="AJ57" s="654"/>
      <c r="AK57" s="654"/>
      <c r="AL57" s="654"/>
      <c r="AM57" s="654"/>
      <c r="AN57" s="654"/>
      <c r="AO57" s="654"/>
      <c r="AP57" s="654"/>
      <c r="AQ57" s="654"/>
      <c r="AR57" s="654"/>
      <c r="AS57" s="654"/>
      <c r="AT57" s="654"/>
      <c r="AU57" s="654"/>
      <c r="AV57" s="654"/>
      <c r="AW57" s="655"/>
      <c r="AX57" s="626"/>
      <c r="AY57" s="602"/>
      <c r="AZ57" s="602"/>
      <c r="BA57" s="602"/>
      <c r="BB57" s="602"/>
      <c r="BC57" s="602"/>
      <c r="BD57" s="602"/>
      <c r="BE57" s="602"/>
      <c r="BF57" s="602"/>
      <c r="BG57" s="602"/>
      <c r="BH57" s="602"/>
      <c r="BI57" s="602"/>
      <c r="BJ57" s="602"/>
      <c r="BK57" s="602"/>
      <c r="BL57" s="602"/>
      <c r="BM57" s="602"/>
      <c r="BN57" s="602"/>
      <c r="BO57" s="602"/>
      <c r="BP57" s="602"/>
      <c r="BQ57" s="602"/>
    </row>
    <row r="58" spans="1:69">
      <c r="A58" s="614"/>
      <c r="B58" s="615"/>
      <c r="C58" s="619"/>
      <c r="D58" s="618"/>
      <c r="E58" s="620"/>
      <c r="F58" s="619"/>
      <c r="G58" s="620"/>
      <c r="H58" s="619"/>
      <c r="I58" s="618"/>
      <c r="J58" s="618"/>
      <c r="K58" s="618"/>
      <c r="L58" s="618"/>
      <c r="M58" s="618"/>
      <c r="N58" s="618"/>
      <c r="O58" s="687" t="s">
        <v>380</v>
      </c>
      <c r="P58" s="619" t="s">
        <v>397</v>
      </c>
      <c r="Q58" s="618"/>
      <c r="R58" s="618"/>
      <c r="S58" s="618" t="s">
        <v>382</v>
      </c>
      <c r="T58" s="618"/>
      <c r="U58" s="618" t="s">
        <v>383</v>
      </c>
      <c r="V58" s="618"/>
      <c r="W58" s="618"/>
      <c r="X58" s="653" t="s">
        <v>398</v>
      </c>
      <c r="Y58" s="618"/>
      <c r="Z58" s="618"/>
      <c r="AA58" s="618" t="s">
        <v>337</v>
      </c>
      <c r="AB58" s="618"/>
      <c r="AC58" s="618"/>
      <c r="AD58" s="620"/>
      <c r="AE58" s="619" t="s">
        <v>338</v>
      </c>
      <c r="AF58" s="615"/>
      <c r="AG58" s="615"/>
      <c r="AH58" s="615" t="s">
        <v>399</v>
      </c>
      <c r="AI58" s="615"/>
      <c r="AJ58" s="615"/>
      <c r="AK58" s="615"/>
      <c r="AL58" s="615"/>
      <c r="AM58" s="615"/>
      <c r="AN58" s="615"/>
      <c r="AO58" s="615"/>
      <c r="AP58" s="615"/>
      <c r="AQ58" s="615"/>
      <c r="AR58" s="615"/>
      <c r="AS58" s="615"/>
      <c r="AT58" s="615"/>
      <c r="AU58" s="615"/>
      <c r="AV58" s="615"/>
      <c r="AW58" s="650"/>
      <c r="AX58" s="626"/>
      <c r="AY58" s="602"/>
      <c r="AZ58" s="602"/>
      <c r="BA58" s="602"/>
      <c r="BB58" s="602"/>
      <c r="BC58" s="602"/>
      <c r="BD58" s="602"/>
      <c r="BE58" s="602"/>
      <c r="BF58" s="602"/>
      <c r="BG58" s="602"/>
      <c r="BH58" s="602"/>
      <c r="BI58" s="602"/>
      <c r="BJ58" s="602"/>
      <c r="BK58" s="602"/>
      <c r="BL58" s="602"/>
      <c r="BM58" s="602"/>
      <c r="BN58" s="602"/>
      <c r="BO58" s="602"/>
      <c r="BP58" s="602"/>
      <c r="BQ58" s="602"/>
    </row>
    <row r="59" spans="1:69">
      <c r="A59" s="614"/>
      <c r="B59" s="615"/>
      <c r="C59" s="619"/>
      <c r="D59" s="618"/>
      <c r="E59" s="620"/>
      <c r="F59" s="656" t="s">
        <v>385</v>
      </c>
      <c r="G59" s="657"/>
      <c r="H59" s="656"/>
      <c r="I59" s="652"/>
      <c r="J59" s="652"/>
      <c r="K59" s="652"/>
      <c r="L59" s="652"/>
      <c r="M59" s="652"/>
      <c r="N59" s="652"/>
      <c r="O59" s="657"/>
      <c r="P59" s="676"/>
      <c r="Q59" s="677"/>
      <c r="R59" s="677"/>
      <c r="S59" s="677"/>
      <c r="T59" s="677"/>
      <c r="U59" s="677"/>
      <c r="V59" s="677"/>
      <c r="W59" s="677"/>
      <c r="X59" s="677"/>
      <c r="Y59" s="677"/>
      <c r="Z59" s="677"/>
      <c r="AA59" s="678"/>
      <c r="AB59" s="677"/>
      <c r="AC59" s="677"/>
      <c r="AD59" s="679"/>
      <c r="AE59" s="676"/>
      <c r="AF59" s="680"/>
      <c r="AG59" s="680"/>
      <c r="AH59" s="680"/>
      <c r="AI59" s="680"/>
      <c r="AJ59" s="680"/>
      <c r="AK59" s="680"/>
      <c r="AL59" s="680"/>
      <c r="AM59" s="680"/>
      <c r="AN59" s="680"/>
      <c r="AO59" s="680"/>
      <c r="AP59" s="680"/>
      <c r="AQ59" s="680"/>
      <c r="AR59" s="680"/>
      <c r="AS59" s="680"/>
      <c r="AT59" s="680"/>
      <c r="AU59" s="680"/>
      <c r="AV59" s="680"/>
      <c r="AW59" s="681"/>
      <c r="AX59" s="626"/>
      <c r="AY59" s="602"/>
      <c r="AZ59" s="602"/>
      <c r="BA59" s="602"/>
      <c r="BB59" s="602"/>
      <c r="BC59" s="602"/>
      <c r="BD59" s="602"/>
      <c r="BE59" s="602"/>
      <c r="BF59" s="602"/>
      <c r="BG59" s="602"/>
      <c r="BH59" s="602"/>
      <c r="BI59" s="602"/>
      <c r="BJ59" s="602"/>
      <c r="BK59" s="602"/>
      <c r="BL59" s="602"/>
      <c r="BM59" s="602"/>
      <c r="BN59" s="602"/>
      <c r="BO59" s="602"/>
      <c r="BP59" s="602"/>
      <c r="BQ59" s="602"/>
    </row>
    <row r="60" spans="1:69">
      <c r="A60" s="614"/>
      <c r="B60" s="615"/>
      <c r="C60" s="628"/>
      <c r="D60" s="629"/>
      <c r="E60" s="630"/>
      <c r="F60" s="628"/>
      <c r="G60" s="630"/>
      <c r="H60" s="628"/>
      <c r="I60" s="629"/>
      <c r="J60" s="629"/>
      <c r="K60" s="629"/>
      <c r="L60" s="629"/>
      <c r="M60" s="629"/>
      <c r="N60" s="629"/>
      <c r="O60" s="688" t="s">
        <v>380</v>
      </c>
      <c r="P60" s="682" t="s">
        <v>397</v>
      </c>
      <c r="Q60" s="683"/>
      <c r="R60" s="683"/>
      <c r="S60" s="683" t="s">
        <v>382</v>
      </c>
      <c r="T60" s="683"/>
      <c r="U60" s="683" t="s">
        <v>383</v>
      </c>
      <c r="V60" s="683"/>
      <c r="W60" s="683"/>
      <c r="X60" s="683" t="s">
        <v>354</v>
      </c>
      <c r="Y60" s="683"/>
      <c r="Z60" s="683"/>
      <c r="AA60" s="683" t="s">
        <v>337</v>
      </c>
      <c r="AB60" s="683"/>
      <c r="AC60" s="683"/>
      <c r="AD60" s="684"/>
      <c r="AE60" s="682" t="s">
        <v>356</v>
      </c>
      <c r="AF60" s="685"/>
      <c r="AG60" s="685"/>
      <c r="AH60" s="685" t="s">
        <v>400</v>
      </c>
      <c r="AI60" s="685"/>
      <c r="AJ60" s="685"/>
      <c r="AK60" s="685"/>
      <c r="AL60" s="685"/>
      <c r="AM60" s="685"/>
      <c r="AN60" s="685"/>
      <c r="AO60" s="685"/>
      <c r="AP60" s="685"/>
      <c r="AQ60" s="685"/>
      <c r="AR60" s="685"/>
      <c r="AS60" s="685"/>
      <c r="AT60" s="685"/>
      <c r="AU60" s="685"/>
      <c r="AV60" s="685"/>
      <c r="AW60" s="686"/>
      <c r="AX60" s="626"/>
      <c r="AY60" s="602"/>
      <c r="AZ60" s="602"/>
      <c r="BA60" s="602"/>
      <c r="BB60" s="602"/>
      <c r="BC60" s="602"/>
      <c r="BD60" s="602"/>
      <c r="BE60" s="602"/>
      <c r="BF60" s="602"/>
      <c r="BG60" s="602"/>
      <c r="BH60" s="602"/>
      <c r="BI60" s="602"/>
      <c r="BJ60" s="602"/>
      <c r="BK60" s="602"/>
      <c r="BL60" s="602"/>
      <c r="BM60" s="602"/>
      <c r="BN60" s="602"/>
      <c r="BO60" s="602"/>
      <c r="BP60" s="602"/>
      <c r="BQ60" s="602"/>
    </row>
    <row r="61" spans="1:69">
      <c r="A61" s="614"/>
      <c r="B61" s="615"/>
      <c r="C61" s="615"/>
      <c r="D61" s="615"/>
      <c r="E61" s="618"/>
      <c r="F61" s="618"/>
      <c r="G61" s="618"/>
      <c r="H61" s="618"/>
      <c r="I61" s="618"/>
      <c r="J61" s="618"/>
      <c r="K61" s="618"/>
      <c r="L61" s="618"/>
      <c r="M61" s="618"/>
      <c r="N61" s="618"/>
      <c r="O61" s="623"/>
      <c r="P61" s="618"/>
      <c r="Q61" s="618"/>
      <c r="R61" s="618"/>
      <c r="S61" s="618"/>
      <c r="T61" s="618"/>
      <c r="U61" s="618"/>
      <c r="V61" s="618"/>
      <c r="W61" s="618"/>
      <c r="X61" s="618"/>
      <c r="Y61" s="618"/>
      <c r="Z61" s="618"/>
      <c r="AA61" s="618"/>
      <c r="AB61" s="618"/>
      <c r="AC61" s="618"/>
      <c r="AD61" s="618"/>
      <c r="AE61" s="618"/>
      <c r="AF61" s="618"/>
      <c r="AG61" s="618"/>
      <c r="AH61" s="618"/>
      <c r="AI61" s="618"/>
      <c r="AJ61" s="618"/>
      <c r="AK61" s="615"/>
      <c r="AL61" s="615"/>
      <c r="AM61" s="615"/>
      <c r="AN61" s="615"/>
      <c r="AO61" s="615"/>
      <c r="AP61" s="615"/>
      <c r="AQ61" s="615"/>
      <c r="AR61" s="615"/>
      <c r="AS61" s="615"/>
      <c r="AT61" s="615"/>
      <c r="AU61" s="615"/>
      <c r="AV61" s="615"/>
      <c r="AW61" s="615"/>
      <c r="AX61" s="626"/>
      <c r="AY61" s="602"/>
      <c r="AZ61" s="602"/>
      <c r="BA61" s="602"/>
      <c r="BB61" s="602"/>
      <c r="BC61" s="602"/>
      <c r="BD61" s="602"/>
      <c r="BE61" s="602"/>
      <c r="BF61" s="602"/>
      <c r="BG61" s="602"/>
      <c r="BH61" s="602"/>
      <c r="BI61" s="602"/>
      <c r="BJ61" s="602"/>
      <c r="BK61" s="602"/>
      <c r="BL61" s="602"/>
      <c r="BM61" s="602"/>
      <c r="BN61" s="602"/>
      <c r="BO61" s="602"/>
      <c r="BP61" s="602"/>
      <c r="BQ61" s="602"/>
    </row>
    <row r="62" spans="1:69">
      <c r="A62" s="614"/>
      <c r="B62" s="615"/>
      <c r="C62" s="615" t="s">
        <v>403</v>
      </c>
      <c r="D62" s="615"/>
      <c r="E62" s="615"/>
      <c r="F62" s="615"/>
      <c r="G62" s="615"/>
      <c r="H62" s="615"/>
      <c r="I62" s="615"/>
      <c r="J62" s="615"/>
      <c r="K62" s="615"/>
      <c r="L62" s="615"/>
      <c r="M62" s="615"/>
      <c r="N62" s="615"/>
      <c r="O62" s="615"/>
      <c r="P62" s="615"/>
      <c r="Q62" s="615"/>
      <c r="R62" s="615"/>
      <c r="S62" s="615"/>
      <c r="T62" s="615"/>
      <c r="U62" s="615"/>
      <c r="V62" s="615"/>
      <c r="W62" s="615"/>
      <c r="X62" s="615"/>
      <c r="Y62" s="615"/>
      <c r="Z62" s="615"/>
      <c r="AA62" s="615"/>
      <c r="AB62" s="615"/>
      <c r="AC62" s="615"/>
      <c r="AD62" s="615"/>
      <c r="AE62" s="615"/>
      <c r="AF62" s="615"/>
      <c r="AG62" s="615"/>
      <c r="AH62" s="615"/>
      <c r="AI62" s="615"/>
      <c r="AJ62" s="615"/>
      <c r="AK62" s="615"/>
      <c r="AL62" s="615"/>
      <c r="AM62" s="615"/>
      <c r="AN62" s="615"/>
      <c r="AO62" s="615"/>
      <c r="AP62" s="615"/>
      <c r="AQ62" s="615"/>
      <c r="AR62" s="615"/>
      <c r="AS62" s="615"/>
      <c r="AT62" s="615"/>
      <c r="AU62" s="615"/>
      <c r="AV62" s="615"/>
      <c r="AW62" s="615"/>
      <c r="AX62" s="626"/>
      <c r="AY62" s="602"/>
      <c r="AZ62" s="602"/>
      <c r="BA62" s="602"/>
      <c r="BB62" s="602"/>
      <c r="BC62" s="602"/>
      <c r="BD62" s="602"/>
      <c r="BE62" s="602"/>
      <c r="BF62" s="602"/>
      <c r="BG62" s="602"/>
      <c r="BH62" s="602"/>
      <c r="BI62" s="602"/>
      <c r="BJ62" s="602"/>
      <c r="BK62" s="602"/>
      <c r="BL62" s="602"/>
      <c r="BM62" s="602"/>
      <c r="BN62" s="602"/>
      <c r="BO62" s="602"/>
      <c r="BP62" s="602"/>
      <c r="BQ62" s="602"/>
    </row>
    <row r="63" spans="1:69">
      <c r="A63" s="614"/>
      <c r="B63" s="615"/>
      <c r="C63" s="631" t="s">
        <v>367</v>
      </c>
      <c r="D63" s="623"/>
      <c r="E63" s="623"/>
      <c r="F63" s="623"/>
      <c r="G63" s="627"/>
      <c r="H63" s="631" t="s">
        <v>368</v>
      </c>
      <c r="I63" s="623"/>
      <c r="J63" s="623"/>
      <c r="K63" s="623"/>
      <c r="L63" s="623"/>
      <c r="M63" s="623"/>
      <c r="N63" s="623"/>
      <c r="O63" s="627"/>
      <c r="P63" s="634" t="s">
        <v>369</v>
      </c>
      <c r="Q63" s="632"/>
      <c r="R63" s="632"/>
      <c r="S63" s="632"/>
      <c r="T63" s="632"/>
      <c r="U63" s="632"/>
      <c r="V63" s="632"/>
      <c r="W63" s="632"/>
      <c r="X63" s="632"/>
      <c r="Y63" s="632"/>
      <c r="Z63" s="632"/>
      <c r="AA63" s="632"/>
      <c r="AB63" s="632"/>
      <c r="AC63" s="632"/>
      <c r="AD63" s="633"/>
      <c r="AE63" s="631" t="s">
        <v>370</v>
      </c>
      <c r="AF63" s="624"/>
      <c r="AG63" s="624"/>
      <c r="AH63" s="624"/>
      <c r="AI63" s="624"/>
      <c r="AJ63" s="624"/>
      <c r="AK63" s="624"/>
      <c r="AL63" s="624"/>
      <c r="AM63" s="624"/>
      <c r="AN63" s="624"/>
      <c r="AO63" s="624"/>
      <c r="AP63" s="624"/>
      <c r="AQ63" s="624"/>
      <c r="AR63" s="624"/>
      <c r="AS63" s="624"/>
      <c r="AT63" s="624"/>
      <c r="AU63" s="624"/>
      <c r="AV63" s="624"/>
      <c r="AW63" s="649"/>
      <c r="AX63" s="626"/>
      <c r="AY63" s="602"/>
      <c r="AZ63" s="602"/>
      <c r="BA63" s="602"/>
      <c r="BB63" s="602"/>
      <c r="BC63" s="602"/>
      <c r="BD63" s="602"/>
      <c r="BE63" s="602"/>
      <c r="BF63" s="602"/>
      <c r="BG63" s="602"/>
      <c r="BH63" s="602"/>
      <c r="BI63" s="602"/>
      <c r="BJ63" s="602"/>
      <c r="BK63" s="602"/>
      <c r="BL63" s="602"/>
      <c r="BM63" s="602"/>
      <c r="BN63" s="602"/>
      <c r="BO63" s="602"/>
      <c r="BP63" s="602"/>
      <c r="BQ63" s="602"/>
    </row>
    <row r="64" spans="1:69">
      <c r="A64" s="614"/>
      <c r="B64" s="615"/>
      <c r="C64" s="628"/>
      <c r="D64" s="629"/>
      <c r="E64" s="629"/>
      <c r="F64" s="629"/>
      <c r="G64" s="630"/>
      <c r="H64" s="628" t="s">
        <v>371</v>
      </c>
      <c r="I64" s="629"/>
      <c r="J64" s="629"/>
      <c r="K64" s="629"/>
      <c r="L64" s="629" t="s">
        <v>372</v>
      </c>
      <c r="M64" s="629"/>
      <c r="N64" s="629"/>
      <c r="O64" s="630"/>
      <c r="P64" s="631" t="s">
        <v>373</v>
      </c>
      <c r="Q64" s="623"/>
      <c r="R64" s="623"/>
      <c r="S64" s="623" t="s">
        <v>404</v>
      </c>
      <c r="T64" s="623"/>
      <c r="U64" s="623" t="s">
        <v>326</v>
      </c>
      <c r="V64" s="623"/>
      <c r="W64" s="623"/>
      <c r="X64" s="623" t="s">
        <v>375</v>
      </c>
      <c r="Y64" s="623"/>
      <c r="Z64" s="623"/>
      <c r="AA64" s="623" t="s">
        <v>376</v>
      </c>
      <c r="AB64" s="623"/>
      <c r="AC64" s="623"/>
      <c r="AD64" s="627"/>
      <c r="AE64" s="619"/>
      <c r="AF64" s="615"/>
      <c r="AG64" s="615"/>
      <c r="AH64" s="615"/>
      <c r="AI64" s="615"/>
      <c r="AJ64" s="615"/>
      <c r="AK64" s="615"/>
      <c r="AL64" s="615"/>
      <c r="AM64" s="615"/>
      <c r="AN64" s="615"/>
      <c r="AO64" s="615"/>
      <c r="AP64" s="615"/>
      <c r="AQ64" s="615"/>
      <c r="AR64" s="615"/>
      <c r="AS64" s="615"/>
      <c r="AT64" s="615"/>
      <c r="AU64" s="615"/>
      <c r="AV64" s="615"/>
      <c r="AW64" s="650"/>
      <c r="AX64" s="626"/>
      <c r="AY64" s="602"/>
      <c r="AZ64" s="602"/>
      <c r="BA64" s="602"/>
      <c r="BB64" s="602"/>
      <c r="BC64" s="602"/>
      <c r="BD64" s="602"/>
      <c r="BE64" s="602"/>
      <c r="BF64" s="602"/>
      <c r="BG64" s="602"/>
      <c r="BH64" s="602"/>
      <c r="BI64" s="602"/>
      <c r="BJ64" s="602"/>
      <c r="BK64" s="602"/>
      <c r="BL64" s="602"/>
      <c r="BM64" s="602"/>
      <c r="BN64" s="602"/>
      <c r="BO64" s="602"/>
      <c r="BP64" s="602"/>
      <c r="BQ64" s="602"/>
    </row>
    <row r="65" spans="1:69">
      <c r="A65" s="614"/>
      <c r="B65" s="615"/>
      <c r="C65" s="656" t="s">
        <v>387</v>
      </c>
      <c r="D65" s="652"/>
      <c r="E65" s="657"/>
      <c r="F65" s="656" t="s">
        <v>388</v>
      </c>
      <c r="G65" s="657"/>
      <c r="H65" s="656" t="s">
        <v>379</v>
      </c>
      <c r="I65" s="652"/>
      <c r="J65" s="652"/>
      <c r="K65" s="652"/>
      <c r="L65" s="652"/>
      <c r="M65" s="652"/>
      <c r="N65" s="652"/>
      <c r="O65" s="657"/>
      <c r="P65" s="631"/>
      <c r="Q65" s="623"/>
      <c r="R65" s="623"/>
      <c r="S65" s="623"/>
      <c r="T65" s="623"/>
      <c r="U65" s="623"/>
      <c r="V65" s="623"/>
      <c r="W65" s="623"/>
      <c r="X65" s="623"/>
      <c r="Y65" s="623"/>
      <c r="Z65" s="623"/>
      <c r="AA65" s="665"/>
      <c r="AB65" s="623"/>
      <c r="AC65" s="623"/>
      <c r="AD65" s="627"/>
      <c r="AE65" s="631"/>
      <c r="AF65" s="624"/>
      <c r="AG65" s="624"/>
      <c r="AH65" s="624"/>
      <c r="AI65" s="624"/>
      <c r="AJ65" s="624"/>
      <c r="AK65" s="624"/>
      <c r="AL65" s="624"/>
      <c r="AM65" s="624"/>
      <c r="AN65" s="624"/>
      <c r="AO65" s="624"/>
      <c r="AP65" s="624"/>
      <c r="AQ65" s="624"/>
      <c r="AR65" s="624"/>
      <c r="AS65" s="624"/>
      <c r="AT65" s="624"/>
      <c r="AU65" s="624"/>
      <c r="AV65" s="624"/>
      <c r="AW65" s="649"/>
      <c r="AX65" s="626"/>
      <c r="AY65" s="602"/>
      <c r="AZ65" s="602"/>
      <c r="BA65" s="602"/>
      <c r="BB65" s="602"/>
      <c r="BC65" s="602"/>
      <c r="BD65" s="602"/>
      <c r="BE65" s="602"/>
      <c r="BF65" s="602"/>
      <c r="BG65" s="602"/>
      <c r="BH65" s="602"/>
      <c r="BI65" s="602"/>
      <c r="BJ65" s="602"/>
      <c r="BK65" s="602"/>
      <c r="BL65" s="602"/>
      <c r="BM65" s="602"/>
      <c r="BN65" s="602"/>
      <c r="BO65" s="602"/>
      <c r="BP65" s="602"/>
      <c r="BQ65" s="602"/>
    </row>
    <row r="66" spans="1:69">
      <c r="A66" s="614"/>
      <c r="B66" s="615"/>
      <c r="C66" s="619"/>
      <c r="D66" s="618"/>
      <c r="E66" s="620"/>
      <c r="F66" s="658"/>
      <c r="G66" s="663"/>
      <c r="H66" s="658"/>
      <c r="I66" s="661"/>
      <c r="J66" s="661"/>
      <c r="K66" s="661"/>
      <c r="L66" s="661"/>
      <c r="M66" s="661"/>
      <c r="N66" s="661"/>
      <c r="O66" s="687" t="s">
        <v>380</v>
      </c>
      <c r="P66" s="658" t="s">
        <v>381</v>
      </c>
      <c r="Q66" s="661"/>
      <c r="R66" s="661"/>
      <c r="S66" s="661" t="s">
        <v>382</v>
      </c>
      <c r="T66" s="661"/>
      <c r="U66" s="661" t="s">
        <v>383</v>
      </c>
      <c r="V66" s="661"/>
      <c r="W66" s="661"/>
      <c r="X66" s="661" t="s">
        <v>386</v>
      </c>
      <c r="Y66" s="661"/>
      <c r="Z66" s="661"/>
      <c r="AA66" s="662" t="s">
        <v>337</v>
      </c>
      <c r="AB66" s="661"/>
      <c r="AC66" s="661"/>
      <c r="AD66" s="663"/>
      <c r="AE66" s="658" t="s">
        <v>338</v>
      </c>
      <c r="AF66" s="659"/>
      <c r="AG66" s="659"/>
      <c r="AH66" s="659" t="s">
        <v>389</v>
      </c>
      <c r="AI66" s="659"/>
      <c r="AJ66" s="659"/>
      <c r="AK66" s="659"/>
      <c r="AL66" s="659"/>
      <c r="AM66" s="659"/>
      <c r="AN66" s="659"/>
      <c r="AO66" s="659"/>
      <c r="AP66" s="659"/>
      <c r="AQ66" s="659"/>
      <c r="AR66" s="659"/>
      <c r="AS66" s="659"/>
      <c r="AT66" s="659"/>
      <c r="AU66" s="659"/>
      <c r="AV66" s="659"/>
      <c r="AW66" s="660"/>
      <c r="AX66" s="626"/>
      <c r="AY66" s="602"/>
      <c r="AZ66" s="602"/>
      <c r="BA66" s="602"/>
      <c r="BB66" s="602"/>
      <c r="BC66" s="602"/>
      <c r="BD66" s="602"/>
      <c r="BE66" s="602"/>
      <c r="BF66" s="602"/>
      <c r="BG66" s="602"/>
      <c r="BH66" s="602"/>
      <c r="BI66" s="602"/>
      <c r="BJ66" s="602"/>
      <c r="BK66" s="602"/>
      <c r="BL66" s="602"/>
      <c r="BM66" s="602"/>
      <c r="BN66" s="602"/>
      <c r="BO66" s="602"/>
      <c r="BP66" s="602"/>
      <c r="BQ66" s="602"/>
    </row>
    <row r="67" spans="1:69">
      <c r="A67" s="614"/>
      <c r="B67" s="615"/>
      <c r="C67" s="619"/>
      <c r="D67" s="618"/>
      <c r="E67" s="620"/>
      <c r="F67" s="619" t="s">
        <v>390</v>
      </c>
      <c r="G67" s="620"/>
      <c r="H67" s="656" t="s">
        <v>391</v>
      </c>
      <c r="I67" s="652"/>
      <c r="J67" s="652"/>
      <c r="K67" s="652"/>
      <c r="L67" s="652"/>
      <c r="M67" s="652"/>
      <c r="N67" s="652"/>
      <c r="O67" s="657"/>
      <c r="P67" s="656"/>
      <c r="Q67" s="652"/>
      <c r="R67" s="652"/>
      <c r="S67" s="652"/>
      <c r="T67" s="652"/>
      <c r="U67" s="652"/>
      <c r="V67" s="652"/>
      <c r="W67" s="652"/>
      <c r="X67" s="652"/>
      <c r="Y67" s="652"/>
      <c r="Z67" s="652"/>
      <c r="AA67" s="664"/>
      <c r="AB67" s="652"/>
      <c r="AC67" s="652"/>
      <c r="AD67" s="657"/>
      <c r="AE67" s="656"/>
      <c r="AF67" s="654"/>
      <c r="AG67" s="654"/>
      <c r="AH67" s="654"/>
      <c r="AI67" s="654"/>
      <c r="AJ67" s="654"/>
      <c r="AK67" s="654"/>
      <c r="AL67" s="654"/>
      <c r="AM67" s="654"/>
      <c r="AN67" s="654"/>
      <c r="AO67" s="654"/>
      <c r="AP67" s="654"/>
      <c r="AQ67" s="654"/>
      <c r="AR67" s="654"/>
      <c r="AS67" s="654"/>
      <c r="AT67" s="654"/>
      <c r="AU67" s="654"/>
      <c r="AV67" s="654"/>
      <c r="AW67" s="655"/>
      <c r="AX67" s="626"/>
      <c r="AY67" s="602"/>
      <c r="AZ67" s="602"/>
      <c r="BA67" s="602"/>
      <c r="BB67" s="602"/>
      <c r="BC67" s="602"/>
      <c r="BD67" s="602"/>
      <c r="BE67" s="602"/>
      <c r="BF67" s="602"/>
      <c r="BG67" s="602"/>
      <c r="BH67" s="602"/>
      <c r="BI67" s="602"/>
      <c r="BJ67" s="602"/>
      <c r="BK67" s="602"/>
      <c r="BL67" s="602"/>
      <c r="BM67" s="602"/>
      <c r="BN67" s="602"/>
      <c r="BO67" s="602"/>
      <c r="BP67" s="602"/>
      <c r="BQ67" s="602"/>
    </row>
    <row r="68" spans="1:69">
      <c r="A68" s="614"/>
      <c r="B68" s="615"/>
      <c r="C68" s="619"/>
      <c r="D68" s="618"/>
      <c r="E68" s="620"/>
      <c r="F68" s="619"/>
      <c r="G68" s="620"/>
      <c r="H68" s="658"/>
      <c r="I68" s="661"/>
      <c r="J68" s="661"/>
      <c r="K68" s="661"/>
      <c r="L68" s="661"/>
      <c r="M68" s="661"/>
      <c r="N68" s="661"/>
      <c r="O68" s="687" t="s">
        <v>380</v>
      </c>
      <c r="P68" s="658" t="s">
        <v>392</v>
      </c>
      <c r="Q68" s="661"/>
      <c r="R68" s="661"/>
      <c r="S68" s="661" t="s">
        <v>382</v>
      </c>
      <c r="T68" s="661"/>
      <c r="U68" s="661" t="s">
        <v>383</v>
      </c>
      <c r="V68" s="661"/>
      <c r="W68" s="661"/>
      <c r="X68" s="661" t="s">
        <v>386</v>
      </c>
      <c r="Y68" s="661"/>
      <c r="Z68" s="661"/>
      <c r="AA68" s="661" t="s">
        <v>337</v>
      </c>
      <c r="AB68" s="661"/>
      <c r="AC68" s="661"/>
      <c r="AD68" s="663"/>
      <c r="AE68" s="658" t="s">
        <v>338</v>
      </c>
      <c r="AF68" s="659"/>
      <c r="AG68" s="659"/>
      <c r="AH68" s="659" t="s">
        <v>393</v>
      </c>
      <c r="AI68" s="659"/>
      <c r="AJ68" s="659"/>
      <c r="AK68" s="659"/>
      <c r="AL68" s="659"/>
      <c r="AM68" s="659"/>
      <c r="AN68" s="659"/>
      <c r="AO68" s="659"/>
      <c r="AP68" s="659"/>
      <c r="AQ68" s="659"/>
      <c r="AR68" s="659"/>
      <c r="AS68" s="659"/>
      <c r="AT68" s="659"/>
      <c r="AU68" s="659"/>
      <c r="AV68" s="659"/>
      <c r="AW68" s="660"/>
      <c r="AX68" s="626"/>
      <c r="AY68" s="602"/>
      <c r="AZ68" s="602"/>
      <c r="BA68" s="602"/>
      <c r="BB68" s="602"/>
      <c r="BC68" s="602"/>
      <c r="BD68" s="602"/>
      <c r="BE68" s="602"/>
      <c r="BF68" s="602"/>
      <c r="BG68" s="602"/>
      <c r="BH68" s="602"/>
      <c r="BI68" s="602"/>
      <c r="BJ68" s="602"/>
      <c r="BK68" s="602"/>
      <c r="BL68" s="602"/>
      <c r="BM68" s="602"/>
      <c r="BN68" s="602"/>
      <c r="BO68" s="602"/>
      <c r="BP68" s="602"/>
      <c r="BQ68" s="602"/>
    </row>
    <row r="69" spans="1:69">
      <c r="A69" s="614"/>
      <c r="B69" s="615"/>
      <c r="C69" s="619"/>
      <c r="D69" s="618"/>
      <c r="E69" s="620"/>
      <c r="F69" s="656" t="s">
        <v>385</v>
      </c>
      <c r="G69" s="657"/>
      <c r="H69" s="656"/>
      <c r="I69" s="652"/>
      <c r="J69" s="652"/>
      <c r="K69" s="652"/>
      <c r="L69" s="652"/>
      <c r="M69" s="652"/>
      <c r="N69" s="652"/>
      <c r="O69" s="657"/>
      <c r="P69" s="656"/>
      <c r="Q69" s="652"/>
      <c r="R69" s="652"/>
      <c r="S69" s="652"/>
      <c r="T69" s="652"/>
      <c r="U69" s="652"/>
      <c r="V69" s="652"/>
      <c r="W69" s="652"/>
      <c r="X69" s="652"/>
      <c r="Y69" s="652"/>
      <c r="Z69" s="652"/>
      <c r="AA69" s="664"/>
      <c r="AB69" s="652"/>
      <c r="AC69" s="652"/>
      <c r="AD69" s="657"/>
      <c r="AE69" s="656"/>
      <c r="AF69" s="654"/>
      <c r="AG69" s="654"/>
      <c r="AH69" s="654"/>
      <c r="AI69" s="654"/>
      <c r="AJ69" s="654"/>
      <c r="AK69" s="654"/>
      <c r="AL69" s="654"/>
      <c r="AM69" s="654"/>
      <c r="AN69" s="654"/>
      <c r="AO69" s="654"/>
      <c r="AP69" s="654"/>
      <c r="AQ69" s="654"/>
      <c r="AR69" s="654"/>
      <c r="AS69" s="654"/>
      <c r="AT69" s="654"/>
      <c r="AU69" s="654"/>
      <c r="AV69" s="654"/>
      <c r="AW69" s="655"/>
      <c r="AX69" s="626"/>
      <c r="AY69" s="602"/>
      <c r="AZ69" s="602"/>
      <c r="BA69" s="602"/>
      <c r="BB69" s="602"/>
      <c r="BC69" s="602"/>
      <c r="BD69" s="602"/>
      <c r="BE69" s="602"/>
      <c r="BF69" s="602"/>
      <c r="BG69" s="602"/>
      <c r="BH69" s="602"/>
      <c r="BI69" s="602"/>
      <c r="BJ69" s="602"/>
      <c r="BK69" s="602"/>
      <c r="BL69" s="602"/>
      <c r="BM69" s="602"/>
      <c r="BN69" s="602"/>
      <c r="BO69" s="602"/>
      <c r="BP69" s="602"/>
      <c r="BQ69" s="602"/>
    </row>
    <row r="70" spans="1:69">
      <c r="A70" s="614"/>
      <c r="B70" s="615"/>
      <c r="C70" s="619"/>
      <c r="D70" s="618"/>
      <c r="E70" s="620"/>
      <c r="F70" s="619"/>
      <c r="G70" s="620"/>
      <c r="H70" s="619"/>
      <c r="I70" s="618"/>
      <c r="J70" s="618"/>
      <c r="K70" s="618"/>
      <c r="L70" s="618"/>
      <c r="M70" s="618"/>
      <c r="N70" s="618"/>
      <c r="O70" s="688" t="s">
        <v>380</v>
      </c>
      <c r="P70" s="619" t="s">
        <v>394</v>
      </c>
      <c r="Q70" s="618"/>
      <c r="R70" s="618"/>
      <c r="S70" s="618" t="s">
        <v>382</v>
      </c>
      <c r="T70" s="618"/>
      <c r="U70" s="618" t="s">
        <v>383</v>
      </c>
      <c r="V70" s="618"/>
      <c r="W70" s="618"/>
      <c r="X70" s="618" t="s">
        <v>386</v>
      </c>
      <c r="Y70" s="618"/>
      <c r="Z70" s="618"/>
      <c r="AA70" s="618" t="s">
        <v>337</v>
      </c>
      <c r="AB70" s="618"/>
      <c r="AC70" s="618"/>
      <c r="AD70" s="620"/>
      <c r="AE70" s="619" t="s">
        <v>338</v>
      </c>
      <c r="AF70" s="615"/>
      <c r="AG70" s="615"/>
      <c r="AH70" s="615" t="s">
        <v>393</v>
      </c>
      <c r="AI70" s="615"/>
      <c r="AJ70" s="615"/>
      <c r="AK70" s="615"/>
      <c r="AL70" s="615"/>
      <c r="AM70" s="615"/>
      <c r="AN70" s="615"/>
      <c r="AO70" s="615"/>
      <c r="AP70" s="615"/>
      <c r="AQ70" s="615"/>
      <c r="AR70" s="615"/>
      <c r="AS70" s="615"/>
      <c r="AT70" s="615"/>
      <c r="AU70" s="615"/>
      <c r="AV70" s="615"/>
      <c r="AW70" s="650"/>
      <c r="AX70" s="626"/>
      <c r="AY70" s="602"/>
      <c r="AZ70" s="602"/>
      <c r="BA70" s="602"/>
      <c r="BB70" s="602"/>
      <c r="BC70" s="602"/>
      <c r="BD70" s="602"/>
      <c r="BE70" s="602"/>
      <c r="BF70" s="602"/>
      <c r="BG70" s="602"/>
      <c r="BH70" s="602"/>
      <c r="BI70" s="602"/>
      <c r="BJ70" s="602"/>
      <c r="BK70" s="602"/>
      <c r="BL70" s="602"/>
      <c r="BM70" s="602"/>
      <c r="BN70" s="602"/>
      <c r="BO70" s="602"/>
      <c r="BP70" s="602"/>
      <c r="BQ70" s="602"/>
    </row>
    <row r="71" spans="1:69">
      <c r="A71" s="614"/>
      <c r="B71" s="615"/>
      <c r="C71" s="631" t="s">
        <v>395</v>
      </c>
      <c r="D71" s="623"/>
      <c r="E71" s="627"/>
      <c r="F71" s="631" t="s">
        <v>383</v>
      </c>
      <c r="G71" s="627"/>
      <c r="H71" s="631"/>
      <c r="I71" s="623"/>
      <c r="J71" s="623"/>
      <c r="K71" s="623"/>
      <c r="L71" s="623"/>
      <c r="M71" s="623"/>
      <c r="N71" s="623"/>
      <c r="O71" s="627"/>
      <c r="P71" s="666"/>
      <c r="Q71" s="667"/>
      <c r="R71" s="667"/>
      <c r="S71" s="667"/>
      <c r="T71" s="667"/>
      <c r="U71" s="667"/>
      <c r="V71" s="667"/>
      <c r="W71" s="667"/>
      <c r="X71" s="667"/>
      <c r="Y71" s="667"/>
      <c r="Z71" s="667"/>
      <c r="AA71" s="690"/>
      <c r="AB71" s="667"/>
      <c r="AC71" s="667"/>
      <c r="AD71" s="668"/>
      <c r="AE71" s="666"/>
      <c r="AF71" s="669"/>
      <c r="AG71" s="669"/>
      <c r="AH71" s="669"/>
      <c r="AI71" s="669"/>
      <c r="AJ71" s="669"/>
      <c r="AK71" s="669"/>
      <c r="AL71" s="669"/>
      <c r="AM71" s="669"/>
      <c r="AN71" s="669"/>
      <c r="AO71" s="669"/>
      <c r="AP71" s="669"/>
      <c r="AQ71" s="669"/>
      <c r="AR71" s="669"/>
      <c r="AS71" s="669"/>
      <c r="AT71" s="669"/>
      <c r="AU71" s="669"/>
      <c r="AV71" s="669"/>
      <c r="AW71" s="670"/>
      <c r="AX71" s="626"/>
      <c r="AY71" s="602"/>
      <c r="AZ71" s="602"/>
      <c r="BA71" s="602"/>
      <c r="BB71" s="602"/>
      <c r="BC71" s="602"/>
      <c r="BD71" s="602"/>
      <c r="BE71" s="602"/>
      <c r="BF71" s="602"/>
      <c r="BG71" s="602"/>
      <c r="BH71" s="602"/>
      <c r="BI71" s="602"/>
      <c r="BJ71" s="602"/>
      <c r="BK71" s="602"/>
      <c r="BL71" s="602"/>
      <c r="BM71" s="602"/>
      <c r="BN71" s="602"/>
      <c r="BO71" s="602"/>
      <c r="BP71" s="602"/>
      <c r="BQ71" s="602"/>
    </row>
    <row r="72" spans="1:69">
      <c r="A72" s="614"/>
      <c r="B72" s="615"/>
      <c r="C72" s="619"/>
      <c r="D72" s="618"/>
      <c r="E72" s="620"/>
      <c r="F72" s="658"/>
      <c r="G72" s="663"/>
      <c r="H72" s="658"/>
      <c r="I72" s="661"/>
      <c r="J72" s="661"/>
      <c r="K72" s="661"/>
      <c r="L72" s="661"/>
      <c r="M72" s="661"/>
      <c r="N72" s="661"/>
      <c r="O72" s="687" t="s">
        <v>380</v>
      </c>
      <c r="P72" s="671" t="s">
        <v>394</v>
      </c>
      <c r="Q72" s="672"/>
      <c r="R72" s="672"/>
      <c r="S72" s="672" t="s">
        <v>382</v>
      </c>
      <c r="T72" s="672"/>
      <c r="U72" s="672" t="s">
        <v>383</v>
      </c>
      <c r="V72" s="672"/>
      <c r="W72" s="672"/>
      <c r="X72" s="672" t="s">
        <v>386</v>
      </c>
      <c r="Y72" s="672"/>
      <c r="Z72" s="672"/>
      <c r="AA72" s="672" t="s">
        <v>337</v>
      </c>
      <c r="AB72" s="672"/>
      <c r="AC72" s="672"/>
      <c r="AD72" s="673"/>
      <c r="AE72" s="671" t="s">
        <v>356</v>
      </c>
      <c r="AF72" s="674"/>
      <c r="AG72" s="674"/>
      <c r="AH72" s="674" t="s">
        <v>405</v>
      </c>
      <c r="AI72" s="674"/>
      <c r="AJ72" s="674"/>
      <c r="AK72" s="674"/>
      <c r="AL72" s="674"/>
      <c r="AM72" s="674"/>
      <c r="AN72" s="674"/>
      <c r="AO72" s="674"/>
      <c r="AP72" s="674"/>
      <c r="AQ72" s="674"/>
      <c r="AR72" s="674"/>
      <c r="AS72" s="674"/>
      <c r="AT72" s="674"/>
      <c r="AU72" s="674"/>
      <c r="AV72" s="674"/>
      <c r="AW72" s="675"/>
      <c r="AX72" s="626"/>
      <c r="AY72" s="602"/>
      <c r="AZ72" s="602"/>
      <c r="BA72" s="602"/>
      <c r="BB72" s="602"/>
      <c r="BC72" s="602"/>
      <c r="BD72" s="602"/>
      <c r="BE72" s="602"/>
      <c r="BF72" s="602"/>
      <c r="BG72" s="602"/>
      <c r="BH72" s="602"/>
      <c r="BI72" s="602"/>
      <c r="BJ72" s="602"/>
      <c r="BK72" s="602"/>
      <c r="BL72" s="602"/>
      <c r="BM72" s="602"/>
      <c r="BN72" s="602"/>
      <c r="BO72" s="602"/>
      <c r="BP72" s="602"/>
      <c r="BQ72" s="602"/>
    </row>
    <row r="73" spans="1:69">
      <c r="A73" s="614"/>
      <c r="B73" s="615"/>
      <c r="C73" s="656" t="s">
        <v>406</v>
      </c>
      <c r="D73" s="652"/>
      <c r="E73" s="657"/>
      <c r="F73" s="656" t="s">
        <v>407</v>
      </c>
      <c r="G73" s="657"/>
      <c r="H73" s="656" t="s">
        <v>408</v>
      </c>
      <c r="I73" s="652"/>
      <c r="J73" s="652"/>
      <c r="K73" s="652"/>
      <c r="L73" s="652"/>
      <c r="M73" s="652"/>
      <c r="N73" s="652"/>
      <c r="O73" s="657"/>
      <c r="P73" s="656"/>
      <c r="Q73" s="652"/>
      <c r="R73" s="652"/>
      <c r="S73" s="652"/>
      <c r="T73" s="652"/>
      <c r="U73" s="652"/>
      <c r="V73" s="652"/>
      <c r="W73" s="652"/>
      <c r="X73" s="652"/>
      <c r="Y73" s="652"/>
      <c r="Z73" s="652"/>
      <c r="AA73" s="664"/>
      <c r="AB73" s="652"/>
      <c r="AC73" s="652"/>
      <c r="AD73" s="657"/>
      <c r="AE73" s="656"/>
      <c r="AF73" s="654"/>
      <c r="AG73" s="654"/>
      <c r="AH73" s="654"/>
      <c r="AI73" s="654"/>
      <c r="AJ73" s="654"/>
      <c r="AK73" s="654"/>
      <c r="AL73" s="654"/>
      <c r="AM73" s="654"/>
      <c r="AN73" s="654"/>
      <c r="AO73" s="654"/>
      <c r="AP73" s="654"/>
      <c r="AQ73" s="654"/>
      <c r="AR73" s="654"/>
      <c r="AS73" s="654"/>
      <c r="AT73" s="654"/>
      <c r="AU73" s="654"/>
      <c r="AV73" s="654"/>
      <c r="AW73" s="655"/>
      <c r="AX73" s="626"/>
      <c r="AY73" s="602"/>
      <c r="AZ73" s="602"/>
      <c r="BA73" s="602"/>
      <c r="BB73" s="602"/>
      <c r="BC73" s="602"/>
      <c r="BD73" s="602"/>
      <c r="BE73" s="602"/>
      <c r="BF73" s="602"/>
      <c r="BG73" s="602"/>
      <c r="BH73" s="602"/>
      <c r="BI73" s="602"/>
      <c r="BJ73" s="602"/>
      <c r="BK73" s="602"/>
      <c r="BL73" s="602"/>
      <c r="BM73" s="602"/>
      <c r="BN73" s="602"/>
      <c r="BO73" s="602"/>
      <c r="BP73" s="602"/>
      <c r="BQ73" s="602"/>
    </row>
    <row r="74" spans="1:69">
      <c r="A74" s="614"/>
      <c r="B74" s="615"/>
      <c r="C74" s="619"/>
      <c r="D74" s="618"/>
      <c r="E74" s="620"/>
      <c r="F74" s="658"/>
      <c r="G74" s="663"/>
      <c r="H74" s="658"/>
      <c r="I74" s="661"/>
      <c r="J74" s="661"/>
      <c r="K74" s="661"/>
      <c r="L74" s="661"/>
      <c r="M74" s="661"/>
      <c r="N74" s="661"/>
      <c r="O74" s="687" t="s">
        <v>380</v>
      </c>
      <c r="P74" s="658" t="s">
        <v>394</v>
      </c>
      <c r="Q74" s="661"/>
      <c r="R74" s="661"/>
      <c r="S74" s="661" t="s">
        <v>382</v>
      </c>
      <c r="T74" s="661"/>
      <c r="U74" s="662" t="s">
        <v>407</v>
      </c>
      <c r="V74" s="661"/>
      <c r="W74" s="661"/>
      <c r="X74" s="661" t="s">
        <v>386</v>
      </c>
      <c r="Y74" s="661"/>
      <c r="Z74" s="661"/>
      <c r="AA74" s="661" t="s">
        <v>337</v>
      </c>
      <c r="AB74" s="661"/>
      <c r="AC74" s="661"/>
      <c r="AD74" s="663"/>
      <c r="AE74" s="658" t="s">
        <v>342</v>
      </c>
      <c r="AF74" s="659"/>
      <c r="AG74" s="659"/>
      <c r="AH74" s="659" t="s">
        <v>409</v>
      </c>
      <c r="AI74" s="659"/>
      <c r="AJ74" s="659"/>
      <c r="AK74" s="659"/>
      <c r="AL74" s="659"/>
      <c r="AM74" s="659"/>
      <c r="AN74" s="659"/>
      <c r="AO74" s="659"/>
      <c r="AP74" s="659"/>
      <c r="AQ74" s="659"/>
      <c r="AR74" s="659"/>
      <c r="AS74" s="659"/>
      <c r="AT74" s="659"/>
      <c r="AU74" s="659"/>
      <c r="AV74" s="659"/>
      <c r="AW74" s="660"/>
      <c r="AX74" s="626"/>
      <c r="AY74" s="602"/>
      <c r="AZ74" s="602"/>
      <c r="BA74" s="602"/>
      <c r="BB74" s="602"/>
      <c r="BC74" s="602"/>
      <c r="BD74" s="602"/>
      <c r="BE74" s="602"/>
      <c r="BF74" s="602"/>
      <c r="BG74" s="602"/>
      <c r="BH74" s="602"/>
      <c r="BI74" s="602"/>
      <c r="BJ74" s="602"/>
      <c r="BK74" s="602"/>
      <c r="BL74" s="602"/>
      <c r="BM74" s="602"/>
      <c r="BN74" s="602"/>
      <c r="BO74" s="602"/>
      <c r="BP74" s="602"/>
      <c r="BQ74" s="602"/>
    </row>
    <row r="75" spans="1:69">
      <c r="A75" s="614"/>
      <c r="B75" s="615"/>
      <c r="C75" s="619"/>
      <c r="D75" s="618"/>
      <c r="E75" s="620"/>
      <c r="F75" s="656" t="s">
        <v>410</v>
      </c>
      <c r="G75" s="657"/>
      <c r="H75" s="656"/>
      <c r="I75" s="652"/>
      <c r="J75" s="652"/>
      <c r="K75" s="652"/>
      <c r="L75" s="652"/>
      <c r="M75" s="652"/>
      <c r="N75" s="652"/>
      <c r="O75" s="657"/>
      <c r="P75" s="676"/>
      <c r="Q75" s="677"/>
      <c r="R75" s="677"/>
      <c r="S75" s="677"/>
      <c r="T75" s="677"/>
      <c r="U75" s="677"/>
      <c r="V75" s="677"/>
      <c r="W75" s="677"/>
      <c r="X75" s="677"/>
      <c r="Y75" s="677"/>
      <c r="Z75" s="677"/>
      <c r="AA75" s="678"/>
      <c r="AB75" s="677"/>
      <c r="AC75" s="677"/>
      <c r="AD75" s="679"/>
      <c r="AE75" s="676"/>
      <c r="AF75" s="680"/>
      <c r="AG75" s="680"/>
      <c r="AH75" s="680"/>
      <c r="AI75" s="680"/>
      <c r="AJ75" s="680"/>
      <c r="AK75" s="680"/>
      <c r="AL75" s="680"/>
      <c r="AM75" s="680"/>
      <c r="AN75" s="680"/>
      <c r="AO75" s="680"/>
      <c r="AP75" s="680"/>
      <c r="AQ75" s="680"/>
      <c r="AR75" s="680"/>
      <c r="AS75" s="680"/>
      <c r="AT75" s="680"/>
      <c r="AU75" s="680"/>
      <c r="AV75" s="680"/>
      <c r="AW75" s="681"/>
      <c r="AX75" s="626"/>
      <c r="AY75" s="602"/>
      <c r="AZ75" s="602"/>
      <c r="BA75" s="602"/>
      <c r="BB75" s="602"/>
      <c r="BC75" s="602"/>
      <c r="BD75" s="602"/>
      <c r="BE75" s="602"/>
      <c r="BF75" s="602"/>
      <c r="BG75" s="602"/>
      <c r="BH75" s="602"/>
      <c r="BI75" s="602"/>
      <c r="BJ75" s="602"/>
      <c r="BK75" s="602"/>
      <c r="BL75" s="602"/>
      <c r="BM75" s="602"/>
      <c r="BN75" s="602"/>
      <c r="BO75" s="602"/>
      <c r="BP75" s="602"/>
      <c r="BQ75" s="602"/>
    </row>
    <row r="76" spans="1:69">
      <c r="A76" s="614"/>
      <c r="B76" s="615"/>
      <c r="C76" s="619"/>
      <c r="D76" s="618"/>
      <c r="E76" s="620"/>
      <c r="F76" s="619"/>
      <c r="G76" s="620"/>
      <c r="H76" s="619"/>
      <c r="I76" s="618"/>
      <c r="J76" s="618"/>
      <c r="K76" s="618"/>
      <c r="L76" s="618"/>
      <c r="M76" s="618"/>
      <c r="N76" s="618"/>
      <c r="O76" s="688" t="s">
        <v>380</v>
      </c>
      <c r="P76" s="707" t="s">
        <v>394</v>
      </c>
      <c r="Q76" s="708"/>
      <c r="R76" s="708"/>
      <c r="S76" s="708" t="s">
        <v>382</v>
      </c>
      <c r="T76" s="708"/>
      <c r="U76" s="708" t="s">
        <v>407</v>
      </c>
      <c r="V76" s="708"/>
      <c r="W76" s="708"/>
      <c r="X76" s="708" t="s">
        <v>386</v>
      </c>
      <c r="Y76" s="708"/>
      <c r="Z76" s="708"/>
      <c r="AA76" s="708" t="s">
        <v>337</v>
      </c>
      <c r="AB76" s="708"/>
      <c r="AC76" s="708"/>
      <c r="AD76" s="709"/>
      <c r="AE76" s="707" t="s">
        <v>334</v>
      </c>
      <c r="AF76" s="710"/>
      <c r="AG76" s="710"/>
      <c r="AH76" s="710" t="s">
        <v>411</v>
      </c>
      <c r="AI76" s="710"/>
      <c r="AJ76" s="710"/>
      <c r="AK76" s="710"/>
      <c r="AL76" s="710"/>
      <c r="AM76" s="710"/>
      <c r="AN76" s="710"/>
      <c r="AO76" s="710"/>
      <c r="AP76" s="710"/>
      <c r="AQ76" s="710"/>
      <c r="AR76" s="710"/>
      <c r="AS76" s="710"/>
      <c r="AT76" s="710"/>
      <c r="AU76" s="710"/>
      <c r="AV76" s="710"/>
      <c r="AW76" s="711"/>
      <c r="AX76" s="626"/>
      <c r="AY76" s="602"/>
      <c r="AZ76" s="602"/>
      <c r="BA76" s="602"/>
      <c r="BB76" s="602"/>
      <c r="BC76" s="602"/>
      <c r="BD76" s="602"/>
      <c r="BE76" s="602"/>
      <c r="BF76" s="602"/>
      <c r="BG76" s="602"/>
      <c r="BH76" s="602"/>
      <c r="BI76" s="602"/>
      <c r="BJ76" s="602"/>
      <c r="BK76" s="602"/>
      <c r="BL76" s="602"/>
      <c r="BM76" s="602"/>
      <c r="BN76" s="602"/>
      <c r="BO76" s="602"/>
      <c r="BP76" s="602"/>
      <c r="BQ76" s="602"/>
    </row>
    <row r="77" spans="1:69">
      <c r="A77" s="614"/>
      <c r="B77" s="615"/>
      <c r="C77" s="619"/>
      <c r="D77" s="618"/>
      <c r="E77" s="620"/>
      <c r="F77" s="656" t="s">
        <v>412</v>
      </c>
      <c r="G77" s="657"/>
      <c r="H77" s="656" t="s">
        <v>396</v>
      </c>
      <c r="I77" s="652"/>
      <c r="J77" s="652"/>
      <c r="K77" s="652"/>
      <c r="L77" s="652"/>
      <c r="M77" s="652"/>
      <c r="N77" s="652"/>
      <c r="O77" s="657"/>
      <c r="P77" s="656"/>
      <c r="Q77" s="652"/>
      <c r="R77" s="652"/>
      <c r="S77" s="652"/>
      <c r="T77" s="652"/>
      <c r="U77" s="652"/>
      <c r="V77" s="652"/>
      <c r="W77" s="652"/>
      <c r="X77" s="652"/>
      <c r="Y77" s="652"/>
      <c r="Z77" s="652"/>
      <c r="AA77" s="664"/>
      <c r="AB77" s="652"/>
      <c r="AC77" s="652"/>
      <c r="AD77" s="657"/>
      <c r="AE77" s="656"/>
      <c r="AF77" s="654"/>
      <c r="AG77" s="654"/>
      <c r="AH77" s="654"/>
      <c r="AI77" s="654"/>
      <c r="AJ77" s="654"/>
      <c r="AK77" s="654"/>
      <c r="AL77" s="654"/>
      <c r="AM77" s="654"/>
      <c r="AN77" s="654"/>
      <c r="AO77" s="654"/>
      <c r="AP77" s="654"/>
      <c r="AQ77" s="654"/>
      <c r="AR77" s="654"/>
      <c r="AS77" s="654"/>
      <c r="AT77" s="654"/>
      <c r="AU77" s="654"/>
      <c r="AV77" s="654"/>
      <c r="AW77" s="655"/>
      <c r="AX77" s="626"/>
      <c r="AY77" s="602"/>
      <c r="AZ77" s="602"/>
      <c r="BA77" s="602"/>
      <c r="BB77" s="602"/>
      <c r="BC77" s="602"/>
      <c r="BD77" s="602"/>
      <c r="BE77" s="602"/>
      <c r="BF77" s="602"/>
      <c r="BG77" s="602"/>
      <c r="BH77" s="602"/>
      <c r="BI77" s="602"/>
      <c r="BJ77" s="602"/>
      <c r="BK77" s="602"/>
      <c r="BL77" s="602"/>
      <c r="BM77" s="602"/>
      <c r="BN77" s="602"/>
      <c r="BO77" s="602"/>
      <c r="BP77" s="602"/>
      <c r="BQ77" s="602"/>
    </row>
    <row r="78" spans="1:69">
      <c r="A78" s="614"/>
      <c r="B78" s="615"/>
      <c r="C78" s="619"/>
      <c r="D78" s="618"/>
      <c r="E78" s="620"/>
      <c r="F78" s="658"/>
      <c r="G78" s="663"/>
      <c r="H78" s="658"/>
      <c r="I78" s="661"/>
      <c r="J78" s="661"/>
      <c r="K78" s="661"/>
      <c r="L78" s="661"/>
      <c r="M78" s="661"/>
      <c r="N78" s="661"/>
      <c r="O78" s="687" t="s">
        <v>380</v>
      </c>
      <c r="P78" s="658" t="s">
        <v>397</v>
      </c>
      <c r="Q78" s="661"/>
      <c r="R78" s="661"/>
      <c r="S78" s="661" t="s">
        <v>382</v>
      </c>
      <c r="T78" s="661"/>
      <c r="U78" s="661" t="s">
        <v>407</v>
      </c>
      <c r="V78" s="661"/>
      <c r="W78" s="661"/>
      <c r="X78" s="662" t="s">
        <v>354</v>
      </c>
      <c r="Y78" s="661"/>
      <c r="Z78" s="661"/>
      <c r="AA78" s="661" t="s">
        <v>337</v>
      </c>
      <c r="AB78" s="661"/>
      <c r="AC78" s="661"/>
      <c r="AD78" s="663"/>
      <c r="AE78" s="658" t="s">
        <v>338</v>
      </c>
      <c r="AF78" s="659"/>
      <c r="AG78" s="659"/>
      <c r="AH78" s="659" t="s">
        <v>399</v>
      </c>
      <c r="AI78" s="659"/>
      <c r="AJ78" s="659"/>
      <c r="AK78" s="659"/>
      <c r="AL78" s="659"/>
      <c r="AM78" s="659"/>
      <c r="AN78" s="659"/>
      <c r="AO78" s="659"/>
      <c r="AP78" s="659"/>
      <c r="AQ78" s="659"/>
      <c r="AR78" s="659"/>
      <c r="AS78" s="659"/>
      <c r="AT78" s="659"/>
      <c r="AU78" s="659"/>
      <c r="AV78" s="659"/>
      <c r="AW78" s="660"/>
      <c r="AX78" s="626"/>
      <c r="AY78" s="602"/>
      <c r="AZ78" s="602"/>
      <c r="BA78" s="602"/>
      <c r="BB78" s="602"/>
      <c r="BC78" s="602"/>
      <c r="BD78" s="602"/>
      <c r="BE78" s="602"/>
      <c r="BF78" s="602"/>
      <c r="BG78" s="602"/>
      <c r="BH78" s="602"/>
      <c r="BI78" s="602"/>
      <c r="BJ78" s="602"/>
      <c r="BK78" s="602"/>
      <c r="BL78" s="602"/>
      <c r="BM78" s="602"/>
      <c r="BN78" s="602"/>
      <c r="BO78" s="602"/>
      <c r="BP78" s="602"/>
      <c r="BQ78" s="602"/>
    </row>
    <row r="79" spans="1:69">
      <c r="A79" s="614"/>
      <c r="B79" s="615"/>
      <c r="C79" s="619"/>
      <c r="D79" s="618"/>
      <c r="E79" s="620"/>
      <c r="F79" s="656" t="s">
        <v>413</v>
      </c>
      <c r="G79" s="657"/>
      <c r="H79" s="656"/>
      <c r="I79" s="652"/>
      <c r="J79" s="652"/>
      <c r="K79" s="652"/>
      <c r="L79" s="652"/>
      <c r="M79" s="652"/>
      <c r="N79" s="652"/>
      <c r="O79" s="657"/>
      <c r="P79" s="676"/>
      <c r="Q79" s="677"/>
      <c r="R79" s="677"/>
      <c r="S79" s="677"/>
      <c r="T79" s="677"/>
      <c r="U79" s="677"/>
      <c r="V79" s="677"/>
      <c r="W79" s="677"/>
      <c r="X79" s="677"/>
      <c r="Y79" s="677"/>
      <c r="Z79" s="677"/>
      <c r="AA79" s="678"/>
      <c r="AB79" s="677"/>
      <c r="AC79" s="677"/>
      <c r="AD79" s="679"/>
      <c r="AE79" s="676"/>
      <c r="AF79" s="680"/>
      <c r="AG79" s="680"/>
      <c r="AH79" s="680"/>
      <c r="AI79" s="680"/>
      <c r="AJ79" s="680"/>
      <c r="AK79" s="680"/>
      <c r="AL79" s="680"/>
      <c r="AM79" s="680"/>
      <c r="AN79" s="680"/>
      <c r="AO79" s="680"/>
      <c r="AP79" s="680"/>
      <c r="AQ79" s="680"/>
      <c r="AR79" s="680"/>
      <c r="AS79" s="680"/>
      <c r="AT79" s="680"/>
      <c r="AU79" s="680"/>
      <c r="AV79" s="680"/>
      <c r="AW79" s="681"/>
      <c r="AX79" s="626"/>
      <c r="AY79" s="602"/>
      <c r="AZ79" s="602"/>
      <c r="BA79" s="602"/>
      <c r="BB79" s="602"/>
      <c r="BC79" s="602"/>
      <c r="BD79" s="602"/>
      <c r="BE79" s="602"/>
      <c r="BF79" s="602"/>
      <c r="BG79" s="602"/>
      <c r="BH79" s="602"/>
      <c r="BI79" s="602"/>
      <c r="BJ79" s="602"/>
      <c r="BK79" s="602"/>
      <c r="BL79" s="602"/>
      <c r="BM79" s="602"/>
      <c r="BN79" s="602"/>
      <c r="BO79" s="602"/>
      <c r="BP79" s="602"/>
      <c r="BQ79" s="602"/>
    </row>
    <row r="80" spans="1:69">
      <c r="A80" s="614"/>
      <c r="B80" s="615"/>
      <c r="C80" s="628"/>
      <c r="D80" s="629"/>
      <c r="E80" s="630"/>
      <c r="F80" s="628"/>
      <c r="G80" s="630"/>
      <c r="H80" s="628"/>
      <c r="I80" s="629"/>
      <c r="J80" s="629"/>
      <c r="K80" s="629"/>
      <c r="L80" s="629"/>
      <c r="M80" s="629"/>
      <c r="N80" s="629"/>
      <c r="O80" s="689" t="s">
        <v>380</v>
      </c>
      <c r="P80" s="682" t="s">
        <v>397</v>
      </c>
      <c r="Q80" s="683"/>
      <c r="R80" s="683"/>
      <c r="S80" s="683" t="s">
        <v>382</v>
      </c>
      <c r="T80" s="683"/>
      <c r="U80" s="683" t="s">
        <v>407</v>
      </c>
      <c r="V80" s="683"/>
      <c r="W80" s="683"/>
      <c r="X80" s="683" t="s">
        <v>354</v>
      </c>
      <c r="Y80" s="683"/>
      <c r="Z80" s="683"/>
      <c r="AA80" s="683" t="s">
        <v>337</v>
      </c>
      <c r="AB80" s="683"/>
      <c r="AC80" s="683"/>
      <c r="AD80" s="684"/>
      <c r="AE80" s="682" t="s">
        <v>334</v>
      </c>
      <c r="AF80" s="685"/>
      <c r="AG80" s="685"/>
      <c r="AH80" s="685" t="s">
        <v>400</v>
      </c>
      <c r="AI80" s="685"/>
      <c r="AJ80" s="685"/>
      <c r="AK80" s="685"/>
      <c r="AL80" s="685"/>
      <c r="AM80" s="685"/>
      <c r="AN80" s="685"/>
      <c r="AO80" s="685"/>
      <c r="AP80" s="685"/>
      <c r="AQ80" s="685"/>
      <c r="AR80" s="685"/>
      <c r="AS80" s="685"/>
      <c r="AT80" s="685"/>
      <c r="AU80" s="685"/>
      <c r="AV80" s="685"/>
      <c r="AW80" s="686"/>
      <c r="AX80" s="626"/>
      <c r="AY80" s="602"/>
      <c r="AZ80" s="602"/>
      <c r="BA80" s="602"/>
      <c r="BB80" s="602"/>
      <c r="BC80" s="602"/>
      <c r="BD80" s="602"/>
      <c r="BE80" s="602"/>
      <c r="BF80" s="602"/>
      <c r="BG80" s="602"/>
      <c r="BH80" s="602"/>
      <c r="BI80" s="602"/>
      <c r="BJ80" s="602"/>
      <c r="BK80" s="602"/>
      <c r="BL80" s="602"/>
      <c r="BM80" s="602"/>
      <c r="BN80" s="602"/>
      <c r="BO80" s="602"/>
      <c r="BP80" s="602"/>
      <c r="BQ80" s="602"/>
    </row>
    <row r="81" spans="1:69">
      <c r="A81" s="614"/>
      <c r="B81" s="615"/>
      <c r="C81" s="615"/>
      <c r="D81" s="615"/>
      <c r="E81" s="618"/>
      <c r="F81" s="618"/>
      <c r="G81" s="618"/>
      <c r="H81" s="618"/>
      <c r="I81" s="618"/>
      <c r="J81" s="618"/>
      <c r="K81" s="618"/>
      <c r="L81" s="618"/>
      <c r="M81" s="618"/>
      <c r="N81" s="618"/>
      <c r="O81" s="618"/>
      <c r="P81" s="618"/>
      <c r="Q81" s="618"/>
      <c r="R81" s="618"/>
      <c r="S81" s="618"/>
      <c r="T81" s="618"/>
      <c r="U81" s="618"/>
      <c r="V81" s="618"/>
      <c r="W81" s="618"/>
      <c r="X81" s="618"/>
      <c r="Y81" s="618"/>
      <c r="Z81" s="618"/>
      <c r="AA81" s="618"/>
      <c r="AB81" s="618"/>
      <c r="AC81" s="618"/>
      <c r="AD81" s="618"/>
      <c r="AE81" s="618"/>
      <c r="AF81" s="618"/>
      <c r="AG81" s="618"/>
      <c r="AH81" s="618"/>
      <c r="AI81" s="618"/>
      <c r="AJ81" s="618"/>
      <c r="AK81" s="615"/>
      <c r="AL81" s="615"/>
      <c r="AM81" s="615"/>
      <c r="AN81" s="615"/>
      <c r="AO81" s="615"/>
      <c r="AP81" s="615"/>
      <c r="AQ81" s="615"/>
      <c r="AR81" s="615"/>
      <c r="AS81" s="615"/>
      <c r="AT81" s="615"/>
      <c r="AU81" s="615"/>
      <c r="AV81" s="615"/>
      <c r="AW81" s="615"/>
      <c r="AX81" s="626"/>
      <c r="AY81" s="602"/>
      <c r="AZ81" s="602"/>
      <c r="BA81" s="602"/>
      <c r="BB81" s="602"/>
      <c r="BC81" s="602"/>
      <c r="BD81" s="602"/>
      <c r="BE81" s="602"/>
      <c r="BF81" s="602"/>
      <c r="BG81" s="602"/>
      <c r="BH81" s="602"/>
      <c r="BI81" s="602"/>
      <c r="BJ81" s="602"/>
      <c r="BK81" s="602"/>
      <c r="BL81" s="602"/>
      <c r="BM81" s="602"/>
      <c r="BN81" s="602"/>
      <c r="BO81" s="602"/>
      <c r="BP81" s="602"/>
      <c r="BQ81" s="602"/>
    </row>
    <row r="82" spans="1:69">
      <c r="A82" s="614"/>
      <c r="B82" s="615"/>
      <c r="C82" s="615"/>
      <c r="D82" s="615"/>
      <c r="E82" s="618"/>
      <c r="F82" s="618"/>
      <c r="G82" s="618"/>
      <c r="H82" s="618"/>
      <c r="I82" s="618"/>
      <c r="J82" s="618"/>
      <c r="K82" s="618"/>
      <c r="L82" s="618"/>
      <c r="M82" s="618"/>
      <c r="N82" s="618"/>
      <c r="O82" s="618"/>
      <c r="P82" s="618"/>
      <c r="Q82" s="618"/>
      <c r="R82" s="618"/>
      <c r="S82" s="618"/>
      <c r="T82" s="618"/>
      <c r="U82" s="618"/>
      <c r="V82" s="618"/>
      <c r="W82" s="618"/>
      <c r="X82" s="618"/>
      <c r="Y82" s="618"/>
      <c r="Z82" s="618"/>
      <c r="AA82" s="618"/>
      <c r="AB82" s="618"/>
      <c r="AC82" s="618"/>
      <c r="AD82" s="618"/>
      <c r="AE82" s="618"/>
      <c r="AF82" s="618"/>
      <c r="AG82" s="618"/>
      <c r="AH82" s="618"/>
      <c r="AI82" s="618"/>
      <c r="AJ82" s="618"/>
      <c r="AK82" s="615"/>
      <c r="AL82" s="615"/>
      <c r="AM82" s="615"/>
      <c r="AN82" s="615"/>
      <c r="AO82" s="615"/>
      <c r="AP82" s="615"/>
      <c r="AQ82" s="615"/>
      <c r="AR82" s="615"/>
      <c r="AS82" s="615"/>
      <c r="AT82" s="615"/>
      <c r="AU82" s="615"/>
      <c r="AV82" s="615"/>
      <c r="AW82" s="615"/>
      <c r="AX82" s="626"/>
      <c r="AY82" s="602"/>
      <c r="AZ82" s="602"/>
      <c r="BA82" s="602"/>
      <c r="BB82" s="602"/>
      <c r="BC82" s="602"/>
      <c r="BD82" s="602"/>
      <c r="BE82" s="602"/>
      <c r="BF82" s="602"/>
      <c r="BG82" s="602"/>
      <c r="BH82" s="602"/>
      <c r="BI82" s="602"/>
      <c r="BJ82" s="602"/>
      <c r="BK82" s="602"/>
      <c r="BL82" s="602"/>
      <c r="BM82" s="602"/>
      <c r="BN82" s="602"/>
      <c r="BO82" s="602"/>
      <c r="BP82" s="602"/>
      <c r="BQ82" s="602"/>
    </row>
    <row r="83" spans="1:69" ht="12.75" thickBot="1">
      <c r="A83" s="616"/>
      <c r="B83" s="617"/>
      <c r="C83" s="617"/>
      <c r="D83" s="617"/>
      <c r="E83" s="621"/>
      <c r="F83" s="621"/>
      <c r="G83" s="621"/>
      <c r="H83" s="621"/>
      <c r="I83" s="621"/>
      <c r="J83" s="621"/>
      <c r="K83" s="621"/>
      <c r="L83" s="621"/>
      <c r="M83" s="621"/>
      <c r="N83" s="621"/>
      <c r="O83" s="621"/>
      <c r="P83" s="621"/>
      <c r="Q83" s="621"/>
      <c r="R83" s="621"/>
      <c r="S83" s="621"/>
      <c r="T83" s="621"/>
      <c r="U83" s="621"/>
      <c r="V83" s="621"/>
      <c r="W83" s="621"/>
      <c r="X83" s="621"/>
      <c r="Y83" s="621"/>
      <c r="Z83" s="621"/>
      <c r="AA83" s="621"/>
      <c r="AB83" s="621"/>
      <c r="AC83" s="621"/>
      <c r="AD83" s="621"/>
      <c r="AE83" s="621"/>
      <c r="AF83" s="621"/>
      <c r="AG83" s="621"/>
      <c r="AH83" s="621"/>
      <c r="AI83" s="621"/>
      <c r="AJ83" s="621"/>
      <c r="AK83" s="617"/>
      <c r="AL83" s="617"/>
      <c r="AM83" s="617"/>
      <c r="AN83" s="617"/>
      <c r="AO83" s="617"/>
      <c r="AP83" s="617"/>
      <c r="AQ83" s="617"/>
      <c r="AR83" s="617"/>
      <c r="AS83" s="617"/>
      <c r="AT83" s="617"/>
      <c r="AU83" s="617"/>
      <c r="AV83" s="617"/>
      <c r="AW83" s="617"/>
      <c r="AX83" s="647"/>
      <c r="AY83" s="602"/>
      <c r="AZ83" s="602"/>
      <c r="BA83" s="602"/>
      <c r="BB83" s="602"/>
      <c r="BC83" s="602"/>
      <c r="BD83" s="602"/>
      <c r="BE83" s="602"/>
      <c r="BF83" s="602"/>
      <c r="BG83" s="602"/>
      <c r="BH83" s="602"/>
      <c r="BI83" s="602"/>
      <c r="BJ83" s="602"/>
      <c r="BK83" s="602"/>
      <c r="BL83" s="602"/>
      <c r="BM83" s="602"/>
      <c r="BN83" s="602"/>
      <c r="BO83" s="602"/>
      <c r="BP83" s="602"/>
      <c r="BQ83" s="602"/>
    </row>
    <row r="84" spans="1:69">
      <c r="A84" s="648"/>
      <c r="B84" s="642"/>
      <c r="C84" s="642"/>
      <c r="D84" s="642"/>
      <c r="E84" s="793"/>
      <c r="F84" s="793"/>
      <c r="G84" s="793"/>
      <c r="H84" s="793"/>
      <c r="I84" s="793"/>
      <c r="J84" s="793"/>
      <c r="K84" s="793"/>
      <c r="L84" s="793"/>
      <c r="M84" s="793"/>
      <c r="N84" s="793"/>
      <c r="O84" s="793"/>
      <c r="P84" s="793"/>
      <c r="Q84" s="793"/>
      <c r="R84" s="793"/>
      <c r="S84" s="793"/>
      <c r="T84" s="793"/>
      <c r="U84" s="793"/>
      <c r="V84" s="793"/>
      <c r="W84" s="793"/>
      <c r="X84" s="793"/>
      <c r="Y84" s="793"/>
      <c r="Z84" s="793"/>
      <c r="AA84" s="793"/>
      <c r="AB84" s="793"/>
      <c r="AC84" s="793"/>
      <c r="AD84" s="793"/>
      <c r="AE84" s="793"/>
      <c r="AF84" s="793"/>
      <c r="AG84" s="793"/>
      <c r="AH84" s="793"/>
      <c r="AI84" s="793"/>
      <c r="AJ84" s="793"/>
      <c r="AK84" s="642"/>
      <c r="AL84" s="642"/>
      <c r="AM84" s="642"/>
      <c r="AN84" s="642"/>
      <c r="AO84" s="642"/>
      <c r="AP84" s="642"/>
      <c r="AQ84" s="642"/>
      <c r="AR84" s="642"/>
      <c r="AS84" s="642"/>
      <c r="AT84" s="642"/>
      <c r="AU84" s="642"/>
      <c r="AV84" s="642"/>
      <c r="AW84" s="642"/>
      <c r="AX84" s="643"/>
      <c r="AY84" s="602"/>
      <c r="AZ84" s="602"/>
      <c r="BA84" s="602"/>
      <c r="BB84" s="602"/>
      <c r="BC84" s="602"/>
      <c r="BD84" s="602"/>
      <c r="BE84" s="602"/>
      <c r="BF84" s="602"/>
      <c r="BG84" s="602"/>
      <c r="BH84" s="602"/>
      <c r="BI84" s="602"/>
      <c r="BJ84" s="602"/>
      <c r="BK84" s="602"/>
      <c r="BL84" s="602"/>
      <c r="BM84" s="602"/>
      <c r="BN84" s="602"/>
      <c r="BO84" s="602"/>
      <c r="BP84" s="602"/>
      <c r="BQ84" s="602"/>
    </row>
    <row r="85" spans="1:69">
      <c r="A85" s="614"/>
      <c r="B85" s="615"/>
      <c r="C85" s="615" t="s">
        <v>414</v>
      </c>
      <c r="D85" s="615"/>
      <c r="E85" s="615"/>
      <c r="F85" s="615"/>
      <c r="G85" s="615"/>
      <c r="H85" s="615"/>
      <c r="I85" s="615"/>
      <c r="J85" s="615"/>
      <c r="K85" s="615"/>
      <c r="L85" s="615"/>
      <c r="M85" s="615"/>
      <c r="N85" s="615"/>
      <c r="O85" s="615"/>
      <c r="P85" s="615"/>
      <c r="Q85" s="615"/>
      <c r="R85" s="615"/>
      <c r="S85" s="615"/>
      <c r="T85" s="615"/>
      <c r="U85" s="615"/>
      <c r="V85" s="615"/>
      <c r="W85" s="615"/>
      <c r="X85" s="615"/>
      <c r="Y85" s="615"/>
      <c r="Z85" s="615"/>
      <c r="AA85" s="615"/>
      <c r="AB85" s="615"/>
      <c r="AC85" s="615"/>
      <c r="AD85" s="615"/>
      <c r="AE85" s="615"/>
      <c r="AF85" s="615"/>
      <c r="AG85" s="615"/>
      <c r="AH85" s="615"/>
      <c r="AI85" s="615"/>
      <c r="AJ85" s="615"/>
      <c r="AK85" s="615"/>
      <c r="AL85" s="615"/>
      <c r="AM85" s="615"/>
      <c r="AN85" s="615"/>
      <c r="AO85" s="615"/>
      <c r="AP85" s="615"/>
      <c r="AQ85" s="615"/>
      <c r="AR85" s="615"/>
      <c r="AS85" s="615"/>
      <c r="AT85" s="615"/>
      <c r="AU85" s="615"/>
      <c r="AV85" s="615"/>
      <c r="AW85" s="615"/>
      <c r="AX85" s="626"/>
      <c r="AY85" s="602"/>
      <c r="AZ85" s="602"/>
      <c r="BA85" s="602"/>
      <c r="BB85" s="602"/>
      <c r="BC85" s="602"/>
      <c r="BD85" s="602"/>
      <c r="BE85" s="602"/>
      <c r="BF85" s="602"/>
      <c r="BG85" s="602"/>
      <c r="BH85" s="602"/>
      <c r="BI85" s="602"/>
      <c r="BJ85" s="602"/>
      <c r="BK85" s="602"/>
      <c r="BL85" s="602"/>
      <c r="BM85" s="602"/>
      <c r="BN85" s="602"/>
      <c r="BO85" s="602"/>
      <c r="BP85" s="602"/>
      <c r="BQ85" s="602"/>
    </row>
    <row r="86" spans="1:69">
      <c r="A86" s="614"/>
      <c r="B86" s="615"/>
      <c r="C86" s="631" t="s">
        <v>367</v>
      </c>
      <c r="D86" s="623"/>
      <c r="E86" s="623"/>
      <c r="F86" s="623"/>
      <c r="G86" s="627"/>
      <c r="H86" s="631" t="s">
        <v>368</v>
      </c>
      <c r="I86" s="623"/>
      <c r="J86" s="623"/>
      <c r="K86" s="623"/>
      <c r="L86" s="623"/>
      <c r="M86" s="623"/>
      <c r="N86" s="623"/>
      <c r="O86" s="627"/>
      <c r="P86" s="634" t="s">
        <v>369</v>
      </c>
      <c r="Q86" s="632"/>
      <c r="R86" s="632"/>
      <c r="S86" s="632"/>
      <c r="T86" s="632"/>
      <c r="U86" s="632"/>
      <c r="V86" s="632"/>
      <c r="W86" s="632"/>
      <c r="X86" s="632"/>
      <c r="Y86" s="632"/>
      <c r="Z86" s="632"/>
      <c r="AA86" s="632"/>
      <c r="AB86" s="632"/>
      <c r="AC86" s="632"/>
      <c r="AD86" s="633"/>
      <c r="AE86" s="631" t="s">
        <v>370</v>
      </c>
      <c r="AF86" s="624"/>
      <c r="AG86" s="624"/>
      <c r="AH86" s="624"/>
      <c r="AI86" s="624"/>
      <c r="AJ86" s="624"/>
      <c r="AK86" s="624"/>
      <c r="AL86" s="624"/>
      <c r="AM86" s="624"/>
      <c r="AN86" s="624"/>
      <c r="AO86" s="624"/>
      <c r="AP86" s="624"/>
      <c r="AQ86" s="624"/>
      <c r="AR86" s="624"/>
      <c r="AS86" s="624"/>
      <c r="AT86" s="624"/>
      <c r="AU86" s="624"/>
      <c r="AV86" s="624"/>
      <c r="AW86" s="649"/>
      <c r="AX86" s="626"/>
      <c r="AY86" s="602"/>
      <c r="AZ86" s="602"/>
      <c r="BA86" s="602"/>
      <c r="BB86" s="602"/>
      <c r="BC86" s="602"/>
      <c r="BD86" s="602"/>
      <c r="BE86" s="602"/>
      <c r="BF86" s="602"/>
      <c r="BG86" s="602"/>
      <c r="BH86" s="602"/>
      <c r="BI86" s="602"/>
      <c r="BJ86" s="602"/>
      <c r="BK86" s="602"/>
      <c r="BL86" s="602"/>
      <c r="BM86" s="602"/>
      <c r="BN86" s="602"/>
      <c r="BO86" s="602"/>
      <c r="BP86" s="602"/>
      <c r="BQ86" s="602"/>
    </row>
    <row r="87" spans="1:69">
      <c r="A87" s="614"/>
      <c r="B87" s="615"/>
      <c r="C87" s="628"/>
      <c r="D87" s="629"/>
      <c r="E87" s="629"/>
      <c r="F87" s="629"/>
      <c r="G87" s="630"/>
      <c r="H87" s="628" t="s">
        <v>371</v>
      </c>
      <c r="I87" s="629"/>
      <c r="J87" s="629"/>
      <c r="K87" s="629"/>
      <c r="L87" s="629" t="s">
        <v>372</v>
      </c>
      <c r="M87" s="629"/>
      <c r="N87" s="629"/>
      <c r="O87" s="630"/>
      <c r="P87" s="631" t="s">
        <v>373</v>
      </c>
      <c r="Q87" s="623"/>
      <c r="R87" s="623"/>
      <c r="S87" s="623" t="s">
        <v>404</v>
      </c>
      <c r="T87" s="623"/>
      <c r="U87" s="623" t="s">
        <v>326</v>
      </c>
      <c r="V87" s="623"/>
      <c r="W87" s="623"/>
      <c r="X87" s="623" t="s">
        <v>375</v>
      </c>
      <c r="Y87" s="623"/>
      <c r="Z87" s="623"/>
      <c r="AA87" s="623" t="s">
        <v>376</v>
      </c>
      <c r="AB87" s="623"/>
      <c r="AC87" s="623"/>
      <c r="AD87" s="627"/>
      <c r="AE87" s="619"/>
      <c r="AF87" s="615"/>
      <c r="AG87" s="615"/>
      <c r="AH87" s="615"/>
      <c r="AI87" s="615"/>
      <c r="AJ87" s="615"/>
      <c r="AK87" s="615"/>
      <c r="AL87" s="615"/>
      <c r="AM87" s="615"/>
      <c r="AN87" s="615"/>
      <c r="AO87" s="615"/>
      <c r="AP87" s="615"/>
      <c r="AQ87" s="615"/>
      <c r="AR87" s="615"/>
      <c r="AS87" s="615"/>
      <c r="AT87" s="615"/>
      <c r="AU87" s="615"/>
      <c r="AV87" s="615"/>
      <c r="AW87" s="650"/>
      <c r="AX87" s="626"/>
      <c r="AY87" s="602"/>
      <c r="AZ87" s="602"/>
      <c r="BA87" s="602"/>
      <c r="BB87" s="602"/>
      <c r="BC87" s="602"/>
      <c r="BD87" s="602"/>
      <c r="BE87" s="602"/>
      <c r="BF87" s="602"/>
      <c r="BG87" s="602"/>
      <c r="BH87" s="602"/>
      <c r="BI87" s="602"/>
      <c r="BJ87" s="602"/>
      <c r="BK87" s="602"/>
      <c r="BL87" s="602"/>
      <c r="BM87" s="602"/>
      <c r="BN87" s="602"/>
      <c r="BO87" s="602"/>
      <c r="BP87" s="602"/>
      <c r="BQ87" s="602"/>
    </row>
    <row r="88" spans="1:69">
      <c r="A88" s="614"/>
      <c r="B88" s="615"/>
      <c r="C88" s="631" t="s">
        <v>377</v>
      </c>
      <c r="D88" s="623"/>
      <c r="E88" s="627"/>
      <c r="F88" s="631" t="s">
        <v>378</v>
      </c>
      <c r="G88" s="627"/>
      <c r="H88" s="631" t="s">
        <v>379</v>
      </c>
      <c r="I88" s="623"/>
      <c r="J88" s="623"/>
      <c r="K88" s="623"/>
      <c r="L88" s="623"/>
      <c r="M88" s="623"/>
      <c r="N88" s="623"/>
      <c r="O88" s="627"/>
      <c r="P88" s="666"/>
      <c r="Q88" s="667"/>
      <c r="R88" s="667"/>
      <c r="S88" s="667"/>
      <c r="T88" s="667"/>
      <c r="U88" s="667"/>
      <c r="V88" s="667"/>
      <c r="W88" s="667"/>
      <c r="X88" s="667"/>
      <c r="Y88" s="667"/>
      <c r="Z88" s="667"/>
      <c r="AA88" s="667"/>
      <c r="AB88" s="667"/>
      <c r="AC88" s="667"/>
      <c r="AD88" s="668"/>
      <c r="AE88" s="666"/>
      <c r="AF88" s="669"/>
      <c r="AG88" s="669"/>
      <c r="AH88" s="669"/>
      <c r="AI88" s="669"/>
      <c r="AJ88" s="669"/>
      <c r="AK88" s="669"/>
      <c r="AL88" s="669"/>
      <c r="AM88" s="669"/>
      <c r="AN88" s="669"/>
      <c r="AO88" s="669"/>
      <c r="AP88" s="669"/>
      <c r="AQ88" s="669"/>
      <c r="AR88" s="669"/>
      <c r="AS88" s="669"/>
      <c r="AT88" s="669"/>
      <c r="AU88" s="669"/>
      <c r="AV88" s="669"/>
      <c r="AW88" s="670"/>
      <c r="AX88" s="626"/>
      <c r="AY88" s="602"/>
      <c r="AZ88" s="602"/>
      <c r="BA88" s="602"/>
      <c r="BB88" s="602"/>
      <c r="BC88" s="602"/>
      <c r="BD88" s="602"/>
      <c r="BE88" s="602"/>
      <c r="BF88" s="602"/>
      <c r="BG88" s="602"/>
      <c r="BH88" s="602"/>
      <c r="BI88" s="602"/>
      <c r="BJ88" s="602"/>
      <c r="BK88" s="602"/>
      <c r="BL88" s="602"/>
      <c r="BM88" s="602"/>
      <c r="BN88" s="602"/>
      <c r="BO88" s="602"/>
      <c r="BP88" s="602"/>
      <c r="BQ88" s="602"/>
    </row>
    <row r="89" spans="1:69">
      <c r="A89" s="614"/>
      <c r="B89" s="615"/>
      <c r="C89" s="619"/>
      <c r="D89" s="618"/>
      <c r="E89" s="620"/>
      <c r="F89" s="658"/>
      <c r="G89" s="663"/>
      <c r="H89" s="658"/>
      <c r="I89" s="661"/>
      <c r="J89" s="661"/>
      <c r="K89" s="661"/>
      <c r="L89" s="661"/>
      <c r="M89" s="661"/>
      <c r="N89" s="661"/>
      <c r="O89" s="687" t="s">
        <v>380</v>
      </c>
      <c r="P89" s="671" t="s">
        <v>381</v>
      </c>
      <c r="Q89" s="672"/>
      <c r="R89" s="672"/>
      <c r="S89" s="672" t="s">
        <v>382</v>
      </c>
      <c r="T89" s="672"/>
      <c r="U89" s="672" t="s">
        <v>383</v>
      </c>
      <c r="V89" s="672"/>
      <c r="W89" s="672"/>
      <c r="X89" s="672" t="s">
        <v>386</v>
      </c>
      <c r="Y89" s="672"/>
      <c r="Z89" s="672"/>
      <c r="AA89" s="672" t="s">
        <v>355</v>
      </c>
      <c r="AB89" s="672"/>
      <c r="AC89" s="672"/>
      <c r="AD89" s="673"/>
      <c r="AE89" s="671" t="s">
        <v>356</v>
      </c>
      <c r="AF89" s="674"/>
      <c r="AG89" s="674"/>
      <c r="AH89" s="674" t="s">
        <v>384</v>
      </c>
      <c r="AI89" s="674"/>
      <c r="AJ89" s="674"/>
      <c r="AK89" s="674"/>
      <c r="AL89" s="674"/>
      <c r="AM89" s="674"/>
      <c r="AN89" s="674"/>
      <c r="AO89" s="674"/>
      <c r="AP89" s="674"/>
      <c r="AQ89" s="674"/>
      <c r="AR89" s="674"/>
      <c r="AS89" s="674"/>
      <c r="AT89" s="674"/>
      <c r="AU89" s="674"/>
      <c r="AV89" s="674"/>
      <c r="AW89" s="675"/>
      <c r="AX89" s="626"/>
      <c r="AY89" s="602"/>
      <c r="AZ89" s="602"/>
      <c r="BA89" s="602"/>
      <c r="BB89" s="602"/>
      <c r="BC89" s="602"/>
      <c r="BD89" s="602"/>
      <c r="BE89" s="602"/>
      <c r="BF89" s="602"/>
      <c r="BG89" s="602"/>
      <c r="BH89" s="602"/>
      <c r="BI89" s="602"/>
      <c r="BJ89" s="602"/>
      <c r="BK89" s="602"/>
      <c r="BL89" s="602"/>
      <c r="BM89" s="602"/>
      <c r="BN89" s="602"/>
      <c r="BO89" s="602"/>
      <c r="BP89" s="602"/>
      <c r="BQ89" s="602"/>
    </row>
    <row r="90" spans="1:69">
      <c r="A90" s="614"/>
      <c r="B90" s="615"/>
      <c r="C90" s="619"/>
      <c r="D90" s="618"/>
      <c r="E90" s="620"/>
      <c r="F90" s="656" t="s">
        <v>385</v>
      </c>
      <c r="G90" s="657"/>
      <c r="H90" s="656"/>
      <c r="I90" s="652"/>
      <c r="J90" s="652"/>
      <c r="K90" s="652"/>
      <c r="L90" s="652"/>
      <c r="M90" s="652"/>
      <c r="N90" s="652"/>
      <c r="O90" s="657"/>
      <c r="P90" s="676"/>
      <c r="Q90" s="677"/>
      <c r="R90" s="677"/>
      <c r="S90" s="677"/>
      <c r="T90" s="677"/>
      <c r="U90" s="677"/>
      <c r="V90" s="677"/>
      <c r="W90" s="677"/>
      <c r="X90" s="677"/>
      <c r="Y90" s="677"/>
      <c r="Z90" s="677"/>
      <c r="AA90" s="678"/>
      <c r="AB90" s="677"/>
      <c r="AC90" s="677"/>
      <c r="AD90" s="679"/>
      <c r="AE90" s="676"/>
      <c r="AF90" s="680"/>
      <c r="AG90" s="680"/>
      <c r="AH90" s="680"/>
      <c r="AI90" s="680"/>
      <c r="AJ90" s="680"/>
      <c r="AK90" s="680"/>
      <c r="AL90" s="680"/>
      <c r="AM90" s="680"/>
      <c r="AN90" s="680"/>
      <c r="AO90" s="680"/>
      <c r="AP90" s="680"/>
      <c r="AQ90" s="680"/>
      <c r="AR90" s="680"/>
      <c r="AS90" s="680"/>
      <c r="AT90" s="680"/>
      <c r="AU90" s="680"/>
      <c r="AV90" s="680"/>
      <c r="AW90" s="681"/>
      <c r="AX90" s="626"/>
      <c r="AY90" s="602"/>
      <c r="AZ90" s="602"/>
      <c r="BA90" s="602"/>
      <c r="BB90" s="602"/>
      <c r="BC90" s="602"/>
      <c r="BD90" s="602"/>
      <c r="BE90" s="602"/>
      <c r="BF90" s="602"/>
      <c r="BG90" s="602"/>
      <c r="BH90" s="602"/>
      <c r="BI90" s="602"/>
      <c r="BJ90" s="602"/>
      <c r="BK90" s="602"/>
      <c r="BL90" s="602"/>
      <c r="BM90" s="602"/>
      <c r="BN90" s="602"/>
      <c r="BO90" s="602"/>
      <c r="BP90" s="602"/>
      <c r="BQ90" s="602"/>
    </row>
    <row r="91" spans="1:69">
      <c r="A91" s="614"/>
      <c r="B91" s="615"/>
      <c r="C91" s="619"/>
      <c r="D91" s="618"/>
      <c r="E91" s="620"/>
      <c r="F91" s="619"/>
      <c r="G91" s="620"/>
      <c r="H91" s="619"/>
      <c r="I91" s="618"/>
      <c r="J91" s="618"/>
      <c r="K91" s="618"/>
      <c r="L91" s="618"/>
      <c r="M91" s="618"/>
      <c r="N91" s="618"/>
      <c r="O91" s="688" t="s">
        <v>380</v>
      </c>
      <c r="P91" s="707" t="s">
        <v>381</v>
      </c>
      <c r="Q91" s="708"/>
      <c r="R91" s="708"/>
      <c r="S91" s="708" t="s">
        <v>382</v>
      </c>
      <c r="T91" s="708"/>
      <c r="U91" s="708" t="s">
        <v>383</v>
      </c>
      <c r="V91" s="708"/>
      <c r="W91" s="708"/>
      <c r="X91" s="708" t="s">
        <v>386</v>
      </c>
      <c r="Y91" s="708"/>
      <c r="Z91" s="708"/>
      <c r="AA91" s="708" t="s">
        <v>355</v>
      </c>
      <c r="AB91" s="708"/>
      <c r="AC91" s="708"/>
      <c r="AD91" s="709"/>
      <c r="AE91" s="707" t="s">
        <v>356</v>
      </c>
      <c r="AF91" s="710"/>
      <c r="AG91" s="710"/>
      <c r="AH91" s="710" t="s">
        <v>384</v>
      </c>
      <c r="AI91" s="710"/>
      <c r="AJ91" s="710"/>
      <c r="AK91" s="710"/>
      <c r="AL91" s="710"/>
      <c r="AM91" s="710"/>
      <c r="AN91" s="710"/>
      <c r="AO91" s="710"/>
      <c r="AP91" s="710"/>
      <c r="AQ91" s="710"/>
      <c r="AR91" s="710"/>
      <c r="AS91" s="710"/>
      <c r="AT91" s="710"/>
      <c r="AU91" s="710"/>
      <c r="AV91" s="710"/>
      <c r="AW91" s="711"/>
      <c r="AX91" s="626"/>
      <c r="AY91" s="602"/>
      <c r="AZ91" s="602"/>
      <c r="BA91" s="602"/>
      <c r="BB91" s="602"/>
      <c r="BC91" s="602"/>
      <c r="BD91" s="602"/>
      <c r="BE91" s="602"/>
      <c r="BF91" s="602"/>
      <c r="BG91" s="602"/>
      <c r="BH91" s="602"/>
      <c r="BI91" s="602"/>
      <c r="BJ91" s="602"/>
      <c r="BK91" s="602"/>
      <c r="BL91" s="602"/>
      <c r="BM91" s="602"/>
      <c r="BN91" s="602"/>
      <c r="BO91" s="602"/>
      <c r="BP91" s="602"/>
      <c r="BQ91" s="602"/>
    </row>
    <row r="92" spans="1:69">
      <c r="A92" s="614"/>
      <c r="B92" s="615"/>
      <c r="C92" s="631" t="s">
        <v>387</v>
      </c>
      <c r="D92" s="623"/>
      <c r="E92" s="627"/>
      <c r="F92" s="631" t="s">
        <v>388</v>
      </c>
      <c r="G92" s="627"/>
      <c r="H92" s="631"/>
      <c r="I92" s="623"/>
      <c r="J92" s="623"/>
      <c r="K92" s="623"/>
      <c r="L92" s="623"/>
      <c r="M92" s="623"/>
      <c r="N92" s="623"/>
      <c r="O92" s="627"/>
      <c r="P92" s="631"/>
      <c r="Q92" s="623"/>
      <c r="R92" s="623"/>
      <c r="S92" s="623"/>
      <c r="T92" s="623"/>
      <c r="U92" s="623"/>
      <c r="V92" s="623"/>
      <c r="W92" s="623"/>
      <c r="X92" s="623"/>
      <c r="Y92" s="623"/>
      <c r="Z92" s="623"/>
      <c r="AA92" s="665"/>
      <c r="AB92" s="623"/>
      <c r="AC92" s="623"/>
      <c r="AD92" s="627"/>
      <c r="AE92" s="631"/>
      <c r="AF92" s="624"/>
      <c r="AG92" s="624"/>
      <c r="AH92" s="624"/>
      <c r="AI92" s="624"/>
      <c r="AJ92" s="624"/>
      <c r="AK92" s="624"/>
      <c r="AL92" s="624"/>
      <c r="AM92" s="624"/>
      <c r="AN92" s="624"/>
      <c r="AO92" s="624"/>
      <c r="AP92" s="624"/>
      <c r="AQ92" s="624"/>
      <c r="AR92" s="624"/>
      <c r="AS92" s="624"/>
      <c r="AT92" s="624"/>
      <c r="AU92" s="624"/>
      <c r="AV92" s="624"/>
      <c r="AW92" s="649"/>
      <c r="AX92" s="626"/>
      <c r="AY92" s="602"/>
      <c r="AZ92" s="602"/>
      <c r="BA92" s="602"/>
      <c r="BB92" s="602"/>
      <c r="BC92" s="602"/>
      <c r="BD92" s="602"/>
      <c r="BE92" s="602"/>
      <c r="BF92" s="602"/>
      <c r="BG92" s="602"/>
      <c r="BH92" s="602"/>
      <c r="BI92" s="602"/>
      <c r="BJ92" s="602"/>
      <c r="BK92" s="602"/>
      <c r="BL92" s="602"/>
      <c r="BM92" s="602"/>
      <c r="BN92" s="602"/>
      <c r="BO92" s="602"/>
      <c r="BP92" s="602"/>
      <c r="BQ92" s="602"/>
    </row>
    <row r="93" spans="1:69">
      <c r="A93" s="614"/>
      <c r="B93" s="615"/>
      <c r="C93" s="619"/>
      <c r="D93" s="618"/>
      <c r="E93" s="620"/>
      <c r="F93" s="658"/>
      <c r="G93" s="663"/>
      <c r="H93" s="658"/>
      <c r="I93" s="661"/>
      <c r="J93" s="661"/>
      <c r="K93" s="661"/>
      <c r="L93" s="661"/>
      <c r="M93" s="661"/>
      <c r="N93" s="661"/>
      <c r="O93" s="687" t="s">
        <v>380</v>
      </c>
      <c r="P93" s="658" t="s">
        <v>381</v>
      </c>
      <c r="Q93" s="661"/>
      <c r="R93" s="661"/>
      <c r="S93" s="661" t="s">
        <v>382</v>
      </c>
      <c r="T93" s="661"/>
      <c r="U93" s="661" t="s">
        <v>383</v>
      </c>
      <c r="V93" s="661"/>
      <c r="W93" s="661"/>
      <c r="X93" s="661" t="s">
        <v>386</v>
      </c>
      <c r="Y93" s="661"/>
      <c r="Z93" s="661"/>
      <c r="AA93" s="662" t="s">
        <v>337</v>
      </c>
      <c r="AB93" s="661"/>
      <c r="AC93" s="661"/>
      <c r="AD93" s="663"/>
      <c r="AE93" s="658" t="s">
        <v>338</v>
      </c>
      <c r="AF93" s="659"/>
      <c r="AG93" s="659"/>
      <c r="AH93" s="659" t="s">
        <v>389</v>
      </c>
      <c r="AI93" s="659"/>
      <c r="AJ93" s="659"/>
      <c r="AK93" s="659"/>
      <c r="AL93" s="659"/>
      <c r="AM93" s="659"/>
      <c r="AN93" s="659"/>
      <c r="AO93" s="659"/>
      <c r="AP93" s="659"/>
      <c r="AQ93" s="659"/>
      <c r="AR93" s="659"/>
      <c r="AS93" s="659"/>
      <c r="AT93" s="659"/>
      <c r="AU93" s="659"/>
      <c r="AV93" s="659"/>
      <c r="AW93" s="660"/>
      <c r="AX93" s="626"/>
      <c r="AY93" s="602"/>
      <c r="AZ93" s="602"/>
      <c r="BA93" s="602"/>
      <c r="BB93" s="602"/>
      <c r="BC93" s="602"/>
      <c r="BD93" s="602"/>
      <c r="BE93" s="602"/>
      <c r="BF93" s="602"/>
      <c r="BG93" s="602"/>
      <c r="BH93" s="602"/>
      <c r="BI93" s="602"/>
      <c r="BJ93" s="602"/>
      <c r="BK93" s="602"/>
      <c r="BL93" s="602"/>
      <c r="BM93" s="602"/>
      <c r="BN93" s="602"/>
      <c r="BO93" s="602"/>
      <c r="BP93" s="602"/>
      <c r="BQ93" s="602"/>
    </row>
    <row r="94" spans="1:69">
      <c r="A94" s="614"/>
      <c r="B94" s="615"/>
      <c r="C94" s="619"/>
      <c r="D94" s="618"/>
      <c r="E94" s="620"/>
      <c r="F94" s="619" t="s">
        <v>390</v>
      </c>
      <c r="G94" s="620"/>
      <c r="H94" s="656" t="s">
        <v>391</v>
      </c>
      <c r="I94" s="652"/>
      <c r="J94" s="652"/>
      <c r="K94" s="652"/>
      <c r="L94" s="652"/>
      <c r="M94" s="652"/>
      <c r="N94" s="652"/>
      <c r="O94" s="657"/>
      <c r="P94" s="656"/>
      <c r="Q94" s="652"/>
      <c r="R94" s="652"/>
      <c r="S94" s="652"/>
      <c r="T94" s="652"/>
      <c r="U94" s="652"/>
      <c r="V94" s="652"/>
      <c r="W94" s="652"/>
      <c r="X94" s="652"/>
      <c r="Y94" s="652"/>
      <c r="Z94" s="652"/>
      <c r="AA94" s="664"/>
      <c r="AB94" s="652"/>
      <c r="AC94" s="652"/>
      <c r="AD94" s="657"/>
      <c r="AE94" s="656"/>
      <c r="AF94" s="654"/>
      <c r="AG94" s="654"/>
      <c r="AH94" s="654"/>
      <c r="AI94" s="654"/>
      <c r="AJ94" s="654"/>
      <c r="AK94" s="654"/>
      <c r="AL94" s="654"/>
      <c r="AM94" s="654"/>
      <c r="AN94" s="654"/>
      <c r="AO94" s="654"/>
      <c r="AP94" s="654"/>
      <c r="AQ94" s="654"/>
      <c r="AR94" s="654"/>
      <c r="AS94" s="654"/>
      <c r="AT94" s="654"/>
      <c r="AU94" s="654"/>
      <c r="AV94" s="654"/>
      <c r="AW94" s="655"/>
      <c r="AX94" s="626"/>
      <c r="AY94" s="602"/>
      <c r="AZ94" s="602"/>
      <c r="BA94" s="602"/>
      <c r="BB94" s="602"/>
      <c r="BC94" s="602"/>
      <c r="BD94" s="602"/>
      <c r="BE94" s="602"/>
      <c r="BF94" s="602"/>
      <c r="BG94" s="602"/>
      <c r="BH94" s="602"/>
      <c r="BI94" s="602"/>
      <c r="BJ94" s="602"/>
      <c r="BK94" s="602"/>
      <c r="BL94" s="602"/>
      <c r="BM94" s="602"/>
      <c r="BN94" s="602"/>
      <c r="BO94" s="602"/>
      <c r="BP94" s="602"/>
      <c r="BQ94" s="602"/>
    </row>
    <row r="95" spans="1:69">
      <c r="A95" s="614"/>
      <c r="B95" s="615"/>
      <c r="C95" s="619"/>
      <c r="D95" s="618"/>
      <c r="E95" s="620"/>
      <c r="F95" s="619"/>
      <c r="G95" s="620"/>
      <c r="H95" s="658"/>
      <c r="I95" s="661"/>
      <c r="J95" s="661"/>
      <c r="K95" s="661"/>
      <c r="L95" s="661"/>
      <c r="M95" s="661"/>
      <c r="N95" s="661"/>
      <c r="O95" s="687" t="s">
        <v>380</v>
      </c>
      <c r="P95" s="658" t="s">
        <v>392</v>
      </c>
      <c r="Q95" s="661"/>
      <c r="R95" s="661"/>
      <c r="S95" s="661" t="s">
        <v>382</v>
      </c>
      <c r="T95" s="661"/>
      <c r="U95" s="661" t="s">
        <v>383</v>
      </c>
      <c r="V95" s="661"/>
      <c r="W95" s="661"/>
      <c r="X95" s="661" t="s">
        <v>386</v>
      </c>
      <c r="Y95" s="661"/>
      <c r="Z95" s="661"/>
      <c r="AA95" s="661" t="s">
        <v>337</v>
      </c>
      <c r="AB95" s="661"/>
      <c r="AC95" s="661"/>
      <c r="AD95" s="663"/>
      <c r="AE95" s="658" t="s">
        <v>338</v>
      </c>
      <c r="AF95" s="659"/>
      <c r="AG95" s="659"/>
      <c r="AH95" s="659" t="s">
        <v>393</v>
      </c>
      <c r="AI95" s="659"/>
      <c r="AJ95" s="659"/>
      <c r="AK95" s="659"/>
      <c r="AL95" s="659"/>
      <c r="AM95" s="659"/>
      <c r="AN95" s="659"/>
      <c r="AO95" s="659"/>
      <c r="AP95" s="659"/>
      <c r="AQ95" s="659"/>
      <c r="AR95" s="659"/>
      <c r="AS95" s="659"/>
      <c r="AT95" s="659"/>
      <c r="AU95" s="659"/>
      <c r="AV95" s="659"/>
      <c r="AW95" s="660"/>
      <c r="AX95" s="626"/>
      <c r="AY95" s="602"/>
      <c r="AZ95" s="602"/>
      <c r="BA95" s="602"/>
      <c r="BB95" s="602"/>
      <c r="BC95" s="602"/>
      <c r="BD95" s="602"/>
      <c r="BE95" s="602"/>
      <c r="BF95" s="602"/>
      <c r="BG95" s="602"/>
      <c r="BH95" s="602"/>
      <c r="BI95" s="602"/>
      <c r="BJ95" s="602"/>
      <c r="BK95" s="602"/>
      <c r="BL95" s="602"/>
      <c r="BM95" s="602"/>
      <c r="BN95" s="602"/>
      <c r="BO95" s="602"/>
      <c r="BP95" s="602"/>
      <c r="BQ95" s="602"/>
    </row>
    <row r="96" spans="1:69">
      <c r="A96" s="614"/>
      <c r="B96" s="615"/>
      <c r="C96" s="619"/>
      <c r="D96" s="618"/>
      <c r="E96" s="620"/>
      <c r="F96" s="656" t="s">
        <v>415</v>
      </c>
      <c r="G96" s="657"/>
      <c r="H96" s="656" t="s">
        <v>416</v>
      </c>
      <c r="I96" s="652"/>
      <c r="J96" s="652"/>
      <c r="K96" s="652"/>
      <c r="L96" s="652"/>
      <c r="M96" s="652"/>
      <c r="N96" s="652"/>
      <c r="O96" s="657"/>
      <c r="P96" s="656"/>
      <c r="Q96" s="652"/>
      <c r="R96" s="652"/>
      <c r="S96" s="652"/>
      <c r="T96" s="652"/>
      <c r="U96" s="652"/>
      <c r="V96" s="652"/>
      <c r="W96" s="652"/>
      <c r="X96" s="652"/>
      <c r="Y96" s="652"/>
      <c r="Z96" s="652"/>
      <c r="AA96" s="664"/>
      <c r="AB96" s="652"/>
      <c r="AC96" s="652"/>
      <c r="AD96" s="657"/>
      <c r="AE96" s="656"/>
      <c r="AF96" s="654"/>
      <c r="AG96" s="654"/>
      <c r="AH96" s="654"/>
      <c r="AI96" s="654"/>
      <c r="AJ96" s="654"/>
      <c r="AK96" s="654"/>
      <c r="AL96" s="654"/>
      <c r="AM96" s="654"/>
      <c r="AN96" s="654"/>
      <c r="AO96" s="654"/>
      <c r="AP96" s="654"/>
      <c r="AQ96" s="654"/>
      <c r="AR96" s="654"/>
      <c r="AS96" s="654"/>
      <c r="AT96" s="654"/>
      <c r="AU96" s="654"/>
      <c r="AV96" s="654"/>
      <c r="AW96" s="655"/>
      <c r="AX96" s="626"/>
      <c r="AY96" s="602"/>
      <c r="AZ96" s="602"/>
      <c r="BA96" s="602"/>
      <c r="BB96" s="602"/>
      <c r="BC96" s="602"/>
      <c r="BD96" s="602"/>
      <c r="BE96" s="602"/>
      <c r="BF96" s="602"/>
      <c r="BG96" s="602"/>
      <c r="BH96" s="602"/>
      <c r="BI96" s="602"/>
      <c r="BJ96" s="602"/>
      <c r="BK96" s="602"/>
      <c r="BL96" s="602"/>
      <c r="BM96" s="602"/>
      <c r="BN96" s="602"/>
      <c r="BO96" s="602"/>
      <c r="BP96" s="602"/>
      <c r="BQ96" s="602"/>
    </row>
    <row r="97" spans="1:69">
      <c r="A97" s="614"/>
      <c r="B97" s="615"/>
      <c r="C97" s="619"/>
      <c r="D97" s="618"/>
      <c r="E97" s="620"/>
      <c r="F97" s="619"/>
      <c r="G97" s="620"/>
      <c r="H97" s="619"/>
      <c r="I97" s="618"/>
      <c r="J97" s="618"/>
      <c r="K97" s="618"/>
      <c r="L97" s="618"/>
      <c r="M97" s="618"/>
      <c r="N97" s="618"/>
      <c r="O97" s="688" t="s">
        <v>380</v>
      </c>
      <c r="P97" s="619" t="s">
        <v>394</v>
      </c>
      <c r="Q97" s="618"/>
      <c r="R97" s="618"/>
      <c r="S97" s="618" t="s">
        <v>382</v>
      </c>
      <c r="T97" s="618"/>
      <c r="U97" s="618" t="s">
        <v>417</v>
      </c>
      <c r="V97" s="618"/>
      <c r="W97" s="618"/>
      <c r="X97" s="618" t="s">
        <v>386</v>
      </c>
      <c r="Y97" s="618"/>
      <c r="Z97" s="618"/>
      <c r="AA97" s="618" t="s">
        <v>337</v>
      </c>
      <c r="AB97" s="618"/>
      <c r="AC97" s="618"/>
      <c r="AD97" s="620"/>
      <c r="AE97" s="619" t="s">
        <v>338</v>
      </c>
      <c r="AF97" s="615"/>
      <c r="AG97" s="615"/>
      <c r="AH97" s="615" t="s">
        <v>418</v>
      </c>
      <c r="AI97" s="615"/>
      <c r="AJ97" s="615"/>
      <c r="AK97" s="615"/>
      <c r="AL97" s="615"/>
      <c r="AM97" s="615"/>
      <c r="AN97" s="615"/>
      <c r="AO97" s="615"/>
      <c r="AP97" s="615"/>
      <c r="AQ97" s="615"/>
      <c r="AR97" s="615"/>
      <c r="AS97" s="615"/>
      <c r="AT97" s="615"/>
      <c r="AU97" s="615"/>
      <c r="AV97" s="615"/>
      <c r="AW97" s="650"/>
      <c r="AX97" s="626"/>
      <c r="AY97" s="602"/>
      <c r="AZ97" s="602"/>
      <c r="BA97" s="602"/>
      <c r="BB97" s="602"/>
      <c r="BC97" s="602"/>
      <c r="BD97" s="602"/>
      <c r="BE97" s="602"/>
      <c r="BF97" s="602"/>
      <c r="BG97" s="602"/>
      <c r="BH97" s="602"/>
      <c r="BI97" s="602"/>
      <c r="BJ97" s="602"/>
      <c r="BK97" s="602"/>
      <c r="BL97" s="602"/>
      <c r="BM97" s="602"/>
      <c r="BN97" s="602"/>
      <c r="BO97" s="602"/>
      <c r="BP97" s="602"/>
      <c r="BQ97" s="602"/>
    </row>
    <row r="98" spans="1:69">
      <c r="A98" s="614"/>
      <c r="B98" s="615"/>
      <c r="C98" s="619"/>
      <c r="D98" s="618"/>
      <c r="E98" s="620"/>
      <c r="F98" s="656" t="s">
        <v>385</v>
      </c>
      <c r="G98" s="657"/>
      <c r="H98" s="656"/>
      <c r="I98" s="652"/>
      <c r="J98" s="652"/>
      <c r="K98" s="652"/>
      <c r="L98" s="652"/>
      <c r="M98" s="652"/>
      <c r="N98" s="652"/>
      <c r="O98" s="657"/>
      <c r="P98" s="656"/>
      <c r="Q98" s="652"/>
      <c r="R98" s="652"/>
      <c r="S98" s="652"/>
      <c r="T98" s="652"/>
      <c r="U98" s="652"/>
      <c r="V98" s="652"/>
      <c r="W98" s="652"/>
      <c r="X98" s="652"/>
      <c r="Y98" s="652"/>
      <c r="Z98" s="652"/>
      <c r="AA98" s="664"/>
      <c r="AB98" s="652"/>
      <c r="AC98" s="652"/>
      <c r="AD98" s="657"/>
      <c r="AE98" s="656"/>
      <c r="AF98" s="654"/>
      <c r="AG98" s="654"/>
      <c r="AH98" s="654"/>
      <c r="AI98" s="654"/>
      <c r="AJ98" s="654"/>
      <c r="AK98" s="654"/>
      <c r="AL98" s="654"/>
      <c r="AM98" s="654"/>
      <c r="AN98" s="654"/>
      <c r="AO98" s="654"/>
      <c r="AP98" s="654"/>
      <c r="AQ98" s="654"/>
      <c r="AR98" s="654"/>
      <c r="AS98" s="654"/>
      <c r="AT98" s="654"/>
      <c r="AU98" s="654"/>
      <c r="AV98" s="654"/>
      <c r="AW98" s="655"/>
      <c r="AX98" s="626"/>
      <c r="AY98" s="602"/>
      <c r="AZ98" s="602"/>
      <c r="BA98" s="602"/>
      <c r="BB98" s="602"/>
      <c r="BC98" s="602"/>
      <c r="BD98" s="602"/>
      <c r="BE98" s="602"/>
      <c r="BF98" s="602"/>
      <c r="BG98" s="602"/>
      <c r="BH98" s="602"/>
      <c r="BI98" s="602"/>
      <c r="BJ98" s="602"/>
      <c r="BK98" s="602"/>
      <c r="BL98" s="602"/>
      <c r="BM98" s="602"/>
      <c r="BN98" s="602"/>
      <c r="BO98" s="602"/>
      <c r="BP98" s="602"/>
      <c r="BQ98" s="602"/>
    </row>
    <row r="99" spans="1:69">
      <c r="A99" s="614"/>
      <c r="B99" s="615"/>
      <c r="C99" s="628"/>
      <c r="D99" s="629"/>
      <c r="E99" s="630"/>
      <c r="F99" s="628"/>
      <c r="G99" s="630"/>
      <c r="H99" s="628"/>
      <c r="I99" s="629"/>
      <c r="J99" s="629"/>
      <c r="K99" s="629"/>
      <c r="L99" s="629"/>
      <c r="M99" s="629"/>
      <c r="N99" s="629"/>
      <c r="O99" s="689" t="s">
        <v>380</v>
      </c>
      <c r="P99" s="628" t="s">
        <v>394</v>
      </c>
      <c r="Q99" s="629"/>
      <c r="R99" s="629"/>
      <c r="S99" s="629" t="s">
        <v>382</v>
      </c>
      <c r="T99" s="629"/>
      <c r="U99" s="629" t="s">
        <v>417</v>
      </c>
      <c r="V99" s="629"/>
      <c r="W99" s="629"/>
      <c r="X99" s="629" t="s">
        <v>386</v>
      </c>
      <c r="Y99" s="629"/>
      <c r="Z99" s="629"/>
      <c r="AA99" s="629" t="s">
        <v>337</v>
      </c>
      <c r="AB99" s="629"/>
      <c r="AC99" s="629"/>
      <c r="AD99" s="630"/>
      <c r="AE99" s="628" t="s">
        <v>338</v>
      </c>
      <c r="AF99" s="645"/>
      <c r="AG99" s="645"/>
      <c r="AH99" s="645" t="s">
        <v>418</v>
      </c>
      <c r="AI99" s="645"/>
      <c r="AJ99" s="645"/>
      <c r="AK99" s="645"/>
      <c r="AL99" s="645"/>
      <c r="AM99" s="645"/>
      <c r="AN99" s="645"/>
      <c r="AO99" s="645"/>
      <c r="AP99" s="645"/>
      <c r="AQ99" s="645"/>
      <c r="AR99" s="645"/>
      <c r="AS99" s="645"/>
      <c r="AT99" s="645"/>
      <c r="AU99" s="645"/>
      <c r="AV99" s="645"/>
      <c r="AW99" s="651"/>
      <c r="AX99" s="626"/>
      <c r="AY99" s="602"/>
      <c r="AZ99" s="602"/>
      <c r="BA99" s="602"/>
      <c r="BB99" s="602"/>
      <c r="BC99" s="602"/>
      <c r="BD99" s="602"/>
      <c r="BE99" s="602"/>
      <c r="BF99" s="602"/>
      <c r="BG99" s="602"/>
      <c r="BH99" s="602"/>
      <c r="BI99" s="602"/>
      <c r="BJ99" s="602"/>
      <c r="BK99" s="602"/>
      <c r="BL99" s="602"/>
      <c r="BM99" s="602"/>
      <c r="BN99" s="602"/>
      <c r="BO99" s="602"/>
      <c r="BP99" s="602"/>
      <c r="BQ99" s="602"/>
    </row>
    <row r="100" spans="1:69">
      <c r="A100" s="614"/>
      <c r="B100" s="615"/>
      <c r="C100" s="615"/>
      <c r="D100" s="615"/>
      <c r="E100" s="618"/>
      <c r="F100" s="618"/>
      <c r="G100" s="618"/>
      <c r="H100" s="618"/>
      <c r="I100" s="618"/>
      <c r="J100" s="618"/>
      <c r="K100" s="618"/>
      <c r="L100" s="618"/>
      <c r="M100" s="618"/>
      <c r="N100" s="618"/>
      <c r="O100" s="618"/>
      <c r="P100" s="618"/>
      <c r="Q100" s="618"/>
      <c r="R100" s="618"/>
      <c r="S100" s="618"/>
      <c r="T100" s="618"/>
      <c r="U100" s="618"/>
      <c r="V100" s="618"/>
      <c r="W100" s="618"/>
      <c r="X100" s="618"/>
      <c r="Y100" s="618"/>
      <c r="Z100" s="618"/>
      <c r="AA100" s="618"/>
      <c r="AB100" s="618"/>
      <c r="AC100" s="618"/>
      <c r="AD100" s="618"/>
      <c r="AE100" s="618"/>
      <c r="AF100" s="618"/>
      <c r="AG100" s="618"/>
      <c r="AH100" s="618"/>
      <c r="AI100" s="618"/>
      <c r="AJ100" s="618"/>
      <c r="AK100" s="618"/>
      <c r="AL100" s="615"/>
      <c r="AM100" s="615"/>
      <c r="AN100" s="615"/>
      <c r="AO100" s="615"/>
      <c r="AP100" s="615"/>
      <c r="AQ100" s="615"/>
      <c r="AR100" s="615"/>
      <c r="AS100" s="615"/>
      <c r="AT100" s="615"/>
      <c r="AU100" s="615"/>
      <c r="AV100" s="615"/>
      <c r="AW100" s="615"/>
      <c r="AX100" s="626"/>
      <c r="AY100" s="602"/>
      <c r="AZ100" s="602"/>
      <c r="BA100" s="602"/>
      <c r="BB100" s="602"/>
      <c r="BC100" s="602"/>
      <c r="BD100" s="602"/>
      <c r="BE100" s="602"/>
      <c r="BF100" s="602"/>
      <c r="BG100" s="602"/>
      <c r="BH100" s="602"/>
      <c r="BI100" s="602"/>
      <c r="BJ100" s="602"/>
      <c r="BK100" s="602"/>
      <c r="BL100" s="602"/>
      <c r="BM100" s="602"/>
      <c r="BN100" s="602"/>
      <c r="BO100" s="602"/>
      <c r="BP100" s="602"/>
      <c r="BQ100" s="602"/>
    </row>
    <row r="101" spans="1:69">
      <c r="A101" s="614"/>
      <c r="B101" s="615"/>
      <c r="C101" s="615" t="s">
        <v>419</v>
      </c>
      <c r="D101" s="615"/>
      <c r="E101" s="615"/>
      <c r="F101" s="615"/>
      <c r="G101" s="615"/>
      <c r="H101" s="615"/>
      <c r="I101" s="615"/>
      <c r="J101" s="615"/>
      <c r="K101" s="615"/>
      <c r="L101" s="615"/>
      <c r="M101" s="615"/>
      <c r="N101" s="615"/>
      <c r="O101" s="615"/>
      <c r="P101" s="615"/>
      <c r="Q101" s="615"/>
      <c r="R101" s="615"/>
      <c r="S101" s="615"/>
      <c r="T101" s="615"/>
      <c r="U101" s="615"/>
      <c r="V101" s="615"/>
      <c r="W101" s="615"/>
      <c r="X101" s="615"/>
      <c r="Y101" s="615"/>
      <c r="Z101" s="615"/>
      <c r="AA101" s="615"/>
      <c r="AB101" s="615"/>
      <c r="AC101" s="615"/>
      <c r="AD101" s="615"/>
      <c r="AE101" s="615"/>
      <c r="AF101" s="615"/>
      <c r="AG101" s="615"/>
      <c r="AH101" s="615"/>
      <c r="AI101" s="615"/>
      <c r="AJ101" s="615"/>
      <c r="AK101" s="615"/>
      <c r="AL101" s="615"/>
      <c r="AM101" s="615"/>
      <c r="AN101" s="615"/>
      <c r="AO101" s="615"/>
      <c r="AP101" s="615"/>
      <c r="AQ101" s="615"/>
      <c r="AR101" s="615"/>
      <c r="AS101" s="615"/>
      <c r="AT101" s="615"/>
      <c r="AU101" s="615"/>
      <c r="AV101" s="615"/>
      <c r="AW101" s="615"/>
      <c r="AX101" s="626"/>
      <c r="AY101" s="602"/>
      <c r="AZ101" s="602"/>
      <c r="BA101" s="602"/>
      <c r="BB101" s="602"/>
      <c r="BC101" s="602"/>
      <c r="BD101" s="602"/>
      <c r="BE101" s="602"/>
      <c r="BF101" s="602"/>
      <c r="BG101" s="602"/>
      <c r="BH101" s="602"/>
      <c r="BI101" s="602"/>
      <c r="BJ101" s="602"/>
      <c r="BK101" s="602"/>
      <c r="BL101" s="602"/>
      <c r="BM101" s="602"/>
      <c r="BN101" s="602"/>
      <c r="BO101" s="602"/>
      <c r="BP101" s="602"/>
      <c r="BQ101" s="602"/>
    </row>
    <row r="102" spans="1:69">
      <c r="A102" s="614"/>
      <c r="B102" s="615"/>
      <c r="C102" s="631" t="s">
        <v>367</v>
      </c>
      <c r="D102" s="623"/>
      <c r="E102" s="623"/>
      <c r="F102" s="623"/>
      <c r="G102" s="627"/>
      <c r="H102" s="631" t="s">
        <v>368</v>
      </c>
      <c r="I102" s="623"/>
      <c r="J102" s="623"/>
      <c r="K102" s="623"/>
      <c r="L102" s="623"/>
      <c r="M102" s="623"/>
      <c r="N102" s="623"/>
      <c r="O102" s="627"/>
      <c r="P102" s="634" t="s">
        <v>369</v>
      </c>
      <c r="Q102" s="632"/>
      <c r="R102" s="632"/>
      <c r="S102" s="632"/>
      <c r="T102" s="632"/>
      <c r="U102" s="632"/>
      <c r="V102" s="632"/>
      <c r="W102" s="632"/>
      <c r="X102" s="632"/>
      <c r="Y102" s="632"/>
      <c r="Z102" s="632"/>
      <c r="AA102" s="632"/>
      <c r="AB102" s="632"/>
      <c r="AC102" s="632"/>
      <c r="AD102" s="633"/>
      <c r="AE102" s="631" t="s">
        <v>370</v>
      </c>
      <c r="AF102" s="624"/>
      <c r="AG102" s="624"/>
      <c r="AH102" s="624"/>
      <c r="AI102" s="624"/>
      <c r="AJ102" s="624"/>
      <c r="AK102" s="624"/>
      <c r="AL102" s="624"/>
      <c r="AM102" s="624"/>
      <c r="AN102" s="624"/>
      <c r="AO102" s="624"/>
      <c r="AP102" s="624"/>
      <c r="AQ102" s="624"/>
      <c r="AR102" s="624"/>
      <c r="AS102" s="624"/>
      <c r="AT102" s="624"/>
      <c r="AU102" s="624"/>
      <c r="AV102" s="624"/>
      <c r="AW102" s="649"/>
      <c r="AX102" s="626"/>
      <c r="AY102" s="602"/>
      <c r="AZ102" s="602"/>
      <c r="BA102" s="602"/>
      <c r="BB102" s="602"/>
      <c r="BC102" s="602"/>
      <c r="BD102" s="602"/>
      <c r="BE102" s="602"/>
      <c r="BF102" s="602"/>
      <c r="BG102" s="602"/>
      <c r="BH102" s="602"/>
      <c r="BI102" s="602"/>
      <c r="BJ102" s="602"/>
      <c r="BK102" s="602"/>
      <c r="BL102" s="602"/>
      <c r="BM102" s="602"/>
      <c r="BN102" s="602"/>
      <c r="BO102" s="602"/>
      <c r="BP102" s="602"/>
      <c r="BQ102" s="602"/>
    </row>
    <row r="103" spans="1:69">
      <c r="A103" s="614"/>
      <c r="B103" s="615"/>
      <c r="C103" s="628"/>
      <c r="D103" s="629"/>
      <c r="E103" s="629"/>
      <c r="F103" s="629"/>
      <c r="G103" s="630"/>
      <c r="H103" s="628" t="s">
        <v>371</v>
      </c>
      <c r="I103" s="629"/>
      <c r="J103" s="629"/>
      <c r="K103" s="629"/>
      <c r="L103" s="629" t="s">
        <v>372</v>
      </c>
      <c r="M103" s="629"/>
      <c r="N103" s="629"/>
      <c r="O103" s="630"/>
      <c r="P103" s="631" t="s">
        <v>373</v>
      </c>
      <c r="Q103" s="623"/>
      <c r="R103" s="623"/>
      <c r="S103" s="623" t="s">
        <v>404</v>
      </c>
      <c r="T103" s="623"/>
      <c r="U103" s="623" t="s">
        <v>326</v>
      </c>
      <c r="V103" s="623"/>
      <c r="W103" s="623"/>
      <c r="X103" s="623" t="s">
        <v>375</v>
      </c>
      <c r="Y103" s="623"/>
      <c r="Z103" s="623"/>
      <c r="AA103" s="623" t="s">
        <v>376</v>
      </c>
      <c r="AB103" s="623"/>
      <c r="AC103" s="623"/>
      <c r="AD103" s="627"/>
      <c r="AE103" s="619"/>
      <c r="AF103" s="615"/>
      <c r="AG103" s="615"/>
      <c r="AH103" s="615"/>
      <c r="AI103" s="615"/>
      <c r="AJ103" s="615"/>
      <c r="AK103" s="615"/>
      <c r="AL103" s="615"/>
      <c r="AM103" s="615"/>
      <c r="AN103" s="615"/>
      <c r="AO103" s="615"/>
      <c r="AP103" s="615"/>
      <c r="AQ103" s="615"/>
      <c r="AR103" s="615"/>
      <c r="AS103" s="615"/>
      <c r="AT103" s="615"/>
      <c r="AU103" s="615"/>
      <c r="AV103" s="615"/>
      <c r="AW103" s="650"/>
      <c r="AX103" s="626"/>
      <c r="AY103" s="602"/>
      <c r="AZ103" s="602"/>
      <c r="BA103" s="602"/>
      <c r="BB103" s="602"/>
      <c r="BC103" s="602"/>
      <c r="BD103" s="602"/>
      <c r="BE103" s="602"/>
      <c r="BF103" s="602"/>
      <c r="BG103" s="602"/>
      <c r="BH103" s="602"/>
      <c r="BI103" s="602"/>
      <c r="BJ103" s="602"/>
      <c r="BK103" s="602"/>
      <c r="BL103" s="602"/>
      <c r="BM103" s="602"/>
      <c r="BN103" s="602"/>
      <c r="BO103" s="602"/>
      <c r="BP103" s="602"/>
      <c r="BQ103" s="602"/>
    </row>
    <row r="104" spans="1:69">
      <c r="A104" s="614"/>
      <c r="B104" s="615"/>
      <c r="C104" s="631" t="s">
        <v>395</v>
      </c>
      <c r="D104" s="623"/>
      <c r="E104" s="627"/>
      <c r="F104" s="631" t="s">
        <v>383</v>
      </c>
      <c r="G104" s="627"/>
      <c r="H104" s="631" t="s">
        <v>420</v>
      </c>
      <c r="I104" s="623"/>
      <c r="J104" s="623"/>
      <c r="K104" s="623"/>
      <c r="L104" s="623"/>
      <c r="M104" s="623"/>
      <c r="N104" s="623"/>
      <c r="O104" s="627"/>
      <c r="P104" s="696"/>
      <c r="Q104" s="697"/>
      <c r="R104" s="697"/>
      <c r="S104" s="697"/>
      <c r="T104" s="697"/>
      <c r="U104" s="697"/>
      <c r="V104" s="697"/>
      <c r="W104" s="697"/>
      <c r="X104" s="697"/>
      <c r="Y104" s="697"/>
      <c r="Z104" s="697"/>
      <c r="AA104" s="698"/>
      <c r="AB104" s="697"/>
      <c r="AC104" s="697"/>
      <c r="AD104" s="699"/>
      <c r="AE104" s="696"/>
      <c r="AF104" s="700"/>
      <c r="AG104" s="700"/>
      <c r="AH104" s="700"/>
      <c r="AI104" s="700"/>
      <c r="AJ104" s="700"/>
      <c r="AK104" s="700"/>
      <c r="AL104" s="700"/>
      <c r="AM104" s="700"/>
      <c r="AN104" s="700"/>
      <c r="AO104" s="700"/>
      <c r="AP104" s="700"/>
      <c r="AQ104" s="700"/>
      <c r="AR104" s="700"/>
      <c r="AS104" s="700"/>
      <c r="AT104" s="700"/>
      <c r="AU104" s="700"/>
      <c r="AV104" s="700"/>
      <c r="AW104" s="701"/>
      <c r="AX104" s="626"/>
      <c r="AY104" s="602"/>
      <c r="AZ104" s="602"/>
      <c r="BA104" s="602"/>
      <c r="BB104" s="602"/>
      <c r="BC104" s="602"/>
      <c r="BD104" s="602"/>
      <c r="BE104" s="602"/>
      <c r="BF104" s="602"/>
      <c r="BG104" s="602"/>
      <c r="BH104" s="602"/>
      <c r="BI104" s="602"/>
      <c r="BJ104" s="602"/>
      <c r="BK104" s="602"/>
      <c r="BL104" s="602"/>
      <c r="BM104" s="602"/>
      <c r="BN104" s="602"/>
      <c r="BO104" s="602"/>
      <c r="BP104" s="602"/>
      <c r="BQ104" s="602"/>
    </row>
    <row r="105" spans="1:69">
      <c r="A105" s="614"/>
      <c r="B105" s="615"/>
      <c r="C105" s="619"/>
      <c r="D105" s="618"/>
      <c r="E105" s="620"/>
      <c r="F105" s="619"/>
      <c r="G105" s="620"/>
      <c r="H105" s="619" t="s">
        <v>421</v>
      </c>
      <c r="I105" s="619"/>
      <c r="J105" s="618"/>
      <c r="K105" s="618"/>
      <c r="L105" s="618"/>
      <c r="M105" s="618"/>
      <c r="N105" s="618"/>
      <c r="O105" s="620"/>
      <c r="P105" s="712"/>
      <c r="Q105" s="635"/>
      <c r="R105" s="635"/>
      <c r="S105" s="635"/>
      <c r="T105" s="635"/>
      <c r="U105" s="635"/>
      <c r="V105" s="635"/>
      <c r="W105" s="635"/>
      <c r="X105" s="635"/>
      <c r="Y105" s="635"/>
      <c r="Z105" s="635"/>
      <c r="AA105" s="713"/>
      <c r="AB105" s="635"/>
      <c r="AC105" s="635"/>
      <c r="AD105" s="636"/>
      <c r="AE105" s="712"/>
      <c r="AF105" s="639"/>
      <c r="AG105" s="639"/>
      <c r="AH105" s="639"/>
      <c r="AI105" s="639"/>
      <c r="AJ105" s="639"/>
      <c r="AK105" s="639"/>
      <c r="AL105" s="639"/>
      <c r="AM105" s="639"/>
      <c r="AN105" s="639"/>
      <c r="AO105" s="639"/>
      <c r="AP105" s="639"/>
      <c r="AQ105" s="639"/>
      <c r="AR105" s="639"/>
      <c r="AS105" s="639"/>
      <c r="AT105" s="639"/>
      <c r="AU105" s="639"/>
      <c r="AV105" s="639"/>
      <c r="AW105" s="714"/>
      <c r="AX105" s="626"/>
      <c r="AY105" s="602"/>
      <c r="AZ105" s="602"/>
      <c r="BA105" s="602"/>
      <c r="BB105" s="602"/>
      <c r="BC105" s="602"/>
      <c r="BD105" s="602"/>
      <c r="BE105" s="602"/>
      <c r="BF105" s="602"/>
      <c r="BG105" s="602"/>
      <c r="BH105" s="602"/>
      <c r="BI105" s="602"/>
      <c r="BJ105" s="602"/>
      <c r="BK105" s="602"/>
      <c r="BL105" s="602"/>
      <c r="BM105" s="602"/>
      <c r="BN105" s="602"/>
      <c r="BO105" s="602"/>
      <c r="BP105" s="602"/>
      <c r="BQ105" s="602"/>
    </row>
    <row r="106" spans="1:69">
      <c r="A106" s="614"/>
      <c r="B106" s="615"/>
      <c r="C106" s="619"/>
      <c r="D106" s="618"/>
      <c r="E106" s="620"/>
      <c r="F106" s="658"/>
      <c r="G106" s="663"/>
      <c r="H106" s="658"/>
      <c r="I106" s="661"/>
      <c r="J106" s="661"/>
      <c r="K106" s="661"/>
      <c r="L106" s="661"/>
      <c r="M106" s="661"/>
      <c r="N106" s="661"/>
      <c r="O106" s="687" t="s">
        <v>380</v>
      </c>
      <c r="P106" s="702" t="s">
        <v>394</v>
      </c>
      <c r="Q106" s="703"/>
      <c r="R106" s="703"/>
      <c r="S106" s="703" t="s">
        <v>382</v>
      </c>
      <c r="T106" s="703"/>
      <c r="U106" s="703" t="s">
        <v>383</v>
      </c>
      <c r="V106" s="703"/>
      <c r="W106" s="703"/>
      <c r="X106" s="703" t="s">
        <v>386</v>
      </c>
      <c r="Y106" s="703"/>
      <c r="Z106" s="703"/>
      <c r="AA106" s="703" t="s">
        <v>337</v>
      </c>
      <c r="AB106" s="703"/>
      <c r="AC106" s="703"/>
      <c r="AD106" s="704"/>
      <c r="AE106" s="702" t="s">
        <v>338</v>
      </c>
      <c r="AF106" s="705"/>
      <c r="AG106" s="705"/>
      <c r="AH106" s="705" t="s">
        <v>422</v>
      </c>
      <c r="AI106" s="705"/>
      <c r="AJ106" s="705"/>
      <c r="AK106" s="705"/>
      <c r="AL106" s="705"/>
      <c r="AM106" s="705"/>
      <c r="AN106" s="705"/>
      <c r="AO106" s="705"/>
      <c r="AP106" s="705"/>
      <c r="AQ106" s="705"/>
      <c r="AR106" s="705"/>
      <c r="AS106" s="705"/>
      <c r="AT106" s="705"/>
      <c r="AU106" s="705"/>
      <c r="AV106" s="705"/>
      <c r="AW106" s="706"/>
      <c r="AX106" s="626"/>
      <c r="AY106" s="602"/>
      <c r="AZ106" s="602"/>
      <c r="BA106" s="602"/>
      <c r="BB106" s="602"/>
      <c r="BC106" s="602"/>
      <c r="BD106" s="602"/>
      <c r="BE106" s="602"/>
      <c r="BF106" s="602"/>
      <c r="BG106" s="602"/>
      <c r="BH106" s="602"/>
      <c r="BI106" s="602"/>
      <c r="BJ106" s="602"/>
      <c r="BK106" s="602"/>
      <c r="BL106" s="602"/>
      <c r="BM106" s="602"/>
      <c r="BN106" s="602"/>
      <c r="BO106" s="602"/>
      <c r="BP106" s="602"/>
      <c r="BQ106" s="602"/>
    </row>
    <row r="107" spans="1:69">
      <c r="A107" s="614"/>
      <c r="B107" s="615"/>
      <c r="C107" s="656" t="s">
        <v>406</v>
      </c>
      <c r="D107" s="652"/>
      <c r="E107" s="657"/>
      <c r="F107" s="656" t="s">
        <v>407</v>
      </c>
      <c r="G107" s="657"/>
      <c r="H107" s="656"/>
      <c r="I107" s="652"/>
      <c r="J107" s="652"/>
      <c r="K107" s="652"/>
      <c r="L107" s="652"/>
      <c r="M107" s="652"/>
      <c r="N107" s="652"/>
      <c r="O107" s="657"/>
      <c r="P107" s="676"/>
      <c r="Q107" s="677"/>
      <c r="R107" s="677"/>
      <c r="S107" s="677"/>
      <c r="T107" s="677"/>
      <c r="U107" s="677"/>
      <c r="V107" s="677"/>
      <c r="W107" s="677"/>
      <c r="X107" s="677"/>
      <c r="Y107" s="677"/>
      <c r="Z107" s="677"/>
      <c r="AA107" s="678"/>
      <c r="AB107" s="677"/>
      <c r="AC107" s="677"/>
      <c r="AD107" s="679"/>
      <c r="AE107" s="676"/>
      <c r="AF107" s="680"/>
      <c r="AG107" s="680"/>
      <c r="AH107" s="680"/>
      <c r="AI107" s="680"/>
      <c r="AJ107" s="680"/>
      <c r="AK107" s="680"/>
      <c r="AL107" s="680"/>
      <c r="AM107" s="680"/>
      <c r="AN107" s="680"/>
      <c r="AO107" s="680"/>
      <c r="AP107" s="680"/>
      <c r="AQ107" s="680"/>
      <c r="AR107" s="680"/>
      <c r="AS107" s="680"/>
      <c r="AT107" s="680"/>
      <c r="AU107" s="680"/>
      <c r="AV107" s="680"/>
      <c r="AW107" s="681"/>
      <c r="AX107" s="626"/>
      <c r="AY107" s="602"/>
      <c r="AZ107" s="602"/>
      <c r="BA107" s="602"/>
      <c r="BB107" s="602"/>
      <c r="BC107" s="602"/>
      <c r="BD107" s="602"/>
      <c r="BE107" s="602"/>
      <c r="BF107" s="602"/>
      <c r="BG107" s="602"/>
      <c r="BH107" s="602"/>
      <c r="BI107" s="602"/>
      <c r="BJ107" s="602"/>
      <c r="BK107" s="602"/>
      <c r="BL107" s="602"/>
      <c r="BM107" s="602"/>
      <c r="BN107" s="602"/>
      <c r="BO107" s="602"/>
      <c r="BP107" s="602"/>
      <c r="BQ107" s="602"/>
    </row>
    <row r="108" spans="1:69">
      <c r="A108" s="614"/>
      <c r="B108" s="615"/>
      <c r="C108" s="619"/>
      <c r="D108" s="618"/>
      <c r="E108" s="620"/>
      <c r="F108" s="658"/>
      <c r="G108" s="663"/>
      <c r="H108" s="658"/>
      <c r="I108" s="661"/>
      <c r="J108" s="661"/>
      <c r="K108" s="661"/>
      <c r="L108" s="661"/>
      <c r="M108" s="661"/>
      <c r="N108" s="661"/>
      <c r="O108" s="687" t="s">
        <v>380</v>
      </c>
      <c r="P108" s="671" t="s">
        <v>394</v>
      </c>
      <c r="Q108" s="672"/>
      <c r="R108" s="672"/>
      <c r="S108" s="672" t="s">
        <v>382</v>
      </c>
      <c r="T108" s="672"/>
      <c r="U108" s="672" t="s">
        <v>383</v>
      </c>
      <c r="V108" s="672"/>
      <c r="W108" s="672"/>
      <c r="X108" s="672" t="s">
        <v>386</v>
      </c>
      <c r="Y108" s="672"/>
      <c r="Z108" s="672"/>
      <c r="AA108" s="672" t="s">
        <v>337</v>
      </c>
      <c r="AB108" s="672"/>
      <c r="AC108" s="672"/>
      <c r="AD108" s="673"/>
      <c r="AE108" s="671" t="s">
        <v>334</v>
      </c>
      <c r="AF108" s="674"/>
      <c r="AG108" s="674"/>
      <c r="AH108" s="674" t="s">
        <v>423</v>
      </c>
      <c r="AI108" s="674"/>
      <c r="AJ108" s="674"/>
      <c r="AK108" s="674"/>
      <c r="AL108" s="674"/>
      <c r="AM108" s="674"/>
      <c r="AN108" s="674"/>
      <c r="AO108" s="674"/>
      <c r="AP108" s="674"/>
      <c r="AQ108" s="674"/>
      <c r="AR108" s="674"/>
      <c r="AS108" s="674"/>
      <c r="AT108" s="674"/>
      <c r="AU108" s="674"/>
      <c r="AV108" s="674"/>
      <c r="AW108" s="675"/>
      <c r="AX108" s="626"/>
      <c r="AY108" s="602"/>
      <c r="AZ108" s="602"/>
      <c r="BA108" s="602"/>
      <c r="BB108" s="602"/>
      <c r="BC108" s="602"/>
      <c r="BD108" s="602"/>
      <c r="BE108" s="602"/>
      <c r="BF108" s="602"/>
      <c r="BG108" s="602"/>
      <c r="BH108" s="602"/>
      <c r="BI108" s="602"/>
      <c r="BJ108" s="602"/>
      <c r="BK108" s="602"/>
      <c r="BL108" s="602"/>
      <c r="BM108" s="602"/>
      <c r="BN108" s="602"/>
      <c r="BO108" s="602"/>
      <c r="BP108" s="602"/>
      <c r="BQ108" s="602"/>
    </row>
    <row r="109" spans="1:69">
      <c r="A109" s="614"/>
      <c r="B109" s="615"/>
      <c r="C109" s="619"/>
      <c r="D109" s="618"/>
      <c r="E109" s="620"/>
      <c r="F109" s="656" t="s">
        <v>410</v>
      </c>
      <c r="G109" s="657"/>
      <c r="H109" s="656"/>
      <c r="I109" s="652"/>
      <c r="J109" s="652"/>
      <c r="K109" s="652"/>
      <c r="L109" s="652"/>
      <c r="M109" s="652"/>
      <c r="N109" s="652"/>
      <c r="O109" s="657"/>
      <c r="P109" s="676"/>
      <c r="Q109" s="677"/>
      <c r="R109" s="677"/>
      <c r="S109" s="677"/>
      <c r="T109" s="677"/>
      <c r="U109" s="677"/>
      <c r="V109" s="677"/>
      <c r="W109" s="677"/>
      <c r="X109" s="677"/>
      <c r="Y109" s="677"/>
      <c r="Z109" s="677"/>
      <c r="AA109" s="678"/>
      <c r="AB109" s="677"/>
      <c r="AC109" s="677"/>
      <c r="AD109" s="679"/>
      <c r="AE109" s="676"/>
      <c r="AF109" s="680"/>
      <c r="AG109" s="680"/>
      <c r="AH109" s="680"/>
      <c r="AI109" s="680"/>
      <c r="AJ109" s="680"/>
      <c r="AK109" s="680"/>
      <c r="AL109" s="680"/>
      <c r="AM109" s="680"/>
      <c r="AN109" s="680"/>
      <c r="AO109" s="680"/>
      <c r="AP109" s="680"/>
      <c r="AQ109" s="680"/>
      <c r="AR109" s="680"/>
      <c r="AS109" s="680"/>
      <c r="AT109" s="680"/>
      <c r="AU109" s="680"/>
      <c r="AV109" s="680"/>
      <c r="AW109" s="681"/>
      <c r="AX109" s="626"/>
      <c r="AY109" s="602"/>
      <c r="AZ109" s="602"/>
      <c r="BA109" s="602"/>
      <c r="BB109" s="602"/>
      <c r="BC109" s="602"/>
      <c r="BD109" s="602"/>
      <c r="BE109" s="602"/>
      <c r="BF109" s="602"/>
      <c r="BG109" s="602"/>
      <c r="BH109" s="602"/>
      <c r="BI109" s="602"/>
      <c r="BJ109" s="602"/>
      <c r="BK109" s="602"/>
      <c r="BL109" s="602"/>
      <c r="BM109" s="602"/>
      <c r="BN109" s="602"/>
      <c r="BO109" s="602"/>
      <c r="BP109" s="602"/>
      <c r="BQ109" s="602"/>
    </row>
    <row r="110" spans="1:69">
      <c r="A110" s="614"/>
      <c r="B110" s="615"/>
      <c r="C110" s="619"/>
      <c r="D110" s="618"/>
      <c r="E110" s="620"/>
      <c r="F110" s="658"/>
      <c r="G110" s="663"/>
      <c r="H110" s="658"/>
      <c r="I110" s="661"/>
      <c r="J110" s="661"/>
      <c r="K110" s="661"/>
      <c r="L110" s="661"/>
      <c r="M110" s="661"/>
      <c r="N110" s="661"/>
      <c r="O110" s="687" t="s">
        <v>380</v>
      </c>
      <c r="P110" s="671" t="s">
        <v>394</v>
      </c>
      <c r="Q110" s="672"/>
      <c r="R110" s="672"/>
      <c r="S110" s="672" t="s">
        <v>382</v>
      </c>
      <c r="T110" s="672"/>
      <c r="U110" s="672" t="s">
        <v>383</v>
      </c>
      <c r="V110" s="672"/>
      <c r="W110" s="672"/>
      <c r="X110" s="672" t="s">
        <v>386</v>
      </c>
      <c r="Y110" s="672"/>
      <c r="Z110" s="672"/>
      <c r="AA110" s="672" t="s">
        <v>337</v>
      </c>
      <c r="AB110" s="672"/>
      <c r="AC110" s="672"/>
      <c r="AD110" s="673"/>
      <c r="AE110" s="671" t="s">
        <v>334</v>
      </c>
      <c r="AF110" s="674"/>
      <c r="AG110" s="674"/>
      <c r="AH110" s="674" t="s">
        <v>423</v>
      </c>
      <c r="AI110" s="674"/>
      <c r="AJ110" s="674"/>
      <c r="AK110" s="674"/>
      <c r="AL110" s="674"/>
      <c r="AM110" s="674"/>
      <c r="AN110" s="674"/>
      <c r="AO110" s="674"/>
      <c r="AP110" s="674"/>
      <c r="AQ110" s="674"/>
      <c r="AR110" s="674"/>
      <c r="AS110" s="674"/>
      <c r="AT110" s="674"/>
      <c r="AU110" s="674"/>
      <c r="AV110" s="674"/>
      <c r="AW110" s="675"/>
      <c r="AX110" s="626"/>
      <c r="AY110" s="602"/>
      <c r="AZ110" s="602"/>
      <c r="BA110" s="602"/>
      <c r="BB110" s="602"/>
      <c r="BC110" s="602"/>
      <c r="BD110" s="602"/>
      <c r="BE110" s="602"/>
      <c r="BF110" s="602"/>
      <c r="BG110" s="602"/>
      <c r="BH110" s="602"/>
      <c r="BI110" s="602"/>
      <c r="BJ110" s="602"/>
      <c r="BK110" s="602"/>
      <c r="BL110" s="602"/>
      <c r="BM110" s="602"/>
      <c r="BN110" s="602"/>
      <c r="BO110" s="602"/>
      <c r="BP110" s="602"/>
      <c r="BQ110" s="602"/>
    </row>
    <row r="111" spans="1:69">
      <c r="A111" s="614"/>
      <c r="B111" s="615"/>
      <c r="C111" s="619"/>
      <c r="D111" s="618"/>
      <c r="E111" s="620"/>
      <c r="F111" s="619" t="s">
        <v>412</v>
      </c>
      <c r="G111" s="620"/>
      <c r="H111" s="619" t="s">
        <v>396</v>
      </c>
      <c r="I111" s="618"/>
      <c r="J111" s="618"/>
      <c r="K111" s="618"/>
      <c r="L111" s="618"/>
      <c r="M111" s="618"/>
      <c r="N111" s="618"/>
      <c r="O111" s="620"/>
      <c r="P111" s="619"/>
      <c r="Q111" s="618"/>
      <c r="R111" s="618"/>
      <c r="S111" s="618"/>
      <c r="T111" s="618"/>
      <c r="U111" s="618"/>
      <c r="V111" s="618"/>
      <c r="W111" s="618"/>
      <c r="X111" s="618"/>
      <c r="Y111" s="618"/>
      <c r="Z111" s="618"/>
      <c r="AA111" s="653"/>
      <c r="AB111" s="618"/>
      <c r="AC111" s="618"/>
      <c r="AD111" s="620"/>
      <c r="AE111" s="619"/>
      <c r="AF111" s="615"/>
      <c r="AG111" s="615"/>
      <c r="AH111" s="615"/>
      <c r="AI111" s="615"/>
      <c r="AJ111" s="615"/>
      <c r="AK111" s="615"/>
      <c r="AL111" s="615"/>
      <c r="AM111" s="615"/>
      <c r="AN111" s="615"/>
      <c r="AO111" s="615"/>
      <c r="AP111" s="615"/>
      <c r="AQ111" s="615"/>
      <c r="AR111" s="615"/>
      <c r="AS111" s="615"/>
      <c r="AT111" s="615"/>
      <c r="AU111" s="615"/>
      <c r="AV111" s="615"/>
      <c r="AW111" s="650"/>
      <c r="AX111" s="626"/>
      <c r="AY111" s="602"/>
      <c r="AZ111" s="602"/>
      <c r="BA111" s="602"/>
      <c r="BB111" s="602"/>
      <c r="BC111" s="602"/>
      <c r="BD111" s="602"/>
      <c r="BE111" s="602"/>
      <c r="BF111" s="602"/>
      <c r="BG111" s="602"/>
      <c r="BH111" s="602"/>
      <c r="BI111" s="602"/>
      <c r="BJ111" s="602"/>
      <c r="BK111" s="602"/>
      <c r="BL111" s="602"/>
      <c r="BM111" s="602"/>
      <c r="BN111" s="602"/>
      <c r="BO111" s="602"/>
      <c r="BP111" s="602"/>
      <c r="BQ111" s="602"/>
    </row>
    <row r="112" spans="1:69">
      <c r="A112" s="614"/>
      <c r="B112" s="615"/>
      <c r="C112" s="619"/>
      <c r="D112" s="618"/>
      <c r="E112" s="620"/>
      <c r="F112" s="658"/>
      <c r="G112" s="663"/>
      <c r="H112" s="658"/>
      <c r="I112" s="661"/>
      <c r="J112" s="661"/>
      <c r="K112" s="661"/>
      <c r="L112" s="661"/>
      <c r="M112" s="661"/>
      <c r="N112" s="661"/>
      <c r="O112" s="687" t="s">
        <v>380</v>
      </c>
      <c r="P112" s="658" t="s">
        <v>397</v>
      </c>
      <c r="Q112" s="661"/>
      <c r="R112" s="661"/>
      <c r="S112" s="661" t="s">
        <v>382</v>
      </c>
      <c r="T112" s="661"/>
      <c r="U112" s="661" t="s">
        <v>383</v>
      </c>
      <c r="V112" s="661"/>
      <c r="W112" s="661"/>
      <c r="X112" s="662" t="s">
        <v>398</v>
      </c>
      <c r="Y112" s="661"/>
      <c r="Z112" s="661"/>
      <c r="AA112" s="661" t="s">
        <v>337</v>
      </c>
      <c r="AB112" s="661"/>
      <c r="AC112" s="661"/>
      <c r="AD112" s="663"/>
      <c r="AE112" s="658" t="s">
        <v>338</v>
      </c>
      <c r="AF112" s="659"/>
      <c r="AG112" s="659"/>
      <c r="AH112" s="659" t="s">
        <v>399</v>
      </c>
      <c r="AI112" s="659"/>
      <c r="AJ112" s="659"/>
      <c r="AK112" s="659"/>
      <c r="AL112" s="659"/>
      <c r="AM112" s="659"/>
      <c r="AN112" s="659"/>
      <c r="AO112" s="659"/>
      <c r="AP112" s="659"/>
      <c r="AQ112" s="659"/>
      <c r="AR112" s="659"/>
      <c r="AS112" s="659"/>
      <c r="AT112" s="659"/>
      <c r="AU112" s="659"/>
      <c r="AV112" s="659"/>
      <c r="AW112" s="660"/>
      <c r="AX112" s="626"/>
      <c r="AY112" s="602"/>
      <c r="AZ112" s="602"/>
      <c r="BA112" s="602"/>
      <c r="BB112" s="602"/>
      <c r="BC112" s="602"/>
      <c r="BD112" s="602"/>
      <c r="BE112" s="602"/>
      <c r="BF112" s="602"/>
      <c r="BG112" s="602"/>
      <c r="BH112" s="602"/>
      <c r="BI112" s="602"/>
      <c r="BJ112" s="602"/>
      <c r="BK112" s="602"/>
      <c r="BL112" s="602"/>
      <c r="BM112" s="602"/>
      <c r="BN112" s="602"/>
      <c r="BO112" s="602"/>
      <c r="BP112" s="602"/>
      <c r="BQ112" s="602"/>
    </row>
    <row r="113" spans="1:69">
      <c r="A113" s="614"/>
      <c r="B113" s="615"/>
      <c r="C113" s="619"/>
      <c r="D113" s="618"/>
      <c r="E113" s="620"/>
      <c r="F113" s="656" t="s">
        <v>413</v>
      </c>
      <c r="G113" s="657"/>
      <c r="H113" s="656"/>
      <c r="I113" s="652"/>
      <c r="J113" s="652"/>
      <c r="K113" s="652"/>
      <c r="L113" s="652"/>
      <c r="M113" s="652"/>
      <c r="N113" s="652"/>
      <c r="O113" s="657"/>
      <c r="P113" s="676"/>
      <c r="Q113" s="677"/>
      <c r="R113" s="677"/>
      <c r="S113" s="677"/>
      <c r="T113" s="677"/>
      <c r="U113" s="677"/>
      <c r="V113" s="677"/>
      <c r="W113" s="677"/>
      <c r="X113" s="677"/>
      <c r="Y113" s="677"/>
      <c r="Z113" s="677"/>
      <c r="AA113" s="678"/>
      <c r="AB113" s="677"/>
      <c r="AC113" s="677"/>
      <c r="AD113" s="679"/>
      <c r="AE113" s="676"/>
      <c r="AF113" s="680"/>
      <c r="AG113" s="680"/>
      <c r="AH113" s="680"/>
      <c r="AI113" s="680"/>
      <c r="AJ113" s="680"/>
      <c r="AK113" s="680"/>
      <c r="AL113" s="680"/>
      <c r="AM113" s="680"/>
      <c r="AN113" s="680"/>
      <c r="AO113" s="680"/>
      <c r="AP113" s="680"/>
      <c r="AQ113" s="680"/>
      <c r="AR113" s="680"/>
      <c r="AS113" s="680"/>
      <c r="AT113" s="680"/>
      <c r="AU113" s="680"/>
      <c r="AV113" s="680"/>
      <c r="AW113" s="681"/>
      <c r="AX113" s="626"/>
      <c r="AY113" s="602"/>
      <c r="AZ113" s="602"/>
      <c r="BA113" s="602"/>
      <c r="BB113" s="602"/>
      <c r="BC113" s="602"/>
      <c r="BD113" s="602"/>
      <c r="BE113" s="602"/>
      <c r="BF113" s="602"/>
      <c r="BG113" s="602"/>
      <c r="BH113" s="602"/>
      <c r="BI113" s="602"/>
      <c r="BJ113" s="602"/>
      <c r="BK113" s="602"/>
      <c r="BL113" s="602"/>
      <c r="BM113" s="602"/>
      <c r="BN113" s="602"/>
      <c r="BO113" s="602"/>
      <c r="BP113" s="602"/>
      <c r="BQ113" s="602"/>
    </row>
    <row r="114" spans="1:69">
      <c r="A114" s="614"/>
      <c r="B114" s="615"/>
      <c r="C114" s="628"/>
      <c r="D114" s="629"/>
      <c r="E114" s="630"/>
      <c r="F114" s="628"/>
      <c r="G114" s="630"/>
      <c r="H114" s="628"/>
      <c r="I114" s="629"/>
      <c r="J114" s="629"/>
      <c r="K114" s="629"/>
      <c r="L114" s="629"/>
      <c r="M114" s="629"/>
      <c r="N114" s="629"/>
      <c r="O114" s="689" t="s">
        <v>380</v>
      </c>
      <c r="P114" s="682" t="s">
        <v>397</v>
      </c>
      <c r="Q114" s="683"/>
      <c r="R114" s="683"/>
      <c r="S114" s="683" t="s">
        <v>382</v>
      </c>
      <c r="T114" s="683"/>
      <c r="U114" s="683" t="s">
        <v>383</v>
      </c>
      <c r="V114" s="683"/>
      <c r="W114" s="683"/>
      <c r="X114" s="683" t="s">
        <v>398</v>
      </c>
      <c r="Y114" s="683"/>
      <c r="Z114" s="683"/>
      <c r="AA114" s="683" t="s">
        <v>337</v>
      </c>
      <c r="AB114" s="683"/>
      <c r="AC114" s="683"/>
      <c r="AD114" s="684"/>
      <c r="AE114" s="682" t="s">
        <v>334</v>
      </c>
      <c r="AF114" s="685"/>
      <c r="AG114" s="685"/>
      <c r="AH114" s="685" t="s">
        <v>400</v>
      </c>
      <c r="AI114" s="685"/>
      <c r="AJ114" s="685"/>
      <c r="AK114" s="685"/>
      <c r="AL114" s="685"/>
      <c r="AM114" s="685"/>
      <c r="AN114" s="685"/>
      <c r="AO114" s="685"/>
      <c r="AP114" s="685"/>
      <c r="AQ114" s="685"/>
      <c r="AR114" s="685"/>
      <c r="AS114" s="685"/>
      <c r="AT114" s="685"/>
      <c r="AU114" s="685"/>
      <c r="AV114" s="685"/>
      <c r="AW114" s="686"/>
      <c r="AX114" s="626"/>
      <c r="AY114" s="602"/>
      <c r="AZ114" s="602"/>
      <c r="BA114" s="602"/>
      <c r="BB114" s="602"/>
      <c r="BC114" s="602"/>
      <c r="BD114" s="602"/>
      <c r="BE114" s="602"/>
      <c r="BF114" s="602"/>
      <c r="BG114" s="602"/>
      <c r="BH114" s="602"/>
      <c r="BI114" s="602"/>
      <c r="BJ114" s="602"/>
      <c r="BK114" s="602"/>
      <c r="BL114" s="602"/>
      <c r="BM114" s="602"/>
      <c r="BN114" s="602"/>
      <c r="BO114" s="602"/>
      <c r="BP114" s="602"/>
      <c r="BQ114" s="602"/>
    </row>
    <row r="115" spans="1:69">
      <c r="A115" s="614"/>
      <c r="B115" s="615"/>
      <c r="C115" s="615"/>
      <c r="D115" s="615"/>
      <c r="E115" s="618"/>
      <c r="F115" s="618"/>
      <c r="G115" s="618"/>
      <c r="H115" s="618"/>
      <c r="I115" s="618"/>
      <c r="J115" s="618"/>
      <c r="K115" s="618"/>
      <c r="L115" s="618"/>
      <c r="M115" s="618"/>
      <c r="N115" s="618"/>
      <c r="O115" s="618"/>
      <c r="P115" s="618"/>
      <c r="Q115" s="618"/>
      <c r="R115" s="618"/>
      <c r="S115" s="618"/>
      <c r="T115" s="618"/>
      <c r="U115" s="618"/>
      <c r="V115" s="618"/>
      <c r="W115" s="618"/>
      <c r="X115" s="618"/>
      <c r="Y115" s="618"/>
      <c r="Z115" s="618"/>
      <c r="AA115" s="618"/>
      <c r="AB115" s="618"/>
      <c r="AC115" s="618"/>
      <c r="AD115" s="618"/>
      <c r="AE115" s="618"/>
      <c r="AF115" s="618"/>
      <c r="AG115" s="618"/>
      <c r="AH115" s="618"/>
      <c r="AI115" s="618"/>
      <c r="AJ115" s="618"/>
      <c r="AK115" s="615"/>
      <c r="AL115" s="615"/>
      <c r="AM115" s="615"/>
      <c r="AN115" s="615"/>
      <c r="AO115" s="615"/>
      <c r="AP115" s="615"/>
      <c r="AQ115" s="615"/>
      <c r="AR115" s="615"/>
      <c r="AS115" s="615"/>
      <c r="AT115" s="615"/>
      <c r="AU115" s="615"/>
      <c r="AV115" s="615"/>
      <c r="AW115" s="615"/>
      <c r="AX115" s="626"/>
      <c r="AY115" s="602"/>
      <c r="AZ115" s="602"/>
      <c r="BA115" s="602"/>
      <c r="BB115" s="602"/>
      <c r="BC115" s="602"/>
      <c r="BD115" s="602"/>
      <c r="BE115" s="602"/>
      <c r="BF115" s="602"/>
      <c r="BG115" s="602"/>
      <c r="BH115" s="602"/>
      <c r="BI115" s="602"/>
      <c r="BJ115" s="602"/>
      <c r="BK115" s="602"/>
      <c r="BL115" s="602"/>
      <c r="BM115" s="602"/>
      <c r="BN115" s="602"/>
      <c r="BO115" s="602"/>
      <c r="BP115" s="602"/>
      <c r="BQ115" s="602"/>
    </row>
    <row r="116" spans="1:69">
      <c r="A116" s="614"/>
      <c r="B116" s="615"/>
      <c r="C116" s="615" t="s">
        <v>424</v>
      </c>
      <c r="D116" s="615"/>
      <c r="E116" s="615"/>
      <c r="F116" s="615"/>
      <c r="G116" s="615"/>
      <c r="H116" s="615"/>
      <c r="I116" s="615"/>
      <c r="J116" s="615"/>
      <c r="K116" s="615"/>
      <c r="L116" s="615"/>
      <c r="M116" s="615"/>
      <c r="N116" s="615"/>
      <c r="O116" s="615"/>
      <c r="P116" s="615"/>
      <c r="Q116" s="615"/>
      <c r="R116" s="615"/>
      <c r="S116" s="615"/>
      <c r="T116" s="615"/>
      <c r="U116" s="615"/>
      <c r="V116" s="615"/>
      <c r="W116" s="615"/>
      <c r="X116" s="615"/>
      <c r="Y116" s="615"/>
      <c r="Z116" s="615"/>
      <c r="AA116" s="615"/>
      <c r="AB116" s="615"/>
      <c r="AC116" s="615"/>
      <c r="AD116" s="615"/>
      <c r="AE116" s="615"/>
      <c r="AF116" s="615"/>
      <c r="AG116" s="615"/>
      <c r="AH116" s="615"/>
      <c r="AI116" s="615"/>
      <c r="AJ116" s="615"/>
      <c r="AK116" s="615"/>
      <c r="AL116" s="615"/>
      <c r="AM116" s="615"/>
      <c r="AN116" s="615"/>
      <c r="AO116" s="615"/>
      <c r="AP116" s="615"/>
      <c r="AQ116" s="615"/>
      <c r="AR116" s="615"/>
      <c r="AS116" s="615"/>
      <c r="AT116" s="615"/>
      <c r="AU116" s="615"/>
      <c r="AV116" s="615"/>
      <c r="AW116" s="615"/>
      <c r="AX116" s="626"/>
      <c r="AY116" s="602"/>
      <c r="AZ116" s="602"/>
      <c r="BA116" s="602"/>
      <c r="BB116" s="602"/>
      <c r="BC116" s="602"/>
      <c r="BD116" s="602"/>
      <c r="BE116" s="602"/>
      <c r="BF116" s="602"/>
      <c r="BG116" s="602"/>
      <c r="BH116" s="602"/>
      <c r="BI116" s="602"/>
      <c r="BJ116" s="602"/>
      <c r="BK116" s="602"/>
      <c r="BL116" s="602"/>
      <c r="BM116" s="602"/>
      <c r="BN116" s="602"/>
      <c r="BO116" s="602"/>
      <c r="BP116" s="602"/>
      <c r="BQ116" s="602"/>
    </row>
    <row r="117" spans="1:69">
      <c r="A117" s="614"/>
      <c r="B117" s="615"/>
      <c r="C117" s="631" t="s">
        <v>367</v>
      </c>
      <c r="D117" s="623"/>
      <c r="E117" s="623"/>
      <c r="F117" s="623"/>
      <c r="G117" s="627"/>
      <c r="H117" s="631" t="s">
        <v>368</v>
      </c>
      <c r="I117" s="623"/>
      <c r="J117" s="623"/>
      <c r="K117" s="623"/>
      <c r="L117" s="623"/>
      <c r="M117" s="623"/>
      <c r="N117" s="623"/>
      <c r="O117" s="627"/>
      <c r="P117" s="634" t="s">
        <v>369</v>
      </c>
      <c r="Q117" s="632"/>
      <c r="R117" s="632"/>
      <c r="S117" s="632"/>
      <c r="T117" s="632"/>
      <c r="U117" s="632"/>
      <c r="V117" s="632"/>
      <c r="W117" s="632"/>
      <c r="X117" s="632"/>
      <c r="Y117" s="632"/>
      <c r="Z117" s="632"/>
      <c r="AA117" s="632"/>
      <c r="AB117" s="632"/>
      <c r="AC117" s="632"/>
      <c r="AD117" s="633"/>
      <c r="AE117" s="631" t="s">
        <v>370</v>
      </c>
      <c r="AF117" s="624"/>
      <c r="AG117" s="624"/>
      <c r="AH117" s="624"/>
      <c r="AI117" s="624"/>
      <c r="AJ117" s="624"/>
      <c r="AK117" s="624"/>
      <c r="AL117" s="624"/>
      <c r="AM117" s="624"/>
      <c r="AN117" s="624"/>
      <c r="AO117" s="624"/>
      <c r="AP117" s="624"/>
      <c r="AQ117" s="624"/>
      <c r="AR117" s="624"/>
      <c r="AS117" s="624"/>
      <c r="AT117" s="624"/>
      <c r="AU117" s="624"/>
      <c r="AV117" s="624"/>
      <c r="AW117" s="649"/>
      <c r="AX117" s="626"/>
      <c r="AY117" s="602"/>
      <c r="AZ117" s="602"/>
      <c r="BA117" s="602"/>
      <c r="BB117" s="602"/>
      <c r="BC117" s="602"/>
      <c r="BD117" s="602"/>
      <c r="BE117" s="602"/>
      <c r="BF117" s="602"/>
      <c r="BG117" s="602"/>
      <c r="BH117" s="602"/>
      <c r="BI117" s="602"/>
      <c r="BJ117" s="602"/>
      <c r="BK117" s="602"/>
      <c r="BL117" s="602"/>
      <c r="BM117" s="602"/>
      <c r="BN117" s="602"/>
      <c r="BO117" s="602"/>
      <c r="BP117" s="602"/>
      <c r="BQ117" s="602"/>
    </row>
    <row r="118" spans="1:69">
      <c r="A118" s="614"/>
      <c r="B118" s="615"/>
      <c r="C118" s="628"/>
      <c r="D118" s="629"/>
      <c r="E118" s="629"/>
      <c r="F118" s="629"/>
      <c r="G118" s="630"/>
      <c r="H118" s="628" t="s">
        <v>371</v>
      </c>
      <c r="I118" s="629"/>
      <c r="J118" s="629"/>
      <c r="K118" s="629"/>
      <c r="L118" s="629" t="s">
        <v>372</v>
      </c>
      <c r="M118" s="629"/>
      <c r="N118" s="629"/>
      <c r="O118" s="630"/>
      <c r="P118" s="631" t="s">
        <v>373</v>
      </c>
      <c r="Q118" s="623"/>
      <c r="R118" s="623"/>
      <c r="S118" s="623" t="s">
        <v>404</v>
      </c>
      <c r="T118" s="623"/>
      <c r="U118" s="623" t="s">
        <v>326</v>
      </c>
      <c r="V118" s="623"/>
      <c r="W118" s="623"/>
      <c r="X118" s="623" t="s">
        <v>375</v>
      </c>
      <c r="Y118" s="623"/>
      <c r="Z118" s="623"/>
      <c r="AA118" s="623" t="s">
        <v>376</v>
      </c>
      <c r="AB118" s="623"/>
      <c r="AC118" s="623"/>
      <c r="AD118" s="627"/>
      <c r="AE118" s="619"/>
      <c r="AF118" s="615"/>
      <c r="AG118" s="615"/>
      <c r="AH118" s="615"/>
      <c r="AI118" s="615"/>
      <c r="AJ118" s="615"/>
      <c r="AK118" s="615"/>
      <c r="AL118" s="615"/>
      <c r="AM118" s="615"/>
      <c r="AN118" s="615"/>
      <c r="AO118" s="615"/>
      <c r="AP118" s="615"/>
      <c r="AQ118" s="615"/>
      <c r="AR118" s="615"/>
      <c r="AS118" s="615"/>
      <c r="AT118" s="615"/>
      <c r="AU118" s="615"/>
      <c r="AV118" s="615"/>
      <c r="AW118" s="650"/>
      <c r="AX118" s="626"/>
      <c r="AY118" s="602"/>
      <c r="AZ118" s="602"/>
      <c r="BA118" s="602"/>
      <c r="BB118" s="602"/>
      <c r="BC118" s="602"/>
      <c r="BD118" s="602"/>
      <c r="BE118" s="602"/>
      <c r="BF118" s="602"/>
      <c r="BG118" s="602"/>
      <c r="BH118" s="602"/>
      <c r="BI118" s="602"/>
      <c r="BJ118" s="602"/>
      <c r="BK118" s="602"/>
      <c r="BL118" s="602"/>
      <c r="BM118" s="602"/>
      <c r="BN118" s="602"/>
      <c r="BO118" s="602"/>
      <c r="BP118" s="602"/>
      <c r="BQ118" s="602"/>
    </row>
    <row r="119" spans="1:69">
      <c r="A119" s="614"/>
      <c r="B119" s="615"/>
      <c r="C119" s="631" t="s">
        <v>395</v>
      </c>
      <c r="D119" s="623"/>
      <c r="E119" s="627"/>
      <c r="F119" s="631" t="s">
        <v>383</v>
      </c>
      <c r="G119" s="627"/>
      <c r="H119" s="631" t="s">
        <v>425</v>
      </c>
      <c r="I119" s="623"/>
      <c r="J119" s="623"/>
      <c r="K119" s="623"/>
      <c r="L119" s="623"/>
      <c r="M119" s="623"/>
      <c r="N119" s="623"/>
      <c r="O119" s="627"/>
      <c r="P119" s="666"/>
      <c r="Q119" s="667"/>
      <c r="R119" s="667"/>
      <c r="S119" s="667"/>
      <c r="T119" s="667"/>
      <c r="U119" s="667"/>
      <c r="V119" s="667"/>
      <c r="W119" s="667"/>
      <c r="X119" s="667"/>
      <c r="Y119" s="667"/>
      <c r="Z119" s="667"/>
      <c r="AA119" s="690"/>
      <c r="AB119" s="667"/>
      <c r="AC119" s="667"/>
      <c r="AD119" s="668"/>
      <c r="AE119" s="666"/>
      <c r="AF119" s="669"/>
      <c r="AG119" s="669"/>
      <c r="AH119" s="669"/>
      <c r="AI119" s="669"/>
      <c r="AJ119" s="669"/>
      <c r="AK119" s="669"/>
      <c r="AL119" s="669"/>
      <c r="AM119" s="669"/>
      <c r="AN119" s="669"/>
      <c r="AO119" s="669"/>
      <c r="AP119" s="669"/>
      <c r="AQ119" s="669"/>
      <c r="AR119" s="669"/>
      <c r="AS119" s="669"/>
      <c r="AT119" s="669"/>
      <c r="AU119" s="669"/>
      <c r="AV119" s="669"/>
      <c r="AW119" s="670"/>
      <c r="AX119" s="626"/>
      <c r="AY119" s="602"/>
      <c r="AZ119" s="602"/>
      <c r="BA119" s="602"/>
      <c r="BB119" s="602"/>
      <c r="BC119" s="602"/>
      <c r="BD119" s="602"/>
      <c r="BE119" s="602"/>
      <c r="BF119" s="602"/>
      <c r="BG119" s="602"/>
      <c r="BH119" s="602"/>
      <c r="BI119" s="602"/>
      <c r="BJ119" s="602"/>
      <c r="BK119" s="602"/>
      <c r="BL119" s="602"/>
      <c r="BM119" s="602"/>
      <c r="BN119" s="602"/>
      <c r="BO119" s="602"/>
      <c r="BP119" s="602"/>
      <c r="BQ119" s="602"/>
    </row>
    <row r="120" spans="1:69">
      <c r="A120" s="614"/>
      <c r="B120" s="615"/>
      <c r="C120" s="619"/>
      <c r="D120" s="618"/>
      <c r="E120" s="620"/>
      <c r="F120" s="619"/>
      <c r="G120" s="620"/>
      <c r="H120" s="619" t="s">
        <v>421</v>
      </c>
      <c r="I120" s="618"/>
      <c r="J120" s="618"/>
      <c r="K120" s="618"/>
      <c r="L120" s="618"/>
      <c r="M120" s="618"/>
      <c r="N120" s="618"/>
      <c r="O120" s="620"/>
      <c r="P120" s="707"/>
      <c r="Q120" s="708"/>
      <c r="R120" s="708"/>
      <c r="S120" s="708"/>
      <c r="T120" s="708"/>
      <c r="U120" s="708"/>
      <c r="V120" s="708"/>
      <c r="W120" s="708"/>
      <c r="X120" s="708"/>
      <c r="Y120" s="708"/>
      <c r="Z120" s="708"/>
      <c r="AA120" s="718"/>
      <c r="AB120" s="708"/>
      <c r="AC120" s="708"/>
      <c r="AD120" s="709"/>
      <c r="AE120" s="707"/>
      <c r="AF120" s="710"/>
      <c r="AG120" s="710"/>
      <c r="AH120" s="710"/>
      <c r="AI120" s="710"/>
      <c r="AJ120" s="710"/>
      <c r="AK120" s="710"/>
      <c r="AL120" s="710"/>
      <c r="AM120" s="710"/>
      <c r="AN120" s="710"/>
      <c r="AO120" s="710"/>
      <c r="AP120" s="710"/>
      <c r="AQ120" s="710"/>
      <c r="AR120" s="710"/>
      <c r="AS120" s="710"/>
      <c r="AT120" s="710"/>
      <c r="AU120" s="710"/>
      <c r="AV120" s="710"/>
      <c r="AW120" s="711"/>
      <c r="AX120" s="626"/>
      <c r="AY120" s="602"/>
      <c r="AZ120" s="602"/>
      <c r="BA120" s="602"/>
      <c r="BB120" s="602"/>
      <c r="BC120" s="602"/>
      <c r="BD120" s="602"/>
      <c r="BE120" s="602"/>
      <c r="BF120" s="602"/>
      <c r="BG120" s="602"/>
      <c r="BH120" s="602"/>
      <c r="BI120" s="602"/>
      <c r="BJ120" s="602"/>
      <c r="BK120" s="602"/>
      <c r="BL120" s="602"/>
      <c r="BM120" s="602"/>
      <c r="BN120" s="602"/>
      <c r="BO120" s="602"/>
      <c r="BP120" s="602"/>
      <c r="BQ120" s="602"/>
    </row>
    <row r="121" spans="1:69">
      <c r="A121" s="614"/>
      <c r="B121" s="615"/>
      <c r="C121" s="619"/>
      <c r="D121" s="618"/>
      <c r="E121" s="620"/>
      <c r="F121" s="619"/>
      <c r="G121" s="620"/>
      <c r="H121" s="619"/>
      <c r="I121" s="618"/>
      <c r="J121" s="618"/>
      <c r="K121" s="618"/>
      <c r="L121" s="618"/>
      <c r="M121" s="618"/>
      <c r="N121" s="618"/>
      <c r="O121" s="688" t="s">
        <v>426</v>
      </c>
      <c r="P121" s="719" t="s">
        <v>397</v>
      </c>
      <c r="Q121" s="720"/>
      <c r="R121" s="720"/>
      <c r="S121" s="720" t="s">
        <v>382</v>
      </c>
      <c r="T121" s="720"/>
      <c r="U121" s="720" t="s">
        <v>383</v>
      </c>
      <c r="V121" s="720"/>
      <c r="W121" s="720"/>
      <c r="X121" s="720" t="s">
        <v>330</v>
      </c>
      <c r="Y121" s="720"/>
      <c r="Z121" s="720"/>
      <c r="AA121" s="720" t="s">
        <v>332</v>
      </c>
      <c r="AB121" s="720"/>
      <c r="AC121" s="720"/>
      <c r="AD121" s="709"/>
      <c r="AE121" s="707"/>
      <c r="AF121" s="710"/>
      <c r="AG121" s="710"/>
      <c r="AH121" s="710"/>
      <c r="AI121" s="710"/>
      <c r="AJ121" s="710"/>
      <c r="AK121" s="710"/>
      <c r="AL121" s="710"/>
      <c r="AM121" s="710"/>
      <c r="AN121" s="710"/>
      <c r="AO121" s="710"/>
      <c r="AP121" s="710"/>
      <c r="AQ121" s="710"/>
      <c r="AR121" s="710"/>
      <c r="AS121" s="710"/>
      <c r="AT121" s="710"/>
      <c r="AU121" s="710"/>
      <c r="AV121" s="710"/>
      <c r="AW121" s="711"/>
      <c r="AX121" s="626"/>
      <c r="AY121" s="602"/>
      <c r="AZ121" s="602"/>
      <c r="BA121" s="602"/>
      <c r="BB121" s="602"/>
      <c r="BC121" s="602"/>
      <c r="BD121" s="602"/>
      <c r="BE121" s="602"/>
      <c r="BF121" s="602"/>
      <c r="BG121" s="602"/>
      <c r="BH121" s="602"/>
      <c r="BI121" s="602"/>
      <c r="BJ121" s="602"/>
      <c r="BK121" s="602"/>
      <c r="BL121" s="602"/>
      <c r="BM121" s="602"/>
      <c r="BN121" s="602"/>
      <c r="BO121" s="602"/>
      <c r="BP121" s="602"/>
      <c r="BQ121" s="602"/>
    </row>
    <row r="122" spans="1:69">
      <c r="A122" s="614"/>
      <c r="B122" s="615"/>
      <c r="C122" s="619"/>
      <c r="D122" s="618"/>
      <c r="E122" s="620"/>
      <c r="F122" s="619"/>
      <c r="G122" s="620"/>
      <c r="H122" s="619" t="s">
        <v>427</v>
      </c>
      <c r="I122" s="618"/>
      <c r="J122" s="618"/>
      <c r="K122" s="618"/>
      <c r="L122" s="618"/>
      <c r="M122" s="618"/>
      <c r="N122" s="618"/>
      <c r="O122" s="620"/>
      <c r="P122" s="719"/>
      <c r="Q122" s="720"/>
      <c r="R122" s="720"/>
      <c r="S122" s="720"/>
      <c r="T122" s="720"/>
      <c r="U122" s="720"/>
      <c r="V122" s="720"/>
      <c r="W122" s="720"/>
      <c r="X122" s="720"/>
      <c r="Y122" s="720"/>
      <c r="Z122" s="720"/>
      <c r="AA122" s="720"/>
      <c r="AB122" s="720"/>
      <c r="AC122" s="720"/>
      <c r="AD122" s="709"/>
      <c r="AE122" s="707"/>
      <c r="AF122" s="710"/>
      <c r="AG122" s="710"/>
      <c r="AH122" s="710"/>
      <c r="AI122" s="710"/>
      <c r="AJ122" s="710"/>
      <c r="AK122" s="710"/>
      <c r="AL122" s="710"/>
      <c r="AM122" s="710"/>
      <c r="AN122" s="710"/>
      <c r="AO122" s="710"/>
      <c r="AP122" s="710"/>
      <c r="AQ122" s="710"/>
      <c r="AR122" s="710"/>
      <c r="AS122" s="710"/>
      <c r="AT122" s="710"/>
      <c r="AU122" s="710"/>
      <c r="AV122" s="710"/>
      <c r="AW122" s="711"/>
      <c r="AX122" s="626"/>
      <c r="AY122" s="602"/>
      <c r="AZ122" s="602"/>
      <c r="BA122" s="602"/>
      <c r="BB122" s="602"/>
      <c r="BC122" s="602"/>
      <c r="BD122" s="602"/>
      <c r="BE122" s="602"/>
      <c r="BF122" s="602"/>
      <c r="BG122" s="602"/>
      <c r="BH122" s="602"/>
      <c r="BI122" s="602"/>
      <c r="BJ122" s="602"/>
      <c r="BK122" s="602"/>
      <c r="BL122" s="602"/>
      <c r="BM122" s="602"/>
      <c r="BN122" s="602"/>
      <c r="BO122" s="602"/>
      <c r="BP122" s="602"/>
      <c r="BQ122" s="602"/>
    </row>
    <row r="123" spans="1:69">
      <c r="A123" s="614"/>
      <c r="B123" s="615"/>
      <c r="C123" s="628"/>
      <c r="D123" s="629"/>
      <c r="E123" s="630"/>
      <c r="F123" s="628"/>
      <c r="G123" s="630"/>
      <c r="H123" s="628"/>
      <c r="I123" s="629"/>
      <c r="J123" s="629"/>
      <c r="K123" s="629"/>
      <c r="L123" s="629"/>
      <c r="M123" s="629"/>
      <c r="N123" s="629"/>
      <c r="O123" s="689" t="s">
        <v>380</v>
      </c>
      <c r="P123" s="682" t="s">
        <v>397</v>
      </c>
      <c r="Q123" s="683"/>
      <c r="R123" s="683"/>
      <c r="S123" s="683" t="s">
        <v>428</v>
      </c>
      <c r="T123" s="683"/>
      <c r="U123" s="683" t="s">
        <v>383</v>
      </c>
      <c r="V123" s="683"/>
      <c r="W123" s="683"/>
      <c r="X123" s="683" t="s">
        <v>398</v>
      </c>
      <c r="Y123" s="683"/>
      <c r="Z123" s="683"/>
      <c r="AA123" s="683" t="s">
        <v>355</v>
      </c>
      <c r="AB123" s="683"/>
      <c r="AC123" s="683"/>
      <c r="AD123" s="684"/>
      <c r="AE123" s="682" t="s">
        <v>356</v>
      </c>
      <c r="AF123" s="685"/>
      <c r="AG123" s="685"/>
      <c r="AH123" s="685" t="s">
        <v>429</v>
      </c>
      <c r="AI123" s="685"/>
      <c r="AJ123" s="685"/>
      <c r="AK123" s="685"/>
      <c r="AL123" s="685"/>
      <c r="AM123" s="685"/>
      <c r="AN123" s="685"/>
      <c r="AO123" s="685"/>
      <c r="AP123" s="685"/>
      <c r="AQ123" s="685"/>
      <c r="AR123" s="685"/>
      <c r="AS123" s="685"/>
      <c r="AT123" s="685"/>
      <c r="AU123" s="685"/>
      <c r="AV123" s="685"/>
      <c r="AW123" s="686"/>
      <c r="AX123" s="626"/>
      <c r="AY123" s="602"/>
      <c r="AZ123" s="602"/>
      <c r="BA123" s="602"/>
      <c r="BB123" s="602"/>
      <c r="BC123" s="602"/>
      <c r="BD123" s="602"/>
      <c r="BE123" s="602"/>
      <c r="BF123" s="602"/>
      <c r="BG123" s="602"/>
      <c r="BH123" s="602"/>
      <c r="BI123" s="602"/>
      <c r="BJ123" s="602"/>
      <c r="BK123" s="602"/>
      <c r="BL123" s="602"/>
      <c r="BM123" s="602"/>
      <c r="BN123" s="602"/>
      <c r="BO123" s="602"/>
      <c r="BP123" s="602"/>
      <c r="BQ123" s="602"/>
    </row>
    <row r="124" spans="1:69" ht="12.75" thickBot="1">
      <c r="A124" s="616"/>
      <c r="B124" s="617"/>
      <c r="C124" s="617"/>
      <c r="D124" s="617"/>
      <c r="E124" s="621"/>
      <c r="F124" s="621"/>
      <c r="G124" s="621"/>
      <c r="H124" s="621"/>
      <c r="I124" s="621"/>
      <c r="J124" s="621"/>
      <c r="K124" s="621"/>
      <c r="L124" s="621"/>
      <c r="M124" s="621"/>
      <c r="N124" s="621"/>
      <c r="O124" s="621"/>
      <c r="P124" s="621"/>
      <c r="Q124" s="621"/>
      <c r="R124" s="621"/>
      <c r="S124" s="621"/>
      <c r="T124" s="621"/>
      <c r="U124" s="621"/>
      <c r="V124" s="621"/>
      <c r="W124" s="621"/>
      <c r="X124" s="621"/>
      <c r="Y124" s="621"/>
      <c r="Z124" s="621"/>
      <c r="AA124" s="621"/>
      <c r="AB124" s="621"/>
      <c r="AC124" s="621"/>
      <c r="AD124" s="621"/>
      <c r="AE124" s="621"/>
      <c r="AF124" s="621"/>
      <c r="AG124" s="621"/>
      <c r="AH124" s="621"/>
      <c r="AI124" s="621"/>
      <c r="AJ124" s="621"/>
      <c r="AK124" s="621"/>
      <c r="AL124" s="621"/>
      <c r="AM124" s="617"/>
      <c r="AN124" s="617"/>
      <c r="AO124" s="617"/>
      <c r="AP124" s="617"/>
      <c r="AQ124" s="617"/>
      <c r="AR124" s="617"/>
      <c r="AS124" s="617"/>
      <c r="AT124" s="617"/>
      <c r="AU124" s="617"/>
      <c r="AV124" s="617"/>
      <c r="AW124" s="617"/>
      <c r="AX124" s="647"/>
      <c r="AY124" s="602"/>
      <c r="AZ124" s="602"/>
      <c r="BA124" s="602"/>
      <c r="BB124" s="602"/>
      <c r="BC124" s="602"/>
      <c r="BD124" s="602"/>
      <c r="BE124" s="602"/>
      <c r="BF124" s="602"/>
      <c r="BG124" s="602"/>
      <c r="BH124" s="602"/>
      <c r="BI124" s="602"/>
      <c r="BJ124" s="602"/>
      <c r="BK124" s="602"/>
      <c r="BL124" s="602"/>
      <c r="BM124" s="602"/>
      <c r="BN124" s="602"/>
      <c r="BO124" s="602"/>
      <c r="BP124" s="602"/>
      <c r="BQ124" s="602"/>
    </row>
    <row r="125" spans="1:69">
      <c r="A125" s="648"/>
      <c r="B125" s="642"/>
      <c r="C125" s="642"/>
      <c r="D125" s="642"/>
      <c r="E125" s="793"/>
      <c r="F125" s="793"/>
      <c r="G125" s="793"/>
      <c r="H125" s="793"/>
      <c r="I125" s="793"/>
      <c r="J125" s="793"/>
      <c r="K125" s="793"/>
      <c r="L125" s="793"/>
      <c r="M125" s="793"/>
      <c r="N125" s="793"/>
      <c r="O125" s="793"/>
      <c r="P125" s="793"/>
      <c r="Q125" s="793"/>
      <c r="R125" s="793"/>
      <c r="S125" s="793"/>
      <c r="T125" s="793"/>
      <c r="U125" s="793"/>
      <c r="V125" s="793"/>
      <c r="W125" s="793"/>
      <c r="X125" s="793"/>
      <c r="Y125" s="793"/>
      <c r="Z125" s="793"/>
      <c r="AA125" s="793"/>
      <c r="AB125" s="793"/>
      <c r="AC125" s="793"/>
      <c r="AD125" s="793"/>
      <c r="AE125" s="793"/>
      <c r="AF125" s="793"/>
      <c r="AG125" s="793"/>
      <c r="AH125" s="793"/>
      <c r="AI125" s="793"/>
      <c r="AJ125" s="793"/>
      <c r="AK125" s="793"/>
      <c r="AL125" s="793"/>
      <c r="AM125" s="642"/>
      <c r="AN125" s="642"/>
      <c r="AO125" s="642"/>
      <c r="AP125" s="642"/>
      <c r="AQ125" s="642"/>
      <c r="AR125" s="642"/>
      <c r="AS125" s="642"/>
      <c r="AT125" s="642"/>
      <c r="AU125" s="642"/>
      <c r="AV125" s="642"/>
      <c r="AW125" s="642"/>
      <c r="AX125" s="643"/>
      <c r="AY125" s="602"/>
      <c r="AZ125" s="602"/>
      <c r="BA125" s="602"/>
      <c r="BB125" s="602"/>
      <c r="BC125" s="602"/>
      <c r="BD125" s="602"/>
      <c r="BE125" s="602"/>
      <c r="BF125" s="602"/>
      <c r="BG125" s="602"/>
      <c r="BH125" s="602"/>
      <c r="BI125" s="602"/>
      <c r="BJ125" s="602"/>
      <c r="BK125" s="602"/>
      <c r="BL125" s="602"/>
      <c r="BM125" s="602"/>
      <c r="BN125" s="602"/>
      <c r="BO125" s="602"/>
      <c r="BP125" s="602"/>
      <c r="BQ125" s="602"/>
    </row>
    <row r="126" spans="1:69">
      <c r="A126" s="614"/>
      <c r="B126" s="615"/>
      <c r="C126" s="615" t="s">
        <v>430</v>
      </c>
      <c r="D126" s="615"/>
      <c r="E126" s="615"/>
      <c r="F126" s="615"/>
      <c r="G126" s="615"/>
      <c r="H126" s="615"/>
      <c r="I126" s="615"/>
      <c r="J126" s="615"/>
      <c r="K126" s="615"/>
      <c r="L126" s="615"/>
      <c r="M126" s="615"/>
      <c r="N126" s="615"/>
      <c r="O126" s="615"/>
      <c r="P126" s="615"/>
      <c r="Q126" s="615"/>
      <c r="R126" s="615"/>
      <c r="S126" s="615"/>
      <c r="T126" s="615"/>
      <c r="U126" s="615"/>
      <c r="V126" s="615"/>
      <c r="W126" s="615"/>
      <c r="X126" s="615"/>
      <c r="Y126" s="615"/>
      <c r="Z126" s="615"/>
      <c r="AA126" s="615"/>
      <c r="AB126" s="615"/>
      <c r="AC126" s="615"/>
      <c r="AD126" s="615"/>
      <c r="AE126" s="615"/>
      <c r="AF126" s="615"/>
      <c r="AG126" s="615"/>
      <c r="AH126" s="615"/>
      <c r="AI126" s="615"/>
      <c r="AJ126" s="615"/>
      <c r="AK126" s="615"/>
      <c r="AL126" s="615"/>
      <c r="AM126" s="615"/>
      <c r="AN126" s="615"/>
      <c r="AO126" s="615"/>
      <c r="AP126" s="615"/>
      <c r="AQ126" s="615"/>
      <c r="AR126" s="615"/>
      <c r="AS126" s="615"/>
      <c r="AT126" s="615"/>
      <c r="AU126" s="615"/>
      <c r="AV126" s="615"/>
      <c r="AW126" s="615"/>
      <c r="AX126" s="626"/>
      <c r="AY126" s="602"/>
      <c r="AZ126" s="602"/>
      <c r="BA126" s="602"/>
      <c r="BB126" s="602"/>
      <c r="BC126" s="602"/>
      <c r="BD126" s="602"/>
      <c r="BE126" s="602"/>
      <c r="BF126" s="602"/>
      <c r="BG126" s="602"/>
      <c r="BH126" s="602"/>
      <c r="BI126" s="602"/>
      <c r="BJ126" s="602"/>
      <c r="BK126" s="602"/>
      <c r="BL126" s="602"/>
      <c r="BM126" s="602"/>
      <c r="BN126" s="602"/>
      <c r="BO126" s="602"/>
      <c r="BP126" s="602"/>
      <c r="BQ126" s="602"/>
    </row>
    <row r="127" spans="1:69">
      <c r="A127" s="614"/>
      <c r="B127" s="615"/>
      <c r="C127" s="631" t="s">
        <v>367</v>
      </c>
      <c r="D127" s="623"/>
      <c r="E127" s="623"/>
      <c r="F127" s="623"/>
      <c r="G127" s="627"/>
      <c r="H127" s="631" t="s">
        <v>368</v>
      </c>
      <c r="I127" s="623"/>
      <c r="J127" s="623"/>
      <c r="K127" s="623"/>
      <c r="L127" s="623"/>
      <c r="M127" s="623"/>
      <c r="N127" s="623"/>
      <c r="O127" s="627"/>
      <c r="P127" s="634" t="s">
        <v>369</v>
      </c>
      <c r="Q127" s="632"/>
      <c r="R127" s="632"/>
      <c r="S127" s="632"/>
      <c r="T127" s="632"/>
      <c r="U127" s="632"/>
      <c r="V127" s="632"/>
      <c r="W127" s="632"/>
      <c r="X127" s="632"/>
      <c r="Y127" s="632"/>
      <c r="Z127" s="632"/>
      <c r="AA127" s="632"/>
      <c r="AB127" s="632"/>
      <c r="AC127" s="632"/>
      <c r="AD127" s="633"/>
      <c r="AE127" s="631" t="s">
        <v>370</v>
      </c>
      <c r="AF127" s="624"/>
      <c r="AG127" s="624"/>
      <c r="AH127" s="624"/>
      <c r="AI127" s="624"/>
      <c r="AJ127" s="624"/>
      <c r="AK127" s="624"/>
      <c r="AL127" s="624"/>
      <c r="AM127" s="624"/>
      <c r="AN127" s="624"/>
      <c r="AO127" s="624"/>
      <c r="AP127" s="624"/>
      <c r="AQ127" s="624"/>
      <c r="AR127" s="624"/>
      <c r="AS127" s="624"/>
      <c r="AT127" s="624"/>
      <c r="AU127" s="624"/>
      <c r="AV127" s="624"/>
      <c r="AW127" s="649"/>
      <c r="AX127" s="626"/>
      <c r="AY127" s="602"/>
      <c r="AZ127" s="602"/>
      <c r="BA127" s="602"/>
      <c r="BB127" s="602"/>
      <c r="BC127" s="602"/>
      <c r="BD127" s="602"/>
      <c r="BE127" s="602"/>
      <c r="BF127" s="602"/>
      <c r="BG127" s="602"/>
      <c r="BH127" s="602"/>
      <c r="BI127" s="602"/>
      <c r="BJ127" s="602"/>
      <c r="BK127" s="602"/>
      <c r="BL127" s="602"/>
      <c r="BM127" s="602"/>
      <c r="BN127" s="602"/>
      <c r="BO127" s="602"/>
      <c r="BP127" s="602"/>
      <c r="BQ127" s="602"/>
    </row>
    <row r="128" spans="1:69">
      <c r="A128" s="614"/>
      <c r="B128" s="615"/>
      <c r="C128" s="628"/>
      <c r="D128" s="629"/>
      <c r="E128" s="629"/>
      <c r="F128" s="629"/>
      <c r="G128" s="630"/>
      <c r="H128" s="628" t="s">
        <v>371</v>
      </c>
      <c r="I128" s="629"/>
      <c r="J128" s="629"/>
      <c r="K128" s="629"/>
      <c r="L128" s="629" t="s">
        <v>372</v>
      </c>
      <c r="M128" s="629"/>
      <c r="N128" s="629"/>
      <c r="O128" s="630"/>
      <c r="P128" s="631" t="s">
        <v>373</v>
      </c>
      <c r="Q128" s="623"/>
      <c r="R128" s="623"/>
      <c r="S128" s="623" t="s">
        <v>404</v>
      </c>
      <c r="T128" s="623"/>
      <c r="U128" s="623" t="s">
        <v>326</v>
      </c>
      <c r="V128" s="623"/>
      <c r="W128" s="623"/>
      <c r="X128" s="623" t="s">
        <v>375</v>
      </c>
      <c r="Y128" s="623"/>
      <c r="Z128" s="623"/>
      <c r="AA128" s="623" t="s">
        <v>376</v>
      </c>
      <c r="AB128" s="623"/>
      <c r="AC128" s="623"/>
      <c r="AD128" s="627"/>
      <c r="AE128" s="619"/>
      <c r="AF128" s="615"/>
      <c r="AG128" s="615"/>
      <c r="AH128" s="615"/>
      <c r="AI128" s="615"/>
      <c r="AJ128" s="615"/>
      <c r="AK128" s="615"/>
      <c r="AL128" s="615"/>
      <c r="AM128" s="615"/>
      <c r="AN128" s="615"/>
      <c r="AO128" s="615"/>
      <c r="AP128" s="615"/>
      <c r="AQ128" s="615"/>
      <c r="AR128" s="615"/>
      <c r="AS128" s="615"/>
      <c r="AT128" s="615"/>
      <c r="AU128" s="615"/>
      <c r="AV128" s="615"/>
      <c r="AW128" s="650"/>
      <c r="AX128" s="626"/>
      <c r="AY128" s="602"/>
      <c r="AZ128" s="602"/>
      <c r="BA128" s="602"/>
      <c r="BB128" s="602"/>
      <c r="BC128" s="602"/>
      <c r="BD128" s="602"/>
      <c r="BE128" s="602"/>
      <c r="BF128" s="602"/>
      <c r="BG128" s="602"/>
      <c r="BH128" s="602"/>
      <c r="BI128" s="602"/>
      <c r="BJ128" s="602"/>
      <c r="BK128" s="602"/>
      <c r="BL128" s="602"/>
      <c r="BM128" s="602"/>
      <c r="BN128" s="602"/>
      <c r="BO128" s="602"/>
      <c r="BP128" s="602"/>
      <c r="BQ128" s="602"/>
    </row>
    <row r="129" spans="1:69">
      <c r="A129" s="614"/>
      <c r="B129" s="615"/>
      <c r="C129" s="631" t="s">
        <v>395</v>
      </c>
      <c r="D129" s="623"/>
      <c r="E129" s="627"/>
      <c r="F129" s="631" t="s">
        <v>383</v>
      </c>
      <c r="G129" s="627"/>
      <c r="H129" s="631" t="s">
        <v>425</v>
      </c>
      <c r="I129" s="623"/>
      <c r="J129" s="623"/>
      <c r="K129" s="623"/>
      <c r="L129" s="623"/>
      <c r="M129" s="623"/>
      <c r="N129" s="623"/>
      <c r="O129" s="627"/>
      <c r="P129" s="696"/>
      <c r="Q129" s="697"/>
      <c r="R129" s="697"/>
      <c r="S129" s="697"/>
      <c r="T129" s="697"/>
      <c r="U129" s="697"/>
      <c r="V129" s="697"/>
      <c r="W129" s="697"/>
      <c r="X129" s="697"/>
      <c r="Y129" s="697"/>
      <c r="Z129" s="697"/>
      <c r="AA129" s="698"/>
      <c r="AB129" s="697"/>
      <c r="AC129" s="697"/>
      <c r="AD129" s="699"/>
      <c r="AE129" s="696"/>
      <c r="AF129" s="700"/>
      <c r="AG129" s="700"/>
      <c r="AH129" s="700"/>
      <c r="AI129" s="700"/>
      <c r="AJ129" s="700"/>
      <c r="AK129" s="700"/>
      <c r="AL129" s="700"/>
      <c r="AM129" s="700"/>
      <c r="AN129" s="700"/>
      <c r="AO129" s="700"/>
      <c r="AP129" s="700"/>
      <c r="AQ129" s="700"/>
      <c r="AR129" s="700"/>
      <c r="AS129" s="700"/>
      <c r="AT129" s="700"/>
      <c r="AU129" s="700"/>
      <c r="AV129" s="700"/>
      <c r="AW129" s="701"/>
      <c r="AX129" s="626"/>
      <c r="AY129" s="602"/>
      <c r="AZ129" s="602"/>
      <c r="BA129" s="602"/>
      <c r="BB129" s="602"/>
      <c r="BC129" s="602"/>
      <c r="BD129" s="602"/>
      <c r="BE129" s="602"/>
      <c r="BF129" s="602"/>
      <c r="BG129" s="602"/>
      <c r="BH129" s="602"/>
      <c r="BI129" s="602"/>
      <c r="BJ129" s="602"/>
      <c r="BK129" s="602"/>
      <c r="BL129" s="602"/>
      <c r="BM129" s="602"/>
      <c r="BN129" s="602"/>
      <c r="BO129" s="602"/>
      <c r="BP129" s="602"/>
      <c r="BQ129" s="602"/>
    </row>
    <row r="130" spans="1:69">
      <c r="A130" s="614"/>
      <c r="B130" s="615"/>
      <c r="C130" s="619"/>
      <c r="D130" s="618"/>
      <c r="E130" s="620"/>
      <c r="F130" s="619"/>
      <c r="G130" s="620"/>
      <c r="H130" s="619" t="s">
        <v>421</v>
      </c>
      <c r="I130" s="618"/>
      <c r="J130" s="618"/>
      <c r="K130" s="618"/>
      <c r="L130" s="618"/>
      <c r="M130" s="618"/>
      <c r="N130" s="618"/>
      <c r="O130" s="620"/>
      <c r="P130" s="712"/>
      <c r="Q130" s="635"/>
      <c r="R130" s="635"/>
      <c r="S130" s="635"/>
      <c r="T130" s="635"/>
      <c r="U130" s="635"/>
      <c r="V130" s="635"/>
      <c r="W130" s="635"/>
      <c r="X130" s="635"/>
      <c r="Y130" s="635"/>
      <c r="Z130" s="635"/>
      <c r="AA130" s="713"/>
      <c r="AB130" s="635"/>
      <c r="AC130" s="635"/>
      <c r="AD130" s="636"/>
      <c r="AE130" s="712"/>
      <c r="AF130" s="639"/>
      <c r="AG130" s="639"/>
      <c r="AH130" s="639"/>
      <c r="AI130" s="639"/>
      <c r="AJ130" s="639"/>
      <c r="AK130" s="639"/>
      <c r="AL130" s="639"/>
      <c r="AM130" s="639"/>
      <c r="AN130" s="639"/>
      <c r="AO130" s="639"/>
      <c r="AP130" s="639"/>
      <c r="AQ130" s="639"/>
      <c r="AR130" s="639"/>
      <c r="AS130" s="639"/>
      <c r="AT130" s="639"/>
      <c r="AU130" s="639"/>
      <c r="AV130" s="639"/>
      <c r="AW130" s="714"/>
      <c r="AX130" s="626"/>
      <c r="AY130" s="602"/>
      <c r="AZ130" s="602"/>
      <c r="BA130" s="602"/>
      <c r="BB130" s="602"/>
      <c r="BC130" s="602"/>
      <c r="BD130" s="602"/>
      <c r="BE130" s="602"/>
      <c r="BF130" s="602"/>
      <c r="BG130" s="602"/>
      <c r="BH130" s="602"/>
      <c r="BI130" s="602"/>
      <c r="BJ130" s="602"/>
      <c r="BK130" s="602"/>
      <c r="BL130" s="602"/>
      <c r="BM130" s="602"/>
      <c r="BN130" s="602"/>
      <c r="BO130" s="602"/>
      <c r="BP130" s="602"/>
      <c r="BQ130" s="602"/>
    </row>
    <row r="131" spans="1:69">
      <c r="A131" s="614"/>
      <c r="B131" s="615"/>
      <c r="C131" s="619"/>
      <c r="D131" s="618"/>
      <c r="E131" s="620"/>
      <c r="F131" s="619"/>
      <c r="G131" s="620"/>
      <c r="H131" s="619"/>
      <c r="I131" s="618"/>
      <c r="J131" s="618"/>
      <c r="K131" s="618"/>
      <c r="L131" s="618"/>
      <c r="M131" s="618"/>
      <c r="N131" s="618"/>
      <c r="O131" s="688" t="s">
        <v>426</v>
      </c>
      <c r="P131" s="721" t="s">
        <v>397</v>
      </c>
      <c r="Q131" s="722"/>
      <c r="R131" s="722"/>
      <c r="S131" s="722" t="s">
        <v>382</v>
      </c>
      <c r="T131" s="722"/>
      <c r="U131" s="722" t="s">
        <v>383</v>
      </c>
      <c r="V131" s="722"/>
      <c r="W131" s="722"/>
      <c r="X131" s="722" t="s">
        <v>330</v>
      </c>
      <c r="Y131" s="722"/>
      <c r="Z131" s="722"/>
      <c r="AA131" s="722" t="s">
        <v>332</v>
      </c>
      <c r="AB131" s="722"/>
      <c r="AC131" s="635"/>
      <c r="AD131" s="636"/>
      <c r="AE131" s="712"/>
      <c r="AF131" s="639"/>
      <c r="AG131" s="639"/>
      <c r="AH131" s="639"/>
      <c r="AI131" s="639"/>
      <c r="AJ131" s="639"/>
      <c r="AK131" s="639"/>
      <c r="AL131" s="639"/>
      <c r="AM131" s="639"/>
      <c r="AN131" s="639"/>
      <c r="AO131" s="639"/>
      <c r="AP131" s="639"/>
      <c r="AQ131" s="639"/>
      <c r="AR131" s="639"/>
      <c r="AS131" s="639"/>
      <c r="AT131" s="639"/>
      <c r="AU131" s="639"/>
      <c r="AV131" s="639"/>
      <c r="AW131" s="714"/>
      <c r="AX131" s="626"/>
      <c r="AY131" s="602"/>
      <c r="AZ131" s="602"/>
      <c r="BA131" s="602"/>
      <c r="BB131" s="602"/>
      <c r="BC131" s="602"/>
      <c r="BD131" s="602"/>
      <c r="BE131" s="602"/>
      <c r="BF131" s="602"/>
      <c r="BG131" s="602"/>
      <c r="BH131" s="602"/>
      <c r="BI131" s="602"/>
      <c r="BJ131" s="602"/>
      <c r="BK131" s="602"/>
      <c r="BL131" s="602"/>
      <c r="BM131" s="602"/>
      <c r="BN131" s="602"/>
      <c r="BO131" s="602"/>
      <c r="BP131" s="602"/>
      <c r="BQ131" s="602"/>
    </row>
    <row r="132" spans="1:69">
      <c r="A132" s="614"/>
      <c r="B132" s="615"/>
      <c r="C132" s="619"/>
      <c r="D132" s="618"/>
      <c r="E132" s="620"/>
      <c r="F132" s="619"/>
      <c r="G132" s="620"/>
      <c r="H132" s="619" t="s">
        <v>431</v>
      </c>
      <c r="I132" s="618"/>
      <c r="J132" s="618"/>
      <c r="K132" s="618"/>
      <c r="L132" s="618"/>
      <c r="M132" s="618"/>
      <c r="N132" s="618"/>
      <c r="O132" s="620"/>
      <c r="P132" s="712"/>
      <c r="Q132" s="635"/>
      <c r="R132" s="635"/>
      <c r="S132" s="635"/>
      <c r="T132" s="635"/>
      <c r="U132" s="635"/>
      <c r="V132" s="635"/>
      <c r="W132" s="635"/>
      <c r="X132" s="635"/>
      <c r="Y132" s="635"/>
      <c r="Z132" s="635"/>
      <c r="AA132" s="635"/>
      <c r="AB132" s="635"/>
      <c r="AC132" s="635"/>
      <c r="AD132" s="636"/>
      <c r="AE132" s="712"/>
      <c r="AF132" s="639"/>
      <c r="AG132" s="639"/>
      <c r="AH132" s="639"/>
      <c r="AI132" s="639"/>
      <c r="AJ132" s="639"/>
      <c r="AK132" s="639"/>
      <c r="AL132" s="639"/>
      <c r="AM132" s="639"/>
      <c r="AN132" s="639"/>
      <c r="AO132" s="639"/>
      <c r="AP132" s="639"/>
      <c r="AQ132" s="639"/>
      <c r="AR132" s="639"/>
      <c r="AS132" s="639"/>
      <c r="AT132" s="639"/>
      <c r="AU132" s="639"/>
      <c r="AV132" s="639"/>
      <c r="AW132" s="714"/>
      <c r="AX132" s="626"/>
      <c r="AY132" s="602"/>
      <c r="AZ132" s="602"/>
      <c r="BA132" s="602"/>
      <c r="BB132" s="602"/>
      <c r="BC132" s="602"/>
      <c r="BD132" s="602"/>
      <c r="BE132" s="602"/>
      <c r="BF132" s="602"/>
      <c r="BG132" s="602"/>
      <c r="BH132" s="602"/>
      <c r="BI132" s="602"/>
      <c r="BJ132" s="602"/>
      <c r="BK132" s="602"/>
      <c r="BL132" s="602"/>
      <c r="BM132" s="602"/>
      <c r="BN132" s="602"/>
      <c r="BO132" s="602"/>
      <c r="BP132" s="602"/>
      <c r="BQ132" s="602"/>
    </row>
    <row r="133" spans="1:69">
      <c r="A133" s="614"/>
      <c r="B133" s="615"/>
      <c r="C133" s="619"/>
      <c r="D133" s="618"/>
      <c r="E133" s="620"/>
      <c r="F133" s="619"/>
      <c r="G133" s="620"/>
      <c r="H133" s="619"/>
      <c r="I133" s="618"/>
      <c r="J133" s="618"/>
      <c r="K133" s="618"/>
      <c r="L133" s="618"/>
      <c r="M133" s="618"/>
      <c r="N133" s="618"/>
      <c r="O133" s="688" t="s">
        <v>380</v>
      </c>
      <c r="P133" s="712" t="s">
        <v>397</v>
      </c>
      <c r="Q133" s="635"/>
      <c r="R133" s="635"/>
      <c r="S133" s="635" t="s">
        <v>432</v>
      </c>
      <c r="T133" s="635"/>
      <c r="U133" s="635" t="s">
        <v>383</v>
      </c>
      <c r="V133" s="635"/>
      <c r="W133" s="635"/>
      <c r="X133" s="635" t="s">
        <v>330</v>
      </c>
      <c r="Y133" s="635"/>
      <c r="Z133" s="635"/>
      <c r="AA133" s="661" t="s">
        <v>337</v>
      </c>
      <c r="AB133" s="635"/>
      <c r="AC133" s="635"/>
      <c r="AD133" s="636"/>
      <c r="AE133" s="712" t="s">
        <v>342</v>
      </c>
      <c r="AF133" s="639"/>
      <c r="AG133" s="639"/>
      <c r="AH133" s="639" t="s">
        <v>422</v>
      </c>
      <c r="AI133" s="639"/>
      <c r="AJ133" s="639"/>
      <c r="AK133" s="639"/>
      <c r="AL133" s="639"/>
      <c r="AM133" s="639"/>
      <c r="AN133" s="639"/>
      <c r="AO133" s="639"/>
      <c r="AP133" s="639"/>
      <c r="AQ133" s="639"/>
      <c r="AR133" s="639"/>
      <c r="AS133" s="639"/>
      <c r="AT133" s="639"/>
      <c r="AU133" s="639"/>
      <c r="AV133" s="639"/>
      <c r="AW133" s="714"/>
      <c r="AX133" s="626"/>
      <c r="AY133" s="602"/>
      <c r="AZ133" s="602"/>
      <c r="BA133" s="602"/>
      <c r="BB133" s="602"/>
      <c r="BC133" s="602"/>
      <c r="BD133" s="602"/>
      <c r="BE133" s="602"/>
      <c r="BF133" s="602"/>
      <c r="BG133" s="602"/>
      <c r="BH133" s="602"/>
      <c r="BI133" s="602"/>
      <c r="BJ133" s="602"/>
      <c r="BK133" s="602"/>
      <c r="BL133" s="602"/>
      <c r="BM133" s="602"/>
      <c r="BN133" s="602"/>
      <c r="BO133" s="602"/>
      <c r="BP133" s="602"/>
      <c r="BQ133" s="602"/>
    </row>
    <row r="134" spans="1:69">
      <c r="A134" s="614"/>
      <c r="B134" s="615"/>
      <c r="C134" s="656" t="s">
        <v>406</v>
      </c>
      <c r="D134" s="652"/>
      <c r="E134" s="657"/>
      <c r="F134" s="656" t="s">
        <v>407</v>
      </c>
      <c r="G134" s="657"/>
      <c r="H134" s="656"/>
      <c r="I134" s="652"/>
      <c r="J134" s="652"/>
      <c r="K134" s="652"/>
      <c r="L134" s="652"/>
      <c r="M134" s="652"/>
      <c r="N134" s="652"/>
      <c r="O134" s="657"/>
      <c r="P134" s="676"/>
      <c r="Q134" s="677"/>
      <c r="R134" s="677"/>
      <c r="S134" s="677"/>
      <c r="T134" s="677"/>
      <c r="U134" s="677"/>
      <c r="V134" s="677"/>
      <c r="W134" s="677"/>
      <c r="X134" s="677"/>
      <c r="Y134" s="677"/>
      <c r="Z134" s="677"/>
      <c r="AA134" s="678"/>
      <c r="AB134" s="677"/>
      <c r="AC134" s="677"/>
      <c r="AD134" s="679"/>
      <c r="AE134" s="676"/>
      <c r="AF134" s="680"/>
      <c r="AG134" s="680"/>
      <c r="AH134" s="680"/>
      <c r="AI134" s="680"/>
      <c r="AJ134" s="680"/>
      <c r="AK134" s="680"/>
      <c r="AL134" s="680"/>
      <c r="AM134" s="680"/>
      <c r="AN134" s="680"/>
      <c r="AO134" s="680"/>
      <c r="AP134" s="680"/>
      <c r="AQ134" s="680"/>
      <c r="AR134" s="680"/>
      <c r="AS134" s="680"/>
      <c r="AT134" s="680"/>
      <c r="AU134" s="680"/>
      <c r="AV134" s="680"/>
      <c r="AW134" s="681"/>
      <c r="AX134" s="626"/>
      <c r="AY134" s="602"/>
      <c r="AZ134" s="602"/>
      <c r="BA134" s="602"/>
      <c r="BB134" s="602"/>
      <c r="BC134" s="602"/>
      <c r="BD134" s="602"/>
      <c r="BE134" s="602"/>
      <c r="BF134" s="602"/>
      <c r="BG134" s="602"/>
      <c r="BH134" s="602"/>
      <c r="BI134" s="602"/>
      <c r="BJ134" s="602"/>
      <c r="BK134" s="602"/>
      <c r="BL134" s="602"/>
      <c r="BM134" s="602"/>
      <c r="BN134" s="602"/>
      <c r="BO134" s="602"/>
      <c r="BP134" s="602"/>
      <c r="BQ134" s="602"/>
    </row>
    <row r="135" spans="1:69">
      <c r="A135" s="614"/>
      <c r="B135" s="615"/>
      <c r="C135" s="619"/>
      <c r="D135" s="618"/>
      <c r="E135" s="620"/>
      <c r="F135" s="658"/>
      <c r="G135" s="663"/>
      <c r="H135" s="658"/>
      <c r="I135" s="661"/>
      <c r="J135" s="661"/>
      <c r="K135" s="661"/>
      <c r="L135" s="661"/>
      <c r="M135" s="661"/>
      <c r="N135" s="661"/>
      <c r="O135" s="687" t="s">
        <v>380</v>
      </c>
      <c r="P135" s="671" t="s">
        <v>397</v>
      </c>
      <c r="Q135" s="672"/>
      <c r="R135" s="672"/>
      <c r="S135" s="672" t="s">
        <v>432</v>
      </c>
      <c r="T135" s="672"/>
      <c r="U135" s="672" t="s">
        <v>383</v>
      </c>
      <c r="V135" s="672"/>
      <c r="W135" s="672"/>
      <c r="X135" s="708" t="s">
        <v>386</v>
      </c>
      <c r="Y135" s="672"/>
      <c r="Z135" s="672"/>
      <c r="AA135" s="672" t="s">
        <v>337</v>
      </c>
      <c r="AB135" s="672"/>
      <c r="AC135" s="672"/>
      <c r="AD135" s="673"/>
      <c r="AE135" s="671" t="s">
        <v>356</v>
      </c>
      <c r="AF135" s="674"/>
      <c r="AG135" s="674"/>
      <c r="AH135" s="674" t="s">
        <v>423</v>
      </c>
      <c r="AI135" s="674"/>
      <c r="AJ135" s="674"/>
      <c r="AK135" s="674"/>
      <c r="AL135" s="674"/>
      <c r="AM135" s="674"/>
      <c r="AN135" s="674"/>
      <c r="AO135" s="674"/>
      <c r="AP135" s="674"/>
      <c r="AQ135" s="674"/>
      <c r="AR135" s="674"/>
      <c r="AS135" s="674"/>
      <c r="AT135" s="674"/>
      <c r="AU135" s="674"/>
      <c r="AV135" s="674"/>
      <c r="AW135" s="675"/>
      <c r="AX135" s="626"/>
      <c r="AY135" s="602"/>
      <c r="AZ135" s="602"/>
      <c r="BA135" s="602"/>
      <c r="BB135" s="602"/>
      <c r="BC135" s="602"/>
      <c r="BD135" s="602"/>
      <c r="BE135" s="602"/>
      <c r="BF135" s="602"/>
      <c r="BG135" s="602"/>
      <c r="BH135" s="602"/>
      <c r="BI135" s="602"/>
      <c r="BJ135" s="602"/>
      <c r="BK135" s="602"/>
      <c r="BL135" s="602"/>
      <c r="BM135" s="602"/>
      <c r="BN135" s="602"/>
      <c r="BO135" s="602"/>
      <c r="BP135" s="602"/>
      <c r="BQ135" s="602"/>
    </row>
    <row r="136" spans="1:69">
      <c r="A136" s="614"/>
      <c r="B136" s="615"/>
      <c r="C136" s="619"/>
      <c r="D136" s="618"/>
      <c r="E136" s="620"/>
      <c r="F136" s="656" t="s">
        <v>410</v>
      </c>
      <c r="G136" s="657"/>
      <c r="H136" s="656" t="s">
        <v>433</v>
      </c>
      <c r="I136" s="652"/>
      <c r="J136" s="652"/>
      <c r="K136" s="652"/>
      <c r="L136" s="652"/>
      <c r="M136" s="652"/>
      <c r="N136" s="652"/>
      <c r="O136" s="657"/>
      <c r="P136" s="656"/>
      <c r="Q136" s="652"/>
      <c r="R136" s="652"/>
      <c r="S136" s="652"/>
      <c r="T136" s="652"/>
      <c r="U136" s="652"/>
      <c r="V136" s="652"/>
      <c r="W136" s="652"/>
      <c r="X136" s="652"/>
      <c r="Y136" s="652"/>
      <c r="Z136" s="652"/>
      <c r="AA136" s="664"/>
      <c r="AB136" s="652"/>
      <c r="AC136" s="652"/>
      <c r="AD136" s="657"/>
      <c r="AE136" s="656"/>
      <c r="AF136" s="654"/>
      <c r="AG136" s="654"/>
      <c r="AH136" s="654"/>
      <c r="AI136" s="654"/>
      <c r="AJ136" s="654"/>
      <c r="AK136" s="654"/>
      <c r="AL136" s="654"/>
      <c r="AM136" s="654"/>
      <c r="AN136" s="654"/>
      <c r="AO136" s="654"/>
      <c r="AP136" s="654"/>
      <c r="AQ136" s="654"/>
      <c r="AR136" s="654"/>
      <c r="AS136" s="654"/>
      <c r="AT136" s="654"/>
      <c r="AU136" s="654"/>
      <c r="AV136" s="654"/>
      <c r="AW136" s="655"/>
      <c r="AX136" s="626"/>
      <c r="AY136" s="602"/>
      <c r="AZ136" s="602"/>
      <c r="BA136" s="602"/>
      <c r="BB136" s="602"/>
      <c r="BC136" s="602"/>
      <c r="BD136" s="602"/>
      <c r="BE136" s="602"/>
      <c r="BF136" s="602"/>
      <c r="BG136" s="602"/>
      <c r="BH136" s="602"/>
      <c r="BI136" s="602"/>
      <c r="BJ136" s="602"/>
      <c r="BK136" s="602"/>
      <c r="BL136" s="602"/>
      <c r="BM136" s="602"/>
      <c r="BN136" s="602"/>
      <c r="BO136" s="602"/>
      <c r="BP136" s="602"/>
      <c r="BQ136" s="602"/>
    </row>
    <row r="137" spans="1:69">
      <c r="A137" s="614"/>
      <c r="B137" s="615"/>
      <c r="C137" s="619"/>
      <c r="D137" s="618"/>
      <c r="E137" s="620"/>
      <c r="F137" s="658"/>
      <c r="G137" s="663"/>
      <c r="H137" s="658"/>
      <c r="I137" s="661"/>
      <c r="J137" s="661"/>
      <c r="K137" s="661"/>
      <c r="L137" s="661"/>
      <c r="M137" s="661"/>
      <c r="N137" s="661"/>
      <c r="O137" s="687" t="s">
        <v>380</v>
      </c>
      <c r="P137" s="658" t="s">
        <v>397</v>
      </c>
      <c r="Q137" s="661"/>
      <c r="R137" s="661"/>
      <c r="S137" s="661" t="s">
        <v>432</v>
      </c>
      <c r="T137" s="661"/>
      <c r="U137" s="661" t="s">
        <v>383</v>
      </c>
      <c r="V137" s="661"/>
      <c r="W137" s="661"/>
      <c r="X137" s="662" t="s">
        <v>398</v>
      </c>
      <c r="Y137" s="661"/>
      <c r="Z137" s="661"/>
      <c r="AA137" s="661" t="s">
        <v>337</v>
      </c>
      <c r="AB137" s="661"/>
      <c r="AC137" s="661"/>
      <c r="AD137" s="663"/>
      <c r="AE137" s="658" t="s">
        <v>338</v>
      </c>
      <c r="AF137" s="659"/>
      <c r="AG137" s="659"/>
      <c r="AH137" s="659" t="s">
        <v>399</v>
      </c>
      <c r="AI137" s="659"/>
      <c r="AJ137" s="659"/>
      <c r="AK137" s="659"/>
      <c r="AL137" s="659"/>
      <c r="AM137" s="659"/>
      <c r="AN137" s="659"/>
      <c r="AO137" s="659"/>
      <c r="AP137" s="659"/>
      <c r="AQ137" s="659"/>
      <c r="AR137" s="659"/>
      <c r="AS137" s="659"/>
      <c r="AT137" s="659"/>
      <c r="AU137" s="659"/>
      <c r="AV137" s="659"/>
      <c r="AW137" s="660"/>
      <c r="AX137" s="626"/>
      <c r="AY137" s="602"/>
      <c r="AZ137" s="602"/>
      <c r="BA137" s="602"/>
      <c r="BB137" s="602"/>
      <c r="BC137" s="602"/>
      <c r="BD137" s="602"/>
      <c r="BE137" s="602"/>
      <c r="BF137" s="602"/>
      <c r="BG137" s="602"/>
      <c r="BH137" s="602"/>
      <c r="BI137" s="602"/>
      <c r="BJ137" s="602"/>
      <c r="BK137" s="602"/>
      <c r="BL137" s="602"/>
      <c r="BM137" s="602"/>
      <c r="BN137" s="602"/>
      <c r="BO137" s="602"/>
      <c r="BP137" s="602"/>
      <c r="BQ137" s="602"/>
    </row>
    <row r="138" spans="1:69">
      <c r="A138" s="614"/>
      <c r="B138" s="615"/>
      <c r="C138" s="619"/>
      <c r="D138" s="618"/>
      <c r="E138" s="620"/>
      <c r="F138" s="656" t="s">
        <v>412</v>
      </c>
      <c r="G138" s="657"/>
      <c r="H138" s="656"/>
      <c r="I138" s="652"/>
      <c r="J138" s="652"/>
      <c r="K138" s="652"/>
      <c r="L138" s="652"/>
      <c r="M138" s="652"/>
      <c r="N138" s="652"/>
      <c r="O138" s="657"/>
      <c r="P138" s="676"/>
      <c r="Q138" s="677"/>
      <c r="R138" s="677"/>
      <c r="S138" s="677"/>
      <c r="T138" s="677"/>
      <c r="U138" s="677"/>
      <c r="V138" s="677"/>
      <c r="W138" s="677"/>
      <c r="X138" s="677"/>
      <c r="Y138" s="677"/>
      <c r="Z138" s="677"/>
      <c r="AA138" s="678"/>
      <c r="AB138" s="677"/>
      <c r="AC138" s="677"/>
      <c r="AD138" s="679"/>
      <c r="AE138" s="676"/>
      <c r="AF138" s="680"/>
      <c r="AG138" s="680"/>
      <c r="AH138" s="680"/>
      <c r="AI138" s="680"/>
      <c r="AJ138" s="680"/>
      <c r="AK138" s="680"/>
      <c r="AL138" s="680"/>
      <c r="AM138" s="680"/>
      <c r="AN138" s="680"/>
      <c r="AO138" s="680"/>
      <c r="AP138" s="680"/>
      <c r="AQ138" s="680"/>
      <c r="AR138" s="680"/>
      <c r="AS138" s="680"/>
      <c r="AT138" s="680"/>
      <c r="AU138" s="680"/>
      <c r="AV138" s="680"/>
      <c r="AW138" s="681"/>
      <c r="AX138" s="626"/>
      <c r="AY138" s="602"/>
      <c r="AZ138" s="602"/>
      <c r="BA138" s="602"/>
      <c r="BB138" s="602"/>
      <c r="BC138" s="602"/>
      <c r="BD138" s="602"/>
      <c r="BE138" s="602"/>
      <c r="BF138" s="602"/>
      <c r="BG138" s="602"/>
      <c r="BH138" s="602"/>
      <c r="BI138" s="602"/>
      <c r="BJ138" s="602"/>
      <c r="BK138" s="602"/>
      <c r="BL138" s="602"/>
      <c r="BM138" s="602"/>
      <c r="BN138" s="602"/>
      <c r="BO138" s="602"/>
      <c r="BP138" s="602"/>
      <c r="BQ138" s="602"/>
    </row>
    <row r="139" spans="1:69">
      <c r="A139" s="614"/>
      <c r="B139" s="615"/>
      <c r="C139" s="628"/>
      <c r="D139" s="629"/>
      <c r="E139" s="630"/>
      <c r="F139" s="628"/>
      <c r="G139" s="630"/>
      <c r="H139" s="628"/>
      <c r="I139" s="629"/>
      <c r="J139" s="629"/>
      <c r="K139" s="629"/>
      <c r="L139" s="629"/>
      <c r="M139" s="629"/>
      <c r="N139" s="629"/>
      <c r="O139" s="689" t="s">
        <v>380</v>
      </c>
      <c r="P139" s="682" t="s">
        <v>397</v>
      </c>
      <c r="Q139" s="683"/>
      <c r="R139" s="683"/>
      <c r="S139" s="683" t="s">
        <v>432</v>
      </c>
      <c r="T139" s="683"/>
      <c r="U139" s="683" t="s">
        <v>383</v>
      </c>
      <c r="V139" s="683"/>
      <c r="W139" s="683"/>
      <c r="X139" s="683" t="s">
        <v>398</v>
      </c>
      <c r="Y139" s="683"/>
      <c r="Z139" s="683"/>
      <c r="AA139" s="683" t="s">
        <v>337</v>
      </c>
      <c r="AB139" s="683"/>
      <c r="AC139" s="683"/>
      <c r="AD139" s="684"/>
      <c r="AE139" s="682" t="s">
        <v>334</v>
      </c>
      <c r="AF139" s="685"/>
      <c r="AG139" s="685"/>
      <c r="AH139" s="685" t="s">
        <v>400</v>
      </c>
      <c r="AI139" s="685"/>
      <c r="AJ139" s="685"/>
      <c r="AK139" s="685"/>
      <c r="AL139" s="685"/>
      <c r="AM139" s="685"/>
      <c r="AN139" s="685"/>
      <c r="AO139" s="685"/>
      <c r="AP139" s="685"/>
      <c r="AQ139" s="685"/>
      <c r="AR139" s="685"/>
      <c r="AS139" s="685"/>
      <c r="AT139" s="685"/>
      <c r="AU139" s="685"/>
      <c r="AV139" s="685"/>
      <c r="AW139" s="686"/>
      <c r="AX139" s="626"/>
      <c r="AY139" s="602"/>
      <c r="AZ139" s="602"/>
      <c r="BA139" s="602"/>
      <c r="BB139" s="602"/>
      <c r="BC139" s="602"/>
      <c r="BD139" s="602"/>
      <c r="BE139" s="602"/>
      <c r="BF139" s="602"/>
      <c r="BG139" s="602"/>
      <c r="BH139" s="602"/>
      <c r="BI139" s="602"/>
      <c r="BJ139" s="602"/>
      <c r="BK139" s="602"/>
      <c r="BL139" s="602"/>
      <c r="BM139" s="602"/>
      <c r="BN139" s="602"/>
      <c r="BO139" s="602"/>
      <c r="BP139" s="602"/>
      <c r="BQ139" s="602"/>
    </row>
    <row r="140" spans="1:69">
      <c r="A140" s="614"/>
      <c r="B140" s="615"/>
      <c r="C140" s="615"/>
      <c r="D140" s="615"/>
      <c r="E140" s="618"/>
      <c r="F140" s="618"/>
      <c r="G140" s="618"/>
      <c r="H140" s="618"/>
      <c r="I140" s="618"/>
      <c r="J140" s="618"/>
      <c r="K140" s="618"/>
      <c r="L140" s="618"/>
      <c r="M140" s="618"/>
      <c r="N140" s="618"/>
      <c r="O140" s="618"/>
      <c r="P140" s="618"/>
      <c r="Q140" s="618"/>
      <c r="R140" s="618"/>
      <c r="S140" s="618"/>
      <c r="T140" s="618"/>
      <c r="U140" s="618"/>
      <c r="V140" s="618"/>
      <c r="W140" s="618"/>
      <c r="X140" s="618"/>
      <c r="Y140" s="618"/>
      <c r="Z140" s="618"/>
      <c r="AA140" s="618"/>
      <c r="AB140" s="618"/>
      <c r="AC140" s="618"/>
      <c r="AD140" s="618"/>
      <c r="AE140" s="618"/>
      <c r="AF140" s="618"/>
      <c r="AG140" s="618"/>
      <c r="AH140" s="618"/>
      <c r="AI140" s="618"/>
      <c r="AJ140" s="618"/>
      <c r="AK140" s="618"/>
      <c r="AL140" s="618"/>
      <c r="AM140" s="615"/>
      <c r="AN140" s="615"/>
      <c r="AO140" s="615"/>
      <c r="AP140" s="615"/>
      <c r="AQ140" s="615"/>
      <c r="AR140" s="615"/>
      <c r="AS140" s="615"/>
      <c r="AT140" s="615"/>
      <c r="AU140" s="615"/>
      <c r="AV140" s="615"/>
      <c r="AW140" s="615"/>
      <c r="AX140" s="626"/>
      <c r="AY140" s="602"/>
      <c r="AZ140" s="602"/>
      <c r="BA140" s="602"/>
      <c r="BB140" s="602"/>
      <c r="BC140" s="602"/>
      <c r="BD140" s="602"/>
      <c r="BE140" s="602"/>
      <c r="BF140" s="602"/>
      <c r="BG140" s="602"/>
      <c r="BH140" s="602"/>
      <c r="BI140" s="602"/>
      <c r="BJ140" s="602"/>
      <c r="BK140" s="602"/>
      <c r="BL140" s="602"/>
      <c r="BM140" s="602"/>
      <c r="BN140" s="602"/>
      <c r="BO140" s="602"/>
      <c r="BP140" s="602"/>
      <c r="BQ140" s="602"/>
    </row>
    <row r="141" spans="1:69">
      <c r="A141" s="614"/>
      <c r="B141" s="615"/>
      <c r="C141" s="615" t="s">
        <v>434</v>
      </c>
      <c r="D141" s="615"/>
      <c r="E141" s="615"/>
      <c r="F141" s="615"/>
      <c r="G141" s="615"/>
      <c r="H141" s="615"/>
      <c r="I141" s="615"/>
      <c r="J141" s="615"/>
      <c r="K141" s="615"/>
      <c r="L141" s="615"/>
      <c r="M141" s="615"/>
      <c r="N141" s="615"/>
      <c r="O141" s="615"/>
      <c r="P141" s="615"/>
      <c r="Q141" s="615"/>
      <c r="R141" s="615"/>
      <c r="S141" s="615"/>
      <c r="T141" s="615"/>
      <c r="U141" s="615"/>
      <c r="V141" s="615"/>
      <c r="W141" s="615"/>
      <c r="X141" s="615"/>
      <c r="Y141" s="615"/>
      <c r="Z141" s="615"/>
      <c r="AA141" s="615"/>
      <c r="AB141" s="615"/>
      <c r="AC141" s="615"/>
      <c r="AD141" s="615"/>
      <c r="AE141" s="615"/>
      <c r="AF141" s="615"/>
      <c r="AG141" s="615"/>
      <c r="AH141" s="615"/>
      <c r="AI141" s="615"/>
      <c r="AJ141" s="615"/>
      <c r="AK141" s="615"/>
      <c r="AL141" s="615"/>
      <c r="AM141" s="615"/>
      <c r="AN141" s="615"/>
      <c r="AO141" s="615"/>
      <c r="AP141" s="615"/>
      <c r="AQ141" s="615"/>
      <c r="AR141" s="615"/>
      <c r="AS141" s="615"/>
      <c r="AT141" s="615"/>
      <c r="AU141" s="615"/>
      <c r="AV141" s="615"/>
      <c r="AW141" s="615"/>
      <c r="AX141" s="626"/>
      <c r="AY141" s="602"/>
      <c r="AZ141" s="602"/>
      <c r="BA141" s="602"/>
      <c r="BB141" s="602"/>
      <c r="BC141" s="602"/>
      <c r="BD141" s="602"/>
      <c r="BE141" s="602"/>
      <c r="BF141" s="602"/>
      <c r="BG141" s="602"/>
      <c r="BH141" s="602"/>
      <c r="BI141" s="602"/>
      <c r="BJ141" s="602"/>
      <c r="BK141" s="602"/>
      <c r="BL141" s="602"/>
      <c r="BM141" s="602"/>
      <c r="BN141" s="602"/>
      <c r="BO141" s="602"/>
      <c r="BP141" s="602"/>
      <c r="BQ141" s="602"/>
    </row>
    <row r="142" spans="1:69">
      <c r="A142" s="614"/>
      <c r="B142" s="615"/>
      <c r="C142" s="631" t="s">
        <v>367</v>
      </c>
      <c r="D142" s="623"/>
      <c r="E142" s="623"/>
      <c r="F142" s="623"/>
      <c r="G142" s="627"/>
      <c r="H142" s="631" t="s">
        <v>368</v>
      </c>
      <c r="I142" s="623"/>
      <c r="J142" s="623"/>
      <c r="K142" s="623"/>
      <c r="L142" s="623"/>
      <c r="M142" s="623"/>
      <c r="N142" s="623"/>
      <c r="O142" s="627"/>
      <c r="P142" s="634" t="s">
        <v>369</v>
      </c>
      <c r="Q142" s="632"/>
      <c r="R142" s="632"/>
      <c r="S142" s="632"/>
      <c r="T142" s="632"/>
      <c r="U142" s="632"/>
      <c r="V142" s="632"/>
      <c r="W142" s="632"/>
      <c r="X142" s="632"/>
      <c r="Y142" s="632"/>
      <c r="Z142" s="632"/>
      <c r="AA142" s="632"/>
      <c r="AB142" s="632"/>
      <c r="AC142" s="632"/>
      <c r="AD142" s="633"/>
      <c r="AE142" s="631" t="s">
        <v>370</v>
      </c>
      <c r="AF142" s="624"/>
      <c r="AG142" s="624"/>
      <c r="AH142" s="624"/>
      <c r="AI142" s="624"/>
      <c r="AJ142" s="624"/>
      <c r="AK142" s="624"/>
      <c r="AL142" s="624"/>
      <c r="AM142" s="624"/>
      <c r="AN142" s="624"/>
      <c r="AO142" s="624"/>
      <c r="AP142" s="624"/>
      <c r="AQ142" s="624"/>
      <c r="AR142" s="624"/>
      <c r="AS142" s="624"/>
      <c r="AT142" s="624"/>
      <c r="AU142" s="624"/>
      <c r="AV142" s="624"/>
      <c r="AW142" s="649"/>
      <c r="AX142" s="626"/>
      <c r="AY142" s="602"/>
      <c r="AZ142" s="602"/>
      <c r="BA142" s="602"/>
      <c r="BB142" s="602"/>
      <c r="BC142" s="602"/>
      <c r="BD142" s="602"/>
      <c r="BE142" s="602"/>
      <c r="BF142" s="602"/>
      <c r="BG142" s="602"/>
      <c r="BH142" s="602"/>
      <c r="BI142" s="602"/>
      <c r="BJ142" s="602"/>
      <c r="BK142" s="602"/>
      <c r="BL142" s="602"/>
      <c r="BM142" s="602"/>
      <c r="BN142" s="602"/>
      <c r="BO142" s="602"/>
      <c r="BP142" s="602"/>
      <c r="BQ142" s="602"/>
    </row>
    <row r="143" spans="1:69">
      <c r="A143" s="614"/>
      <c r="B143" s="615"/>
      <c r="C143" s="628"/>
      <c r="D143" s="629"/>
      <c r="E143" s="629"/>
      <c r="F143" s="629"/>
      <c r="G143" s="630"/>
      <c r="H143" s="628" t="s">
        <v>371</v>
      </c>
      <c r="I143" s="629"/>
      <c r="J143" s="629"/>
      <c r="K143" s="629"/>
      <c r="L143" s="629" t="s">
        <v>372</v>
      </c>
      <c r="M143" s="629"/>
      <c r="N143" s="629"/>
      <c r="O143" s="630"/>
      <c r="P143" s="631" t="s">
        <v>373</v>
      </c>
      <c r="Q143" s="623"/>
      <c r="R143" s="623"/>
      <c r="S143" s="623" t="s">
        <v>404</v>
      </c>
      <c r="T143" s="623"/>
      <c r="U143" s="623" t="s">
        <v>326</v>
      </c>
      <c r="V143" s="623"/>
      <c r="W143" s="623"/>
      <c r="X143" s="623" t="s">
        <v>375</v>
      </c>
      <c r="Y143" s="623"/>
      <c r="Z143" s="623"/>
      <c r="AA143" s="623" t="s">
        <v>376</v>
      </c>
      <c r="AB143" s="623"/>
      <c r="AC143" s="623"/>
      <c r="AD143" s="627"/>
      <c r="AE143" s="619"/>
      <c r="AF143" s="615"/>
      <c r="AG143" s="615"/>
      <c r="AH143" s="615"/>
      <c r="AI143" s="615"/>
      <c r="AJ143" s="615"/>
      <c r="AK143" s="615"/>
      <c r="AL143" s="615"/>
      <c r="AM143" s="615"/>
      <c r="AN143" s="615"/>
      <c r="AO143" s="615"/>
      <c r="AP143" s="615"/>
      <c r="AQ143" s="615"/>
      <c r="AR143" s="615"/>
      <c r="AS143" s="615"/>
      <c r="AT143" s="615"/>
      <c r="AU143" s="615"/>
      <c r="AV143" s="615"/>
      <c r="AW143" s="650"/>
      <c r="AX143" s="626"/>
      <c r="AY143" s="602"/>
      <c r="AZ143" s="602"/>
      <c r="BA143" s="602"/>
      <c r="BB143" s="602"/>
      <c r="BC143" s="602"/>
      <c r="BD143" s="602"/>
      <c r="BE143" s="602"/>
      <c r="BF143" s="602"/>
      <c r="BG143" s="602"/>
      <c r="BH143" s="602"/>
      <c r="BI143" s="602"/>
      <c r="BJ143" s="602"/>
      <c r="BK143" s="602"/>
      <c r="BL143" s="602"/>
      <c r="BM143" s="602"/>
      <c r="BN143" s="602"/>
      <c r="BO143" s="602"/>
      <c r="BP143" s="602"/>
      <c r="BQ143" s="602"/>
    </row>
    <row r="144" spans="1:69">
      <c r="A144" s="614"/>
      <c r="B144" s="615"/>
      <c r="C144" s="631" t="s">
        <v>387</v>
      </c>
      <c r="D144" s="623"/>
      <c r="E144" s="627"/>
      <c r="F144" s="666" t="s">
        <v>388</v>
      </c>
      <c r="G144" s="668"/>
      <c r="H144" s="666" t="s">
        <v>435</v>
      </c>
      <c r="I144" s="667"/>
      <c r="J144" s="667"/>
      <c r="K144" s="667"/>
      <c r="L144" s="667"/>
      <c r="M144" s="667"/>
      <c r="N144" s="667"/>
      <c r="O144" s="668"/>
      <c r="P144" s="666"/>
      <c r="Q144" s="667"/>
      <c r="R144" s="667"/>
      <c r="S144" s="667"/>
      <c r="T144" s="667"/>
      <c r="U144" s="667"/>
      <c r="V144" s="667"/>
      <c r="W144" s="667"/>
      <c r="X144" s="667"/>
      <c r="Y144" s="667"/>
      <c r="Z144" s="667"/>
      <c r="AA144" s="690"/>
      <c r="AB144" s="667"/>
      <c r="AC144" s="667"/>
      <c r="AD144" s="668"/>
      <c r="AE144" s="666"/>
      <c r="AF144" s="669"/>
      <c r="AG144" s="669"/>
      <c r="AH144" s="669"/>
      <c r="AI144" s="669"/>
      <c r="AJ144" s="669"/>
      <c r="AK144" s="669"/>
      <c r="AL144" s="669"/>
      <c r="AM144" s="669"/>
      <c r="AN144" s="669"/>
      <c r="AO144" s="669"/>
      <c r="AP144" s="669"/>
      <c r="AQ144" s="669"/>
      <c r="AR144" s="669"/>
      <c r="AS144" s="669"/>
      <c r="AT144" s="669"/>
      <c r="AU144" s="669"/>
      <c r="AV144" s="669"/>
      <c r="AW144" s="670"/>
      <c r="AX144" s="626"/>
      <c r="AY144" s="602"/>
      <c r="AZ144" s="602"/>
      <c r="BA144" s="602"/>
      <c r="BB144" s="602"/>
      <c r="BC144" s="602"/>
      <c r="BD144" s="602"/>
      <c r="BE144" s="602"/>
      <c r="BF144" s="602"/>
      <c r="BG144" s="602"/>
      <c r="BH144" s="602"/>
      <c r="BI144" s="602"/>
      <c r="BJ144" s="602"/>
      <c r="BK144" s="602"/>
      <c r="BL144" s="602"/>
      <c r="BM144" s="602"/>
      <c r="BN144" s="602"/>
      <c r="BO144" s="602"/>
      <c r="BP144" s="602"/>
      <c r="BQ144" s="602"/>
    </row>
    <row r="145" spans="1:69">
      <c r="A145" s="614"/>
      <c r="B145" s="615"/>
      <c r="C145" s="619"/>
      <c r="D145" s="618"/>
      <c r="E145" s="620"/>
      <c r="F145" s="707"/>
      <c r="G145" s="709"/>
      <c r="H145" s="707"/>
      <c r="I145" s="708"/>
      <c r="J145" s="708"/>
      <c r="K145" s="708"/>
      <c r="L145" s="708"/>
      <c r="M145" s="708"/>
      <c r="N145" s="708"/>
      <c r="O145" s="792" t="s">
        <v>426</v>
      </c>
      <c r="P145" s="719" t="s">
        <v>381</v>
      </c>
      <c r="Q145" s="720"/>
      <c r="R145" s="720"/>
      <c r="S145" s="720" t="s">
        <v>382</v>
      </c>
      <c r="T145" s="720"/>
      <c r="U145" s="720" t="s">
        <v>383</v>
      </c>
      <c r="V145" s="720"/>
      <c r="W145" s="720"/>
      <c r="X145" s="720" t="s">
        <v>330</v>
      </c>
      <c r="Y145" s="720"/>
      <c r="Z145" s="720"/>
      <c r="AA145" s="720" t="s">
        <v>332</v>
      </c>
      <c r="AB145" s="720"/>
      <c r="AC145" s="708"/>
      <c r="AD145" s="709"/>
      <c r="AE145" s="707"/>
      <c r="AF145" s="710"/>
      <c r="AG145" s="710"/>
      <c r="AH145" s="710"/>
      <c r="AI145" s="710"/>
      <c r="AJ145" s="710"/>
      <c r="AK145" s="710"/>
      <c r="AL145" s="710"/>
      <c r="AM145" s="710"/>
      <c r="AN145" s="710"/>
      <c r="AO145" s="710"/>
      <c r="AP145" s="710"/>
      <c r="AQ145" s="710"/>
      <c r="AR145" s="710"/>
      <c r="AS145" s="710"/>
      <c r="AT145" s="710"/>
      <c r="AU145" s="710"/>
      <c r="AV145" s="710"/>
      <c r="AW145" s="711"/>
      <c r="AX145" s="626"/>
      <c r="AY145" s="602"/>
      <c r="AZ145" s="602"/>
      <c r="BA145" s="602"/>
      <c r="BB145" s="602"/>
      <c r="BC145" s="602"/>
      <c r="BD145" s="602"/>
      <c r="BE145" s="602"/>
      <c r="BF145" s="602"/>
      <c r="BG145" s="602"/>
      <c r="BH145" s="602"/>
      <c r="BI145" s="602"/>
      <c r="BJ145" s="602"/>
      <c r="BK145" s="602"/>
      <c r="BL145" s="602"/>
      <c r="BM145" s="602"/>
      <c r="BN145" s="602"/>
      <c r="BO145" s="602"/>
      <c r="BP145" s="602"/>
      <c r="BQ145" s="602"/>
    </row>
    <row r="146" spans="1:69">
      <c r="A146" s="614"/>
      <c r="B146" s="615"/>
      <c r="C146" s="619"/>
      <c r="D146" s="618"/>
      <c r="E146" s="620"/>
      <c r="F146" s="707"/>
      <c r="G146" s="709"/>
      <c r="H146" s="707" t="s">
        <v>436</v>
      </c>
      <c r="I146" s="708"/>
      <c r="J146" s="708"/>
      <c r="K146" s="708"/>
      <c r="L146" s="708"/>
      <c r="M146" s="708"/>
      <c r="N146" s="708"/>
      <c r="O146" s="709"/>
      <c r="P146" s="707"/>
      <c r="Q146" s="708"/>
      <c r="R146" s="708"/>
      <c r="S146" s="708"/>
      <c r="T146" s="708"/>
      <c r="U146" s="708"/>
      <c r="V146" s="708"/>
      <c r="W146" s="708"/>
      <c r="X146" s="708"/>
      <c r="Y146" s="708"/>
      <c r="Z146" s="708"/>
      <c r="AA146" s="708"/>
      <c r="AB146" s="708"/>
      <c r="AC146" s="708"/>
      <c r="AD146" s="709"/>
      <c r="AE146" s="707"/>
      <c r="AF146" s="710"/>
      <c r="AG146" s="710"/>
      <c r="AH146" s="710"/>
      <c r="AI146" s="710"/>
      <c r="AJ146" s="710"/>
      <c r="AK146" s="710"/>
      <c r="AL146" s="710"/>
      <c r="AM146" s="710"/>
      <c r="AN146" s="710"/>
      <c r="AO146" s="710"/>
      <c r="AP146" s="710"/>
      <c r="AQ146" s="710"/>
      <c r="AR146" s="710"/>
      <c r="AS146" s="710"/>
      <c r="AT146" s="710"/>
      <c r="AU146" s="710"/>
      <c r="AV146" s="710"/>
      <c r="AW146" s="711"/>
      <c r="AX146" s="626"/>
      <c r="AY146" s="602"/>
      <c r="AZ146" s="602"/>
      <c r="BA146" s="602"/>
      <c r="BB146" s="602"/>
      <c r="BC146" s="602"/>
      <c r="BD146" s="602"/>
      <c r="BE146" s="602"/>
      <c r="BF146" s="602"/>
      <c r="BG146" s="602"/>
      <c r="BH146" s="602"/>
      <c r="BI146" s="602"/>
      <c r="BJ146" s="602"/>
      <c r="BK146" s="602"/>
      <c r="BL146" s="602"/>
      <c r="BM146" s="602"/>
      <c r="BN146" s="602"/>
      <c r="BO146" s="602"/>
      <c r="BP146" s="602"/>
      <c r="BQ146" s="602"/>
    </row>
    <row r="147" spans="1:69">
      <c r="A147" s="614"/>
      <c r="B147" s="615"/>
      <c r="C147" s="619"/>
      <c r="D147" s="618"/>
      <c r="E147" s="620"/>
      <c r="F147" s="707"/>
      <c r="G147" s="709"/>
      <c r="H147" s="707"/>
      <c r="I147" s="708"/>
      <c r="J147" s="708"/>
      <c r="K147" s="708"/>
      <c r="L147" s="708"/>
      <c r="M147" s="708"/>
      <c r="N147" s="708"/>
      <c r="O147" s="792" t="s">
        <v>380</v>
      </c>
      <c r="P147" s="707" t="s">
        <v>437</v>
      </c>
      <c r="Q147" s="708"/>
      <c r="R147" s="708"/>
      <c r="S147" s="708" t="s">
        <v>428</v>
      </c>
      <c r="T147" s="708"/>
      <c r="U147" s="708" t="s">
        <v>383</v>
      </c>
      <c r="V147" s="708"/>
      <c r="W147" s="708"/>
      <c r="X147" s="708" t="s">
        <v>398</v>
      </c>
      <c r="Y147" s="708"/>
      <c r="Z147" s="708"/>
      <c r="AA147" s="708" t="s">
        <v>332</v>
      </c>
      <c r="AB147" s="708"/>
      <c r="AC147" s="708"/>
      <c r="AD147" s="709"/>
      <c r="AE147" s="707" t="s">
        <v>356</v>
      </c>
      <c r="AF147" s="710"/>
      <c r="AG147" s="710"/>
      <c r="AH147" s="710" t="s">
        <v>438</v>
      </c>
      <c r="AI147" s="710"/>
      <c r="AJ147" s="710"/>
      <c r="AK147" s="710"/>
      <c r="AL147" s="710"/>
      <c r="AM147" s="710"/>
      <c r="AN147" s="710"/>
      <c r="AO147" s="710"/>
      <c r="AP147" s="710"/>
      <c r="AQ147" s="710"/>
      <c r="AR147" s="710"/>
      <c r="AS147" s="710"/>
      <c r="AT147" s="710"/>
      <c r="AU147" s="710"/>
      <c r="AV147" s="710"/>
      <c r="AW147" s="711"/>
      <c r="AX147" s="626"/>
      <c r="AY147" s="602"/>
      <c r="AZ147" s="602"/>
      <c r="BA147" s="602"/>
      <c r="BB147" s="602"/>
      <c r="BC147" s="602"/>
      <c r="BD147" s="602"/>
      <c r="BE147" s="602"/>
      <c r="BF147" s="602"/>
      <c r="BG147" s="602"/>
      <c r="BH147" s="602"/>
      <c r="BI147" s="602"/>
      <c r="BJ147" s="602"/>
      <c r="BK147" s="602"/>
      <c r="BL147" s="602"/>
      <c r="BM147" s="602"/>
      <c r="BN147" s="602"/>
      <c r="BO147" s="602"/>
      <c r="BP147" s="602"/>
      <c r="BQ147" s="602"/>
    </row>
    <row r="148" spans="1:69">
      <c r="A148" s="614"/>
      <c r="B148" s="615"/>
      <c r="C148" s="619"/>
      <c r="D148" s="618"/>
      <c r="E148" s="620"/>
      <c r="F148" s="656" t="s">
        <v>390</v>
      </c>
      <c r="G148" s="657"/>
      <c r="H148" s="656" t="s">
        <v>439</v>
      </c>
      <c r="I148" s="652"/>
      <c r="J148" s="652"/>
      <c r="K148" s="652"/>
      <c r="L148" s="652"/>
      <c r="M148" s="652"/>
      <c r="N148" s="652"/>
      <c r="O148" s="657"/>
      <c r="P148" s="787"/>
      <c r="Q148" s="788"/>
      <c r="R148" s="788"/>
      <c r="S148" s="788"/>
      <c r="T148" s="788"/>
      <c r="U148" s="788"/>
      <c r="V148" s="788"/>
      <c r="W148" s="788"/>
      <c r="X148" s="788"/>
      <c r="Y148" s="788"/>
      <c r="Z148" s="788"/>
      <c r="AA148" s="788"/>
      <c r="AB148" s="788"/>
      <c r="AC148" s="788"/>
      <c r="AD148" s="789"/>
      <c r="AE148" s="787"/>
      <c r="AF148" s="790"/>
      <c r="AG148" s="790"/>
      <c r="AH148" s="790"/>
      <c r="AI148" s="790"/>
      <c r="AJ148" s="790"/>
      <c r="AK148" s="790"/>
      <c r="AL148" s="790"/>
      <c r="AM148" s="790"/>
      <c r="AN148" s="790"/>
      <c r="AO148" s="790"/>
      <c r="AP148" s="790"/>
      <c r="AQ148" s="790"/>
      <c r="AR148" s="790"/>
      <c r="AS148" s="790"/>
      <c r="AT148" s="790"/>
      <c r="AU148" s="790"/>
      <c r="AV148" s="790"/>
      <c r="AW148" s="791"/>
      <c r="AX148" s="626"/>
      <c r="AY148" s="602"/>
      <c r="AZ148" s="602"/>
      <c r="BA148" s="602"/>
      <c r="BB148" s="602"/>
      <c r="BC148" s="602"/>
      <c r="BD148" s="602"/>
      <c r="BE148" s="602"/>
      <c r="BF148" s="602"/>
      <c r="BG148" s="602"/>
      <c r="BH148" s="602"/>
      <c r="BI148" s="602"/>
      <c r="BJ148" s="602"/>
      <c r="BK148" s="602"/>
      <c r="BL148" s="602"/>
      <c r="BM148" s="602"/>
      <c r="BN148" s="602"/>
      <c r="BO148" s="602"/>
      <c r="BP148" s="602"/>
      <c r="BQ148" s="602"/>
    </row>
    <row r="149" spans="1:69">
      <c r="A149" s="614"/>
      <c r="B149" s="615"/>
      <c r="C149" s="628"/>
      <c r="D149" s="629"/>
      <c r="E149" s="630"/>
      <c r="F149" s="628"/>
      <c r="G149" s="630"/>
      <c r="H149" s="628"/>
      <c r="I149" s="629"/>
      <c r="J149" s="629"/>
      <c r="K149" s="629"/>
      <c r="L149" s="629"/>
      <c r="M149" s="629"/>
      <c r="N149" s="629"/>
      <c r="O149" s="689" t="s">
        <v>380</v>
      </c>
      <c r="P149" s="715" t="s">
        <v>381</v>
      </c>
      <c r="Q149" s="638"/>
      <c r="R149" s="638"/>
      <c r="S149" s="638" t="s">
        <v>382</v>
      </c>
      <c r="T149" s="638"/>
      <c r="U149" s="638" t="s">
        <v>383</v>
      </c>
      <c r="V149" s="638"/>
      <c r="W149" s="638"/>
      <c r="X149" s="638" t="s">
        <v>440</v>
      </c>
      <c r="Y149" s="638"/>
      <c r="Z149" s="638"/>
      <c r="AA149" s="629" t="s">
        <v>441</v>
      </c>
      <c r="AB149" s="638"/>
      <c r="AC149" s="638"/>
      <c r="AD149" s="637"/>
      <c r="AE149" s="619" t="s">
        <v>338</v>
      </c>
      <c r="AF149" s="639"/>
      <c r="AG149" s="716"/>
      <c r="AH149" s="716" t="s">
        <v>389</v>
      </c>
      <c r="AI149" s="716"/>
      <c r="AJ149" s="716"/>
      <c r="AK149" s="716"/>
      <c r="AL149" s="716"/>
      <c r="AM149" s="716"/>
      <c r="AN149" s="716"/>
      <c r="AO149" s="716"/>
      <c r="AP149" s="716"/>
      <c r="AQ149" s="716"/>
      <c r="AR149" s="716"/>
      <c r="AS149" s="716"/>
      <c r="AT149" s="716"/>
      <c r="AU149" s="716"/>
      <c r="AV149" s="716"/>
      <c r="AW149" s="717"/>
      <c r="AX149" s="626"/>
      <c r="AY149" s="602"/>
      <c r="AZ149" s="602"/>
      <c r="BA149" s="602"/>
      <c r="BB149" s="602"/>
      <c r="BC149" s="602"/>
      <c r="BD149" s="602"/>
      <c r="BE149" s="602"/>
      <c r="BF149" s="602"/>
      <c r="BG149" s="602"/>
      <c r="BH149" s="602"/>
      <c r="BI149" s="602"/>
      <c r="BJ149" s="602"/>
      <c r="BK149" s="602"/>
      <c r="BL149" s="602"/>
      <c r="BM149" s="602"/>
      <c r="BN149" s="602"/>
      <c r="BO149" s="602"/>
      <c r="BP149" s="602"/>
      <c r="BQ149" s="602"/>
    </row>
    <row r="150" spans="1:69">
      <c r="A150" s="614"/>
      <c r="B150" s="615"/>
      <c r="C150" s="615"/>
      <c r="D150" s="615"/>
      <c r="E150" s="615"/>
      <c r="F150" s="615"/>
      <c r="G150" s="615"/>
      <c r="H150" s="615"/>
      <c r="I150" s="615"/>
      <c r="J150" s="615"/>
      <c r="K150" s="615"/>
      <c r="L150" s="615"/>
      <c r="M150" s="615"/>
      <c r="N150" s="615"/>
      <c r="O150" s="615"/>
      <c r="P150" s="615"/>
      <c r="Q150" s="615"/>
      <c r="R150" s="615"/>
      <c r="S150" s="615"/>
      <c r="T150" s="615"/>
      <c r="U150" s="615"/>
      <c r="V150" s="615"/>
      <c r="W150" s="615"/>
      <c r="X150" s="615"/>
      <c r="Y150" s="615"/>
      <c r="Z150" s="615"/>
      <c r="AA150" s="615"/>
      <c r="AB150" s="615"/>
      <c r="AC150" s="615"/>
      <c r="AD150" s="615"/>
      <c r="AE150" s="624"/>
      <c r="AF150" s="624"/>
      <c r="AG150" s="615"/>
      <c r="AH150" s="615"/>
      <c r="AI150" s="615"/>
      <c r="AJ150" s="615"/>
      <c r="AK150" s="615"/>
      <c r="AL150" s="615"/>
      <c r="AM150" s="615"/>
      <c r="AN150" s="615"/>
      <c r="AO150" s="615"/>
      <c r="AP150" s="615"/>
      <c r="AQ150" s="615"/>
      <c r="AR150" s="615"/>
      <c r="AS150" s="615"/>
      <c r="AT150" s="615"/>
      <c r="AU150" s="615"/>
      <c r="AV150" s="615"/>
      <c r="AW150" s="615"/>
      <c r="AX150" s="626"/>
      <c r="AY150" s="602"/>
      <c r="AZ150" s="602"/>
      <c r="BA150" s="602"/>
      <c r="BB150" s="602"/>
      <c r="BC150" s="602"/>
      <c r="BD150" s="602"/>
      <c r="BE150" s="602"/>
      <c r="BF150" s="602"/>
      <c r="BG150" s="602"/>
      <c r="BH150" s="602"/>
      <c r="BI150" s="602"/>
      <c r="BJ150" s="602"/>
      <c r="BK150" s="602"/>
      <c r="BL150" s="602"/>
      <c r="BM150" s="602"/>
      <c r="BN150" s="602"/>
      <c r="BO150" s="602"/>
      <c r="BP150" s="602"/>
      <c r="BQ150" s="602"/>
    </row>
    <row r="151" spans="1:69">
      <c r="A151" s="614"/>
      <c r="B151" s="615"/>
      <c r="C151" s="615" t="s">
        <v>442</v>
      </c>
      <c r="D151" s="615"/>
      <c r="E151" s="615"/>
      <c r="F151" s="615"/>
      <c r="G151" s="615"/>
      <c r="H151" s="615"/>
      <c r="I151" s="615"/>
      <c r="J151" s="615"/>
      <c r="K151" s="615"/>
      <c r="L151" s="615"/>
      <c r="M151" s="615"/>
      <c r="N151" s="615"/>
      <c r="O151" s="615"/>
      <c r="P151" s="615"/>
      <c r="Q151" s="615"/>
      <c r="R151" s="615"/>
      <c r="S151" s="615"/>
      <c r="T151" s="615"/>
      <c r="U151" s="615"/>
      <c r="V151" s="615"/>
      <c r="W151" s="615"/>
      <c r="X151" s="615"/>
      <c r="Y151" s="615"/>
      <c r="Z151" s="615"/>
      <c r="AA151" s="615"/>
      <c r="AB151" s="615"/>
      <c r="AC151" s="615"/>
      <c r="AD151" s="615"/>
      <c r="AE151" s="615"/>
      <c r="AF151" s="615"/>
      <c r="AG151" s="615"/>
      <c r="AH151" s="615"/>
      <c r="AI151" s="615"/>
      <c r="AJ151" s="615"/>
      <c r="AK151" s="615"/>
      <c r="AL151" s="615"/>
      <c r="AM151" s="615"/>
      <c r="AN151" s="615"/>
      <c r="AO151" s="615"/>
      <c r="AP151" s="615"/>
      <c r="AQ151" s="615"/>
      <c r="AR151" s="615"/>
      <c r="AS151" s="615"/>
      <c r="AT151" s="615"/>
      <c r="AU151" s="615"/>
      <c r="AV151" s="615"/>
      <c r="AW151" s="615"/>
      <c r="AX151" s="626"/>
      <c r="AY151" s="602"/>
      <c r="AZ151" s="602"/>
      <c r="BA151" s="602"/>
      <c r="BB151" s="602"/>
      <c r="BC151" s="602"/>
      <c r="BD151" s="602"/>
      <c r="BE151" s="602"/>
      <c r="BF151" s="602"/>
      <c r="BG151" s="602"/>
      <c r="BH151" s="602"/>
      <c r="BI151" s="602"/>
      <c r="BJ151" s="602"/>
      <c r="BK151" s="602"/>
      <c r="BL151" s="602"/>
      <c r="BM151" s="602"/>
      <c r="BN151" s="602"/>
      <c r="BO151" s="602"/>
      <c r="BP151" s="602"/>
      <c r="BQ151" s="602"/>
    </row>
    <row r="152" spans="1:69">
      <c r="A152" s="614"/>
      <c r="B152" s="615"/>
      <c r="C152" s="631" t="s">
        <v>367</v>
      </c>
      <c r="D152" s="623"/>
      <c r="E152" s="623"/>
      <c r="F152" s="623"/>
      <c r="G152" s="627"/>
      <c r="H152" s="631" t="s">
        <v>368</v>
      </c>
      <c r="I152" s="623"/>
      <c r="J152" s="623"/>
      <c r="K152" s="623"/>
      <c r="L152" s="623"/>
      <c r="M152" s="623"/>
      <c r="N152" s="623"/>
      <c r="O152" s="627"/>
      <c r="P152" s="634" t="s">
        <v>369</v>
      </c>
      <c r="Q152" s="632"/>
      <c r="R152" s="632"/>
      <c r="S152" s="632"/>
      <c r="T152" s="632"/>
      <c r="U152" s="632"/>
      <c r="V152" s="632"/>
      <c r="W152" s="632"/>
      <c r="X152" s="632"/>
      <c r="Y152" s="632"/>
      <c r="Z152" s="632"/>
      <c r="AA152" s="632"/>
      <c r="AB152" s="632"/>
      <c r="AC152" s="632"/>
      <c r="AD152" s="633"/>
      <c r="AE152" s="631" t="s">
        <v>370</v>
      </c>
      <c r="AF152" s="624"/>
      <c r="AG152" s="624"/>
      <c r="AH152" s="624"/>
      <c r="AI152" s="624"/>
      <c r="AJ152" s="624"/>
      <c r="AK152" s="624"/>
      <c r="AL152" s="624"/>
      <c r="AM152" s="624"/>
      <c r="AN152" s="624"/>
      <c r="AO152" s="624"/>
      <c r="AP152" s="624"/>
      <c r="AQ152" s="624"/>
      <c r="AR152" s="624"/>
      <c r="AS152" s="624"/>
      <c r="AT152" s="624"/>
      <c r="AU152" s="624"/>
      <c r="AV152" s="624"/>
      <c r="AW152" s="649"/>
      <c r="AX152" s="626"/>
      <c r="AY152" s="602"/>
      <c r="AZ152" s="602"/>
      <c r="BA152" s="602"/>
      <c r="BB152" s="602"/>
      <c r="BC152" s="602"/>
      <c r="BD152" s="602"/>
      <c r="BE152" s="602"/>
      <c r="BF152" s="602"/>
      <c r="BG152" s="602"/>
      <c r="BH152" s="602"/>
      <c r="BI152" s="602"/>
      <c r="BJ152" s="602"/>
      <c r="BK152" s="602"/>
      <c r="BL152" s="602"/>
      <c r="BM152" s="602"/>
      <c r="BN152" s="602"/>
      <c r="BO152" s="602"/>
      <c r="BP152" s="602"/>
      <c r="BQ152" s="602"/>
    </row>
    <row r="153" spans="1:69">
      <c r="A153" s="614"/>
      <c r="B153" s="615"/>
      <c r="C153" s="628"/>
      <c r="D153" s="629"/>
      <c r="E153" s="629"/>
      <c r="F153" s="629"/>
      <c r="G153" s="630"/>
      <c r="H153" s="628" t="s">
        <v>371</v>
      </c>
      <c r="I153" s="629"/>
      <c r="J153" s="629"/>
      <c r="K153" s="629"/>
      <c r="L153" s="629" t="s">
        <v>372</v>
      </c>
      <c r="M153" s="629"/>
      <c r="N153" s="629"/>
      <c r="O153" s="630"/>
      <c r="P153" s="631" t="s">
        <v>373</v>
      </c>
      <c r="Q153" s="623"/>
      <c r="R153" s="623"/>
      <c r="S153" s="623" t="s">
        <v>404</v>
      </c>
      <c r="T153" s="623"/>
      <c r="U153" s="623" t="s">
        <v>326</v>
      </c>
      <c r="V153" s="623"/>
      <c r="W153" s="623"/>
      <c r="X153" s="623" t="s">
        <v>375</v>
      </c>
      <c r="Y153" s="623"/>
      <c r="Z153" s="623"/>
      <c r="AA153" s="623" t="s">
        <v>376</v>
      </c>
      <c r="AB153" s="623"/>
      <c r="AC153" s="623"/>
      <c r="AD153" s="627"/>
      <c r="AE153" s="619"/>
      <c r="AF153" s="615"/>
      <c r="AG153" s="615"/>
      <c r="AH153" s="615"/>
      <c r="AI153" s="615"/>
      <c r="AJ153" s="615"/>
      <c r="AK153" s="615"/>
      <c r="AL153" s="615"/>
      <c r="AM153" s="615"/>
      <c r="AN153" s="615"/>
      <c r="AO153" s="615"/>
      <c r="AP153" s="615"/>
      <c r="AQ153" s="615"/>
      <c r="AR153" s="615"/>
      <c r="AS153" s="615"/>
      <c r="AT153" s="615"/>
      <c r="AU153" s="615"/>
      <c r="AV153" s="615"/>
      <c r="AW153" s="650"/>
      <c r="AX153" s="626"/>
      <c r="AY153" s="602"/>
      <c r="AZ153" s="602"/>
      <c r="BA153" s="602"/>
      <c r="BB153" s="602"/>
      <c r="BC153" s="602"/>
      <c r="BD153" s="602"/>
      <c r="BE153" s="602"/>
      <c r="BF153" s="602"/>
      <c r="BG153" s="602"/>
      <c r="BH153" s="602"/>
      <c r="BI153" s="602"/>
      <c r="BJ153" s="602"/>
      <c r="BK153" s="602"/>
      <c r="BL153" s="602"/>
      <c r="BM153" s="602"/>
      <c r="BN153" s="602"/>
      <c r="BO153" s="602"/>
      <c r="BP153" s="602"/>
      <c r="BQ153" s="602"/>
    </row>
    <row r="154" spans="1:69">
      <c r="A154" s="614"/>
      <c r="B154" s="615"/>
      <c r="C154" s="631" t="s">
        <v>377</v>
      </c>
      <c r="D154" s="623"/>
      <c r="E154" s="627"/>
      <c r="F154" s="631" t="s">
        <v>378</v>
      </c>
      <c r="G154" s="627"/>
      <c r="H154" s="631" t="s">
        <v>379</v>
      </c>
      <c r="I154" s="623"/>
      <c r="J154" s="623"/>
      <c r="K154" s="623"/>
      <c r="L154" s="623"/>
      <c r="M154" s="623"/>
      <c r="N154" s="623"/>
      <c r="O154" s="627"/>
      <c r="P154" s="666"/>
      <c r="Q154" s="667"/>
      <c r="R154" s="667"/>
      <c r="S154" s="667"/>
      <c r="T154" s="667"/>
      <c r="U154" s="667"/>
      <c r="V154" s="667"/>
      <c r="W154" s="667"/>
      <c r="X154" s="667"/>
      <c r="Y154" s="667"/>
      <c r="Z154" s="667"/>
      <c r="AA154" s="667"/>
      <c r="AB154" s="667"/>
      <c r="AC154" s="667"/>
      <c r="AD154" s="668"/>
      <c r="AE154" s="666"/>
      <c r="AF154" s="669"/>
      <c r="AG154" s="669"/>
      <c r="AH154" s="669"/>
      <c r="AI154" s="669"/>
      <c r="AJ154" s="669"/>
      <c r="AK154" s="669"/>
      <c r="AL154" s="669"/>
      <c r="AM154" s="669"/>
      <c r="AN154" s="669"/>
      <c r="AO154" s="669"/>
      <c r="AP154" s="669"/>
      <c r="AQ154" s="669"/>
      <c r="AR154" s="669"/>
      <c r="AS154" s="669"/>
      <c r="AT154" s="669"/>
      <c r="AU154" s="669"/>
      <c r="AV154" s="669"/>
      <c r="AW154" s="670"/>
      <c r="AX154" s="626"/>
      <c r="AY154" s="602"/>
      <c r="AZ154" s="602"/>
      <c r="BA154" s="602"/>
      <c r="BB154" s="602"/>
      <c r="BC154" s="602"/>
      <c r="BD154" s="602"/>
      <c r="BE154" s="602"/>
      <c r="BF154" s="602"/>
      <c r="BG154" s="602"/>
      <c r="BH154" s="602"/>
      <c r="BI154" s="602"/>
      <c r="BJ154" s="602"/>
      <c r="BK154" s="602"/>
      <c r="BL154" s="602"/>
      <c r="BM154" s="602"/>
      <c r="BN154" s="602"/>
      <c r="BO154" s="602"/>
      <c r="BP154" s="602"/>
      <c r="BQ154" s="602"/>
    </row>
    <row r="155" spans="1:69">
      <c r="A155" s="614"/>
      <c r="B155" s="615"/>
      <c r="C155" s="619"/>
      <c r="D155" s="618"/>
      <c r="E155" s="620"/>
      <c r="F155" s="658"/>
      <c r="G155" s="663"/>
      <c r="H155" s="658"/>
      <c r="I155" s="661"/>
      <c r="J155" s="661"/>
      <c r="K155" s="661"/>
      <c r="L155" s="661"/>
      <c r="M155" s="661"/>
      <c r="N155" s="661"/>
      <c r="O155" s="687" t="s">
        <v>380</v>
      </c>
      <c r="P155" s="671" t="s">
        <v>381</v>
      </c>
      <c r="Q155" s="672"/>
      <c r="R155" s="672"/>
      <c r="S155" s="672" t="s">
        <v>382</v>
      </c>
      <c r="T155" s="672"/>
      <c r="U155" s="672" t="s">
        <v>383</v>
      </c>
      <c r="V155" s="672"/>
      <c r="W155" s="672"/>
      <c r="X155" s="672" t="s">
        <v>386</v>
      </c>
      <c r="Y155" s="672"/>
      <c r="Z155" s="672"/>
      <c r="AA155" s="672" t="s">
        <v>355</v>
      </c>
      <c r="AB155" s="672"/>
      <c r="AC155" s="672"/>
      <c r="AD155" s="673"/>
      <c r="AE155" s="671" t="s">
        <v>356</v>
      </c>
      <c r="AF155" s="674"/>
      <c r="AG155" s="674"/>
      <c r="AH155" s="674" t="s">
        <v>384</v>
      </c>
      <c r="AI155" s="674"/>
      <c r="AJ155" s="674"/>
      <c r="AK155" s="674"/>
      <c r="AL155" s="674"/>
      <c r="AM155" s="674"/>
      <c r="AN155" s="674"/>
      <c r="AO155" s="674"/>
      <c r="AP155" s="674"/>
      <c r="AQ155" s="674"/>
      <c r="AR155" s="674"/>
      <c r="AS155" s="674"/>
      <c r="AT155" s="674"/>
      <c r="AU155" s="674"/>
      <c r="AV155" s="674"/>
      <c r="AW155" s="675"/>
      <c r="AX155" s="626"/>
      <c r="AY155" s="602"/>
      <c r="AZ155" s="602"/>
      <c r="BA155" s="602"/>
      <c r="BB155" s="602"/>
      <c r="BC155" s="602"/>
      <c r="BD155" s="602"/>
      <c r="BE155" s="602"/>
      <c r="BF155" s="602"/>
      <c r="BG155" s="602"/>
      <c r="BH155" s="602"/>
      <c r="BI155" s="602"/>
      <c r="BJ155" s="602"/>
      <c r="BK155" s="602"/>
      <c r="BL155" s="602"/>
      <c r="BM155" s="602"/>
      <c r="BN155" s="602"/>
      <c r="BO155" s="602"/>
      <c r="BP155" s="602"/>
      <c r="BQ155" s="602"/>
    </row>
    <row r="156" spans="1:69">
      <c r="A156" s="614"/>
      <c r="B156" s="615"/>
      <c r="C156" s="619"/>
      <c r="D156" s="618"/>
      <c r="E156" s="620"/>
      <c r="F156" s="656" t="s">
        <v>385</v>
      </c>
      <c r="G156" s="657"/>
      <c r="H156" s="656"/>
      <c r="I156" s="652"/>
      <c r="J156" s="652"/>
      <c r="K156" s="652"/>
      <c r="L156" s="652"/>
      <c r="M156" s="652"/>
      <c r="N156" s="652"/>
      <c r="O156" s="657"/>
      <c r="P156" s="676"/>
      <c r="Q156" s="677"/>
      <c r="R156" s="677"/>
      <c r="S156" s="677"/>
      <c r="T156" s="677"/>
      <c r="U156" s="677"/>
      <c r="V156" s="677"/>
      <c r="W156" s="677"/>
      <c r="X156" s="677"/>
      <c r="Y156" s="677"/>
      <c r="Z156" s="677"/>
      <c r="AA156" s="678"/>
      <c r="AB156" s="677"/>
      <c r="AC156" s="677"/>
      <c r="AD156" s="679"/>
      <c r="AE156" s="676"/>
      <c r="AF156" s="680"/>
      <c r="AG156" s="680"/>
      <c r="AH156" s="680"/>
      <c r="AI156" s="680"/>
      <c r="AJ156" s="680"/>
      <c r="AK156" s="680"/>
      <c r="AL156" s="680"/>
      <c r="AM156" s="680"/>
      <c r="AN156" s="680"/>
      <c r="AO156" s="680"/>
      <c r="AP156" s="680"/>
      <c r="AQ156" s="680"/>
      <c r="AR156" s="680"/>
      <c r="AS156" s="680"/>
      <c r="AT156" s="680"/>
      <c r="AU156" s="680"/>
      <c r="AV156" s="680"/>
      <c r="AW156" s="681"/>
      <c r="AX156" s="626"/>
      <c r="AY156" s="602"/>
      <c r="AZ156" s="602"/>
      <c r="BA156" s="602"/>
      <c r="BB156" s="602"/>
      <c r="BC156" s="602"/>
      <c r="BD156" s="602"/>
      <c r="BE156" s="602"/>
      <c r="BF156" s="602"/>
      <c r="BG156" s="602"/>
      <c r="BH156" s="602"/>
      <c r="BI156" s="602"/>
      <c r="BJ156" s="602"/>
      <c r="BK156" s="602"/>
      <c r="BL156" s="602"/>
      <c r="BM156" s="602"/>
      <c r="BN156" s="602"/>
      <c r="BO156" s="602"/>
      <c r="BP156" s="602"/>
      <c r="BQ156" s="602"/>
    </row>
    <row r="157" spans="1:69">
      <c r="A157" s="614"/>
      <c r="B157" s="615"/>
      <c r="C157" s="619"/>
      <c r="D157" s="618"/>
      <c r="E157" s="620"/>
      <c r="F157" s="619"/>
      <c r="G157" s="620"/>
      <c r="H157" s="619"/>
      <c r="I157" s="618"/>
      <c r="J157" s="618"/>
      <c r="K157" s="618"/>
      <c r="L157" s="618"/>
      <c r="M157" s="618"/>
      <c r="N157" s="618"/>
      <c r="O157" s="688" t="s">
        <v>380</v>
      </c>
      <c r="P157" s="707" t="s">
        <v>381</v>
      </c>
      <c r="Q157" s="708"/>
      <c r="R157" s="708"/>
      <c r="S157" s="708" t="s">
        <v>382</v>
      </c>
      <c r="T157" s="708"/>
      <c r="U157" s="708" t="s">
        <v>383</v>
      </c>
      <c r="V157" s="708"/>
      <c r="W157" s="708"/>
      <c r="X157" s="708" t="s">
        <v>386</v>
      </c>
      <c r="Y157" s="708"/>
      <c r="Z157" s="708"/>
      <c r="AA157" s="708" t="s">
        <v>355</v>
      </c>
      <c r="AB157" s="708"/>
      <c r="AC157" s="708"/>
      <c r="AD157" s="709"/>
      <c r="AE157" s="707" t="s">
        <v>356</v>
      </c>
      <c r="AF157" s="710"/>
      <c r="AG157" s="710"/>
      <c r="AH157" s="710" t="s">
        <v>384</v>
      </c>
      <c r="AI157" s="710"/>
      <c r="AJ157" s="710"/>
      <c r="AK157" s="710"/>
      <c r="AL157" s="710"/>
      <c r="AM157" s="710"/>
      <c r="AN157" s="710"/>
      <c r="AO157" s="710"/>
      <c r="AP157" s="710"/>
      <c r="AQ157" s="710"/>
      <c r="AR157" s="710"/>
      <c r="AS157" s="710"/>
      <c r="AT157" s="710"/>
      <c r="AU157" s="710"/>
      <c r="AV157" s="710"/>
      <c r="AW157" s="711"/>
      <c r="AX157" s="626"/>
      <c r="AY157" s="602"/>
      <c r="AZ157" s="602"/>
      <c r="BA157" s="602"/>
      <c r="BB157" s="602"/>
      <c r="BC157" s="602"/>
      <c r="BD157" s="602"/>
      <c r="BE157" s="602"/>
      <c r="BF157" s="602"/>
      <c r="BG157" s="602"/>
      <c r="BH157" s="602"/>
      <c r="BI157" s="602"/>
      <c r="BJ157" s="602"/>
      <c r="BK157" s="602"/>
      <c r="BL157" s="602"/>
      <c r="BM157" s="602"/>
      <c r="BN157" s="602"/>
      <c r="BO157" s="602"/>
      <c r="BP157" s="602"/>
      <c r="BQ157" s="602"/>
    </row>
    <row r="158" spans="1:69">
      <c r="A158" s="614"/>
      <c r="B158" s="615"/>
      <c r="C158" s="631" t="s">
        <v>387</v>
      </c>
      <c r="D158" s="623"/>
      <c r="E158" s="627"/>
      <c r="F158" s="631" t="s">
        <v>388</v>
      </c>
      <c r="G158" s="627"/>
      <c r="H158" s="631"/>
      <c r="I158" s="623"/>
      <c r="J158" s="623"/>
      <c r="K158" s="623"/>
      <c r="L158" s="623"/>
      <c r="M158" s="623"/>
      <c r="N158" s="623"/>
      <c r="O158" s="627"/>
      <c r="P158" s="631"/>
      <c r="Q158" s="623"/>
      <c r="R158" s="623"/>
      <c r="S158" s="623"/>
      <c r="T158" s="623"/>
      <c r="U158" s="623"/>
      <c r="V158" s="623"/>
      <c r="W158" s="623"/>
      <c r="X158" s="623"/>
      <c r="Y158" s="623"/>
      <c r="Z158" s="623"/>
      <c r="AA158" s="665"/>
      <c r="AB158" s="623"/>
      <c r="AC158" s="623"/>
      <c r="AD158" s="627"/>
      <c r="AE158" s="631"/>
      <c r="AF158" s="624"/>
      <c r="AG158" s="624"/>
      <c r="AH158" s="624"/>
      <c r="AI158" s="624"/>
      <c r="AJ158" s="624"/>
      <c r="AK158" s="624"/>
      <c r="AL158" s="624"/>
      <c r="AM158" s="624"/>
      <c r="AN158" s="624"/>
      <c r="AO158" s="624"/>
      <c r="AP158" s="624"/>
      <c r="AQ158" s="624"/>
      <c r="AR158" s="624"/>
      <c r="AS158" s="624"/>
      <c r="AT158" s="624"/>
      <c r="AU158" s="624"/>
      <c r="AV158" s="624"/>
      <c r="AW158" s="649"/>
      <c r="AX158" s="626"/>
      <c r="AY158" s="602"/>
      <c r="AZ158" s="602"/>
      <c r="BA158" s="602"/>
      <c r="BB158" s="602"/>
      <c r="BC158" s="602"/>
      <c r="BD158" s="602"/>
      <c r="BE158" s="602"/>
      <c r="BF158" s="602"/>
      <c r="BG158" s="602"/>
      <c r="BH158" s="602"/>
      <c r="BI158" s="602"/>
      <c r="BJ158" s="602"/>
      <c r="BK158" s="602"/>
      <c r="BL158" s="602"/>
      <c r="BM158" s="602"/>
      <c r="BN158" s="602"/>
      <c r="BO158" s="602"/>
      <c r="BP158" s="602"/>
      <c r="BQ158" s="602"/>
    </row>
    <row r="159" spans="1:69">
      <c r="A159" s="614"/>
      <c r="B159" s="615"/>
      <c r="C159" s="619"/>
      <c r="D159" s="618"/>
      <c r="E159" s="620"/>
      <c r="F159" s="658"/>
      <c r="G159" s="663"/>
      <c r="H159" s="658"/>
      <c r="I159" s="661"/>
      <c r="J159" s="661"/>
      <c r="K159" s="661"/>
      <c r="L159" s="661"/>
      <c r="M159" s="661"/>
      <c r="N159" s="661"/>
      <c r="O159" s="687" t="s">
        <v>380</v>
      </c>
      <c r="P159" s="658" t="s">
        <v>381</v>
      </c>
      <c r="Q159" s="661"/>
      <c r="R159" s="661"/>
      <c r="S159" s="661" t="s">
        <v>382</v>
      </c>
      <c r="T159" s="661"/>
      <c r="U159" s="661" t="s">
        <v>383</v>
      </c>
      <c r="V159" s="661"/>
      <c r="W159" s="661"/>
      <c r="X159" s="661" t="s">
        <v>386</v>
      </c>
      <c r="Y159" s="661"/>
      <c r="Z159" s="661"/>
      <c r="AA159" s="662" t="s">
        <v>337</v>
      </c>
      <c r="AB159" s="661"/>
      <c r="AC159" s="661"/>
      <c r="AD159" s="663"/>
      <c r="AE159" s="658" t="s">
        <v>338</v>
      </c>
      <c r="AF159" s="659"/>
      <c r="AG159" s="659"/>
      <c r="AH159" s="659" t="s">
        <v>389</v>
      </c>
      <c r="AI159" s="659"/>
      <c r="AJ159" s="659"/>
      <c r="AK159" s="659"/>
      <c r="AL159" s="659"/>
      <c r="AM159" s="659"/>
      <c r="AN159" s="659"/>
      <c r="AO159" s="659"/>
      <c r="AP159" s="659"/>
      <c r="AQ159" s="659"/>
      <c r="AR159" s="659"/>
      <c r="AS159" s="659"/>
      <c r="AT159" s="659"/>
      <c r="AU159" s="659"/>
      <c r="AV159" s="659"/>
      <c r="AW159" s="660"/>
      <c r="AX159" s="626"/>
      <c r="AY159" s="602"/>
      <c r="AZ159" s="602"/>
      <c r="BA159" s="602"/>
      <c r="BB159" s="602"/>
      <c r="BC159" s="602"/>
      <c r="BD159" s="602"/>
      <c r="BE159" s="602"/>
      <c r="BF159" s="602"/>
      <c r="BG159" s="602"/>
      <c r="BH159" s="602"/>
      <c r="BI159" s="602"/>
      <c r="BJ159" s="602"/>
      <c r="BK159" s="602"/>
      <c r="BL159" s="602"/>
      <c r="BM159" s="602"/>
      <c r="BN159" s="602"/>
      <c r="BO159" s="602"/>
      <c r="BP159" s="602"/>
      <c r="BQ159" s="602"/>
    </row>
    <row r="160" spans="1:69">
      <c r="A160" s="614"/>
      <c r="B160" s="615"/>
      <c r="C160" s="619"/>
      <c r="D160" s="618"/>
      <c r="E160" s="620"/>
      <c r="F160" s="619" t="s">
        <v>390</v>
      </c>
      <c r="G160" s="620"/>
      <c r="H160" s="656" t="s">
        <v>443</v>
      </c>
      <c r="I160" s="652"/>
      <c r="J160" s="652"/>
      <c r="K160" s="652"/>
      <c r="L160" s="652"/>
      <c r="M160" s="652"/>
      <c r="N160" s="652"/>
      <c r="O160" s="657"/>
      <c r="P160" s="656"/>
      <c r="Q160" s="652"/>
      <c r="R160" s="652"/>
      <c r="S160" s="652"/>
      <c r="T160" s="652"/>
      <c r="U160" s="652"/>
      <c r="V160" s="652"/>
      <c r="W160" s="652"/>
      <c r="X160" s="652"/>
      <c r="Y160" s="652"/>
      <c r="Z160" s="652"/>
      <c r="AA160" s="664"/>
      <c r="AB160" s="652"/>
      <c r="AC160" s="652"/>
      <c r="AD160" s="657"/>
      <c r="AE160" s="656"/>
      <c r="AF160" s="654"/>
      <c r="AG160" s="654"/>
      <c r="AH160" s="654"/>
      <c r="AI160" s="654"/>
      <c r="AJ160" s="654"/>
      <c r="AK160" s="654"/>
      <c r="AL160" s="654"/>
      <c r="AM160" s="654"/>
      <c r="AN160" s="654"/>
      <c r="AO160" s="654"/>
      <c r="AP160" s="654"/>
      <c r="AQ160" s="654"/>
      <c r="AR160" s="654"/>
      <c r="AS160" s="654"/>
      <c r="AT160" s="654"/>
      <c r="AU160" s="654"/>
      <c r="AV160" s="654"/>
      <c r="AW160" s="655"/>
      <c r="AX160" s="626"/>
      <c r="AY160" s="602"/>
      <c r="AZ160" s="602"/>
      <c r="BA160" s="602"/>
      <c r="BB160" s="602"/>
      <c r="BC160" s="602"/>
      <c r="BD160" s="602"/>
      <c r="BE160" s="602"/>
      <c r="BF160" s="602"/>
      <c r="BG160" s="602"/>
      <c r="BH160" s="602"/>
      <c r="BI160" s="602"/>
      <c r="BJ160" s="602"/>
      <c r="BK160" s="602"/>
      <c r="BL160" s="602"/>
      <c r="BM160" s="602"/>
      <c r="BN160" s="602"/>
      <c r="BO160" s="602"/>
      <c r="BP160" s="602"/>
      <c r="BQ160" s="602"/>
    </row>
    <row r="161" spans="1:69">
      <c r="A161" s="614"/>
      <c r="B161" s="615"/>
      <c r="C161" s="619"/>
      <c r="D161" s="618"/>
      <c r="E161" s="620"/>
      <c r="F161" s="619"/>
      <c r="G161" s="620"/>
      <c r="H161" s="658"/>
      <c r="I161" s="661"/>
      <c r="J161" s="661"/>
      <c r="K161" s="661"/>
      <c r="L161" s="661"/>
      <c r="M161" s="661"/>
      <c r="N161" s="661"/>
      <c r="O161" s="687" t="s">
        <v>380</v>
      </c>
      <c r="P161" s="658" t="s">
        <v>397</v>
      </c>
      <c r="Q161" s="661"/>
      <c r="R161" s="661"/>
      <c r="S161" s="661" t="s">
        <v>382</v>
      </c>
      <c r="T161" s="661"/>
      <c r="U161" s="661" t="s">
        <v>383</v>
      </c>
      <c r="V161" s="661"/>
      <c r="W161" s="661"/>
      <c r="X161" s="661" t="s">
        <v>386</v>
      </c>
      <c r="Y161" s="661"/>
      <c r="Z161" s="661"/>
      <c r="AA161" s="661" t="s">
        <v>337</v>
      </c>
      <c r="AB161" s="661"/>
      <c r="AC161" s="661"/>
      <c r="AD161" s="663"/>
      <c r="AE161" s="658" t="s">
        <v>338</v>
      </c>
      <c r="AF161" s="659"/>
      <c r="AG161" s="659"/>
      <c r="AH161" s="659" t="s">
        <v>393</v>
      </c>
      <c r="AI161" s="659"/>
      <c r="AJ161" s="659"/>
      <c r="AK161" s="659"/>
      <c r="AL161" s="659"/>
      <c r="AM161" s="659"/>
      <c r="AN161" s="659"/>
      <c r="AO161" s="659"/>
      <c r="AP161" s="659"/>
      <c r="AQ161" s="659"/>
      <c r="AR161" s="659"/>
      <c r="AS161" s="659"/>
      <c r="AT161" s="659"/>
      <c r="AU161" s="659"/>
      <c r="AV161" s="659"/>
      <c r="AW161" s="660"/>
      <c r="AX161" s="626"/>
      <c r="AY161" s="602"/>
      <c r="AZ161" s="602"/>
      <c r="BA161" s="602"/>
      <c r="BB161" s="602"/>
      <c r="BC161" s="602"/>
      <c r="BD161" s="602"/>
      <c r="BE161" s="602"/>
      <c r="BF161" s="602"/>
      <c r="BG161" s="602"/>
      <c r="BH161" s="602"/>
      <c r="BI161" s="602"/>
      <c r="BJ161" s="602"/>
      <c r="BK161" s="602"/>
      <c r="BL161" s="602"/>
      <c r="BM161" s="602"/>
      <c r="BN161" s="602"/>
      <c r="BO161" s="602"/>
      <c r="BP161" s="602"/>
      <c r="BQ161" s="602"/>
    </row>
    <row r="162" spans="1:69">
      <c r="A162" s="614"/>
      <c r="B162" s="615"/>
      <c r="C162" s="619"/>
      <c r="D162" s="618"/>
      <c r="E162" s="620"/>
      <c r="F162" s="656" t="s">
        <v>415</v>
      </c>
      <c r="G162" s="657"/>
      <c r="H162" s="656" t="s">
        <v>444</v>
      </c>
      <c r="I162" s="652"/>
      <c r="J162" s="652"/>
      <c r="K162" s="652"/>
      <c r="L162" s="652"/>
      <c r="M162" s="652"/>
      <c r="N162" s="652"/>
      <c r="O162" s="657"/>
      <c r="P162" s="656"/>
      <c r="Q162" s="652"/>
      <c r="R162" s="652"/>
      <c r="S162" s="652"/>
      <c r="T162" s="652"/>
      <c r="U162" s="652"/>
      <c r="V162" s="652"/>
      <c r="W162" s="652"/>
      <c r="X162" s="652"/>
      <c r="Y162" s="652"/>
      <c r="Z162" s="652"/>
      <c r="AA162" s="664"/>
      <c r="AB162" s="652"/>
      <c r="AC162" s="652"/>
      <c r="AD162" s="657"/>
      <c r="AE162" s="656"/>
      <c r="AF162" s="654"/>
      <c r="AG162" s="654"/>
      <c r="AH162" s="654"/>
      <c r="AI162" s="654"/>
      <c r="AJ162" s="654"/>
      <c r="AK162" s="654"/>
      <c r="AL162" s="654"/>
      <c r="AM162" s="654"/>
      <c r="AN162" s="654"/>
      <c r="AO162" s="654"/>
      <c r="AP162" s="654"/>
      <c r="AQ162" s="654"/>
      <c r="AR162" s="654"/>
      <c r="AS162" s="654"/>
      <c r="AT162" s="654"/>
      <c r="AU162" s="654"/>
      <c r="AV162" s="654"/>
      <c r="AW162" s="655"/>
      <c r="AX162" s="626"/>
      <c r="AY162" s="602"/>
      <c r="AZ162" s="602"/>
      <c r="BA162" s="602"/>
      <c r="BB162" s="602"/>
      <c r="BC162" s="602"/>
      <c r="BD162" s="602"/>
      <c r="BE162" s="602"/>
      <c r="BF162" s="602"/>
      <c r="BG162" s="602"/>
      <c r="BH162" s="602"/>
      <c r="BI162" s="602"/>
      <c r="BJ162" s="602"/>
      <c r="BK162" s="602"/>
      <c r="BL162" s="602"/>
      <c r="BM162" s="602"/>
      <c r="BN162" s="602"/>
      <c r="BO162" s="602"/>
      <c r="BP162" s="602"/>
      <c r="BQ162" s="602"/>
    </row>
    <row r="163" spans="1:69">
      <c r="A163" s="614"/>
      <c r="B163" s="615"/>
      <c r="C163" s="619"/>
      <c r="D163" s="618"/>
      <c r="E163" s="620"/>
      <c r="F163" s="619"/>
      <c r="G163" s="620"/>
      <c r="H163" s="619"/>
      <c r="I163" s="618"/>
      <c r="J163" s="618"/>
      <c r="K163" s="618"/>
      <c r="L163" s="618"/>
      <c r="M163" s="618"/>
      <c r="N163" s="618"/>
      <c r="O163" s="688" t="s">
        <v>380</v>
      </c>
      <c r="P163" s="619" t="s">
        <v>397</v>
      </c>
      <c r="Q163" s="618"/>
      <c r="R163" s="618"/>
      <c r="S163" s="653" t="s">
        <v>445</v>
      </c>
      <c r="T163" s="618"/>
      <c r="U163" s="618" t="s">
        <v>383</v>
      </c>
      <c r="V163" s="618"/>
      <c r="W163" s="618"/>
      <c r="X163" s="653" t="s">
        <v>398</v>
      </c>
      <c r="Y163" s="618"/>
      <c r="Z163" s="618"/>
      <c r="AA163" s="618" t="s">
        <v>337</v>
      </c>
      <c r="AB163" s="618"/>
      <c r="AC163" s="618"/>
      <c r="AD163" s="620"/>
      <c r="AE163" s="619" t="s">
        <v>338</v>
      </c>
      <c r="AF163" s="615"/>
      <c r="AG163" s="615"/>
      <c r="AH163" s="615" t="s">
        <v>399</v>
      </c>
      <c r="AI163" s="615"/>
      <c r="AJ163" s="615"/>
      <c r="AK163" s="615"/>
      <c r="AL163" s="615"/>
      <c r="AM163" s="615"/>
      <c r="AN163" s="615"/>
      <c r="AO163" s="615"/>
      <c r="AP163" s="615"/>
      <c r="AQ163" s="615"/>
      <c r="AR163" s="615"/>
      <c r="AS163" s="615"/>
      <c r="AT163" s="615"/>
      <c r="AU163" s="615"/>
      <c r="AV163" s="615"/>
      <c r="AW163" s="650"/>
      <c r="AX163" s="626"/>
      <c r="AY163" s="602"/>
      <c r="AZ163" s="602"/>
      <c r="BA163" s="602"/>
      <c r="BB163" s="602"/>
      <c r="BC163" s="602"/>
      <c r="BD163" s="602"/>
      <c r="BE163" s="602"/>
      <c r="BF163" s="602"/>
      <c r="BG163" s="602"/>
      <c r="BH163" s="602"/>
      <c r="BI163" s="602"/>
      <c r="BJ163" s="602"/>
      <c r="BK163" s="602"/>
      <c r="BL163" s="602"/>
      <c r="BM163" s="602"/>
      <c r="BN163" s="602"/>
      <c r="BO163" s="602"/>
      <c r="BP163" s="602"/>
      <c r="BQ163" s="602"/>
    </row>
    <row r="164" spans="1:69">
      <c r="A164" s="614"/>
      <c r="B164" s="615"/>
      <c r="C164" s="619"/>
      <c r="D164" s="618"/>
      <c r="E164" s="620"/>
      <c r="F164" s="656" t="s">
        <v>385</v>
      </c>
      <c r="G164" s="657"/>
      <c r="H164" s="656"/>
      <c r="I164" s="652"/>
      <c r="J164" s="652"/>
      <c r="K164" s="652"/>
      <c r="L164" s="652"/>
      <c r="M164" s="652"/>
      <c r="N164" s="652"/>
      <c r="O164" s="657"/>
      <c r="P164" s="656"/>
      <c r="Q164" s="652"/>
      <c r="R164" s="652"/>
      <c r="S164" s="652"/>
      <c r="T164" s="652"/>
      <c r="U164" s="652"/>
      <c r="V164" s="652"/>
      <c r="W164" s="652"/>
      <c r="X164" s="652"/>
      <c r="Y164" s="652"/>
      <c r="Z164" s="652"/>
      <c r="AA164" s="664"/>
      <c r="AB164" s="652"/>
      <c r="AC164" s="652"/>
      <c r="AD164" s="657"/>
      <c r="AE164" s="676"/>
      <c r="AF164" s="680"/>
      <c r="AG164" s="680"/>
      <c r="AH164" s="680"/>
      <c r="AI164" s="680"/>
      <c r="AJ164" s="680"/>
      <c r="AK164" s="680"/>
      <c r="AL164" s="680"/>
      <c r="AM164" s="680"/>
      <c r="AN164" s="680"/>
      <c r="AO164" s="680"/>
      <c r="AP164" s="680"/>
      <c r="AQ164" s="680"/>
      <c r="AR164" s="680"/>
      <c r="AS164" s="680"/>
      <c r="AT164" s="680"/>
      <c r="AU164" s="680"/>
      <c r="AV164" s="680"/>
      <c r="AW164" s="681"/>
      <c r="AX164" s="626"/>
      <c r="AY164" s="602"/>
      <c r="AZ164" s="602"/>
      <c r="BA164" s="602"/>
      <c r="BB164" s="602"/>
      <c r="BC164" s="602"/>
      <c r="BD164" s="602"/>
      <c r="BE164" s="602"/>
      <c r="BF164" s="602"/>
      <c r="BG164" s="602"/>
      <c r="BH164" s="602"/>
      <c r="BI164" s="602"/>
      <c r="BJ164" s="602"/>
      <c r="BK164" s="602"/>
      <c r="BL164" s="602"/>
      <c r="BM164" s="602"/>
      <c r="BN164" s="602"/>
      <c r="BO164" s="602"/>
      <c r="BP164" s="602"/>
      <c r="BQ164" s="602"/>
    </row>
    <row r="165" spans="1:69">
      <c r="A165" s="614"/>
      <c r="B165" s="615"/>
      <c r="C165" s="628"/>
      <c r="D165" s="629"/>
      <c r="E165" s="630"/>
      <c r="F165" s="628"/>
      <c r="G165" s="630"/>
      <c r="H165" s="628"/>
      <c r="I165" s="629"/>
      <c r="J165" s="629"/>
      <c r="K165" s="629"/>
      <c r="L165" s="629"/>
      <c r="M165" s="629"/>
      <c r="N165" s="629"/>
      <c r="O165" s="689" t="s">
        <v>380</v>
      </c>
      <c r="P165" s="628" t="s">
        <v>397</v>
      </c>
      <c r="Q165" s="629"/>
      <c r="R165" s="629"/>
      <c r="S165" s="629" t="s">
        <v>445</v>
      </c>
      <c r="T165" s="629"/>
      <c r="U165" s="629" t="s">
        <v>383</v>
      </c>
      <c r="V165" s="629"/>
      <c r="W165" s="629"/>
      <c r="X165" s="629" t="s">
        <v>398</v>
      </c>
      <c r="Y165" s="629"/>
      <c r="Z165" s="629"/>
      <c r="AA165" s="629" t="s">
        <v>337</v>
      </c>
      <c r="AB165" s="629"/>
      <c r="AC165" s="629"/>
      <c r="AD165" s="630"/>
      <c r="AE165" s="682" t="s">
        <v>356</v>
      </c>
      <c r="AF165" s="685"/>
      <c r="AG165" s="685"/>
      <c r="AH165" s="685" t="s">
        <v>400</v>
      </c>
      <c r="AI165" s="685"/>
      <c r="AJ165" s="685"/>
      <c r="AK165" s="685"/>
      <c r="AL165" s="685"/>
      <c r="AM165" s="685"/>
      <c r="AN165" s="685"/>
      <c r="AO165" s="685"/>
      <c r="AP165" s="685"/>
      <c r="AQ165" s="685"/>
      <c r="AR165" s="685"/>
      <c r="AS165" s="685"/>
      <c r="AT165" s="685"/>
      <c r="AU165" s="685"/>
      <c r="AV165" s="685"/>
      <c r="AW165" s="686"/>
      <c r="AX165" s="626"/>
      <c r="AY165" s="602"/>
      <c r="AZ165" s="602"/>
      <c r="BA165" s="602"/>
      <c r="BB165" s="602"/>
      <c r="BC165" s="602"/>
      <c r="BD165" s="602"/>
      <c r="BE165" s="602"/>
      <c r="BF165" s="602"/>
      <c r="BG165" s="602"/>
      <c r="BH165" s="602"/>
      <c r="BI165" s="602"/>
      <c r="BJ165" s="602"/>
      <c r="BK165" s="602"/>
      <c r="BL165" s="602"/>
      <c r="BM165" s="602"/>
      <c r="BN165" s="602"/>
      <c r="BO165" s="602"/>
      <c r="BP165" s="602"/>
      <c r="BQ165" s="602"/>
    </row>
    <row r="166" spans="1:69" ht="12.75" thickBot="1">
      <c r="A166" s="616"/>
      <c r="B166" s="617"/>
      <c r="C166" s="617"/>
      <c r="D166" s="617"/>
      <c r="E166" s="621"/>
      <c r="F166" s="621"/>
      <c r="G166" s="621"/>
      <c r="H166" s="621"/>
      <c r="I166" s="621"/>
      <c r="J166" s="621"/>
      <c r="K166" s="621"/>
      <c r="L166" s="621"/>
      <c r="M166" s="621"/>
      <c r="N166" s="621"/>
      <c r="O166" s="621"/>
      <c r="P166" s="621"/>
      <c r="Q166" s="621"/>
      <c r="R166" s="621"/>
      <c r="S166" s="621"/>
      <c r="T166" s="621"/>
      <c r="U166" s="621"/>
      <c r="V166" s="621"/>
      <c r="W166" s="621"/>
      <c r="X166" s="621"/>
      <c r="Y166" s="621"/>
      <c r="Z166" s="621"/>
      <c r="AA166" s="621"/>
      <c r="AB166" s="621"/>
      <c r="AC166" s="621"/>
      <c r="AD166" s="621"/>
      <c r="AE166" s="621"/>
      <c r="AF166" s="621"/>
      <c r="AG166" s="621"/>
      <c r="AH166" s="621"/>
      <c r="AI166" s="621"/>
      <c r="AJ166" s="621"/>
      <c r="AK166" s="621"/>
      <c r="AL166" s="617"/>
      <c r="AM166" s="617"/>
      <c r="AN166" s="617"/>
      <c r="AO166" s="617"/>
      <c r="AP166" s="617"/>
      <c r="AQ166" s="617"/>
      <c r="AR166" s="617"/>
      <c r="AS166" s="617"/>
      <c r="AT166" s="617"/>
      <c r="AU166" s="617"/>
      <c r="AV166" s="617"/>
      <c r="AW166" s="617"/>
      <c r="AX166" s="647"/>
      <c r="AY166" s="602"/>
      <c r="AZ166" s="602"/>
      <c r="BA166" s="602"/>
      <c r="BB166" s="602"/>
      <c r="BC166" s="602"/>
      <c r="BD166" s="602"/>
      <c r="BE166" s="602"/>
      <c r="BF166" s="602"/>
      <c r="BG166" s="602"/>
      <c r="BH166" s="602"/>
      <c r="BI166" s="602"/>
      <c r="BJ166" s="602"/>
      <c r="BK166" s="602"/>
      <c r="BL166" s="602"/>
      <c r="BM166" s="602"/>
      <c r="BN166" s="602"/>
      <c r="BO166" s="602"/>
      <c r="BP166" s="602"/>
      <c r="BQ166" s="602"/>
    </row>
    <row r="167" spans="1:69">
      <c r="A167" s="648"/>
      <c r="B167" s="642"/>
      <c r="C167" s="642"/>
      <c r="D167" s="642"/>
      <c r="E167" s="793"/>
      <c r="F167" s="793"/>
      <c r="G167" s="793"/>
      <c r="H167" s="793"/>
      <c r="I167" s="793"/>
      <c r="J167" s="793"/>
      <c r="K167" s="793"/>
      <c r="L167" s="793"/>
      <c r="M167" s="793"/>
      <c r="N167" s="793"/>
      <c r="O167" s="793"/>
      <c r="P167" s="793"/>
      <c r="Q167" s="793"/>
      <c r="R167" s="793"/>
      <c r="S167" s="793"/>
      <c r="T167" s="793"/>
      <c r="U167" s="793"/>
      <c r="V167" s="793"/>
      <c r="W167" s="793"/>
      <c r="X167" s="793"/>
      <c r="Y167" s="793"/>
      <c r="Z167" s="793"/>
      <c r="AA167" s="793"/>
      <c r="AB167" s="793"/>
      <c r="AC167" s="793"/>
      <c r="AD167" s="793"/>
      <c r="AE167" s="793"/>
      <c r="AF167" s="793"/>
      <c r="AG167" s="793"/>
      <c r="AH167" s="793"/>
      <c r="AI167" s="793"/>
      <c r="AJ167" s="793"/>
      <c r="AK167" s="793"/>
      <c r="AL167" s="642"/>
      <c r="AM167" s="642"/>
      <c r="AN167" s="642"/>
      <c r="AO167" s="642"/>
      <c r="AP167" s="642"/>
      <c r="AQ167" s="642"/>
      <c r="AR167" s="642"/>
      <c r="AS167" s="642"/>
      <c r="AT167" s="642"/>
      <c r="AU167" s="642"/>
      <c r="AV167" s="642"/>
      <c r="AW167" s="642"/>
      <c r="AX167" s="643"/>
      <c r="AY167" s="602"/>
      <c r="AZ167" s="602"/>
      <c r="BA167" s="602"/>
      <c r="BB167" s="602"/>
      <c r="BC167" s="602"/>
      <c r="BD167" s="602"/>
      <c r="BE167" s="602"/>
      <c r="BF167" s="602"/>
      <c r="BG167" s="602"/>
      <c r="BH167" s="602"/>
      <c r="BI167" s="602"/>
      <c r="BJ167" s="602"/>
      <c r="BK167" s="602"/>
      <c r="BL167" s="602"/>
      <c r="BM167" s="602"/>
      <c r="BN167" s="602"/>
      <c r="BO167" s="602"/>
      <c r="BP167" s="602"/>
      <c r="BQ167" s="602"/>
    </row>
    <row r="168" spans="1:69">
      <c r="A168" s="614"/>
      <c r="B168" s="615"/>
      <c r="C168" s="615" t="s">
        <v>446</v>
      </c>
      <c r="D168" s="615"/>
      <c r="E168" s="615"/>
      <c r="F168" s="615"/>
      <c r="G168" s="615"/>
      <c r="H168" s="615"/>
      <c r="I168" s="615"/>
      <c r="J168" s="615"/>
      <c r="K168" s="615"/>
      <c r="L168" s="615"/>
      <c r="M168" s="615"/>
      <c r="N168" s="615"/>
      <c r="O168" s="615"/>
      <c r="P168" s="615"/>
      <c r="Q168" s="615"/>
      <c r="R168" s="615"/>
      <c r="S168" s="615"/>
      <c r="T168" s="615"/>
      <c r="U168" s="615"/>
      <c r="V168" s="615"/>
      <c r="W168" s="615"/>
      <c r="X168" s="615"/>
      <c r="Y168" s="615"/>
      <c r="Z168" s="615"/>
      <c r="AA168" s="615"/>
      <c r="AB168" s="615"/>
      <c r="AC168" s="615"/>
      <c r="AD168" s="615"/>
      <c r="AE168" s="615"/>
      <c r="AF168" s="615"/>
      <c r="AG168" s="615"/>
      <c r="AH168" s="615"/>
      <c r="AI168" s="615"/>
      <c r="AJ168" s="615"/>
      <c r="AK168" s="615"/>
      <c r="AL168" s="615"/>
      <c r="AM168" s="615"/>
      <c r="AN168" s="615"/>
      <c r="AO168" s="615"/>
      <c r="AP168" s="615"/>
      <c r="AQ168" s="615"/>
      <c r="AR168" s="615"/>
      <c r="AS168" s="615"/>
      <c r="AT168" s="615"/>
      <c r="AU168" s="615"/>
      <c r="AV168" s="615"/>
      <c r="AW168" s="615"/>
      <c r="AX168" s="626"/>
      <c r="AY168" s="602"/>
      <c r="AZ168" s="602"/>
      <c r="BA168" s="602"/>
      <c r="BB168" s="602"/>
      <c r="BC168" s="602"/>
      <c r="BD168" s="602"/>
      <c r="BE168" s="602"/>
      <c r="BF168" s="602"/>
      <c r="BG168" s="602"/>
      <c r="BH168" s="602"/>
      <c r="BI168" s="602"/>
      <c r="BJ168" s="602"/>
      <c r="BK168" s="602"/>
      <c r="BL168" s="602"/>
      <c r="BM168" s="602"/>
      <c r="BN168" s="602"/>
      <c r="BO168" s="602"/>
      <c r="BP168" s="602"/>
      <c r="BQ168" s="602"/>
    </row>
    <row r="169" spans="1:69">
      <c r="A169" s="614"/>
      <c r="B169" s="615"/>
      <c r="C169" s="631" t="s">
        <v>367</v>
      </c>
      <c r="D169" s="623"/>
      <c r="E169" s="623"/>
      <c r="F169" s="623"/>
      <c r="G169" s="627"/>
      <c r="H169" s="631" t="s">
        <v>368</v>
      </c>
      <c r="I169" s="623"/>
      <c r="J169" s="623"/>
      <c r="K169" s="623"/>
      <c r="L169" s="623"/>
      <c r="M169" s="623"/>
      <c r="N169" s="623"/>
      <c r="O169" s="627"/>
      <c r="P169" s="634" t="s">
        <v>369</v>
      </c>
      <c r="Q169" s="632"/>
      <c r="R169" s="632"/>
      <c r="S169" s="632"/>
      <c r="T169" s="632"/>
      <c r="U169" s="632"/>
      <c r="V169" s="632"/>
      <c r="W169" s="632"/>
      <c r="X169" s="632"/>
      <c r="Y169" s="632"/>
      <c r="Z169" s="632"/>
      <c r="AA169" s="632"/>
      <c r="AB169" s="632"/>
      <c r="AC169" s="632"/>
      <c r="AD169" s="633"/>
      <c r="AE169" s="631" t="s">
        <v>370</v>
      </c>
      <c r="AF169" s="624"/>
      <c r="AG169" s="624"/>
      <c r="AH169" s="624"/>
      <c r="AI169" s="624"/>
      <c r="AJ169" s="624"/>
      <c r="AK169" s="624"/>
      <c r="AL169" s="624"/>
      <c r="AM169" s="624"/>
      <c r="AN169" s="624"/>
      <c r="AO169" s="624"/>
      <c r="AP169" s="624"/>
      <c r="AQ169" s="624"/>
      <c r="AR169" s="624"/>
      <c r="AS169" s="624"/>
      <c r="AT169" s="624"/>
      <c r="AU169" s="624"/>
      <c r="AV169" s="624"/>
      <c r="AW169" s="649"/>
      <c r="AX169" s="626"/>
      <c r="AY169" s="602"/>
      <c r="AZ169" s="602"/>
      <c r="BA169" s="602"/>
      <c r="BB169" s="602"/>
      <c r="BC169" s="602"/>
      <c r="BD169" s="602"/>
      <c r="BE169" s="602"/>
      <c r="BF169" s="602"/>
      <c r="BG169" s="602"/>
      <c r="BH169" s="602"/>
      <c r="BI169" s="602"/>
      <c r="BJ169" s="602"/>
      <c r="BK169" s="602"/>
      <c r="BL169" s="602"/>
      <c r="BM169" s="602"/>
      <c r="BN169" s="602"/>
      <c r="BO169" s="602"/>
      <c r="BP169" s="602"/>
      <c r="BQ169" s="602"/>
    </row>
    <row r="170" spans="1:69">
      <c r="A170" s="614"/>
      <c r="B170" s="615"/>
      <c r="C170" s="628"/>
      <c r="D170" s="629"/>
      <c r="E170" s="629"/>
      <c r="F170" s="629"/>
      <c r="G170" s="630"/>
      <c r="H170" s="628" t="s">
        <v>371</v>
      </c>
      <c r="I170" s="629"/>
      <c r="J170" s="629"/>
      <c r="K170" s="629"/>
      <c r="L170" s="629" t="s">
        <v>372</v>
      </c>
      <c r="M170" s="629"/>
      <c r="N170" s="629"/>
      <c r="O170" s="630"/>
      <c r="P170" s="631" t="s">
        <v>373</v>
      </c>
      <c r="Q170" s="623"/>
      <c r="R170" s="623"/>
      <c r="S170" s="623" t="s">
        <v>404</v>
      </c>
      <c r="T170" s="623"/>
      <c r="U170" s="623" t="s">
        <v>326</v>
      </c>
      <c r="V170" s="623"/>
      <c r="W170" s="623"/>
      <c r="X170" s="623" t="s">
        <v>375</v>
      </c>
      <c r="Y170" s="623"/>
      <c r="Z170" s="623"/>
      <c r="AA170" s="623" t="s">
        <v>376</v>
      </c>
      <c r="AB170" s="623"/>
      <c r="AC170" s="623"/>
      <c r="AD170" s="627"/>
      <c r="AE170" s="619"/>
      <c r="AF170" s="615"/>
      <c r="AG170" s="615"/>
      <c r="AH170" s="615"/>
      <c r="AI170" s="615"/>
      <c r="AJ170" s="615"/>
      <c r="AK170" s="615"/>
      <c r="AL170" s="615"/>
      <c r="AM170" s="615"/>
      <c r="AN170" s="615"/>
      <c r="AO170" s="615"/>
      <c r="AP170" s="615"/>
      <c r="AQ170" s="615"/>
      <c r="AR170" s="615"/>
      <c r="AS170" s="615"/>
      <c r="AT170" s="615"/>
      <c r="AU170" s="615"/>
      <c r="AV170" s="615"/>
      <c r="AW170" s="650"/>
      <c r="AX170" s="626"/>
      <c r="AY170" s="602"/>
      <c r="AZ170" s="602"/>
      <c r="BA170" s="602"/>
      <c r="BB170" s="602"/>
      <c r="BC170" s="602"/>
      <c r="BD170" s="602"/>
      <c r="BE170" s="602"/>
      <c r="BF170" s="602"/>
      <c r="BG170" s="602"/>
      <c r="BH170" s="602"/>
      <c r="BI170" s="602"/>
      <c r="BJ170" s="602"/>
      <c r="BK170" s="602"/>
      <c r="BL170" s="602"/>
      <c r="BM170" s="602"/>
      <c r="BN170" s="602"/>
      <c r="BO170" s="602"/>
      <c r="BP170" s="602"/>
      <c r="BQ170" s="602"/>
    </row>
    <row r="171" spans="1:69">
      <c r="A171" s="614"/>
      <c r="B171" s="615"/>
      <c r="C171" s="631" t="s">
        <v>387</v>
      </c>
      <c r="D171" s="623"/>
      <c r="E171" s="627"/>
      <c r="F171" s="631" t="s">
        <v>388</v>
      </c>
      <c r="G171" s="627"/>
      <c r="H171" s="631" t="s">
        <v>379</v>
      </c>
      <c r="I171" s="623"/>
      <c r="J171" s="623"/>
      <c r="K171" s="623"/>
      <c r="L171" s="623"/>
      <c r="M171" s="623"/>
      <c r="N171" s="623"/>
      <c r="O171" s="627"/>
      <c r="P171" s="631"/>
      <c r="Q171" s="623"/>
      <c r="R171" s="623"/>
      <c r="S171" s="623"/>
      <c r="T171" s="623"/>
      <c r="U171" s="623"/>
      <c r="V171" s="623"/>
      <c r="W171" s="623"/>
      <c r="X171" s="623"/>
      <c r="Y171" s="623"/>
      <c r="Z171" s="623"/>
      <c r="AA171" s="665"/>
      <c r="AB171" s="623"/>
      <c r="AC171" s="623"/>
      <c r="AD171" s="627"/>
      <c r="AE171" s="631"/>
      <c r="AF171" s="624"/>
      <c r="AG171" s="624"/>
      <c r="AH171" s="624"/>
      <c r="AI171" s="624"/>
      <c r="AJ171" s="624"/>
      <c r="AK171" s="624"/>
      <c r="AL171" s="624"/>
      <c r="AM171" s="624"/>
      <c r="AN171" s="624"/>
      <c r="AO171" s="624"/>
      <c r="AP171" s="624"/>
      <c r="AQ171" s="624"/>
      <c r="AR171" s="624"/>
      <c r="AS171" s="624"/>
      <c r="AT171" s="624"/>
      <c r="AU171" s="624"/>
      <c r="AV171" s="624"/>
      <c r="AW171" s="649"/>
      <c r="AX171" s="626"/>
      <c r="AY171" s="602"/>
      <c r="AZ171" s="602"/>
      <c r="BA171" s="602"/>
      <c r="BB171" s="602"/>
      <c r="BC171" s="602"/>
      <c r="BD171" s="602"/>
      <c r="BE171" s="602"/>
      <c r="BF171" s="602"/>
      <c r="BG171" s="602"/>
      <c r="BH171" s="602"/>
      <c r="BI171" s="602"/>
      <c r="BJ171" s="602"/>
      <c r="BK171" s="602"/>
      <c r="BL171" s="602"/>
      <c r="BM171" s="602"/>
      <c r="BN171" s="602"/>
      <c r="BO171" s="602"/>
      <c r="BP171" s="602"/>
      <c r="BQ171" s="602"/>
    </row>
    <row r="172" spans="1:69">
      <c r="A172" s="614"/>
      <c r="B172" s="615"/>
      <c r="C172" s="619"/>
      <c r="D172" s="618"/>
      <c r="E172" s="620"/>
      <c r="F172" s="658"/>
      <c r="G172" s="663"/>
      <c r="H172" s="658"/>
      <c r="I172" s="661"/>
      <c r="J172" s="661"/>
      <c r="K172" s="661"/>
      <c r="L172" s="661"/>
      <c r="M172" s="661"/>
      <c r="N172" s="661"/>
      <c r="O172" s="687" t="s">
        <v>380</v>
      </c>
      <c r="P172" s="658" t="s">
        <v>381</v>
      </c>
      <c r="Q172" s="661"/>
      <c r="R172" s="661"/>
      <c r="S172" s="661" t="s">
        <v>382</v>
      </c>
      <c r="T172" s="661"/>
      <c r="U172" s="661" t="s">
        <v>383</v>
      </c>
      <c r="V172" s="661"/>
      <c r="W172" s="661"/>
      <c r="X172" s="661" t="s">
        <v>386</v>
      </c>
      <c r="Y172" s="661"/>
      <c r="Z172" s="661"/>
      <c r="AA172" s="662" t="s">
        <v>337</v>
      </c>
      <c r="AB172" s="661"/>
      <c r="AC172" s="661"/>
      <c r="AD172" s="663"/>
      <c r="AE172" s="658" t="s">
        <v>338</v>
      </c>
      <c r="AF172" s="659"/>
      <c r="AG172" s="659"/>
      <c r="AH172" s="659" t="s">
        <v>389</v>
      </c>
      <c r="AI172" s="659"/>
      <c r="AJ172" s="659"/>
      <c r="AK172" s="659"/>
      <c r="AL172" s="659"/>
      <c r="AM172" s="659"/>
      <c r="AN172" s="659"/>
      <c r="AO172" s="659"/>
      <c r="AP172" s="659"/>
      <c r="AQ172" s="659"/>
      <c r="AR172" s="659"/>
      <c r="AS172" s="659"/>
      <c r="AT172" s="659"/>
      <c r="AU172" s="659"/>
      <c r="AV172" s="659"/>
      <c r="AW172" s="660"/>
      <c r="AX172" s="626"/>
      <c r="AY172" s="602"/>
      <c r="AZ172" s="602"/>
      <c r="BA172" s="602"/>
      <c r="BB172" s="602"/>
      <c r="BC172" s="602"/>
      <c r="BD172" s="602"/>
      <c r="BE172" s="602"/>
      <c r="BF172" s="602"/>
      <c r="BG172" s="602"/>
      <c r="BH172" s="602"/>
      <c r="BI172" s="602"/>
      <c r="BJ172" s="602"/>
      <c r="BK172" s="602"/>
      <c r="BL172" s="602"/>
      <c r="BM172" s="602"/>
      <c r="BN172" s="602"/>
      <c r="BO172" s="602"/>
      <c r="BP172" s="602"/>
      <c r="BQ172" s="602"/>
    </row>
    <row r="173" spans="1:69">
      <c r="A173" s="614"/>
      <c r="B173" s="615"/>
      <c r="C173" s="619"/>
      <c r="D173" s="618"/>
      <c r="E173" s="620"/>
      <c r="F173" s="619" t="s">
        <v>390</v>
      </c>
      <c r="G173" s="620"/>
      <c r="H173" s="656" t="s">
        <v>447</v>
      </c>
      <c r="I173" s="652"/>
      <c r="J173" s="652"/>
      <c r="K173" s="652"/>
      <c r="L173" s="652"/>
      <c r="M173" s="652"/>
      <c r="N173" s="652"/>
      <c r="O173" s="657"/>
      <c r="P173" s="656"/>
      <c r="Q173" s="652"/>
      <c r="R173" s="652"/>
      <c r="S173" s="652"/>
      <c r="T173" s="652"/>
      <c r="U173" s="652"/>
      <c r="V173" s="652"/>
      <c r="W173" s="652"/>
      <c r="X173" s="652"/>
      <c r="Y173" s="652"/>
      <c r="Z173" s="652"/>
      <c r="AA173" s="664"/>
      <c r="AB173" s="652"/>
      <c r="AC173" s="652"/>
      <c r="AD173" s="657"/>
      <c r="AE173" s="656"/>
      <c r="AF173" s="654"/>
      <c r="AG173" s="654"/>
      <c r="AH173" s="654"/>
      <c r="AI173" s="654"/>
      <c r="AJ173" s="654"/>
      <c r="AK173" s="654"/>
      <c r="AL173" s="654"/>
      <c r="AM173" s="654"/>
      <c r="AN173" s="654"/>
      <c r="AO173" s="654"/>
      <c r="AP173" s="654"/>
      <c r="AQ173" s="654"/>
      <c r="AR173" s="654"/>
      <c r="AS173" s="654"/>
      <c r="AT173" s="654"/>
      <c r="AU173" s="654"/>
      <c r="AV173" s="654"/>
      <c r="AW173" s="655"/>
      <c r="AX173" s="626"/>
      <c r="AY173" s="602"/>
      <c r="AZ173" s="602"/>
      <c r="BA173" s="602"/>
      <c r="BB173" s="602"/>
      <c r="BC173" s="602"/>
      <c r="BD173" s="602"/>
      <c r="BE173" s="602"/>
      <c r="BF173" s="602"/>
      <c r="BG173" s="602"/>
      <c r="BH173" s="602"/>
      <c r="BI173" s="602"/>
      <c r="BJ173" s="602"/>
      <c r="BK173" s="602"/>
      <c r="BL173" s="602"/>
      <c r="BM173" s="602"/>
      <c r="BN173" s="602"/>
      <c r="BO173" s="602"/>
      <c r="BP173" s="602"/>
      <c r="BQ173" s="602"/>
    </row>
    <row r="174" spans="1:69">
      <c r="A174" s="614"/>
      <c r="B174" s="615"/>
      <c r="C174" s="619"/>
      <c r="D174" s="618"/>
      <c r="E174" s="620"/>
      <c r="F174" s="658"/>
      <c r="G174" s="663"/>
      <c r="H174" s="658"/>
      <c r="I174" s="661"/>
      <c r="J174" s="661"/>
      <c r="K174" s="661"/>
      <c r="L174" s="661"/>
      <c r="M174" s="661"/>
      <c r="N174" s="661"/>
      <c r="O174" s="687" t="s">
        <v>380</v>
      </c>
      <c r="P174" s="658" t="s">
        <v>437</v>
      </c>
      <c r="Q174" s="661"/>
      <c r="R174" s="661"/>
      <c r="S174" s="661" t="s">
        <v>382</v>
      </c>
      <c r="T174" s="661"/>
      <c r="U174" s="661" t="s">
        <v>383</v>
      </c>
      <c r="V174" s="661"/>
      <c r="W174" s="661"/>
      <c r="X174" s="795" t="s">
        <v>354</v>
      </c>
      <c r="Y174" s="661"/>
      <c r="Z174" s="661"/>
      <c r="AA174" s="661" t="s">
        <v>337</v>
      </c>
      <c r="AB174" s="661"/>
      <c r="AC174" s="661"/>
      <c r="AD174" s="663"/>
      <c r="AE174" s="658" t="s">
        <v>338</v>
      </c>
      <c r="AF174" s="659"/>
      <c r="AG174" s="659"/>
      <c r="AH174" s="659" t="s">
        <v>448</v>
      </c>
      <c r="AI174" s="659"/>
      <c r="AJ174" s="659"/>
      <c r="AK174" s="659"/>
      <c r="AL174" s="659"/>
      <c r="AM174" s="659"/>
      <c r="AN174" s="659"/>
      <c r="AO174" s="659"/>
      <c r="AP174" s="659"/>
      <c r="AQ174" s="659"/>
      <c r="AR174" s="659"/>
      <c r="AS174" s="659"/>
      <c r="AT174" s="659"/>
      <c r="AU174" s="659"/>
      <c r="AV174" s="659"/>
      <c r="AW174" s="660"/>
      <c r="AX174" s="626"/>
      <c r="AY174" s="602"/>
      <c r="AZ174" s="602"/>
      <c r="BA174" s="602"/>
      <c r="BB174" s="602"/>
      <c r="BC174" s="602"/>
      <c r="BD174" s="602"/>
      <c r="BE174" s="602"/>
      <c r="BF174" s="602"/>
      <c r="BG174" s="602"/>
      <c r="BH174" s="602"/>
      <c r="BI174" s="602"/>
      <c r="BJ174" s="602"/>
      <c r="BK174" s="602"/>
      <c r="BL174" s="602"/>
      <c r="BM174" s="602"/>
      <c r="BN174" s="602"/>
      <c r="BO174" s="602"/>
      <c r="BP174" s="602"/>
      <c r="BQ174" s="602"/>
    </row>
    <row r="175" spans="1:69">
      <c r="A175" s="614"/>
      <c r="B175" s="615"/>
      <c r="C175" s="619"/>
      <c r="D175" s="618"/>
      <c r="E175" s="620"/>
      <c r="F175" s="656" t="s">
        <v>385</v>
      </c>
      <c r="G175" s="657"/>
      <c r="H175" s="619"/>
      <c r="I175" s="618"/>
      <c r="J175" s="618"/>
      <c r="K175" s="618"/>
      <c r="L175" s="618"/>
      <c r="M175" s="618"/>
      <c r="N175" s="618"/>
      <c r="O175" s="688"/>
      <c r="P175" s="676"/>
      <c r="Q175" s="677"/>
      <c r="R175" s="677"/>
      <c r="S175" s="677"/>
      <c r="T175" s="677"/>
      <c r="U175" s="677"/>
      <c r="V175" s="677"/>
      <c r="W175" s="677"/>
      <c r="X175" s="677"/>
      <c r="Y175" s="677"/>
      <c r="Z175" s="677"/>
      <c r="AA175" s="678"/>
      <c r="AB175" s="677"/>
      <c r="AC175" s="677"/>
      <c r="AD175" s="679"/>
      <c r="AE175" s="676"/>
      <c r="AF175" s="680"/>
      <c r="AG175" s="680"/>
      <c r="AH175" s="680"/>
      <c r="AI175" s="680"/>
      <c r="AJ175" s="680"/>
      <c r="AK175" s="680"/>
      <c r="AL175" s="680"/>
      <c r="AM175" s="680"/>
      <c r="AN175" s="680"/>
      <c r="AO175" s="680"/>
      <c r="AP175" s="680"/>
      <c r="AQ175" s="680"/>
      <c r="AR175" s="680"/>
      <c r="AS175" s="680"/>
      <c r="AT175" s="680"/>
      <c r="AU175" s="680"/>
      <c r="AV175" s="680"/>
      <c r="AW175" s="681"/>
      <c r="AX175" s="626"/>
      <c r="AY175" s="602"/>
      <c r="AZ175" s="602"/>
      <c r="BA175" s="602"/>
      <c r="BB175" s="602"/>
      <c r="BC175" s="602"/>
      <c r="BD175" s="602"/>
      <c r="BE175" s="602"/>
      <c r="BF175" s="602"/>
      <c r="BG175" s="602"/>
      <c r="BH175" s="602"/>
      <c r="BI175" s="602"/>
      <c r="BJ175" s="602"/>
      <c r="BK175" s="602"/>
      <c r="BL175" s="602"/>
      <c r="BM175" s="602"/>
      <c r="BN175" s="602"/>
      <c r="BO175" s="602"/>
      <c r="BP175" s="602"/>
      <c r="BQ175" s="602"/>
    </row>
    <row r="176" spans="1:69">
      <c r="A176" s="614"/>
      <c r="B176" s="615"/>
      <c r="C176" s="619"/>
      <c r="D176" s="618"/>
      <c r="E176" s="620"/>
      <c r="F176" s="619"/>
      <c r="G176" s="620"/>
      <c r="H176" s="619"/>
      <c r="I176" s="618"/>
      <c r="J176" s="618"/>
      <c r="K176" s="618"/>
      <c r="L176" s="661"/>
      <c r="M176" s="618"/>
      <c r="N176" s="618"/>
      <c r="O176" s="687" t="s">
        <v>380</v>
      </c>
      <c r="P176" s="671" t="s">
        <v>437</v>
      </c>
      <c r="Q176" s="672"/>
      <c r="R176" s="672"/>
      <c r="S176" s="672" t="s">
        <v>382</v>
      </c>
      <c r="T176" s="672"/>
      <c r="U176" s="672" t="s">
        <v>383</v>
      </c>
      <c r="V176" s="672"/>
      <c r="W176" s="672"/>
      <c r="X176" s="672" t="s">
        <v>354</v>
      </c>
      <c r="Y176" s="672"/>
      <c r="Z176" s="672"/>
      <c r="AA176" s="672" t="s">
        <v>337</v>
      </c>
      <c r="AB176" s="672"/>
      <c r="AC176" s="672"/>
      <c r="AD176" s="673"/>
      <c r="AE176" s="671" t="s">
        <v>334</v>
      </c>
      <c r="AF176" s="674"/>
      <c r="AG176" s="674"/>
      <c r="AH176" s="674" t="s">
        <v>400</v>
      </c>
      <c r="AI176" s="674"/>
      <c r="AJ176" s="674"/>
      <c r="AK176" s="674"/>
      <c r="AL176" s="674"/>
      <c r="AM176" s="674"/>
      <c r="AN176" s="674"/>
      <c r="AO176" s="674"/>
      <c r="AP176" s="674"/>
      <c r="AQ176" s="674"/>
      <c r="AR176" s="674"/>
      <c r="AS176" s="674"/>
      <c r="AT176" s="674"/>
      <c r="AU176" s="674"/>
      <c r="AV176" s="674"/>
      <c r="AW176" s="675"/>
      <c r="AX176" s="626"/>
      <c r="AY176" s="602"/>
      <c r="AZ176" s="602"/>
      <c r="BA176" s="602"/>
      <c r="BB176" s="602"/>
      <c r="BC176" s="602"/>
      <c r="BD176" s="602"/>
      <c r="BE176" s="602"/>
      <c r="BF176" s="602"/>
      <c r="BG176" s="602"/>
      <c r="BH176" s="602"/>
      <c r="BI176" s="602"/>
      <c r="BJ176" s="602"/>
      <c r="BK176" s="602"/>
      <c r="BL176" s="602"/>
      <c r="BM176" s="602"/>
      <c r="BN176" s="602"/>
      <c r="BO176" s="602"/>
      <c r="BP176" s="602"/>
      <c r="BQ176" s="602"/>
    </row>
    <row r="177" spans="1:69">
      <c r="A177" s="614"/>
      <c r="B177" s="615"/>
      <c r="C177" s="619"/>
      <c r="D177" s="618"/>
      <c r="E177" s="620"/>
      <c r="F177" s="656" t="s">
        <v>449</v>
      </c>
      <c r="G177" s="657"/>
      <c r="H177" s="656" t="s">
        <v>450</v>
      </c>
      <c r="I177" s="652"/>
      <c r="J177" s="652"/>
      <c r="K177" s="652"/>
      <c r="L177" s="652"/>
      <c r="M177" s="652"/>
      <c r="N177" s="652"/>
      <c r="O177" s="657"/>
      <c r="P177" s="656"/>
      <c r="Q177" s="652"/>
      <c r="R177" s="652"/>
      <c r="S177" s="652"/>
      <c r="T177" s="652"/>
      <c r="U177" s="652"/>
      <c r="V177" s="652"/>
      <c r="W177" s="652"/>
      <c r="X177" s="652"/>
      <c r="Y177" s="652"/>
      <c r="Z177" s="652"/>
      <c r="AA177" s="664"/>
      <c r="AB177" s="652"/>
      <c r="AC177" s="652"/>
      <c r="AD177" s="657"/>
      <c r="AE177" s="656"/>
      <c r="AF177" s="654"/>
      <c r="AG177" s="654"/>
      <c r="AH177" s="654"/>
      <c r="AI177" s="654"/>
      <c r="AJ177" s="654"/>
      <c r="AK177" s="654"/>
      <c r="AL177" s="654"/>
      <c r="AM177" s="654"/>
      <c r="AN177" s="654"/>
      <c r="AO177" s="654"/>
      <c r="AP177" s="654"/>
      <c r="AQ177" s="654"/>
      <c r="AR177" s="654"/>
      <c r="AS177" s="654"/>
      <c r="AT177" s="654"/>
      <c r="AU177" s="654"/>
      <c r="AV177" s="654"/>
      <c r="AW177" s="655"/>
      <c r="AX177" s="626"/>
      <c r="AY177" s="602"/>
      <c r="AZ177" s="602"/>
      <c r="BA177" s="602"/>
      <c r="BB177" s="602"/>
      <c r="BC177" s="602"/>
      <c r="BD177" s="602"/>
      <c r="BE177" s="602"/>
      <c r="BF177" s="602"/>
      <c r="BG177" s="602"/>
      <c r="BH177" s="602"/>
      <c r="BI177" s="602"/>
      <c r="BJ177" s="602"/>
      <c r="BK177" s="602"/>
      <c r="BL177" s="602"/>
      <c r="BM177" s="602"/>
      <c r="BN177" s="602"/>
      <c r="BO177" s="602"/>
      <c r="BP177" s="602"/>
      <c r="BQ177" s="602"/>
    </row>
    <row r="178" spans="1:69">
      <c r="A178" s="614"/>
      <c r="B178" s="615"/>
      <c r="C178" s="628"/>
      <c r="D178" s="629"/>
      <c r="E178" s="630"/>
      <c r="F178" s="628"/>
      <c r="G178" s="630"/>
      <c r="H178" s="628"/>
      <c r="I178" s="629"/>
      <c r="J178" s="629"/>
      <c r="K178" s="629"/>
      <c r="L178" s="629"/>
      <c r="M178" s="629"/>
      <c r="N178" s="629"/>
      <c r="O178" s="689" t="s">
        <v>380</v>
      </c>
      <c r="P178" s="628" t="s">
        <v>381</v>
      </c>
      <c r="Q178" s="629"/>
      <c r="R178" s="629"/>
      <c r="S178" s="629" t="s">
        <v>382</v>
      </c>
      <c r="T178" s="629"/>
      <c r="U178" s="629" t="s">
        <v>383</v>
      </c>
      <c r="V178" s="629"/>
      <c r="W178" s="629"/>
      <c r="X178" s="629" t="s">
        <v>386</v>
      </c>
      <c r="Y178" s="629"/>
      <c r="Z178" s="629"/>
      <c r="AA178" s="796" t="s">
        <v>337</v>
      </c>
      <c r="AB178" s="629"/>
      <c r="AC178" s="629"/>
      <c r="AD178" s="630"/>
      <c r="AE178" s="628" t="s">
        <v>338</v>
      </c>
      <c r="AF178" s="645"/>
      <c r="AG178" s="645"/>
      <c r="AH178" s="645" t="s">
        <v>389</v>
      </c>
      <c r="AI178" s="645"/>
      <c r="AJ178" s="645"/>
      <c r="AK178" s="645"/>
      <c r="AL178" s="645"/>
      <c r="AM178" s="645"/>
      <c r="AN178" s="645"/>
      <c r="AO178" s="645"/>
      <c r="AP178" s="645"/>
      <c r="AQ178" s="645"/>
      <c r="AR178" s="645"/>
      <c r="AS178" s="645"/>
      <c r="AT178" s="645"/>
      <c r="AU178" s="645"/>
      <c r="AV178" s="645"/>
      <c r="AW178" s="651"/>
      <c r="AX178" s="626"/>
      <c r="AY178" s="602"/>
      <c r="AZ178" s="602"/>
      <c r="BA178" s="602"/>
      <c r="BB178" s="602"/>
      <c r="BC178" s="602"/>
      <c r="BD178" s="602"/>
      <c r="BE178" s="602"/>
      <c r="BF178" s="602"/>
      <c r="BG178" s="602"/>
      <c r="BH178" s="602"/>
      <c r="BI178" s="602"/>
      <c r="BJ178" s="602"/>
      <c r="BK178" s="602"/>
      <c r="BL178" s="602"/>
      <c r="BM178" s="602"/>
      <c r="BN178" s="602"/>
      <c r="BO178" s="602"/>
      <c r="BP178" s="602"/>
      <c r="BQ178" s="602"/>
    </row>
    <row r="179" spans="1:69">
      <c r="AX179" s="806"/>
      <c r="AY179" s="799"/>
    </row>
    <row r="180" spans="1:69">
      <c r="A180" s="800"/>
      <c r="B180" s="801"/>
      <c r="C180" s="804"/>
      <c r="D180" s="804"/>
      <c r="E180" s="804"/>
      <c r="F180" s="804"/>
      <c r="G180" s="804"/>
      <c r="H180" s="804"/>
      <c r="I180" s="804"/>
      <c r="J180" s="804"/>
      <c r="K180" s="804"/>
      <c r="L180" s="804"/>
      <c r="M180" s="804"/>
      <c r="N180" s="804"/>
      <c r="O180" s="809"/>
      <c r="P180" s="804"/>
      <c r="Q180" s="804"/>
      <c r="R180" s="804"/>
      <c r="S180" s="804"/>
      <c r="T180" s="804"/>
      <c r="U180" s="804"/>
      <c r="V180" s="804"/>
      <c r="W180" s="804"/>
      <c r="X180" s="804"/>
      <c r="Y180" s="804"/>
      <c r="Z180" s="804"/>
      <c r="AA180" s="808"/>
      <c r="AB180" s="804"/>
      <c r="AC180" s="804"/>
      <c r="AD180" s="804"/>
      <c r="AE180" s="804"/>
      <c r="AF180" s="801"/>
      <c r="AG180" s="801"/>
      <c r="AH180" s="801"/>
      <c r="AI180" s="801"/>
      <c r="AJ180" s="801"/>
      <c r="AK180" s="801"/>
      <c r="AL180" s="801"/>
      <c r="AM180" s="801"/>
      <c r="AN180" s="801"/>
      <c r="AO180" s="801"/>
      <c r="AP180" s="801"/>
      <c r="AQ180" s="801"/>
      <c r="AR180" s="801"/>
      <c r="AS180" s="801"/>
      <c r="AT180" s="801"/>
      <c r="AU180" s="801"/>
      <c r="AV180" s="801"/>
      <c r="AW180" s="801"/>
      <c r="AX180" s="806"/>
      <c r="AY180" s="613"/>
      <c r="AZ180" s="613"/>
      <c r="BA180" s="613"/>
      <c r="BB180" s="613"/>
      <c r="BC180" s="613"/>
      <c r="BD180" s="613"/>
      <c r="BE180" s="613"/>
      <c r="BF180" s="613"/>
      <c r="BG180" s="613"/>
      <c r="BH180" s="613"/>
      <c r="BI180" s="613"/>
      <c r="BJ180" s="613"/>
      <c r="BK180" s="613"/>
      <c r="BL180" s="613"/>
      <c r="BM180" s="613"/>
      <c r="BN180" s="613"/>
      <c r="BO180" s="613"/>
      <c r="BP180" s="613"/>
      <c r="BQ180" s="613"/>
    </row>
    <row r="181" spans="1:69">
      <c r="A181" s="800"/>
      <c r="B181" s="801"/>
      <c r="C181" s="801"/>
      <c r="D181" s="801"/>
      <c r="E181" s="804"/>
      <c r="F181" s="804"/>
      <c r="G181" s="804"/>
      <c r="H181" s="804"/>
      <c r="I181" s="804"/>
      <c r="J181" s="804"/>
      <c r="K181" s="804"/>
      <c r="L181" s="804"/>
      <c r="M181" s="804"/>
      <c r="N181" s="804"/>
      <c r="O181" s="804"/>
      <c r="P181" s="804"/>
      <c r="Q181" s="804"/>
      <c r="R181" s="804"/>
      <c r="S181" s="804"/>
      <c r="T181" s="804"/>
      <c r="U181" s="804"/>
      <c r="V181" s="804"/>
      <c r="W181" s="804"/>
      <c r="X181" s="804"/>
      <c r="Y181" s="804"/>
      <c r="Z181" s="804"/>
      <c r="AA181" s="804"/>
      <c r="AB181" s="804"/>
      <c r="AC181" s="804"/>
      <c r="AD181" s="804"/>
      <c r="AE181" s="804"/>
      <c r="AF181" s="804"/>
      <c r="AG181" s="804"/>
      <c r="AH181" s="804"/>
      <c r="AI181" s="804"/>
      <c r="AJ181" s="804"/>
      <c r="AK181" s="804"/>
      <c r="AL181" s="801"/>
      <c r="AM181" s="801"/>
      <c r="AN181" s="801"/>
      <c r="AO181" s="801"/>
      <c r="AP181" s="801"/>
      <c r="AQ181" s="801"/>
      <c r="AR181" s="801"/>
      <c r="AS181" s="801"/>
      <c r="AT181" s="801"/>
      <c r="AU181" s="801"/>
      <c r="AV181" s="801"/>
      <c r="AW181" s="801"/>
      <c r="AX181" s="806"/>
      <c r="AY181" s="613"/>
      <c r="AZ181" s="613"/>
      <c r="BA181" s="613"/>
      <c r="BB181" s="613"/>
      <c r="BC181" s="613"/>
      <c r="BD181" s="613"/>
      <c r="BE181" s="613"/>
      <c r="BF181" s="613"/>
      <c r="BG181" s="613"/>
      <c r="BH181" s="613"/>
      <c r="BI181" s="613"/>
      <c r="BJ181" s="613"/>
      <c r="BK181" s="613"/>
      <c r="BL181" s="613"/>
      <c r="BM181" s="613"/>
      <c r="BN181" s="613"/>
      <c r="BO181" s="613"/>
      <c r="BP181" s="613"/>
      <c r="BQ181" s="613"/>
    </row>
    <row r="182" spans="1:69" ht="12.75" thickBot="1">
      <c r="A182" s="802"/>
      <c r="B182" s="803"/>
      <c r="C182" s="803"/>
      <c r="D182" s="803"/>
      <c r="E182" s="805"/>
      <c r="F182" s="805"/>
      <c r="G182" s="805"/>
      <c r="H182" s="805"/>
      <c r="I182" s="805"/>
      <c r="J182" s="805"/>
      <c r="K182" s="805"/>
      <c r="L182" s="805"/>
      <c r="M182" s="805"/>
      <c r="N182" s="805"/>
      <c r="O182" s="805"/>
      <c r="P182" s="805"/>
      <c r="Q182" s="805"/>
      <c r="R182" s="805"/>
      <c r="S182" s="805"/>
      <c r="T182" s="805"/>
      <c r="U182" s="805"/>
      <c r="V182" s="805"/>
      <c r="W182" s="805"/>
      <c r="X182" s="805"/>
      <c r="Y182" s="805"/>
      <c r="Z182" s="805"/>
      <c r="AA182" s="805"/>
      <c r="AB182" s="805"/>
      <c r="AC182" s="805"/>
      <c r="AD182" s="805"/>
      <c r="AE182" s="805"/>
      <c r="AF182" s="805"/>
      <c r="AG182" s="805"/>
      <c r="AH182" s="805"/>
      <c r="AI182" s="805"/>
      <c r="AJ182" s="805"/>
      <c r="AK182" s="805"/>
      <c r="AL182" s="803"/>
      <c r="AM182" s="803"/>
      <c r="AN182" s="803"/>
      <c r="AO182" s="803"/>
      <c r="AP182" s="803"/>
      <c r="AQ182" s="803"/>
      <c r="AR182" s="803"/>
      <c r="AS182" s="803"/>
      <c r="AT182" s="803"/>
      <c r="AU182" s="803"/>
      <c r="AV182" s="803"/>
      <c r="AW182" s="803"/>
      <c r="AX182" s="807"/>
      <c r="AY182" s="613"/>
      <c r="AZ182" s="613"/>
      <c r="BA182" s="613"/>
      <c r="BB182" s="613"/>
      <c r="BC182" s="613"/>
      <c r="BD182" s="613"/>
      <c r="BE182" s="613"/>
      <c r="BF182" s="613"/>
      <c r="BG182" s="613"/>
      <c r="BH182" s="613"/>
      <c r="BI182" s="613"/>
      <c r="BJ182" s="613"/>
      <c r="BK182" s="613"/>
      <c r="BL182" s="613"/>
      <c r="BM182" s="613"/>
      <c r="BN182" s="613"/>
      <c r="BO182" s="613"/>
      <c r="BP182" s="613"/>
      <c r="BQ182" s="613"/>
    </row>
  </sheetData>
  <mergeCells count="25">
    <mergeCell ref="AM1:AP1"/>
    <mergeCell ref="AQ1:AT1"/>
    <mergeCell ref="AU1:AX1"/>
    <mergeCell ref="AH2:AL2"/>
    <mergeCell ref="AM2:AP2"/>
    <mergeCell ref="AQ2:AT2"/>
    <mergeCell ref="AU2:AX3"/>
    <mergeCell ref="AM3:AP3"/>
    <mergeCell ref="AQ3:AT3"/>
    <mergeCell ref="A1:G3"/>
    <mergeCell ref="H1:K1"/>
    <mergeCell ref="L1:R1"/>
    <mergeCell ref="S1:V1"/>
    <mergeCell ref="W1:AC1"/>
    <mergeCell ref="H2:K2"/>
    <mergeCell ref="L2:R2"/>
    <mergeCell ref="S2:V2"/>
    <mergeCell ref="W2:AC2"/>
    <mergeCell ref="H3:K3"/>
    <mergeCell ref="L3:R3"/>
    <mergeCell ref="S3:V3"/>
    <mergeCell ref="W3:AL3"/>
    <mergeCell ref="AD2:AG2"/>
    <mergeCell ref="AD1:AG1"/>
    <mergeCell ref="AH1:AL1"/>
  </mergeCells>
  <phoneticPr fontId="2"/>
  <dataValidations count="1">
    <dataValidation imeMode="off" allowBlank="1" showInputMessage="1" showErrorMessage="1" sqref="AW6:AX8 AF18:AF28 AX9:AX43 AV29:AV30 AW31 AW44:AX44"/>
  </dataValidations>
  <pageMargins left="0.39370078740157483" right="0.39370078740157483" top="0.51181102362204722" bottom="0.51181102362204722" header="0.31496062992125984" footer="0.31496062992125984"/>
  <pageSetup paperSize="9" fitToHeight="0" orientation="landscape" horizontalDpi="200" verticalDpi="200" r:id="rId1"/>
  <headerFooter alignWithMargins="0">
    <oddFooter>&amp;L&amp;A&amp;C&amp;P/&amp;N&amp;R©Toyo Business Engineering Corp.(B-EN-G) / Confidential</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CFF"/>
  </sheetPr>
  <dimension ref="A1:AX54"/>
  <sheetViews>
    <sheetView showGridLines="0" topLeftCell="A22" zoomScaleNormal="100" zoomScaleSheetLayoutView="90" workbookViewId="0">
      <selection activeCell="AD25" sqref="AD25"/>
    </sheetView>
  </sheetViews>
  <sheetFormatPr defaultColWidth="8.83203125" defaultRowHeight="12"/>
  <cols>
    <col min="1" max="50" width="3.33203125" style="1" customWidth="1"/>
    <col min="51" max="51" width="1.5" style="1" customWidth="1"/>
    <col min="52" max="16384" width="8.83203125" style="1"/>
  </cols>
  <sheetData>
    <row r="1" spans="1:50" s="72" customFormat="1" ht="12.6" customHeight="1">
      <c r="A1" s="513" t="s">
        <v>45</v>
      </c>
      <c r="B1" s="514"/>
      <c r="C1" s="514"/>
      <c r="D1" s="514"/>
      <c r="E1" s="514"/>
      <c r="F1" s="514"/>
      <c r="G1" s="515"/>
      <c r="H1" s="522" t="s">
        <v>2</v>
      </c>
      <c r="I1" s="523"/>
      <c r="J1" s="523"/>
      <c r="K1" s="524"/>
      <c r="L1" s="525" t="str">
        <f>IF(顧客名="","",顧客名)</f>
        <v>株式会社XXXX殿</v>
      </c>
      <c r="M1" s="526"/>
      <c r="N1" s="526"/>
      <c r="O1" s="526"/>
      <c r="P1" s="526"/>
      <c r="Q1" s="526"/>
      <c r="R1" s="527"/>
      <c r="S1" s="528" t="s">
        <v>55</v>
      </c>
      <c r="T1" s="523"/>
      <c r="U1" s="523"/>
      <c r="V1" s="524"/>
      <c r="W1" s="525" t="str">
        <f>IF(システム="","",システム)</f>
        <v>mcframe7</v>
      </c>
      <c r="X1" s="526"/>
      <c r="Y1" s="526"/>
      <c r="Z1" s="526"/>
      <c r="AA1" s="526"/>
      <c r="AB1" s="526"/>
      <c r="AC1" s="527"/>
      <c r="AD1" s="533" t="s">
        <v>8</v>
      </c>
      <c r="AE1" s="534"/>
      <c r="AF1" s="534"/>
      <c r="AG1" s="543"/>
      <c r="AH1" s="544" t="str">
        <f>IF(作成者="","",作成者)</f>
        <v>XX</v>
      </c>
      <c r="AI1" s="545"/>
      <c r="AJ1" s="545"/>
      <c r="AK1" s="545"/>
      <c r="AL1" s="546"/>
      <c r="AM1" s="533" t="s">
        <v>9</v>
      </c>
      <c r="AN1" s="534"/>
      <c r="AO1" s="534"/>
      <c r="AP1" s="543"/>
      <c r="AQ1" s="547">
        <f>IF(作成日="","",作成日)</f>
        <v>42902</v>
      </c>
      <c r="AR1" s="548"/>
      <c r="AS1" s="548"/>
      <c r="AT1" s="549"/>
      <c r="AU1" s="533" t="s">
        <v>0</v>
      </c>
      <c r="AV1" s="534"/>
      <c r="AW1" s="534"/>
      <c r="AX1" s="535"/>
    </row>
    <row r="2" spans="1:50" s="72" customFormat="1" ht="12.6" customHeight="1">
      <c r="A2" s="516"/>
      <c r="B2" s="517"/>
      <c r="C2" s="517"/>
      <c r="D2" s="517"/>
      <c r="E2" s="517"/>
      <c r="F2" s="517"/>
      <c r="G2" s="518"/>
      <c r="H2" s="536" t="s">
        <v>56</v>
      </c>
      <c r="I2" s="537"/>
      <c r="J2" s="537"/>
      <c r="K2" s="538"/>
      <c r="L2" s="539" t="str">
        <f>IF(プロジェクト名="","",プロジェクト名)</f>
        <v>新基幹システム構築プロジェクト</v>
      </c>
      <c r="M2" s="540"/>
      <c r="N2" s="540"/>
      <c r="O2" s="540"/>
      <c r="P2" s="540"/>
      <c r="Q2" s="540"/>
      <c r="R2" s="541"/>
      <c r="S2" s="542" t="s">
        <v>57</v>
      </c>
      <c r="T2" s="537"/>
      <c r="U2" s="537"/>
      <c r="V2" s="538"/>
      <c r="W2" s="539" t="str">
        <f>IF(サブシステム="","",サブシステム)</f>
        <v>SCM</v>
      </c>
      <c r="X2" s="540"/>
      <c r="Y2" s="540"/>
      <c r="Z2" s="540"/>
      <c r="AA2" s="540"/>
      <c r="AB2" s="540"/>
      <c r="AC2" s="541"/>
      <c r="AD2" s="550" t="s">
        <v>10</v>
      </c>
      <c r="AE2" s="551"/>
      <c r="AF2" s="551"/>
      <c r="AG2" s="552"/>
      <c r="AH2" s="553" t="str">
        <f>IF(修正者="","",修正者)</f>
        <v>XX</v>
      </c>
      <c r="AI2" s="554"/>
      <c r="AJ2" s="554"/>
      <c r="AK2" s="554"/>
      <c r="AL2" s="555"/>
      <c r="AM2" s="556" t="s">
        <v>11</v>
      </c>
      <c r="AN2" s="557"/>
      <c r="AO2" s="557"/>
      <c r="AP2" s="558"/>
      <c r="AQ2" s="559">
        <f>IF(修正日="","",修正日)</f>
        <v>43007</v>
      </c>
      <c r="AR2" s="560"/>
      <c r="AS2" s="560"/>
      <c r="AT2" s="560"/>
      <c r="AU2" s="561" t="str">
        <f>IF(文書番号="","",文書番号)</f>
        <v>XX-XX-9999</v>
      </c>
      <c r="AV2" s="562"/>
      <c r="AW2" s="562"/>
      <c r="AX2" s="563"/>
    </row>
    <row r="3" spans="1:50" s="72" customFormat="1" ht="12.6" customHeight="1" thickBot="1">
      <c r="A3" s="519"/>
      <c r="B3" s="520"/>
      <c r="C3" s="520"/>
      <c r="D3" s="520"/>
      <c r="E3" s="520"/>
      <c r="F3" s="520"/>
      <c r="G3" s="521"/>
      <c r="H3" s="529" t="s">
        <v>13</v>
      </c>
      <c r="I3" s="529"/>
      <c r="J3" s="529"/>
      <c r="K3" s="530"/>
      <c r="L3" s="507" t="str">
        <f>IF(機能ID="","",機能ID)</f>
        <v>MSBCBA0040</v>
      </c>
      <c r="M3" s="531"/>
      <c r="N3" s="531"/>
      <c r="O3" s="531"/>
      <c r="P3" s="531"/>
      <c r="Q3" s="531"/>
      <c r="R3" s="531"/>
      <c r="S3" s="532" t="s">
        <v>14</v>
      </c>
      <c r="T3" s="529"/>
      <c r="U3" s="529"/>
      <c r="V3" s="530"/>
      <c r="W3" s="507" t="str">
        <f>IF(機能名="","",機能名)</f>
        <v>納期回答作成バッチ</v>
      </c>
      <c r="X3" s="508"/>
      <c r="Y3" s="508"/>
      <c r="Z3" s="508"/>
      <c r="AA3" s="508"/>
      <c r="AB3" s="508"/>
      <c r="AC3" s="508"/>
      <c r="AD3" s="508"/>
      <c r="AE3" s="508"/>
      <c r="AF3" s="508"/>
      <c r="AG3" s="508"/>
      <c r="AH3" s="508"/>
      <c r="AI3" s="508"/>
      <c r="AJ3" s="508"/>
      <c r="AK3" s="508"/>
      <c r="AL3" s="509"/>
      <c r="AM3" s="510" t="s">
        <v>12</v>
      </c>
      <c r="AN3" s="511"/>
      <c r="AO3" s="511"/>
      <c r="AP3" s="512"/>
      <c r="AQ3" s="504" t="str">
        <f>IF(Rev="","",Rev)</f>
        <v>r02.00</v>
      </c>
      <c r="AR3" s="505"/>
      <c r="AS3" s="505"/>
      <c r="AT3" s="506"/>
      <c r="AU3" s="564"/>
      <c r="AV3" s="565"/>
      <c r="AW3" s="565"/>
      <c r="AX3" s="566"/>
    </row>
    <row r="4" spans="1:50" ht="12.75" thickBot="1"/>
    <row r="5" spans="1:50" ht="12.75" thickBot="1">
      <c r="A5" s="28" t="s">
        <v>42</v>
      </c>
      <c r="B5" s="19"/>
      <c r="C5" s="19"/>
      <c r="D5" s="19"/>
      <c r="E5" s="19"/>
      <c r="F5" s="19"/>
      <c r="G5" s="19"/>
      <c r="H5" s="19"/>
      <c r="I5" s="19"/>
      <c r="J5" s="19"/>
      <c r="K5" s="19"/>
      <c r="L5" s="19"/>
      <c r="M5" s="19"/>
      <c r="N5" s="19"/>
      <c r="O5" s="19"/>
      <c r="P5" s="19"/>
      <c r="Q5" s="19"/>
      <c r="R5" s="19"/>
      <c r="S5" s="19"/>
      <c r="T5" s="19"/>
      <c r="U5" s="19"/>
      <c r="V5" s="19"/>
      <c r="W5" s="19"/>
      <c r="X5" s="19"/>
      <c r="Y5" s="29"/>
      <c r="Z5" s="19"/>
      <c r="AA5" s="19"/>
      <c r="AB5" s="19"/>
      <c r="AC5" s="19"/>
      <c r="AD5" s="19"/>
      <c r="AE5" s="19"/>
      <c r="AF5" s="19"/>
      <c r="AG5" s="19"/>
      <c r="AH5" s="19"/>
      <c r="AI5" s="19"/>
      <c r="AJ5" s="19"/>
      <c r="AK5" s="19"/>
      <c r="AL5" s="19"/>
      <c r="AM5" s="19"/>
      <c r="AN5" s="19"/>
      <c r="AO5" s="19"/>
      <c r="AP5" s="19"/>
      <c r="AQ5" s="19"/>
      <c r="AR5" s="19"/>
      <c r="AS5" s="19"/>
      <c r="AT5" s="19"/>
      <c r="AU5" s="19"/>
      <c r="AV5" s="19"/>
      <c r="AW5" s="567"/>
      <c r="AX5" s="568"/>
    </row>
    <row r="6" spans="1:50" ht="12.75" thickTop="1">
      <c r="A6" s="20"/>
      <c r="B6" s="21"/>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73"/>
      <c r="AX6" s="74"/>
    </row>
    <row r="7" spans="1:50">
      <c r="A7" s="20"/>
      <c r="B7" s="21"/>
      <c r="C7" s="21"/>
      <c r="D7" s="21"/>
      <c r="E7" s="21"/>
      <c r="F7" s="21"/>
      <c r="G7" s="21"/>
      <c r="H7" s="21"/>
      <c r="I7" s="21"/>
      <c r="J7" s="21"/>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c r="AM7" s="21"/>
      <c r="AN7" s="21"/>
      <c r="AO7" s="21"/>
      <c r="AP7" s="21"/>
      <c r="AQ7" s="21"/>
      <c r="AR7" s="21"/>
      <c r="AS7" s="21"/>
      <c r="AT7" s="21"/>
      <c r="AU7" s="21"/>
      <c r="AV7" s="21"/>
      <c r="AW7" s="75"/>
      <c r="AX7" s="76"/>
    </row>
    <row r="8" spans="1:50" ht="15.75">
      <c r="A8" s="20"/>
      <c r="B8" s="21"/>
      <c r="C8" s="21"/>
      <c r="D8" s="165" t="s">
        <v>169</v>
      </c>
      <c r="E8" s="165" t="s">
        <v>170</v>
      </c>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75"/>
      <c r="AX8" s="76"/>
    </row>
    <row r="9" spans="1:50">
      <c r="A9" s="20"/>
      <c r="B9" s="21"/>
      <c r="C9" s="21"/>
      <c r="D9" s="21"/>
      <c r="E9" s="21"/>
      <c r="F9" s="21"/>
      <c r="G9" s="21"/>
      <c r="H9" s="21"/>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c r="AM9" s="21"/>
      <c r="AN9" s="21"/>
      <c r="AO9" s="21"/>
      <c r="AP9" s="21"/>
      <c r="AQ9" s="21"/>
      <c r="AR9" s="21"/>
      <c r="AS9" s="21"/>
      <c r="AT9" s="21"/>
      <c r="AU9" s="21"/>
      <c r="AV9" s="21"/>
      <c r="AW9" s="75"/>
      <c r="AX9" s="76"/>
    </row>
    <row r="10" spans="1:50">
      <c r="A10" s="20"/>
      <c r="B10" s="21"/>
      <c r="C10" s="21"/>
      <c r="D10" s="21"/>
      <c r="E10" s="21"/>
      <c r="F10" s="21"/>
      <c r="G10" s="21"/>
      <c r="H10" s="21"/>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c r="AM10" s="21"/>
      <c r="AN10" s="21"/>
      <c r="AO10" s="21"/>
      <c r="AP10" s="21"/>
      <c r="AQ10" s="21"/>
      <c r="AR10" s="21"/>
      <c r="AS10" s="21"/>
      <c r="AT10" s="21"/>
      <c r="AU10" s="21"/>
      <c r="AV10" s="21"/>
      <c r="AW10" s="75"/>
      <c r="AX10" s="76"/>
    </row>
    <row r="11" spans="1:50">
      <c r="A11" s="20"/>
      <c r="B11" s="21"/>
      <c r="C11" s="21"/>
      <c r="D11" s="21"/>
      <c r="E11" s="21"/>
      <c r="F11" s="21"/>
      <c r="G11" s="21"/>
      <c r="H11" s="21"/>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c r="AM11" s="21"/>
      <c r="AN11" s="21"/>
      <c r="AO11" s="21"/>
      <c r="AP11" s="21"/>
      <c r="AQ11" s="21"/>
      <c r="AR11" s="21"/>
      <c r="AS11" s="21"/>
      <c r="AT11" s="21"/>
      <c r="AU11" s="21"/>
      <c r="AV11" s="21"/>
      <c r="AW11" s="75"/>
      <c r="AX11" s="76"/>
    </row>
    <row r="12" spans="1:50">
      <c r="A12" s="20"/>
      <c r="B12" s="21"/>
      <c r="C12" s="21"/>
      <c r="D12" s="21"/>
      <c r="E12" s="21"/>
      <c r="F12" s="21"/>
      <c r="G12" s="21"/>
      <c r="H12" s="21"/>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c r="AM12" s="21"/>
      <c r="AN12" s="21"/>
      <c r="AO12" s="21"/>
      <c r="AP12" s="21"/>
      <c r="AQ12" s="21"/>
      <c r="AR12" s="21"/>
      <c r="AS12" s="21"/>
      <c r="AT12" s="21"/>
      <c r="AU12" s="21"/>
      <c r="AV12" s="21"/>
      <c r="AW12" s="75"/>
      <c r="AX12" s="76"/>
    </row>
    <row r="13" spans="1:50">
      <c r="A13" s="20"/>
      <c r="B13" s="21"/>
      <c r="C13" s="21"/>
      <c r="D13" s="21"/>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c r="AO13" s="21"/>
      <c r="AP13" s="21"/>
      <c r="AQ13" s="21"/>
      <c r="AR13" s="21"/>
      <c r="AS13" s="21"/>
      <c r="AT13" s="21"/>
      <c r="AU13" s="21"/>
      <c r="AV13" s="21"/>
      <c r="AW13" s="75"/>
      <c r="AX13" s="76"/>
    </row>
    <row r="14" spans="1:50">
      <c r="A14" s="20"/>
      <c r="B14" s="21"/>
      <c r="C14" s="21"/>
      <c r="D14" s="21"/>
      <c r="E14" s="21"/>
      <c r="F14" s="21"/>
      <c r="G14" s="21"/>
      <c r="H14" s="21"/>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c r="AM14" s="21"/>
      <c r="AN14" s="21"/>
      <c r="AO14" s="21"/>
      <c r="AP14" s="21"/>
      <c r="AQ14" s="21"/>
      <c r="AR14" s="21"/>
      <c r="AS14" s="21"/>
      <c r="AT14" s="21"/>
      <c r="AU14" s="21"/>
      <c r="AV14" s="21"/>
      <c r="AW14" s="75"/>
      <c r="AX14" s="76"/>
    </row>
    <row r="15" spans="1:50">
      <c r="A15" s="20"/>
      <c r="B15" s="21"/>
      <c r="C15" s="21"/>
      <c r="D15" s="21"/>
      <c r="E15" s="21"/>
      <c r="F15" s="21"/>
      <c r="G15" s="21"/>
      <c r="H15" s="21"/>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c r="AM15" s="21"/>
      <c r="AN15" s="21"/>
      <c r="AO15" s="21"/>
      <c r="AP15" s="21"/>
      <c r="AQ15" s="21"/>
      <c r="AR15" s="21"/>
      <c r="AS15" s="21"/>
      <c r="AT15" s="21"/>
      <c r="AU15" s="21"/>
      <c r="AV15" s="21"/>
      <c r="AW15" s="75"/>
      <c r="AX15" s="76"/>
    </row>
    <row r="16" spans="1:50">
      <c r="A16" s="20"/>
      <c r="B16" s="21"/>
      <c r="C16" s="21"/>
      <c r="D16" s="21"/>
      <c r="E16" s="21"/>
      <c r="F16" s="21"/>
      <c r="G16" s="21"/>
      <c r="H16" s="21"/>
      <c r="I16" s="21"/>
      <c r="J16" s="21"/>
      <c r="K16" s="21"/>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c r="AM16" s="21"/>
      <c r="AN16" s="21"/>
      <c r="AO16" s="21"/>
      <c r="AP16" s="21"/>
      <c r="AQ16" s="21"/>
      <c r="AR16" s="21"/>
      <c r="AS16" s="21"/>
      <c r="AT16" s="21"/>
      <c r="AU16" s="21"/>
      <c r="AV16" s="21"/>
      <c r="AW16" s="75"/>
      <c r="AX16" s="76"/>
    </row>
    <row r="17" spans="1:50">
      <c r="A17" s="20"/>
      <c r="B17" s="21"/>
      <c r="C17" s="21"/>
      <c r="D17" s="21"/>
      <c r="E17" s="21"/>
      <c r="F17" s="21"/>
      <c r="G17" s="21"/>
      <c r="H17" s="21"/>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21"/>
      <c r="AR17" s="21"/>
      <c r="AS17" s="21"/>
      <c r="AT17" s="21"/>
      <c r="AU17" s="21"/>
      <c r="AV17" s="21"/>
      <c r="AW17" s="75"/>
      <c r="AX17" s="76"/>
    </row>
    <row r="18" spans="1:50">
      <c r="A18" s="20"/>
      <c r="B18" s="21"/>
      <c r="C18" s="21"/>
      <c r="D18" s="21"/>
      <c r="E18" s="21"/>
      <c r="F18" s="21"/>
      <c r="G18" s="21"/>
      <c r="H18" s="21"/>
      <c r="I18" s="21"/>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c r="AM18" s="21"/>
      <c r="AN18" s="21"/>
      <c r="AO18" s="21"/>
      <c r="AP18" s="21"/>
      <c r="AQ18" s="21"/>
      <c r="AR18" s="21"/>
      <c r="AS18" s="21"/>
      <c r="AT18" s="21"/>
      <c r="AU18" s="21"/>
      <c r="AV18" s="21"/>
      <c r="AW18" s="75"/>
      <c r="AX18" s="76"/>
    </row>
    <row r="19" spans="1:50">
      <c r="A19" s="20"/>
      <c r="B19" s="21"/>
      <c r="C19" s="21"/>
      <c r="D19" s="21"/>
      <c r="E19" s="21"/>
      <c r="F19" s="21"/>
      <c r="G19" s="21"/>
      <c r="H19" s="21"/>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c r="AM19" s="21"/>
      <c r="AN19" s="21"/>
      <c r="AO19" s="21"/>
      <c r="AP19" s="21"/>
      <c r="AQ19" s="21"/>
      <c r="AR19" s="21"/>
      <c r="AS19" s="21"/>
      <c r="AT19" s="21"/>
      <c r="AU19" s="21"/>
      <c r="AV19" s="21"/>
      <c r="AW19" s="75"/>
      <c r="AX19" s="76"/>
    </row>
    <row r="20" spans="1:50">
      <c r="A20" s="20"/>
      <c r="B20" s="21"/>
      <c r="C20" s="21"/>
      <c r="D20" s="21"/>
      <c r="E20" s="21"/>
      <c r="F20" s="21"/>
      <c r="G20" s="21"/>
      <c r="H20" s="21"/>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c r="AM20" s="21"/>
      <c r="AN20" s="21"/>
      <c r="AO20" s="21"/>
      <c r="AP20" s="21"/>
      <c r="AQ20" s="21"/>
      <c r="AR20" s="21"/>
      <c r="AS20" s="21"/>
      <c r="AT20" s="21"/>
      <c r="AU20" s="21"/>
      <c r="AV20" s="21"/>
      <c r="AW20" s="75"/>
      <c r="AX20" s="76"/>
    </row>
    <row r="21" spans="1:50">
      <c r="A21" s="20"/>
      <c r="B21" s="21"/>
      <c r="C21" s="21"/>
      <c r="D21" s="21"/>
      <c r="E21" s="21"/>
      <c r="F21" s="21"/>
      <c r="G21" s="21"/>
      <c r="H21" s="21"/>
      <c r="I21" s="21"/>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c r="AM21" s="21"/>
      <c r="AN21" s="21"/>
      <c r="AO21" s="21"/>
      <c r="AP21" s="21"/>
      <c r="AQ21" s="21"/>
      <c r="AR21" s="21"/>
      <c r="AS21" s="21"/>
      <c r="AT21" s="21"/>
      <c r="AU21" s="21"/>
      <c r="AV21" s="21"/>
      <c r="AW21" s="75"/>
      <c r="AX21" s="76"/>
    </row>
    <row r="22" spans="1:50">
      <c r="A22" s="20"/>
      <c r="B22" s="21"/>
      <c r="C22" s="21"/>
      <c r="D22" s="21"/>
      <c r="E22" s="21"/>
      <c r="F22" s="21"/>
      <c r="G22" s="21"/>
      <c r="H22" s="21"/>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c r="AM22" s="21"/>
      <c r="AN22" s="21"/>
      <c r="AO22" s="21"/>
      <c r="AP22" s="21"/>
      <c r="AQ22" s="21"/>
      <c r="AR22" s="21"/>
      <c r="AS22" s="21"/>
      <c r="AT22" s="21"/>
      <c r="AU22" s="21"/>
      <c r="AV22" s="21"/>
      <c r="AW22" s="75"/>
      <c r="AX22" s="76"/>
    </row>
    <row r="23" spans="1:50">
      <c r="A23" s="20"/>
      <c r="B23" s="21"/>
      <c r="C23" s="21"/>
      <c r="D23" s="21"/>
      <c r="E23" s="21"/>
      <c r="F23" s="21"/>
      <c r="G23" s="21"/>
      <c r="H23" s="21"/>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c r="AM23" s="21"/>
      <c r="AN23" s="21"/>
      <c r="AO23" s="21"/>
      <c r="AP23" s="21"/>
      <c r="AQ23" s="21"/>
      <c r="AR23" s="21"/>
      <c r="AS23" s="21"/>
      <c r="AT23" s="21"/>
      <c r="AU23" s="21"/>
      <c r="AV23" s="21"/>
      <c r="AW23" s="75"/>
      <c r="AX23" s="76"/>
    </row>
    <row r="24" spans="1:50">
      <c r="A24" s="20"/>
      <c r="B24" s="21"/>
      <c r="C24" s="21"/>
      <c r="D24" s="21"/>
      <c r="E24" s="21"/>
      <c r="F24" s="21"/>
      <c r="G24" s="21"/>
      <c r="H24" s="21"/>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c r="AM24" s="21"/>
      <c r="AN24" s="21"/>
      <c r="AO24" s="21"/>
      <c r="AP24" s="21"/>
      <c r="AQ24" s="21"/>
      <c r="AR24" s="21"/>
      <c r="AS24" s="21"/>
      <c r="AT24" s="21"/>
      <c r="AU24" s="21"/>
      <c r="AV24" s="21"/>
      <c r="AW24" s="75"/>
      <c r="AX24" s="76"/>
    </row>
    <row r="25" spans="1:50">
      <c r="A25" s="20"/>
      <c r="B25" s="21"/>
      <c r="C25" s="21"/>
      <c r="D25" s="21"/>
      <c r="E25" s="21"/>
      <c r="F25" s="21"/>
      <c r="G25" s="21"/>
      <c r="H25" s="21"/>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c r="AM25" s="21"/>
      <c r="AN25" s="21"/>
      <c r="AO25" s="21"/>
      <c r="AP25" s="21"/>
      <c r="AQ25" s="21"/>
      <c r="AR25" s="21"/>
      <c r="AS25" s="21"/>
      <c r="AT25" s="21"/>
      <c r="AU25" s="21"/>
      <c r="AV25" s="21"/>
      <c r="AW25" s="75"/>
      <c r="AX25" s="76"/>
    </row>
    <row r="26" spans="1:50">
      <c r="A26" s="20"/>
      <c r="B26" s="21"/>
      <c r="C26" s="21"/>
      <c r="D26" s="21"/>
      <c r="E26" s="21"/>
      <c r="F26" s="21"/>
      <c r="G26" s="21"/>
      <c r="H26" s="21"/>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c r="AM26" s="21"/>
      <c r="AN26" s="21"/>
      <c r="AO26" s="21"/>
      <c r="AP26" s="21"/>
      <c r="AQ26" s="21"/>
      <c r="AR26" s="21"/>
      <c r="AS26" s="21"/>
      <c r="AT26" s="21"/>
      <c r="AU26" s="21"/>
      <c r="AV26" s="21"/>
      <c r="AW26" s="75"/>
      <c r="AX26" s="76"/>
    </row>
    <row r="27" spans="1:50">
      <c r="A27" s="20"/>
      <c r="B27" s="21"/>
      <c r="C27" s="21"/>
      <c r="D27" s="21"/>
      <c r="E27" s="21"/>
      <c r="F27" s="21"/>
      <c r="G27" s="21"/>
      <c r="H27" s="21"/>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c r="AM27" s="21"/>
      <c r="AN27" s="21"/>
      <c r="AO27" s="21"/>
      <c r="AP27" s="21"/>
      <c r="AQ27" s="21"/>
      <c r="AR27" s="21"/>
      <c r="AS27" s="21"/>
      <c r="AT27" s="21"/>
      <c r="AU27" s="21"/>
      <c r="AV27" s="21"/>
      <c r="AW27" s="75"/>
      <c r="AX27" s="76"/>
    </row>
    <row r="28" spans="1:50">
      <c r="A28" s="20"/>
      <c r="B28" s="21"/>
      <c r="C28" s="21"/>
      <c r="D28" s="21"/>
      <c r="E28" s="21"/>
      <c r="F28" s="21"/>
      <c r="G28" s="21"/>
      <c r="H28" s="21"/>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c r="AM28" s="21"/>
      <c r="AN28" s="21"/>
      <c r="AO28" s="21"/>
      <c r="AP28" s="21"/>
      <c r="AQ28" s="21"/>
      <c r="AR28" s="21"/>
      <c r="AS28" s="21"/>
      <c r="AT28" s="21"/>
      <c r="AU28" s="21"/>
      <c r="AV28" s="21"/>
      <c r="AW28" s="75"/>
      <c r="AX28" s="76"/>
    </row>
    <row r="29" spans="1:50">
      <c r="A29" s="20"/>
      <c r="B29" s="21"/>
      <c r="C29" s="21"/>
      <c r="D29" s="21"/>
      <c r="E29" s="21"/>
      <c r="F29" s="21"/>
      <c r="G29" s="21"/>
      <c r="H29" s="21"/>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166"/>
      <c r="AK29" s="21"/>
      <c r="AL29" s="21"/>
      <c r="AM29" s="21"/>
      <c r="AN29" s="21"/>
      <c r="AO29" s="21"/>
      <c r="AP29" s="21"/>
      <c r="AQ29" s="21"/>
      <c r="AR29" s="21"/>
      <c r="AS29" s="21"/>
      <c r="AT29" s="21"/>
      <c r="AU29" s="21"/>
      <c r="AV29" s="21"/>
      <c r="AW29" s="75"/>
      <c r="AX29" s="76"/>
    </row>
    <row r="30" spans="1:50">
      <c r="A30" s="20"/>
      <c r="B30" s="21"/>
      <c r="C30" s="21"/>
      <c r="D30" s="21"/>
      <c r="E30" s="21"/>
      <c r="F30" s="21"/>
      <c r="G30" s="21"/>
      <c r="H30" s="21"/>
      <c r="I30" s="21"/>
      <c r="J30" s="21"/>
      <c r="K30" s="21"/>
      <c r="L30" s="21"/>
      <c r="M30" s="21"/>
      <c r="N30" s="21"/>
      <c r="O30" s="21"/>
      <c r="P30" s="21"/>
      <c r="Q30" s="21"/>
      <c r="R30" s="21"/>
      <c r="S30" s="21"/>
      <c r="T30" s="21"/>
      <c r="U30" s="21"/>
      <c r="V30" s="21"/>
      <c r="W30" s="21"/>
      <c r="X30" s="21"/>
      <c r="Y30" s="21"/>
      <c r="Z30" s="21"/>
      <c r="AA30" s="21"/>
      <c r="AB30" s="21"/>
      <c r="AC30" s="21"/>
      <c r="AD30" s="21"/>
      <c r="AE30" s="21"/>
      <c r="AF30" s="21"/>
      <c r="AG30" s="21"/>
      <c r="AH30" s="21"/>
      <c r="AI30" s="21"/>
      <c r="AJ30" s="21"/>
      <c r="AK30" s="21"/>
      <c r="AL30" s="21"/>
      <c r="AM30" s="21"/>
      <c r="AN30" s="21"/>
      <c r="AO30" s="21"/>
      <c r="AP30" s="21"/>
      <c r="AQ30" s="21"/>
      <c r="AR30" s="21"/>
      <c r="AS30" s="21"/>
      <c r="AT30" s="21"/>
      <c r="AU30" s="21"/>
      <c r="AV30" s="21"/>
      <c r="AW30" s="75"/>
      <c r="AX30" s="76"/>
    </row>
    <row r="31" spans="1:50">
      <c r="A31" s="20"/>
      <c r="B31" s="21"/>
      <c r="C31" s="21"/>
      <c r="D31" s="21"/>
      <c r="E31" s="21"/>
      <c r="F31" s="21"/>
      <c r="G31" s="21"/>
      <c r="H31" s="21"/>
      <c r="I31" s="21"/>
      <c r="J31" s="21"/>
      <c r="K31" s="21"/>
      <c r="L31" s="21"/>
      <c r="M31" s="21"/>
      <c r="N31" s="21"/>
      <c r="O31" s="21"/>
      <c r="P31" s="21"/>
      <c r="Q31" s="21"/>
      <c r="R31" s="21"/>
      <c r="S31" s="21"/>
      <c r="T31" s="21"/>
      <c r="U31" s="21"/>
      <c r="V31" s="21"/>
      <c r="W31" s="21"/>
      <c r="X31" s="21"/>
      <c r="Y31" s="21"/>
      <c r="Z31" s="21"/>
      <c r="AA31" s="21"/>
      <c r="AB31" s="21"/>
      <c r="AC31" s="21"/>
      <c r="AD31" s="21"/>
      <c r="AE31" s="21"/>
      <c r="AF31" s="21"/>
      <c r="AG31" s="21"/>
      <c r="AH31" s="21"/>
      <c r="AI31" s="21"/>
      <c r="AJ31" s="21"/>
      <c r="AK31" s="21"/>
      <c r="AL31" s="21"/>
      <c r="AM31" s="21"/>
      <c r="AN31" s="21"/>
      <c r="AO31" s="21"/>
      <c r="AP31" s="21"/>
      <c r="AQ31" s="21"/>
      <c r="AR31" s="21"/>
      <c r="AS31" s="21"/>
      <c r="AT31" s="21"/>
      <c r="AU31" s="21"/>
      <c r="AV31" s="21"/>
      <c r="AW31" s="75"/>
      <c r="AX31" s="76"/>
    </row>
    <row r="32" spans="1:50">
      <c r="A32" s="20"/>
      <c r="B32" s="21"/>
      <c r="C32" s="21"/>
      <c r="D32" s="21"/>
      <c r="E32" s="21"/>
      <c r="F32" s="21"/>
      <c r="G32" s="21"/>
      <c r="H32" s="21"/>
      <c r="I32" s="21"/>
      <c r="J32" s="21"/>
      <c r="K32" s="21"/>
      <c r="L32" s="21"/>
      <c r="M32" s="21"/>
      <c r="N32" s="21"/>
      <c r="O32" s="21"/>
      <c r="P32" s="21"/>
      <c r="Q32" s="21"/>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c r="AR32" s="21"/>
      <c r="AS32" s="21"/>
      <c r="AT32" s="21"/>
      <c r="AU32" s="21"/>
      <c r="AV32" s="21"/>
      <c r="AW32" s="75"/>
      <c r="AX32" s="76"/>
    </row>
    <row r="33" spans="1:50">
      <c r="A33" s="20"/>
      <c r="B33" s="21"/>
      <c r="C33" s="21"/>
      <c r="D33" s="21"/>
      <c r="E33" s="21"/>
      <c r="F33" s="21"/>
      <c r="G33" s="21"/>
      <c r="H33" s="21"/>
      <c r="I33" s="21"/>
      <c r="J33" s="21"/>
      <c r="K33" s="21"/>
      <c r="L33" s="21"/>
      <c r="M33" s="21"/>
      <c r="N33" s="21"/>
      <c r="O33" s="21"/>
      <c r="P33" s="21"/>
      <c r="Q33" s="21"/>
      <c r="R33" s="21"/>
      <c r="S33" s="21"/>
      <c r="T33" s="21"/>
      <c r="U33" s="21"/>
      <c r="V33" s="21"/>
      <c r="W33" s="21"/>
      <c r="X33" s="21"/>
      <c r="Y33" s="21"/>
      <c r="Z33" s="21"/>
      <c r="AA33" s="21"/>
      <c r="AB33" s="21"/>
      <c r="AC33" s="21"/>
      <c r="AD33" s="21"/>
      <c r="AE33" s="21"/>
      <c r="AF33" s="21"/>
      <c r="AG33" s="21"/>
      <c r="AH33" s="21"/>
      <c r="AI33" s="21"/>
      <c r="AJ33" s="21"/>
      <c r="AK33" s="21"/>
      <c r="AL33" s="21"/>
      <c r="AM33" s="21"/>
      <c r="AN33" s="21"/>
      <c r="AO33" s="21"/>
      <c r="AP33" s="21"/>
      <c r="AQ33" s="21"/>
      <c r="AR33" s="21"/>
      <c r="AS33" s="21"/>
      <c r="AT33" s="21"/>
      <c r="AU33" s="21"/>
      <c r="AV33" s="21"/>
      <c r="AW33" s="75"/>
      <c r="AX33" s="76"/>
    </row>
    <row r="34" spans="1:50">
      <c r="A34" s="20"/>
      <c r="B34" s="21"/>
      <c r="C34" s="21"/>
      <c r="D34" s="21"/>
      <c r="E34" s="21"/>
      <c r="F34" s="21"/>
      <c r="G34" s="21"/>
      <c r="H34" s="21"/>
      <c r="I34" s="21"/>
      <c r="J34" s="21"/>
      <c r="K34" s="21"/>
      <c r="L34" s="21"/>
      <c r="M34" s="21"/>
      <c r="N34" s="21"/>
      <c r="O34" s="21"/>
      <c r="P34" s="21"/>
      <c r="Q34" s="21"/>
      <c r="R34" s="21"/>
      <c r="S34" s="21"/>
      <c r="T34" s="21"/>
      <c r="U34" s="21"/>
      <c r="V34" s="21"/>
      <c r="W34" s="21"/>
      <c r="X34" s="21"/>
      <c r="Y34" s="21"/>
      <c r="Z34" s="21"/>
      <c r="AA34" s="21"/>
      <c r="AB34" s="21"/>
      <c r="AC34" s="21"/>
      <c r="AD34" s="21"/>
      <c r="AE34" s="21"/>
      <c r="AF34" s="21"/>
      <c r="AG34" s="21"/>
      <c r="AH34" s="21"/>
      <c r="AI34" s="21"/>
      <c r="AJ34" s="21"/>
      <c r="AK34" s="21"/>
      <c r="AL34" s="21"/>
      <c r="AM34" s="21"/>
      <c r="AN34" s="21"/>
      <c r="AO34" s="21"/>
      <c r="AP34" s="21"/>
      <c r="AQ34" s="21"/>
      <c r="AR34" s="21"/>
      <c r="AS34" s="21"/>
      <c r="AT34" s="21"/>
      <c r="AU34" s="21"/>
      <c r="AV34" s="21"/>
      <c r="AW34" s="75"/>
      <c r="AX34" s="76"/>
    </row>
    <row r="35" spans="1:50">
      <c r="A35" s="20"/>
      <c r="B35" s="21"/>
      <c r="C35" s="21"/>
      <c r="D35" s="21"/>
      <c r="E35" s="21"/>
      <c r="F35" s="21"/>
      <c r="G35" s="21"/>
      <c r="H35" s="21"/>
      <c r="I35" s="21"/>
      <c r="J35" s="21"/>
      <c r="K35" s="21"/>
      <c r="L35" s="21"/>
      <c r="M35" s="21"/>
      <c r="N35" s="21"/>
      <c r="O35" s="21"/>
      <c r="P35" s="21"/>
      <c r="Q35" s="21"/>
      <c r="R35" s="21"/>
      <c r="S35" s="21"/>
      <c r="T35" s="21"/>
      <c r="U35" s="21"/>
      <c r="V35" s="21"/>
      <c r="W35" s="21"/>
      <c r="X35" s="21"/>
      <c r="Y35" s="21"/>
      <c r="Z35" s="21"/>
      <c r="AA35" s="21"/>
      <c r="AB35" s="21"/>
      <c r="AC35" s="21"/>
      <c r="AD35" s="21"/>
      <c r="AE35" s="21"/>
      <c r="AF35" s="21"/>
      <c r="AG35" s="21"/>
      <c r="AH35" s="21"/>
      <c r="AI35" s="21"/>
      <c r="AJ35" s="21"/>
      <c r="AK35" s="21"/>
      <c r="AL35" s="21"/>
      <c r="AM35" s="21"/>
      <c r="AN35" s="21"/>
      <c r="AO35" s="21"/>
      <c r="AP35" s="21"/>
      <c r="AQ35" s="21"/>
      <c r="AR35" s="21"/>
      <c r="AS35" s="21"/>
      <c r="AT35" s="21"/>
      <c r="AU35" s="21"/>
      <c r="AV35" s="21"/>
      <c r="AW35" s="75"/>
      <c r="AX35" s="76"/>
    </row>
    <row r="36" spans="1:50">
      <c r="A36" s="20"/>
      <c r="B36" s="21"/>
      <c r="C36" s="21"/>
      <c r="D36" s="21"/>
      <c r="E36" s="21"/>
      <c r="F36" s="21"/>
      <c r="G36" s="21"/>
      <c r="H36" s="21"/>
      <c r="I36" s="21"/>
      <c r="J36" s="21"/>
      <c r="K36" s="21"/>
      <c r="L36" s="21"/>
      <c r="M36" s="21"/>
      <c r="N36" s="21"/>
      <c r="O36" s="21"/>
      <c r="P36" s="21"/>
      <c r="Q36" s="21"/>
      <c r="R36" s="21"/>
      <c r="S36" s="21"/>
      <c r="T36" s="21"/>
      <c r="U36" s="21"/>
      <c r="V36" s="21"/>
      <c r="W36" s="21"/>
      <c r="X36" s="21"/>
      <c r="Y36" s="21"/>
      <c r="Z36" s="21"/>
      <c r="AA36" s="21"/>
      <c r="AB36" s="21"/>
      <c r="AC36" s="21"/>
      <c r="AD36" s="21"/>
      <c r="AE36" s="21"/>
      <c r="AF36" s="21"/>
      <c r="AG36" s="21"/>
      <c r="AH36" s="21"/>
      <c r="AI36" s="21"/>
      <c r="AJ36" s="21"/>
      <c r="AK36" s="21"/>
      <c r="AL36" s="21"/>
      <c r="AM36" s="21"/>
      <c r="AN36" s="21"/>
      <c r="AO36" s="21"/>
      <c r="AP36" s="21"/>
      <c r="AQ36" s="21"/>
      <c r="AR36" s="21"/>
      <c r="AS36" s="21"/>
      <c r="AT36" s="21"/>
      <c r="AU36" s="21"/>
      <c r="AV36" s="21"/>
      <c r="AW36" s="75"/>
      <c r="AX36" s="76"/>
    </row>
    <row r="37" spans="1:50">
      <c r="A37" s="20"/>
      <c r="B37" s="21"/>
      <c r="C37" s="21"/>
      <c r="D37" s="21"/>
      <c r="E37" s="21"/>
      <c r="F37" s="21"/>
      <c r="G37" s="21"/>
      <c r="H37" s="21"/>
      <c r="I37" s="21"/>
      <c r="J37" s="21"/>
      <c r="K37" s="21"/>
      <c r="L37" s="21"/>
      <c r="M37" s="21"/>
      <c r="N37" s="21"/>
      <c r="O37" s="21"/>
      <c r="P37" s="21"/>
      <c r="Q37" s="21"/>
      <c r="R37" s="21"/>
      <c r="S37" s="21"/>
      <c r="T37" s="21"/>
      <c r="U37" s="21"/>
      <c r="V37" s="21"/>
      <c r="W37" s="21"/>
      <c r="X37" s="21"/>
      <c r="Y37" s="21"/>
      <c r="Z37" s="21"/>
      <c r="AA37" s="21"/>
      <c r="AB37" s="21"/>
      <c r="AC37" s="21"/>
      <c r="AD37" s="21"/>
      <c r="AE37" s="21"/>
      <c r="AF37" s="21"/>
      <c r="AG37" s="21"/>
      <c r="AH37" s="21"/>
      <c r="AI37" s="21"/>
      <c r="AJ37" s="21"/>
      <c r="AK37" s="21"/>
      <c r="AL37" s="21"/>
      <c r="AM37" s="21"/>
      <c r="AN37" s="21"/>
      <c r="AO37" s="21"/>
      <c r="AP37" s="21"/>
      <c r="AQ37" s="21"/>
      <c r="AR37" s="21"/>
      <c r="AS37" s="21"/>
      <c r="AT37" s="21"/>
      <c r="AU37" s="21"/>
      <c r="AV37" s="21"/>
      <c r="AW37" s="75"/>
      <c r="AX37" s="76"/>
    </row>
    <row r="38" spans="1:50">
      <c r="A38" s="20"/>
      <c r="B38" s="21"/>
      <c r="C38" s="21"/>
      <c r="D38" s="21"/>
      <c r="E38" s="21"/>
      <c r="F38" s="21"/>
      <c r="G38" s="21"/>
      <c r="H38" s="21"/>
      <c r="I38" s="21"/>
      <c r="J38" s="21"/>
      <c r="K38" s="21"/>
      <c r="L38" s="21"/>
      <c r="M38" s="21"/>
      <c r="N38" s="21"/>
      <c r="O38" s="21"/>
      <c r="P38" s="21"/>
      <c r="Q38" s="21"/>
      <c r="R38" s="21"/>
      <c r="S38" s="21"/>
      <c r="T38" s="21"/>
      <c r="U38" s="21"/>
      <c r="V38" s="21"/>
      <c r="W38" s="21"/>
      <c r="X38" s="21"/>
      <c r="Y38" s="21"/>
      <c r="Z38" s="21"/>
      <c r="AA38" s="21"/>
      <c r="AB38" s="21"/>
      <c r="AC38" s="21"/>
      <c r="AD38" s="21"/>
      <c r="AE38" s="21"/>
      <c r="AF38" s="21"/>
      <c r="AG38" s="21"/>
      <c r="AH38" s="21"/>
      <c r="AI38" s="21"/>
      <c r="AJ38" s="21"/>
      <c r="AK38" s="21"/>
      <c r="AL38" s="21"/>
      <c r="AM38" s="21"/>
      <c r="AN38" s="21"/>
      <c r="AO38" s="21"/>
      <c r="AP38" s="21"/>
      <c r="AQ38" s="21"/>
      <c r="AR38" s="21"/>
      <c r="AS38" s="21"/>
      <c r="AT38" s="21"/>
      <c r="AU38" s="21"/>
      <c r="AV38" s="21"/>
      <c r="AW38" s="75"/>
      <c r="AX38" s="76"/>
    </row>
    <row r="39" spans="1:50">
      <c r="A39" s="20"/>
      <c r="B39" s="21"/>
      <c r="C39" s="21"/>
      <c r="D39" s="21"/>
      <c r="E39" s="21"/>
      <c r="F39" s="21"/>
      <c r="G39" s="21"/>
      <c r="H39" s="21"/>
      <c r="I39" s="21"/>
      <c r="J39" s="21"/>
      <c r="K39" s="21"/>
      <c r="L39" s="21"/>
      <c r="M39" s="21"/>
      <c r="N39" s="21"/>
      <c r="O39" s="21"/>
      <c r="P39" s="21"/>
      <c r="Q39" s="21"/>
      <c r="R39" s="21"/>
      <c r="S39" s="21"/>
      <c r="T39" s="21"/>
      <c r="U39" s="21"/>
      <c r="V39" s="21"/>
      <c r="W39" s="21"/>
      <c r="X39" s="21"/>
      <c r="Y39" s="21"/>
      <c r="Z39" s="21"/>
      <c r="AA39" s="21"/>
      <c r="AB39" s="21"/>
      <c r="AC39" s="21"/>
      <c r="AD39" s="21"/>
      <c r="AE39" s="21"/>
      <c r="AF39" s="21"/>
      <c r="AG39" s="21"/>
      <c r="AH39" s="21"/>
      <c r="AI39" s="21"/>
      <c r="AJ39" s="21"/>
      <c r="AK39" s="21"/>
      <c r="AL39" s="21"/>
      <c r="AM39" s="21"/>
      <c r="AN39" s="21"/>
      <c r="AO39" s="21"/>
      <c r="AP39" s="21"/>
      <c r="AQ39" s="21"/>
      <c r="AR39" s="21"/>
      <c r="AS39" s="21"/>
      <c r="AT39" s="21"/>
      <c r="AU39" s="21"/>
      <c r="AV39" s="21"/>
      <c r="AW39" s="75"/>
      <c r="AX39" s="76"/>
    </row>
    <row r="40" spans="1:50">
      <c r="A40" s="20"/>
      <c r="B40" s="21"/>
      <c r="C40" s="21"/>
      <c r="D40" s="21"/>
      <c r="E40" s="21"/>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75"/>
      <c r="AX40" s="76"/>
    </row>
    <row r="41" spans="1:50">
      <c r="A41" s="20"/>
      <c r="B41" s="21"/>
      <c r="C41" s="21"/>
      <c r="D41" s="21"/>
      <c r="E41" s="21"/>
      <c r="F41" s="21"/>
      <c r="G41" s="21"/>
      <c r="H41" s="21"/>
      <c r="I41" s="21"/>
      <c r="J41" s="21"/>
      <c r="K41" s="21"/>
      <c r="L41" s="21"/>
      <c r="M41" s="21"/>
      <c r="N41" s="21"/>
      <c r="O41" s="21"/>
      <c r="P41" s="21"/>
      <c r="Q41" s="21"/>
      <c r="R41" s="21"/>
      <c r="S41" s="21"/>
      <c r="T41" s="21"/>
      <c r="U41" s="21"/>
      <c r="V41" s="21"/>
      <c r="W41" s="21"/>
      <c r="X41" s="21"/>
      <c r="Y41" s="21"/>
      <c r="Z41" s="21"/>
      <c r="AA41" s="21"/>
      <c r="AB41" s="21"/>
      <c r="AC41" s="21"/>
      <c r="AD41" s="21"/>
      <c r="AE41" s="21"/>
      <c r="AF41" s="21"/>
      <c r="AG41" s="21"/>
      <c r="AH41" s="21"/>
      <c r="AI41" s="21"/>
      <c r="AJ41" s="21"/>
      <c r="AK41" s="21"/>
      <c r="AL41" s="21"/>
      <c r="AM41" s="21"/>
      <c r="AN41" s="21"/>
      <c r="AO41" s="21"/>
      <c r="AP41" s="21"/>
      <c r="AQ41" s="21"/>
      <c r="AR41" s="21"/>
      <c r="AS41" s="21"/>
      <c r="AT41" s="21"/>
      <c r="AU41" s="21"/>
      <c r="AV41" s="21"/>
      <c r="AW41" s="75"/>
      <c r="AX41" s="76"/>
    </row>
    <row r="42" spans="1:50">
      <c r="A42" s="20"/>
      <c r="B42" s="21"/>
      <c r="C42" s="21"/>
      <c r="D42" s="21"/>
      <c r="E42" s="21"/>
      <c r="F42" s="21"/>
      <c r="G42" s="21"/>
      <c r="H42" s="21"/>
      <c r="I42" s="21"/>
      <c r="J42" s="21"/>
      <c r="K42" s="21"/>
      <c r="L42" s="21"/>
      <c r="M42" s="21"/>
      <c r="N42" s="21"/>
      <c r="O42" s="21"/>
      <c r="P42" s="21"/>
      <c r="Q42" s="21"/>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c r="AQ42" s="21"/>
      <c r="AR42" s="21"/>
      <c r="AS42" s="21"/>
      <c r="AT42" s="21"/>
      <c r="AU42" s="21"/>
      <c r="AV42" s="21"/>
      <c r="AW42" s="75"/>
      <c r="AX42" s="76"/>
    </row>
    <row r="43" spans="1:50">
      <c r="A43" s="20"/>
      <c r="B43" s="21"/>
      <c r="C43" s="21"/>
      <c r="D43" s="21"/>
      <c r="E43" s="21"/>
      <c r="F43" s="21"/>
      <c r="G43" s="21"/>
      <c r="H43" s="21"/>
      <c r="I43" s="21"/>
      <c r="J43" s="21"/>
      <c r="K43" s="21"/>
      <c r="L43" s="21"/>
      <c r="M43" s="21"/>
      <c r="N43" s="21"/>
      <c r="O43" s="21"/>
      <c r="P43" s="21"/>
      <c r="Q43" s="21"/>
      <c r="R43" s="21"/>
      <c r="S43" s="21"/>
      <c r="T43" s="21"/>
      <c r="U43" s="21"/>
      <c r="V43" s="21"/>
      <c r="W43" s="21"/>
      <c r="X43" s="21"/>
      <c r="Y43" s="21"/>
      <c r="Z43" s="21"/>
      <c r="AA43" s="21"/>
      <c r="AB43" s="21"/>
      <c r="AC43" s="21"/>
      <c r="AD43" s="21"/>
      <c r="AE43" s="21"/>
      <c r="AF43" s="21"/>
      <c r="AG43" s="21"/>
      <c r="AH43" s="21"/>
      <c r="AI43" s="21"/>
      <c r="AJ43" s="21"/>
      <c r="AK43" s="21"/>
      <c r="AL43" s="21"/>
      <c r="AM43" s="21"/>
      <c r="AN43" s="21"/>
      <c r="AO43" s="21"/>
      <c r="AP43" s="21"/>
      <c r="AQ43" s="21"/>
      <c r="AR43" s="21"/>
      <c r="AS43" s="21"/>
      <c r="AT43" s="21"/>
      <c r="AU43" s="21"/>
      <c r="AV43" s="21"/>
      <c r="AW43" s="75"/>
      <c r="AX43" s="76"/>
    </row>
    <row r="44" spans="1:50">
      <c r="A44" s="20"/>
      <c r="B44" s="21"/>
      <c r="C44" s="21"/>
      <c r="D44" s="21"/>
      <c r="E44" s="21"/>
      <c r="F44" s="21"/>
      <c r="G44" s="21"/>
      <c r="H44" s="21"/>
      <c r="I44" s="21"/>
      <c r="J44" s="21"/>
      <c r="K44" s="21"/>
      <c r="L44" s="21"/>
      <c r="M44" s="21"/>
      <c r="N44" s="21"/>
      <c r="O44" s="21"/>
      <c r="P44" s="21"/>
      <c r="Q44" s="21"/>
      <c r="R44" s="21"/>
      <c r="S44" s="21"/>
      <c r="T44" s="21"/>
      <c r="U44" s="21"/>
      <c r="V44" s="21"/>
      <c r="W44" s="21"/>
      <c r="X44" s="21"/>
      <c r="Y44" s="21"/>
      <c r="Z44" s="21"/>
      <c r="AA44" s="21"/>
      <c r="AB44" s="21"/>
      <c r="AC44" s="21"/>
      <c r="AD44" s="21"/>
      <c r="AE44" s="21"/>
      <c r="AF44" s="21"/>
      <c r="AG44" s="21"/>
      <c r="AH44" s="21"/>
      <c r="AI44" s="21"/>
      <c r="AJ44" s="21"/>
      <c r="AK44" s="21"/>
      <c r="AL44" s="21"/>
      <c r="AM44" s="21"/>
      <c r="AN44" s="21"/>
      <c r="AO44" s="21"/>
      <c r="AP44" s="21"/>
      <c r="AQ44" s="21"/>
      <c r="AR44" s="21"/>
      <c r="AS44" s="21"/>
      <c r="AT44" s="21"/>
      <c r="AU44" s="21"/>
      <c r="AV44" s="21"/>
      <c r="AW44" s="75"/>
      <c r="AX44" s="76"/>
    </row>
    <row r="45" spans="1:50" s="4" customFormat="1">
      <c r="A45" s="20"/>
      <c r="B45" s="21"/>
      <c r="C45" s="21"/>
      <c r="D45" s="21"/>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c r="AO45" s="21"/>
      <c r="AP45" s="21"/>
      <c r="AQ45" s="21"/>
      <c r="AR45" s="21"/>
      <c r="AS45" s="21"/>
      <c r="AT45" s="21"/>
      <c r="AU45" s="21"/>
      <c r="AV45" s="21"/>
      <c r="AW45" s="75"/>
      <c r="AX45" s="76"/>
    </row>
    <row r="46" spans="1:50" s="4" customFormat="1">
      <c r="A46" s="20"/>
      <c r="B46" s="21"/>
      <c r="C46" s="21"/>
      <c r="D46" s="21"/>
      <c r="E46" s="21"/>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c r="AE46" s="21"/>
      <c r="AF46" s="21"/>
      <c r="AG46" s="21"/>
      <c r="AH46" s="21"/>
      <c r="AI46" s="21"/>
      <c r="AJ46" s="21"/>
      <c r="AK46" s="21"/>
      <c r="AL46" s="21"/>
      <c r="AM46" s="21"/>
      <c r="AN46" s="21"/>
      <c r="AO46" s="21"/>
      <c r="AP46" s="21"/>
      <c r="AQ46" s="21"/>
      <c r="AR46" s="21"/>
      <c r="AS46" s="21"/>
      <c r="AT46" s="21"/>
      <c r="AU46" s="21"/>
      <c r="AV46" s="21"/>
      <c r="AW46" s="75"/>
      <c r="AX46" s="76"/>
    </row>
    <row r="47" spans="1:50" s="4" customFormat="1">
      <c r="A47" s="20"/>
      <c r="B47" s="21"/>
      <c r="C47" s="21"/>
      <c r="D47" s="21"/>
      <c r="E47" s="21"/>
      <c r="F47" s="21"/>
      <c r="G47" s="21"/>
      <c r="H47" s="21"/>
      <c r="I47" s="21"/>
      <c r="J47" s="21"/>
      <c r="K47" s="21"/>
      <c r="L47" s="21"/>
      <c r="M47" s="21"/>
      <c r="N47" s="21"/>
      <c r="O47" s="21"/>
      <c r="P47" s="21"/>
      <c r="Q47" s="21"/>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c r="AQ47" s="21"/>
      <c r="AR47" s="21"/>
      <c r="AS47" s="21"/>
      <c r="AT47" s="21"/>
      <c r="AU47" s="21"/>
      <c r="AV47" s="21"/>
      <c r="AW47" s="75"/>
      <c r="AX47" s="76"/>
    </row>
    <row r="48" spans="1:50" s="4" customFormat="1">
      <c r="A48" s="20"/>
      <c r="B48" s="21"/>
      <c r="C48" s="21"/>
      <c r="D48" s="21"/>
      <c r="E48" s="21"/>
      <c r="F48" s="21"/>
      <c r="G48" s="21"/>
      <c r="H48" s="21"/>
      <c r="I48" s="21"/>
      <c r="J48" s="21"/>
      <c r="K48" s="21"/>
      <c r="L48" s="21"/>
      <c r="M48" s="21"/>
      <c r="N48" s="21"/>
      <c r="O48" s="21"/>
      <c r="P48" s="21"/>
      <c r="Q48" s="21"/>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c r="AV48" s="21"/>
      <c r="AW48" s="75"/>
      <c r="AX48" s="76"/>
    </row>
    <row r="49" spans="1:50" s="4" customFormat="1">
      <c r="A49" s="20"/>
      <c r="B49" s="21"/>
      <c r="C49" s="21"/>
      <c r="D49" s="21"/>
      <c r="E49" s="21"/>
      <c r="F49" s="21"/>
      <c r="G49" s="21"/>
      <c r="H49" s="21"/>
      <c r="I49" s="21"/>
      <c r="J49" s="21"/>
      <c r="K49" s="21"/>
      <c r="L49" s="21"/>
      <c r="M49" s="21"/>
      <c r="N49" s="21"/>
      <c r="O49" s="21"/>
      <c r="P49" s="21"/>
      <c r="Q49" s="21"/>
      <c r="R49" s="21"/>
      <c r="S49" s="21"/>
      <c r="T49" s="21"/>
      <c r="U49" s="21"/>
      <c r="V49" s="21"/>
      <c r="W49" s="21"/>
      <c r="X49" s="21"/>
      <c r="Y49" s="21"/>
      <c r="Z49" s="21"/>
      <c r="AA49" s="21"/>
      <c r="AB49" s="21"/>
      <c r="AC49" s="21"/>
      <c r="AD49" s="21"/>
      <c r="AE49" s="21"/>
      <c r="AF49" s="21"/>
      <c r="AG49" s="21"/>
      <c r="AH49" s="21"/>
      <c r="AI49" s="21"/>
      <c r="AJ49" s="21"/>
      <c r="AK49" s="21"/>
      <c r="AL49" s="21"/>
      <c r="AM49" s="21"/>
      <c r="AN49" s="21"/>
      <c r="AO49" s="21"/>
      <c r="AP49" s="21"/>
      <c r="AQ49" s="21"/>
      <c r="AR49" s="21"/>
      <c r="AS49" s="21"/>
      <c r="AT49" s="21"/>
      <c r="AU49" s="21"/>
      <c r="AV49" s="21"/>
      <c r="AW49" s="75"/>
      <c r="AX49" s="76"/>
    </row>
    <row r="50" spans="1:50" s="4" customFormat="1">
      <c r="A50" s="20"/>
      <c r="B50" s="21"/>
      <c r="C50" s="21"/>
      <c r="D50" s="21"/>
      <c r="E50" s="21"/>
      <c r="F50" s="21"/>
      <c r="G50" s="21"/>
      <c r="H50" s="21"/>
      <c r="I50" s="21"/>
      <c r="J50" s="21"/>
      <c r="K50" s="21"/>
      <c r="L50" s="21"/>
      <c r="M50" s="21"/>
      <c r="N50" s="21"/>
      <c r="O50" s="21"/>
      <c r="P50" s="21"/>
      <c r="Q50" s="21"/>
      <c r="R50" s="21"/>
      <c r="S50" s="21"/>
      <c r="T50" s="21"/>
      <c r="U50" s="21"/>
      <c r="V50" s="21"/>
      <c r="W50" s="21"/>
      <c r="X50" s="21"/>
      <c r="Y50" s="21"/>
      <c r="Z50" s="21"/>
      <c r="AA50" s="21"/>
      <c r="AB50" s="21"/>
      <c r="AC50" s="21"/>
      <c r="AD50" s="21"/>
      <c r="AE50" s="21"/>
      <c r="AF50" s="21"/>
      <c r="AG50" s="21"/>
      <c r="AH50" s="21"/>
      <c r="AI50" s="21"/>
      <c r="AJ50" s="21"/>
      <c r="AK50" s="21"/>
      <c r="AL50" s="21"/>
      <c r="AM50" s="21"/>
      <c r="AN50" s="21"/>
      <c r="AO50" s="21"/>
      <c r="AP50" s="21"/>
      <c r="AQ50" s="21"/>
      <c r="AR50" s="21"/>
      <c r="AS50" s="21"/>
      <c r="AT50" s="21"/>
      <c r="AU50" s="21"/>
      <c r="AV50" s="21"/>
      <c r="AW50" s="75"/>
      <c r="AX50" s="76"/>
    </row>
    <row r="51" spans="1:50" s="4" customFormat="1">
      <c r="A51" s="20"/>
      <c r="B51" s="21"/>
      <c r="C51" s="21"/>
      <c r="D51" s="21"/>
      <c r="E51" s="21"/>
      <c r="F51" s="21"/>
      <c r="G51" s="21"/>
      <c r="H51" s="21"/>
      <c r="I51" s="21"/>
      <c r="J51" s="21"/>
      <c r="K51" s="21"/>
      <c r="L51" s="21"/>
      <c r="M51" s="21"/>
      <c r="N51" s="21"/>
      <c r="O51" s="21"/>
      <c r="P51" s="21"/>
      <c r="Q51" s="21"/>
      <c r="R51" s="21"/>
      <c r="S51" s="21"/>
      <c r="T51" s="21"/>
      <c r="U51" s="21"/>
      <c r="V51" s="21"/>
      <c r="W51" s="21"/>
      <c r="X51" s="21"/>
      <c r="Y51" s="21"/>
      <c r="Z51" s="21"/>
      <c r="AA51" s="21"/>
      <c r="AB51" s="21"/>
      <c r="AC51" s="21"/>
      <c r="AD51" s="21"/>
      <c r="AE51" s="21"/>
      <c r="AF51" s="21"/>
      <c r="AG51" s="21"/>
      <c r="AH51" s="21"/>
      <c r="AI51" s="21"/>
      <c r="AJ51" s="21"/>
      <c r="AK51" s="21"/>
      <c r="AL51" s="21"/>
      <c r="AM51" s="21"/>
      <c r="AN51" s="21"/>
      <c r="AO51" s="21"/>
      <c r="AP51" s="21"/>
      <c r="AQ51" s="21"/>
      <c r="AR51" s="21"/>
      <c r="AS51" s="21"/>
      <c r="AT51" s="21"/>
      <c r="AU51" s="21"/>
      <c r="AV51" s="21"/>
      <c r="AW51" s="75"/>
      <c r="AX51" s="76"/>
    </row>
    <row r="52" spans="1:50" s="4" customFormat="1">
      <c r="A52" s="20"/>
      <c r="B52" s="21"/>
      <c r="C52" s="21"/>
      <c r="D52" s="21"/>
      <c r="E52" s="21"/>
      <c r="F52" s="21"/>
      <c r="G52" s="21"/>
      <c r="H52" s="21"/>
      <c r="I52" s="21"/>
      <c r="J52" s="21"/>
      <c r="K52" s="21"/>
      <c r="L52" s="21"/>
      <c r="M52" s="21"/>
      <c r="N52" s="21"/>
      <c r="O52" s="21"/>
      <c r="P52" s="21"/>
      <c r="Q52" s="21"/>
      <c r="R52" s="21"/>
      <c r="S52" s="21"/>
      <c r="T52" s="21"/>
      <c r="U52" s="21"/>
      <c r="V52" s="21"/>
      <c r="W52" s="21"/>
      <c r="X52" s="21"/>
      <c r="Y52" s="21"/>
      <c r="Z52" s="21"/>
      <c r="AA52" s="21"/>
      <c r="AB52" s="21"/>
      <c r="AC52" s="21"/>
      <c r="AD52" s="21"/>
      <c r="AE52" s="21"/>
      <c r="AF52" s="21"/>
      <c r="AG52" s="21"/>
      <c r="AH52" s="21"/>
      <c r="AI52" s="21"/>
      <c r="AJ52" s="21"/>
      <c r="AK52" s="21"/>
      <c r="AL52" s="21"/>
      <c r="AM52" s="21"/>
      <c r="AN52" s="21"/>
      <c r="AO52" s="21"/>
      <c r="AP52" s="21"/>
      <c r="AQ52" s="21"/>
      <c r="AR52" s="21"/>
      <c r="AS52" s="21"/>
      <c r="AT52" s="21"/>
      <c r="AU52" s="21"/>
      <c r="AV52" s="21"/>
      <c r="AW52" s="75"/>
      <c r="AX52" s="76"/>
    </row>
    <row r="53" spans="1:50" s="4" customFormat="1">
      <c r="A53" s="20"/>
      <c r="B53" s="21"/>
      <c r="C53" s="21"/>
      <c r="D53" s="21"/>
      <c r="E53" s="21"/>
      <c r="F53" s="21"/>
      <c r="G53" s="21"/>
      <c r="H53" s="21"/>
      <c r="I53" s="21"/>
      <c r="J53" s="21"/>
      <c r="K53" s="21"/>
      <c r="L53" s="21"/>
      <c r="M53" s="21"/>
      <c r="N53" s="21"/>
      <c r="O53" s="21"/>
      <c r="P53" s="21"/>
      <c r="Q53" s="21"/>
      <c r="R53" s="21"/>
      <c r="S53" s="21"/>
      <c r="T53" s="21"/>
      <c r="U53" s="21"/>
      <c r="V53" s="21"/>
      <c r="W53" s="21"/>
      <c r="X53" s="21"/>
      <c r="Y53" s="21"/>
      <c r="Z53" s="21"/>
      <c r="AA53" s="21"/>
      <c r="AB53" s="21"/>
      <c r="AC53" s="21"/>
      <c r="AD53" s="21"/>
      <c r="AE53" s="21"/>
      <c r="AF53" s="21"/>
      <c r="AG53" s="21"/>
      <c r="AH53" s="21"/>
      <c r="AI53" s="21"/>
      <c r="AJ53" s="21"/>
      <c r="AK53" s="21"/>
      <c r="AL53" s="21"/>
      <c r="AM53" s="21"/>
      <c r="AN53" s="21"/>
      <c r="AO53" s="21"/>
      <c r="AP53" s="21"/>
      <c r="AQ53" s="21"/>
      <c r="AR53" s="21"/>
      <c r="AS53" s="21"/>
      <c r="AT53" s="21"/>
      <c r="AU53" s="21"/>
      <c r="AV53" s="21"/>
      <c r="AW53" s="75"/>
      <c r="AX53" s="76"/>
    </row>
    <row r="54" spans="1:50" ht="12.75" thickBot="1">
      <c r="A54" s="22"/>
      <c r="B54" s="23"/>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77"/>
      <c r="AX54" s="78"/>
    </row>
  </sheetData>
  <mergeCells count="26">
    <mergeCell ref="AW5:AX5"/>
    <mergeCell ref="AD1:AG1"/>
    <mergeCell ref="AH1:AL1"/>
    <mergeCell ref="AM1:AP1"/>
    <mergeCell ref="AQ1:AT1"/>
    <mergeCell ref="AU1:AX1"/>
    <mergeCell ref="AH2:AL2"/>
    <mergeCell ref="AM2:AP2"/>
    <mergeCell ref="AQ2:AT2"/>
    <mergeCell ref="AU2:AX3"/>
    <mergeCell ref="AM3:AP3"/>
    <mergeCell ref="AQ3:AT3"/>
    <mergeCell ref="A1:G3"/>
    <mergeCell ref="H1:K1"/>
    <mergeCell ref="L1:R1"/>
    <mergeCell ref="S1:V1"/>
    <mergeCell ref="W1:AC1"/>
    <mergeCell ref="H2:K2"/>
    <mergeCell ref="L2:R2"/>
    <mergeCell ref="S2:V2"/>
    <mergeCell ref="W2:AC2"/>
    <mergeCell ref="H3:K3"/>
    <mergeCell ref="L3:R3"/>
    <mergeCell ref="S3:V3"/>
    <mergeCell ref="W3:AL3"/>
    <mergeCell ref="AD2:AG2"/>
  </mergeCells>
  <phoneticPr fontId="2"/>
  <dataValidations count="1">
    <dataValidation imeMode="off" allowBlank="1" showInputMessage="1" showErrorMessage="1" sqref="AW6:AX54"/>
  </dataValidations>
  <pageMargins left="0.39370078740157483" right="0.39370078740157483" top="0.51181102362204722" bottom="0.51181102362204722" header="0.31496062992125984" footer="0.31496062992125984"/>
  <pageSetup paperSize="9" fitToHeight="0" orientation="landscape" horizontalDpi="200" verticalDpi="200" r:id="rId1"/>
  <headerFooter alignWithMargins="0">
    <oddFooter>&amp;L&amp;A&amp;C&amp;P/&amp;N&amp;R©Toyo Business Engineering Corp.(B-EN-G) / Confidential</oddFooter>
  </headerFooter>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CCFF"/>
    <pageSetUpPr fitToPage="1"/>
  </sheetPr>
  <dimension ref="A1:AZ254"/>
  <sheetViews>
    <sheetView showGridLines="0" topLeftCell="A229" zoomScaleNormal="100" zoomScaleSheetLayoutView="100" workbookViewId="0">
      <selection activeCell="AL270" sqref="AL269:AL270"/>
    </sheetView>
  </sheetViews>
  <sheetFormatPr defaultRowHeight="11.25"/>
  <cols>
    <col min="1" max="50" width="3.33203125" style="87" customWidth="1"/>
    <col min="51" max="51" width="1.5" style="87" customWidth="1"/>
    <col min="52" max="256" width="9.33203125" style="87"/>
    <col min="257" max="306" width="3.33203125" style="87" customWidth="1"/>
    <col min="307" max="307" width="1.5" style="87" customWidth="1"/>
    <col min="308" max="512" width="9.33203125" style="87"/>
    <col min="513" max="562" width="3.33203125" style="87" customWidth="1"/>
    <col min="563" max="563" width="1.5" style="87" customWidth="1"/>
    <col min="564" max="768" width="9.33203125" style="87"/>
    <col min="769" max="818" width="3.33203125" style="87" customWidth="1"/>
    <col min="819" max="819" width="1.5" style="87" customWidth="1"/>
    <col min="820" max="1024" width="9.33203125" style="87"/>
    <col min="1025" max="1074" width="3.33203125" style="87" customWidth="1"/>
    <col min="1075" max="1075" width="1.5" style="87" customWidth="1"/>
    <col min="1076" max="1280" width="9.33203125" style="87"/>
    <col min="1281" max="1330" width="3.33203125" style="87" customWidth="1"/>
    <col min="1331" max="1331" width="1.5" style="87" customWidth="1"/>
    <col min="1332" max="1536" width="9.33203125" style="87"/>
    <col min="1537" max="1586" width="3.33203125" style="87" customWidth="1"/>
    <col min="1587" max="1587" width="1.5" style="87" customWidth="1"/>
    <col min="1588" max="1792" width="9.33203125" style="87"/>
    <col min="1793" max="1842" width="3.33203125" style="87" customWidth="1"/>
    <col min="1843" max="1843" width="1.5" style="87" customWidth="1"/>
    <col min="1844" max="2048" width="9.33203125" style="87"/>
    <col min="2049" max="2098" width="3.33203125" style="87" customWidth="1"/>
    <col min="2099" max="2099" width="1.5" style="87" customWidth="1"/>
    <col min="2100" max="2304" width="9.33203125" style="87"/>
    <col min="2305" max="2354" width="3.33203125" style="87" customWidth="1"/>
    <col min="2355" max="2355" width="1.5" style="87" customWidth="1"/>
    <col min="2356" max="2560" width="9.33203125" style="87"/>
    <col min="2561" max="2610" width="3.33203125" style="87" customWidth="1"/>
    <col min="2611" max="2611" width="1.5" style="87" customWidth="1"/>
    <col min="2612" max="2816" width="9.33203125" style="87"/>
    <col min="2817" max="2866" width="3.33203125" style="87" customWidth="1"/>
    <col min="2867" max="2867" width="1.5" style="87" customWidth="1"/>
    <col min="2868" max="3072" width="9.33203125" style="87"/>
    <col min="3073" max="3122" width="3.33203125" style="87" customWidth="1"/>
    <col min="3123" max="3123" width="1.5" style="87" customWidth="1"/>
    <col min="3124" max="3328" width="9.33203125" style="87"/>
    <col min="3329" max="3378" width="3.33203125" style="87" customWidth="1"/>
    <col min="3379" max="3379" width="1.5" style="87" customWidth="1"/>
    <col min="3380" max="3584" width="9.33203125" style="87"/>
    <col min="3585" max="3634" width="3.33203125" style="87" customWidth="1"/>
    <col min="3635" max="3635" width="1.5" style="87" customWidth="1"/>
    <col min="3636" max="3840" width="9.33203125" style="87"/>
    <col min="3841" max="3890" width="3.33203125" style="87" customWidth="1"/>
    <col min="3891" max="3891" width="1.5" style="87" customWidth="1"/>
    <col min="3892" max="4096" width="9.33203125" style="87"/>
    <col min="4097" max="4146" width="3.33203125" style="87" customWidth="1"/>
    <col min="4147" max="4147" width="1.5" style="87" customWidth="1"/>
    <col min="4148" max="4352" width="9.33203125" style="87"/>
    <col min="4353" max="4402" width="3.33203125" style="87" customWidth="1"/>
    <col min="4403" max="4403" width="1.5" style="87" customWidth="1"/>
    <col min="4404" max="4608" width="9.33203125" style="87"/>
    <col min="4609" max="4658" width="3.33203125" style="87" customWidth="1"/>
    <col min="4659" max="4659" width="1.5" style="87" customWidth="1"/>
    <col min="4660" max="4864" width="9.33203125" style="87"/>
    <col min="4865" max="4914" width="3.33203125" style="87" customWidth="1"/>
    <col min="4915" max="4915" width="1.5" style="87" customWidth="1"/>
    <col min="4916" max="5120" width="9.33203125" style="87"/>
    <col min="5121" max="5170" width="3.33203125" style="87" customWidth="1"/>
    <col min="5171" max="5171" width="1.5" style="87" customWidth="1"/>
    <col min="5172" max="5376" width="9.33203125" style="87"/>
    <col min="5377" max="5426" width="3.33203125" style="87" customWidth="1"/>
    <col min="5427" max="5427" width="1.5" style="87" customWidth="1"/>
    <col min="5428" max="5632" width="9.33203125" style="87"/>
    <col min="5633" max="5682" width="3.33203125" style="87" customWidth="1"/>
    <col min="5683" max="5683" width="1.5" style="87" customWidth="1"/>
    <col min="5684" max="5888" width="9.33203125" style="87"/>
    <col min="5889" max="5938" width="3.33203125" style="87" customWidth="1"/>
    <col min="5939" max="5939" width="1.5" style="87" customWidth="1"/>
    <col min="5940" max="6144" width="9.33203125" style="87"/>
    <col min="6145" max="6194" width="3.33203125" style="87" customWidth="1"/>
    <col min="6195" max="6195" width="1.5" style="87" customWidth="1"/>
    <col min="6196" max="6400" width="9.33203125" style="87"/>
    <col min="6401" max="6450" width="3.33203125" style="87" customWidth="1"/>
    <col min="6451" max="6451" width="1.5" style="87" customWidth="1"/>
    <col min="6452" max="6656" width="9.33203125" style="87"/>
    <col min="6657" max="6706" width="3.33203125" style="87" customWidth="1"/>
    <col min="6707" max="6707" width="1.5" style="87" customWidth="1"/>
    <col min="6708" max="6912" width="9.33203125" style="87"/>
    <col min="6913" max="6962" width="3.33203125" style="87" customWidth="1"/>
    <col min="6963" max="6963" width="1.5" style="87" customWidth="1"/>
    <col min="6964" max="7168" width="9.33203125" style="87"/>
    <col min="7169" max="7218" width="3.33203125" style="87" customWidth="1"/>
    <col min="7219" max="7219" width="1.5" style="87" customWidth="1"/>
    <col min="7220" max="7424" width="9.33203125" style="87"/>
    <col min="7425" max="7474" width="3.33203125" style="87" customWidth="1"/>
    <col min="7475" max="7475" width="1.5" style="87" customWidth="1"/>
    <col min="7476" max="7680" width="9.33203125" style="87"/>
    <col min="7681" max="7730" width="3.33203125" style="87" customWidth="1"/>
    <col min="7731" max="7731" width="1.5" style="87" customWidth="1"/>
    <col min="7732" max="7936" width="9.33203125" style="87"/>
    <col min="7937" max="7986" width="3.33203125" style="87" customWidth="1"/>
    <col min="7987" max="7987" width="1.5" style="87" customWidth="1"/>
    <col min="7988" max="8192" width="9.33203125" style="87"/>
    <col min="8193" max="8242" width="3.33203125" style="87" customWidth="1"/>
    <col min="8243" max="8243" width="1.5" style="87" customWidth="1"/>
    <col min="8244" max="8448" width="9.33203125" style="87"/>
    <col min="8449" max="8498" width="3.33203125" style="87" customWidth="1"/>
    <col min="8499" max="8499" width="1.5" style="87" customWidth="1"/>
    <col min="8500" max="8704" width="9.33203125" style="87"/>
    <col min="8705" max="8754" width="3.33203125" style="87" customWidth="1"/>
    <col min="8755" max="8755" width="1.5" style="87" customWidth="1"/>
    <col min="8756" max="8960" width="9.33203125" style="87"/>
    <col min="8961" max="9010" width="3.33203125" style="87" customWidth="1"/>
    <col min="9011" max="9011" width="1.5" style="87" customWidth="1"/>
    <col min="9012" max="9216" width="9.33203125" style="87"/>
    <col min="9217" max="9266" width="3.33203125" style="87" customWidth="1"/>
    <col min="9267" max="9267" width="1.5" style="87" customWidth="1"/>
    <col min="9268" max="9472" width="9.33203125" style="87"/>
    <col min="9473" max="9522" width="3.33203125" style="87" customWidth="1"/>
    <col min="9523" max="9523" width="1.5" style="87" customWidth="1"/>
    <col min="9524" max="9728" width="9.33203125" style="87"/>
    <col min="9729" max="9778" width="3.33203125" style="87" customWidth="1"/>
    <col min="9779" max="9779" width="1.5" style="87" customWidth="1"/>
    <col min="9780" max="9984" width="9.33203125" style="87"/>
    <col min="9985" max="10034" width="3.33203125" style="87" customWidth="1"/>
    <col min="10035" max="10035" width="1.5" style="87" customWidth="1"/>
    <col min="10036" max="10240" width="9.33203125" style="87"/>
    <col min="10241" max="10290" width="3.33203125" style="87" customWidth="1"/>
    <col min="10291" max="10291" width="1.5" style="87" customWidth="1"/>
    <col min="10292" max="10496" width="9.33203125" style="87"/>
    <col min="10497" max="10546" width="3.33203125" style="87" customWidth="1"/>
    <col min="10547" max="10547" width="1.5" style="87" customWidth="1"/>
    <col min="10548" max="10752" width="9.33203125" style="87"/>
    <col min="10753" max="10802" width="3.33203125" style="87" customWidth="1"/>
    <col min="10803" max="10803" width="1.5" style="87" customWidth="1"/>
    <col min="10804" max="11008" width="9.33203125" style="87"/>
    <col min="11009" max="11058" width="3.33203125" style="87" customWidth="1"/>
    <col min="11059" max="11059" width="1.5" style="87" customWidth="1"/>
    <col min="11060" max="11264" width="9.33203125" style="87"/>
    <col min="11265" max="11314" width="3.33203125" style="87" customWidth="1"/>
    <col min="11315" max="11315" width="1.5" style="87" customWidth="1"/>
    <col min="11316" max="11520" width="9.33203125" style="87"/>
    <col min="11521" max="11570" width="3.33203125" style="87" customWidth="1"/>
    <col min="11571" max="11571" width="1.5" style="87" customWidth="1"/>
    <col min="11572" max="11776" width="9.33203125" style="87"/>
    <col min="11777" max="11826" width="3.33203125" style="87" customWidth="1"/>
    <col min="11827" max="11827" width="1.5" style="87" customWidth="1"/>
    <col min="11828" max="12032" width="9.33203125" style="87"/>
    <col min="12033" max="12082" width="3.33203125" style="87" customWidth="1"/>
    <col min="12083" max="12083" width="1.5" style="87" customWidth="1"/>
    <col min="12084" max="12288" width="9.33203125" style="87"/>
    <col min="12289" max="12338" width="3.33203125" style="87" customWidth="1"/>
    <col min="12339" max="12339" width="1.5" style="87" customWidth="1"/>
    <col min="12340" max="12544" width="9.33203125" style="87"/>
    <col min="12545" max="12594" width="3.33203125" style="87" customWidth="1"/>
    <col min="12595" max="12595" width="1.5" style="87" customWidth="1"/>
    <col min="12596" max="12800" width="9.33203125" style="87"/>
    <col min="12801" max="12850" width="3.33203125" style="87" customWidth="1"/>
    <col min="12851" max="12851" width="1.5" style="87" customWidth="1"/>
    <col min="12852" max="13056" width="9.33203125" style="87"/>
    <col min="13057" max="13106" width="3.33203125" style="87" customWidth="1"/>
    <col min="13107" max="13107" width="1.5" style="87" customWidth="1"/>
    <col min="13108" max="13312" width="9.33203125" style="87"/>
    <col min="13313" max="13362" width="3.33203125" style="87" customWidth="1"/>
    <col min="13363" max="13363" width="1.5" style="87" customWidth="1"/>
    <col min="13364" max="13568" width="9.33203125" style="87"/>
    <col min="13569" max="13618" width="3.33203125" style="87" customWidth="1"/>
    <col min="13619" max="13619" width="1.5" style="87" customWidth="1"/>
    <col min="13620" max="13824" width="9.33203125" style="87"/>
    <col min="13825" max="13874" width="3.33203125" style="87" customWidth="1"/>
    <col min="13875" max="13875" width="1.5" style="87" customWidth="1"/>
    <col min="13876" max="14080" width="9.33203125" style="87"/>
    <col min="14081" max="14130" width="3.33203125" style="87" customWidth="1"/>
    <col min="14131" max="14131" width="1.5" style="87" customWidth="1"/>
    <col min="14132" max="14336" width="9.33203125" style="87"/>
    <col min="14337" max="14386" width="3.33203125" style="87" customWidth="1"/>
    <col min="14387" max="14387" width="1.5" style="87" customWidth="1"/>
    <col min="14388" max="14592" width="9.33203125" style="87"/>
    <col min="14593" max="14642" width="3.33203125" style="87" customWidth="1"/>
    <col min="14643" max="14643" width="1.5" style="87" customWidth="1"/>
    <col min="14644" max="14848" width="9.33203125" style="87"/>
    <col min="14849" max="14898" width="3.33203125" style="87" customWidth="1"/>
    <col min="14899" max="14899" width="1.5" style="87" customWidth="1"/>
    <col min="14900" max="15104" width="9.33203125" style="87"/>
    <col min="15105" max="15154" width="3.33203125" style="87" customWidth="1"/>
    <col min="15155" max="15155" width="1.5" style="87" customWidth="1"/>
    <col min="15156" max="15360" width="9.33203125" style="87"/>
    <col min="15361" max="15410" width="3.33203125" style="87" customWidth="1"/>
    <col min="15411" max="15411" width="1.5" style="87" customWidth="1"/>
    <col min="15412" max="15616" width="9.33203125" style="87"/>
    <col min="15617" max="15666" width="3.33203125" style="87" customWidth="1"/>
    <col min="15667" max="15667" width="1.5" style="87" customWidth="1"/>
    <col min="15668" max="15872" width="9.33203125" style="87"/>
    <col min="15873" max="15922" width="3.33203125" style="87" customWidth="1"/>
    <col min="15923" max="15923" width="1.5" style="87" customWidth="1"/>
    <col min="15924" max="16128" width="9.33203125" style="87"/>
    <col min="16129" max="16178" width="3.33203125" style="87" customWidth="1"/>
    <col min="16179" max="16179" width="1.5" style="87" customWidth="1"/>
    <col min="16180" max="16384" width="9.33203125" style="87"/>
  </cols>
  <sheetData>
    <row r="1" spans="1:50" ht="14.25">
      <c r="A1" s="513" t="s">
        <v>85</v>
      </c>
      <c r="B1" s="514"/>
      <c r="C1" s="514"/>
      <c r="D1" s="514"/>
      <c r="E1" s="514"/>
      <c r="F1" s="514"/>
      <c r="G1" s="515"/>
      <c r="H1" s="522" t="s">
        <v>2</v>
      </c>
      <c r="I1" s="523"/>
      <c r="J1" s="523"/>
      <c r="K1" s="524"/>
      <c r="L1" s="525" t="str">
        <f>IF(顧客名="","",顧客名)</f>
        <v>株式会社XXXX殿</v>
      </c>
      <c r="M1" s="526"/>
      <c r="N1" s="526"/>
      <c r="O1" s="526"/>
      <c r="P1" s="526"/>
      <c r="Q1" s="526"/>
      <c r="R1" s="527"/>
      <c r="S1" s="528" t="s">
        <v>86</v>
      </c>
      <c r="T1" s="523"/>
      <c r="U1" s="523"/>
      <c r="V1" s="524"/>
      <c r="W1" s="525" t="str">
        <f>IF(システム="","",システム)</f>
        <v>mcframe7</v>
      </c>
      <c r="X1" s="526"/>
      <c r="Y1" s="526"/>
      <c r="Z1" s="526"/>
      <c r="AA1" s="526"/>
      <c r="AB1" s="526"/>
      <c r="AC1" s="527"/>
      <c r="AD1" s="533" t="s">
        <v>8</v>
      </c>
      <c r="AE1" s="534"/>
      <c r="AF1" s="534"/>
      <c r="AG1" s="543"/>
      <c r="AH1" s="544" t="str">
        <f>IF(作成者="","",作成者)</f>
        <v>XX</v>
      </c>
      <c r="AI1" s="545"/>
      <c r="AJ1" s="545"/>
      <c r="AK1" s="545"/>
      <c r="AL1" s="546"/>
      <c r="AM1" s="533" t="s">
        <v>9</v>
      </c>
      <c r="AN1" s="534"/>
      <c r="AO1" s="534"/>
      <c r="AP1" s="543"/>
      <c r="AQ1" s="547">
        <f>IF(作成日="","",作成日)</f>
        <v>42902</v>
      </c>
      <c r="AR1" s="548"/>
      <c r="AS1" s="548"/>
      <c r="AT1" s="549"/>
      <c r="AU1" s="533" t="s">
        <v>0</v>
      </c>
      <c r="AV1" s="534"/>
      <c r="AW1" s="534"/>
      <c r="AX1" s="535"/>
    </row>
    <row r="2" spans="1:50" ht="14.25">
      <c r="A2" s="516"/>
      <c r="B2" s="517"/>
      <c r="C2" s="517"/>
      <c r="D2" s="517"/>
      <c r="E2" s="517"/>
      <c r="F2" s="517"/>
      <c r="G2" s="518"/>
      <c r="H2" s="536" t="s">
        <v>87</v>
      </c>
      <c r="I2" s="537"/>
      <c r="J2" s="537"/>
      <c r="K2" s="538"/>
      <c r="L2" s="539" t="str">
        <f>IF(プロジェクト名="","",プロジェクト名)</f>
        <v>新基幹システム構築プロジェクト</v>
      </c>
      <c r="M2" s="540"/>
      <c r="N2" s="540"/>
      <c r="O2" s="540"/>
      <c r="P2" s="540"/>
      <c r="Q2" s="540"/>
      <c r="R2" s="541"/>
      <c r="S2" s="542" t="s">
        <v>88</v>
      </c>
      <c r="T2" s="537"/>
      <c r="U2" s="537"/>
      <c r="V2" s="538"/>
      <c r="W2" s="539" t="str">
        <f>IF(サブシステム="","",サブシステム)</f>
        <v>SCM</v>
      </c>
      <c r="X2" s="540"/>
      <c r="Y2" s="540"/>
      <c r="Z2" s="540"/>
      <c r="AA2" s="540"/>
      <c r="AB2" s="540"/>
      <c r="AC2" s="541"/>
      <c r="AD2" s="550" t="s">
        <v>10</v>
      </c>
      <c r="AE2" s="551"/>
      <c r="AF2" s="551"/>
      <c r="AG2" s="552"/>
      <c r="AH2" s="553" t="str">
        <f>IF(修正者="","",修正者)</f>
        <v>XX</v>
      </c>
      <c r="AI2" s="554"/>
      <c r="AJ2" s="554"/>
      <c r="AK2" s="554"/>
      <c r="AL2" s="555"/>
      <c r="AM2" s="556" t="s">
        <v>11</v>
      </c>
      <c r="AN2" s="557"/>
      <c r="AO2" s="557"/>
      <c r="AP2" s="558"/>
      <c r="AQ2" s="559">
        <f>IF(修正日="","",修正日)</f>
        <v>43007</v>
      </c>
      <c r="AR2" s="560"/>
      <c r="AS2" s="560"/>
      <c r="AT2" s="560"/>
      <c r="AU2" s="561" t="str">
        <f>IF(文書番号="","",文書番号)</f>
        <v>XX-XX-9999</v>
      </c>
      <c r="AV2" s="562"/>
      <c r="AW2" s="562"/>
      <c r="AX2" s="563"/>
    </row>
    <row r="3" spans="1:50" ht="15" thickBot="1">
      <c r="A3" s="519"/>
      <c r="B3" s="520"/>
      <c r="C3" s="520"/>
      <c r="D3" s="520"/>
      <c r="E3" s="520"/>
      <c r="F3" s="520"/>
      <c r="G3" s="521"/>
      <c r="H3" s="529" t="s">
        <v>13</v>
      </c>
      <c r="I3" s="529"/>
      <c r="J3" s="529"/>
      <c r="K3" s="530"/>
      <c r="L3" s="507" t="str">
        <f>IF(機能ID="","",機能ID)</f>
        <v>MSBCBA0040</v>
      </c>
      <c r="M3" s="531"/>
      <c r="N3" s="531"/>
      <c r="O3" s="531"/>
      <c r="P3" s="531"/>
      <c r="Q3" s="531"/>
      <c r="R3" s="531"/>
      <c r="S3" s="532" t="s">
        <v>14</v>
      </c>
      <c r="T3" s="529"/>
      <c r="U3" s="529"/>
      <c r="V3" s="530"/>
      <c r="W3" s="507" t="str">
        <f>IF(機能名="","",機能名)</f>
        <v>納期回答作成バッチ</v>
      </c>
      <c r="X3" s="508"/>
      <c r="Y3" s="508"/>
      <c r="Z3" s="508"/>
      <c r="AA3" s="508"/>
      <c r="AB3" s="508"/>
      <c r="AC3" s="508"/>
      <c r="AD3" s="508"/>
      <c r="AE3" s="508"/>
      <c r="AF3" s="508"/>
      <c r="AG3" s="508"/>
      <c r="AH3" s="508"/>
      <c r="AI3" s="508"/>
      <c r="AJ3" s="508"/>
      <c r="AK3" s="508"/>
      <c r="AL3" s="509"/>
      <c r="AM3" s="510" t="s">
        <v>12</v>
      </c>
      <c r="AN3" s="511"/>
      <c r="AO3" s="511"/>
      <c r="AP3" s="512"/>
      <c r="AQ3" s="504" t="str">
        <f>IF(Rev="","",Rev)</f>
        <v>r02.00</v>
      </c>
      <c r="AR3" s="505"/>
      <c r="AS3" s="505"/>
      <c r="AT3" s="506"/>
      <c r="AU3" s="564"/>
      <c r="AV3" s="565"/>
      <c r="AW3" s="565"/>
      <c r="AX3" s="566"/>
    </row>
    <row r="4" spans="1:50" ht="12" thickBot="1">
      <c r="A4" s="88"/>
      <c r="B4" s="89"/>
      <c r="C4" s="89"/>
      <c r="D4" s="89"/>
      <c r="E4" s="89"/>
      <c r="F4" s="89"/>
      <c r="G4" s="89"/>
      <c r="H4" s="89"/>
      <c r="I4" s="89"/>
      <c r="J4" s="89"/>
      <c r="K4" s="89"/>
      <c r="L4" s="89"/>
      <c r="M4" s="89"/>
      <c r="N4" s="89"/>
      <c r="O4" s="89"/>
      <c r="P4" s="89"/>
      <c r="Q4" s="89"/>
      <c r="R4" s="89"/>
      <c r="S4" s="89"/>
      <c r="T4" s="89"/>
      <c r="U4" s="89"/>
      <c r="V4" s="89"/>
      <c r="W4" s="89"/>
      <c r="X4" s="89"/>
      <c r="Y4" s="89"/>
      <c r="Z4" s="89"/>
      <c r="AA4" s="89"/>
      <c r="AB4" s="89"/>
      <c r="AC4" s="89"/>
      <c r="AD4" s="89"/>
      <c r="AE4" s="89"/>
      <c r="AF4" s="89"/>
      <c r="AG4" s="89"/>
      <c r="AH4" s="89"/>
      <c r="AI4" s="89"/>
      <c r="AJ4" s="89"/>
      <c r="AK4" s="89"/>
      <c r="AL4" s="89"/>
      <c r="AM4" s="89"/>
      <c r="AN4" s="89"/>
      <c r="AO4" s="89"/>
      <c r="AP4" s="89"/>
      <c r="AQ4" s="89"/>
      <c r="AR4" s="89"/>
      <c r="AS4" s="89"/>
      <c r="AT4" s="89"/>
      <c r="AU4" s="89"/>
      <c r="AV4" s="89"/>
      <c r="AW4" s="89"/>
      <c r="AX4" s="90"/>
    </row>
    <row r="5" spans="1:50" s="4" customFormat="1" ht="12.75" thickBot="1">
      <c r="A5" s="823" t="s">
        <v>59</v>
      </c>
      <c r="B5" s="571" t="s">
        <v>63</v>
      </c>
      <c r="C5" s="572"/>
      <c r="D5" s="824" t="s">
        <v>29</v>
      </c>
      <c r="E5" s="824"/>
      <c r="F5" s="824"/>
      <c r="G5" s="824"/>
      <c r="H5" s="824"/>
      <c r="I5" s="824"/>
      <c r="J5" s="824"/>
      <c r="K5" s="825"/>
      <c r="L5" s="824" t="s">
        <v>37</v>
      </c>
      <c r="M5" s="824"/>
      <c r="N5" s="824"/>
      <c r="O5" s="824"/>
      <c r="P5" s="824"/>
      <c r="Q5" s="824"/>
      <c r="R5" s="824"/>
      <c r="S5" s="824"/>
      <c r="T5" s="824"/>
      <c r="U5" s="824"/>
      <c r="V5" s="824"/>
      <c r="W5" s="824"/>
      <c r="X5" s="824"/>
      <c r="Y5" s="824"/>
      <c r="Z5" s="824"/>
      <c r="AA5" s="824"/>
      <c r="AB5" s="824"/>
      <c r="AC5" s="824"/>
      <c r="AD5" s="824"/>
      <c r="AE5" s="824"/>
      <c r="AF5" s="824"/>
      <c r="AG5" s="824"/>
      <c r="AH5" s="824"/>
      <c r="AI5" s="824"/>
      <c r="AJ5" s="824"/>
      <c r="AK5" s="824"/>
      <c r="AL5" s="824"/>
      <c r="AM5" s="824"/>
      <c r="AN5" s="824"/>
      <c r="AO5" s="824"/>
      <c r="AP5" s="825"/>
      <c r="AQ5" s="824" t="s">
        <v>38</v>
      </c>
      <c r="AR5" s="824"/>
      <c r="AS5" s="824"/>
      <c r="AT5" s="824"/>
      <c r="AU5" s="824"/>
      <c r="AV5" s="824"/>
      <c r="AW5" s="824"/>
      <c r="AX5" s="826"/>
    </row>
    <row r="6" spans="1:50" s="4" customFormat="1" ht="12.75" thickTop="1">
      <c r="A6" s="827" t="s">
        <v>89</v>
      </c>
      <c r="B6" s="820" t="s">
        <v>451</v>
      </c>
      <c r="C6" s="821"/>
      <c r="D6" s="821"/>
      <c r="E6" s="821"/>
      <c r="F6" s="821"/>
      <c r="G6" s="821"/>
      <c r="H6" s="821"/>
      <c r="I6" s="821"/>
      <c r="J6" s="821"/>
      <c r="K6" s="821"/>
      <c r="L6" s="821"/>
      <c r="M6" s="821"/>
      <c r="N6" s="821"/>
      <c r="O6" s="821"/>
      <c r="P6" s="821"/>
      <c r="Q6" s="821"/>
      <c r="R6" s="821"/>
      <c r="S6" s="821"/>
      <c r="T6" s="821"/>
      <c r="U6" s="821"/>
      <c r="V6" s="821"/>
      <c r="W6" s="821"/>
      <c r="X6" s="821"/>
      <c r="Y6" s="821"/>
      <c r="Z6" s="821"/>
      <c r="AA6" s="821"/>
      <c r="AB6" s="821"/>
      <c r="AC6" s="821"/>
      <c r="AD6" s="821"/>
      <c r="AE6" s="821"/>
      <c r="AF6" s="821"/>
      <c r="AG6" s="821"/>
      <c r="AH6" s="821"/>
      <c r="AI6" s="821"/>
      <c r="AJ6" s="821"/>
      <c r="AK6" s="821"/>
      <c r="AL6" s="821"/>
      <c r="AM6" s="821"/>
      <c r="AN6" s="821"/>
      <c r="AO6" s="821"/>
      <c r="AP6" s="821"/>
      <c r="AQ6" s="821"/>
      <c r="AR6" s="821"/>
      <c r="AS6" s="821"/>
      <c r="AT6" s="821"/>
      <c r="AU6" s="821"/>
      <c r="AV6" s="821"/>
      <c r="AW6" s="821"/>
      <c r="AX6" s="822"/>
    </row>
    <row r="7" spans="1:50" s="4" customFormat="1" ht="12">
      <c r="A7" s="840"/>
      <c r="B7" s="838"/>
      <c r="C7" s="839"/>
      <c r="D7" s="816"/>
      <c r="E7" s="816"/>
      <c r="F7" s="816"/>
      <c r="G7" s="816"/>
      <c r="H7" s="816"/>
      <c r="I7" s="816"/>
      <c r="J7" s="816"/>
      <c r="K7" s="816"/>
      <c r="L7" s="837"/>
      <c r="M7" s="816"/>
      <c r="N7" s="816"/>
      <c r="O7" s="816"/>
      <c r="P7" s="816"/>
      <c r="Q7" s="816"/>
      <c r="R7" s="816"/>
      <c r="S7" s="816"/>
      <c r="T7" s="816"/>
      <c r="U7" s="816"/>
      <c r="V7" s="816"/>
      <c r="W7" s="816"/>
      <c r="X7" s="816"/>
      <c r="Y7" s="816"/>
      <c r="Z7" s="816"/>
      <c r="AA7" s="816"/>
      <c r="AB7" s="816"/>
      <c r="AC7" s="816"/>
      <c r="AD7" s="816"/>
      <c r="AE7" s="816"/>
      <c r="AF7" s="816"/>
      <c r="AG7" s="816"/>
      <c r="AH7" s="816"/>
      <c r="AI7" s="816"/>
      <c r="AJ7" s="816"/>
      <c r="AK7" s="816"/>
      <c r="AL7" s="816"/>
      <c r="AM7" s="816"/>
      <c r="AN7" s="816"/>
      <c r="AO7" s="816"/>
      <c r="AP7" s="818"/>
      <c r="AQ7" s="816"/>
      <c r="AR7" s="816"/>
      <c r="AS7" s="816"/>
      <c r="AT7" s="816"/>
      <c r="AU7" s="816"/>
      <c r="AV7" s="816"/>
      <c r="AW7" s="816"/>
      <c r="AX7" s="819"/>
    </row>
    <row r="8" spans="1:50" s="4" customFormat="1" ht="12">
      <c r="A8" s="840"/>
      <c r="B8" s="838"/>
      <c r="C8" s="839"/>
      <c r="D8" s="816"/>
      <c r="E8" s="816"/>
      <c r="F8" s="816"/>
      <c r="G8" s="816"/>
      <c r="H8" s="816"/>
      <c r="I8" s="816"/>
      <c r="J8" s="816"/>
      <c r="K8" s="816"/>
      <c r="L8" s="837"/>
      <c r="M8" s="816"/>
      <c r="N8" s="816"/>
      <c r="O8" s="816"/>
      <c r="P8" s="816"/>
      <c r="Q8" s="816"/>
      <c r="R8" s="816"/>
      <c r="S8" s="816"/>
      <c r="T8" s="816"/>
      <c r="U8" s="816"/>
      <c r="V8" s="816"/>
      <c r="W8" s="816"/>
      <c r="X8" s="816"/>
      <c r="Y8" s="816"/>
      <c r="Z8" s="816"/>
      <c r="AA8" s="816"/>
      <c r="AB8" s="816"/>
      <c r="AC8" s="816"/>
      <c r="AD8" s="816"/>
      <c r="AE8" s="816"/>
      <c r="AF8" s="816"/>
      <c r="AG8" s="816"/>
      <c r="AH8" s="816"/>
      <c r="AI8" s="816"/>
      <c r="AJ8" s="816"/>
      <c r="AK8" s="816"/>
      <c r="AL8" s="816"/>
      <c r="AM8" s="816"/>
      <c r="AN8" s="816"/>
      <c r="AO8" s="816"/>
      <c r="AP8" s="818"/>
      <c r="AQ8" s="816"/>
      <c r="AR8" s="816"/>
      <c r="AS8" s="816"/>
      <c r="AT8" s="816"/>
      <c r="AU8" s="816"/>
      <c r="AV8" s="816"/>
      <c r="AW8" s="816"/>
      <c r="AX8" s="819"/>
    </row>
    <row r="9" spans="1:50" s="4" customFormat="1" ht="12">
      <c r="A9" s="840"/>
      <c r="B9" s="838"/>
      <c r="C9" s="839"/>
      <c r="D9" s="816"/>
      <c r="E9" s="816"/>
      <c r="F9" s="816"/>
      <c r="G9" s="816"/>
      <c r="H9" s="816"/>
      <c r="I9" s="816"/>
      <c r="J9" s="816"/>
      <c r="K9" s="816"/>
      <c r="L9" s="837"/>
      <c r="M9" s="816"/>
      <c r="N9" s="816"/>
      <c r="O9" s="816"/>
      <c r="P9" s="816"/>
      <c r="Q9" s="816"/>
      <c r="R9" s="816"/>
      <c r="S9" s="816"/>
      <c r="T9" s="816"/>
      <c r="U9" s="816"/>
      <c r="V9" s="816"/>
      <c r="W9" s="816"/>
      <c r="X9" s="816"/>
      <c r="Y9" s="816"/>
      <c r="Z9" s="816"/>
      <c r="AA9" s="816"/>
      <c r="AB9" s="816"/>
      <c r="AC9" s="816"/>
      <c r="AD9" s="816"/>
      <c r="AE9" s="816"/>
      <c r="AF9" s="816"/>
      <c r="AG9" s="816"/>
      <c r="AH9" s="816"/>
      <c r="AI9" s="816"/>
      <c r="AJ9" s="816"/>
      <c r="AK9" s="816"/>
      <c r="AL9" s="816"/>
      <c r="AM9" s="816"/>
      <c r="AN9" s="816"/>
      <c r="AO9" s="816"/>
      <c r="AP9" s="818"/>
      <c r="AQ9" s="816"/>
      <c r="AR9" s="816"/>
      <c r="AS9" s="816"/>
      <c r="AT9" s="816"/>
      <c r="AU9" s="816"/>
      <c r="AV9" s="816"/>
      <c r="AW9" s="816"/>
      <c r="AX9" s="819"/>
    </row>
    <row r="10" spans="1:50" s="4" customFormat="1" ht="12">
      <c r="A10" s="840"/>
      <c r="B10" s="838"/>
      <c r="C10" s="839"/>
      <c r="D10" s="816"/>
      <c r="E10" s="816"/>
      <c r="F10" s="816"/>
      <c r="G10" s="816"/>
      <c r="H10" s="816"/>
      <c r="I10" s="816"/>
      <c r="J10" s="816"/>
      <c r="K10" s="816"/>
      <c r="L10" s="837"/>
      <c r="M10" s="816"/>
      <c r="N10" s="816"/>
      <c r="O10" s="816"/>
      <c r="P10" s="816"/>
      <c r="Q10" s="816"/>
      <c r="R10" s="816"/>
      <c r="S10" s="816"/>
      <c r="T10" s="816"/>
      <c r="U10" s="816"/>
      <c r="V10" s="816"/>
      <c r="W10" s="816"/>
      <c r="X10" s="816"/>
      <c r="Y10" s="816"/>
      <c r="Z10" s="816"/>
      <c r="AA10" s="816"/>
      <c r="AB10" s="816"/>
      <c r="AC10" s="816"/>
      <c r="AD10" s="816"/>
      <c r="AE10" s="816"/>
      <c r="AF10" s="816"/>
      <c r="AG10" s="816"/>
      <c r="AH10" s="816"/>
      <c r="AI10" s="816"/>
      <c r="AJ10" s="816"/>
      <c r="AK10" s="816"/>
      <c r="AL10" s="816"/>
      <c r="AM10" s="816"/>
      <c r="AN10" s="816"/>
      <c r="AO10" s="816"/>
      <c r="AP10" s="818"/>
      <c r="AQ10" s="816"/>
      <c r="AR10" s="816"/>
      <c r="AS10" s="816"/>
      <c r="AT10" s="816"/>
      <c r="AU10" s="816"/>
      <c r="AV10" s="816"/>
      <c r="AW10" s="816"/>
      <c r="AX10" s="819"/>
    </row>
    <row r="11" spans="1:50" s="4" customFormat="1" ht="12">
      <c r="A11" s="840"/>
      <c r="B11" s="838"/>
      <c r="C11" s="839"/>
      <c r="D11" s="816"/>
      <c r="E11" s="816"/>
      <c r="F11" s="816"/>
      <c r="G11" s="816"/>
      <c r="H11" s="816"/>
      <c r="I11" s="816"/>
      <c r="J11" s="816"/>
      <c r="K11" s="816"/>
      <c r="L11" s="837"/>
      <c r="M11" s="816"/>
      <c r="N11" s="816"/>
      <c r="O11" s="816"/>
      <c r="P11" s="816"/>
      <c r="Q11" s="816"/>
      <c r="R11" s="816"/>
      <c r="S11" s="816"/>
      <c r="T11" s="816"/>
      <c r="U11" s="816"/>
      <c r="V11" s="816"/>
      <c r="W11" s="816"/>
      <c r="X11" s="816"/>
      <c r="Y11" s="816"/>
      <c r="Z11" s="816"/>
      <c r="AA11" s="816"/>
      <c r="AB11" s="816"/>
      <c r="AC11" s="816"/>
      <c r="AD11" s="816"/>
      <c r="AE11" s="816"/>
      <c r="AF11" s="816"/>
      <c r="AG11" s="816"/>
      <c r="AH11" s="816"/>
      <c r="AI11" s="816"/>
      <c r="AJ11" s="816"/>
      <c r="AK11" s="816"/>
      <c r="AL11" s="816"/>
      <c r="AM11" s="816"/>
      <c r="AN11" s="816"/>
      <c r="AO11" s="816"/>
      <c r="AP11" s="818"/>
      <c r="AQ11" s="816"/>
      <c r="AR11" s="816"/>
      <c r="AS11" s="816"/>
      <c r="AT11" s="816"/>
      <c r="AU11" s="816"/>
      <c r="AV11" s="816"/>
      <c r="AW11" s="816"/>
      <c r="AX11" s="819"/>
    </row>
    <row r="12" spans="1:50" s="4" customFormat="1" ht="12">
      <c r="A12" s="840"/>
      <c r="B12" s="838"/>
      <c r="C12" s="839"/>
      <c r="D12" s="816"/>
      <c r="E12" s="816"/>
      <c r="F12" s="816"/>
      <c r="G12" s="816"/>
      <c r="H12" s="816"/>
      <c r="I12" s="816"/>
      <c r="J12" s="816"/>
      <c r="K12" s="816"/>
      <c r="L12" s="837"/>
      <c r="M12" s="816"/>
      <c r="N12" s="816"/>
      <c r="O12" s="816"/>
      <c r="P12" s="816"/>
      <c r="Q12" s="816"/>
      <c r="R12" s="816"/>
      <c r="S12" s="816"/>
      <c r="T12" s="816"/>
      <c r="U12" s="816"/>
      <c r="V12" s="816"/>
      <c r="W12" s="816"/>
      <c r="X12" s="816"/>
      <c r="Y12" s="816"/>
      <c r="Z12" s="816"/>
      <c r="AA12" s="816"/>
      <c r="AB12" s="816"/>
      <c r="AC12" s="816"/>
      <c r="AD12" s="816"/>
      <c r="AE12" s="816"/>
      <c r="AF12" s="816"/>
      <c r="AG12" s="816"/>
      <c r="AH12" s="816"/>
      <c r="AI12" s="816"/>
      <c r="AJ12" s="816"/>
      <c r="AK12" s="816"/>
      <c r="AL12" s="816"/>
      <c r="AM12" s="816"/>
      <c r="AN12" s="816"/>
      <c r="AO12" s="816"/>
      <c r="AP12" s="818"/>
      <c r="AQ12" s="816"/>
      <c r="AR12" s="816"/>
      <c r="AS12" s="816"/>
      <c r="AT12" s="816"/>
      <c r="AU12" s="816"/>
      <c r="AV12" s="816"/>
      <c r="AW12" s="816"/>
      <c r="AX12" s="819"/>
    </row>
    <row r="13" spans="1:50" s="4" customFormat="1" ht="12">
      <c r="A13" s="840"/>
      <c r="B13" s="838"/>
      <c r="C13" s="839"/>
      <c r="D13" s="816"/>
      <c r="E13" s="816"/>
      <c r="F13" s="816"/>
      <c r="G13" s="816"/>
      <c r="H13" s="816"/>
      <c r="I13" s="816"/>
      <c r="J13" s="816"/>
      <c r="K13" s="816"/>
      <c r="L13" s="837"/>
      <c r="M13" s="816"/>
      <c r="N13" s="816"/>
      <c r="O13" s="816"/>
      <c r="P13" s="816"/>
      <c r="Q13" s="816"/>
      <c r="R13" s="816"/>
      <c r="S13" s="816"/>
      <c r="T13" s="816"/>
      <c r="U13" s="816"/>
      <c r="V13" s="816"/>
      <c r="W13" s="816"/>
      <c r="X13" s="816"/>
      <c r="Y13" s="816"/>
      <c r="Z13" s="816"/>
      <c r="AA13" s="816"/>
      <c r="AB13" s="816"/>
      <c r="AC13" s="816"/>
      <c r="AD13" s="816"/>
      <c r="AE13" s="816"/>
      <c r="AF13" s="816"/>
      <c r="AG13" s="816"/>
      <c r="AH13" s="816"/>
      <c r="AI13" s="816"/>
      <c r="AJ13" s="816"/>
      <c r="AK13" s="816"/>
      <c r="AL13" s="816"/>
      <c r="AM13" s="816"/>
      <c r="AN13" s="816"/>
      <c r="AO13" s="816"/>
      <c r="AP13" s="818"/>
      <c r="AQ13" s="816"/>
      <c r="AR13" s="816"/>
      <c r="AS13" s="816"/>
      <c r="AT13" s="816"/>
      <c r="AU13" s="816"/>
      <c r="AV13" s="816"/>
      <c r="AW13" s="816"/>
      <c r="AX13" s="819"/>
    </row>
    <row r="14" spans="1:50" s="4" customFormat="1" ht="12">
      <c r="A14" s="840"/>
      <c r="B14" s="569" t="s">
        <v>452</v>
      </c>
      <c r="C14" s="570"/>
      <c r="D14" s="816" t="s">
        <v>453</v>
      </c>
      <c r="E14" s="816"/>
      <c r="F14" s="816"/>
      <c r="G14" s="816"/>
      <c r="H14" s="816"/>
      <c r="I14" s="816"/>
      <c r="J14" s="816"/>
      <c r="K14" s="816"/>
      <c r="L14" s="837" t="s">
        <v>107</v>
      </c>
      <c r="M14" s="816" t="s">
        <v>454</v>
      </c>
      <c r="N14" s="816"/>
      <c r="O14" s="816"/>
      <c r="P14" s="816"/>
      <c r="Q14" s="816"/>
      <c r="R14" s="816"/>
      <c r="S14" s="816"/>
      <c r="T14" s="816"/>
      <c r="U14" s="816"/>
      <c r="V14" s="816"/>
      <c r="W14" s="816"/>
      <c r="X14" s="816"/>
      <c r="Y14" s="816"/>
      <c r="Z14" s="816"/>
      <c r="AA14" s="816"/>
      <c r="AB14" s="816"/>
      <c r="AC14" s="816"/>
      <c r="AD14" s="816"/>
      <c r="AE14" s="816"/>
      <c r="AF14" s="816"/>
      <c r="AG14" s="816"/>
      <c r="AH14" s="816"/>
      <c r="AI14" s="816"/>
      <c r="AJ14" s="816"/>
      <c r="AK14" s="816"/>
      <c r="AL14" s="816"/>
      <c r="AM14" s="816"/>
      <c r="AN14" s="816"/>
      <c r="AO14" s="816"/>
      <c r="AP14" s="818"/>
      <c r="AQ14" s="816"/>
      <c r="AR14" s="816"/>
      <c r="AS14" s="816"/>
      <c r="AT14" s="816"/>
      <c r="AU14" s="816"/>
      <c r="AV14" s="816"/>
      <c r="AW14" s="816"/>
      <c r="AX14" s="819"/>
    </row>
    <row r="15" spans="1:50" s="4" customFormat="1" ht="12">
      <c r="A15" s="840"/>
      <c r="B15" s="838"/>
      <c r="C15" s="839"/>
      <c r="D15" s="816"/>
      <c r="E15" s="816"/>
      <c r="F15" s="816"/>
      <c r="G15" s="816"/>
      <c r="H15" s="816"/>
      <c r="I15" s="816"/>
      <c r="J15" s="816"/>
      <c r="K15" s="816"/>
      <c r="L15" s="837"/>
      <c r="M15" s="816" t="s">
        <v>75</v>
      </c>
      <c r="N15" s="816" t="s">
        <v>108</v>
      </c>
      <c r="O15" s="816"/>
      <c r="P15" s="816"/>
      <c r="Q15" s="816"/>
      <c r="R15" s="816"/>
      <c r="S15" s="816"/>
      <c r="T15" s="816"/>
      <c r="U15" s="816"/>
      <c r="V15" s="816"/>
      <c r="W15" s="816"/>
      <c r="X15" s="816"/>
      <c r="Y15" s="816"/>
      <c r="Z15" s="816"/>
      <c r="AA15" s="816"/>
      <c r="AB15" s="816"/>
      <c r="AC15" s="816"/>
      <c r="AD15" s="816"/>
      <c r="AE15" s="816"/>
      <c r="AF15" s="816"/>
      <c r="AG15" s="816"/>
      <c r="AH15" s="816"/>
      <c r="AI15" s="816"/>
      <c r="AJ15" s="816"/>
      <c r="AK15" s="816"/>
      <c r="AL15" s="816"/>
      <c r="AM15" s="816"/>
      <c r="AN15" s="816"/>
      <c r="AO15" s="816"/>
      <c r="AP15" s="818"/>
      <c r="AQ15" s="816"/>
      <c r="AR15" s="816"/>
      <c r="AS15" s="816"/>
      <c r="AT15" s="816"/>
      <c r="AU15" s="816"/>
      <c r="AV15" s="816"/>
      <c r="AW15" s="816"/>
      <c r="AX15" s="819"/>
    </row>
    <row r="16" spans="1:50" s="4" customFormat="1" ht="12">
      <c r="A16" s="840"/>
      <c r="B16" s="838"/>
      <c r="C16" s="839"/>
      <c r="D16" s="816"/>
      <c r="E16" s="816"/>
      <c r="F16" s="816"/>
      <c r="G16" s="816"/>
      <c r="H16" s="816"/>
      <c r="I16" s="816"/>
      <c r="J16" s="816"/>
      <c r="K16" s="816"/>
      <c r="L16" s="837"/>
      <c r="M16" s="816"/>
      <c r="N16" s="816" t="s">
        <v>149</v>
      </c>
      <c r="O16" s="816"/>
      <c r="P16" s="816"/>
      <c r="Q16" s="816"/>
      <c r="R16" s="816"/>
      <c r="S16" s="816"/>
      <c r="T16" s="816"/>
      <c r="U16" s="816"/>
      <c r="V16" s="816"/>
      <c r="W16" s="816"/>
      <c r="X16" s="816"/>
      <c r="Y16" s="816"/>
      <c r="Z16" s="816"/>
      <c r="AA16" s="816"/>
      <c r="AB16" s="816"/>
      <c r="AC16" s="816"/>
      <c r="AD16" s="816"/>
      <c r="AE16" s="816"/>
      <c r="AF16" s="816"/>
      <c r="AG16" s="816"/>
      <c r="AH16" s="816"/>
      <c r="AI16" s="816"/>
      <c r="AJ16" s="816"/>
      <c r="AK16" s="816"/>
      <c r="AL16" s="816"/>
      <c r="AM16" s="816"/>
      <c r="AN16" s="816"/>
      <c r="AO16" s="816"/>
      <c r="AP16" s="818"/>
      <c r="AQ16" s="816" t="s">
        <v>455</v>
      </c>
      <c r="AR16" s="816"/>
      <c r="AS16" s="816"/>
      <c r="AT16" s="816"/>
      <c r="AU16" s="816"/>
      <c r="AV16" s="816"/>
      <c r="AW16" s="816"/>
      <c r="AX16" s="819"/>
    </row>
    <row r="17" spans="1:50" s="4" customFormat="1" ht="12">
      <c r="A17" s="840"/>
      <c r="B17" s="838"/>
      <c r="C17" s="839"/>
      <c r="D17" s="816"/>
      <c r="E17" s="816"/>
      <c r="F17" s="816"/>
      <c r="G17" s="816"/>
      <c r="H17" s="816"/>
      <c r="I17" s="816"/>
      <c r="J17" s="816"/>
      <c r="K17" s="816"/>
      <c r="L17" s="837"/>
      <c r="M17" s="816"/>
      <c r="N17" s="816"/>
      <c r="O17" s="816"/>
      <c r="P17" s="816"/>
      <c r="Q17" s="816"/>
      <c r="R17" s="816"/>
      <c r="S17" s="816"/>
      <c r="T17" s="816"/>
      <c r="U17" s="816"/>
      <c r="V17" s="816"/>
      <c r="W17" s="816"/>
      <c r="X17" s="816"/>
      <c r="Y17" s="816"/>
      <c r="Z17" s="816"/>
      <c r="AA17" s="816"/>
      <c r="AB17" s="816"/>
      <c r="AC17" s="816"/>
      <c r="AD17" s="816"/>
      <c r="AE17" s="816"/>
      <c r="AF17" s="816"/>
      <c r="AG17" s="816"/>
      <c r="AH17" s="816"/>
      <c r="AI17" s="816"/>
      <c r="AJ17" s="816"/>
      <c r="AK17" s="816"/>
      <c r="AL17" s="816"/>
      <c r="AM17" s="816"/>
      <c r="AN17" s="816"/>
      <c r="AO17" s="816"/>
      <c r="AP17" s="818"/>
      <c r="AQ17" s="816"/>
      <c r="AR17" s="816"/>
      <c r="AS17" s="816"/>
      <c r="AT17" s="816"/>
      <c r="AU17" s="816"/>
      <c r="AV17" s="816"/>
      <c r="AW17" s="816"/>
      <c r="AX17" s="819"/>
    </row>
    <row r="18" spans="1:50" s="4" customFormat="1" ht="12">
      <c r="A18" s="840"/>
      <c r="B18" s="838"/>
      <c r="C18" s="839"/>
      <c r="D18" s="816"/>
      <c r="E18" s="816"/>
      <c r="F18" s="816"/>
      <c r="G18" s="816"/>
      <c r="H18" s="816"/>
      <c r="I18" s="816"/>
      <c r="J18" s="816"/>
      <c r="K18" s="816"/>
      <c r="L18" s="837" t="s">
        <v>456</v>
      </c>
      <c r="M18" s="828" t="s">
        <v>457</v>
      </c>
      <c r="N18" s="843"/>
      <c r="O18" s="843"/>
      <c r="P18" s="843"/>
      <c r="Q18" s="843"/>
      <c r="R18" s="843"/>
      <c r="S18" s="843"/>
      <c r="T18" s="843"/>
      <c r="U18" s="843"/>
      <c r="V18" s="843"/>
      <c r="W18" s="843"/>
      <c r="X18" s="843"/>
      <c r="Y18" s="843"/>
      <c r="Z18" s="843"/>
      <c r="AA18" s="843"/>
      <c r="AB18" s="843"/>
      <c r="AC18" s="843"/>
      <c r="AD18" s="843"/>
      <c r="AE18" s="843"/>
      <c r="AF18" s="843"/>
      <c r="AG18" s="843"/>
      <c r="AH18" s="843"/>
      <c r="AI18" s="843"/>
      <c r="AJ18" s="843"/>
      <c r="AK18" s="843"/>
      <c r="AL18" s="843"/>
      <c r="AM18" s="843"/>
      <c r="AN18" s="843"/>
      <c r="AO18" s="843"/>
      <c r="AP18" s="845"/>
      <c r="AQ18" s="816"/>
      <c r="AR18" s="816"/>
      <c r="AS18" s="816"/>
      <c r="AT18" s="816"/>
      <c r="AU18" s="816"/>
      <c r="AV18" s="816"/>
      <c r="AW18" s="816"/>
      <c r="AX18" s="819"/>
    </row>
    <row r="19" spans="1:50" s="4" customFormat="1" ht="12">
      <c r="A19" s="840"/>
      <c r="B19" s="838"/>
      <c r="C19" s="839"/>
      <c r="D19" s="816"/>
      <c r="E19" s="816"/>
      <c r="F19" s="816"/>
      <c r="G19" s="816"/>
      <c r="H19" s="816"/>
      <c r="I19" s="816"/>
      <c r="J19" s="816"/>
      <c r="K19" s="816"/>
      <c r="L19" s="851"/>
      <c r="M19" s="852" t="s">
        <v>458</v>
      </c>
      <c r="N19" s="852"/>
      <c r="O19" s="843"/>
      <c r="P19" s="852"/>
      <c r="Q19" s="901"/>
      <c r="R19" s="901"/>
      <c r="S19" s="852"/>
      <c r="T19" s="852"/>
      <c r="U19" s="852"/>
      <c r="V19" s="852"/>
      <c r="W19" s="841"/>
      <c r="X19" s="841"/>
      <c r="Y19" s="841"/>
      <c r="Z19" s="841"/>
      <c r="AA19" s="841"/>
      <c r="AB19" s="841"/>
      <c r="AC19" s="841"/>
      <c r="AD19" s="841"/>
      <c r="AE19" s="852"/>
      <c r="AF19" s="852"/>
      <c r="AG19" s="852"/>
      <c r="AH19" s="852"/>
      <c r="AI19" s="843"/>
      <c r="AJ19" s="843"/>
      <c r="AK19" s="843"/>
      <c r="AL19" s="843"/>
      <c r="AM19" s="843"/>
      <c r="AN19" s="843"/>
      <c r="AO19" s="843"/>
      <c r="AP19" s="845"/>
      <c r="AQ19" s="816"/>
      <c r="AR19" s="816"/>
      <c r="AS19" s="816"/>
      <c r="AT19" s="816"/>
      <c r="AU19" s="816"/>
      <c r="AV19" s="816"/>
      <c r="AW19" s="816"/>
      <c r="AX19" s="819"/>
    </row>
    <row r="20" spans="1:50" s="4" customFormat="1" ht="12">
      <c r="A20" s="840"/>
      <c r="B20" s="838"/>
      <c r="C20" s="839"/>
      <c r="D20" s="816"/>
      <c r="E20" s="816"/>
      <c r="F20" s="816"/>
      <c r="G20" s="816"/>
      <c r="H20" s="816"/>
      <c r="I20" s="816"/>
      <c r="J20" s="816"/>
      <c r="K20" s="816"/>
      <c r="L20" s="837"/>
      <c r="M20" s="816"/>
      <c r="N20" s="816"/>
      <c r="O20" s="816"/>
      <c r="P20" s="816"/>
      <c r="Q20" s="816"/>
      <c r="R20" s="816"/>
      <c r="S20" s="816"/>
      <c r="T20" s="816"/>
      <c r="U20" s="816"/>
      <c r="V20" s="816"/>
      <c r="W20" s="816"/>
      <c r="X20" s="816"/>
      <c r="Y20" s="816"/>
      <c r="Z20" s="816"/>
      <c r="AA20" s="816"/>
      <c r="AB20" s="816"/>
      <c r="AC20" s="816"/>
      <c r="AD20" s="816"/>
      <c r="AE20" s="816"/>
      <c r="AF20" s="816"/>
      <c r="AG20" s="816"/>
      <c r="AH20" s="816"/>
      <c r="AI20" s="816"/>
      <c r="AJ20" s="816"/>
      <c r="AK20" s="816"/>
      <c r="AL20" s="816"/>
      <c r="AM20" s="816"/>
      <c r="AN20" s="816"/>
      <c r="AO20" s="816"/>
      <c r="AP20" s="818"/>
      <c r="AQ20" s="816"/>
      <c r="AR20" s="816"/>
      <c r="AS20" s="816"/>
      <c r="AT20" s="816"/>
      <c r="AU20" s="816"/>
      <c r="AV20" s="816"/>
      <c r="AW20" s="816"/>
      <c r="AX20" s="819"/>
    </row>
    <row r="21" spans="1:50" s="4" customFormat="1" ht="12">
      <c r="A21" s="840"/>
      <c r="B21" s="838"/>
      <c r="C21" s="839"/>
      <c r="D21" s="816"/>
      <c r="E21" s="816"/>
      <c r="F21" s="816"/>
      <c r="G21" s="816"/>
      <c r="H21" s="816"/>
      <c r="I21" s="816"/>
      <c r="J21" s="816"/>
      <c r="K21" s="816"/>
      <c r="L21" s="851"/>
      <c r="M21" s="852" t="s">
        <v>459</v>
      </c>
      <c r="N21" s="852"/>
      <c r="O21" s="843"/>
      <c r="P21" s="852"/>
      <c r="Q21" s="901"/>
      <c r="R21" s="901"/>
      <c r="S21" s="852"/>
      <c r="T21" s="852"/>
      <c r="U21" s="852"/>
      <c r="V21" s="852"/>
      <c r="W21" s="841"/>
      <c r="X21" s="841"/>
      <c r="Y21" s="841"/>
      <c r="Z21" s="841"/>
      <c r="AA21" s="841"/>
      <c r="AB21" s="841"/>
      <c r="AC21" s="841"/>
      <c r="AD21" s="841"/>
      <c r="AE21" s="852"/>
      <c r="AF21" s="852"/>
      <c r="AG21" s="852"/>
      <c r="AH21" s="852"/>
      <c r="AI21" s="852"/>
      <c r="AJ21" s="852"/>
      <c r="AK21" s="852"/>
      <c r="AL21" s="852"/>
      <c r="AM21" s="852"/>
      <c r="AN21" s="852"/>
      <c r="AO21" s="852"/>
      <c r="AP21" s="853"/>
      <c r="AQ21" s="816"/>
      <c r="AR21" s="816"/>
      <c r="AS21" s="816"/>
      <c r="AT21" s="816"/>
      <c r="AU21" s="816"/>
      <c r="AV21" s="816"/>
      <c r="AW21" s="816"/>
      <c r="AX21" s="819"/>
    </row>
    <row r="22" spans="1:50" s="4" customFormat="1" ht="12">
      <c r="A22" s="840"/>
      <c r="B22" s="838"/>
      <c r="C22" s="839"/>
      <c r="D22" s="816"/>
      <c r="E22" s="816"/>
      <c r="F22" s="816"/>
      <c r="G22" s="816"/>
      <c r="H22" s="816"/>
      <c r="I22" s="816"/>
      <c r="J22" s="816"/>
      <c r="K22" s="816"/>
      <c r="L22" s="851"/>
      <c r="M22" s="852" t="s">
        <v>75</v>
      </c>
      <c r="N22" s="852" t="s">
        <v>460</v>
      </c>
      <c r="O22" s="852"/>
      <c r="P22" s="843"/>
      <c r="Q22" s="852"/>
      <c r="R22" s="901"/>
      <c r="S22" s="901"/>
      <c r="T22" s="852"/>
      <c r="U22" s="852"/>
      <c r="V22" s="852"/>
      <c r="W22" s="852"/>
      <c r="X22" s="852"/>
      <c r="Y22" s="852"/>
      <c r="Z22" s="841"/>
      <c r="AA22" s="841" t="s">
        <v>461</v>
      </c>
      <c r="AB22" s="841"/>
      <c r="AC22" s="841"/>
      <c r="AD22" s="841"/>
      <c r="AE22" s="841"/>
      <c r="AF22" s="852"/>
      <c r="AG22" s="852"/>
      <c r="AH22" s="852"/>
      <c r="AI22" s="852"/>
      <c r="AJ22" s="852"/>
      <c r="AK22" s="852"/>
      <c r="AL22" s="852"/>
      <c r="AM22" s="852"/>
      <c r="AN22" s="852"/>
      <c r="AO22" s="852"/>
      <c r="AP22" s="853"/>
      <c r="AQ22" s="816"/>
      <c r="AR22" s="816"/>
      <c r="AS22" s="816"/>
      <c r="AT22" s="816"/>
      <c r="AU22" s="816"/>
      <c r="AV22" s="816"/>
      <c r="AW22" s="816"/>
      <c r="AX22" s="819"/>
    </row>
    <row r="23" spans="1:50" s="4" customFormat="1" ht="12">
      <c r="A23" s="840"/>
      <c r="B23" s="838"/>
      <c r="C23" s="839"/>
      <c r="D23" s="816"/>
      <c r="E23" s="816"/>
      <c r="F23" s="816"/>
      <c r="G23" s="816"/>
      <c r="H23" s="816"/>
      <c r="I23" s="816"/>
      <c r="J23" s="816"/>
      <c r="K23" s="816"/>
      <c r="L23" s="851"/>
      <c r="M23" s="852"/>
      <c r="N23" s="852"/>
      <c r="O23" s="852" t="s">
        <v>462</v>
      </c>
      <c r="P23" s="843"/>
      <c r="Q23" s="852"/>
      <c r="R23" s="901"/>
      <c r="S23" s="901"/>
      <c r="T23" s="852"/>
      <c r="U23" s="852"/>
      <c r="V23" s="852"/>
      <c r="W23" s="852"/>
      <c r="X23" s="852"/>
      <c r="Y23" s="852"/>
      <c r="Z23" s="841"/>
      <c r="AA23" s="841"/>
      <c r="AB23" s="841"/>
      <c r="AC23" s="841"/>
      <c r="AD23" s="841"/>
      <c r="AE23" s="841"/>
      <c r="AF23" s="852"/>
      <c r="AG23" s="852"/>
      <c r="AH23" s="852"/>
      <c r="AI23" s="852"/>
      <c r="AJ23" s="852"/>
      <c r="AK23" s="852"/>
      <c r="AL23" s="852"/>
      <c r="AM23" s="852"/>
      <c r="AN23" s="852"/>
      <c r="AO23" s="852"/>
      <c r="AP23" s="853"/>
      <c r="AQ23" s="816"/>
      <c r="AR23" s="816"/>
      <c r="AS23" s="816"/>
      <c r="AT23" s="816"/>
      <c r="AU23" s="816"/>
      <c r="AV23" s="816"/>
      <c r="AW23" s="816"/>
      <c r="AX23" s="819"/>
    </row>
    <row r="24" spans="1:50" s="4" customFormat="1" ht="12">
      <c r="A24" s="840"/>
      <c r="B24" s="838"/>
      <c r="C24" s="839"/>
      <c r="D24" s="816"/>
      <c r="E24" s="816"/>
      <c r="F24" s="816"/>
      <c r="G24" s="816"/>
      <c r="H24" s="816"/>
      <c r="I24" s="816"/>
      <c r="J24" s="816"/>
      <c r="K24" s="816"/>
      <c r="L24" s="851"/>
      <c r="M24" s="852"/>
      <c r="N24" s="852"/>
      <c r="O24" s="852"/>
      <c r="P24" s="843"/>
      <c r="Q24" s="852"/>
      <c r="R24" s="901"/>
      <c r="S24" s="901"/>
      <c r="T24" s="852"/>
      <c r="U24" s="852"/>
      <c r="V24" s="852"/>
      <c r="W24" s="852"/>
      <c r="X24" s="852"/>
      <c r="Y24" s="852"/>
      <c r="Z24" s="841"/>
      <c r="AA24" s="841"/>
      <c r="AB24" s="841"/>
      <c r="AC24" s="841"/>
      <c r="AD24" s="841"/>
      <c r="AE24" s="841"/>
      <c r="AF24" s="852"/>
      <c r="AG24" s="852"/>
      <c r="AH24" s="852"/>
      <c r="AI24" s="852"/>
      <c r="AJ24" s="852"/>
      <c r="AK24" s="852"/>
      <c r="AL24" s="852"/>
      <c r="AM24" s="852"/>
      <c r="AN24" s="852"/>
      <c r="AO24" s="852"/>
      <c r="AP24" s="853"/>
      <c r="AQ24" s="816"/>
      <c r="AR24" s="816"/>
      <c r="AS24" s="816"/>
      <c r="AT24" s="816"/>
      <c r="AU24" s="816"/>
      <c r="AV24" s="816"/>
      <c r="AW24" s="816"/>
      <c r="AX24" s="819"/>
    </row>
    <row r="25" spans="1:50" s="4" customFormat="1" ht="12">
      <c r="A25" s="840"/>
      <c r="B25" s="838"/>
      <c r="C25" s="839"/>
      <c r="D25" s="816"/>
      <c r="E25" s="816"/>
      <c r="F25" s="816"/>
      <c r="G25" s="816"/>
      <c r="H25" s="816"/>
      <c r="I25" s="816"/>
      <c r="J25" s="816"/>
      <c r="K25" s="816"/>
      <c r="L25" s="851"/>
      <c r="M25" s="852" t="s">
        <v>75</v>
      </c>
      <c r="N25" s="852" t="s">
        <v>463</v>
      </c>
      <c r="O25" s="852"/>
      <c r="P25" s="843"/>
      <c r="Q25" s="852"/>
      <c r="R25" s="901"/>
      <c r="S25" s="901"/>
      <c r="T25" s="852"/>
      <c r="U25" s="852"/>
      <c r="V25" s="852"/>
      <c r="W25" s="852"/>
      <c r="X25" s="852"/>
      <c r="Y25" s="852"/>
      <c r="Z25" s="841"/>
      <c r="AA25" s="841" t="s">
        <v>464</v>
      </c>
      <c r="AB25" s="841"/>
      <c r="AC25" s="841"/>
      <c r="AD25" s="841"/>
      <c r="AE25" s="841"/>
      <c r="AF25" s="852"/>
      <c r="AG25" s="852"/>
      <c r="AH25" s="852"/>
      <c r="AI25" s="852"/>
      <c r="AJ25" s="852"/>
      <c r="AK25" s="852"/>
      <c r="AL25" s="852"/>
      <c r="AM25" s="852"/>
      <c r="AN25" s="852"/>
      <c r="AO25" s="852"/>
      <c r="AP25" s="853"/>
      <c r="AQ25" s="816"/>
      <c r="AR25" s="816"/>
      <c r="AS25" s="816"/>
      <c r="AT25" s="816"/>
      <c r="AU25" s="816"/>
      <c r="AV25" s="816"/>
      <c r="AW25" s="816"/>
      <c r="AX25" s="819"/>
    </row>
    <row r="26" spans="1:50" s="4" customFormat="1" ht="12">
      <c r="A26" s="840"/>
      <c r="B26" s="838"/>
      <c r="C26" s="839"/>
      <c r="D26" s="816"/>
      <c r="E26" s="816"/>
      <c r="F26" s="816"/>
      <c r="G26" s="816"/>
      <c r="H26" s="816"/>
      <c r="I26" s="816"/>
      <c r="J26" s="816"/>
      <c r="K26" s="816"/>
      <c r="L26" s="851"/>
      <c r="M26" s="852"/>
      <c r="N26" s="852"/>
      <c r="O26" s="852" t="s">
        <v>465</v>
      </c>
      <c r="P26" s="843"/>
      <c r="Q26" s="852"/>
      <c r="R26" s="901"/>
      <c r="S26" s="901"/>
      <c r="T26" s="852"/>
      <c r="U26" s="852"/>
      <c r="V26" s="852"/>
      <c r="W26" s="852"/>
      <c r="X26" s="852"/>
      <c r="Y26" s="852"/>
      <c r="Z26" s="841"/>
      <c r="AA26" s="841"/>
      <c r="AB26" s="841"/>
      <c r="AC26" s="841"/>
      <c r="AD26" s="841"/>
      <c r="AE26" s="841"/>
      <c r="AF26" s="852"/>
      <c r="AG26" s="852"/>
      <c r="AH26" s="852"/>
      <c r="AI26" s="852"/>
      <c r="AJ26" s="852"/>
      <c r="AK26" s="852"/>
      <c r="AL26" s="852"/>
      <c r="AM26" s="852"/>
      <c r="AN26" s="852"/>
      <c r="AO26" s="852"/>
      <c r="AP26" s="853"/>
      <c r="AQ26" s="816"/>
      <c r="AR26" s="816"/>
      <c r="AS26" s="816"/>
      <c r="AT26" s="816"/>
      <c r="AU26" s="816"/>
      <c r="AV26" s="816"/>
      <c r="AW26" s="816"/>
      <c r="AX26" s="819"/>
    </row>
    <row r="27" spans="1:50" s="4" customFormat="1" ht="12">
      <c r="A27" s="840"/>
      <c r="B27" s="838"/>
      <c r="C27" s="839"/>
      <c r="D27" s="816"/>
      <c r="E27" s="816"/>
      <c r="F27" s="816"/>
      <c r="G27" s="816"/>
      <c r="H27" s="816"/>
      <c r="I27" s="816"/>
      <c r="J27" s="816"/>
      <c r="K27" s="816"/>
      <c r="L27" s="851"/>
      <c r="M27" s="852"/>
      <c r="N27" s="852"/>
      <c r="O27" s="852"/>
      <c r="P27" s="843"/>
      <c r="Q27" s="852"/>
      <c r="R27" s="901"/>
      <c r="S27" s="901"/>
      <c r="T27" s="852"/>
      <c r="U27" s="852"/>
      <c r="V27" s="852"/>
      <c r="W27" s="852"/>
      <c r="X27" s="852"/>
      <c r="Y27" s="852"/>
      <c r="Z27" s="841"/>
      <c r="AA27" s="841"/>
      <c r="AB27" s="841"/>
      <c r="AC27" s="841"/>
      <c r="AD27" s="841"/>
      <c r="AE27" s="841"/>
      <c r="AF27" s="852"/>
      <c r="AG27" s="852"/>
      <c r="AH27" s="852"/>
      <c r="AI27" s="852"/>
      <c r="AJ27" s="852"/>
      <c r="AK27" s="852"/>
      <c r="AL27" s="852"/>
      <c r="AM27" s="852"/>
      <c r="AN27" s="852"/>
      <c r="AO27" s="852"/>
      <c r="AP27" s="853"/>
      <c r="AQ27" s="816"/>
      <c r="AR27" s="816"/>
      <c r="AS27" s="816"/>
      <c r="AT27" s="816"/>
      <c r="AU27" s="816"/>
      <c r="AV27" s="816"/>
      <c r="AW27" s="816"/>
      <c r="AX27" s="819"/>
    </row>
    <row r="28" spans="1:50" s="4" customFormat="1" ht="12">
      <c r="A28" s="840"/>
      <c r="B28" s="838"/>
      <c r="C28" s="839"/>
      <c r="D28" s="816"/>
      <c r="E28" s="816"/>
      <c r="F28" s="816"/>
      <c r="G28" s="816"/>
      <c r="H28" s="816"/>
      <c r="I28" s="816"/>
      <c r="J28" s="816"/>
      <c r="K28" s="816"/>
      <c r="L28" s="851"/>
      <c r="M28" s="852" t="s">
        <v>75</v>
      </c>
      <c r="N28" s="852" t="s">
        <v>466</v>
      </c>
      <c r="O28" s="852"/>
      <c r="P28" s="843"/>
      <c r="Q28" s="852"/>
      <c r="R28" s="901"/>
      <c r="S28" s="901"/>
      <c r="T28" s="852"/>
      <c r="U28" s="852"/>
      <c r="V28" s="852"/>
      <c r="W28" s="852"/>
      <c r="X28" s="852"/>
      <c r="Y28" s="852"/>
      <c r="Z28" s="841"/>
      <c r="AA28" s="841"/>
      <c r="AB28" s="841"/>
      <c r="AC28" s="841"/>
      <c r="AD28" s="841"/>
      <c r="AE28" s="841"/>
      <c r="AF28" s="852"/>
      <c r="AG28" s="852"/>
      <c r="AH28" s="852"/>
      <c r="AI28" s="852"/>
      <c r="AJ28" s="852"/>
      <c r="AK28" s="852"/>
      <c r="AL28" s="852"/>
      <c r="AM28" s="852"/>
      <c r="AN28" s="852"/>
      <c r="AO28" s="852"/>
      <c r="AP28" s="853"/>
      <c r="AQ28" s="816"/>
      <c r="AR28" s="816"/>
      <c r="AS28" s="816"/>
      <c r="AT28" s="816"/>
      <c r="AU28" s="816"/>
      <c r="AV28" s="816"/>
      <c r="AW28" s="816"/>
      <c r="AX28" s="819"/>
    </row>
    <row r="29" spans="1:50" s="4" customFormat="1" ht="12">
      <c r="A29" s="840"/>
      <c r="B29" s="838"/>
      <c r="C29" s="839"/>
      <c r="D29" s="816"/>
      <c r="E29" s="816"/>
      <c r="F29" s="816"/>
      <c r="G29" s="816"/>
      <c r="H29" s="816"/>
      <c r="I29" s="816"/>
      <c r="J29" s="816"/>
      <c r="K29" s="816"/>
      <c r="L29" s="851"/>
      <c r="M29" s="852"/>
      <c r="N29" s="852"/>
      <c r="O29" s="841" t="s">
        <v>461</v>
      </c>
      <c r="P29" s="843"/>
      <c r="Q29" s="852"/>
      <c r="R29" s="901"/>
      <c r="S29" s="901"/>
      <c r="T29" s="852"/>
      <c r="U29" s="852"/>
      <c r="V29" s="852"/>
      <c r="W29" s="852"/>
      <c r="X29" s="852"/>
      <c r="Y29" s="852"/>
      <c r="Z29" s="841"/>
      <c r="AA29" s="841"/>
      <c r="AB29" s="841"/>
      <c r="AC29" s="841"/>
      <c r="AD29" s="841"/>
      <c r="AE29" s="841"/>
      <c r="AF29" s="852"/>
      <c r="AG29" s="852"/>
      <c r="AH29" s="852"/>
      <c r="AI29" s="852"/>
      <c r="AJ29" s="852"/>
      <c r="AK29" s="852"/>
      <c r="AL29" s="852"/>
      <c r="AM29" s="852"/>
      <c r="AN29" s="852"/>
      <c r="AO29" s="852"/>
      <c r="AP29" s="853"/>
      <c r="AQ29" s="816"/>
      <c r="AR29" s="816"/>
      <c r="AS29" s="816"/>
      <c r="AT29" s="816"/>
      <c r="AU29" s="816"/>
      <c r="AV29" s="816"/>
      <c r="AW29" s="816"/>
      <c r="AX29" s="819"/>
    </row>
    <row r="30" spans="1:50" s="4" customFormat="1" ht="12">
      <c r="A30" s="840"/>
      <c r="B30" s="838"/>
      <c r="C30" s="839"/>
      <c r="D30" s="816"/>
      <c r="E30" s="816"/>
      <c r="F30" s="816"/>
      <c r="G30" s="816"/>
      <c r="H30" s="816"/>
      <c r="I30" s="816"/>
      <c r="J30" s="816"/>
      <c r="K30" s="816"/>
      <c r="L30" s="851"/>
      <c r="M30" s="852"/>
      <c r="N30" s="852"/>
      <c r="O30" s="841" t="s">
        <v>464</v>
      </c>
      <c r="P30" s="843"/>
      <c r="Q30" s="852"/>
      <c r="R30" s="901"/>
      <c r="S30" s="901"/>
      <c r="T30" s="852"/>
      <c r="U30" s="852"/>
      <c r="V30" s="852"/>
      <c r="W30" s="852"/>
      <c r="X30" s="852"/>
      <c r="Y30" s="852"/>
      <c r="Z30" s="841"/>
      <c r="AA30" s="841"/>
      <c r="AB30" s="841"/>
      <c r="AC30" s="841"/>
      <c r="AD30" s="841"/>
      <c r="AE30" s="841"/>
      <c r="AF30" s="852"/>
      <c r="AG30" s="852"/>
      <c r="AH30" s="852"/>
      <c r="AI30" s="852"/>
      <c r="AJ30" s="852"/>
      <c r="AK30" s="852"/>
      <c r="AL30" s="852"/>
      <c r="AM30" s="852"/>
      <c r="AN30" s="852"/>
      <c r="AO30" s="852"/>
      <c r="AP30" s="853"/>
      <c r="AQ30" s="816"/>
      <c r="AR30" s="816"/>
      <c r="AS30" s="816"/>
      <c r="AT30" s="816"/>
      <c r="AU30" s="816"/>
      <c r="AV30" s="816"/>
      <c r="AW30" s="816"/>
      <c r="AX30" s="819"/>
    </row>
    <row r="31" spans="1:50" s="4" customFormat="1" ht="12">
      <c r="A31" s="840"/>
      <c r="B31" s="838"/>
      <c r="C31" s="839"/>
      <c r="D31" s="816"/>
      <c r="E31" s="816"/>
      <c r="F31" s="816"/>
      <c r="G31" s="816"/>
      <c r="H31" s="816"/>
      <c r="I31" s="816"/>
      <c r="J31" s="816"/>
      <c r="K31" s="816"/>
      <c r="L31" s="851"/>
      <c r="M31" s="852"/>
      <c r="N31" s="852"/>
      <c r="O31" s="852"/>
      <c r="P31" s="843"/>
      <c r="Q31" s="852"/>
      <c r="R31" s="901"/>
      <c r="S31" s="901"/>
      <c r="T31" s="852"/>
      <c r="U31" s="852"/>
      <c r="V31" s="852"/>
      <c r="W31" s="852"/>
      <c r="X31" s="852"/>
      <c r="Y31" s="852"/>
      <c r="Z31" s="841"/>
      <c r="AA31" s="841"/>
      <c r="AB31" s="841"/>
      <c r="AC31" s="841"/>
      <c r="AD31" s="841"/>
      <c r="AE31" s="841"/>
      <c r="AF31" s="852"/>
      <c r="AG31" s="852"/>
      <c r="AH31" s="852"/>
      <c r="AI31" s="852"/>
      <c r="AJ31" s="852"/>
      <c r="AK31" s="852"/>
      <c r="AL31" s="852"/>
      <c r="AM31" s="852"/>
      <c r="AN31" s="852"/>
      <c r="AO31" s="852"/>
      <c r="AP31" s="853"/>
      <c r="AQ31" s="816"/>
      <c r="AR31" s="816"/>
      <c r="AS31" s="816"/>
      <c r="AT31" s="816"/>
      <c r="AU31" s="816"/>
      <c r="AV31" s="816"/>
      <c r="AW31" s="816"/>
      <c r="AX31" s="819"/>
    </row>
    <row r="32" spans="1:50" s="4" customFormat="1" ht="12">
      <c r="A32" s="840"/>
      <c r="B32" s="838"/>
      <c r="C32" s="839"/>
      <c r="D32" s="816"/>
      <c r="E32" s="816"/>
      <c r="F32" s="816"/>
      <c r="G32" s="816"/>
      <c r="H32" s="816"/>
      <c r="I32" s="816"/>
      <c r="J32" s="816"/>
      <c r="K32" s="816"/>
      <c r="L32" s="851"/>
      <c r="M32" s="852" t="s">
        <v>467</v>
      </c>
      <c r="N32" s="852"/>
      <c r="O32" s="843"/>
      <c r="P32" s="852"/>
      <c r="Q32" s="901"/>
      <c r="R32" s="901"/>
      <c r="S32" s="852"/>
      <c r="T32" s="852"/>
      <c r="U32" s="852"/>
      <c r="V32" s="852"/>
      <c r="W32" s="852"/>
      <c r="X32" s="852"/>
      <c r="Y32" s="841"/>
      <c r="Z32" s="841"/>
      <c r="AA32" s="841"/>
      <c r="AB32" s="841"/>
      <c r="AC32" s="841"/>
      <c r="AD32" s="841"/>
      <c r="AE32" s="852"/>
      <c r="AF32" s="852"/>
      <c r="AG32" s="852"/>
      <c r="AH32" s="852"/>
      <c r="AI32" s="852"/>
      <c r="AJ32" s="852"/>
      <c r="AK32" s="852"/>
      <c r="AL32" s="852"/>
      <c r="AM32" s="852"/>
      <c r="AN32" s="852"/>
      <c r="AO32" s="852"/>
      <c r="AP32" s="853"/>
      <c r="AQ32" s="816"/>
      <c r="AR32" s="816"/>
      <c r="AS32" s="816"/>
      <c r="AT32" s="816"/>
      <c r="AU32" s="816"/>
      <c r="AV32" s="816"/>
      <c r="AW32" s="816"/>
      <c r="AX32" s="819"/>
    </row>
    <row r="33" spans="1:52" s="4" customFormat="1" ht="12">
      <c r="A33" s="840"/>
      <c r="B33" s="838"/>
      <c r="C33" s="839"/>
      <c r="D33" s="816"/>
      <c r="E33" s="816"/>
      <c r="F33" s="816"/>
      <c r="G33" s="816"/>
      <c r="H33" s="816"/>
      <c r="I33" s="816"/>
      <c r="J33" s="816"/>
      <c r="K33" s="816"/>
      <c r="L33" s="851"/>
      <c r="M33" s="852" t="s">
        <v>75</v>
      </c>
      <c r="N33" s="852" t="s">
        <v>468</v>
      </c>
      <c r="O33" s="852"/>
      <c r="P33" s="843"/>
      <c r="Q33" s="852"/>
      <c r="R33" s="901"/>
      <c r="S33" s="901"/>
      <c r="T33" s="852"/>
      <c r="U33" s="852"/>
      <c r="V33" s="852"/>
      <c r="W33" s="852"/>
      <c r="X33" s="852"/>
      <c r="Y33" s="852"/>
      <c r="Z33" s="841"/>
      <c r="AA33" s="841" t="s">
        <v>469</v>
      </c>
      <c r="AB33" s="841"/>
      <c r="AC33" s="841"/>
      <c r="AD33" s="841"/>
      <c r="AE33" s="852"/>
      <c r="AF33" s="852"/>
      <c r="AG33" s="852"/>
      <c r="AH33" s="852"/>
      <c r="AI33" s="852"/>
      <c r="AJ33" s="852"/>
      <c r="AK33" s="852"/>
      <c r="AL33" s="852"/>
      <c r="AM33" s="852"/>
      <c r="AN33" s="852"/>
      <c r="AO33" s="852"/>
      <c r="AP33" s="853"/>
      <c r="AQ33" s="816"/>
      <c r="AR33" s="816"/>
      <c r="AS33" s="816"/>
      <c r="AT33" s="816"/>
      <c r="AU33" s="816"/>
      <c r="AV33" s="816"/>
      <c r="AW33" s="816"/>
      <c r="AX33" s="819"/>
    </row>
    <row r="34" spans="1:52" s="4" customFormat="1" ht="12">
      <c r="A34" s="840"/>
      <c r="B34" s="838"/>
      <c r="C34" s="839"/>
      <c r="D34" s="816"/>
      <c r="E34" s="816"/>
      <c r="F34" s="816"/>
      <c r="G34" s="816"/>
      <c r="H34" s="816"/>
      <c r="I34" s="816"/>
      <c r="J34" s="816"/>
      <c r="K34" s="816"/>
      <c r="L34" s="851"/>
      <c r="M34" s="852"/>
      <c r="N34" s="852"/>
      <c r="O34" s="852"/>
      <c r="P34" s="843"/>
      <c r="Q34" s="852"/>
      <c r="R34" s="901"/>
      <c r="S34" s="901"/>
      <c r="T34" s="852"/>
      <c r="U34" s="852"/>
      <c r="V34" s="852"/>
      <c r="W34" s="852"/>
      <c r="X34" s="852"/>
      <c r="Y34" s="852"/>
      <c r="Z34" s="841"/>
      <c r="AA34" s="843" t="s">
        <v>470</v>
      </c>
      <c r="AB34" s="843" t="s">
        <v>471</v>
      </c>
      <c r="AC34" s="843"/>
      <c r="AD34" s="841"/>
      <c r="AE34" s="852"/>
      <c r="AF34" s="852"/>
      <c r="AG34" s="852"/>
      <c r="AH34" s="852"/>
      <c r="AI34" s="852"/>
      <c r="AJ34" s="852"/>
      <c r="AK34" s="852"/>
      <c r="AL34" s="852"/>
      <c r="AM34" s="852"/>
      <c r="AN34" s="852"/>
      <c r="AO34" s="852"/>
      <c r="AP34" s="853"/>
      <c r="AQ34" s="816"/>
      <c r="AR34" s="816"/>
      <c r="AS34" s="816"/>
      <c r="AT34" s="816"/>
      <c r="AU34" s="816"/>
      <c r="AV34" s="816"/>
      <c r="AW34" s="816"/>
      <c r="AX34" s="819"/>
    </row>
    <row r="35" spans="1:52" s="4" customFormat="1" ht="12">
      <c r="A35" s="840"/>
      <c r="B35" s="838"/>
      <c r="C35" s="839"/>
      <c r="D35" s="816" t="s">
        <v>472</v>
      </c>
      <c r="E35" s="816"/>
      <c r="F35" s="816"/>
      <c r="G35" s="816"/>
      <c r="H35" s="816"/>
      <c r="I35" s="816"/>
      <c r="J35" s="816"/>
      <c r="K35" s="816"/>
      <c r="L35" s="851"/>
      <c r="M35" s="852"/>
      <c r="N35" s="852" t="s">
        <v>473</v>
      </c>
      <c r="O35" s="852"/>
      <c r="P35" s="843"/>
      <c r="Q35" s="852"/>
      <c r="R35" s="901"/>
      <c r="S35" s="901"/>
      <c r="T35" s="852"/>
      <c r="U35" s="852"/>
      <c r="V35" s="852"/>
      <c r="W35" s="852"/>
      <c r="X35" s="852"/>
      <c r="Y35" s="852"/>
      <c r="Z35" s="841"/>
      <c r="AA35" s="843"/>
      <c r="AB35" s="843"/>
      <c r="AC35" s="843"/>
      <c r="AD35" s="841"/>
      <c r="AE35" s="852"/>
      <c r="AF35" s="852"/>
      <c r="AG35" s="852"/>
      <c r="AH35" s="852"/>
      <c r="AI35" s="852"/>
      <c r="AJ35" s="852"/>
      <c r="AK35" s="852"/>
      <c r="AL35" s="852"/>
      <c r="AM35" s="852"/>
      <c r="AN35" s="852"/>
      <c r="AO35" s="852"/>
      <c r="AP35" s="853"/>
      <c r="AQ35" s="816"/>
      <c r="AR35" s="816"/>
      <c r="AS35" s="816"/>
      <c r="AT35" s="816"/>
      <c r="AU35" s="816"/>
      <c r="AV35" s="816"/>
      <c r="AW35" s="816"/>
      <c r="AX35" s="819"/>
    </row>
    <row r="36" spans="1:52" s="4" customFormat="1" ht="12">
      <c r="A36" s="840"/>
      <c r="B36" s="838"/>
      <c r="C36" s="839"/>
      <c r="D36" s="816"/>
      <c r="E36" s="816"/>
      <c r="F36" s="816"/>
      <c r="G36" s="816"/>
      <c r="H36" s="816"/>
      <c r="I36" s="816"/>
      <c r="J36" s="816"/>
      <c r="K36" s="816"/>
      <c r="L36" s="851"/>
      <c r="M36" s="852"/>
      <c r="N36" s="852"/>
      <c r="O36" s="852" t="s">
        <v>474</v>
      </c>
      <c r="P36" s="843"/>
      <c r="Q36" s="852"/>
      <c r="R36" s="901"/>
      <c r="S36" s="901"/>
      <c r="T36" s="852"/>
      <c r="U36" s="852"/>
      <c r="V36" s="852"/>
      <c r="W36" s="852"/>
      <c r="X36" s="852"/>
      <c r="Y36" s="852"/>
      <c r="Z36" s="841"/>
      <c r="AA36" s="843"/>
      <c r="AB36" s="843"/>
      <c r="AC36" s="843"/>
      <c r="AD36" s="841"/>
      <c r="AE36" s="852"/>
      <c r="AF36" s="852"/>
      <c r="AG36" s="852"/>
      <c r="AH36" s="852"/>
      <c r="AI36" s="852"/>
      <c r="AJ36" s="852"/>
      <c r="AK36" s="852"/>
      <c r="AL36" s="852"/>
      <c r="AM36" s="852"/>
      <c r="AN36" s="852"/>
      <c r="AO36" s="852"/>
      <c r="AP36" s="853"/>
      <c r="AQ36" s="816"/>
      <c r="AR36" s="816"/>
      <c r="AS36" s="816"/>
      <c r="AT36" s="816"/>
      <c r="AU36" s="816"/>
      <c r="AV36" s="816"/>
      <c r="AW36" s="816"/>
      <c r="AX36" s="819"/>
    </row>
    <row r="37" spans="1:52" s="4" customFormat="1" ht="12">
      <c r="A37" s="840"/>
      <c r="B37" s="838"/>
      <c r="C37" s="839"/>
      <c r="D37" s="816"/>
      <c r="E37" s="816"/>
      <c r="F37" s="816"/>
      <c r="G37" s="816"/>
      <c r="H37" s="816"/>
      <c r="I37" s="816"/>
      <c r="J37" s="816"/>
      <c r="K37" s="816"/>
      <c r="L37" s="851"/>
      <c r="M37" s="852"/>
      <c r="N37" s="852"/>
      <c r="O37" s="852"/>
      <c r="P37" s="843"/>
      <c r="Q37" s="852"/>
      <c r="R37" s="901"/>
      <c r="S37" s="901"/>
      <c r="T37" s="852"/>
      <c r="U37" s="852"/>
      <c r="V37" s="852"/>
      <c r="W37" s="852"/>
      <c r="X37" s="852"/>
      <c r="Y37" s="852"/>
      <c r="Z37" s="841"/>
      <c r="AA37" s="843"/>
      <c r="AB37" s="843"/>
      <c r="AC37" s="843"/>
      <c r="AD37" s="841"/>
      <c r="AE37" s="852"/>
      <c r="AF37" s="852"/>
      <c r="AG37" s="852"/>
      <c r="AH37" s="852"/>
      <c r="AI37" s="852"/>
      <c r="AJ37" s="852"/>
      <c r="AK37" s="852"/>
      <c r="AL37" s="852"/>
      <c r="AM37" s="852"/>
      <c r="AN37" s="852"/>
      <c r="AO37" s="852"/>
      <c r="AP37" s="853"/>
      <c r="AQ37" s="816"/>
      <c r="AR37" s="816"/>
      <c r="AS37" s="816"/>
      <c r="AT37" s="816"/>
      <c r="AU37" s="816"/>
      <c r="AV37" s="816"/>
      <c r="AW37" s="816"/>
      <c r="AX37" s="819"/>
    </row>
    <row r="38" spans="1:52" s="4" customFormat="1" ht="12">
      <c r="A38" s="840"/>
      <c r="B38" s="838"/>
      <c r="C38" s="839"/>
      <c r="D38" s="816"/>
      <c r="E38" s="816"/>
      <c r="F38" s="816"/>
      <c r="G38" s="816"/>
      <c r="H38" s="816"/>
      <c r="I38" s="816"/>
      <c r="J38" s="816"/>
      <c r="K38" s="816"/>
      <c r="L38" s="851"/>
      <c r="M38" s="852"/>
      <c r="N38" s="852" t="s">
        <v>475</v>
      </c>
      <c r="O38" s="852"/>
      <c r="P38" s="843"/>
      <c r="Q38" s="852"/>
      <c r="R38" s="901"/>
      <c r="S38" s="901"/>
      <c r="T38" s="852"/>
      <c r="U38" s="852"/>
      <c r="V38" s="852"/>
      <c r="W38" s="852"/>
      <c r="X38" s="852"/>
      <c r="Y38" s="852"/>
      <c r="Z38" s="841"/>
      <c r="AA38" s="843"/>
      <c r="AB38" s="843"/>
      <c r="AC38" s="843"/>
      <c r="AD38" s="841"/>
      <c r="AE38" s="852"/>
      <c r="AF38" s="852"/>
      <c r="AG38" s="852"/>
      <c r="AH38" s="852"/>
      <c r="AI38" s="852"/>
      <c r="AJ38" s="852"/>
      <c r="AK38" s="852"/>
      <c r="AL38" s="852"/>
      <c r="AM38" s="852"/>
      <c r="AN38" s="852"/>
      <c r="AO38" s="852"/>
      <c r="AP38" s="853"/>
      <c r="AQ38" s="816"/>
      <c r="AR38" s="816"/>
      <c r="AS38" s="816"/>
      <c r="AT38" s="816"/>
      <c r="AU38" s="816"/>
      <c r="AV38" s="816"/>
      <c r="AW38" s="816"/>
      <c r="AX38" s="819"/>
    </row>
    <row r="39" spans="1:52" s="4" customFormat="1" ht="12">
      <c r="A39" s="840"/>
      <c r="B39" s="838"/>
      <c r="C39" s="839"/>
      <c r="D39" s="816"/>
      <c r="E39" s="816"/>
      <c r="F39" s="816"/>
      <c r="G39" s="816"/>
      <c r="H39" s="816"/>
      <c r="I39" s="816"/>
      <c r="J39" s="816"/>
      <c r="K39" s="816"/>
      <c r="L39" s="851"/>
      <c r="M39" s="852"/>
      <c r="N39" s="852"/>
      <c r="O39" s="852" t="s">
        <v>476</v>
      </c>
      <c r="P39" s="843"/>
      <c r="Q39" s="852"/>
      <c r="R39" s="901"/>
      <c r="S39" s="901"/>
      <c r="T39" s="852"/>
      <c r="U39" s="852"/>
      <c r="V39" s="852"/>
      <c r="W39" s="852"/>
      <c r="X39" s="852"/>
      <c r="Y39" s="852"/>
      <c r="Z39" s="841"/>
      <c r="AA39" s="843"/>
      <c r="AB39" s="843"/>
      <c r="AC39" s="843"/>
      <c r="AD39" s="841"/>
      <c r="AE39" s="852"/>
      <c r="AF39" s="852"/>
      <c r="AG39" s="852"/>
      <c r="AH39" s="852"/>
      <c r="AI39" s="852"/>
      <c r="AJ39" s="852"/>
      <c r="AK39" s="852"/>
      <c r="AL39" s="852"/>
      <c r="AM39" s="852"/>
      <c r="AN39" s="852"/>
      <c r="AO39" s="852"/>
      <c r="AP39" s="853"/>
      <c r="AQ39" s="816"/>
      <c r="AR39" s="816"/>
      <c r="AS39" s="816"/>
      <c r="AT39" s="816"/>
      <c r="AU39" s="816"/>
      <c r="AV39" s="816"/>
      <c r="AW39" s="816"/>
      <c r="AX39" s="819"/>
    </row>
    <row r="40" spans="1:52" s="4" customFormat="1" ht="12">
      <c r="A40" s="840"/>
      <c r="B40" s="838"/>
      <c r="C40" s="839"/>
      <c r="D40" s="816"/>
      <c r="E40" s="816"/>
      <c r="F40" s="816"/>
      <c r="G40" s="816"/>
      <c r="H40" s="816"/>
      <c r="I40" s="816"/>
      <c r="J40" s="816"/>
      <c r="K40" s="816"/>
      <c r="L40" s="851"/>
      <c r="M40" s="852"/>
      <c r="N40" s="852"/>
      <c r="O40" s="852"/>
      <c r="P40" s="843"/>
      <c r="Q40" s="852"/>
      <c r="R40" s="901"/>
      <c r="S40" s="901"/>
      <c r="T40" s="852"/>
      <c r="U40" s="852"/>
      <c r="V40" s="852"/>
      <c r="W40" s="852"/>
      <c r="X40" s="852"/>
      <c r="Y40" s="852"/>
      <c r="Z40" s="841"/>
      <c r="AA40" s="843"/>
      <c r="AB40" s="843"/>
      <c r="AC40" s="843"/>
      <c r="AD40" s="841"/>
      <c r="AE40" s="852"/>
      <c r="AF40" s="852"/>
      <c r="AG40" s="852"/>
      <c r="AH40" s="852"/>
      <c r="AI40" s="852"/>
      <c r="AJ40" s="852"/>
      <c r="AK40" s="852"/>
      <c r="AL40" s="852"/>
      <c r="AM40" s="852"/>
      <c r="AN40" s="852"/>
      <c r="AO40" s="852"/>
      <c r="AP40" s="853"/>
      <c r="AQ40" s="816"/>
      <c r="AR40" s="816"/>
      <c r="AS40" s="816"/>
      <c r="AT40" s="816"/>
      <c r="AU40" s="816"/>
      <c r="AV40" s="816"/>
      <c r="AW40" s="816"/>
      <c r="AX40" s="819"/>
    </row>
    <row r="41" spans="1:52" s="4" customFormat="1" ht="12">
      <c r="A41" s="840"/>
      <c r="B41" s="838"/>
      <c r="C41" s="839"/>
      <c r="D41" s="816"/>
      <c r="E41" s="816"/>
      <c r="F41" s="816"/>
      <c r="G41" s="816"/>
      <c r="H41" s="816"/>
      <c r="I41" s="816"/>
      <c r="J41" s="816"/>
      <c r="K41" s="816"/>
      <c r="L41" s="851"/>
      <c r="M41" s="852" t="s">
        <v>75</v>
      </c>
      <c r="N41" s="852" t="s">
        <v>477</v>
      </c>
      <c r="O41" s="852"/>
      <c r="P41" s="843"/>
      <c r="Q41" s="852"/>
      <c r="R41" s="901"/>
      <c r="S41" s="901"/>
      <c r="T41" s="852"/>
      <c r="U41" s="852"/>
      <c r="V41" s="852"/>
      <c r="W41" s="852"/>
      <c r="X41" s="852"/>
      <c r="Y41" s="852"/>
      <c r="Z41" s="841"/>
      <c r="AA41" s="841" t="s">
        <v>478</v>
      </c>
      <c r="AB41" s="841"/>
      <c r="AC41" s="841"/>
      <c r="AD41" s="841"/>
      <c r="AE41" s="852"/>
      <c r="AF41" s="852"/>
      <c r="AG41" s="852"/>
      <c r="AH41" s="852"/>
      <c r="AI41" s="852"/>
      <c r="AJ41" s="852"/>
      <c r="AK41" s="852"/>
      <c r="AL41" s="852"/>
      <c r="AM41" s="852"/>
      <c r="AN41" s="852"/>
      <c r="AO41" s="852"/>
      <c r="AP41" s="853"/>
      <c r="AQ41" s="816"/>
      <c r="AR41" s="816"/>
      <c r="AS41" s="816"/>
      <c r="AT41" s="816"/>
      <c r="AU41" s="816"/>
      <c r="AV41" s="816"/>
      <c r="AW41" s="816"/>
      <c r="AX41" s="819"/>
    </row>
    <row r="42" spans="1:52" s="4" customFormat="1" ht="12">
      <c r="A42" s="840"/>
      <c r="B42" s="838"/>
      <c r="C42" s="839"/>
      <c r="D42" s="816"/>
      <c r="E42" s="816"/>
      <c r="F42" s="816"/>
      <c r="G42" s="816"/>
      <c r="H42" s="816"/>
      <c r="I42" s="816"/>
      <c r="J42" s="816"/>
      <c r="K42" s="816"/>
      <c r="L42" s="851"/>
      <c r="M42" s="852"/>
      <c r="N42" s="852"/>
      <c r="O42" s="852"/>
      <c r="P42" s="843"/>
      <c r="Q42" s="852"/>
      <c r="R42" s="901"/>
      <c r="S42" s="901"/>
      <c r="T42" s="852"/>
      <c r="U42" s="852"/>
      <c r="V42" s="852"/>
      <c r="W42" s="852"/>
      <c r="X42" s="852"/>
      <c r="Y42" s="852"/>
      <c r="Z42" s="841"/>
      <c r="AA42" s="841"/>
      <c r="AB42" s="841"/>
      <c r="AC42" s="841"/>
      <c r="AD42" s="841"/>
      <c r="AE42" s="852"/>
      <c r="AF42" s="852"/>
      <c r="AG42" s="852"/>
      <c r="AH42" s="852"/>
      <c r="AI42" s="852"/>
      <c r="AJ42" s="852"/>
      <c r="AK42" s="852"/>
      <c r="AL42" s="852"/>
      <c r="AM42" s="852"/>
      <c r="AN42" s="852"/>
      <c r="AO42" s="852"/>
      <c r="AP42" s="853"/>
      <c r="AQ42" s="816"/>
      <c r="AR42" s="816"/>
      <c r="AS42" s="816"/>
      <c r="AT42" s="816"/>
      <c r="AU42" s="816"/>
      <c r="AV42" s="816"/>
      <c r="AW42" s="816"/>
      <c r="AX42" s="819"/>
    </row>
    <row r="43" spans="1:52" s="4" customFormat="1" ht="12">
      <c r="A43" s="840"/>
      <c r="B43" s="838"/>
      <c r="C43" s="839"/>
      <c r="D43" s="816"/>
      <c r="E43" s="816"/>
      <c r="F43" s="816"/>
      <c r="G43" s="816"/>
      <c r="H43" s="816"/>
      <c r="I43" s="816"/>
      <c r="J43" s="816"/>
      <c r="K43" s="816"/>
      <c r="L43" s="851"/>
      <c r="M43" s="852" t="s">
        <v>479</v>
      </c>
      <c r="N43" s="852"/>
      <c r="O43" s="843"/>
      <c r="P43" s="852"/>
      <c r="Q43" s="901"/>
      <c r="R43" s="901"/>
      <c r="S43" s="901"/>
      <c r="T43" s="852"/>
      <c r="U43" s="852"/>
      <c r="V43" s="852"/>
      <c r="W43" s="852"/>
      <c r="X43" s="852"/>
      <c r="Y43" s="852"/>
      <c r="Z43" s="841"/>
      <c r="AA43" s="841"/>
      <c r="AB43" s="841"/>
      <c r="AC43" s="841"/>
      <c r="AD43" s="841"/>
      <c r="AE43" s="852"/>
      <c r="AF43" s="852"/>
      <c r="AG43" s="852"/>
      <c r="AH43" s="852"/>
      <c r="AI43" s="852"/>
      <c r="AJ43" s="852"/>
      <c r="AK43" s="852"/>
      <c r="AL43" s="852"/>
      <c r="AM43" s="852"/>
      <c r="AN43" s="852"/>
      <c r="AO43" s="852"/>
      <c r="AP43" s="853"/>
      <c r="AQ43" s="816"/>
      <c r="AR43" s="816"/>
      <c r="AS43" s="816"/>
      <c r="AT43" s="816"/>
      <c r="AU43" s="816"/>
      <c r="AV43" s="816"/>
      <c r="AW43" s="816"/>
      <c r="AX43" s="819"/>
    </row>
    <row r="44" spans="1:52" s="4" customFormat="1" ht="12">
      <c r="A44" s="840"/>
      <c r="B44" s="838"/>
      <c r="C44" s="839"/>
      <c r="D44" s="816"/>
      <c r="E44" s="816"/>
      <c r="F44" s="816"/>
      <c r="G44" s="816"/>
      <c r="H44" s="816"/>
      <c r="I44" s="816"/>
      <c r="J44" s="816"/>
      <c r="K44" s="816"/>
      <c r="L44" s="851"/>
      <c r="M44" s="852"/>
      <c r="N44" s="852" t="s">
        <v>480</v>
      </c>
      <c r="O44" s="852"/>
      <c r="P44" s="843"/>
      <c r="Q44" s="852"/>
      <c r="R44" s="901"/>
      <c r="S44" s="901"/>
      <c r="T44" s="852"/>
      <c r="U44" s="852"/>
      <c r="V44" s="852"/>
      <c r="W44" s="852"/>
      <c r="X44" s="852"/>
      <c r="Y44" s="852"/>
      <c r="Z44" s="841"/>
      <c r="AA44" s="841"/>
      <c r="AB44" s="841"/>
      <c r="AC44" s="841"/>
      <c r="AD44" s="841"/>
      <c r="AE44" s="852"/>
      <c r="AF44" s="852"/>
      <c r="AG44" s="852"/>
      <c r="AH44" s="852"/>
      <c r="AI44" s="852"/>
      <c r="AJ44" s="852"/>
      <c r="AK44" s="852"/>
      <c r="AL44" s="852"/>
      <c r="AM44" s="852"/>
      <c r="AN44" s="852"/>
      <c r="AO44" s="852"/>
      <c r="AP44" s="853"/>
      <c r="AQ44" s="816"/>
      <c r="AR44" s="816"/>
      <c r="AS44" s="816"/>
      <c r="AT44" s="816"/>
      <c r="AU44" s="816"/>
      <c r="AV44" s="816"/>
      <c r="AW44" s="816"/>
      <c r="AX44" s="819"/>
    </row>
    <row r="45" spans="1:52" s="4" customFormat="1" ht="12">
      <c r="A45" s="840"/>
      <c r="B45" s="838"/>
      <c r="C45" s="839"/>
      <c r="D45" s="816"/>
      <c r="E45" s="816"/>
      <c r="F45" s="816"/>
      <c r="G45" s="816"/>
      <c r="H45" s="816"/>
      <c r="I45" s="816"/>
      <c r="J45" s="816"/>
      <c r="K45" s="816"/>
      <c r="L45" s="851"/>
      <c r="M45" s="852"/>
      <c r="N45" s="852"/>
      <c r="O45" s="852" t="s">
        <v>481</v>
      </c>
      <c r="P45" s="843"/>
      <c r="Q45" s="852"/>
      <c r="R45" s="901"/>
      <c r="S45" s="901"/>
      <c r="T45" s="852"/>
      <c r="U45" s="852"/>
      <c r="V45" s="852"/>
      <c r="W45" s="852"/>
      <c r="X45" s="852"/>
      <c r="Y45" s="852"/>
      <c r="Z45" s="841"/>
      <c r="AA45" s="841"/>
      <c r="AB45" s="841"/>
      <c r="AC45" s="841"/>
      <c r="AD45" s="841"/>
      <c r="AE45" s="852"/>
      <c r="AF45" s="852"/>
      <c r="AG45" s="852"/>
      <c r="AH45" s="852"/>
      <c r="AI45" s="852"/>
      <c r="AJ45" s="852"/>
      <c r="AK45" s="852"/>
      <c r="AL45" s="852"/>
      <c r="AM45" s="852"/>
      <c r="AN45" s="852"/>
      <c r="AO45" s="852"/>
      <c r="AP45" s="853"/>
      <c r="AQ45" s="816"/>
      <c r="AR45" s="816"/>
      <c r="AS45" s="816"/>
      <c r="AT45" s="816"/>
      <c r="AU45" s="816"/>
      <c r="AV45" s="816"/>
      <c r="AW45" s="816"/>
      <c r="AX45" s="819"/>
    </row>
    <row r="46" spans="1:52" s="4" customFormat="1" ht="12">
      <c r="A46" s="840"/>
      <c r="B46" s="838"/>
      <c r="C46" s="839"/>
      <c r="D46" s="816"/>
      <c r="E46" s="816"/>
      <c r="F46" s="816"/>
      <c r="G46" s="816"/>
      <c r="H46" s="816"/>
      <c r="I46" s="816"/>
      <c r="J46" s="816"/>
      <c r="K46" s="816"/>
      <c r="L46" s="851"/>
      <c r="M46" s="852"/>
      <c r="N46" s="852"/>
      <c r="O46" s="852"/>
      <c r="P46" s="843"/>
      <c r="Q46" s="852"/>
      <c r="R46" s="901"/>
      <c r="S46" s="901"/>
      <c r="T46" s="852"/>
      <c r="U46" s="852"/>
      <c r="V46" s="852"/>
      <c r="W46" s="852"/>
      <c r="X46" s="852"/>
      <c r="Y46" s="852"/>
      <c r="Z46" s="841"/>
      <c r="AA46" s="841"/>
      <c r="AB46" s="841"/>
      <c r="AC46" s="841"/>
      <c r="AD46" s="841"/>
      <c r="AE46" s="852"/>
      <c r="AF46" s="852"/>
      <c r="AG46" s="852"/>
      <c r="AH46" s="852"/>
      <c r="AI46" s="852"/>
      <c r="AJ46" s="852"/>
      <c r="AK46" s="852"/>
      <c r="AL46" s="852"/>
      <c r="AM46" s="852"/>
      <c r="AN46" s="852"/>
      <c r="AO46" s="852"/>
      <c r="AP46" s="853"/>
      <c r="AQ46" s="816"/>
      <c r="AR46" s="816"/>
      <c r="AS46" s="816"/>
      <c r="AT46" s="816"/>
      <c r="AU46" s="816"/>
      <c r="AV46" s="816"/>
      <c r="AW46" s="816"/>
      <c r="AX46" s="819"/>
    </row>
    <row r="47" spans="1:52" s="4" customFormat="1" ht="12">
      <c r="A47" s="840"/>
      <c r="B47" s="838"/>
      <c r="C47" s="839"/>
      <c r="D47" s="816"/>
      <c r="E47" s="816"/>
      <c r="F47" s="816"/>
      <c r="G47" s="816"/>
      <c r="H47" s="816"/>
      <c r="I47" s="816"/>
      <c r="J47" s="816"/>
      <c r="K47" s="816"/>
      <c r="L47" s="851" t="s">
        <v>482</v>
      </c>
      <c r="M47" s="852" t="s">
        <v>483</v>
      </c>
      <c r="N47" s="852"/>
      <c r="O47" s="852"/>
      <c r="P47" s="843"/>
      <c r="Q47" s="852"/>
      <c r="R47" s="901"/>
      <c r="S47" s="901"/>
      <c r="T47" s="852"/>
      <c r="U47" s="852"/>
      <c r="V47" s="852"/>
      <c r="W47" s="852"/>
      <c r="X47" s="841"/>
      <c r="Y47" s="841"/>
      <c r="Z47" s="841"/>
      <c r="AA47" s="841"/>
      <c r="AB47" s="841"/>
      <c r="AC47" s="841"/>
      <c r="AD47" s="841"/>
      <c r="AE47" s="841"/>
      <c r="AF47" s="852"/>
      <c r="AG47" s="852"/>
      <c r="AH47" s="852"/>
      <c r="AI47" s="852"/>
      <c r="AJ47" s="852"/>
      <c r="AK47" s="852"/>
      <c r="AL47" s="852"/>
      <c r="AM47" s="852"/>
      <c r="AN47" s="852"/>
      <c r="AO47" s="852"/>
      <c r="AP47" s="853"/>
      <c r="AQ47" s="816"/>
      <c r="AR47" s="816"/>
      <c r="AS47" s="816"/>
      <c r="AT47" s="816"/>
      <c r="AU47" s="816"/>
      <c r="AV47" s="816"/>
      <c r="AW47" s="816"/>
      <c r="AX47" s="819"/>
      <c r="AZ47" s="91"/>
    </row>
    <row r="48" spans="1:52" s="4" customFormat="1" ht="12">
      <c r="A48" s="829"/>
      <c r="B48" s="838"/>
      <c r="C48" s="839"/>
      <c r="D48" s="816"/>
      <c r="E48" s="816"/>
      <c r="F48" s="816"/>
      <c r="G48" s="816"/>
      <c r="H48" s="816"/>
      <c r="I48" s="816"/>
      <c r="J48" s="816"/>
      <c r="K48" s="816"/>
      <c r="L48" s="851"/>
      <c r="M48" s="828" t="s">
        <v>75</v>
      </c>
      <c r="N48" s="828" t="s">
        <v>484</v>
      </c>
      <c r="O48" s="828"/>
      <c r="P48" s="843"/>
      <c r="Q48" s="852"/>
      <c r="R48" s="901"/>
      <c r="S48" s="901"/>
      <c r="T48" s="852"/>
      <c r="U48" s="852"/>
      <c r="V48" s="852"/>
      <c r="W48" s="852"/>
      <c r="X48" s="841"/>
      <c r="Y48" s="841"/>
      <c r="Z48" s="841"/>
      <c r="AA48" s="841"/>
      <c r="AB48" s="841"/>
      <c r="AC48" s="841"/>
      <c r="AD48" s="841"/>
      <c r="AE48" s="841"/>
      <c r="AF48" s="852"/>
      <c r="AG48" s="852"/>
      <c r="AH48" s="852"/>
      <c r="AI48" s="852"/>
      <c r="AJ48" s="852"/>
      <c r="AK48" s="852"/>
      <c r="AL48" s="852"/>
      <c r="AM48" s="852"/>
      <c r="AN48" s="852"/>
      <c r="AO48" s="852"/>
      <c r="AP48" s="853"/>
      <c r="AQ48" s="816" t="s">
        <v>485</v>
      </c>
      <c r="AR48" s="816"/>
      <c r="AS48" s="816"/>
      <c r="AT48" s="816"/>
      <c r="AU48" s="816"/>
      <c r="AV48" s="816"/>
      <c r="AW48" s="816"/>
      <c r="AX48" s="819"/>
      <c r="AZ48" s="91"/>
    </row>
    <row r="49" spans="1:50" s="4" customFormat="1" ht="12">
      <c r="A49" s="829"/>
      <c r="B49" s="838"/>
      <c r="C49" s="839"/>
      <c r="D49" s="816"/>
      <c r="E49" s="816"/>
      <c r="F49" s="816"/>
      <c r="G49" s="816"/>
      <c r="H49" s="816"/>
      <c r="I49" s="816"/>
      <c r="J49" s="816"/>
      <c r="K49" s="816"/>
      <c r="L49" s="93"/>
      <c r="M49" s="833"/>
      <c r="N49" s="836"/>
      <c r="O49" s="833"/>
      <c r="P49" s="833"/>
      <c r="Q49" s="833"/>
      <c r="R49" s="833"/>
      <c r="S49" s="833"/>
      <c r="T49" s="833"/>
      <c r="U49" s="833"/>
      <c r="V49" s="833"/>
      <c r="W49" s="833"/>
      <c r="X49" s="833"/>
      <c r="Y49" s="833"/>
      <c r="Z49" s="833"/>
      <c r="AA49" s="833"/>
      <c r="AB49" s="833"/>
      <c r="AC49" s="833"/>
      <c r="AD49" s="833"/>
      <c r="AE49" s="833"/>
      <c r="AF49" s="833"/>
      <c r="AG49" s="833"/>
      <c r="AH49" s="833"/>
      <c r="AI49" s="833"/>
      <c r="AJ49" s="833"/>
      <c r="AK49" s="833"/>
      <c r="AL49" s="833"/>
      <c r="AM49" s="833"/>
      <c r="AN49" s="833"/>
      <c r="AO49" s="833"/>
      <c r="AP49" s="834"/>
      <c r="AQ49" s="816"/>
      <c r="AR49" s="816"/>
      <c r="AS49" s="816"/>
      <c r="AT49" s="816"/>
      <c r="AU49" s="816"/>
      <c r="AV49" s="816"/>
      <c r="AW49" s="816"/>
      <c r="AX49" s="819"/>
    </row>
    <row r="50" spans="1:50" s="4" customFormat="1" ht="12">
      <c r="A50" s="827" t="s">
        <v>99</v>
      </c>
      <c r="B50" s="848" t="s">
        <v>486</v>
      </c>
      <c r="C50" s="849"/>
      <c r="D50" s="849"/>
      <c r="E50" s="854" t="s">
        <v>487</v>
      </c>
      <c r="F50" s="849"/>
      <c r="G50" s="849"/>
      <c r="H50" s="849"/>
      <c r="I50" s="849"/>
      <c r="J50" s="849"/>
      <c r="K50" s="849"/>
      <c r="L50" s="849"/>
      <c r="M50" s="821"/>
      <c r="N50" s="821"/>
      <c r="O50" s="821"/>
      <c r="P50" s="821"/>
      <c r="Q50" s="821"/>
      <c r="R50" s="821"/>
      <c r="S50" s="821"/>
      <c r="T50" s="821"/>
      <c r="U50" s="821"/>
      <c r="V50" s="821"/>
      <c r="W50" s="821"/>
      <c r="X50" s="821"/>
      <c r="Y50" s="821"/>
      <c r="Z50" s="821"/>
      <c r="AA50" s="821"/>
      <c r="AB50" s="821"/>
      <c r="AC50" s="821"/>
      <c r="AD50" s="821"/>
      <c r="AE50" s="821"/>
      <c r="AF50" s="821"/>
      <c r="AG50" s="821"/>
      <c r="AH50" s="821"/>
      <c r="AI50" s="821"/>
      <c r="AJ50" s="821"/>
      <c r="AK50" s="821"/>
      <c r="AL50" s="821"/>
      <c r="AM50" s="821"/>
      <c r="AN50" s="821"/>
      <c r="AO50" s="821"/>
      <c r="AP50" s="821"/>
      <c r="AQ50" s="821"/>
      <c r="AR50" s="821"/>
      <c r="AS50" s="821"/>
      <c r="AT50" s="821"/>
      <c r="AU50" s="821"/>
      <c r="AV50" s="821"/>
      <c r="AW50" s="821"/>
      <c r="AX50" s="822"/>
    </row>
    <row r="51" spans="1:50" s="4" customFormat="1" ht="12">
      <c r="A51" s="829"/>
      <c r="B51" s="810" t="s">
        <v>452</v>
      </c>
      <c r="C51" s="814"/>
      <c r="D51" s="850" t="s">
        <v>488</v>
      </c>
      <c r="E51" s="856"/>
      <c r="F51" s="856"/>
      <c r="G51" s="856"/>
      <c r="H51" s="856"/>
      <c r="I51" s="856"/>
      <c r="J51" s="856"/>
      <c r="K51" s="856"/>
      <c r="L51" s="844" t="s">
        <v>468</v>
      </c>
      <c r="M51" s="843"/>
      <c r="N51" s="843"/>
      <c r="O51" s="843"/>
      <c r="P51" s="843"/>
      <c r="Q51" s="843"/>
      <c r="R51" s="856"/>
      <c r="S51" s="856"/>
      <c r="T51" s="856"/>
      <c r="U51" s="856"/>
      <c r="V51" s="856"/>
      <c r="W51" s="856"/>
      <c r="X51" s="856"/>
      <c r="Y51" s="856"/>
      <c r="Z51" s="856"/>
      <c r="AA51" s="856"/>
      <c r="AB51" s="856"/>
      <c r="AC51" s="856"/>
      <c r="AD51" s="856"/>
      <c r="AE51" s="856"/>
      <c r="AF51" s="856"/>
      <c r="AG51" s="856"/>
      <c r="AH51" s="856"/>
      <c r="AI51" s="856"/>
      <c r="AJ51" s="856"/>
      <c r="AK51" s="856"/>
      <c r="AL51" s="856"/>
      <c r="AM51" s="856"/>
      <c r="AN51" s="856"/>
      <c r="AO51" s="856"/>
      <c r="AP51" s="857"/>
      <c r="AQ51" s="856"/>
      <c r="AR51" s="856"/>
      <c r="AS51" s="856"/>
      <c r="AT51" s="856"/>
      <c r="AU51" s="856"/>
      <c r="AV51" s="856"/>
      <c r="AW51" s="856"/>
      <c r="AX51" s="858"/>
    </row>
    <row r="52" spans="1:50" s="4" customFormat="1" ht="12">
      <c r="A52" s="829"/>
      <c r="B52" s="859"/>
      <c r="C52" s="860"/>
      <c r="D52" s="856"/>
      <c r="E52" s="856"/>
      <c r="F52" s="856"/>
      <c r="G52" s="856"/>
      <c r="H52" s="856"/>
      <c r="I52" s="856"/>
      <c r="J52" s="856"/>
      <c r="K52" s="856"/>
      <c r="L52" s="844"/>
      <c r="M52" s="843" t="s">
        <v>75</v>
      </c>
      <c r="N52" s="843" t="s">
        <v>489</v>
      </c>
      <c r="O52" s="843"/>
      <c r="P52" s="843"/>
      <c r="Q52" s="843"/>
      <c r="R52" s="856"/>
      <c r="S52" s="856"/>
      <c r="T52" s="856"/>
      <c r="U52" s="856"/>
      <c r="V52" s="856"/>
      <c r="W52" s="856"/>
      <c r="X52" s="856"/>
      <c r="Y52" s="856"/>
      <c r="Z52" s="856"/>
      <c r="AA52" s="856"/>
      <c r="AB52" s="856"/>
      <c r="AC52" s="856"/>
      <c r="AD52" s="856"/>
      <c r="AE52" s="856"/>
      <c r="AF52" s="856"/>
      <c r="AG52" s="856"/>
      <c r="AH52" s="856"/>
      <c r="AI52" s="856"/>
      <c r="AJ52" s="856"/>
      <c r="AK52" s="856"/>
      <c r="AL52" s="856"/>
      <c r="AM52" s="856"/>
      <c r="AN52" s="856"/>
      <c r="AO52" s="856"/>
      <c r="AP52" s="857"/>
      <c r="AQ52" s="856"/>
      <c r="AR52" s="856"/>
      <c r="AS52" s="856"/>
      <c r="AT52" s="856"/>
      <c r="AU52" s="856"/>
      <c r="AV52" s="856"/>
      <c r="AW52" s="856"/>
      <c r="AX52" s="858"/>
    </row>
    <row r="53" spans="1:50" s="4" customFormat="1" ht="12">
      <c r="A53" s="829"/>
      <c r="B53" s="859"/>
      <c r="C53" s="860"/>
      <c r="D53" s="856"/>
      <c r="E53" s="856"/>
      <c r="F53" s="856"/>
      <c r="G53" s="856"/>
      <c r="H53" s="856"/>
      <c r="I53" s="856"/>
      <c r="J53" s="856"/>
      <c r="K53" s="856"/>
      <c r="L53" s="844"/>
      <c r="M53" s="843" t="s">
        <v>470</v>
      </c>
      <c r="N53" s="843" t="s">
        <v>490</v>
      </c>
      <c r="O53" s="843"/>
      <c r="P53" s="843"/>
      <c r="Q53" s="843"/>
      <c r="R53" s="856"/>
      <c r="S53" s="856"/>
      <c r="T53" s="856"/>
      <c r="U53" s="856"/>
      <c r="V53" s="856"/>
      <c r="W53" s="856"/>
      <c r="X53" s="856"/>
      <c r="Y53" s="856"/>
      <c r="Z53" s="856"/>
      <c r="AA53" s="856"/>
      <c r="AB53" s="856"/>
      <c r="AC53" s="856"/>
      <c r="AD53" s="856"/>
      <c r="AE53" s="856"/>
      <c r="AF53" s="856"/>
      <c r="AG53" s="856"/>
      <c r="AH53" s="856"/>
      <c r="AI53" s="856"/>
      <c r="AJ53" s="856"/>
      <c r="AK53" s="856"/>
      <c r="AL53" s="856"/>
      <c r="AM53" s="856"/>
      <c r="AN53" s="856"/>
      <c r="AO53" s="856"/>
      <c r="AP53" s="857"/>
      <c r="AQ53" s="856"/>
      <c r="AR53" s="856"/>
      <c r="AS53" s="856"/>
      <c r="AT53" s="856"/>
      <c r="AU53" s="856"/>
      <c r="AV53" s="856"/>
      <c r="AW53" s="856"/>
      <c r="AX53" s="858"/>
    </row>
    <row r="54" spans="1:50" s="4" customFormat="1" ht="12">
      <c r="A54" s="829"/>
      <c r="B54" s="859"/>
      <c r="C54" s="860"/>
      <c r="D54" s="856"/>
      <c r="E54" s="856"/>
      <c r="F54" s="856"/>
      <c r="G54" s="856"/>
      <c r="H54" s="856"/>
      <c r="I54" s="856"/>
      <c r="J54" s="856"/>
      <c r="K54" s="856"/>
      <c r="L54" s="844" t="s">
        <v>477</v>
      </c>
      <c r="M54" s="843"/>
      <c r="N54" s="843"/>
      <c r="O54" s="843"/>
      <c r="P54" s="843"/>
      <c r="Q54" s="843"/>
      <c r="R54" s="856"/>
      <c r="S54" s="856"/>
      <c r="T54" s="856"/>
      <c r="U54" s="856"/>
      <c r="V54" s="856"/>
      <c r="W54" s="856"/>
      <c r="X54" s="856"/>
      <c r="Y54" s="856"/>
      <c r="Z54" s="856"/>
      <c r="AA54" s="856"/>
      <c r="AB54" s="856"/>
      <c r="AC54" s="856"/>
      <c r="AD54" s="856"/>
      <c r="AE54" s="856"/>
      <c r="AF54" s="856"/>
      <c r="AG54" s="856"/>
      <c r="AH54" s="856"/>
      <c r="AI54" s="856"/>
      <c r="AJ54" s="856"/>
      <c r="AK54" s="856"/>
      <c r="AL54" s="856"/>
      <c r="AM54" s="856"/>
      <c r="AN54" s="856"/>
      <c r="AO54" s="856"/>
      <c r="AP54" s="857"/>
      <c r="AQ54" s="856"/>
      <c r="AR54" s="856"/>
      <c r="AS54" s="856"/>
      <c r="AT54" s="856"/>
      <c r="AU54" s="856"/>
      <c r="AV54" s="856"/>
      <c r="AW54" s="856"/>
      <c r="AX54" s="858"/>
    </row>
    <row r="55" spans="1:50" s="4" customFormat="1" ht="12">
      <c r="A55" s="829"/>
      <c r="B55" s="859"/>
      <c r="C55" s="860"/>
      <c r="D55" s="856"/>
      <c r="E55" s="856"/>
      <c r="F55" s="856"/>
      <c r="G55" s="856"/>
      <c r="H55" s="856"/>
      <c r="I55" s="856"/>
      <c r="J55" s="856"/>
      <c r="K55" s="856"/>
      <c r="L55" s="844"/>
      <c r="M55" s="843" t="s">
        <v>75</v>
      </c>
      <c r="N55" s="843" t="s">
        <v>491</v>
      </c>
      <c r="O55" s="843"/>
      <c r="P55" s="843"/>
      <c r="Q55" s="843"/>
      <c r="R55" s="856"/>
      <c r="S55" s="856"/>
      <c r="T55" s="856"/>
      <c r="U55" s="856"/>
      <c r="V55" s="856"/>
      <c r="W55" s="856"/>
      <c r="X55" s="856"/>
      <c r="Y55" s="856"/>
      <c r="Z55" s="856"/>
      <c r="AA55" s="856"/>
      <c r="AB55" s="856"/>
      <c r="AC55" s="856"/>
      <c r="AD55" s="856"/>
      <c r="AE55" s="856"/>
      <c r="AF55" s="856"/>
      <c r="AG55" s="856"/>
      <c r="AH55" s="856"/>
      <c r="AI55" s="856"/>
      <c r="AJ55" s="856"/>
      <c r="AK55" s="856"/>
      <c r="AL55" s="856"/>
      <c r="AM55" s="856"/>
      <c r="AN55" s="856"/>
      <c r="AO55" s="856"/>
      <c r="AP55" s="857"/>
      <c r="AQ55" s="856"/>
      <c r="AR55" s="856"/>
      <c r="AS55" s="856"/>
      <c r="AT55" s="856"/>
      <c r="AU55" s="856"/>
      <c r="AV55" s="856"/>
      <c r="AW55" s="856"/>
      <c r="AX55" s="858"/>
    </row>
    <row r="56" spans="1:50" s="4" customFormat="1" ht="12">
      <c r="A56" s="829"/>
      <c r="B56" s="859"/>
      <c r="C56" s="860"/>
      <c r="D56" s="856"/>
      <c r="E56" s="856"/>
      <c r="F56" s="856"/>
      <c r="G56" s="856"/>
      <c r="H56" s="856"/>
      <c r="I56" s="856"/>
      <c r="J56" s="856"/>
      <c r="K56" s="856"/>
      <c r="L56" s="844"/>
      <c r="M56" s="843"/>
      <c r="N56" s="843"/>
      <c r="O56" s="843"/>
      <c r="P56" s="843"/>
      <c r="Q56" s="843"/>
      <c r="R56" s="856"/>
      <c r="S56" s="856"/>
      <c r="T56" s="856"/>
      <c r="U56" s="856"/>
      <c r="V56" s="856"/>
      <c r="W56" s="856"/>
      <c r="X56" s="856"/>
      <c r="Y56" s="856"/>
      <c r="Z56" s="856"/>
      <c r="AA56" s="856"/>
      <c r="AB56" s="856"/>
      <c r="AC56" s="856"/>
      <c r="AD56" s="856"/>
      <c r="AE56" s="856"/>
      <c r="AF56" s="856"/>
      <c r="AG56" s="856"/>
      <c r="AH56" s="856"/>
      <c r="AI56" s="856"/>
      <c r="AJ56" s="856"/>
      <c r="AK56" s="856"/>
      <c r="AL56" s="856"/>
      <c r="AM56" s="856"/>
      <c r="AN56" s="856"/>
      <c r="AO56" s="856"/>
      <c r="AP56" s="857"/>
      <c r="AQ56" s="856"/>
      <c r="AR56" s="856"/>
      <c r="AS56" s="856"/>
      <c r="AT56" s="856"/>
      <c r="AU56" s="856"/>
      <c r="AV56" s="856"/>
      <c r="AW56" s="856"/>
      <c r="AX56" s="858"/>
    </row>
    <row r="57" spans="1:50" s="4" customFormat="1" ht="12">
      <c r="A57" s="829"/>
      <c r="B57" s="813"/>
      <c r="C57" s="811"/>
      <c r="D57" s="863"/>
      <c r="E57" s="863"/>
      <c r="F57" s="863"/>
      <c r="G57" s="863"/>
      <c r="H57" s="863"/>
      <c r="I57" s="863"/>
      <c r="J57" s="863"/>
      <c r="K57" s="863"/>
      <c r="L57" s="864"/>
      <c r="M57" s="865"/>
      <c r="N57" s="863"/>
      <c r="O57" s="863"/>
      <c r="P57" s="863"/>
      <c r="Q57" s="863"/>
      <c r="R57" s="863"/>
      <c r="S57" s="863"/>
      <c r="T57" s="863"/>
      <c r="U57" s="863"/>
      <c r="V57" s="863"/>
      <c r="W57" s="863"/>
      <c r="X57" s="863"/>
      <c r="Y57" s="863"/>
      <c r="Z57" s="863"/>
      <c r="AA57" s="863"/>
      <c r="AB57" s="863"/>
      <c r="AC57" s="863"/>
      <c r="AD57" s="863"/>
      <c r="AE57" s="863"/>
      <c r="AF57" s="863"/>
      <c r="AG57" s="863"/>
      <c r="AH57" s="863"/>
      <c r="AI57" s="863"/>
      <c r="AJ57" s="863"/>
      <c r="AK57" s="863"/>
      <c r="AL57" s="863"/>
      <c r="AM57" s="863"/>
      <c r="AN57" s="863"/>
      <c r="AO57" s="863"/>
      <c r="AP57" s="866"/>
      <c r="AQ57" s="863"/>
      <c r="AR57" s="863"/>
      <c r="AS57" s="863"/>
      <c r="AT57" s="863"/>
      <c r="AU57" s="863"/>
      <c r="AV57" s="863"/>
      <c r="AW57" s="863"/>
      <c r="AX57" s="867"/>
    </row>
    <row r="58" spans="1:50" s="4" customFormat="1" ht="12">
      <c r="A58" s="829"/>
      <c r="B58" s="838"/>
      <c r="C58" s="839"/>
      <c r="D58" s="816"/>
      <c r="E58" s="816"/>
      <c r="F58" s="816"/>
      <c r="G58" s="816"/>
      <c r="H58" s="816"/>
      <c r="I58" s="816"/>
      <c r="J58" s="816"/>
      <c r="K58" s="816"/>
      <c r="L58" s="837" t="s">
        <v>107</v>
      </c>
      <c r="M58" s="828" t="s">
        <v>492</v>
      </c>
      <c r="N58" s="828"/>
      <c r="O58" s="828"/>
      <c r="P58" s="828"/>
      <c r="Q58" s="828"/>
      <c r="R58" s="828"/>
      <c r="S58" s="828"/>
      <c r="T58" s="828"/>
      <c r="U58" s="828"/>
      <c r="V58" s="828"/>
      <c r="W58" s="828"/>
      <c r="X58" s="828"/>
      <c r="Y58" s="828"/>
      <c r="Z58" s="828"/>
      <c r="AA58" s="828"/>
      <c r="AB58" s="828"/>
      <c r="AC58" s="828"/>
      <c r="AD58" s="828"/>
      <c r="AE58" s="828"/>
      <c r="AF58" s="828"/>
      <c r="AG58" s="828"/>
      <c r="AH58" s="828"/>
      <c r="AI58" s="828"/>
      <c r="AJ58" s="828"/>
      <c r="AK58" s="828"/>
      <c r="AL58" s="828"/>
      <c r="AM58" s="828"/>
      <c r="AN58" s="828"/>
      <c r="AO58" s="828"/>
      <c r="AP58" s="868"/>
      <c r="AQ58" s="816"/>
      <c r="AR58" s="816"/>
      <c r="AS58" s="816"/>
      <c r="AT58" s="816"/>
      <c r="AU58" s="816"/>
      <c r="AV58" s="816"/>
      <c r="AW58" s="816"/>
      <c r="AX58" s="819"/>
    </row>
    <row r="59" spans="1:50" s="4" customFormat="1" ht="12">
      <c r="A59" s="829"/>
      <c r="B59" s="838"/>
      <c r="C59" s="839"/>
      <c r="D59" s="816"/>
      <c r="E59" s="816"/>
      <c r="F59" s="816"/>
      <c r="G59" s="816"/>
      <c r="H59" s="816"/>
      <c r="I59" s="816"/>
      <c r="J59" s="816"/>
      <c r="K59" s="816"/>
      <c r="L59" s="851"/>
      <c r="M59" s="852" t="s">
        <v>75</v>
      </c>
      <c r="N59" s="852" t="s">
        <v>493</v>
      </c>
      <c r="O59" s="852"/>
      <c r="P59" s="852"/>
      <c r="Q59" s="852"/>
      <c r="R59" s="901"/>
      <c r="S59" s="901"/>
      <c r="T59" s="852"/>
      <c r="U59" s="852"/>
      <c r="V59" s="852"/>
      <c r="W59" s="852"/>
      <c r="X59" s="841"/>
      <c r="Y59" s="841"/>
      <c r="Z59" s="841"/>
      <c r="AA59" s="841"/>
      <c r="AB59" s="841"/>
      <c r="AC59" s="841"/>
      <c r="AD59" s="841"/>
      <c r="AE59" s="841"/>
      <c r="AF59" s="852"/>
      <c r="AG59" s="852"/>
      <c r="AH59" s="852"/>
      <c r="AI59" s="843"/>
      <c r="AJ59" s="843"/>
      <c r="AK59" s="843"/>
      <c r="AL59" s="843"/>
      <c r="AM59" s="843"/>
      <c r="AN59" s="843"/>
      <c r="AO59" s="843"/>
      <c r="AP59" s="845"/>
      <c r="AQ59" s="816"/>
      <c r="AR59" s="816"/>
      <c r="AS59" s="816"/>
      <c r="AT59" s="816"/>
      <c r="AU59" s="816"/>
      <c r="AV59" s="816"/>
      <c r="AW59" s="816"/>
      <c r="AX59" s="819"/>
    </row>
    <row r="60" spans="1:50" s="4" customFormat="1" ht="12">
      <c r="A60" s="829"/>
      <c r="B60" s="838"/>
      <c r="C60" s="839"/>
      <c r="D60" s="816"/>
      <c r="E60" s="816"/>
      <c r="F60" s="816"/>
      <c r="G60" s="816"/>
      <c r="H60" s="816"/>
      <c r="I60" s="816"/>
      <c r="J60" s="816"/>
      <c r="K60" s="816"/>
      <c r="L60" s="817"/>
      <c r="M60" s="828"/>
      <c r="N60" s="815"/>
      <c r="O60" s="815" t="s">
        <v>494</v>
      </c>
      <c r="P60" s="815"/>
      <c r="Q60" s="815"/>
      <c r="R60" s="815"/>
      <c r="S60" s="815"/>
      <c r="T60" s="815"/>
      <c r="U60" s="816"/>
      <c r="V60" s="816"/>
      <c r="W60" s="816"/>
      <c r="X60" s="816"/>
      <c r="Y60" s="816"/>
      <c r="Z60" s="816"/>
      <c r="AA60" s="816"/>
      <c r="AB60" s="816"/>
      <c r="AC60" s="816"/>
      <c r="AD60" s="816"/>
      <c r="AE60" s="816"/>
      <c r="AF60" s="816"/>
      <c r="AG60" s="816"/>
      <c r="AH60" s="816"/>
      <c r="AI60" s="816"/>
      <c r="AJ60" s="816"/>
      <c r="AK60" s="816"/>
      <c r="AL60" s="816"/>
      <c r="AM60" s="816"/>
      <c r="AN60" s="816"/>
      <c r="AO60" s="816"/>
      <c r="AP60" s="818"/>
      <c r="AQ60" s="816"/>
      <c r="AR60" s="816"/>
      <c r="AS60" s="816"/>
      <c r="AT60" s="816"/>
      <c r="AU60" s="816"/>
      <c r="AV60" s="816"/>
      <c r="AW60" s="816"/>
      <c r="AX60" s="819"/>
    </row>
    <row r="61" spans="1:50" s="4" customFormat="1" ht="12">
      <c r="A61" s="829"/>
      <c r="B61" s="838"/>
      <c r="C61" s="839"/>
      <c r="D61" s="816"/>
      <c r="E61" s="816"/>
      <c r="F61" s="816"/>
      <c r="G61" s="816"/>
      <c r="H61" s="816"/>
      <c r="I61" s="816"/>
      <c r="J61" s="816"/>
      <c r="K61" s="816"/>
      <c r="L61" s="817"/>
      <c r="M61" s="828"/>
      <c r="N61" s="852"/>
      <c r="O61" s="815"/>
      <c r="P61" s="852" t="s">
        <v>495</v>
      </c>
      <c r="Q61" s="815"/>
      <c r="R61" s="815"/>
      <c r="S61" s="815"/>
      <c r="T61" s="815"/>
      <c r="U61" s="816"/>
      <c r="V61" s="816"/>
      <c r="W61" s="816"/>
      <c r="X61" s="816"/>
      <c r="Y61" s="816"/>
      <c r="Z61" s="816"/>
      <c r="AA61" s="816"/>
      <c r="AB61" s="816"/>
      <c r="AC61" s="816"/>
      <c r="AD61" s="816"/>
      <c r="AE61" s="816"/>
      <c r="AF61" s="816"/>
      <c r="AG61" s="816"/>
      <c r="AH61" s="816"/>
      <c r="AI61" s="816"/>
      <c r="AJ61" s="816"/>
      <c r="AK61" s="816"/>
      <c r="AL61" s="816"/>
      <c r="AM61" s="816"/>
      <c r="AN61" s="816"/>
      <c r="AO61" s="816"/>
      <c r="AP61" s="818"/>
      <c r="AQ61" s="816"/>
      <c r="AR61" s="816"/>
      <c r="AS61" s="816"/>
      <c r="AT61" s="816"/>
      <c r="AU61" s="816"/>
      <c r="AV61" s="816"/>
      <c r="AW61" s="816"/>
      <c r="AX61" s="819"/>
    </row>
    <row r="62" spans="1:50" s="4" customFormat="1" ht="12">
      <c r="A62" s="829"/>
      <c r="B62" s="838"/>
      <c r="C62" s="839"/>
      <c r="D62" s="816"/>
      <c r="E62" s="816"/>
      <c r="F62" s="816"/>
      <c r="G62" s="816"/>
      <c r="H62" s="816"/>
      <c r="I62" s="816"/>
      <c r="J62" s="816"/>
      <c r="K62" s="816"/>
      <c r="L62" s="817"/>
      <c r="M62" s="828"/>
      <c r="N62" s="815"/>
      <c r="O62" s="815" t="s">
        <v>496</v>
      </c>
      <c r="P62" s="815"/>
      <c r="Q62" s="815"/>
      <c r="R62" s="815"/>
      <c r="S62" s="815"/>
      <c r="T62" s="815"/>
      <c r="U62" s="816"/>
      <c r="V62" s="816"/>
      <c r="W62" s="816"/>
      <c r="X62" s="816"/>
      <c r="Y62" s="816"/>
      <c r="Z62" s="816"/>
      <c r="AA62" s="816"/>
      <c r="AB62" s="816"/>
      <c r="AC62" s="816"/>
      <c r="AD62" s="816"/>
      <c r="AE62" s="816"/>
      <c r="AF62" s="816"/>
      <c r="AG62" s="816"/>
      <c r="AH62" s="816"/>
      <c r="AI62" s="816"/>
      <c r="AJ62" s="816"/>
      <c r="AK62" s="816"/>
      <c r="AL62" s="816"/>
      <c r="AM62" s="816"/>
      <c r="AN62" s="816"/>
      <c r="AO62" s="816"/>
      <c r="AP62" s="818"/>
      <c r="AQ62" s="816"/>
      <c r="AR62" s="816"/>
      <c r="AS62" s="816"/>
      <c r="AT62" s="816"/>
      <c r="AU62" s="816"/>
      <c r="AV62" s="816"/>
      <c r="AW62" s="816"/>
      <c r="AX62" s="819"/>
    </row>
    <row r="63" spans="1:50" s="4" customFormat="1" ht="12">
      <c r="A63" s="829"/>
      <c r="B63" s="838"/>
      <c r="C63" s="839"/>
      <c r="D63" s="816"/>
      <c r="E63" s="816"/>
      <c r="F63" s="816"/>
      <c r="G63" s="816"/>
      <c r="H63" s="816"/>
      <c r="I63" s="816"/>
      <c r="J63" s="816"/>
      <c r="K63" s="816"/>
      <c r="L63" s="817"/>
      <c r="M63" s="828"/>
      <c r="N63" s="815"/>
      <c r="O63" s="815"/>
      <c r="P63" s="815" t="s">
        <v>497</v>
      </c>
      <c r="Q63" s="815"/>
      <c r="R63" s="815"/>
      <c r="S63" s="815"/>
      <c r="T63" s="815"/>
      <c r="U63" s="816"/>
      <c r="V63" s="816"/>
      <c r="W63" s="816"/>
      <c r="X63" s="816"/>
      <c r="Y63" s="816"/>
      <c r="Z63" s="816"/>
      <c r="AA63" s="816"/>
      <c r="AB63" s="816"/>
      <c r="AC63" s="816"/>
      <c r="AD63" s="816"/>
      <c r="AE63" s="816"/>
      <c r="AF63" s="816"/>
      <c r="AG63" s="816"/>
      <c r="AH63" s="816"/>
      <c r="AI63" s="816"/>
      <c r="AJ63" s="816"/>
      <c r="AK63" s="816"/>
      <c r="AL63" s="816"/>
      <c r="AM63" s="816"/>
      <c r="AN63" s="816"/>
      <c r="AO63" s="816"/>
      <c r="AP63" s="818"/>
      <c r="AQ63" s="816"/>
      <c r="AR63" s="816"/>
      <c r="AS63" s="816"/>
      <c r="AT63" s="816"/>
      <c r="AU63" s="816"/>
      <c r="AV63" s="816"/>
      <c r="AW63" s="816"/>
      <c r="AX63" s="819"/>
    </row>
    <row r="64" spans="1:50" s="4" customFormat="1" ht="12">
      <c r="A64" s="829"/>
      <c r="B64" s="838"/>
      <c r="C64" s="839"/>
      <c r="D64" s="816"/>
      <c r="E64" s="816"/>
      <c r="F64" s="816"/>
      <c r="G64" s="816"/>
      <c r="H64" s="816"/>
      <c r="I64" s="816"/>
      <c r="J64" s="816"/>
      <c r="K64" s="816"/>
      <c r="L64" s="817"/>
      <c r="M64" s="828"/>
      <c r="N64" s="815"/>
      <c r="O64" s="815" t="s">
        <v>498</v>
      </c>
      <c r="P64" s="815"/>
      <c r="Q64" s="815"/>
      <c r="R64" s="815"/>
      <c r="S64" s="815"/>
      <c r="T64" s="815"/>
      <c r="U64" s="816"/>
      <c r="V64" s="816"/>
      <c r="W64" s="816"/>
      <c r="X64" s="816"/>
      <c r="Y64" s="816"/>
      <c r="Z64" s="816"/>
      <c r="AA64" s="816"/>
      <c r="AB64" s="816"/>
      <c r="AC64" s="816"/>
      <c r="AD64" s="816"/>
      <c r="AE64" s="816"/>
      <c r="AF64" s="816"/>
      <c r="AG64" s="816"/>
      <c r="AH64" s="816"/>
      <c r="AI64" s="816"/>
      <c r="AJ64" s="816"/>
      <c r="AK64" s="816"/>
      <c r="AL64" s="816"/>
      <c r="AM64" s="816"/>
      <c r="AN64" s="816"/>
      <c r="AO64" s="816"/>
      <c r="AP64" s="818"/>
      <c r="AQ64" s="816"/>
      <c r="AR64" s="816"/>
      <c r="AS64" s="816"/>
      <c r="AT64" s="816"/>
      <c r="AU64" s="816"/>
      <c r="AV64" s="816"/>
      <c r="AW64" s="816"/>
      <c r="AX64" s="819"/>
    </row>
    <row r="65" spans="1:50" s="4" customFormat="1" ht="12">
      <c r="A65" s="829"/>
      <c r="B65" s="838"/>
      <c r="C65" s="839"/>
      <c r="D65" s="816"/>
      <c r="E65" s="816"/>
      <c r="F65" s="816"/>
      <c r="G65" s="816"/>
      <c r="H65" s="816"/>
      <c r="I65" s="816"/>
      <c r="J65" s="816"/>
      <c r="K65" s="816"/>
      <c r="L65" s="817"/>
      <c r="M65" s="828"/>
      <c r="N65" s="816"/>
      <c r="O65" s="815"/>
      <c r="P65" s="815" t="s">
        <v>499</v>
      </c>
      <c r="Q65" s="852"/>
      <c r="R65" s="815"/>
      <c r="S65" s="815"/>
      <c r="T65" s="815"/>
      <c r="U65" s="815"/>
      <c r="V65" s="815"/>
      <c r="W65" s="815"/>
      <c r="X65" s="815"/>
      <c r="Y65" s="816"/>
      <c r="Z65" s="816"/>
      <c r="AA65" s="816"/>
      <c r="AB65" s="816"/>
      <c r="AC65" s="816"/>
      <c r="AD65" s="816"/>
      <c r="AE65" s="816"/>
      <c r="AF65" s="816"/>
      <c r="AG65" s="816"/>
      <c r="AH65" s="816"/>
      <c r="AI65" s="816"/>
      <c r="AJ65" s="816"/>
      <c r="AK65" s="816"/>
      <c r="AL65" s="816"/>
      <c r="AM65" s="816"/>
      <c r="AN65" s="816"/>
      <c r="AO65" s="816"/>
      <c r="AP65" s="818"/>
      <c r="AQ65" s="816"/>
      <c r="AR65" s="816"/>
      <c r="AS65" s="816"/>
      <c r="AT65" s="816"/>
      <c r="AU65" s="816"/>
      <c r="AV65" s="816"/>
      <c r="AW65" s="816"/>
      <c r="AX65" s="819"/>
    </row>
    <row r="66" spans="1:50" s="4" customFormat="1" ht="12">
      <c r="A66" s="829"/>
      <c r="B66" s="838"/>
      <c r="C66" s="839"/>
      <c r="D66" s="816"/>
      <c r="E66" s="816"/>
      <c r="F66" s="816"/>
      <c r="G66" s="816"/>
      <c r="H66" s="816"/>
      <c r="I66" s="816"/>
      <c r="J66" s="816"/>
      <c r="K66" s="816"/>
      <c r="L66" s="817"/>
      <c r="M66" s="828"/>
      <c r="N66" s="816"/>
      <c r="O66" s="816"/>
      <c r="P66" s="816" t="s">
        <v>500</v>
      </c>
      <c r="Q66" s="816"/>
      <c r="R66" s="816"/>
      <c r="S66" s="816"/>
      <c r="T66" s="816"/>
      <c r="U66" s="816"/>
      <c r="V66" s="816"/>
      <c r="W66" s="816"/>
      <c r="X66" s="816"/>
      <c r="Y66" s="816"/>
      <c r="Z66" s="816"/>
      <c r="AA66" s="816"/>
      <c r="AB66" s="816"/>
      <c r="AC66" s="816"/>
      <c r="AD66" s="816"/>
      <c r="AE66" s="816"/>
      <c r="AF66" s="816"/>
      <c r="AG66" s="816"/>
      <c r="AH66" s="816"/>
      <c r="AI66" s="816"/>
      <c r="AJ66" s="816"/>
      <c r="AK66" s="816"/>
      <c r="AL66" s="816"/>
      <c r="AM66" s="816"/>
      <c r="AN66" s="816"/>
      <c r="AO66" s="816"/>
      <c r="AP66" s="818"/>
      <c r="AQ66" s="816"/>
      <c r="AR66" s="816"/>
      <c r="AS66" s="816"/>
      <c r="AT66" s="816"/>
      <c r="AU66" s="816"/>
      <c r="AV66" s="816"/>
      <c r="AW66" s="816"/>
      <c r="AX66" s="819"/>
    </row>
    <row r="67" spans="1:50" s="4" customFormat="1" ht="12">
      <c r="A67" s="829"/>
      <c r="B67" s="838"/>
      <c r="C67" s="839"/>
      <c r="D67" s="816"/>
      <c r="E67" s="816"/>
      <c r="F67" s="816"/>
      <c r="G67" s="816"/>
      <c r="H67" s="816"/>
      <c r="I67" s="816"/>
      <c r="J67" s="816"/>
      <c r="K67" s="816"/>
      <c r="L67" s="817"/>
      <c r="M67" s="828"/>
      <c r="N67" s="816"/>
      <c r="O67" s="816"/>
      <c r="P67" s="816"/>
      <c r="Q67" s="816"/>
      <c r="R67" s="816"/>
      <c r="S67" s="816"/>
      <c r="T67" s="816"/>
      <c r="U67" s="816"/>
      <c r="V67" s="816"/>
      <c r="W67" s="816"/>
      <c r="X67" s="816"/>
      <c r="Y67" s="816"/>
      <c r="Z67" s="816"/>
      <c r="AA67" s="816"/>
      <c r="AB67" s="816"/>
      <c r="AC67" s="816"/>
      <c r="AD67" s="816"/>
      <c r="AE67" s="816"/>
      <c r="AF67" s="816"/>
      <c r="AG67" s="816"/>
      <c r="AH67" s="816"/>
      <c r="AI67" s="816"/>
      <c r="AJ67" s="816"/>
      <c r="AK67" s="816"/>
      <c r="AL67" s="816"/>
      <c r="AM67" s="816"/>
      <c r="AN67" s="816"/>
      <c r="AO67" s="816"/>
      <c r="AP67" s="818"/>
      <c r="AQ67" s="816"/>
      <c r="AR67" s="816"/>
      <c r="AS67" s="816"/>
      <c r="AT67" s="816"/>
      <c r="AU67" s="816"/>
      <c r="AV67" s="816"/>
      <c r="AW67" s="816"/>
      <c r="AX67" s="819"/>
    </row>
    <row r="68" spans="1:50" s="4" customFormat="1" ht="12">
      <c r="A68" s="829"/>
      <c r="B68" s="838"/>
      <c r="C68" s="839"/>
      <c r="D68" s="816"/>
      <c r="E68" s="816"/>
      <c r="F68" s="816"/>
      <c r="G68" s="816"/>
      <c r="H68" s="816"/>
      <c r="I68" s="816"/>
      <c r="J68" s="816"/>
      <c r="K68" s="816"/>
      <c r="L68" s="851" t="s">
        <v>456</v>
      </c>
      <c r="M68" s="852" t="s">
        <v>501</v>
      </c>
      <c r="N68" s="852"/>
      <c r="O68" s="852"/>
      <c r="P68" s="843"/>
      <c r="Q68" s="852"/>
      <c r="R68" s="901"/>
      <c r="S68" s="901"/>
      <c r="T68" s="852"/>
      <c r="U68" s="852"/>
      <c r="V68" s="852"/>
      <c r="W68" s="852"/>
      <c r="X68" s="842"/>
      <c r="Y68" s="842"/>
      <c r="Z68" s="842"/>
      <c r="AA68" s="842"/>
      <c r="AB68" s="842"/>
      <c r="AC68" s="842"/>
      <c r="AD68" s="842"/>
      <c r="AE68" s="842"/>
      <c r="AF68" s="855"/>
      <c r="AG68" s="855"/>
      <c r="AH68" s="855"/>
      <c r="AI68" s="855"/>
      <c r="AJ68" s="855"/>
      <c r="AK68" s="855"/>
      <c r="AL68" s="855"/>
      <c r="AM68" s="855"/>
      <c r="AN68" s="855"/>
      <c r="AO68" s="855"/>
      <c r="AP68" s="861"/>
      <c r="AQ68" s="816"/>
      <c r="AR68" s="816"/>
      <c r="AS68" s="816"/>
      <c r="AT68" s="816"/>
      <c r="AU68" s="816"/>
      <c r="AV68" s="816"/>
      <c r="AW68" s="816"/>
      <c r="AX68" s="819"/>
    </row>
    <row r="69" spans="1:50" s="4" customFormat="1" ht="12">
      <c r="A69" s="829"/>
      <c r="B69" s="838"/>
      <c r="C69" s="839"/>
      <c r="D69" s="816"/>
      <c r="E69" s="816"/>
      <c r="F69" s="816"/>
      <c r="G69" s="816"/>
      <c r="H69" s="816"/>
      <c r="I69" s="816"/>
      <c r="J69" s="816"/>
      <c r="K69" s="816"/>
      <c r="L69" s="851"/>
      <c r="M69" s="852" t="s">
        <v>502</v>
      </c>
      <c r="N69" s="852"/>
      <c r="O69" s="852"/>
      <c r="P69" s="843"/>
      <c r="Q69" s="852"/>
      <c r="R69" s="901"/>
      <c r="S69" s="901"/>
      <c r="T69" s="852"/>
      <c r="U69" s="852"/>
      <c r="V69" s="852"/>
      <c r="W69" s="852"/>
      <c r="X69" s="841"/>
      <c r="Y69" s="841"/>
      <c r="Z69" s="841"/>
      <c r="AA69" s="841"/>
      <c r="AB69" s="841"/>
      <c r="AC69" s="841"/>
      <c r="AD69" s="841"/>
      <c r="AE69" s="841"/>
      <c r="AF69" s="852"/>
      <c r="AG69" s="852"/>
      <c r="AH69" s="852"/>
      <c r="AI69" s="852"/>
      <c r="AJ69" s="852"/>
      <c r="AK69" s="852"/>
      <c r="AL69" s="852"/>
      <c r="AM69" s="852"/>
      <c r="AN69" s="852"/>
      <c r="AO69" s="852"/>
      <c r="AP69" s="853"/>
      <c r="AQ69" s="816"/>
      <c r="AR69" s="816"/>
      <c r="AS69" s="816"/>
      <c r="AT69" s="816"/>
      <c r="AU69" s="816"/>
      <c r="AV69" s="816"/>
      <c r="AW69" s="816"/>
      <c r="AX69" s="819"/>
    </row>
    <row r="70" spans="1:50" s="4" customFormat="1" ht="12">
      <c r="A70" s="829"/>
      <c r="B70" s="838"/>
      <c r="C70" s="839"/>
      <c r="D70" s="816"/>
      <c r="E70" s="816"/>
      <c r="F70" s="816"/>
      <c r="G70" s="816"/>
      <c r="H70" s="816"/>
      <c r="I70" s="816"/>
      <c r="J70" s="816"/>
      <c r="K70" s="816"/>
      <c r="L70" s="817"/>
      <c r="M70" s="828"/>
      <c r="N70" s="816"/>
      <c r="O70" s="816"/>
      <c r="P70" s="816"/>
      <c r="Q70" s="816"/>
      <c r="R70" s="816"/>
      <c r="S70" s="816"/>
      <c r="T70" s="816"/>
      <c r="U70" s="816"/>
      <c r="V70" s="816"/>
      <c r="W70" s="816"/>
      <c r="X70" s="816"/>
      <c r="Y70" s="816"/>
      <c r="Z70" s="816"/>
      <c r="AA70" s="816"/>
      <c r="AB70" s="816"/>
      <c r="AC70" s="816"/>
      <c r="AD70" s="816"/>
      <c r="AE70" s="816"/>
      <c r="AF70" s="816"/>
      <c r="AG70" s="816"/>
      <c r="AH70" s="816"/>
      <c r="AI70" s="816"/>
      <c r="AJ70" s="816"/>
      <c r="AK70" s="816"/>
      <c r="AL70" s="816"/>
      <c r="AM70" s="816"/>
      <c r="AN70" s="816"/>
      <c r="AO70" s="816"/>
      <c r="AP70" s="818"/>
      <c r="AQ70" s="816"/>
      <c r="AR70" s="816"/>
      <c r="AS70" s="816"/>
      <c r="AT70" s="816"/>
      <c r="AU70" s="816"/>
      <c r="AV70" s="816"/>
      <c r="AW70" s="816"/>
      <c r="AX70" s="819"/>
    </row>
    <row r="71" spans="1:50" s="4" customFormat="1" ht="12">
      <c r="A71" s="829"/>
      <c r="B71" s="838"/>
      <c r="C71" s="839"/>
      <c r="D71" s="816"/>
      <c r="E71" s="816"/>
      <c r="F71" s="816"/>
      <c r="G71" s="816"/>
      <c r="H71" s="816"/>
      <c r="I71" s="816"/>
      <c r="J71" s="816"/>
      <c r="K71" s="816"/>
      <c r="L71" s="817"/>
      <c r="M71" s="828"/>
      <c r="N71" s="930" t="s">
        <v>503</v>
      </c>
      <c r="O71" s="870"/>
      <c r="P71" s="870"/>
      <c r="Q71" s="870"/>
      <c r="R71" s="870"/>
      <c r="S71" s="870"/>
      <c r="T71" s="870"/>
      <c r="U71" s="870"/>
      <c r="V71" s="870"/>
      <c r="W71" s="870"/>
      <c r="X71" s="870"/>
      <c r="Y71" s="870"/>
      <c r="Z71" s="870"/>
      <c r="AA71" s="870"/>
      <c r="AB71" s="870"/>
      <c r="AC71" s="870"/>
      <c r="AD71" s="870"/>
      <c r="AE71" s="870"/>
      <c r="AF71" s="870"/>
      <c r="AG71" s="870"/>
      <c r="AH71" s="870"/>
      <c r="AI71" s="870"/>
      <c r="AJ71" s="870"/>
      <c r="AK71" s="870"/>
      <c r="AL71" s="870"/>
      <c r="AM71" s="870"/>
      <c r="AN71" s="870"/>
      <c r="AO71" s="919"/>
      <c r="AP71" s="818"/>
      <c r="AQ71" s="816"/>
      <c r="AR71" s="816"/>
      <c r="AS71" s="816"/>
      <c r="AT71" s="816"/>
      <c r="AU71" s="816"/>
      <c r="AV71" s="816"/>
      <c r="AW71" s="816"/>
      <c r="AX71" s="819"/>
    </row>
    <row r="72" spans="1:50" s="4" customFormat="1" ht="12">
      <c r="A72" s="829"/>
      <c r="B72" s="838"/>
      <c r="C72" s="839"/>
      <c r="D72" s="816"/>
      <c r="E72" s="816"/>
      <c r="F72" s="816"/>
      <c r="G72" s="816"/>
      <c r="H72" s="816"/>
      <c r="I72" s="816"/>
      <c r="J72" s="816"/>
      <c r="K72" s="816"/>
      <c r="L72" s="817"/>
      <c r="M72" s="828"/>
      <c r="N72" s="931" t="s">
        <v>504</v>
      </c>
      <c r="O72" s="816"/>
      <c r="P72" s="816"/>
      <c r="Q72" s="816"/>
      <c r="R72" s="816"/>
      <c r="S72" s="816"/>
      <c r="T72" s="816"/>
      <c r="U72" s="816"/>
      <c r="V72" s="816"/>
      <c r="W72" s="816"/>
      <c r="X72" s="816"/>
      <c r="Y72" s="816"/>
      <c r="Z72" s="816"/>
      <c r="AA72" s="816"/>
      <c r="AB72" s="816"/>
      <c r="AC72" s="816"/>
      <c r="AD72" s="816"/>
      <c r="AE72" s="816"/>
      <c r="AF72" s="816"/>
      <c r="AG72" s="816"/>
      <c r="AH72" s="816"/>
      <c r="AI72" s="816"/>
      <c r="AJ72" s="816"/>
      <c r="AK72" s="816"/>
      <c r="AL72" s="816"/>
      <c r="AM72" s="816"/>
      <c r="AN72" s="816"/>
      <c r="AO72" s="921"/>
      <c r="AP72" s="818"/>
      <c r="AQ72" s="816"/>
      <c r="AR72" s="816"/>
      <c r="AS72" s="816"/>
      <c r="AT72" s="816"/>
      <c r="AU72" s="816"/>
      <c r="AV72" s="816"/>
      <c r="AW72" s="816"/>
      <c r="AX72" s="819"/>
    </row>
    <row r="73" spans="1:50" s="4" customFormat="1" ht="12">
      <c r="A73" s="829"/>
      <c r="B73" s="838"/>
      <c r="C73" s="839"/>
      <c r="D73" s="816"/>
      <c r="E73" s="816"/>
      <c r="F73" s="816"/>
      <c r="G73" s="816"/>
      <c r="H73" s="816"/>
      <c r="I73" s="816"/>
      <c r="J73" s="816"/>
      <c r="K73" s="816"/>
      <c r="L73" s="817"/>
      <c r="M73" s="828"/>
      <c r="N73" s="931" t="s">
        <v>505</v>
      </c>
      <c r="O73" s="816"/>
      <c r="P73" s="816"/>
      <c r="Q73" s="816"/>
      <c r="R73" s="816"/>
      <c r="S73" s="816"/>
      <c r="T73" s="816"/>
      <c r="U73" s="816" t="s">
        <v>506</v>
      </c>
      <c r="V73" s="816"/>
      <c r="W73" s="816"/>
      <c r="X73" s="816"/>
      <c r="Y73" s="816"/>
      <c r="Z73" s="816"/>
      <c r="AA73" s="816"/>
      <c r="AB73" s="816"/>
      <c r="AC73" s="816"/>
      <c r="AD73" s="816"/>
      <c r="AE73" s="816"/>
      <c r="AF73" s="816"/>
      <c r="AG73" s="816"/>
      <c r="AH73" s="816"/>
      <c r="AI73" s="816"/>
      <c r="AJ73" s="816"/>
      <c r="AK73" s="816"/>
      <c r="AL73" s="816"/>
      <c r="AM73" s="816"/>
      <c r="AN73" s="816"/>
      <c r="AO73" s="921"/>
      <c r="AP73" s="818"/>
      <c r="AQ73" s="816"/>
      <c r="AR73" s="816"/>
      <c r="AS73" s="816"/>
      <c r="AT73" s="816"/>
      <c r="AU73" s="816"/>
      <c r="AV73" s="816"/>
      <c r="AW73" s="816"/>
      <c r="AX73" s="819"/>
    </row>
    <row r="74" spans="1:50" s="4" customFormat="1" ht="12">
      <c r="A74" s="829"/>
      <c r="B74" s="838"/>
      <c r="C74" s="839"/>
      <c r="D74" s="816"/>
      <c r="E74" s="816"/>
      <c r="F74" s="816"/>
      <c r="G74" s="816"/>
      <c r="H74" s="816"/>
      <c r="I74" s="816"/>
      <c r="J74" s="816"/>
      <c r="K74" s="816"/>
      <c r="L74" s="817"/>
      <c r="M74" s="828"/>
      <c r="N74" s="931" t="s">
        <v>507</v>
      </c>
      <c r="O74" s="816"/>
      <c r="P74" s="816"/>
      <c r="Q74" s="816"/>
      <c r="R74" s="816"/>
      <c r="S74" s="816"/>
      <c r="T74" s="816"/>
      <c r="U74" s="816" t="s">
        <v>508</v>
      </c>
      <c r="V74" s="816" t="s">
        <v>509</v>
      </c>
      <c r="W74" s="816"/>
      <c r="X74" s="816"/>
      <c r="Y74" s="816"/>
      <c r="Z74" s="816"/>
      <c r="AA74" s="816"/>
      <c r="AB74" s="816"/>
      <c r="AC74" s="816"/>
      <c r="AD74" s="816"/>
      <c r="AE74" s="816"/>
      <c r="AF74" s="816"/>
      <c r="AG74" s="816"/>
      <c r="AH74" s="816"/>
      <c r="AI74" s="816"/>
      <c r="AJ74" s="816"/>
      <c r="AK74" s="816"/>
      <c r="AL74" s="816"/>
      <c r="AM74" s="816"/>
      <c r="AN74" s="816"/>
      <c r="AO74" s="921"/>
      <c r="AP74" s="818"/>
      <c r="AQ74" s="816"/>
      <c r="AR74" s="816"/>
      <c r="AS74" s="816"/>
      <c r="AT74" s="816"/>
      <c r="AU74" s="816"/>
      <c r="AV74" s="816"/>
      <c r="AW74" s="816"/>
      <c r="AX74" s="819"/>
    </row>
    <row r="75" spans="1:50" s="4" customFormat="1" ht="12">
      <c r="A75" s="829"/>
      <c r="B75" s="838"/>
      <c r="C75" s="839"/>
      <c r="D75" s="816"/>
      <c r="E75" s="816"/>
      <c r="F75" s="816"/>
      <c r="G75" s="816"/>
      <c r="H75" s="816"/>
      <c r="I75" s="816"/>
      <c r="J75" s="816"/>
      <c r="K75" s="816"/>
      <c r="L75" s="817"/>
      <c r="M75" s="828"/>
      <c r="N75" s="931" t="s">
        <v>510</v>
      </c>
      <c r="O75" s="816"/>
      <c r="P75" s="816"/>
      <c r="Q75" s="816"/>
      <c r="R75" s="816"/>
      <c r="S75" s="816"/>
      <c r="T75" s="816"/>
      <c r="U75" s="816" t="s">
        <v>511</v>
      </c>
      <c r="V75" s="816" t="s">
        <v>512</v>
      </c>
      <c r="W75" s="816"/>
      <c r="X75" s="816"/>
      <c r="Y75" s="816"/>
      <c r="Z75" s="816"/>
      <c r="AA75" s="816"/>
      <c r="AB75" s="816"/>
      <c r="AC75" s="816"/>
      <c r="AD75" s="816"/>
      <c r="AE75" s="816"/>
      <c r="AF75" s="816"/>
      <c r="AG75" s="816"/>
      <c r="AH75" s="816"/>
      <c r="AI75" s="816"/>
      <c r="AJ75" s="816"/>
      <c r="AK75" s="816"/>
      <c r="AL75" s="816"/>
      <c r="AM75" s="816"/>
      <c r="AN75" s="816"/>
      <c r="AO75" s="921"/>
      <c r="AP75" s="818"/>
      <c r="AQ75" s="816"/>
      <c r="AR75" s="816"/>
      <c r="AS75" s="816"/>
      <c r="AT75" s="816"/>
      <c r="AU75" s="816"/>
      <c r="AV75" s="816"/>
      <c r="AW75" s="816"/>
      <c r="AX75" s="819"/>
    </row>
    <row r="76" spans="1:50" s="4" customFormat="1" ht="12">
      <c r="A76" s="829"/>
      <c r="B76" s="838"/>
      <c r="C76" s="839"/>
      <c r="D76" s="816"/>
      <c r="E76" s="816"/>
      <c r="F76" s="816"/>
      <c r="G76" s="816"/>
      <c r="H76" s="816"/>
      <c r="I76" s="816"/>
      <c r="J76" s="816"/>
      <c r="K76" s="816"/>
      <c r="L76" s="817"/>
      <c r="M76" s="828"/>
      <c r="N76" s="931"/>
      <c r="O76" s="816"/>
      <c r="P76" s="816"/>
      <c r="Q76" s="816"/>
      <c r="R76" s="816"/>
      <c r="S76" s="816"/>
      <c r="T76" s="816"/>
      <c r="U76" s="816"/>
      <c r="V76" s="816" t="s">
        <v>513</v>
      </c>
      <c r="W76" s="816"/>
      <c r="X76" s="816"/>
      <c r="Y76" s="816"/>
      <c r="Z76" s="816"/>
      <c r="AA76" s="816"/>
      <c r="AB76" s="816"/>
      <c r="AC76" s="816"/>
      <c r="AD76" s="816"/>
      <c r="AE76" s="816"/>
      <c r="AF76" s="816"/>
      <c r="AG76" s="816"/>
      <c r="AH76" s="816"/>
      <c r="AI76" s="816"/>
      <c r="AJ76" s="816"/>
      <c r="AK76" s="816"/>
      <c r="AL76" s="816"/>
      <c r="AM76" s="816"/>
      <c r="AN76" s="816"/>
      <c r="AO76" s="921"/>
      <c r="AP76" s="818"/>
      <c r="AQ76" s="816"/>
      <c r="AR76" s="816"/>
      <c r="AS76" s="816"/>
      <c r="AT76" s="816"/>
      <c r="AU76" s="816"/>
      <c r="AV76" s="816"/>
      <c r="AW76" s="816"/>
      <c r="AX76" s="819"/>
    </row>
    <row r="77" spans="1:50" s="4" customFormat="1" ht="12">
      <c r="A77" s="829"/>
      <c r="B77" s="838"/>
      <c r="C77" s="839"/>
      <c r="D77" s="816"/>
      <c r="E77" s="816"/>
      <c r="F77" s="816"/>
      <c r="G77" s="816"/>
      <c r="H77" s="816"/>
      <c r="I77" s="816"/>
      <c r="J77" s="816"/>
      <c r="K77" s="816"/>
      <c r="L77" s="817"/>
      <c r="M77" s="828"/>
      <c r="N77" s="931"/>
      <c r="O77" s="816"/>
      <c r="P77" s="816"/>
      <c r="Q77" s="816"/>
      <c r="R77" s="816"/>
      <c r="S77" s="816"/>
      <c r="T77" s="816"/>
      <c r="U77" s="816"/>
      <c r="V77" s="816" t="s">
        <v>514</v>
      </c>
      <c r="W77" s="816"/>
      <c r="X77" s="816"/>
      <c r="Y77" s="816"/>
      <c r="Z77" s="816"/>
      <c r="AA77" s="816"/>
      <c r="AB77" s="816"/>
      <c r="AC77" s="816"/>
      <c r="AD77" s="816"/>
      <c r="AE77" s="816"/>
      <c r="AF77" s="816"/>
      <c r="AG77" s="816"/>
      <c r="AH77" s="816"/>
      <c r="AI77" s="816"/>
      <c r="AJ77" s="816"/>
      <c r="AK77" s="816"/>
      <c r="AL77" s="816"/>
      <c r="AM77" s="816"/>
      <c r="AN77" s="816"/>
      <c r="AO77" s="921"/>
      <c r="AP77" s="818"/>
      <c r="AQ77" s="816"/>
      <c r="AR77" s="816"/>
      <c r="AS77" s="816"/>
      <c r="AT77" s="816"/>
      <c r="AU77" s="816"/>
      <c r="AV77" s="816"/>
      <c r="AW77" s="816"/>
      <c r="AX77" s="819"/>
    </row>
    <row r="78" spans="1:50" s="4" customFormat="1" ht="12">
      <c r="A78" s="829"/>
      <c r="B78" s="838"/>
      <c r="C78" s="839"/>
      <c r="D78" s="816"/>
      <c r="E78" s="816"/>
      <c r="F78" s="816"/>
      <c r="G78" s="816"/>
      <c r="H78" s="816"/>
      <c r="I78" s="816"/>
      <c r="J78" s="816"/>
      <c r="K78" s="816"/>
      <c r="L78" s="817"/>
      <c r="M78" s="828"/>
      <c r="N78" s="920"/>
      <c r="O78" s="816"/>
      <c r="P78" s="816"/>
      <c r="Q78" s="816"/>
      <c r="R78" s="816"/>
      <c r="S78" s="816"/>
      <c r="T78" s="816"/>
      <c r="U78" s="816"/>
      <c r="V78" s="816" t="s">
        <v>515</v>
      </c>
      <c r="W78" s="816"/>
      <c r="X78" s="816"/>
      <c r="Y78" s="816"/>
      <c r="Z78" s="816"/>
      <c r="AA78" s="816"/>
      <c r="AB78" s="816"/>
      <c r="AC78" s="816"/>
      <c r="AD78" s="816"/>
      <c r="AE78" s="816"/>
      <c r="AF78" s="816"/>
      <c r="AG78" s="816"/>
      <c r="AH78" s="816"/>
      <c r="AI78" s="816"/>
      <c r="AJ78" s="816"/>
      <c r="AK78" s="816"/>
      <c r="AL78" s="816"/>
      <c r="AM78" s="816"/>
      <c r="AN78" s="816"/>
      <c r="AO78" s="921"/>
      <c r="AP78" s="818"/>
      <c r="AQ78" s="816"/>
      <c r="AR78" s="816"/>
      <c r="AS78" s="816"/>
      <c r="AT78" s="816"/>
      <c r="AU78" s="816"/>
      <c r="AV78" s="816"/>
      <c r="AW78" s="816"/>
      <c r="AX78" s="819"/>
    </row>
    <row r="79" spans="1:50" s="4" customFormat="1" ht="12">
      <c r="A79" s="829"/>
      <c r="B79" s="838"/>
      <c r="C79" s="839"/>
      <c r="D79" s="816"/>
      <c r="E79" s="816"/>
      <c r="F79" s="816"/>
      <c r="G79" s="816"/>
      <c r="H79" s="816"/>
      <c r="I79" s="816"/>
      <c r="J79" s="816"/>
      <c r="K79" s="816"/>
      <c r="L79" s="817"/>
      <c r="M79" s="828"/>
      <c r="N79" s="920" t="s">
        <v>516</v>
      </c>
      <c r="O79" s="816"/>
      <c r="P79" s="816"/>
      <c r="Q79" s="816"/>
      <c r="R79" s="816"/>
      <c r="S79" s="816"/>
      <c r="T79" s="816"/>
      <c r="U79" s="816" t="s">
        <v>517</v>
      </c>
      <c r="V79" s="816" t="s">
        <v>518</v>
      </c>
      <c r="W79" s="816"/>
      <c r="X79" s="816"/>
      <c r="Y79" s="816"/>
      <c r="Z79" s="816"/>
      <c r="AA79" s="816"/>
      <c r="AB79" s="816"/>
      <c r="AC79" s="816"/>
      <c r="AD79" s="816"/>
      <c r="AE79" s="816"/>
      <c r="AF79" s="816"/>
      <c r="AG79" s="816"/>
      <c r="AH79" s="816"/>
      <c r="AI79" s="816"/>
      <c r="AJ79" s="816"/>
      <c r="AK79" s="816"/>
      <c r="AL79" s="816"/>
      <c r="AM79" s="816"/>
      <c r="AN79" s="816"/>
      <c r="AO79" s="921"/>
      <c r="AP79" s="818"/>
      <c r="AQ79" s="816"/>
      <c r="AR79" s="816"/>
      <c r="AS79" s="816"/>
      <c r="AT79" s="816"/>
      <c r="AU79" s="816"/>
      <c r="AV79" s="816"/>
      <c r="AW79" s="816"/>
      <c r="AX79" s="819"/>
    </row>
    <row r="80" spans="1:50" s="4" customFormat="1" ht="12">
      <c r="A80" s="829"/>
      <c r="B80" s="838"/>
      <c r="C80" s="839"/>
      <c r="D80" s="816"/>
      <c r="E80" s="816"/>
      <c r="F80" s="816"/>
      <c r="G80" s="816"/>
      <c r="H80" s="816"/>
      <c r="I80" s="816"/>
      <c r="J80" s="816"/>
      <c r="K80" s="816"/>
      <c r="L80" s="817"/>
      <c r="M80" s="828"/>
      <c r="N80" s="920" t="s">
        <v>519</v>
      </c>
      <c r="O80" s="816"/>
      <c r="P80" s="852"/>
      <c r="Q80" s="816"/>
      <c r="R80" s="816"/>
      <c r="S80" s="816"/>
      <c r="T80" s="816"/>
      <c r="U80" s="816"/>
      <c r="V80" s="816"/>
      <c r="W80" s="816"/>
      <c r="X80" s="816"/>
      <c r="Y80" s="816"/>
      <c r="Z80" s="816"/>
      <c r="AA80" s="816"/>
      <c r="AB80" s="816"/>
      <c r="AC80" s="816"/>
      <c r="AD80" s="816"/>
      <c r="AE80" s="816"/>
      <c r="AF80" s="816"/>
      <c r="AG80" s="816"/>
      <c r="AH80" s="816"/>
      <c r="AI80" s="816"/>
      <c r="AJ80" s="816"/>
      <c r="AK80" s="816"/>
      <c r="AL80" s="816"/>
      <c r="AM80" s="816"/>
      <c r="AN80" s="816"/>
      <c r="AO80" s="921"/>
      <c r="AP80" s="818"/>
      <c r="AQ80" s="816"/>
      <c r="AR80" s="816"/>
      <c r="AS80" s="816"/>
      <c r="AT80" s="816"/>
      <c r="AU80" s="816"/>
      <c r="AV80" s="816"/>
      <c r="AW80" s="816"/>
      <c r="AX80" s="819"/>
    </row>
    <row r="81" spans="1:50" s="4" customFormat="1" ht="12">
      <c r="A81" s="829"/>
      <c r="B81" s="838"/>
      <c r="C81" s="839"/>
      <c r="D81" s="816"/>
      <c r="E81" s="816"/>
      <c r="F81" s="816"/>
      <c r="G81" s="816"/>
      <c r="H81" s="816"/>
      <c r="I81" s="816"/>
      <c r="J81" s="816"/>
      <c r="K81" s="816"/>
      <c r="L81" s="817"/>
      <c r="M81" s="828"/>
      <c r="N81" s="920"/>
      <c r="O81" s="917"/>
      <c r="P81" s="918" t="s">
        <v>520</v>
      </c>
      <c r="Q81" s="870"/>
      <c r="R81" s="870"/>
      <c r="S81" s="870"/>
      <c r="T81" s="870"/>
      <c r="U81" s="870"/>
      <c r="V81" s="870"/>
      <c r="W81" s="870"/>
      <c r="X81" s="870"/>
      <c r="Y81" s="870"/>
      <c r="Z81" s="870"/>
      <c r="AA81" s="870"/>
      <c r="AB81" s="870"/>
      <c r="AC81" s="870"/>
      <c r="AD81" s="870"/>
      <c r="AE81" s="870"/>
      <c r="AF81" s="870"/>
      <c r="AG81" s="870"/>
      <c r="AH81" s="870"/>
      <c r="AI81" s="870"/>
      <c r="AJ81" s="870"/>
      <c r="AK81" s="870"/>
      <c r="AL81" s="870"/>
      <c r="AM81" s="870"/>
      <c r="AN81" s="919"/>
      <c r="AO81" s="921"/>
      <c r="AP81" s="818"/>
      <c r="AQ81" s="816"/>
      <c r="AR81" s="816"/>
      <c r="AS81" s="816"/>
      <c r="AT81" s="816"/>
      <c r="AU81" s="816"/>
      <c r="AV81" s="816"/>
      <c r="AW81" s="816"/>
      <c r="AX81" s="819"/>
    </row>
    <row r="82" spans="1:50" s="4" customFormat="1" ht="12">
      <c r="A82" s="829"/>
      <c r="B82" s="838"/>
      <c r="C82" s="839"/>
      <c r="D82" s="816"/>
      <c r="E82" s="816"/>
      <c r="F82" s="816"/>
      <c r="G82" s="816"/>
      <c r="H82" s="816"/>
      <c r="I82" s="816"/>
      <c r="J82" s="816"/>
      <c r="K82" s="816"/>
      <c r="L82" s="817"/>
      <c r="M82" s="828"/>
      <c r="N82" s="920"/>
      <c r="O82" s="920"/>
      <c r="P82" s="852" t="s">
        <v>521</v>
      </c>
      <c r="Q82" s="816"/>
      <c r="R82" s="816"/>
      <c r="S82" s="816"/>
      <c r="T82" s="816"/>
      <c r="U82" s="816"/>
      <c r="V82" s="816"/>
      <c r="W82" s="816" t="s">
        <v>522</v>
      </c>
      <c r="X82" s="816"/>
      <c r="Y82" s="816"/>
      <c r="Z82" s="816"/>
      <c r="AA82" s="816"/>
      <c r="AB82" s="816"/>
      <c r="AC82" s="816"/>
      <c r="AD82" s="816"/>
      <c r="AE82" s="816"/>
      <c r="AF82" s="816"/>
      <c r="AG82" s="816"/>
      <c r="AH82" s="816"/>
      <c r="AI82" s="816"/>
      <c r="AJ82" s="816"/>
      <c r="AK82" s="816"/>
      <c r="AL82" s="816"/>
      <c r="AM82" s="816"/>
      <c r="AN82" s="921"/>
      <c r="AO82" s="921"/>
      <c r="AP82" s="818"/>
      <c r="AQ82" s="816"/>
      <c r="AR82" s="816"/>
      <c r="AS82" s="816"/>
      <c r="AT82" s="816"/>
      <c r="AU82" s="816"/>
      <c r="AV82" s="816"/>
      <c r="AW82" s="816"/>
      <c r="AX82" s="819"/>
    </row>
    <row r="83" spans="1:50" s="4" customFormat="1" ht="12">
      <c r="A83" s="829"/>
      <c r="B83" s="838"/>
      <c r="C83" s="839"/>
      <c r="D83" s="816"/>
      <c r="E83" s="816"/>
      <c r="F83" s="816"/>
      <c r="G83" s="816"/>
      <c r="H83" s="816"/>
      <c r="I83" s="816"/>
      <c r="J83" s="816"/>
      <c r="K83" s="816"/>
      <c r="L83" s="817"/>
      <c r="M83" s="828"/>
      <c r="N83" s="920"/>
      <c r="O83" s="920"/>
      <c r="P83" s="852" t="s">
        <v>523</v>
      </c>
      <c r="Q83" s="816"/>
      <c r="R83" s="816"/>
      <c r="S83" s="816" t="s">
        <v>524</v>
      </c>
      <c r="T83" s="816"/>
      <c r="U83" s="816"/>
      <c r="V83" s="816"/>
      <c r="W83" s="816"/>
      <c r="X83" s="816"/>
      <c r="Y83" s="816"/>
      <c r="Z83" s="816" t="s">
        <v>525</v>
      </c>
      <c r="AA83" s="816"/>
      <c r="AB83" s="816"/>
      <c r="AC83" s="816"/>
      <c r="AD83" s="816"/>
      <c r="AE83" s="816"/>
      <c r="AF83" s="816"/>
      <c r="AG83" s="816"/>
      <c r="AH83" s="816"/>
      <c r="AI83" s="816"/>
      <c r="AJ83" s="816"/>
      <c r="AK83" s="816"/>
      <c r="AL83" s="816"/>
      <c r="AM83" s="816"/>
      <c r="AN83" s="921"/>
      <c r="AO83" s="921"/>
      <c r="AP83" s="818"/>
      <c r="AQ83" s="816"/>
      <c r="AR83" s="816"/>
      <c r="AS83" s="816"/>
      <c r="AT83" s="816"/>
      <c r="AU83" s="816"/>
      <c r="AV83" s="816"/>
      <c r="AW83" s="816"/>
      <c r="AX83" s="819"/>
    </row>
    <row r="84" spans="1:50" s="4" customFormat="1" ht="12">
      <c r="A84" s="829"/>
      <c r="B84" s="838"/>
      <c r="C84" s="839"/>
      <c r="D84" s="816"/>
      <c r="E84" s="816"/>
      <c r="F84" s="816"/>
      <c r="G84" s="816"/>
      <c r="H84" s="816"/>
      <c r="I84" s="816"/>
      <c r="J84" s="816"/>
      <c r="K84" s="816"/>
      <c r="L84" s="817"/>
      <c r="M84" s="828"/>
      <c r="N84" s="920"/>
      <c r="O84" s="920"/>
      <c r="P84" s="852" t="s">
        <v>526</v>
      </c>
      <c r="Q84" s="816"/>
      <c r="R84" s="816"/>
      <c r="S84" s="816" t="s">
        <v>527</v>
      </c>
      <c r="T84" s="816"/>
      <c r="U84" s="816"/>
      <c r="V84" s="816"/>
      <c r="W84" s="816"/>
      <c r="X84" s="816"/>
      <c r="Y84" s="816"/>
      <c r="Z84" s="816" t="s">
        <v>528</v>
      </c>
      <c r="AA84" s="816"/>
      <c r="AB84" s="816"/>
      <c r="AC84" s="816"/>
      <c r="AD84" s="816"/>
      <c r="AE84" s="816"/>
      <c r="AF84" s="816"/>
      <c r="AG84" s="816"/>
      <c r="AH84" s="816"/>
      <c r="AI84" s="816"/>
      <c r="AJ84" s="816"/>
      <c r="AK84" s="816"/>
      <c r="AL84" s="816"/>
      <c r="AM84" s="816"/>
      <c r="AN84" s="921"/>
      <c r="AO84" s="921"/>
      <c r="AP84" s="818"/>
      <c r="AQ84" s="816"/>
      <c r="AR84" s="816"/>
      <c r="AS84" s="816"/>
      <c r="AT84" s="816"/>
      <c r="AU84" s="816"/>
      <c r="AV84" s="816"/>
      <c r="AW84" s="816"/>
      <c r="AX84" s="819"/>
    </row>
    <row r="85" spans="1:50" s="4" customFormat="1" ht="12">
      <c r="A85" s="829"/>
      <c r="B85" s="838"/>
      <c r="C85" s="839"/>
      <c r="D85" s="816"/>
      <c r="E85" s="816"/>
      <c r="F85" s="816"/>
      <c r="G85" s="816"/>
      <c r="H85" s="816"/>
      <c r="I85" s="816"/>
      <c r="J85" s="816"/>
      <c r="K85" s="816"/>
      <c r="L85" s="817"/>
      <c r="M85" s="828"/>
      <c r="N85" s="920"/>
      <c r="O85" s="920"/>
      <c r="P85" s="852" t="s">
        <v>529</v>
      </c>
      <c r="Q85" s="816"/>
      <c r="R85" s="816"/>
      <c r="S85" s="816"/>
      <c r="T85" s="816"/>
      <c r="U85" s="816"/>
      <c r="V85" s="816"/>
      <c r="W85" s="816"/>
      <c r="X85" s="816"/>
      <c r="Y85" s="816"/>
      <c r="Z85" s="816"/>
      <c r="AA85" s="816"/>
      <c r="AB85" s="816"/>
      <c r="AC85" s="816"/>
      <c r="AD85" s="816"/>
      <c r="AE85" s="816"/>
      <c r="AF85" s="816"/>
      <c r="AG85" s="816"/>
      <c r="AH85" s="816"/>
      <c r="AI85" s="816"/>
      <c r="AJ85" s="816"/>
      <c r="AK85" s="816"/>
      <c r="AL85" s="816"/>
      <c r="AM85" s="816"/>
      <c r="AN85" s="921"/>
      <c r="AO85" s="921"/>
      <c r="AP85" s="818"/>
      <c r="AQ85" s="816"/>
      <c r="AR85" s="816"/>
      <c r="AS85" s="816"/>
      <c r="AT85" s="816"/>
      <c r="AU85" s="816"/>
      <c r="AV85" s="816"/>
      <c r="AW85" s="816"/>
      <c r="AX85" s="819"/>
    </row>
    <row r="86" spans="1:50" s="4" customFormat="1" ht="12">
      <c r="A86" s="829"/>
      <c r="B86" s="838"/>
      <c r="C86" s="839"/>
      <c r="D86" s="816"/>
      <c r="E86" s="816"/>
      <c r="F86" s="816"/>
      <c r="G86" s="816"/>
      <c r="H86" s="816"/>
      <c r="I86" s="816"/>
      <c r="J86" s="816"/>
      <c r="K86" s="816"/>
      <c r="L86" s="817"/>
      <c r="M86" s="828"/>
      <c r="N86" s="920"/>
      <c r="O86" s="920"/>
      <c r="P86" s="816"/>
      <c r="Q86" s="816"/>
      <c r="R86" s="816"/>
      <c r="S86" s="816" t="s">
        <v>530</v>
      </c>
      <c r="T86" s="816"/>
      <c r="U86" s="816"/>
      <c r="V86" s="816"/>
      <c r="W86" s="816"/>
      <c r="X86" s="816"/>
      <c r="Y86" s="816"/>
      <c r="Z86" s="816"/>
      <c r="AA86" s="816"/>
      <c r="AB86" s="816"/>
      <c r="AC86" s="816"/>
      <c r="AD86" s="816"/>
      <c r="AE86" s="816"/>
      <c r="AF86" s="816"/>
      <c r="AG86" s="816"/>
      <c r="AH86" s="816"/>
      <c r="AI86" s="816"/>
      <c r="AJ86" s="816"/>
      <c r="AK86" s="816"/>
      <c r="AL86" s="816"/>
      <c r="AM86" s="816"/>
      <c r="AN86" s="921"/>
      <c r="AO86" s="921"/>
      <c r="AP86" s="818"/>
      <c r="AQ86" s="816"/>
      <c r="AR86" s="816"/>
      <c r="AS86" s="816"/>
      <c r="AT86" s="816"/>
      <c r="AU86" s="816"/>
      <c r="AV86" s="816"/>
      <c r="AW86" s="816"/>
      <c r="AX86" s="819"/>
    </row>
    <row r="87" spans="1:50" s="4" customFormat="1" ht="12">
      <c r="A87" s="829"/>
      <c r="B87" s="838"/>
      <c r="C87" s="839"/>
      <c r="D87" s="816"/>
      <c r="E87" s="816"/>
      <c r="F87" s="816"/>
      <c r="G87" s="816"/>
      <c r="H87" s="816"/>
      <c r="I87" s="816"/>
      <c r="J87" s="816"/>
      <c r="K87" s="816"/>
      <c r="L87" s="817"/>
      <c r="M87" s="828"/>
      <c r="N87" s="920"/>
      <c r="O87" s="920"/>
      <c r="P87" s="816"/>
      <c r="Q87" s="816"/>
      <c r="R87" s="816"/>
      <c r="S87" s="816"/>
      <c r="T87" s="816"/>
      <c r="U87" s="816"/>
      <c r="V87" s="816"/>
      <c r="W87" s="816"/>
      <c r="X87" s="816"/>
      <c r="Y87" s="816"/>
      <c r="Z87" s="816"/>
      <c r="AA87" s="816"/>
      <c r="AB87" s="816"/>
      <c r="AC87" s="816"/>
      <c r="AD87" s="816"/>
      <c r="AE87" s="816"/>
      <c r="AF87" s="816"/>
      <c r="AG87" s="816"/>
      <c r="AH87" s="816"/>
      <c r="AI87" s="816"/>
      <c r="AJ87" s="816"/>
      <c r="AK87" s="816"/>
      <c r="AL87" s="816"/>
      <c r="AM87" s="816"/>
      <c r="AN87" s="921"/>
      <c r="AO87" s="921"/>
      <c r="AP87" s="818"/>
      <c r="AQ87" s="816"/>
      <c r="AR87" s="816"/>
      <c r="AS87" s="816"/>
      <c r="AT87" s="816"/>
      <c r="AU87" s="816"/>
      <c r="AV87" s="816"/>
      <c r="AW87" s="816"/>
      <c r="AX87" s="819"/>
    </row>
    <row r="88" spans="1:50" s="4" customFormat="1" ht="12">
      <c r="A88" s="829"/>
      <c r="B88" s="838"/>
      <c r="C88" s="839"/>
      <c r="D88" s="816"/>
      <c r="E88" s="816"/>
      <c r="F88" s="816"/>
      <c r="G88" s="816"/>
      <c r="H88" s="816"/>
      <c r="I88" s="816"/>
      <c r="J88" s="816"/>
      <c r="K88" s="816"/>
      <c r="L88" s="817"/>
      <c r="M88" s="828"/>
      <c r="N88" s="920"/>
      <c r="O88" s="920"/>
      <c r="P88" s="852" t="s">
        <v>531</v>
      </c>
      <c r="Q88" s="841"/>
      <c r="R88" s="841"/>
      <c r="S88" s="841"/>
      <c r="T88" s="852"/>
      <c r="U88" s="852"/>
      <c r="V88" s="852"/>
      <c r="W88" s="841"/>
      <c r="X88" s="841"/>
      <c r="Y88" s="922"/>
      <c r="Z88" s="922"/>
      <c r="AA88" s="922"/>
      <c r="AB88" s="922"/>
      <c r="AC88" s="922"/>
      <c r="AD88" s="922"/>
      <c r="AE88" s="922"/>
      <c r="AF88" s="922"/>
      <c r="AG88" s="922"/>
      <c r="AH88" s="922"/>
      <c r="AI88" s="922"/>
      <c r="AJ88" s="922"/>
      <c r="AK88" s="922"/>
      <c r="AL88" s="922"/>
      <c r="AM88" s="816"/>
      <c r="AN88" s="921"/>
      <c r="AO88" s="921"/>
      <c r="AP88" s="818"/>
      <c r="AQ88" s="816"/>
      <c r="AR88" s="816"/>
      <c r="AS88" s="816"/>
      <c r="AT88" s="816"/>
      <c r="AU88" s="816"/>
      <c r="AV88" s="816"/>
      <c r="AW88" s="816"/>
      <c r="AX88" s="819"/>
    </row>
    <row r="89" spans="1:50" s="4" customFormat="1" ht="12">
      <c r="A89" s="829"/>
      <c r="B89" s="838"/>
      <c r="C89" s="839"/>
      <c r="D89" s="816"/>
      <c r="E89" s="816"/>
      <c r="F89" s="816"/>
      <c r="G89" s="816"/>
      <c r="H89" s="816"/>
      <c r="I89" s="816"/>
      <c r="J89" s="816"/>
      <c r="K89" s="816"/>
      <c r="L89" s="817"/>
      <c r="M89" s="828"/>
      <c r="N89" s="920"/>
      <c r="O89" s="920"/>
      <c r="P89" s="923" t="s">
        <v>28</v>
      </c>
      <c r="Q89" s="924"/>
      <c r="R89" s="924"/>
      <c r="S89" s="924"/>
      <c r="T89" s="924"/>
      <c r="U89" s="924"/>
      <c r="V89" s="924"/>
      <c r="W89" s="924"/>
      <c r="X89" s="924"/>
      <c r="Y89" s="923" t="s">
        <v>532</v>
      </c>
      <c r="Z89" s="924"/>
      <c r="AA89" s="924"/>
      <c r="AB89" s="924"/>
      <c r="AC89" s="924"/>
      <c r="AD89" s="924"/>
      <c r="AE89" s="924"/>
      <c r="AF89" s="924"/>
      <c r="AG89" s="924"/>
      <c r="AH89" s="924"/>
      <c r="AI89" s="924"/>
      <c r="AJ89" s="924"/>
      <c r="AK89" s="925"/>
      <c r="AL89" s="815"/>
      <c r="AM89" s="816"/>
      <c r="AN89" s="921"/>
      <c r="AO89" s="921"/>
      <c r="AP89" s="818"/>
      <c r="AQ89" s="816"/>
      <c r="AR89" s="816"/>
      <c r="AS89" s="816"/>
      <c r="AT89" s="816"/>
      <c r="AU89" s="816"/>
      <c r="AV89" s="816"/>
      <c r="AW89" s="816"/>
      <c r="AX89" s="819"/>
    </row>
    <row r="90" spans="1:50" s="4" customFormat="1" ht="12">
      <c r="A90" s="829"/>
      <c r="B90" s="838"/>
      <c r="C90" s="839"/>
      <c r="D90" s="816"/>
      <c r="E90" s="816"/>
      <c r="F90" s="816"/>
      <c r="G90" s="816"/>
      <c r="H90" s="816"/>
      <c r="I90" s="816"/>
      <c r="J90" s="816"/>
      <c r="K90" s="816"/>
      <c r="L90" s="817"/>
      <c r="M90" s="828"/>
      <c r="N90" s="920"/>
      <c r="O90" s="920"/>
      <c r="P90" s="835" t="s">
        <v>293</v>
      </c>
      <c r="Q90" s="876"/>
      <c r="R90" s="876"/>
      <c r="S90" s="876"/>
      <c r="T90" s="877"/>
      <c r="U90" s="877"/>
      <c r="V90" s="877"/>
      <c r="W90" s="877"/>
      <c r="X90" s="926"/>
      <c r="Y90" s="835" t="s">
        <v>530</v>
      </c>
      <c r="Z90" s="927"/>
      <c r="AA90" s="927"/>
      <c r="AB90" s="927"/>
      <c r="AC90" s="927"/>
      <c r="AD90" s="927"/>
      <c r="AE90" s="927"/>
      <c r="AF90" s="927"/>
      <c r="AG90" s="927"/>
      <c r="AH90" s="927"/>
      <c r="AI90" s="927"/>
      <c r="AJ90" s="927"/>
      <c r="AK90" s="926"/>
      <c r="AL90" s="815"/>
      <c r="AM90" s="816"/>
      <c r="AN90" s="921"/>
      <c r="AO90" s="921"/>
      <c r="AP90" s="818"/>
      <c r="AQ90" s="816"/>
      <c r="AR90" s="816"/>
      <c r="AS90" s="816"/>
      <c r="AT90" s="816"/>
      <c r="AU90" s="816"/>
      <c r="AV90" s="816"/>
      <c r="AW90" s="816"/>
      <c r="AX90" s="819"/>
    </row>
    <row r="91" spans="1:50" s="4" customFormat="1" ht="12">
      <c r="A91" s="829"/>
      <c r="B91" s="838"/>
      <c r="C91" s="839"/>
      <c r="D91" s="816"/>
      <c r="E91" s="816"/>
      <c r="F91" s="816"/>
      <c r="G91" s="816"/>
      <c r="H91" s="816"/>
      <c r="I91" s="816"/>
      <c r="J91" s="816"/>
      <c r="K91" s="816"/>
      <c r="L91" s="817"/>
      <c r="M91" s="828"/>
      <c r="N91" s="920"/>
      <c r="O91" s="920"/>
      <c r="P91" s="835" t="s">
        <v>533</v>
      </c>
      <c r="Q91" s="876"/>
      <c r="R91" s="876"/>
      <c r="S91" s="876"/>
      <c r="T91" s="877"/>
      <c r="U91" s="877"/>
      <c r="V91" s="877"/>
      <c r="W91" s="877"/>
      <c r="X91" s="926"/>
      <c r="Y91" s="835" t="s">
        <v>534</v>
      </c>
      <c r="Z91" s="927"/>
      <c r="AA91" s="927"/>
      <c r="AB91" s="927"/>
      <c r="AC91" s="927"/>
      <c r="AD91" s="927"/>
      <c r="AE91" s="927"/>
      <c r="AF91" s="927"/>
      <c r="AG91" s="927"/>
      <c r="AH91" s="927"/>
      <c r="AI91" s="927"/>
      <c r="AJ91" s="927"/>
      <c r="AK91" s="926"/>
      <c r="AL91" s="815"/>
      <c r="AM91" s="816"/>
      <c r="AN91" s="921"/>
      <c r="AO91" s="921"/>
      <c r="AP91" s="818"/>
      <c r="AQ91" s="816"/>
      <c r="AR91" s="816"/>
      <c r="AS91" s="816"/>
      <c r="AT91" s="816"/>
      <c r="AU91" s="816"/>
      <c r="AV91" s="816"/>
      <c r="AW91" s="816"/>
      <c r="AX91" s="819"/>
    </row>
    <row r="92" spans="1:50" s="4" customFormat="1" ht="12">
      <c r="A92" s="829"/>
      <c r="B92" s="838"/>
      <c r="C92" s="839"/>
      <c r="D92" s="816"/>
      <c r="E92" s="816"/>
      <c r="F92" s="816"/>
      <c r="G92" s="816"/>
      <c r="H92" s="816"/>
      <c r="I92" s="816"/>
      <c r="J92" s="816"/>
      <c r="K92" s="816"/>
      <c r="L92" s="817"/>
      <c r="M92" s="828"/>
      <c r="N92" s="920"/>
      <c r="O92" s="928"/>
      <c r="P92" s="871"/>
      <c r="Q92" s="871"/>
      <c r="R92" s="871"/>
      <c r="S92" s="871"/>
      <c r="T92" s="871"/>
      <c r="U92" s="871"/>
      <c r="V92" s="871"/>
      <c r="W92" s="871"/>
      <c r="X92" s="871"/>
      <c r="Y92" s="871"/>
      <c r="Z92" s="871"/>
      <c r="AA92" s="871"/>
      <c r="AB92" s="871"/>
      <c r="AC92" s="871"/>
      <c r="AD92" s="871"/>
      <c r="AE92" s="871"/>
      <c r="AF92" s="871"/>
      <c r="AG92" s="871"/>
      <c r="AH92" s="871"/>
      <c r="AI92" s="871"/>
      <c r="AJ92" s="871"/>
      <c r="AK92" s="871"/>
      <c r="AL92" s="871"/>
      <c r="AM92" s="871"/>
      <c r="AN92" s="929"/>
      <c r="AO92" s="921"/>
      <c r="AP92" s="818"/>
      <c r="AQ92" s="816"/>
      <c r="AR92" s="816"/>
      <c r="AS92" s="816"/>
      <c r="AT92" s="816"/>
      <c r="AU92" s="816"/>
      <c r="AV92" s="816"/>
      <c r="AW92" s="816"/>
      <c r="AX92" s="819"/>
    </row>
    <row r="93" spans="1:50" s="4" customFormat="1" ht="12">
      <c r="A93" s="829"/>
      <c r="B93" s="838"/>
      <c r="C93" s="839"/>
      <c r="D93" s="816"/>
      <c r="E93" s="816"/>
      <c r="F93" s="816"/>
      <c r="G93" s="816"/>
      <c r="H93" s="816"/>
      <c r="I93" s="816"/>
      <c r="J93" s="816"/>
      <c r="K93" s="816"/>
      <c r="L93" s="817"/>
      <c r="M93" s="828"/>
      <c r="N93" s="920"/>
      <c r="O93" s="816"/>
      <c r="P93" s="816"/>
      <c r="Q93" s="816"/>
      <c r="R93" s="816"/>
      <c r="S93" s="816"/>
      <c r="T93" s="816"/>
      <c r="U93" s="816"/>
      <c r="V93" s="816"/>
      <c r="W93" s="816"/>
      <c r="X93" s="816"/>
      <c r="Y93" s="816"/>
      <c r="Z93" s="816"/>
      <c r="AA93" s="816"/>
      <c r="AB93" s="816"/>
      <c r="AC93" s="816"/>
      <c r="AD93" s="816"/>
      <c r="AE93" s="816"/>
      <c r="AF93" s="816"/>
      <c r="AG93" s="816"/>
      <c r="AH93" s="816"/>
      <c r="AI93" s="816"/>
      <c r="AJ93" s="816"/>
      <c r="AK93" s="816"/>
      <c r="AL93" s="816"/>
      <c r="AM93" s="816"/>
      <c r="AN93" s="816"/>
      <c r="AO93" s="921"/>
      <c r="AP93" s="818"/>
      <c r="AQ93" s="816"/>
      <c r="AR93" s="816"/>
      <c r="AS93" s="816"/>
      <c r="AT93" s="816"/>
      <c r="AU93" s="816"/>
      <c r="AV93" s="816"/>
      <c r="AW93" s="816"/>
      <c r="AX93" s="819"/>
    </row>
    <row r="94" spans="1:50" s="4" customFormat="1" ht="12">
      <c r="A94" s="829"/>
      <c r="B94" s="838"/>
      <c r="C94" s="839"/>
      <c r="D94" s="816"/>
      <c r="E94" s="816"/>
      <c r="F94" s="816"/>
      <c r="G94" s="816"/>
      <c r="H94" s="816"/>
      <c r="I94" s="816"/>
      <c r="J94" s="816"/>
      <c r="K94" s="816"/>
      <c r="L94" s="817"/>
      <c r="M94" s="828"/>
      <c r="N94" s="920" t="s">
        <v>292</v>
      </c>
      <c r="O94" s="816"/>
      <c r="P94" s="816"/>
      <c r="Q94" s="816"/>
      <c r="R94" s="816"/>
      <c r="S94" s="816"/>
      <c r="T94" s="816"/>
      <c r="U94" s="816" t="s">
        <v>535</v>
      </c>
      <c r="V94" s="816" t="s">
        <v>536</v>
      </c>
      <c r="W94" s="816"/>
      <c r="X94" s="816"/>
      <c r="Y94" s="816"/>
      <c r="Z94" s="816"/>
      <c r="AA94" s="816"/>
      <c r="AB94" s="816"/>
      <c r="AC94" s="816"/>
      <c r="AD94" s="816"/>
      <c r="AE94" s="816"/>
      <c r="AF94" s="816"/>
      <c r="AG94" s="816"/>
      <c r="AH94" s="816"/>
      <c r="AI94" s="816"/>
      <c r="AJ94" s="816"/>
      <c r="AK94" s="816"/>
      <c r="AL94" s="816"/>
      <c r="AM94" s="816"/>
      <c r="AN94" s="816"/>
      <c r="AO94" s="921"/>
      <c r="AP94" s="818"/>
      <c r="AQ94" s="816"/>
      <c r="AR94" s="816"/>
      <c r="AS94" s="816"/>
      <c r="AT94" s="816"/>
      <c r="AU94" s="816"/>
      <c r="AV94" s="816"/>
      <c r="AW94" s="816"/>
      <c r="AX94" s="819"/>
    </row>
    <row r="95" spans="1:50" s="4" customFormat="1" ht="12">
      <c r="A95" s="829"/>
      <c r="B95" s="838"/>
      <c r="C95" s="839"/>
      <c r="D95" s="816"/>
      <c r="E95" s="816"/>
      <c r="F95" s="816"/>
      <c r="G95" s="816"/>
      <c r="H95" s="816"/>
      <c r="I95" s="816"/>
      <c r="J95" s="816"/>
      <c r="K95" s="816"/>
      <c r="L95" s="817"/>
      <c r="M95" s="828"/>
      <c r="N95" s="920" t="s">
        <v>537</v>
      </c>
      <c r="O95" s="816"/>
      <c r="P95" s="816"/>
      <c r="Q95" s="816"/>
      <c r="R95" s="816"/>
      <c r="S95" s="816"/>
      <c r="T95" s="816"/>
      <c r="U95" s="816" t="s">
        <v>538</v>
      </c>
      <c r="V95" s="816" t="s">
        <v>539</v>
      </c>
      <c r="W95" s="816"/>
      <c r="X95" s="816"/>
      <c r="Y95" s="816"/>
      <c r="Z95" s="816"/>
      <c r="AA95" s="816"/>
      <c r="AB95" s="816"/>
      <c r="AC95" s="816"/>
      <c r="AD95" s="816"/>
      <c r="AE95" s="816"/>
      <c r="AF95" s="816"/>
      <c r="AG95" s="816"/>
      <c r="AH95" s="816"/>
      <c r="AI95" s="816"/>
      <c r="AJ95" s="816"/>
      <c r="AK95" s="816"/>
      <c r="AL95" s="816"/>
      <c r="AM95" s="816"/>
      <c r="AN95" s="816"/>
      <c r="AO95" s="921"/>
      <c r="AP95" s="818"/>
      <c r="AQ95" s="816"/>
      <c r="AR95" s="816"/>
      <c r="AS95" s="816"/>
      <c r="AT95" s="816"/>
      <c r="AU95" s="816"/>
      <c r="AV95" s="816"/>
      <c r="AW95" s="816"/>
      <c r="AX95" s="819"/>
    </row>
    <row r="96" spans="1:50" s="4" customFormat="1" ht="12">
      <c r="A96" s="829"/>
      <c r="B96" s="838"/>
      <c r="C96" s="839"/>
      <c r="D96" s="816"/>
      <c r="E96" s="816"/>
      <c r="F96" s="816"/>
      <c r="G96" s="816"/>
      <c r="H96" s="816"/>
      <c r="I96" s="816"/>
      <c r="J96" s="816"/>
      <c r="K96" s="816"/>
      <c r="L96" s="817"/>
      <c r="M96" s="828"/>
      <c r="N96" s="920"/>
      <c r="O96" s="816"/>
      <c r="P96" s="816"/>
      <c r="Q96" s="816"/>
      <c r="R96" s="816"/>
      <c r="S96" s="816"/>
      <c r="T96" s="816"/>
      <c r="U96" s="816"/>
      <c r="V96" s="816"/>
      <c r="W96" s="816"/>
      <c r="X96" s="816"/>
      <c r="Y96" s="816"/>
      <c r="Z96" s="816"/>
      <c r="AA96" s="816"/>
      <c r="AB96" s="816"/>
      <c r="AC96" s="816"/>
      <c r="AD96" s="816"/>
      <c r="AE96" s="816"/>
      <c r="AF96" s="816"/>
      <c r="AG96" s="816"/>
      <c r="AH96" s="816"/>
      <c r="AI96" s="816"/>
      <c r="AJ96" s="816"/>
      <c r="AK96" s="816"/>
      <c r="AL96" s="816"/>
      <c r="AM96" s="816"/>
      <c r="AN96" s="816"/>
      <c r="AO96" s="921"/>
      <c r="AP96" s="818"/>
      <c r="AQ96" s="816"/>
      <c r="AR96" s="816"/>
      <c r="AS96" s="816"/>
      <c r="AT96" s="816"/>
      <c r="AU96" s="816"/>
      <c r="AV96" s="816"/>
      <c r="AW96" s="816"/>
      <c r="AX96" s="819"/>
    </row>
    <row r="97" spans="1:50" s="4" customFormat="1" ht="12">
      <c r="A97" s="829"/>
      <c r="B97" s="838"/>
      <c r="C97" s="839"/>
      <c r="D97" s="816"/>
      <c r="E97" s="816"/>
      <c r="F97" s="816"/>
      <c r="G97" s="816"/>
      <c r="H97" s="816"/>
      <c r="I97" s="816"/>
      <c r="J97" s="816"/>
      <c r="K97" s="816"/>
      <c r="L97" s="817"/>
      <c r="M97" s="828"/>
      <c r="N97" s="920" t="s">
        <v>523</v>
      </c>
      <c r="O97" s="816"/>
      <c r="P97" s="816"/>
      <c r="Q97" s="816"/>
      <c r="R97" s="816"/>
      <c r="S97" s="816"/>
      <c r="T97" s="816"/>
      <c r="U97" s="816"/>
      <c r="V97" s="816"/>
      <c r="W97" s="816"/>
      <c r="X97" s="816"/>
      <c r="Y97" s="816"/>
      <c r="Z97" s="816"/>
      <c r="AA97" s="816"/>
      <c r="AB97" s="816"/>
      <c r="AC97" s="816"/>
      <c r="AD97" s="816"/>
      <c r="AE97" s="816"/>
      <c r="AF97" s="816"/>
      <c r="AG97" s="816"/>
      <c r="AH97" s="816"/>
      <c r="AI97" s="816"/>
      <c r="AJ97" s="816"/>
      <c r="AK97" s="816"/>
      <c r="AL97" s="816"/>
      <c r="AM97" s="816"/>
      <c r="AN97" s="816"/>
      <c r="AO97" s="921"/>
      <c r="AP97" s="818"/>
      <c r="AQ97" s="816"/>
      <c r="AR97" s="816"/>
      <c r="AS97" s="816"/>
      <c r="AT97" s="816"/>
      <c r="AU97" s="816"/>
      <c r="AV97" s="816"/>
      <c r="AW97" s="816"/>
      <c r="AX97" s="819"/>
    </row>
    <row r="98" spans="1:50" s="4" customFormat="1" ht="12">
      <c r="A98" s="829"/>
      <c r="B98" s="838"/>
      <c r="C98" s="839"/>
      <c r="D98" s="816"/>
      <c r="E98" s="816"/>
      <c r="F98" s="816"/>
      <c r="G98" s="816"/>
      <c r="H98" s="816"/>
      <c r="I98" s="816"/>
      <c r="J98" s="816"/>
      <c r="K98" s="816"/>
      <c r="L98" s="817"/>
      <c r="M98" s="828"/>
      <c r="N98" s="920"/>
      <c r="O98" s="815"/>
      <c r="P98" s="816"/>
      <c r="Q98" s="816" t="s">
        <v>540</v>
      </c>
      <c r="R98" s="816"/>
      <c r="S98" s="816"/>
      <c r="T98" s="816"/>
      <c r="U98" s="816"/>
      <c r="V98" s="816"/>
      <c r="W98" s="816"/>
      <c r="X98" s="816"/>
      <c r="Y98" s="816"/>
      <c r="Z98" s="816"/>
      <c r="AA98" s="816"/>
      <c r="AB98" s="816"/>
      <c r="AC98" s="816"/>
      <c r="AD98" s="816"/>
      <c r="AE98" s="816"/>
      <c r="AF98" s="816"/>
      <c r="AG98" s="816"/>
      <c r="AH98" s="816"/>
      <c r="AI98" s="816"/>
      <c r="AJ98" s="816"/>
      <c r="AK98" s="816"/>
      <c r="AL98" s="816"/>
      <c r="AM98" s="816"/>
      <c r="AN98" s="816"/>
      <c r="AO98" s="921"/>
      <c r="AP98" s="818"/>
      <c r="AQ98" s="816"/>
      <c r="AR98" s="816"/>
      <c r="AS98" s="816"/>
      <c r="AT98" s="816"/>
      <c r="AU98" s="816"/>
      <c r="AV98" s="816"/>
      <c r="AW98" s="816"/>
      <c r="AX98" s="819"/>
    </row>
    <row r="99" spans="1:50" s="4" customFormat="1" ht="12">
      <c r="A99" s="829"/>
      <c r="B99" s="838"/>
      <c r="C99" s="839"/>
      <c r="D99" s="816"/>
      <c r="E99" s="816"/>
      <c r="F99" s="816"/>
      <c r="G99" s="816"/>
      <c r="H99" s="816"/>
      <c r="I99" s="816"/>
      <c r="J99" s="816"/>
      <c r="K99" s="816"/>
      <c r="L99" s="817"/>
      <c r="M99" s="828"/>
      <c r="N99" s="920"/>
      <c r="O99" s="816" t="s">
        <v>526</v>
      </c>
      <c r="P99" s="816"/>
      <c r="Q99" s="816" t="s">
        <v>541</v>
      </c>
      <c r="R99" s="816"/>
      <c r="S99" s="816"/>
      <c r="T99" s="816"/>
      <c r="U99" s="816"/>
      <c r="V99" s="816"/>
      <c r="W99" s="816"/>
      <c r="X99" s="816"/>
      <c r="Y99" s="816"/>
      <c r="Z99" s="816"/>
      <c r="AA99" s="816"/>
      <c r="AB99" s="816"/>
      <c r="AC99" s="816"/>
      <c r="AD99" s="816"/>
      <c r="AE99" s="816"/>
      <c r="AF99" s="816"/>
      <c r="AG99" s="816"/>
      <c r="AH99" s="816"/>
      <c r="AI99" s="816"/>
      <c r="AJ99" s="816"/>
      <c r="AK99" s="816"/>
      <c r="AL99" s="816"/>
      <c r="AM99" s="816"/>
      <c r="AN99" s="816"/>
      <c r="AO99" s="921"/>
      <c r="AP99" s="818"/>
      <c r="AQ99" s="816"/>
      <c r="AR99" s="816"/>
      <c r="AS99" s="816"/>
      <c r="AT99" s="816"/>
      <c r="AU99" s="816"/>
      <c r="AV99" s="816"/>
      <c r="AW99" s="816"/>
      <c r="AX99" s="819"/>
    </row>
    <row r="100" spans="1:50" s="4" customFormat="1" ht="12">
      <c r="A100" s="829"/>
      <c r="B100" s="838"/>
      <c r="C100" s="839"/>
      <c r="D100" s="816"/>
      <c r="E100" s="816"/>
      <c r="F100" s="816"/>
      <c r="G100" s="816"/>
      <c r="H100" s="816"/>
      <c r="I100" s="816"/>
      <c r="J100" s="816"/>
      <c r="K100" s="816"/>
      <c r="L100" s="817"/>
      <c r="M100" s="828"/>
      <c r="N100" s="920"/>
      <c r="O100" s="816" t="s">
        <v>526</v>
      </c>
      <c r="P100" s="816"/>
      <c r="Q100" s="816" t="s">
        <v>542</v>
      </c>
      <c r="R100" s="816"/>
      <c r="S100" s="816"/>
      <c r="T100" s="816"/>
      <c r="U100" s="816"/>
      <c r="V100" s="816"/>
      <c r="W100" s="816"/>
      <c r="X100" s="816"/>
      <c r="Y100" s="816"/>
      <c r="Z100" s="816"/>
      <c r="AA100" s="816"/>
      <c r="AB100" s="816"/>
      <c r="AC100" s="816"/>
      <c r="AD100" s="816"/>
      <c r="AE100" s="816"/>
      <c r="AF100" s="816"/>
      <c r="AG100" s="816"/>
      <c r="AH100" s="816"/>
      <c r="AI100" s="816"/>
      <c r="AJ100" s="816"/>
      <c r="AK100" s="816"/>
      <c r="AL100" s="816"/>
      <c r="AM100" s="816"/>
      <c r="AN100" s="816"/>
      <c r="AO100" s="921"/>
      <c r="AP100" s="818"/>
      <c r="AQ100" s="816"/>
      <c r="AR100" s="816"/>
      <c r="AS100" s="816"/>
      <c r="AT100" s="816"/>
      <c r="AU100" s="816"/>
      <c r="AV100" s="816"/>
      <c r="AW100" s="816"/>
      <c r="AX100" s="819"/>
    </row>
    <row r="101" spans="1:50" s="4" customFormat="1" ht="12">
      <c r="A101" s="829"/>
      <c r="B101" s="838"/>
      <c r="C101" s="839"/>
      <c r="D101" s="816"/>
      <c r="E101" s="816"/>
      <c r="F101" s="816"/>
      <c r="G101" s="816"/>
      <c r="H101" s="816"/>
      <c r="I101" s="816"/>
      <c r="J101" s="816"/>
      <c r="K101" s="816"/>
      <c r="L101" s="817"/>
      <c r="M101" s="828"/>
      <c r="N101" s="920"/>
      <c r="O101" s="816" t="s">
        <v>526</v>
      </c>
      <c r="P101" s="816"/>
      <c r="Q101" s="816" t="s">
        <v>543</v>
      </c>
      <c r="R101" s="816"/>
      <c r="S101" s="816"/>
      <c r="T101" s="816"/>
      <c r="U101" s="816"/>
      <c r="V101" s="816"/>
      <c r="W101" s="816"/>
      <c r="X101" s="816"/>
      <c r="Y101" s="816"/>
      <c r="Z101" s="816"/>
      <c r="AA101" s="816"/>
      <c r="AB101" s="816"/>
      <c r="AC101" s="816"/>
      <c r="AD101" s="816"/>
      <c r="AE101" s="816"/>
      <c r="AF101" s="816"/>
      <c r="AG101" s="816"/>
      <c r="AH101" s="816"/>
      <c r="AI101" s="816"/>
      <c r="AJ101" s="816"/>
      <c r="AK101" s="816"/>
      <c r="AL101" s="816"/>
      <c r="AM101" s="816"/>
      <c r="AN101" s="816"/>
      <c r="AO101" s="921"/>
      <c r="AP101" s="818"/>
      <c r="AQ101" s="816"/>
      <c r="AR101" s="816"/>
      <c r="AS101" s="816"/>
      <c r="AT101" s="816"/>
      <c r="AU101" s="816"/>
      <c r="AV101" s="816"/>
      <c r="AW101" s="816"/>
      <c r="AX101" s="819"/>
    </row>
    <row r="102" spans="1:50" s="4" customFormat="1" ht="12">
      <c r="A102" s="829"/>
      <c r="B102" s="838"/>
      <c r="C102" s="839"/>
      <c r="D102" s="816"/>
      <c r="E102" s="816"/>
      <c r="F102" s="816"/>
      <c r="G102" s="816"/>
      <c r="H102" s="816"/>
      <c r="I102" s="816"/>
      <c r="J102" s="816"/>
      <c r="K102" s="816"/>
      <c r="L102" s="817"/>
      <c r="M102" s="828"/>
      <c r="N102" s="920"/>
      <c r="O102" s="816" t="s">
        <v>526</v>
      </c>
      <c r="P102" s="816"/>
      <c r="Q102" s="815" t="s">
        <v>499</v>
      </c>
      <c r="R102" s="816"/>
      <c r="S102" s="816"/>
      <c r="T102" s="816"/>
      <c r="U102" s="816"/>
      <c r="V102" s="816"/>
      <c r="W102" s="816"/>
      <c r="X102" s="816"/>
      <c r="Y102" s="816"/>
      <c r="Z102" s="816"/>
      <c r="AA102" s="816"/>
      <c r="AB102" s="816"/>
      <c r="AC102" s="816"/>
      <c r="AD102" s="816"/>
      <c r="AE102" s="816"/>
      <c r="AF102" s="816"/>
      <c r="AG102" s="816"/>
      <c r="AH102" s="816"/>
      <c r="AI102" s="816"/>
      <c r="AJ102" s="816"/>
      <c r="AK102" s="816"/>
      <c r="AL102" s="816"/>
      <c r="AM102" s="816"/>
      <c r="AN102" s="816"/>
      <c r="AO102" s="921"/>
      <c r="AP102" s="818"/>
      <c r="AQ102" s="816"/>
      <c r="AR102" s="816"/>
      <c r="AS102" s="816"/>
      <c r="AT102" s="816"/>
      <c r="AU102" s="816"/>
      <c r="AV102" s="816"/>
      <c r="AW102" s="816"/>
      <c r="AX102" s="819"/>
    </row>
    <row r="103" spans="1:50" s="4" customFormat="1" ht="12">
      <c r="A103" s="829"/>
      <c r="B103" s="838"/>
      <c r="C103" s="839"/>
      <c r="D103" s="816"/>
      <c r="E103" s="816"/>
      <c r="F103" s="816"/>
      <c r="G103" s="816"/>
      <c r="H103" s="816"/>
      <c r="I103" s="816"/>
      <c r="J103" s="816"/>
      <c r="K103" s="816"/>
      <c r="L103" s="817"/>
      <c r="M103" s="828"/>
      <c r="N103" s="920"/>
      <c r="O103" s="816" t="s">
        <v>544</v>
      </c>
      <c r="P103" s="816"/>
      <c r="Q103" s="816" t="s">
        <v>545</v>
      </c>
      <c r="R103" s="816"/>
      <c r="S103" s="816"/>
      <c r="T103" s="816"/>
      <c r="U103" s="816"/>
      <c r="V103" s="816"/>
      <c r="W103" s="816"/>
      <c r="X103" s="816"/>
      <c r="Y103" s="816"/>
      <c r="Z103" s="816"/>
      <c r="AA103" s="816"/>
      <c r="AB103" s="816"/>
      <c r="AC103" s="816"/>
      <c r="AD103" s="816"/>
      <c r="AE103" s="816"/>
      <c r="AF103" s="816"/>
      <c r="AG103" s="816"/>
      <c r="AH103" s="816"/>
      <c r="AI103" s="816"/>
      <c r="AJ103" s="816"/>
      <c r="AK103" s="816"/>
      <c r="AL103" s="816"/>
      <c r="AM103" s="816"/>
      <c r="AN103" s="816"/>
      <c r="AO103" s="921"/>
      <c r="AP103" s="818"/>
      <c r="AQ103" s="816"/>
      <c r="AR103" s="816"/>
      <c r="AS103" s="816"/>
      <c r="AT103" s="816"/>
      <c r="AU103" s="816"/>
      <c r="AV103" s="816"/>
      <c r="AW103" s="816"/>
      <c r="AX103" s="819"/>
    </row>
    <row r="104" spans="1:50" s="4" customFormat="1" ht="12">
      <c r="A104" s="829"/>
      <c r="B104" s="838"/>
      <c r="C104" s="839"/>
      <c r="D104" s="816"/>
      <c r="E104" s="816"/>
      <c r="F104" s="816"/>
      <c r="G104" s="816"/>
      <c r="H104" s="816"/>
      <c r="I104" s="816"/>
      <c r="J104" s="816"/>
      <c r="K104" s="816"/>
      <c r="L104" s="817"/>
      <c r="M104" s="828"/>
      <c r="N104" s="920"/>
      <c r="O104" s="816"/>
      <c r="P104" s="816"/>
      <c r="Q104" s="816"/>
      <c r="R104" s="816" t="s">
        <v>546</v>
      </c>
      <c r="S104" s="816"/>
      <c r="T104" s="816"/>
      <c r="U104" s="816"/>
      <c r="V104" s="816"/>
      <c r="W104" s="816"/>
      <c r="X104" s="816"/>
      <c r="Y104" s="816"/>
      <c r="Z104" s="816"/>
      <c r="AA104" s="816"/>
      <c r="AB104" s="816"/>
      <c r="AC104" s="816"/>
      <c r="AD104" s="816"/>
      <c r="AE104" s="816"/>
      <c r="AF104" s="816"/>
      <c r="AG104" s="816"/>
      <c r="AH104" s="816"/>
      <c r="AI104" s="816"/>
      <c r="AJ104" s="816"/>
      <c r="AK104" s="816"/>
      <c r="AL104" s="816"/>
      <c r="AM104" s="816"/>
      <c r="AN104" s="816"/>
      <c r="AO104" s="921"/>
      <c r="AP104" s="818"/>
      <c r="AQ104" s="816"/>
      <c r="AR104" s="816"/>
      <c r="AS104" s="816"/>
      <c r="AT104" s="816"/>
      <c r="AU104" s="816"/>
      <c r="AV104" s="816"/>
      <c r="AW104" s="816"/>
      <c r="AX104" s="819"/>
    </row>
    <row r="105" spans="1:50" s="4" customFormat="1" ht="12">
      <c r="A105" s="829"/>
      <c r="B105" s="838"/>
      <c r="C105" s="839"/>
      <c r="D105" s="816"/>
      <c r="E105" s="816"/>
      <c r="F105" s="816"/>
      <c r="G105" s="816"/>
      <c r="H105" s="816"/>
      <c r="I105" s="816"/>
      <c r="J105" s="816"/>
      <c r="K105" s="816"/>
      <c r="L105" s="817"/>
      <c r="M105" s="828"/>
      <c r="N105" s="920"/>
      <c r="O105" s="816" t="s">
        <v>526</v>
      </c>
      <c r="P105" s="816"/>
      <c r="Q105" s="816" t="s">
        <v>547</v>
      </c>
      <c r="R105" s="816"/>
      <c r="S105" s="816"/>
      <c r="T105" s="816"/>
      <c r="U105" s="816"/>
      <c r="V105" s="816"/>
      <c r="W105" s="816"/>
      <c r="X105" s="816"/>
      <c r="Y105" s="816"/>
      <c r="Z105" s="816"/>
      <c r="AA105" s="816"/>
      <c r="AB105" s="816"/>
      <c r="AC105" s="816"/>
      <c r="AD105" s="816"/>
      <c r="AE105" s="816"/>
      <c r="AF105" s="816"/>
      <c r="AG105" s="816"/>
      <c r="AH105" s="816"/>
      <c r="AI105" s="816"/>
      <c r="AJ105" s="816"/>
      <c r="AK105" s="816"/>
      <c r="AL105" s="816"/>
      <c r="AM105" s="816"/>
      <c r="AN105" s="816"/>
      <c r="AO105" s="921"/>
      <c r="AP105" s="818"/>
      <c r="AQ105" s="816"/>
      <c r="AR105" s="816"/>
      <c r="AS105" s="816"/>
      <c r="AT105" s="816"/>
      <c r="AU105" s="816"/>
      <c r="AV105" s="816"/>
      <c r="AW105" s="816"/>
      <c r="AX105" s="819"/>
    </row>
    <row r="106" spans="1:50" s="4" customFormat="1" ht="12">
      <c r="A106" s="829"/>
      <c r="B106" s="838"/>
      <c r="C106" s="839"/>
      <c r="D106" s="816"/>
      <c r="E106" s="816"/>
      <c r="F106" s="816"/>
      <c r="G106" s="816"/>
      <c r="H106" s="816"/>
      <c r="I106" s="816"/>
      <c r="J106" s="816"/>
      <c r="K106" s="816"/>
      <c r="L106" s="817"/>
      <c r="M106" s="828"/>
      <c r="N106" s="920"/>
      <c r="O106" s="816"/>
      <c r="P106" s="816"/>
      <c r="Q106" s="816"/>
      <c r="R106" s="816" t="s">
        <v>548</v>
      </c>
      <c r="S106" s="816"/>
      <c r="T106" s="816"/>
      <c r="U106" s="816"/>
      <c r="V106" s="816"/>
      <c r="W106" s="816"/>
      <c r="X106" s="816"/>
      <c r="Y106" s="816"/>
      <c r="Z106" s="816"/>
      <c r="AA106" s="816"/>
      <c r="AB106" s="816"/>
      <c r="AC106" s="816"/>
      <c r="AD106" s="816"/>
      <c r="AE106" s="816"/>
      <c r="AF106" s="816"/>
      <c r="AG106" s="816"/>
      <c r="AH106" s="816"/>
      <c r="AI106" s="816"/>
      <c r="AJ106" s="816"/>
      <c r="AK106" s="816"/>
      <c r="AL106" s="816"/>
      <c r="AM106" s="816"/>
      <c r="AN106" s="816"/>
      <c r="AO106" s="921"/>
      <c r="AP106" s="818"/>
      <c r="AQ106" s="816"/>
      <c r="AR106" s="816"/>
      <c r="AS106" s="816"/>
      <c r="AT106" s="816"/>
      <c r="AU106" s="816"/>
      <c r="AV106" s="816"/>
      <c r="AW106" s="816"/>
      <c r="AX106" s="819"/>
    </row>
    <row r="107" spans="1:50" s="4" customFormat="1" ht="12">
      <c r="A107" s="829"/>
      <c r="B107" s="838"/>
      <c r="C107" s="839"/>
      <c r="D107" s="816"/>
      <c r="E107" s="816"/>
      <c r="F107" s="816"/>
      <c r="G107" s="816"/>
      <c r="H107" s="816"/>
      <c r="I107" s="816"/>
      <c r="J107" s="816"/>
      <c r="K107" s="816"/>
      <c r="L107" s="817"/>
      <c r="M107" s="828"/>
      <c r="N107" s="920"/>
      <c r="O107" s="816"/>
      <c r="P107" s="816"/>
      <c r="Q107" s="816"/>
      <c r="R107" s="816" t="s">
        <v>549</v>
      </c>
      <c r="S107" s="816"/>
      <c r="T107" s="816"/>
      <c r="U107" s="816"/>
      <c r="V107" s="816"/>
      <c r="W107" s="816"/>
      <c r="X107" s="816"/>
      <c r="Y107" s="816"/>
      <c r="Z107" s="816"/>
      <c r="AA107" s="816"/>
      <c r="AB107" s="816"/>
      <c r="AC107" s="816"/>
      <c r="AD107" s="816"/>
      <c r="AE107" s="816"/>
      <c r="AF107" s="816"/>
      <c r="AG107" s="816"/>
      <c r="AH107" s="816"/>
      <c r="AI107" s="816"/>
      <c r="AJ107" s="816"/>
      <c r="AK107" s="816"/>
      <c r="AL107" s="816"/>
      <c r="AM107" s="816"/>
      <c r="AN107" s="816"/>
      <c r="AO107" s="921"/>
      <c r="AP107" s="818"/>
      <c r="AQ107" s="816"/>
      <c r="AR107" s="816"/>
      <c r="AS107" s="816"/>
      <c r="AT107" s="816"/>
      <c r="AU107" s="816"/>
      <c r="AV107" s="816"/>
      <c r="AW107" s="816"/>
      <c r="AX107" s="819"/>
    </row>
    <row r="108" spans="1:50" s="4" customFormat="1" ht="12">
      <c r="A108" s="829"/>
      <c r="B108" s="838"/>
      <c r="C108" s="839"/>
      <c r="D108" s="816"/>
      <c r="E108" s="816"/>
      <c r="F108" s="816"/>
      <c r="G108" s="816"/>
      <c r="H108" s="816"/>
      <c r="I108" s="816"/>
      <c r="J108" s="816"/>
      <c r="K108" s="816"/>
      <c r="L108" s="817"/>
      <c r="M108" s="828"/>
      <c r="N108" s="920"/>
      <c r="O108" s="816"/>
      <c r="P108" s="816"/>
      <c r="Q108" s="816"/>
      <c r="R108" s="816"/>
      <c r="S108" s="816"/>
      <c r="T108" s="816"/>
      <c r="U108" s="816"/>
      <c r="V108" s="816"/>
      <c r="W108" s="816"/>
      <c r="X108" s="816"/>
      <c r="Y108" s="816"/>
      <c r="Z108" s="816"/>
      <c r="AA108" s="816"/>
      <c r="AB108" s="816"/>
      <c r="AC108" s="816"/>
      <c r="AD108" s="816"/>
      <c r="AE108" s="816"/>
      <c r="AF108" s="816"/>
      <c r="AG108" s="816"/>
      <c r="AH108" s="816"/>
      <c r="AI108" s="816"/>
      <c r="AJ108" s="816"/>
      <c r="AK108" s="816"/>
      <c r="AL108" s="816"/>
      <c r="AM108" s="816"/>
      <c r="AN108" s="816"/>
      <c r="AO108" s="921"/>
      <c r="AP108" s="818"/>
      <c r="AQ108" s="816"/>
      <c r="AR108" s="816"/>
      <c r="AS108" s="816"/>
      <c r="AT108" s="816"/>
      <c r="AU108" s="816"/>
      <c r="AV108" s="816"/>
      <c r="AW108" s="816"/>
      <c r="AX108" s="819"/>
    </row>
    <row r="109" spans="1:50" s="4" customFormat="1" ht="12">
      <c r="A109" s="829"/>
      <c r="B109" s="838"/>
      <c r="C109" s="839"/>
      <c r="D109" s="816"/>
      <c r="E109" s="816"/>
      <c r="F109" s="816"/>
      <c r="G109" s="816"/>
      <c r="H109" s="816"/>
      <c r="I109" s="816"/>
      <c r="J109" s="816"/>
      <c r="K109" s="816"/>
      <c r="L109" s="817"/>
      <c r="M109" s="828"/>
      <c r="N109" s="931" t="s">
        <v>531</v>
      </c>
      <c r="O109" s="841"/>
      <c r="P109" s="841"/>
      <c r="Q109" s="841"/>
      <c r="R109" s="852"/>
      <c r="S109" s="852"/>
      <c r="T109" s="852"/>
      <c r="U109" s="841"/>
      <c r="V109" s="841"/>
      <c r="W109" s="922"/>
      <c r="X109" s="922"/>
      <c r="Y109" s="922"/>
      <c r="Z109" s="922"/>
      <c r="AA109" s="922"/>
      <c r="AB109" s="922"/>
      <c r="AC109" s="922"/>
      <c r="AD109" s="922"/>
      <c r="AE109" s="922"/>
      <c r="AF109" s="922"/>
      <c r="AG109" s="922"/>
      <c r="AH109" s="922"/>
      <c r="AI109" s="922"/>
      <c r="AJ109" s="922"/>
      <c r="AK109" s="922"/>
      <c r="AL109" s="841"/>
      <c r="AM109" s="852"/>
      <c r="AN109" s="816"/>
      <c r="AO109" s="921"/>
      <c r="AP109" s="818"/>
      <c r="AQ109" s="816"/>
      <c r="AR109" s="816"/>
      <c r="AS109" s="816"/>
      <c r="AT109" s="816"/>
      <c r="AU109" s="816"/>
      <c r="AV109" s="816"/>
      <c r="AW109" s="816"/>
      <c r="AX109" s="819"/>
    </row>
    <row r="110" spans="1:50" s="4" customFormat="1" ht="12">
      <c r="A110" s="829"/>
      <c r="B110" s="838"/>
      <c r="C110" s="839"/>
      <c r="D110" s="816"/>
      <c r="E110" s="816"/>
      <c r="F110" s="816"/>
      <c r="G110" s="816"/>
      <c r="H110" s="816"/>
      <c r="I110" s="816"/>
      <c r="J110" s="816"/>
      <c r="K110" s="816"/>
      <c r="L110" s="817"/>
      <c r="M110" s="828"/>
      <c r="N110" s="932"/>
      <c r="O110" s="923" t="s">
        <v>28</v>
      </c>
      <c r="P110" s="924"/>
      <c r="Q110" s="924"/>
      <c r="R110" s="924"/>
      <c r="S110" s="924"/>
      <c r="T110" s="924"/>
      <c r="U110" s="924"/>
      <c r="V110" s="924"/>
      <c r="W110" s="924"/>
      <c r="X110" s="923" t="s">
        <v>532</v>
      </c>
      <c r="Y110" s="924"/>
      <c r="Z110" s="924"/>
      <c r="AA110" s="924"/>
      <c r="AB110" s="924"/>
      <c r="AC110" s="924"/>
      <c r="AD110" s="924"/>
      <c r="AE110" s="924"/>
      <c r="AF110" s="924"/>
      <c r="AG110" s="924"/>
      <c r="AH110" s="924"/>
      <c r="AI110" s="924"/>
      <c r="AJ110" s="924"/>
      <c r="AK110" s="924"/>
      <c r="AL110" s="924"/>
      <c r="AM110" s="924"/>
      <c r="AN110" s="925"/>
      <c r="AO110" s="921"/>
      <c r="AP110" s="818"/>
      <c r="AQ110" s="816"/>
      <c r="AR110" s="816"/>
      <c r="AS110" s="816"/>
      <c r="AT110" s="816"/>
      <c r="AU110" s="816"/>
      <c r="AV110" s="816"/>
      <c r="AW110" s="816"/>
      <c r="AX110" s="819"/>
    </row>
    <row r="111" spans="1:50" s="4" customFormat="1" ht="12">
      <c r="A111" s="829"/>
      <c r="B111" s="838"/>
      <c r="C111" s="839"/>
      <c r="D111" s="816"/>
      <c r="E111" s="816"/>
      <c r="F111" s="816"/>
      <c r="G111" s="816"/>
      <c r="H111" s="816"/>
      <c r="I111" s="816"/>
      <c r="J111" s="816"/>
      <c r="K111" s="816"/>
      <c r="L111" s="817"/>
      <c r="M111" s="828"/>
      <c r="N111" s="920"/>
      <c r="O111" s="835" t="s">
        <v>296</v>
      </c>
      <c r="P111" s="876"/>
      <c r="Q111" s="876"/>
      <c r="R111" s="876"/>
      <c r="S111" s="877"/>
      <c r="T111" s="877"/>
      <c r="U111" s="877"/>
      <c r="V111" s="877"/>
      <c r="W111" s="926"/>
      <c r="X111" s="835" t="s">
        <v>550</v>
      </c>
      <c r="Y111" s="927"/>
      <c r="Z111" s="927"/>
      <c r="AA111" s="927"/>
      <c r="AB111" s="927"/>
      <c r="AC111" s="927"/>
      <c r="AD111" s="927"/>
      <c r="AE111" s="927"/>
      <c r="AF111" s="927"/>
      <c r="AG111" s="927"/>
      <c r="AH111" s="927"/>
      <c r="AI111" s="927"/>
      <c r="AJ111" s="927"/>
      <c r="AK111" s="927"/>
      <c r="AL111" s="927"/>
      <c r="AM111" s="927"/>
      <c r="AN111" s="926"/>
      <c r="AO111" s="921"/>
      <c r="AP111" s="818"/>
      <c r="AQ111" s="816"/>
      <c r="AR111" s="816"/>
      <c r="AS111" s="816"/>
      <c r="AT111" s="816"/>
      <c r="AU111" s="816"/>
      <c r="AV111" s="816"/>
      <c r="AW111" s="816"/>
      <c r="AX111" s="819"/>
    </row>
    <row r="112" spans="1:50" s="4" customFormat="1" ht="12">
      <c r="A112" s="829"/>
      <c r="B112" s="838"/>
      <c r="C112" s="839"/>
      <c r="D112" s="816"/>
      <c r="E112" s="816"/>
      <c r="F112" s="816"/>
      <c r="G112" s="816"/>
      <c r="H112" s="816"/>
      <c r="I112" s="816"/>
      <c r="J112" s="816"/>
      <c r="K112" s="816"/>
      <c r="L112" s="817"/>
      <c r="M112" s="828"/>
      <c r="N112" s="920"/>
      <c r="O112" s="835" t="s">
        <v>44</v>
      </c>
      <c r="P112" s="876"/>
      <c r="Q112" s="876"/>
      <c r="R112" s="876"/>
      <c r="S112" s="877"/>
      <c r="T112" s="877"/>
      <c r="U112" s="877"/>
      <c r="V112" s="877"/>
      <c r="W112" s="926"/>
      <c r="X112" s="835" t="s">
        <v>551</v>
      </c>
      <c r="Y112" s="927"/>
      <c r="Z112" s="927"/>
      <c r="AA112" s="927"/>
      <c r="AB112" s="927"/>
      <c r="AC112" s="927"/>
      <c r="AD112" s="927"/>
      <c r="AE112" s="927"/>
      <c r="AF112" s="927"/>
      <c r="AG112" s="927"/>
      <c r="AH112" s="927"/>
      <c r="AI112" s="927"/>
      <c r="AJ112" s="927"/>
      <c r="AK112" s="927"/>
      <c r="AL112" s="927"/>
      <c r="AM112" s="927"/>
      <c r="AN112" s="926"/>
      <c r="AO112" s="921"/>
      <c r="AP112" s="818"/>
      <c r="AQ112" s="816"/>
      <c r="AR112" s="816"/>
      <c r="AS112" s="816"/>
      <c r="AT112" s="816"/>
      <c r="AU112" s="816"/>
      <c r="AV112" s="816"/>
      <c r="AW112" s="816"/>
      <c r="AX112" s="819"/>
    </row>
    <row r="113" spans="1:50" s="4" customFormat="1" ht="12">
      <c r="A113" s="829"/>
      <c r="B113" s="838"/>
      <c r="C113" s="839"/>
      <c r="D113" s="816"/>
      <c r="E113" s="816"/>
      <c r="F113" s="816"/>
      <c r="G113" s="816"/>
      <c r="H113" s="816"/>
      <c r="I113" s="816"/>
      <c r="J113" s="816"/>
      <c r="K113" s="816"/>
      <c r="L113" s="817"/>
      <c r="M113" s="828"/>
      <c r="N113" s="920"/>
      <c r="O113" s="835" t="s">
        <v>78</v>
      </c>
      <c r="P113" s="876"/>
      <c r="Q113" s="876"/>
      <c r="R113" s="876"/>
      <c r="S113" s="877"/>
      <c r="T113" s="877"/>
      <c r="U113" s="877"/>
      <c r="V113" s="877"/>
      <c r="W113" s="926"/>
      <c r="X113" s="835" t="s">
        <v>552</v>
      </c>
      <c r="Y113" s="927"/>
      <c r="Z113" s="927"/>
      <c r="AA113" s="927"/>
      <c r="AB113" s="927"/>
      <c r="AC113" s="927"/>
      <c r="AD113" s="927"/>
      <c r="AE113" s="927"/>
      <c r="AF113" s="927"/>
      <c r="AG113" s="927"/>
      <c r="AH113" s="927"/>
      <c r="AI113" s="927"/>
      <c r="AJ113" s="927"/>
      <c r="AK113" s="927"/>
      <c r="AL113" s="927"/>
      <c r="AM113" s="927"/>
      <c r="AN113" s="926"/>
      <c r="AO113" s="921"/>
      <c r="AP113" s="818"/>
      <c r="AQ113" s="816"/>
      <c r="AR113" s="816"/>
      <c r="AS113" s="816"/>
      <c r="AT113" s="816"/>
      <c r="AU113" s="816"/>
      <c r="AV113" s="816"/>
      <c r="AW113" s="816"/>
      <c r="AX113" s="819"/>
    </row>
    <row r="114" spans="1:50" s="4" customFormat="1" ht="12">
      <c r="A114" s="829"/>
      <c r="B114" s="838"/>
      <c r="C114" s="839"/>
      <c r="D114" s="816"/>
      <c r="E114" s="816"/>
      <c r="F114" s="816"/>
      <c r="G114" s="816"/>
      <c r="H114" s="816"/>
      <c r="I114" s="816"/>
      <c r="J114" s="816"/>
      <c r="K114" s="816"/>
      <c r="L114" s="817"/>
      <c r="M114" s="828"/>
      <c r="N114" s="920"/>
      <c r="O114" s="835" t="s">
        <v>79</v>
      </c>
      <c r="P114" s="876"/>
      <c r="Q114" s="876"/>
      <c r="R114" s="876"/>
      <c r="S114" s="877"/>
      <c r="T114" s="877"/>
      <c r="U114" s="877"/>
      <c r="V114" s="877"/>
      <c r="W114" s="926"/>
      <c r="X114" s="835" t="s">
        <v>553</v>
      </c>
      <c r="Y114" s="927"/>
      <c r="Z114" s="927"/>
      <c r="AA114" s="927"/>
      <c r="AB114" s="927"/>
      <c r="AC114" s="927"/>
      <c r="AD114" s="927"/>
      <c r="AE114" s="927"/>
      <c r="AF114" s="927"/>
      <c r="AG114" s="927"/>
      <c r="AH114" s="927"/>
      <c r="AI114" s="927"/>
      <c r="AJ114" s="927"/>
      <c r="AK114" s="927"/>
      <c r="AL114" s="927"/>
      <c r="AM114" s="927"/>
      <c r="AN114" s="926"/>
      <c r="AO114" s="921"/>
      <c r="AP114" s="818"/>
      <c r="AQ114" s="816"/>
      <c r="AR114" s="816"/>
      <c r="AS114" s="816"/>
      <c r="AT114" s="816"/>
      <c r="AU114" s="816"/>
      <c r="AV114" s="816"/>
      <c r="AW114" s="816"/>
      <c r="AX114" s="819"/>
    </row>
    <row r="115" spans="1:50" s="4" customFormat="1" ht="12">
      <c r="A115" s="829"/>
      <c r="B115" s="838"/>
      <c r="C115" s="839"/>
      <c r="D115" s="816"/>
      <c r="E115" s="816"/>
      <c r="F115" s="816"/>
      <c r="G115" s="816"/>
      <c r="H115" s="816"/>
      <c r="I115" s="816"/>
      <c r="J115" s="816"/>
      <c r="K115" s="816"/>
      <c r="L115" s="817"/>
      <c r="M115" s="828"/>
      <c r="N115" s="920"/>
      <c r="O115" s="835" t="s">
        <v>80</v>
      </c>
      <c r="P115" s="876"/>
      <c r="Q115" s="876"/>
      <c r="R115" s="876"/>
      <c r="S115" s="877"/>
      <c r="T115" s="877"/>
      <c r="U115" s="877"/>
      <c r="V115" s="877"/>
      <c r="W115" s="926"/>
      <c r="X115" s="835" t="s">
        <v>554</v>
      </c>
      <c r="Y115" s="927"/>
      <c r="Z115" s="927"/>
      <c r="AA115" s="927"/>
      <c r="AB115" s="927"/>
      <c r="AC115" s="927"/>
      <c r="AD115" s="927"/>
      <c r="AE115" s="927"/>
      <c r="AF115" s="927"/>
      <c r="AG115" s="927"/>
      <c r="AH115" s="927"/>
      <c r="AI115" s="927"/>
      <c r="AJ115" s="927"/>
      <c r="AK115" s="927"/>
      <c r="AL115" s="927"/>
      <c r="AM115" s="927"/>
      <c r="AN115" s="926"/>
      <c r="AO115" s="921"/>
      <c r="AP115" s="818"/>
      <c r="AQ115" s="816"/>
      <c r="AR115" s="816"/>
      <c r="AS115" s="816"/>
      <c r="AT115" s="816"/>
      <c r="AU115" s="816"/>
      <c r="AV115" s="816"/>
      <c r="AW115" s="816"/>
      <c r="AX115" s="819"/>
    </row>
    <row r="116" spans="1:50" s="4" customFormat="1" ht="12">
      <c r="A116" s="829"/>
      <c r="B116" s="838"/>
      <c r="C116" s="839"/>
      <c r="D116" s="816"/>
      <c r="E116" s="816"/>
      <c r="F116" s="816"/>
      <c r="G116" s="816"/>
      <c r="H116" s="816"/>
      <c r="I116" s="816"/>
      <c r="J116" s="816"/>
      <c r="K116" s="816"/>
      <c r="L116" s="817"/>
      <c r="M116" s="828"/>
      <c r="N116" s="920"/>
      <c r="O116" s="835" t="s">
        <v>312</v>
      </c>
      <c r="P116" s="876"/>
      <c r="Q116" s="876"/>
      <c r="R116" s="876"/>
      <c r="S116" s="877"/>
      <c r="T116" s="877"/>
      <c r="U116" s="877"/>
      <c r="V116" s="877"/>
      <c r="W116" s="926"/>
      <c r="X116" s="835" t="s">
        <v>555</v>
      </c>
      <c r="Y116" s="927"/>
      <c r="Z116" s="927"/>
      <c r="AA116" s="927"/>
      <c r="AB116" s="927"/>
      <c r="AC116" s="927"/>
      <c r="AD116" s="927"/>
      <c r="AE116" s="927"/>
      <c r="AF116" s="927"/>
      <c r="AG116" s="927"/>
      <c r="AH116" s="927"/>
      <c r="AI116" s="927"/>
      <c r="AJ116" s="927"/>
      <c r="AK116" s="927"/>
      <c r="AL116" s="927"/>
      <c r="AM116" s="927"/>
      <c r="AN116" s="926"/>
      <c r="AO116" s="921"/>
      <c r="AP116" s="818"/>
      <c r="AQ116" s="816"/>
      <c r="AR116" s="816"/>
      <c r="AS116" s="816"/>
      <c r="AT116" s="816"/>
      <c r="AU116" s="816"/>
      <c r="AV116" s="816"/>
      <c r="AW116" s="816"/>
      <c r="AX116" s="819"/>
    </row>
    <row r="117" spans="1:50" s="4" customFormat="1" ht="12">
      <c r="A117" s="829"/>
      <c r="B117" s="838"/>
      <c r="C117" s="839"/>
      <c r="D117" s="816"/>
      <c r="E117" s="816"/>
      <c r="F117" s="816"/>
      <c r="G117" s="816"/>
      <c r="H117" s="816"/>
      <c r="I117" s="816"/>
      <c r="J117" s="816"/>
      <c r="K117" s="816"/>
      <c r="L117" s="817"/>
      <c r="M117" s="828"/>
      <c r="N117" s="920"/>
      <c r="O117" s="835" t="s">
        <v>81</v>
      </c>
      <c r="P117" s="876"/>
      <c r="Q117" s="876"/>
      <c r="R117" s="876"/>
      <c r="S117" s="877"/>
      <c r="T117" s="877"/>
      <c r="U117" s="877"/>
      <c r="V117" s="877"/>
      <c r="W117" s="926"/>
      <c r="X117" s="835" t="s">
        <v>556</v>
      </c>
      <c r="Y117" s="927"/>
      <c r="Z117" s="927"/>
      <c r="AA117" s="927"/>
      <c r="AB117" s="927"/>
      <c r="AC117" s="927"/>
      <c r="AD117" s="927"/>
      <c r="AE117" s="927"/>
      <c r="AF117" s="927"/>
      <c r="AG117" s="927"/>
      <c r="AH117" s="927"/>
      <c r="AI117" s="927"/>
      <c r="AJ117" s="927"/>
      <c r="AK117" s="927"/>
      <c r="AL117" s="927"/>
      <c r="AM117" s="927"/>
      <c r="AN117" s="926"/>
      <c r="AO117" s="921"/>
      <c r="AP117" s="818"/>
      <c r="AQ117" s="816"/>
      <c r="AR117" s="816"/>
      <c r="AS117" s="816"/>
      <c r="AT117" s="816"/>
      <c r="AU117" s="816"/>
      <c r="AV117" s="816"/>
      <c r="AW117" s="816"/>
      <c r="AX117" s="819"/>
    </row>
    <row r="118" spans="1:50" s="4" customFormat="1" ht="12">
      <c r="A118" s="829"/>
      <c r="B118" s="838"/>
      <c r="C118" s="839"/>
      <c r="D118" s="816"/>
      <c r="E118" s="816"/>
      <c r="F118" s="816"/>
      <c r="G118" s="816"/>
      <c r="H118" s="816"/>
      <c r="I118" s="816"/>
      <c r="J118" s="816"/>
      <c r="K118" s="816"/>
      <c r="L118" s="817"/>
      <c r="M118" s="828"/>
      <c r="N118" s="920"/>
      <c r="O118" s="933" t="s">
        <v>557</v>
      </c>
      <c r="P118" s="884"/>
      <c r="Q118" s="884"/>
      <c r="R118" s="884"/>
      <c r="S118" s="885"/>
      <c r="T118" s="885"/>
      <c r="U118" s="885"/>
      <c r="V118" s="885"/>
      <c r="W118" s="934"/>
      <c r="X118" s="933" t="s">
        <v>558</v>
      </c>
      <c r="Y118" s="935"/>
      <c r="Z118" s="935"/>
      <c r="AA118" s="935"/>
      <c r="AB118" s="935"/>
      <c r="AC118" s="935"/>
      <c r="AD118" s="935"/>
      <c r="AE118" s="935"/>
      <c r="AF118" s="935"/>
      <c r="AG118" s="935"/>
      <c r="AH118" s="935"/>
      <c r="AI118" s="935"/>
      <c r="AJ118" s="935"/>
      <c r="AK118" s="935"/>
      <c r="AL118" s="935"/>
      <c r="AM118" s="935"/>
      <c r="AN118" s="934"/>
      <c r="AO118" s="921"/>
      <c r="AP118" s="818"/>
      <c r="AQ118" s="816"/>
      <c r="AR118" s="816"/>
      <c r="AS118" s="816"/>
      <c r="AT118" s="816"/>
      <c r="AU118" s="816"/>
      <c r="AV118" s="816"/>
      <c r="AW118" s="816"/>
      <c r="AX118" s="819"/>
    </row>
    <row r="119" spans="1:50" s="4" customFormat="1" ht="12">
      <c r="A119" s="829"/>
      <c r="B119" s="838"/>
      <c r="C119" s="839"/>
      <c r="D119" s="816"/>
      <c r="E119" s="816"/>
      <c r="F119" s="816"/>
      <c r="G119" s="816"/>
      <c r="H119" s="816"/>
      <c r="I119" s="816"/>
      <c r="J119" s="816"/>
      <c r="K119" s="816"/>
      <c r="L119" s="817"/>
      <c r="M119" s="828"/>
      <c r="N119" s="920"/>
      <c r="O119" s="936"/>
      <c r="P119" s="899"/>
      <c r="Q119" s="899"/>
      <c r="R119" s="899"/>
      <c r="S119" s="897"/>
      <c r="T119" s="897"/>
      <c r="U119" s="897"/>
      <c r="V119" s="897"/>
      <c r="W119" s="937"/>
      <c r="X119" s="936" t="s">
        <v>559</v>
      </c>
      <c r="Y119" s="938"/>
      <c r="Z119" s="938"/>
      <c r="AA119" s="938"/>
      <c r="AB119" s="938"/>
      <c r="AC119" s="938"/>
      <c r="AD119" s="938"/>
      <c r="AE119" s="938"/>
      <c r="AF119" s="938"/>
      <c r="AG119" s="938"/>
      <c r="AH119" s="938"/>
      <c r="AI119" s="938"/>
      <c r="AJ119" s="938"/>
      <c r="AK119" s="938"/>
      <c r="AL119" s="938"/>
      <c r="AM119" s="938"/>
      <c r="AN119" s="937"/>
      <c r="AO119" s="921"/>
      <c r="AP119" s="818"/>
      <c r="AQ119" s="816"/>
      <c r="AR119" s="816"/>
      <c r="AS119" s="816"/>
      <c r="AT119" s="816"/>
      <c r="AU119" s="816"/>
      <c r="AV119" s="816"/>
      <c r="AW119" s="816"/>
      <c r="AX119" s="819"/>
    </row>
    <row r="120" spans="1:50" ht="12">
      <c r="A120" s="829"/>
      <c r="B120" s="838"/>
      <c r="C120" s="839"/>
      <c r="D120" s="816"/>
      <c r="E120" s="816"/>
      <c r="F120" s="816"/>
      <c r="G120" s="816"/>
      <c r="H120" s="816"/>
      <c r="I120" s="816"/>
      <c r="J120" s="816"/>
      <c r="K120" s="816"/>
      <c r="L120" s="817"/>
      <c r="M120" s="828"/>
      <c r="N120" s="920"/>
      <c r="O120" s="835" t="s">
        <v>299</v>
      </c>
      <c r="P120" s="876"/>
      <c r="Q120" s="876"/>
      <c r="R120" s="876"/>
      <c r="S120" s="877"/>
      <c r="T120" s="877"/>
      <c r="U120" s="877"/>
      <c r="V120" s="877"/>
      <c r="W120" s="926"/>
      <c r="X120" s="835" t="s">
        <v>560</v>
      </c>
      <c r="Y120" s="927"/>
      <c r="Z120" s="927"/>
      <c r="AA120" s="927"/>
      <c r="AB120" s="927"/>
      <c r="AC120" s="927"/>
      <c r="AD120" s="927"/>
      <c r="AE120" s="927"/>
      <c r="AF120" s="927"/>
      <c r="AG120" s="927"/>
      <c r="AH120" s="927"/>
      <c r="AI120" s="927"/>
      <c r="AJ120" s="927"/>
      <c r="AK120" s="927"/>
      <c r="AL120" s="927"/>
      <c r="AM120" s="927"/>
      <c r="AN120" s="926"/>
      <c r="AO120" s="921"/>
      <c r="AP120" s="818"/>
      <c r="AQ120" s="816"/>
      <c r="AR120" s="816"/>
      <c r="AS120" s="816"/>
      <c r="AT120" s="816"/>
      <c r="AU120" s="816"/>
      <c r="AV120" s="816"/>
      <c r="AW120" s="816"/>
      <c r="AX120" s="819"/>
    </row>
    <row r="121" spans="1:50" ht="12">
      <c r="A121" s="829"/>
      <c r="B121" s="838"/>
      <c r="C121" s="839"/>
      <c r="D121" s="816"/>
      <c r="E121" s="816"/>
      <c r="F121" s="816"/>
      <c r="G121" s="816"/>
      <c r="H121" s="816"/>
      <c r="I121" s="816"/>
      <c r="J121" s="816"/>
      <c r="K121" s="816"/>
      <c r="L121" s="817"/>
      <c r="M121" s="828"/>
      <c r="N121" s="920"/>
      <c r="O121" s="835" t="s">
        <v>300</v>
      </c>
      <c r="P121" s="876"/>
      <c r="Q121" s="876"/>
      <c r="R121" s="876"/>
      <c r="S121" s="877"/>
      <c r="T121" s="877"/>
      <c r="U121" s="877"/>
      <c r="V121" s="877"/>
      <c r="W121" s="926"/>
      <c r="X121" s="835" t="s">
        <v>561</v>
      </c>
      <c r="Y121" s="927"/>
      <c r="Z121" s="927"/>
      <c r="AA121" s="927"/>
      <c r="AB121" s="927"/>
      <c r="AC121" s="927"/>
      <c r="AD121" s="927"/>
      <c r="AE121" s="927"/>
      <c r="AF121" s="927"/>
      <c r="AG121" s="927"/>
      <c r="AH121" s="927"/>
      <c r="AI121" s="927"/>
      <c r="AJ121" s="927"/>
      <c r="AK121" s="927"/>
      <c r="AL121" s="927"/>
      <c r="AM121" s="927"/>
      <c r="AN121" s="926"/>
      <c r="AO121" s="921"/>
      <c r="AP121" s="818"/>
      <c r="AQ121" s="816"/>
      <c r="AR121" s="816"/>
      <c r="AS121" s="816"/>
      <c r="AT121" s="816"/>
      <c r="AU121" s="816"/>
      <c r="AV121" s="816"/>
      <c r="AW121" s="816"/>
      <c r="AX121" s="819"/>
    </row>
    <row r="122" spans="1:50" ht="12">
      <c r="A122" s="829"/>
      <c r="B122" s="838"/>
      <c r="C122" s="839"/>
      <c r="D122" s="816"/>
      <c r="E122" s="816"/>
      <c r="F122" s="816"/>
      <c r="G122" s="816"/>
      <c r="H122" s="816"/>
      <c r="I122" s="816"/>
      <c r="J122" s="816"/>
      <c r="K122" s="816"/>
      <c r="L122" s="817"/>
      <c r="M122" s="828"/>
      <c r="N122" s="920"/>
      <c r="O122" s="835" t="s">
        <v>301</v>
      </c>
      <c r="P122" s="876"/>
      <c r="Q122" s="876"/>
      <c r="R122" s="876"/>
      <c r="S122" s="877"/>
      <c r="T122" s="877"/>
      <c r="U122" s="877"/>
      <c r="V122" s="877"/>
      <c r="W122" s="926"/>
      <c r="X122" s="835" t="s">
        <v>562</v>
      </c>
      <c r="Y122" s="927"/>
      <c r="Z122" s="927"/>
      <c r="AA122" s="927"/>
      <c r="AB122" s="927"/>
      <c r="AC122" s="927"/>
      <c r="AD122" s="927"/>
      <c r="AE122" s="927"/>
      <c r="AF122" s="927"/>
      <c r="AG122" s="927"/>
      <c r="AH122" s="927"/>
      <c r="AI122" s="927"/>
      <c r="AJ122" s="927"/>
      <c r="AK122" s="927"/>
      <c r="AL122" s="927"/>
      <c r="AM122" s="927"/>
      <c r="AN122" s="926"/>
      <c r="AO122" s="921"/>
      <c r="AP122" s="818"/>
      <c r="AQ122" s="816"/>
      <c r="AR122" s="816"/>
      <c r="AS122" s="816"/>
      <c r="AT122" s="816"/>
      <c r="AU122" s="816"/>
      <c r="AV122" s="816"/>
      <c r="AW122" s="816"/>
      <c r="AX122" s="819"/>
    </row>
    <row r="123" spans="1:50" ht="12">
      <c r="A123" s="829"/>
      <c r="B123" s="838"/>
      <c r="C123" s="839"/>
      <c r="D123" s="816"/>
      <c r="E123" s="816"/>
      <c r="F123" s="816"/>
      <c r="G123" s="816"/>
      <c r="H123" s="816"/>
      <c r="I123" s="816"/>
      <c r="J123" s="816"/>
      <c r="K123" s="816"/>
      <c r="L123" s="817"/>
      <c r="M123" s="828"/>
      <c r="N123" s="920"/>
      <c r="O123" s="835" t="s">
        <v>563</v>
      </c>
      <c r="P123" s="876"/>
      <c r="Q123" s="876"/>
      <c r="R123" s="876"/>
      <c r="S123" s="877"/>
      <c r="T123" s="877"/>
      <c r="U123" s="877"/>
      <c r="V123" s="877"/>
      <c r="W123" s="926"/>
      <c r="X123" s="835" t="s">
        <v>564</v>
      </c>
      <c r="Y123" s="927"/>
      <c r="Z123" s="927"/>
      <c r="AA123" s="927"/>
      <c r="AB123" s="927"/>
      <c r="AC123" s="927"/>
      <c r="AD123" s="927"/>
      <c r="AE123" s="927"/>
      <c r="AF123" s="927"/>
      <c r="AG123" s="927"/>
      <c r="AH123" s="927"/>
      <c r="AI123" s="927"/>
      <c r="AJ123" s="927"/>
      <c r="AK123" s="927"/>
      <c r="AL123" s="927"/>
      <c r="AM123" s="927"/>
      <c r="AN123" s="926"/>
      <c r="AO123" s="921"/>
      <c r="AP123" s="818"/>
      <c r="AQ123" s="816"/>
      <c r="AR123" s="816"/>
      <c r="AS123" s="816"/>
      <c r="AT123" s="816"/>
      <c r="AU123" s="816"/>
      <c r="AV123" s="816"/>
      <c r="AW123" s="816"/>
      <c r="AX123" s="819"/>
    </row>
    <row r="124" spans="1:50" ht="12">
      <c r="A124" s="829"/>
      <c r="B124" s="838"/>
      <c r="C124" s="839"/>
      <c r="D124" s="816"/>
      <c r="E124" s="816"/>
      <c r="F124" s="816"/>
      <c r="G124" s="816"/>
      <c r="H124" s="816"/>
      <c r="I124" s="816"/>
      <c r="J124" s="816"/>
      <c r="K124" s="816"/>
      <c r="L124" s="817"/>
      <c r="M124" s="828"/>
      <c r="N124" s="920"/>
      <c r="O124" s="933" t="s">
        <v>303</v>
      </c>
      <c r="P124" s="884"/>
      <c r="Q124" s="884"/>
      <c r="R124" s="884"/>
      <c r="S124" s="885"/>
      <c r="T124" s="885"/>
      <c r="U124" s="885"/>
      <c r="V124" s="885"/>
      <c r="W124" s="934"/>
      <c r="X124" s="933" t="s">
        <v>565</v>
      </c>
      <c r="Y124" s="935"/>
      <c r="Z124" s="935"/>
      <c r="AA124" s="935"/>
      <c r="AB124" s="935"/>
      <c r="AC124" s="935"/>
      <c r="AD124" s="935"/>
      <c r="AE124" s="935"/>
      <c r="AF124" s="935"/>
      <c r="AG124" s="935"/>
      <c r="AH124" s="935"/>
      <c r="AI124" s="935"/>
      <c r="AJ124" s="935"/>
      <c r="AK124" s="935"/>
      <c r="AL124" s="935"/>
      <c r="AM124" s="935"/>
      <c r="AN124" s="934"/>
      <c r="AO124" s="921"/>
      <c r="AP124" s="818"/>
      <c r="AQ124" s="816"/>
      <c r="AR124" s="816"/>
      <c r="AS124" s="816"/>
      <c r="AT124" s="816"/>
      <c r="AU124" s="816"/>
      <c r="AV124" s="816"/>
      <c r="AW124" s="816"/>
      <c r="AX124" s="819"/>
    </row>
    <row r="125" spans="1:50" ht="12">
      <c r="A125" s="829"/>
      <c r="B125" s="838"/>
      <c r="C125" s="839"/>
      <c r="D125" s="816"/>
      <c r="E125" s="816"/>
      <c r="F125" s="816"/>
      <c r="G125" s="816"/>
      <c r="H125" s="816"/>
      <c r="I125" s="816"/>
      <c r="J125" s="816"/>
      <c r="K125" s="816"/>
      <c r="L125" s="817"/>
      <c r="M125" s="828"/>
      <c r="N125" s="920"/>
      <c r="O125" s="939"/>
      <c r="P125" s="841"/>
      <c r="Q125" s="841"/>
      <c r="R125" s="841"/>
      <c r="S125" s="852"/>
      <c r="T125" s="852"/>
      <c r="U125" s="852"/>
      <c r="V125" s="852"/>
      <c r="W125" s="940"/>
      <c r="X125" s="939" t="s">
        <v>566</v>
      </c>
      <c r="Y125" s="922"/>
      <c r="Z125" s="922"/>
      <c r="AA125" s="922" t="s">
        <v>567</v>
      </c>
      <c r="AB125" s="922"/>
      <c r="AC125" s="922"/>
      <c r="AD125" s="922"/>
      <c r="AE125" s="922"/>
      <c r="AF125" s="922"/>
      <c r="AG125" s="922"/>
      <c r="AH125" s="922"/>
      <c r="AI125" s="922"/>
      <c r="AJ125" s="922"/>
      <c r="AK125" s="922"/>
      <c r="AL125" s="922"/>
      <c r="AM125" s="922"/>
      <c r="AN125" s="940"/>
      <c r="AO125" s="921"/>
      <c r="AP125" s="818"/>
      <c r="AQ125" s="816"/>
      <c r="AR125" s="816"/>
      <c r="AS125" s="816"/>
      <c r="AT125" s="816"/>
      <c r="AU125" s="816"/>
      <c r="AV125" s="816"/>
      <c r="AW125" s="816"/>
      <c r="AX125" s="819"/>
    </row>
    <row r="126" spans="1:50" ht="12">
      <c r="A126" s="829"/>
      <c r="B126" s="838"/>
      <c r="C126" s="839"/>
      <c r="D126" s="816"/>
      <c r="E126" s="816"/>
      <c r="F126" s="816"/>
      <c r="G126" s="816"/>
      <c r="H126" s="816"/>
      <c r="I126" s="816"/>
      <c r="J126" s="816"/>
      <c r="K126" s="816"/>
      <c r="L126" s="817"/>
      <c r="M126" s="828"/>
      <c r="N126" s="920"/>
      <c r="O126" s="939"/>
      <c r="P126" s="841"/>
      <c r="Q126" s="841"/>
      <c r="R126" s="841"/>
      <c r="S126" s="852"/>
      <c r="T126" s="852"/>
      <c r="U126" s="852"/>
      <c r="V126" s="852"/>
      <c r="W126" s="940"/>
      <c r="X126" s="939"/>
      <c r="Y126" s="922"/>
      <c r="Z126" s="922"/>
      <c r="AA126" s="922" t="s">
        <v>568</v>
      </c>
      <c r="AB126" s="922"/>
      <c r="AC126" s="922"/>
      <c r="AD126" s="922"/>
      <c r="AE126" s="922"/>
      <c r="AF126" s="922"/>
      <c r="AG126" s="922"/>
      <c r="AH126" s="922"/>
      <c r="AI126" s="922"/>
      <c r="AJ126" s="922"/>
      <c r="AK126" s="922"/>
      <c r="AL126" s="922"/>
      <c r="AM126" s="922"/>
      <c r="AN126" s="940"/>
      <c r="AO126" s="921"/>
      <c r="AP126" s="818"/>
      <c r="AQ126" s="816"/>
      <c r="AR126" s="816"/>
      <c r="AS126" s="816"/>
      <c r="AT126" s="816"/>
      <c r="AU126" s="816"/>
      <c r="AV126" s="816"/>
      <c r="AW126" s="816"/>
      <c r="AX126" s="819"/>
    </row>
    <row r="127" spans="1:50" ht="12">
      <c r="A127" s="829"/>
      <c r="B127" s="838"/>
      <c r="C127" s="839"/>
      <c r="D127" s="816"/>
      <c r="E127" s="816"/>
      <c r="F127" s="816"/>
      <c r="G127" s="816"/>
      <c r="H127" s="816"/>
      <c r="I127" s="816"/>
      <c r="J127" s="816"/>
      <c r="K127" s="816"/>
      <c r="L127" s="817"/>
      <c r="M127" s="828"/>
      <c r="N127" s="920"/>
      <c r="O127" s="939"/>
      <c r="P127" s="841"/>
      <c r="Q127" s="841"/>
      <c r="R127" s="841"/>
      <c r="S127" s="852"/>
      <c r="T127" s="852"/>
      <c r="U127" s="852"/>
      <c r="V127" s="852"/>
      <c r="W127" s="940"/>
      <c r="X127" s="939"/>
      <c r="Y127" s="922"/>
      <c r="Z127" s="922"/>
      <c r="AA127" s="922" t="s">
        <v>569</v>
      </c>
      <c r="AB127" s="922"/>
      <c r="AC127" s="922"/>
      <c r="AD127" s="922"/>
      <c r="AE127" s="922"/>
      <c r="AF127" s="922"/>
      <c r="AG127" s="922"/>
      <c r="AH127" s="922"/>
      <c r="AI127" s="922"/>
      <c r="AJ127" s="922"/>
      <c r="AK127" s="922"/>
      <c r="AL127" s="922"/>
      <c r="AM127" s="922"/>
      <c r="AN127" s="940"/>
      <c r="AO127" s="921"/>
      <c r="AP127" s="818"/>
      <c r="AQ127" s="816"/>
      <c r="AR127" s="816"/>
      <c r="AS127" s="816"/>
      <c r="AT127" s="816"/>
      <c r="AU127" s="816"/>
      <c r="AV127" s="816"/>
      <c r="AW127" s="816"/>
      <c r="AX127" s="819"/>
    </row>
    <row r="128" spans="1:50" ht="12">
      <c r="A128" s="829"/>
      <c r="B128" s="838"/>
      <c r="C128" s="839"/>
      <c r="D128" s="816"/>
      <c r="E128" s="816"/>
      <c r="F128" s="816"/>
      <c r="G128" s="816"/>
      <c r="H128" s="816"/>
      <c r="I128" s="816"/>
      <c r="J128" s="816"/>
      <c r="K128" s="816"/>
      <c r="L128" s="817"/>
      <c r="M128" s="828"/>
      <c r="N128" s="920"/>
      <c r="O128" s="939"/>
      <c r="P128" s="841"/>
      <c r="Q128" s="841"/>
      <c r="R128" s="841"/>
      <c r="S128" s="852"/>
      <c r="T128" s="852"/>
      <c r="U128" s="852"/>
      <c r="V128" s="852"/>
      <c r="W128" s="940"/>
      <c r="X128" s="939"/>
      <c r="Y128" s="922"/>
      <c r="Z128" s="922"/>
      <c r="AA128" s="922" t="s">
        <v>570</v>
      </c>
      <c r="AB128" s="922"/>
      <c r="AC128" s="922"/>
      <c r="AD128" s="922"/>
      <c r="AE128" s="922"/>
      <c r="AF128" s="922"/>
      <c r="AG128" s="922"/>
      <c r="AH128" s="922"/>
      <c r="AI128" s="922"/>
      <c r="AJ128" s="922"/>
      <c r="AK128" s="922"/>
      <c r="AL128" s="922"/>
      <c r="AM128" s="922"/>
      <c r="AN128" s="940"/>
      <c r="AO128" s="921"/>
      <c r="AP128" s="818"/>
      <c r="AQ128" s="816"/>
      <c r="AR128" s="816"/>
      <c r="AS128" s="816"/>
      <c r="AT128" s="816"/>
      <c r="AU128" s="816"/>
      <c r="AV128" s="816"/>
      <c r="AW128" s="816"/>
      <c r="AX128" s="819"/>
    </row>
    <row r="129" spans="1:50" ht="12">
      <c r="A129" s="829"/>
      <c r="B129" s="838"/>
      <c r="C129" s="839"/>
      <c r="D129" s="816"/>
      <c r="E129" s="816"/>
      <c r="F129" s="816"/>
      <c r="G129" s="816"/>
      <c r="H129" s="816"/>
      <c r="I129" s="816"/>
      <c r="J129" s="816"/>
      <c r="K129" s="816"/>
      <c r="L129" s="817"/>
      <c r="M129" s="828"/>
      <c r="N129" s="920"/>
      <c r="O129" s="936"/>
      <c r="P129" s="899"/>
      <c r="Q129" s="899"/>
      <c r="R129" s="899"/>
      <c r="S129" s="897"/>
      <c r="T129" s="897"/>
      <c r="U129" s="897"/>
      <c r="V129" s="897"/>
      <c r="W129" s="937"/>
      <c r="X129" s="936" t="s">
        <v>571</v>
      </c>
      <c r="Y129" s="938"/>
      <c r="Z129" s="938"/>
      <c r="AA129" s="938"/>
      <c r="AB129" s="938"/>
      <c r="AC129" s="938"/>
      <c r="AD129" s="938"/>
      <c r="AE129" s="938"/>
      <c r="AF129" s="938"/>
      <c r="AG129" s="938"/>
      <c r="AH129" s="938"/>
      <c r="AI129" s="938"/>
      <c r="AJ129" s="938"/>
      <c r="AK129" s="938"/>
      <c r="AL129" s="938"/>
      <c r="AM129" s="938"/>
      <c r="AN129" s="937"/>
      <c r="AO129" s="921"/>
      <c r="AP129" s="818"/>
      <c r="AQ129" s="816"/>
      <c r="AR129" s="816"/>
      <c r="AS129" s="816"/>
      <c r="AT129" s="816"/>
      <c r="AU129" s="816"/>
      <c r="AV129" s="816"/>
      <c r="AW129" s="816"/>
      <c r="AX129" s="819"/>
    </row>
    <row r="130" spans="1:50" ht="12">
      <c r="A130" s="829"/>
      <c r="B130" s="838"/>
      <c r="C130" s="839"/>
      <c r="D130" s="816"/>
      <c r="E130" s="816"/>
      <c r="F130" s="816"/>
      <c r="G130" s="816"/>
      <c r="H130" s="816"/>
      <c r="I130" s="816"/>
      <c r="J130" s="816"/>
      <c r="K130" s="816"/>
      <c r="L130" s="817"/>
      <c r="M130" s="828"/>
      <c r="N130" s="920"/>
      <c r="O130" s="835" t="s">
        <v>319</v>
      </c>
      <c r="P130" s="876"/>
      <c r="Q130" s="876"/>
      <c r="R130" s="876"/>
      <c r="S130" s="877"/>
      <c r="T130" s="877"/>
      <c r="U130" s="877"/>
      <c r="V130" s="877"/>
      <c r="W130" s="926"/>
      <c r="X130" s="835" t="s">
        <v>572</v>
      </c>
      <c r="Y130" s="927"/>
      <c r="Z130" s="927"/>
      <c r="AA130" s="927"/>
      <c r="AB130" s="927"/>
      <c r="AC130" s="927"/>
      <c r="AD130" s="927"/>
      <c r="AE130" s="927"/>
      <c r="AF130" s="927"/>
      <c r="AG130" s="927"/>
      <c r="AH130" s="927"/>
      <c r="AI130" s="927"/>
      <c r="AJ130" s="927"/>
      <c r="AK130" s="927"/>
      <c r="AL130" s="927"/>
      <c r="AM130" s="927"/>
      <c r="AN130" s="926"/>
      <c r="AO130" s="921"/>
      <c r="AP130" s="818"/>
      <c r="AQ130" s="816"/>
      <c r="AR130" s="816"/>
      <c r="AS130" s="816"/>
      <c r="AT130" s="816"/>
      <c r="AU130" s="816"/>
      <c r="AV130" s="816"/>
      <c r="AW130" s="816"/>
      <c r="AX130" s="819"/>
    </row>
    <row r="131" spans="1:50" ht="12">
      <c r="A131" s="829"/>
      <c r="B131" s="838"/>
      <c r="C131" s="839"/>
      <c r="D131" s="816"/>
      <c r="E131" s="816"/>
      <c r="F131" s="816"/>
      <c r="G131" s="816"/>
      <c r="H131" s="816"/>
      <c r="I131" s="816"/>
      <c r="J131" s="816"/>
      <c r="K131" s="816"/>
      <c r="L131" s="817"/>
      <c r="M131" s="828"/>
      <c r="N131" s="920"/>
      <c r="O131" s="835" t="s">
        <v>305</v>
      </c>
      <c r="P131" s="876"/>
      <c r="Q131" s="876"/>
      <c r="R131" s="876"/>
      <c r="S131" s="877"/>
      <c r="T131" s="877"/>
      <c r="U131" s="877"/>
      <c r="V131" s="877"/>
      <c r="W131" s="926"/>
      <c r="X131" s="835" t="s">
        <v>573</v>
      </c>
      <c r="Y131" s="927"/>
      <c r="Z131" s="927"/>
      <c r="AA131" s="927"/>
      <c r="AB131" s="927"/>
      <c r="AC131" s="927"/>
      <c r="AD131" s="927"/>
      <c r="AE131" s="927"/>
      <c r="AF131" s="927"/>
      <c r="AG131" s="927"/>
      <c r="AH131" s="927"/>
      <c r="AI131" s="927"/>
      <c r="AJ131" s="927"/>
      <c r="AK131" s="927"/>
      <c r="AL131" s="927"/>
      <c r="AM131" s="927"/>
      <c r="AN131" s="926"/>
      <c r="AO131" s="921"/>
      <c r="AP131" s="818"/>
      <c r="AQ131" s="816"/>
      <c r="AR131" s="816"/>
      <c r="AS131" s="816"/>
      <c r="AT131" s="816"/>
      <c r="AU131" s="816"/>
      <c r="AV131" s="816"/>
      <c r="AW131" s="816"/>
      <c r="AX131" s="819"/>
    </row>
    <row r="132" spans="1:50" ht="12">
      <c r="A132" s="829"/>
      <c r="B132" s="838"/>
      <c r="C132" s="839"/>
      <c r="D132" s="816"/>
      <c r="E132" s="816"/>
      <c r="F132" s="816"/>
      <c r="G132" s="816"/>
      <c r="H132" s="816"/>
      <c r="I132" s="816"/>
      <c r="J132" s="816"/>
      <c r="K132" s="816"/>
      <c r="L132" s="817"/>
      <c r="M132" s="828"/>
      <c r="N132" s="920"/>
      <c r="O132" s="835" t="s">
        <v>574</v>
      </c>
      <c r="P132" s="876"/>
      <c r="Q132" s="876"/>
      <c r="R132" s="876"/>
      <c r="S132" s="877"/>
      <c r="T132" s="877"/>
      <c r="U132" s="877"/>
      <c r="V132" s="877"/>
      <c r="W132" s="926"/>
      <c r="X132" s="835" t="s">
        <v>575</v>
      </c>
      <c r="Y132" s="927"/>
      <c r="Z132" s="927"/>
      <c r="AA132" s="927"/>
      <c r="AB132" s="927"/>
      <c r="AC132" s="927"/>
      <c r="AD132" s="927"/>
      <c r="AE132" s="927"/>
      <c r="AF132" s="927"/>
      <c r="AG132" s="927"/>
      <c r="AH132" s="927"/>
      <c r="AI132" s="927"/>
      <c r="AJ132" s="927"/>
      <c r="AK132" s="927"/>
      <c r="AL132" s="927"/>
      <c r="AM132" s="927"/>
      <c r="AN132" s="926"/>
      <c r="AO132" s="921"/>
      <c r="AP132" s="818"/>
      <c r="AQ132" s="816"/>
      <c r="AR132" s="816"/>
      <c r="AS132" s="816"/>
      <c r="AT132" s="816"/>
      <c r="AU132" s="816"/>
      <c r="AV132" s="816"/>
      <c r="AW132" s="816"/>
      <c r="AX132" s="819"/>
    </row>
    <row r="133" spans="1:50" ht="12">
      <c r="A133" s="829"/>
      <c r="B133" s="838"/>
      <c r="C133" s="839"/>
      <c r="D133" s="816"/>
      <c r="E133" s="816"/>
      <c r="F133" s="816"/>
      <c r="G133" s="816"/>
      <c r="H133" s="816"/>
      <c r="I133" s="816"/>
      <c r="J133" s="816"/>
      <c r="K133" s="816"/>
      <c r="L133" s="817"/>
      <c r="M133" s="828"/>
      <c r="N133" s="920"/>
      <c r="O133" s="835" t="s">
        <v>576</v>
      </c>
      <c r="P133" s="876"/>
      <c r="Q133" s="876"/>
      <c r="R133" s="876"/>
      <c r="S133" s="877"/>
      <c r="T133" s="877"/>
      <c r="U133" s="877"/>
      <c r="V133" s="877"/>
      <c r="W133" s="926"/>
      <c r="X133" s="835" t="s">
        <v>577</v>
      </c>
      <c r="Y133" s="927"/>
      <c r="Z133" s="927"/>
      <c r="AA133" s="927"/>
      <c r="AB133" s="927"/>
      <c r="AC133" s="927"/>
      <c r="AD133" s="927"/>
      <c r="AE133" s="927"/>
      <c r="AF133" s="927"/>
      <c r="AG133" s="927"/>
      <c r="AH133" s="927"/>
      <c r="AI133" s="927"/>
      <c r="AJ133" s="927"/>
      <c r="AK133" s="927"/>
      <c r="AL133" s="927"/>
      <c r="AM133" s="927"/>
      <c r="AN133" s="926"/>
      <c r="AO133" s="921"/>
      <c r="AP133" s="818"/>
      <c r="AQ133" s="816"/>
      <c r="AR133" s="816"/>
      <c r="AS133" s="816"/>
      <c r="AT133" s="816"/>
      <c r="AU133" s="816"/>
      <c r="AV133" s="816"/>
      <c r="AW133" s="816"/>
      <c r="AX133" s="819"/>
    </row>
    <row r="134" spans="1:50" ht="12">
      <c r="A134" s="829"/>
      <c r="B134" s="838"/>
      <c r="C134" s="839"/>
      <c r="D134" s="816"/>
      <c r="E134" s="816"/>
      <c r="F134" s="816"/>
      <c r="G134" s="816"/>
      <c r="H134" s="816"/>
      <c r="I134" s="816"/>
      <c r="J134" s="816"/>
      <c r="K134" s="816"/>
      <c r="L134" s="817"/>
      <c r="M134" s="828"/>
      <c r="N134" s="920"/>
      <c r="O134" s="835" t="s">
        <v>578</v>
      </c>
      <c r="P134" s="876"/>
      <c r="Q134" s="876"/>
      <c r="R134" s="876"/>
      <c r="S134" s="877"/>
      <c r="T134" s="877"/>
      <c r="U134" s="877"/>
      <c r="V134" s="877"/>
      <c r="W134" s="926"/>
      <c r="X134" s="835" t="s">
        <v>579</v>
      </c>
      <c r="Y134" s="927"/>
      <c r="Z134" s="927"/>
      <c r="AA134" s="927"/>
      <c r="AB134" s="927"/>
      <c r="AC134" s="927"/>
      <c r="AD134" s="927"/>
      <c r="AE134" s="927"/>
      <c r="AF134" s="927"/>
      <c r="AG134" s="927"/>
      <c r="AH134" s="927"/>
      <c r="AI134" s="927"/>
      <c r="AJ134" s="927"/>
      <c r="AK134" s="927"/>
      <c r="AL134" s="927"/>
      <c r="AM134" s="927"/>
      <c r="AN134" s="926"/>
      <c r="AO134" s="921"/>
      <c r="AP134" s="818"/>
      <c r="AQ134" s="816"/>
      <c r="AR134" s="816"/>
      <c r="AS134" s="816"/>
      <c r="AT134" s="816"/>
      <c r="AU134" s="816"/>
      <c r="AV134" s="816"/>
      <c r="AW134" s="816"/>
      <c r="AX134" s="819"/>
    </row>
    <row r="135" spans="1:50" ht="12">
      <c r="A135" s="829"/>
      <c r="B135" s="838"/>
      <c r="C135" s="839"/>
      <c r="D135" s="816"/>
      <c r="E135" s="816"/>
      <c r="F135" s="816"/>
      <c r="G135" s="816"/>
      <c r="H135" s="816"/>
      <c r="I135" s="816"/>
      <c r="J135" s="816"/>
      <c r="K135" s="816"/>
      <c r="L135" s="817"/>
      <c r="M135" s="828"/>
      <c r="N135" s="920"/>
      <c r="O135" s="835" t="s">
        <v>580</v>
      </c>
      <c r="P135" s="876"/>
      <c r="Q135" s="876"/>
      <c r="R135" s="876"/>
      <c r="S135" s="877"/>
      <c r="T135" s="877"/>
      <c r="U135" s="877"/>
      <c r="V135" s="877"/>
      <c r="W135" s="926"/>
      <c r="X135" s="835" t="s">
        <v>581</v>
      </c>
      <c r="Y135" s="927"/>
      <c r="Z135" s="927"/>
      <c r="AA135" s="927"/>
      <c r="AB135" s="927"/>
      <c r="AC135" s="927"/>
      <c r="AD135" s="927"/>
      <c r="AE135" s="927"/>
      <c r="AF135" s="927"/>
      <c r="AG135" s="927"/>
      <c r="AH135" s="927"/>
      <c r="AI135" s="927"/>
      <c r="AJ135" s="927"/>
      <c r="AK135" s="927"/>
      <c r="AL135" s="927"/>
      <c r="AM135" s="927"/>
      <c r="AN135" s="926"/>
      <c r="AO135" s="921"/>
      <c r="AP135" s="818"/>
      <c r="AQ135" s="816"/>
      <c r="AR135" s="816"/>
      <c r="AS135" s="816"/>
      <c r="AT135" s="816"/>
      <c r="AU135" s="816"/>
      <c r="AV135" s="816"/>
      <c r="AW135" s="816"/>
      <c r="AX135" s="819"/>
    </row>
    <row r="136" spans="1:50" ht="12">
      <c r="A136" s="829"/>
      <c r="B136" s="838"/>
      <c r="C136" s="839"/>
      <c r="D136" s="816"/>
      <c r="E136" s="816"/>
      <c r="F136" s="816"/>
      <c r="G136" s="816"/>
      <c r="H136" s="816"/>
      <c r="I136" s="816"/>
      <c r="J136" s="816"/>
      <c r="K136" s="816"/>
      <c r="L136" s="817"/>
      <c r="M136" s="828"/>
      <c r="N136" s="920"/>
      <c r="O136" s="835" t="s">
        <v>582</v>
      </c>
      <c r="P136" s="876"/>
      <c r="Q136" s="876"/>
      <c r="R136" s="876"/>
      <c r="S136" s="877"/>
      <c r="T136" s="877"/>
      <c r="U136" s="877"/>
      <c r="V136" s="877"/>
      <c r="W136" s="926"/>
      <c r="X136" s="835" t="s">
        <v>583</v>
      </c>
      <c r="Y136" s="927"/>
      <c r="Z136" s="927"/>
      <c r="AA136" s="927"/>
      <c r="AB136" s="927"/>
      <c r="AC136" s="927"/>
      <c r="AD136" s="927"/>
      <c r="AE136" s="927"/>
      <c r="AF136" s="927"/>
      <c r="AG136" s="927"/>
      <c r="AH136" s="927"/>
      <c r="AI136" s="927"/>
      <c r="AJ136" s="927"/>
      <c r="AK136" s="927"/>
      <c r="AL136" s="927"/>
      <c r="AM136" s="927"/>
      <c r="AN136" s="926"/>
      <c r="AO136" s="921"/>
      <c r="AP136" s="818"/>
      <c r="AQ136" s="816"/>
      <c r="AR136" s="816"/>
      <c r="AS136" s="816"/>
      <c r="AT136" s="816"/>
      <c r="AU136" s="816"/>
      <c r="AV136" s="816"/>
      <c r="AW136" s="816"/>
      <c r="AX136" s="819"/>
    </row>
    <row r="137" spans="1:50" ht="12">
      <c r="A137" s="829"/>
      <c r="B137" s="838"/>
      <c r="C137" s="839"/>
      <c r="D137" s="816"/>
      <c r="E137" s="816"/>
      <c r="F137" s="816"/>
      <c r="G137" s="816"/>
      <c r="H137" s="816"/>
      <c r="I137" s="816"/>
      <c r="J137" s="816"/>
      <c r="K137" s="816"/>
      <c r="L137" s="817"/>
      <c r="M137" s="828"/>
      <c r="N137" s="920"/>
      <c r="O137" s="835" t="s">
        <v>584</v>
      </c>
      <c r="P137" s="876"/>
      <c r="Q137" s="876"/>
      <c r="R137" s="876"/>
      <c r="S137" s="877"/>
      <c r="T137" s="877"/>
      <c r="U137" s="877"/>
      <c r="V137" s="877"/>
      <c r="W137" s="926"/>
      <c r="X137" s="835" t="s">
        <v>585</v>
      </c>
      <c r="Y137" s="927"/>
      <c r="Z137" s="927"/>
      <c r="AA137" s="927"/>
      <c r="AB137" s="927"/>
      <c r="AC137" s="927"/>
      <c r="AD137" s="927"/>
      <c r="AE137" s="927"/>
      <c r="AF137" s="927"/>
      <c r="AG137" s="927"/>
      <c r="AH137" s="927"/>
      <c r="AI137" s="927"/>
      <c r="AJ137" s="927"/>
      <c r="AK137" s="927"/>
      <c r="AL137" s="927"/>
      <c r="AM137" s="927"/>
      <c r="AN137" s="926"/>
      <c r="AO137" s="921"/>
      <c r="AP137" s="818"/>
      <c r="AQ137" s="816"/>
      <c r="AR137" s="816"/>
      <c r="AS137" s="816"/>
      <c r="AT137" s="816"/>
      <c r="AU137" s="816"/>
      <c r="AV137" s="816"/>
      <c r="AW137" s="816"/>
      <c r="AX137" s="819"/>
    </row>
    <row r="138" spans="1:50" ht="12">
      <c r="A138" s="829"/>
      <c r="B138" s="838"/>
      <c r="C138" s="839"/>
      <c r="D138" s="816"/>
      <c r="E138" s="816"/>
      <c r="F138" s="816"/>
      <c r="G138" s="816"/>
      <c r="H138" s="816"/>
      <c r="I138" s="816"/>
      <c r="J138" s="816"/>
      <c r="K138" s="816"/>
      <c r="L138" s="817"/>
      <c r="M138" s="828"/>
      <c r="N138" s="920"/>
      <c r="O138" s="835" t="s">
        <v>586</v>
      </c>
      <c r="P138" s="876"/>
      <c r="Q138" s="876"/>
      <c r="R138" s="876"/>
      <c r="S138" s="877"/>
      <c r="T138" s="877"/>
      <c r="U138" s="877"/>
      <c r="V138" s="877"/>
      <c r="W138" s="926"/>
      <c r="X138" s="835" t="s">
        <v>587</v>
      </c>
      <c r="Y138" s="927"/>
      <c r="Z138" s="927"/>
      <c r="AA138" s="927"/>
      <c r="AB138" s="927"/>
      <c r="AC138" s="927"/>
      <c r="AD138" s="927"/>
      <c r="AE138" s="927"/>
      <c r="AF138" s="927"/>
      <c r="AG138" s="927"/>
      <c r="AH138" s="927"/>
      <c r="AI138" s="927"/>
      <c r="AJ138" s="927"/>
      <c r="AK138" s="927"/>
      <c r="AL138" s="927"/>
      <c r="AM138" s="927"/>
      <c r="AN138" s="926"/>
      <c r="AO138" s="921"/>
      <c r="AP138" s="818"/>
      <c r="AQ138" s="816"/>
      <c r="AR138" s="816"/>
      <c r="AS138" s="816"/>
      <c r="AT138" s="816"/>
      <c r="AU138" s="816"/>
      <c r="AV138" s="816"/>
      <c r="AW138" s="816"/>
      <c r="AX138" s="819"/>
    </row>
    <row r="139" spans="1:50" ht="12">
      <c r="A139" s="829"/>
      <c r="B139" s="838"/>
      <c r="C139" s="839"/>
      <c r="D139" s="816"/>
      <c r="E139" s="816"/>
      <c r="F139" s="816"/>
      <c r="G139" s="816"/>
      <c r="H139" s="816"/>
      <c r="I139" s="816"/>
      <c r="J139" s="816"/>
      <c r="K139" s="816"/>
      <c r="L139" s="817"/>
      <c r="M139" s="828"/>
      <c r="N139" s="920"/>
      <c r="O139" s="835" t="s">
        <v>588</v>
      </c>
      <c r="P139" s="876"/>
      <c r="Q139" s="876"/>
      <c r="R139" s="876"/>
      <c r="S139" s="877"/>
      <c r="T139" s="877"/>
      <c r="U139" s="877"/>
      <c r="V139" s="877"/>
      <c r="W139" s="926"/>
      <c r="X139" s="835" t="s">
        <v>589</v>
      </c>
      <c r="Y139" s="927"/>
      <c r="Z139" s="927"/>
      <c r="AA139" s="927"/>
      <c r="AB139" s="927"/>
      <c r="AC139" s="927"/>
      <c r="AD139" s="927"/>
      <c r="AE139" s="927"/>
      <c r="AF139" s="927"/>
      <c r="AG139" s="927"/>
      <c r="AH139" s="927"/>
      <c r="AI139" s="927"/>
      <c r="AJ139" s="927"/>
      <c r="AK139" s="927"/>
      <c r="AL139" s="927"/>
      <c r="AM139" s="927"/>
      <c r="AN139" s="926"/>
      <c r="AO139" s="921"/>
      <c r="AP139" s="818"/>
      <c r="AQ139" s="816"/>
      <c r="AR139" s="816"/>
      <c r="AS139" s="816"/>
      <c r="AT139" s="816"/>
      <c r="AU139" s="816"/>
      <c r="AV139" s="816"/>
      <c r="AW139" s="816"/>
      <c r="AX139" s="819"/>
    </row>
    <row r="140" spans="1:50" ht="12">
      <c r="A140" s="829"/>
      <c r="B140" s="838"/>
      <c r="C140" s="839"/>
      <c r="D140" s="816"/>
      <c r="E140" s="816"/>
      <c r="F140" s="816"/>
      <c r="G140" s="816"/>
      <c r="H140" s="816"/>
      <c r="I140" s="816"/>
      <c r="J140" s="816"/>
      <c r="K140" s="816"/>
      <c r="L140" s="817"/>
      <c r="M140" s="828"/>
      <c r="N140" s="920"/>
      <c r="O140" s="835" t="s">
        <v>590</v>
      </c>
      <c r="P140" s="876"/>
      <c r="Q140" s="876"/>
      <c r="R140" s="876"/>
      <c r="S140" s="877"/>
      <c r="T140" s="877"/>
      <c r="U140" s="877"/>
      <c r="V140" s="877"/>
      <c r="W140" s="926"/>
      <c r="X140" s="835" t="s">
        <v>591</v>
      </c>
      <c r="Y140" s="927"/>
      <c r="Z140" s="927"/>
      <c r="AA140" s="927"/>
      <c r="AB140" s="927"/>
      <c r="AC140" s="927"/>
      <c r="AD140" s="927"/>
      <c r="AE140" s="927"/>
      <c r="AF140" s="927"/>
      <c r="AG140" s="927"/>
      <c r="AH140" s="927"/>
      <c r="AI140" s="927"/>
      <c r="AJ140" s="927"/>
      <c r="AK140" s="927"/>
      <c r="AL140" s="927"/>
      <c r="AM140" s="927"/>
      <c r="AN140" s="926"/>
      <c r="AO140" s="921"/>
      <c r="AP140" s="818"/>
      <c r="AQ140" s="816"/>
      <c r="AR140" s="816"/>
      <c r="AS140" s="816"/>
      <c r="AT140" s="816"/>
      <c r="AU140" s="816"/>
      <c r="AV140" s="816"/>
      <c r="AW140" s="816"/>
      <c r="AX140" s="819"/>
    </row>
    <row r="141" spans="1:50" ht="12">
      <c r="A141" s="829"/>
      <c r="B141" s="838"/>
      <c r="C141" s="839"/>
      <c r="D141" s="816"/>
      <c r="E141" s="816"/>
      <c r="F141" s="816"/>
      <c r="G141" s="816"/>
      <c r="H141" s="816"/>
      <c r="I141" s="816"/>
      <c r="J141" s="816"/>
      <c r="K141" s="816"/>
      <c r="L141" s="817"/>
      <c r="M141" s="828"/>
      <c r="N141" s="920"/>
      <c r="O141" s="835" t="s">
        <v>592</v>
      </c>
      <c r="P141" s="876"/>
      <c r="Q141" s="876"/>
      <c r="R141" s="876"/>
      <c r="S141" s="877"/>
      <c r="T141" s="877"/>
      <c r="U141" s="877"/>
      <c r="V141" s="877"/>
      <c r="W141" s="926"/>
      <c r="X141" s="835" t="s">
        <v>593</v>
      </c>
      <c r="Y141" s="927"/>
      <c r="Z141" s="927"/>
      <c r="AA141" s="927"/>
      <c r="AB141" s="927"/>
      <c r="AC141" s="927"/>
      <c r="AD141" s="927"/>
      <c r="AE141" s="927"/>
      <c r="AF141" s="927"/>
      <c r="AG141" s="927"/>
      <c r="AH141" s="927"/>
      <c r="AI141" s="927"/>
      <c r="AJ141" s="927"/>
      <c r="AK141" s="927"/>
      <c r="AL141" s="927"/>
      <c r="AM141" s="927"/>
      <c r="AN141" s="926"/>
      <c r="AO141" s="921"/>
      <c r="AP141" s="818"/>
      <c r="AQ141" s="816"/>
      <c r="AR141" s="816"/>
      <c r="AS141" s="816"/>
      <c r="AT141" s="816"/>
      <c r="AU141" s="816"/>
      <c r="AV141" s="816"/>
      <c r="AW141" s="816"/>
      <c r="AX141" s="819"/>
    </row>
    <row r="142" spans="1:50" ht="12">
      <c r="A142" s="829"/>
      <c r="B142" s="838"/>
      <c r="C142" s="839"/>
      <c r="D142" s="816"/>
      <c r="E142" s="816"/>
      <c r="F142" s="816"/>
      <c r="G142" s="816"/>
      <c r="H142" s="816"/>
      <c r="I142" s="816"/>
      <c r="J142" s="816"/>
      <c r="K142" s="816"/>
      <c r="L142" s="817"/>
      <c r="M142" s="828"/>
      <c r="N142" s="920"/>
      <c r="O142" s="835" t="s">
        <v>594</v>
      </c>
      <c r="P142" s="876"/>
      <c r="Q142" s="876"/>
      <c r="R142" s="876"/>
      <c r="S142" s="877"/>
      <c r="T142" s="877"/>
      <c r="U142" s="877"/>
      <c r="V142" s="877"/>
      <c r="W142" s="926"/>
      <c r="X142" s="835" t="s">
        <v>595</v>
      </c>
      <c r="Y142" s="927"/>
      <c r="Z142" s="927"/>
      <c r="AA142" s="927"/>
      <c r="AB142" s="927"/>
      <c r="AC142" s="927"/>
      <c r="AD142" s="927"/>
      <c r="AE142" s="927"/>
      <c r="AF142" s="927"/>
      <c r="AG142" s="927"/>
      <c r="AH142" s="927"/>
      <c r="AI142" s="927"/>
      <c r="AJ142" s="927"/>
      <c r="AK142" s="927"/>
      <c r="AL142" s="927"/>
      <c r="AM142" s="927"/>
      <c r="AN142" s="926"/>
      <c r="AO142" s="921"/>
      <c r="AP142" s="818"/>
      <c r="AQ142" s="816"/>
      <c r="AR142" s="816"/>
      <c r="AS142" s="816"/>
      <c r="AT142" s="816"/>
      <c r="AU142" s="816"/>
      <c r="AV142" s="816"/>
      <c r="AW142" s="816"/>
      <c r="AX142" s="819"/>
    </row>
    <row r="143" spans="1:50" ht="12">
      <c r="A143" s="829"/>
      <c r="B143" s="838"/>
      <c r="C143" s="839"/>
      <c r="D143" s="816"/>
      <c r="E143" s="816"/>
      <c r="F143" s="816"/>
      <c r="G143" s="816"/>
      <c r="H143" s="816"/>
      <c r="I143" s="816"/>
      <c r="J143" s="816"/>
      <c r="K143" s="816"/>
      <c r="L143" s="817"/>
      <c r="M143" s="828"/>
      <c r="N143" s="920"/>
      <c r="O143" s="835" t="s">
        <v>596</v>
      </c>
      <c r="P143" s="876"/>
      <c r="Q143" s="876"/>
      <c r="R143" s="876"/>
      <c r="S143" s="877"/>
      <c r="T143" s="877"/>
      <c r="U143" s="877"/>
      <c r="V143" s="877"/>
      <c r="W143" s="926"/>
      <c r="X143" s="835" t="s">
        <v>597</v>
      </c>
      <c r="Y143" s="927"/>
      <c r="Z143" s="927"/>
      <c r="AA143" s="927"/>
      <c r="AB143" s="927"/>
      <c r="AC143" s="927"/>
      <c r="AD143" s="927"/>
      <c r="AE143" s="927"/>
      <c r="AF143" s="927"/>
      <c r="AG143" s="927"/>
      <c r="AH143" s="927"/>
      <c r="AI143" s="927"/>
      <c r="AJ143" s="927"/>
      <c r="AK143" s="927"/>
      <c r="AL143" s="927"/>
      <c r="AM143" s="927"/>
      <c r="AN143" s="926"/>
      <c r="AO143" s="921"/>
      <c r="AP143" s="818"/>
      <c r="AQ143" s="816"/>
      <c r="AR143" s="816"/>
      <c r="AS143" s="816"/>
      <c r="AT143" s="816"/>
      <c r="AU143" s="816"/>
      <c r="AV143" s="816"/>
      <c r="AW143" s="816"/>
      <c r="AX143" s="819"/>
    </row>
    <row r="144" spans="1:50" ht="12">
      <c r="A144" s="829"/>
      <c r="B144" s="838"/>
      <c r="C144" s="839"/>
      <c r="D144" s="816"/>
      <c r="E144" s="816"/>
      <c r="F144" s="816"/>
      <c r="G144" s="816"/>
      <c r="H144" s="816"/>
      <c r="I144" s="816"/>
      <c r="J144" s="816"/>
      <c r="K144" s="816"/>
      <c r="L144" s="817"/>
      <c r="M144" s="828"/>
      <c r="N144" s="920"/>
      <c r="O144" s="835" t="s">
        <v>598</v>
      </c>
      <c r="P144" s="876"/>
      <c r="Q144" s="876"/>
      <c r="R144" s="876"/>
      <c r="S144" s="877"/>
      <c r="T144" s="877"/>
      <c r="U144" s="877"/>
      <c r="V144" s="877"/>
      <c r="W144" s="926"/>
      <c r="X144" s="835" t="s">
        <v>599</v>
      </c>
      <c r="Y144" s="927"/>
      <c r="Z144" s="927"/>
      <c r="AA144" s="927"/>
      <c r="AB144" s="927"/>
      <c r="AC144" s="927"/>
      <c r="AD144" s="927"/>
      <c r="AE144" s="927"/>
      <c r="AF144" s="927"/>
      <c r="AG144" s="927"/>
      <c r="AH144" s="927"/>
      <c r="AI144" s="927"/>
      <c r="AJ144" s="927"/>
      <c r="AK144" s="927"/>
      <c r="AL144" s="927"/>
      <c r="AM144" s="927"/>
      <c r="AN144" s="926"/>
      <c r="AO144" s="921"/>
      <c r="AP144" s="818"/>
      <c r="AQ144" s="816"/>
      <c r="AR144" s="816"/>
      <c r="AS144" s="816"/>
      <c r="AT144" s="816"/>
      <c r="AU144" s="816"/>
      <c r="AV144" s="816"/>
      <c r="AW144" s="816"/>
      <c r="AX144" s="819"/>
    </row>
    <row r="145" spans="1:50" ht="12">
      <c r="A145" s="829"/>
      <c r="B145" s="838"/>
      <c r="C145" s="839"/>
      <c r="D145" s="816"/>
      <c r="E145" s="816"/>
      <c r="F145" s="816"/>
      <c r="G145" s="816"/>
      <c r="H145" s="816"/>
      <c r="I145" s="816"/>
      <c r="J145" s="816"/>
      <c r="K145" s="816"/>
      <c r="L145" s="817"/>
      <c r="M145" s="828"/>
      <c r="N145" s="920"/>
      <c r="O145" s="835" t="s">
        <v>600</v>
      </c>
      <c r="P145" s="876"/>
      <c r="Q145" s="876"/>
      <c r="R145" s="876"/>
      <c r="S145" s="877"/>
      <c r="T145" s="877"/>
      <c r="U145" s="877"/>
      <c r="V145" s="877"/>
      <c r="W145" s="926"/>
      <c r="X145" s="835" t="s">
        <v>601</v>
      </c>
      <c r="Y145" s="927"/>
      <c r="Z145" s="927"/>
      <c r="AA145" s="927"/>
      <c r="AB145" s="927"/>
      <c r="AC145" s="927"/>
      <c r="AD145" s="927"/>
      <c r="AE145" s="927"/>
      <c r="AF145" s="927"/>
      <c r="AG145" s="927"/>
      <c r="AH145" s="927"/>
      <c r="AI145" s="927"/>
      <c r="AJ145" s="927"/>
      <c r="AK145" s="927"/>
      <c r="AL145" s="927"/>
      <c r="AM145" s="927"/>
      <c r="AN145" s="926"/>
      <c r="AO145" s="921"/>
      <c r="AP145" s="818"/>
      <c r="AQ145" s="816"/>
      <c r="AR145" s="816"/>
      <c r="AS145" s="816"/>
      <c r="AT145" s="816"/>
      <c r="AU145" s="816"/>
      <c r="AV145" s="816"/>
      <c r="AW145" s="816"/>
      <c r="AX145" s="819"/>
    </row>
    <row r="146" spans="1:50" ht="12">
      <c r="A146" s="829"/>
      <c r="B146" s="838"/>
      <c r="C146" s="839"/>
      <c r="D146" s="816"/>
      <c r="E146" s="816"/>
      <c r="F146" s="816"/>
      <c r="G146" s="816"/>
      <c r="H146" s="816"/>
      <c r="I146" s="816"/>
      <c r="J146" s="816"/>
      <c r="K146" s="816"/>
      <c r="L146" s="817"/>
      <c r="M146" s="828"/>
      <c r="N146" s="920"/>
      <c r="O146" s="835" t="s">
        <v>602</v>
      </c>
      <c r="P146" s="876"/>
      <c r="Q146" s="876"/>
      <c r="R146" s="876"/>
      <c r="S146" s="877"/>
      <c r="T146" s="877"/>
      <c r="U146" s="877"/>
      <c r="V146" s="877"/>
      <c r="W146" s="926"/>
      <c r="X146" s="835" t="s">
        <v>603</v>
      </c>
      <c r="Y146" s="927"/>
      <c r="Z146" s="927"/>
      <c r="AA146" s="927"/>
      <c r="AB146" s="927"/>
      <c r="AC146" s="927"/>
      <c r="AD146" s="927"/>
      <c r="AE146" s="927"/>
      <c r="AF146" s="927"/>
      <c r="AG146" s="927"/>
      <c r="AH146" s="927"/>
      <c r="AI146" s="927"/>
      <c r="AJ146" s="927"/>
      <c r="AK146" s="927"/>
      <c r="AL146" s="927"/>
      <c r="AM146" s="927"/>
      <c r="AN146" s="926"/>
      <c r="AO146" s="921"/>
      <c r="AP146" s="818"/>
      <c r="AQ146" s="816"/>
      <c r="AR146" s="816"/>
      <c r="AS146" s="816"/>
      <c r="AT146" s="816"/>
      <c r="AU146" s="816"/>
      <c r="AV146" s="816"/>
      <c r="AW146" s="816"/>
      <c r="AX146" s="819"/>
    </row>
    <row r="147" spans="1:50" ht="12">
      <c r="A147" s="829"/>
      <c r="B147" s="838"/>
      <c r="C147" s="839"/>
      <c r="D147" s="816"/>
      <c r="E147" s="816"/>
      <c r="F147" s="816"/>
      <c r="G147" s="816"/>
      <c r="H147" s="816"/>
      <c r="I147" s="816"/>
      <c r="J147" s="816"/>
      <c r="K147" s="816"/>
      <c r="L147" s="817"/>
      <c r="M147" s="828"/>
      <c r="N147" s="920"/>
      <c r="O147" s="835" t="s">
        <v>604</v>
      </c>
      <c r="P147" s="876"/>
      <c r="Q147" s="876"/>
      <c r="R147" s="876"/>
      <c r="S147" s="877"/>
      <c r="T147" s="877"/>
      <c r="U147" s="877"/>
      <c r="V147" s="877"/>
      <c r="W147" s="926"/>
      <c r="X147" s="835" t="s">
        <v>605</v>
      </c>
      <c r="Y147" s="927"/>
      <c r="Z147" s="927"/>
      <c r="AA147" s="927"/>
      <c r="AB147" s="927"/>
      <c r="AC147" s="927"/>
      <c r="AD147" s="927"/>
      <c r="AE147" s="927"/>
      <c r="AF147" s="927"/>
      <c r="AG147" s="927"/>
      <c r="AH147" s="927"/>
      <c r="AI147" s="927"/>
      <c r="AJ147" s="927"/>
      <c r="AK147" s="927"/>
      <c r="AL147" s="927"/>
      <c r="AM147" s="927"/>
      <c r="AN147" s="926"/>
      <c r="AO147" s="921"/>
      <c r="AP147" s="818"/>
      <c r="AQ147" s="816"/>
      <c r="AR147" s="816"/>
      <c r="AS147" s="816"/>
      <c r="AT147" s="816"/>
      <c r="AU147" s="816"/>
      <c r="AV147" s="816"/>
      <c r="AW147" s="816"/>
      <c r="AX147" s="819"/>
    </row>
    <row r="148" spans="1:50" ht="12">
      <c r="A148" s="829"/>
      <c r="B148" s="838"/>
      <c r="C148" s="839"/>
      <c r="D148" s="816"/>
      <c r="E148" s="816"/>
      <c r="F148" s="816"/>
      <c r="G148" s="816"/>
      <c r="H148" s="816"/>
      <c r="I148" s="816"/>
      <c r="J148" s="816"/>
      <c r="K148" s="816"/>
      <c r="L148" s="817"/>
      <c r="M148" s="828"/>
      <c r="N148" s="920"/>
      <c r="O148" s="835" t="s">
        <v>606</v>
      </c>
      <c r="P148" s="876"/>
      <c r="Q148" s="876"/>
      <c r="R148" s="876"/>
      <c r="S148" s="877"/>
      <c r="T148" s="877"/>
      <c r="U148" s="877"/>
      <c r="V148" s="877"/>
      <c r="W148" s="926"/>
      <c r="X148" s="835" t="s">
        <v>607</v>
      </c>
      <c r="Y148" s="927"/>
      <c r="Z148" s="927"/>
      <c r="AA148" s="927"/>
      <c r="AB148" s="927"/>
      <c r="AC148" s="927"/>
      <c r="AD148" s="927"/>
      <c r="AE148" s="927"/>
      <c r="AF148" s="927"/>
      <c r="AG148" s="927"/>
      <c r="AH148" s="927"/>
      <c r="AI148" s="927"/>
      <c r="AJ148" s="927"/>
      <c r="AK148" s="927"/>
      <c r="AL148" s="927"/>
      <c r="AM148" s="927"/>
      <c r="AN148" s="926"/>
      <c r="AO148" s="921"/>
      <c r="AP148" s="818"/>
      <c r="AQ148" s="816"/>
      <c r="AR148" s="816"/>
      <c r="AS148" s="816"/>
      <c r="AT148" s="816"/>
      <c r="AU148" s="816"/>
      <c r="AV148" s="816"/>
      <c r="AW148" s="816"/>
      <c r="AX148" s="819"/>
    </row>
    <row r="149" spans="1:50" ht="12">
      <c r="A149" s="829"/>
      <c r="B149" s="838"/>
      <c r="C149" s="839"/>
      <c r="D149" s="816"/>
      <c r="E149" s="816"/>
      <c r="F149" s="816"/>
      <c r="G149" s="816"/>
      <c r="H149" s="816"/>
      <c r="I149" s="816"/>
      <c r="J149" s="816"/>
      <c r="K149" s="816"/>
      <c r="L149" s="817"/>
      <c r="M149" s="828"/>
      <c r="N149" s="928"/>
      <c r="O149" s="871"/>
      <c r="P149" s="871"/>
      <c r="Q149" s="871"/>
      <c r="R149" s="871"/>
      <c r="S149" s="871"/>
      <c r="T149" s="871"/>
      <c r="U149" s="871"/>
      <c r="V149" s="871"/>
      <c r="W149" s="871"/>
      <c r="X149" s="871"/>
      <c r="Y149" s="871"/>
      <c r="Z149" s="871"/>
      <c r="AA149" s="871"/>
      <c r="AB149" s="871"/>
      <c r="AC149" s="871"/>
      <c r="AD149" s="871"/>
      <c r="AE149" s="871"/>
      <c r="AF149" s="871"/>
      <c r="AG149" s="871"/>
      <c r="AH149" s="871"/>
      <c r="AI149" s="871"/>
      <c r="AJ149" s="871"/>
      <c r="AK149" s="871"/>
      <c r="AL149" s="871"/>
      <c r="AM149" s="871"/>
      <c r="AN149" s="871"/>
      <c r="AO149" s="929"/>
      <c r="AP149" s="818"/>
      <c r="AQ149" s="816"/>
      <c r="AR149" s="816"/>
      <c r="AS149" s="816"/>
      <c r="AT149" s="816"/>
      <c r="AU149" s="816"/>
      <c r="AV149" s="816"/>
      <c r="AW149" s="816"/>
      <c r="AX149" s="819"/>
    </row>
    <row r="150" spans="1:50" ht="12">
      <c r="A150" s="829"/>
      <c r="B150" s="838"/>
      <c r="C150" s="839"/>
      <c r="D150" s="816"/>
      <c r="E150" s="816"/>
      <c r="F150" s="816"/>
      <c r="G150" s="816"/>
      <c r="H150" s="816"/>
      <c r="I150" s="816"/>
      <c r="J150" s="816"/>
      <c r="K150" s="816"/>
      <c r="L150" s="817"/>
      <c r="M150" s="828"/>
      <c r="N150" s="816"/>
      <c r="O150" s="816"/>
      <c r="P150" s="816"/>
      <c r="Q150" s="816"/>
      <c r="R150" s="816"/>
      <c r="S150" s="816"/>
      <c r="T150" s="816"/>
      <c r="U150" s="816"/>
      <c r="V150" s="816"/>
      <c r="W150" s="816"/>
      <c r="X150" s="816"/>
      <c r="Y150" s="816"/>
      <c r="Z150" s="816"/>
      <c r="AA150" s="816"/>
      <c r="AB150" s="816"/>
      <c r="AC150" s="816"/>
      <c r="AD150" s="816"/>
      <c r="AE150" s="816"/>
      <c r="AF150" s="816"/>
      <c r="AG150" s="816"/>
      <c r="AH150" s="816"/>
      <c r="AI150" s="816"/>
      <c r="AJ150" s="816"/>
      <c r="AK150" s="816"/>
      <c r="AL150" s="816"/>
      <c r="AM150" s="816"/>
      <c r="AN150" s="816"/>
      <c r="AO150" s="816"/>
      <c r="AP150" s="818"/>
      <c r="AQ150" s="816"/>
      <c r="AR150" s="816"/>
      <c r="AS150" s="816"/>
      <c r="AT150" s="816"/>
      <c r="AU150" s="816"/>
      <c r="AV150" s="816"/>
      <c r="AW150" s="816"/>
      <c r="AX150" s="819"/>
    </row>
    <row r="151" spans="1:50" ht="12">
      <c r="A151" s="829"/>
      <c r="B151" s="838"/>
      <c r="C151" s="839"/>
      <c r="D151" s="816"/>
      <c r="E151" s="816"/>
      <c r="F151" s="816"/>
      <c r="G151" s="816"/>
      <c r="H151" s="816"/>
      <c r="I151" s="816"/>
      <c r="J151" s="816"/>
      <c r="K151" s="816"/>
      <c r="L151" s="817"/>
      <c r="M151" s="828"/>
      <c r="N151" s="816" t="s">
        <v>608</v>
      </c>
      <c r="O151" s="816"/>
      <c r="P151" s="816"/>
      <c r="Q151" s="816"/>
      <c r="R151" s="816"/>
      <c r="S151" s="816"/>
      <c r="T151" s="816"/>
      <c r="U151" s="816"/>
      <c r="V151" s="816"/>
      <c r="W151" s="816"/>
      <c r="X151" s="816"/>
      <c r="Y151" s="816"/>
      <c r="Z151" s="816"/>
      <c r="AA151" s="816"/>
      <c r="AB151" s="816"/>
      <c r="AC151" s="816"/>
      <c r="AD151" s="816"/>
      <c r="AE151" s="816"/>
      <c r="AF151" s="816"/>
      <c r="AG151" s="816"/>
      <c r="AH151" s="816"/>
      <c r="AI151" s="816"/>
      <c r="AJ151" s="816"/>
      <c r="AK151" s="816"/>
      <c r="AL151" s="816"/>
      <c r="AM151" s="816"/>
      <c r="AN151" s="816"/>
      <c r="AO151" s="816"/>
      <c r="AP151" s="818"/>
      <c r="AQ151" s="816"/>
      <c r="AR151" s="816"/>
      <c r="AS151" s="816"/>
      <c r="AT151" s="816"/>
      <c r="AU151" s="816"/>
      <c r="AV151" s="816"/>
      <c r="AW151" s="816"/>
      <c r="AX151" s="819"/>
    </row>
    <row r="152" spans="1:50" ht="12">
      <c r="A152" s="829"/>
      <c r="B152" s="838"/>
      <c r="C152" s="839"/>
      <c r="D152" s="816"/>
      <c r="E152" s="816"/>
      <c r="F152" s="816"/>
      <c r="G152" s="816"/>
      <c r="H152" s="816"/>
      <c r="I152" s="816"/>
      <c r="J152" s="816"/>
      <c r="K152" s="816"/>
      <c r="L152" s="817"/>
      <c r="M152" s="828"/>
      <c r="N152" s="816"/>
      <c r="O152" s="816"/>
      <c r="P152" s="816"/>
      <c r="Q152" s="816"/>
      <c r="R152" s="816"/>
      <c r="S152" s="816"/>
      <c r="T152" s="816"/>
      <c r="U152" s="816"/>
      <c r="V152" s="816"/>
      <c r="W152" s="816"/>
      <c r="X152" s="816"/>
      <c r="Y152" s="816"/>
      <c r="Z152" s="816"/>
      <c r="AA152" s="816"/>
      <c r="AB152" s="816"/>
      <c r="AC152" s="816"/>
      <c r="AD152" s="816"/>
      <c r="AE152" s="816"/>
      <c r="AF152" s="816"/>
      <c r="AG152" s="816"/>
      <c r="AH152" s="816"/>
      <c r="AI152" s="816"/>
      <c r="AJ152" s="816"/>
      <c r="AK152" s="816"/>
      <c r="AL152" s="816"/>
      <c r="AM152" s="816"/>
      <c r="AN152" s="816"/>
      <c r="AO152" s="816"/>
      <c r="AP152" s="818"/>
      <c r="AQ152" s="816"/>
      <c r="AR152" s="816"/>
      <c r="AS152" s="816"/>
      <c r="AT152" s="816"/>
      <c r="AU152" s="816"/>
      <c r="AV152" s="816"/>
      <c r="AW152" s="816"/>
      <c r="AX152" s="819"/>
    </row>
    <row r="153" spans="1:50" ht="12">
      <c r="A153" s="829"/>
      <c r="B153" s="838"/>
      <c r="C153" s="839"/>
      <c r="D153" s="816"/>
      <c r="E153" s="816"/>
      <c r="F153" s="816"/>
      <c r="G153" s="816"/>
      <c r="H153" s="816"/>
      <c r="I153" s="816"/>
      <c r="J153" s="816"/>
      <c r="K153" s="816"/>
      <c r="L153" s="817"/>
      <c r="M153" s="828"/>
      <c r="N153" s="930" t="s">
        <v>609</v>
      </c>
      <c r="O153" s="870"/>
      <c r="P153" s="870"/>
      <c r="Q153" s="870"/>
      <c r="R153" s="870"/>
      <c r="S153" s="870"/>
      <c r="T153" s="870"/>
      <c r="U153" s="870"/>
      <c r="V153" s="870"/>
      <c r="W153" s="870"/>
      <c r="X153" s="870"/>
      <c r="Y153" s="870"/>
      <c r="Z153" s="870"/>
      <c r="AA153" s="870"/>
      <c r="AB153" s="870"/>
      <c r="AC153" s="870"/>
      <c r="AD153" s="870"/>
      <c r="AE153" s="870"/>
      <c r="AF153" s="870"/>
      <c r="AG153" s="870"/>
      <c r="AH153" s="870"/>
      <c r="AI153" s="870"/>
      <c r="AJ153" s="870"/>
      <c r="AK153" s="870"/>
      <c r="AL153" s="870"/>
      <c r="AM153" s="870"/>
      <c r="AN153" s="870"/>
      <c r="AO153" s="919"/>
      <c r="AP153" s="818"/>
      <c r="AQ153" s="816"/>
      <c r="AR153" s="816"/>
      <c r="AS153" s="816"/>
      <c r="AT153" s="816"/>
      <c r="AU153" s="816"/>
      <c r="AV153" s="816"/>
      <c r="AW153" s="816"/>
      <c r="AX153" s="819"/>
    </row>
    <row r="154" spans="1:50" ht="12">
      <c r="A154" s="829"/>
      <c r="B154" s="838"/>
      <c r="C154" s="839"/>
      <c r="D154" s="816"/>
      <c r="E154" s="816"/>
      <c r="F154" s="816"/>
      <c r="G154" s="816"/>
      <c r="H154" s="816"/>
      <c r="I154" s="816"/>
      <c r="J154" s="816"/>
      <c r="K154" s="816"/>
      <c r="L154" s="817"/>
      <c r="M154" s="828"/>
      <c r="N154" s="931" t="s">
        <v>504</v>
      </c>
      <c r="O154" s="816"/>
      <c r="P154" s="816"/>
      <c r="Q154" s="816"/>
      <c r="R154" s="816"/>
      <c r="S154" s="816"/>
      <c r="T154" s="816"/>
      <c r="U154" s="816"/>
      <c r="V154" s="816"/>
      <c r="W154" s="816"/>
      <c r="X154" s="816"/>
      <c r="Y154" s="816"/>
      <c r="Z154" s="816"/>
      <c r="AA154" s="816"/>
      <c r="AB154" s="816"/>
      <c r="AC154" s="816"/>
      <c r="AD154" s="816"/>
      <c r="AE154" s="816"/>
      <c r="AF154" s="816"/>
      <c r="AG154" s="816"/>
      <c r="AH154" s="816"/>
      <c r="AI154" s="816"/>
      <c r="AJ154" s="816"/>
      <c r="AK154" s="816"/>
      <c r="AL154" s="816"/>
      <c r="AM154" s="816"/>
      <c r="AN154" s="816"/>
      <c r="AO154" s="921"/>
      <c r="AP154" s="818"/>
      <c r="AQ154" s="816"/>
      <c r="AR154" s="816"/>
      <c r="AS154" s="816"/>
      <c r="AT154" s="816"/>
      <c r="AU154" s="816"/>
      <c r="AV154" s="816"/>
      <c r="AW154" s="816"/>
      <c r="AX154" s="819"/>
    </row>
    <row r="155" spans="1:50" ht="12">
      <c r="A155" s="829"/>
      <c r="B155" s="838"/>
      <c r="C155" s="839"/>
      <c r="D155" s="816"/>
      <c r="E155" s="816"/>
      <c r="F155" s="816"/>
      <c r="G155" s="816"/>
      <c r="H155" s="816"/>
      <c r="I155" s="816"/>
      <c r="J155" s="816"/>
      <c r="K155" s="816"/>
      <c r="L155" s="817"/>
      <c r="M155" s="828"/>
      <c r="N155" s="920" t="s">
        <v>292</v>
      </c>
      <c r="O155" s="816"/>
      <c r="P155" s="816"/>
      <c r="Q155" s="816"/>
      <c r="R155" s="816"/>
      <c r="S155" s="816"/>
      <c r="T155" s="816"/>
      <c r="U155" s="816" t="s">
        <v>535</v>
      </c>
      <c r="V155" s="816"/>
      <c r="W155" s="816"/>
      <c r="X155" s="816"/>
      <c r="Y155" s="816"/>
      <c r="Z155" s="816"/>
      <c r="AA155" s="816"/>
      <c r="AB155" s="816"/>
      <c r="AC155" s="816"/>
      <c r="AD155" s="816"/>
      <c r="AE155" s="816"/>
      <c r="AF155" s="816"/>
      <c r="AG155" s="816"/>
      <c r="AH155" s="816"/>
      <c r="AI155" s="816"/>
      <c r="AJ155" s="816"/>
      <c r="AK155" s="816"/>
      <c r="AL155" s="816"/>
      <c r="AM155" s="816"/>
      <c r="AN155" s="816"/>
      <c r="AO155" s="921"/>
      <c r="AP155" s="818"/>
      <c r="AQ155" s="816"/>
      <c r="AR155" s="816"/>
      <c r="AS155" s="816"/>
      <c r="AT155" s="816"/>
      <c r="AU155" s="816"/>
      <c r="AV155" s="816"/>
      <c r="AW155" s="816"/>
      <c r="AX155" s="819"/>
    </row>
    <row r="156" spans="1:50" ht="12">
      <c r="A156" s="829"/>
      <c r="B156" s="838"/>
      <c r="C156" s="839"/>
      <c r="D156" s="816"/>
      <c r="E156" s="816"/>
      <c r="F156" s="816"/>
      <c r="G156" s="816"/>
      <c r="H156" s="816"/>
      <c r="I156" s="816"/>
      <c r="J156" s="816"/>
      <c r="K156" s="816"/>
      <c r="L156" s="817"/>
      <c r="M156" s="828"/>
      <c r="N156" s="920" t="s">
        <v>307</v>
      </c>
      <c r="O156" s="816"/>
      <c r="P156" s="816"/>
      <c r="Q156" s="816"/>
      <c r="R156" s="816"/>
      <c r="S156" s="816"/>
      <c r="T156" s="816"/>
      <c r="U156" s="816" t="s">
        <v>506</v>
      </c>
      <c r="V156" s="816" t="s">
        <v>536</v>
      </c>
      <c r="W156" s="816"/>
      <c r="X156" s="816"/>
      <c r="Y156" s="816"/>
      <c r="Z156" s="816"/>
      <c r="AA156" s="816"/>
      <c r="AB156" s="816"/>
      <c r="AC156" s="816"/>
      <c r="AD156" s="816"/>
      <c r="AE156" s="816"/>
      <c r="AF156" s="816"/>
      <c r="AG156" s="816"/>
      <c r="AH156" s="816"/>
      <c r="AI156" s="816"/>
      <c r="AJ156" s="816"/>
      <c r="AK156" s="816"/>
      <c r="AL156" s="816"/>
      <c r="AM156" s="816"/>
      <c r="AN156" s="816"/>
      <c r="AO156" s="921"/>
      <c r="AP156" s="818"/>
      <c r="AQ156" s="816"/>
      <c r="AR156" s="816"/>
      <c r="AS156" s="816"/>
      <c r="AT156" s="816"/>
      <c r="AU156" s="816"/>
      <c r="AV156" s="816"/>
      <c r="AW156" s="816"/>
      <c r="AX156" s="819"/>
    </row>
    <row r="157" spans="1:50" ht="12">
      <c r="A157" s="829"/>
      <c r="B157" s="838"/>
      <c r="C157" s="839"/>
      <c r="D157" s="816"/>
      <c r="E157" s="816"/>
      <c r="F157" s="816"/>
      <c r="G157" s="816"/>
      <c r="H157" s="816"/>
      <c r="I157" s="816"/>
      <c r="J157" s="816"/>
      <c r="K157" s="816"/>
      <c r="L157" s="817"/>
      <c r="M157" s="828"/>
      <c r="N157" s="920"/>
      <c r="O157" s="816"/>
      <c r="P157" s="816"/>
      <c r="Q157" s="816"/>
      <c r="R157" s="816"/>
      <c r="S157" s="816"/>
      <c r="T157" s="816"/>
      <c r="U157" s="816"/>
      <c r="V157" s="816"/>
      <c r="W157" s="816"/>
      <c r="X157" s="816"/>
      <c r="Y157" s="816"/>
      <c r="Z157" s="816"/>
      <c r="AA157" s="816"/>
      <c r="AB157" s="816"/>
      <c r="AC157" s="816"/>
      <c r="AD157" s="816"/>
      <c r="AE157" s="816"/>
      <c r="AF157" s="816"/>
      <c r="AG157" s="816"/>
      <c r="AH157" s="816"/>
      <c r="AI157" s="816"/>
      <c r="AJ157" s="816"/>
      <c r="AK157" s="816"/>
      <c r="AL157" s="816"/>
      <c r="AM157" s="816"/>
      <c r="AN157" s="816"/>
      <c r="AO157" s="921"/>
      <c r="AP157" s="818"/>
      <c r="AQ157" s="816"/>
      <c r="AR157" s="816"/>
      <c r="AS157" s="816"/>
      <c r="AT157" s="816"/>
      <c r="AU157" s="816"/>
      <c r="AV157" s="816"/>
      <c r="AW157" s="816"/>
      <c r="AX157" s="819"/>
    </row>
    <row r="158" spans="1:50" ht="12">
      <c r="A158" s="829"/>
      <c r="B158" s="838"/>
      <c r="C158" s="839"/>
      <c r="D158" s="816"/>
      <c r="E158" s="816"/>
      <c r="F158" s="816"/>
      <c r="G158" s="816"/>
      <c r="H158" s="816"/>
      <c r="I158" s="816"/>
      <c r="J158" s="816"/>
      <c r="K158" s="816"/>
      <c r="L158" s="817"/>
      <c r="M158" s="828"/>
      <c r="N158" s="920" t="s">
        <v>523</v>
      </c>
      <c r="O158" s="816"/>
      <c r="P158" s="816"/>
      <c r="Q158" s="816"/>
      <c r="R158" s="816"/>
      <c r="S158" s="816"/>
      <c r="T158" s="816"/>
      <c r="U158" s="816"/>
      <c r="V158" s="816"/>
      <c r="W158" s="816"/>
      <c r="X158" s="816"/>
      <c r="Y158" s="816"/>
      <c r="Z158" s="816"/>
      <c r="AA158" s="816"/>
      <c r="AB158" s="816"/>
      <c r="AC158" s="816"/>
      <c r="AD158" s="816"/>
      <c r="AE158" s="816"/>
      <c r="AF158" s="816"/>
      <c r="AG158" s="816"/>
      <c r="AH158" s="816"/>
      <c r="AI158" s="816"/>
      <c r="AJ158" s="816"/>
      <c r="AK158" s="816"/>
      <c r="AL158" s="816"/>
      <c r="AM158" s="816"/>
      <c r="AN158" s="816"/>
      <c r="AO158" s="921"/>
      <c r="AP158" s="818"/>
      <c r="AQ158" s="816"/>
      <c r="AR158" s="816"/>
      <c r="AS158" s="816"/>
      <c r="AT158" s="816"/>
      <c r="AU158" s="816"/>
      <c r="AV158" s="816"/>
      <c r="AW158" s="816"/>
      <c r="AX158" s="819"/>
    </row>
    <row r="159" spans="1:50" ht="12">
      <c r="A159" s="829"/>
      <c r="B159" s="838"/>
      <c r="C159" s="839"/>
      <c r="D159" s="816"/>
      <c r="E159" s="816"/>
      <c r="F159" s="816"/>
      <c r="G159" s="816"/>
      <c r="H159" s="816"/>
      <c r="I159" s="816"/>
      <c r="J159" s="816"/>
      <c r="K159" s="816"/>
      <c r="L159" s="817"/>
      <c r="M159" s="828"/>
      <c r="N159" s="920"/>
      <c r="O159" s="815"/>
      <c r="P159" s="816"/>
      <c r="Q159" s="816" t="s">
        <v>610</v>
      </c>
      <c r="R159" s="816"/>
      <c r="S159" s="816"/>
      <c r="T159" s="816"/>
      <c r="U159" s="816"/>
      <c r="V159" s="816"/>
      <c r="W159" s="816"/>
      <c r="X159" s="816"/>
      <c r="Y159" s="816"/>
      <c r="Z159" s="816"/>
      <c r="AA159" s="816"/>
      <c r="AB159" s="816"/>
      <c r="AC159" s="816"/>
      <c r="AD159" s="816"/>
      <c r="AE159" s="816"/>
      <c r="AF159" s="816"/>
      <c r="AG159" s="816"/>
      <c r="AH159" s="816"/>
      <c r="AI159" s="816"/>
      <c r="AJ159" s="816"/>
      <c r="AK159" s="816"/>
      <c r="AL159" s="816"/>
      <c r="AM159" s="816"/>
      <c r="AN159" s="816"/>
      <c r="AO159" s="921"/>
      <c r="AP159" s="818"/>
      <c r="AQ159" s="816"/>
      <c r="AR159" s="816"/>
      <c r="AS159" s="816"/>
      <c r="AT159" s="816"/>
      <c r="AU159" s="816"/>
      <c r="AV159" s="816"/>
      <c r="AW159" s="816"/>
      <c r="AX159" s="819"/>
    </row>
    <row r="160" spans="1:50" ht="12">
      <c r="A160" s="829"/>
      <c r="B160" s="838"/>
      <c r="C160" s="839"/>
      <c r="D160" s="816"/>
      <c r="E160" s="816"/>
      <c r="F160" s="816"/>
      <c r="G160" s="816"/>
      <c r="H160" s="816"/>
      <c r="I160" s="816"/>
      <c r="J160" s="816"/>
      <c r="K160" s="816"/>
      <c r="L160" s="817"/>
      <c r="M160" s="828"/>
      <c r="N160" s="920"/>
      <c r="O160" s="816" t="s">
        <v>526</v>
      </c>
      <c r="P160" s="816"/>
      <c r="Q160" s="816" t="s">
        <v>611</v>
      </c>
      <c r="R160" s="816"/>
      <c r="S160" s="816"/>
      <c r="T160" s="816"/>
      <c r="U160" s="816"/>
      <c r="V160" s="816"/>
      <c r="W160" s="816"/>
      <c r="X160" s="816"/>
      <c r="Y160" s="816"/>
      <c r="Z160" s="816"/>
      <c r="AA160" s="816"/>
      <c r="AB160" s="816"/>
      <c r="AC160" s="816"/>
      <c r="AD160" s="816"/>
      <c r="AE160" s="816"/>
      <c r="AF160" s="816"/>
      <c r="AG160" s="816"/>
      <c r="AH160" s="816"/>
      <c r="AI160" s="816"/>
      <c r="AJ160" s="816"/>
      <c r="AK160" s="816"/>
      <c r="AL160" s="816"/>
      <c r="AM160" s="816"/>
      <c r="AN160" s="816"/>
      <c r="AO160" s="921"/>
      <c r="AP160" s="818"/>
      <c r="AQ160" s="816"/>
      <c r="AR160" s="816"/>
      <c r="AS160" s="816"/>
      <c r="AT160" s="816"/>
      <c r="AU160" s="816"/>
      <c r="AV160" s="816"/>
      <c r="AW160" s="816"/>
      <c r="AX160" s="819"/>
    </row>
    <row r="161" spans="1:50" ht="12">
      <c r="A161" s="829"/>
      <c r="B161" s="838"/>
      <c r="C161" s="839"/>
      <c r="D161" s="816"/>
      <c r="E161" s="816"/>
      <c r="F161" s="816"/>
      <c r="G161" s="816"/>
      <c r="H161" s="816"/>
      <c r="I161" s="816"/>
      <c r="J161" s="816"/>
      <c r="K161" s="816"/>
      <c r="L161" s="817"/>
      <c r="M161" s="828"/>
      <c r="N161" s="920"/>
      <c r="O161" s="816"/>
      <c r="P161" s="816"/>
      <c r="Q161" s="816"/>
      <c r="R161" s="816"/>
      <c r="S161" s="816"/>
      <c r="T161" s="816"/>
      <c r="U161" s="816"/>
      <c r="V161" s="816"/>
      <c r="W161" s="816"/>
      <c r="X161" s="816"/>
      <c r="Y161" s="816"/>
      <c r="Z161" s="816"/>
      <c r="AA161" s="816"/>
      <c r="AB161" s="816"/>
      <c r="AC161" s="816"/>
      <c r="AD161" s="816"/>
      <c r="AE161" s="816"/>
      <c r="AF161" s="816"/>
      <c r="AG161" s="816"/>
      <c r="AH161" s="816"/>
      <c r="AI161" s="816"/>
      <c r="AJ161" s="816"/>
      <c r="AK161" s="816"/>
      <c r="AL161" s="816"/>
      <c r="AM161" s="816"/>
      <c r="AN161" s="816"/>
      <c r="AO161" s="921"/>
      <c r="AP161" s="818"/>
      <c r="AQ161" s="816"/>
      <c r="AR161" s="816"/>
      <c r="AS161" s="816"/>
      <c r="AT161" s="816"/>
      <c r="AU161" s="816"/>
      <c r="AV161" s="816"/>
      <c r="AW161" s="816"/>
      <c r="AX161" s="819"/>
    </row>
    <row r="162" spans="1:50" ht="12">
      <c r="A162" s="829"/>
      <c r="B162" s="838"/>
      <c r="C162" s="839"/>
      <c r="D162" s="816"/>
      <c r="E162" s="816"/>
      <c r="F162" s="816"/>
      <c r="G162" s="816"/>
      <c r="H162" s="816"/>
      <c r="I162" s="816"/>
      <c r="J162" s="816"/>
      <c r="K162" s="816"/>
      <c r="L162" s="817"/>
      <c r="M162" s="828"/>
      <c r="N162" s="931" t="s">
        <v>531</v>
      </c>
      <c r="O162" s="841"/>
      <c r="P162" s="841"/>
      <c r="Q162" s="841"/>
      <c r="R162" s="852"/>
      <c r="S162" s="852"/>
      <c r="T162" s="852"/>
      <c r="U162" s="841"/>
      <c r="V162" s="841"/>
      <c r="W162" s="922"/>
      <c r="X162" s="922"/>
      <c r="Y162" s="922"/>
      <c r="Z162" s="922"/>
      <c r="AA162" s="922"/>
      <c r="AB162" s="922"/>
      <c r="AC162" s="922"/>
      <c r="AD162" s="922"/>
      <c r="AE162" s="922"/>
      <c r="AF162" s="922"/>
      <c r="AG162" s="922"/>
      <c r="AH162" s="922"/>
      <c r="AI162" s="922"/>
      <c r="AJ162" s="922"/>
      <c r="AK162" s="922"/>
      <c r="AL162" s="841"/>
      <c r="AM162" s="852"/>
      <c r="AN162" s="816"/>
      <c r="AO162" s="921"/>
      <c r="AP162" s="818"/>
      <c r="AQ162" s="816"/>
      <c r="AR162" s="816"/>
      <c r="AS162" s="816"/>
      <c r="AT162" s="816"/>
      <c r="AU162" s="816"/>
      <c r="AV162" s="816"/>
      <c r="AW162" s="816"/>
      <c r="AX162" s="819"/>
    </row>
    <row r="163" spans="1:50" ht="12">
      <c r="A163" s="829"/>
      <c r="B163" s="838"/>
      <c r="C163" s="839"/>
      <c r="D163" s="816"/>
      <c r="E163" s="816"/>
      <c r="F163" s="816"/>
      <c r="G163" s="816"/>
      <c r="H163" s="816"/>
      <c r="I163" s="816"/>
      <c r="J163" s="816"/>
      <c r="K163" s="816"/>
      <c r="L163" s="817"/>
      <c r="M163" s="828"/>
      <c r="N163" s="932"/>
      <c r="O163" s="923" t="s">
        <v>28</v>
      </c>
      <c r="P163" s="924"/>
      <c r="Q163" s="924"/>
      <c r="R163" s="924"/>
      <c r="S163" s="924"/>
      <c r="T163" s="924"/>
      <c r="U163" s="924"/>
      <c r="V163" s="924"/>
      <c r="W163" s="924"/>
      <c r="X163" s="923" t="s">
        <v>532</v>
      </c>
      <c r="Y163" s="924"/>
      <c r="Z163" s="924"/>
      <c r="AA163" s="924"/>
      <c r="AB163" s="924"/>
      <c r="AC163" s="924"/>
      <c r="AD163" s="924"/>
      <c r="AE163" s="924"/>
      <c r="AF163" s="924"/>
      <c r="AG163" s="924"/>
      <c r="AH163" s="924"/>
      <c r="AI163" s="924"/>
      <c r="AJ163" s="924"/>
      <c r="AK163" s="924"/>
      <c r="AL163" s="924"/>
      <c r="AM163" s="924"/>
      <c r="AN163" s="925"/>
      <c r="AO163" s="921"/>
      <c r="AP163" s="818"/>
      <c r="AQ163" s="816"/>
      <c r="AR163" s="816"/>
      <c r="AS163" s="816"/>
      <c r="AT163" s="816"/>
      <c r="AU163" s="816"/>
      <c r="AV163" s="816"/>
      <c r="AW163" s="816"/>
      <c r="AX163" s="819"/>
    </row>
    <row r="164" spans="1:50" ht="12">
      <c r="A164" s="829"/>
      <c r="B164" s="838"/>
      <c r="C164" s="839"/>
      <c r="D164" s="816"/>
      <c r="E164" s="816"/>
      <c r="F164" s="816"/>
      <c r="G164" s="816"/>
      <c r="H164" s="816"/>
      <c r="I164" s="816"/>
      <c r="J164" s="816"/>
      <c r="K164" s="816"/>
      <c r="L164" s="817"/>
      <c r="M164" s="828"/>
      <c r="N164" s="920"/>
      <c r="O164" s="835" t="s">
        <v>296</v>
      </c>
      <c r="P164" s="876"/>
      <c r="Q164" s="876"/>
      <c r="R164" s="876"/>
      <c r="S164" s="877"/>
      <c r="T164" s="877"/>
      <c r="U164" s="877"/>
      <c r="V164" s="877"/>
      <c r="W164" s="926"/>
      <c r="X164" s="835" t="s">
        <v>612</v>
      </c>
      <c r="Y164" s="927"/>
      <c r="Z164" s="927"/>
      <c r="AA164" s="927"/>
      <c r="AB164" s="927"/>
      <c r="AC164" s="927"/>
      <c r="AD164" s="927"/>
      <c r="AE164" s="927"/>
      <c r="AF164" s="927"/>
      <c r="AG164" s="927"/>
      <c r="AH164" s="927"/>
      <c r="AI164" s="927"/>
      <c r="AJ164" s="927"/>
      <c r="AK164" s="927"/>
      <c r="AL164" s="927"/>
      <c r="AM164" s="927"/>
      <c r="AN164" s="926"/>
      <c r="AO164" s="921"/>
      <c r="AP164" s="818"/>
      <c r="AQ164" s="816"/>
      <c r="AR164" s="816"/>
      <c r="AS164" s="816"/>
      <c r="AT164" s="816"/>
      <c r="AU164" s="816"/>
      <c r="AV164" s="816"/>
      <c r="AW164" s="816"/>
      <c r="AX164" s="819"/>
    </row>
    <row r="165" spans="1:50" ht="12">
      <c r="A165" s="829"/>
      <c r="B165" s="838"/>
      <c r="C165" s="839"/>
      <c r="D165" s="816"/>
      <c r="E165" s="816"/>
      <c r="F165" s="816"/>
      <c r="G165" s="816"/>
      <c r="H165" s="816"/>
      <c r="I165" s="816"/>
      <c r="J165" s="816"/>
      <c r="K165" s="816"/>
      <c r="L165" s="817"/>
      <c r="M165" s="828"/>
      <c r="N165" s="920"/>
      <c r="O165" s="835" t="s">
        <v>44</v>
      </c>
      <c r="P165" s="876"/>
      <c r="Q165" s="876"/>
      <c r="R165" s="876"/>
      <c r="S165" s="877"/>
      <c r="T165" s="877"/>
      <c r="U165" s="877"/>
      <c r="V165" s="877"/>
      <c r="W165" s="926"/>
      <c r="X165" s="835" t="s">
        <v>612</v>
      </c>
      <c r="Y165" s="927"/>
      <c r="Z165" s="927"/>
      <c r="AA165" s="927"/>
      <c r="AB165" s="927"/>
      <c r="AC165" s="927"/>
      <c r="AD165" s="927"/>
      <c r="AE165" s="927"/>
      <c r="AF165" s="927"/>
      <c r="AG165" s="927"/>
      <c r="AH165" s="927"/>
      <c r="AI165" s="927"/>
      <c r="AJ165" s="927"/>
      <c r="AK165" s="927"/>
      <c r="AL165" s="927"/>
      <c r="AM165" s="927"/>
      <c r="AN165" s="926"/>
      <c r="AO165" s="921"/>
      <c r="AP165" s="818"/>
      <c r="AQ165" s="816"/>
      <c r="AR165" s="816"/>
      <c r="AS165" s="816"/>
      <c r="AT165" s="816"/>
      <c r="AU165" s="816"/>
      <c r="AV165" s="816"/>
      <c r="AW165" s="816"/>
      <c r="AX165" s="819"/>
    </row>
    <row r="166" spans="1:50" ht="12">
      <c r="A166" s="829"/>
      <c r="B166" s="838"/>
      <c r="C166" s="839"/>
      <c r="D166" s="816"/>
      <c r="E166" s="816"/>
      <c r="F166" s="816"/>
      <c r="G166" s="816"/>
      <c r="H166" s="816"/>
      <c r="I166" s="816"/>
      <c r="J166" s="816"/>
      <c r="K166" s="816"/>
      <c r="L166" s="817"/>
      <c r="M166" s="828"/>
      <c r="N166" s="920"/>
      <c r="O166" s="835" t="s">
        <v>78</v>
      </c>
      <c r="P166" s="876"/>
      <c r="Q166" s="876"/>
      <c r="R166" s="876"/>
      <c r="S166" s="877"/>
      <c r="T166" s="877"/>
      <c r="U166" s="877"/>
      <c r="V166" s="877"/>
      <c r="W166" s="926"/>
      <c r="X166" s="835" t="s">
        <v>612</v>
      </c>
      <c r="Y166" s="927"/>
      <c r="Z166" s="927"/>
      <c r="AA166" s="927"/>
      <c r="AB166" s="927"/>
      <c r="AC166" s="927"/>
      <c r="AD166" s="927"/>
      <c r="AE166" s="927"/>
      <c r="AF166" s="927"/>
      <c r="AG166" s="927"/>
      <c r="AH166" s="927"/>
      <c r="AI166" s="927"/>
      <c r="AJ166" s="927"/>
      <c r="AK166" s="927"/>
      <c r="AL166" s="927"/>
      <c r="AM166" s="927"/>
      <c r="AN166" s="926"/>
      <c r="AO166" s="921"/>
      <c r="AP166" s="818"/>
      <c r="AQ166" s="816"/>
      <c r="AR166" s="816"/>
      <c r="AS166" s="816"/>
      <c r="AT166" s="816"/>
      <c r="AU166" s="816"/>
      <c r="AV166" s="816"/>
      <c r="AW166" s="816"/>
      <c r="AX166" s="819"/>
    </row>
    <row r="167" spans="1:50" ht="12">
      <c r="A167" s="829"/>
      <c r="B167" s="838"/>
      <c r="C167" s="839"/>
      <c r="D167" s="816"/>
      <c r="E167" s="816"/>
      <c r="F167" s="816"/>
      <c r="G167" s="816"/>
      <c r="H167" s="816"/>
      <c r="I167" s="816"/>
      <c r="J167" s="816"/>
      <c r="K167" s="816"/>
      <c r="L167" s="817"/>
      <c r="M167" s="828"/>
      <c r="N167" s="920"/>
      <c r="O167" s="835" t="s">
        <v>79</v>
      </c>
      <c r="P167" s="876"/>
      <c r="Q167" s="876"/>
      <c r="R167" s="876"/>
      <c r="S167" s="877"/>
      <c r="T167" s="877"/>
      <c r="U167" s="877"/>
      <c r="V167" s="877"/>
      <c r="W167" s="926"/>
      <c r="X167" s="835" t="s">
        <v>612</v>
      </c>
      <c r="Y167" s="927"/>
      <c r="Z167" s="927"/>
      <c r="AA167" s="927"/>
      <c r="AB167" s="927"/>
      <c r="AC167" s="927"/>
      <c r="AD167" s="927"/>
      <c r="AE167" s="927"/>
      <c r="AF167" s="927"/>
      <c r="AG167" s="927"/>
      <c r="AH167" s="927"/>
      <c r="AI167" s="927"/>
      <c r="AJ167" s="927"/>
      <c r="AK167" s="927"/>
      <c r="AL167" s="927"/>
      <c r="AM167" s="927"/>
      <c r="AN167" s="926"/>
      <c r="AO167" s="921"/>
      <c r="AP167" s="818"/>
      <c r="AQ167" s="816"/>
      <c r="AR167" s="816"/>
      <c r="AS167" s="816"/>
      <c r="AT167" s="816"/>
      <c r="AU167" s="816"/>
      <c r="AV167" s="816"/>
      <c r="AW167" s="816"/>
      <c r="AX167" s="819"/>
    </row>
    <row r="168" spans="1:50" ht="12">
      <c r="A168" s="829"/>
      <c r="B168" s="838"/>
      <c r="C168" s="839"/>
      <c r="D168" s="816"/>
      <c r="E168" s="816"/>
      <c r="F168" s="816"/>
      <c r="G168" s="816"/>
      <c r="H168" s="816"/>
      <c r="I168" s="816"/>
      <c r="J168" s="816"/>
      <c r="K168" s="816"/>
      <c r="L168" s="817"/>
      <c r="M168" s="828"/>
      <c r="N168" s="920"/>
      <c r="O168" s="835" t="s">
        <v>80</v>
      </c>
      <c r="P168" s="876"/>
      <c r="Q168" s="876"/>
      <c r="R168" s="876"/>
      <c r="S168" s="877"/>
      <c r="T168" s="877"/>
      <c r="U168" s="877"/>
      <c r="V168" s="877"/>
      <c r="W168" s="926"/>
      <c r="X168" s="835" t="s">
        <v>612</v>
      </c>
      <c r="Y168" s="927"/>
      <c r="Z168" s="927"/>
      <c r="AA168" s="927"/>
      <c r="AB168" s="927"/>
      <c r="AC168" s="927"/>
      <c r="AD168" s="927"/>
      <c r="AE168" s="927"/>
      <c r="AF168" s="927"/>
      <c r="AG168" s="927"/>
      <c r="AH168" s="927"/>
      <c r="AI168" s="927"/>
      <c r="AJ168" s="927"/>
      <c r="AK168" s="927"/>
      <c r="AL168" s="927"/>
      <c r="AM168" s="927"/>
      <c r="AN168" s="926"/>
      <c r="AO168" s="921"/>
      <c r="AP168" s="818"/>
      <c r="AQ168" s="816"/>
      <c r="AR168" s="816"/>
      <c r="AS168" s="816"/>
      <c r="AT168" s="816"/>
      <c r="AU168" s="816"/>
      <c r="AV168" s="816"/>
      <c r="AW168" s="816"/>
      <c r="AX168" s="819"/>
    </row>
    <row r="169" spans="1:50" ht="12">
      <c r="A169" s="829"/>
      <c r="B169" s="838"/>
      <c r="C169" s="839"/>
      <c r="D169" s="816"/>
      <c r="E169" s="816"/>
      <c r="F169" s="816"/>
      <c r="G169" s="816"/>
      <c r="H169" s="816"/>
      <c r="I169" s="816"/>
      <c r="J169" s="816"/>
      <c r="K169" s="816"/>
      <c r="L169" s="817"/>
      <c r="M169" s="828"/>
      <c r="N169" s="920"/>
      <c r="O169" s="835" t="s">
        <v>312</v>
      </c>
      <c r="P169" s="876"/>
      <c r="Q169" s="876"/>
      <c r="R169" s="876"/>
      <c r="S169" s="877"/>
      <c r="T169" s="877"/>
      <c r="U169" s="877"/>
      <c r="V169" s="877"/>
      <c r="W169" s="926"/>
      <c r="X169" s="835" t="s">
        <v>612</v>
      </c>
      <c r="Y169" s="927"/>
      <c r="Z169" s="927"/>
      <c r="AA169" s="927"/>
      <c r="AB169" s="927"/>
      <c r="AC169" s="927"/>
      <c r="AD169" s="927"/>
      <c r="AE169" s="927"/>
      <c r="AF169" s="927"/>
      <c r="AG169" s="927"/>
      <c r="AH169" s="927"/>
      <c r="AI169" s="927"/>
      <c r="AJ169" s="927"/>
      <c r="AK169" s="927"/>
      <c r="AL169" s="927"/>
      <c r="AM169" s="927"/>
      <c r="AN169" s="926"/>
      <c r="AO169" s="921"/>
      <c r="AP169" s="818"/>
      <c r="AQ169" s="816"/>
      <c r="AR169" s="816"/>
      <c r="AS169" s="816"/>
      <c r="AT169" s="816"/>
      <c r="AU169" s="816"/>
      <c r="AV169" s="816"/>
      <c r="AW169" s="816"/>
      <c r="AX169" s="819"/>
    </row>
    <row r="170" spans="1:50" ht="12">
      <c r="A170" s="829"/>
      <c r="B170" s="838"/>
      <c r="C170" s="839"/>
      <c r="D170" s="816"/>
      <c r="E170" s="816"/>
      <c r="F170" s="816"/>
      <c r="G170" s="816"/>
      <c r="H170" s="816"/>
      <c r="I170" s="816"/>
      <c r="J170" s="816"/>
      <c r="K170" s="816"/>
      <c r="L170" s="817"/>
      <c r="M170" s="828"/>
      <c r="N170" s="920"/>
      <c r="O170" s="835" t="s">
        <v>81</v>
      </c>
      <c r="P170" s="876"/>
      <c r="Q170" s="876"/>
      <c r="R170" s="876"/>
      <c r="S170" s="877"/>
      <c r="T170" s="877"/>
      <c r="U170" s="877"/>
      <c r="V170" s="877"/>
      <c r="W170" s="926"/>
      <c r="X170" s="835" t="s">
        <v>612</v>
      </c>
      <c r="Y170" s="927"/>
      <c r="Z170" s="927"/>
      <c r="AA170" s="927"/>
      <c r="AB170" s="927"/>
      <c r="AC170" s="927"/>
      <c r="AD170" s="927"/>
      <c r="AE170" s="927"/>
      <c r="AF170" s="927"/>
      <c r="AG170" s="927"/>
      <c r="AH170" s="927"/>
      <c r="AI170" s="927"/>
      <c r="AJ170" s="927"/>
      <c r="AK170" s="927"/>
      <c r="AL170" s="927"/>
      <c r="AM170" s="927"/>
      <c r="AN170" s="926"/>
      <c r="AO170" s="921"/>
      <c r="AP170" s="818"/>
      <c r="AQ170" s="816"/>
      <c r="AR170" s="816"/>
      <c r="AS170" s="816"/>
      <c r="AT170" s="816"/>
      <c r="AU170" s="816"/>
      <c r="AV170" s="816"/>
      <c r="AW170" s="816"/>
      <c r="AX170" s="819"/>
    </row>
    <row r="171" spans="1:50" ht="12">
      <c r="A171" s="829"/>
      <c r="B171" s="838"/>
      <c r="C171" s="839"/>
      <c r="D171" s="816"/>
      <c r="E171" s="816"/>
      <c r="F171" s="816"/>
      <c r="G171" s="816"/>
      <c r="H171" s="816"/>
      <c r="I171" s="816"/>
      <c r="J171" s="816"/>
      <c r="K171" s="816"/>
      <c r="L171" s="817"/>
      <c r="M171" s="828"/>
      <c r="N171" s="920"/>
      <c r="O171" s="933" t="s">
        <v>557</v>
      </c>
      <c r="P171" s="884"/>
      <c r="Q171" s="884"/>
      <c r="R171" s="884"/>
      <c r="S171" s="885"/>
      <c r="T171" s="885"/>
      <c r="U171" s="885"/>
      <c r="V171" s="885"/>
      <c r="W171" s="934"/>
      <c r="X171" s="835" t="s">
        <v>612</v>
      </c>
      <c r="Y171" s="935"/>
      <c r="Z171" s="935"/>
      <c r="AA171" s="935"/>
      <c r="AB171" s="935"/>
      <c r="AC171" s="935"/>
      <c r="AD171" s="935"/>
      <c r="AE171" s="935"/>
      <c r="AF171" s="935"/>
      <c r="AG171" s="935"/>
      <c r="AH171" s="935"/>
      <c r="AI171" s="935"/>
      <c r="AJ171" s="935"/>
      <c r="AK171" s="935"/>
      <c r="AL171" s="935"/>
      <c r="AM171" s="935"/>
      <c r="AN171" s="934"/>
      <c r="AO171" s="921"/>
      <c r="AP171" s="818"/>
      <c r="AQ171" s="816"/>
      <c r="AR171" s="816"/>
      <c r="AS171" s="816"/>
      <c r="AT171" s="816"/>
      <c r="AU171" s="816"/>
      <c r="AV171" s="816"/>
      <c r="AW171" s="816"/>
      <c r="AX171" s="819"/>
    </row>
    <row r="172" spans="1:50" ht="12">
      <c r="A172" s="829"/>
      <c r="B172" s="838"/>
      <c r="C172" s="839"/>
      <c r="D172" s="816"/>
      <c r="E172" s="816"/>
      <c r="F172" s="816"/>
      <c r="G172" s="816"/>
      <c r="H172" s="816"/>
      <c r="I172" s="816"/>
      <c r="J172" s="816"/>
      <c r="K172" s="816"/>
      <c r="L172" s="817"/>
      <c r="M172" s="828"/>
      <c r="N172" s="920"/>
      <c r="O172" s="835" t="s">
        <v>299</v>
      </c>
      <c r="P172" s="876"/>
      <c r="Q172" s="876"/>
      <c r="R172" s="876"/>
      <c r="S172" s="877"/>
      <c r="T172" s="877"/>
      <c r="U172" s="877"/>
      <c r="V172" s="877"/>
      <c r="W172" s="926"/>
      <c r="X172" s="835" t="s">
        <v>612</v>
      </c>
      <c r="Y172" s="927"/>
      <c r="Z172" s="927"/>
      <c r="AA172" s="927"/>
      <c r="AB172" s="927"/>
      <c r="AC172" s="927"/>
      <c r="AD172" s="927"/>
      <c r="AE172" s="927"/>
      <c r="AF172" s="927"/>
      <c r="AG172" s="927"/>
      <c r="AH172" s="927"/>
      <c r="AI172" s="927"/>
      <c r="AJ172" s="927"/>
      <c r="AK172" s="927"/>
      <c r="AL172" s="927"/>
      <c r="AM172" s="927"/>
      <c r="AN172" s="926"/>
      <c r="AO172" s="921"/>
      <c r="AP172" s="818"/>
      <c r="AQ172" s="816"/>
      <c r="AR172" s="816"/>
      <c r="AS172" s="816"/>
      <c r="AT172" s="816"/>
      <c r="AU172" s="816"/>
      <c r="AV172" s="816"/>
      <c r="AW172" s="816"/>
      <c r="AX172" s="819"/>
    </row>
    <row r="173" spans="1:50" ht="12">
      <c r="A173" s="829"/>
      <c r="B173" s="838"/>
      <c r="C173" s="839"/>
      <c r="D173" s="816"/>
      <c r="E173" s="816"/>
      <c r="F173" s="816"/>
      <c r="G173" s="816"/>
      <c r="H173" s="816"/>
      <c r="I173" s="816"/>
      <c r="J173" s="816"/>
      <c r="K173" s="816"/>
      <c r="L173" s="817"/>
      <c r="M173" s="828"/>
      <c r="N173" s="920"/>
      <c r="O173" s="835" t="s">
        <v>300</v>
      </c>
      <c r="P173" s="876"/>
      <c r="Q173" s="876"/>
      <c r="R173" s="876"/>
      <c r="S173" s="877"/>
      <c r="T173" s="877"/>
      <c r="U173" s="877"/>
      <c r="V173" s="877"/>
      <c r="W173" s="926"/>
      <c r="X173" s="835" t="s">
        <v>612</v>
      </c>
      <c r="Y173" s="927"/>
      <c r="Z173" s="927"/>
      <c r="AA173" s="927"/>
      <c r="AB173" s="927"/>
      <c r="AC173" s="927"/>
      <c r="AD173" s="927"/>
      <c r="AE173" s="927"/>
      <c r="AF173" s="927"/>
      <c r="AG173" s="927"/>
      <c r="AH173" s="927"/>
      <c r="AI173" s="927"/>
      <c r="AJ173" s="927"/>
      <c r="AK173" s="927"/>
      <c r="AL173" s="927"/>
      <c r="AM173" s="927"/>
      <c r="AN173" s="926"/>
      <c r="AO173" s="921"/>
      <c r="AP173" s="818"/>
      <c r="AQ173" s="816"/>
      <c r="AR173" s="816"/>
      <c r="AS173" s="816"/>
      <c r="AT173" s="816"/>
      <c r="AU173" s="816"/>
      <c r="AV173" s="816"/>
      <c r="AW173" s="816"/>
      <c r="AX173" s="819"/>
    </row>
    <row r="174" spans="1:50" ht="12">
      <c r="A174" s="829"/>
      <c r="B174" s="838"/>
      <c r="C174" s="839"/>
      <c r="D174" s="816"/>
      <c r="E174" s="816"/>
      <c r="F174" s="816"/>
      <c r="G174" s="816"/>
      <c r="H174" s="816"/>
      <c r="I174" s="816"/>
      <c r="J174" s="816"/>
      <c r="K174" s="816"/>
      <c r="L174" s="817"/>
      <c r="M174" s="828"/>
      <c r="N174" s="920"/>
      <c r="O174" s="835" t="s">
        <v>301</v>
      </c>
      <c r="P174" s="876"/>
      <c r="Q174" s="876"/>
      <c r="R174" s="876"/>
      <c r="S174" s="877"/>
      <c r="T174" s="877"/>
      <c r="U174" s="877"/>
      <c r="V174" s="877"/>
      <c r="W174" s="926"/>
      <c r="X174" s="835" t="s">
        <v>612</v>
      </c>
      <c r="Y174" s="927"/>
      <c r="Z174" s="927"/>
      <c r="AA174" s="927"/>
      <c r="AB174" s="927"/>
      <c r="AC174" s="927"/>
      <c r="AD174" s="927"/>
      <c r="AE174" s="927"/>
      <c r="AF174" s="927"/>
      <c r="AG174" s="927"/>
      <c r="AH174" s="927"/>
      <c r="AI174" s="927"/>
      <c r="AJ174" s="927"/>
      <c r="AK174" s="927"/>
      <c r="AL174" s="927"/>
      <c r="AM174" s="927"/>
      <c r="AN174" s="926"/>
      <c r="AO174" s="921"/>
      <c r="AP174" s="818"/>
      <c r="AQ174" s="816"/>
      <c r="AR174" s="816"/>
      <c r="AS174" s="816"/>
      <c r="AT174" s="816"/>
      <c r="AU174" s="816"/>
      <c r="AV174" s="816"/>
      <c r="AW174" s="816"/>
      <c r="AX174" s="819"/>
    </row>
    <row r="175" spans="1:50" ht="12">
      <c r="A175" s="829"/>
      <c r="B175" s="838"/>
      <c r="C175" s="839"/>
      <c r="D175" s="816"/>
      <c r="E175" s="816"/>
      <c r="F175" s="816"/>
      <c r="G175" s="816"/>
      <c r="H175" s="816"/>
      <c r="I175" s="816"/>
      <c r="J175" s="816"/>
      <c r="K175" s="816"/>
      <c r="L175" s="817"/>
      <c r="M175" s="828"/>
      <c r="N175" s="920"/>
      <c r="O175" s="835" t="s">
        <v>563</v>
      </c>
      <c r="P175" s="876"/>
      <c r="Q175" s="876"/>
      <c r="R175" s="876"/>
      <c r="S175" s="877"/>
      <c r="T175" s="877"/>
      <c r="U175" s="877"/>
      <c r="V175" s="877"/>
      <c r="W175" s="926"/>
      <c r="X175" s="835" t="s">
        <v>612</v>
      </c>
      <c r="Y175" s="927"/>
      <c r="Z175" s="927"/>
      <c r="AA175" s="927"/>
      <c r="AB175" s="927"/>
      <c r="AC175" s="927"/>
      <c r="AD175" s="927"/>
      <c r="AE175" s="927"/>
      <c r="AF175" s="927"/>
      <c r="AG175" s="927"/>
      <c r="AH175" s="927"/>
      <c r="AI175" s="927"/>
      <c r="AJ175" s="927"/>
      <c r="AK175" s="927"/>
      <c r="AL175" s="927"/>
      <c r="AM175" s="927"/>
      <c r="AN175" s="926"/>
      <c r="AO175" s="921"/>
      <c r="AP175" s="818"/>
      <c r="AQ175" s="816"/>
      <c r="AR175" s="816"/>
      <c r="AS175" s="816"/>
      <c r="AT175" s="816"/>
      <c r="AU175" s="816"/>
      <c r="AV175" s="816"/>
      <c r="AW175" s="816"/>
      <c r="AX175" s="819"/>
    </row>
    <row r="176" spans="1:50" ht="12">
      <c r="A176" s="829"/>
      <c r="B176" s="838"/>
      <c r="C176" s="839"/>
      <c r="D176" s="816"/>
      <c r="E176" s="816"/>
      <c r="F176" s="816"/>
      <c r="G176" s="816"/>
      <c r="H176" s="816"/>
      <c r="I176" s="816"/>
      <c r="J176" s="816"/>
      <c r="K176" s="816"/>
      <c r="L176" s="817"/>
      <c r="M176" s="828"/>
      <c r="N176" s="920"/>
      <c r="O176" s="933" t="s">
        <v>303</v>
      </c>
      <c r="P176" s="884"/>
      <c r="Q176" s="884"/>
      <c r="R176" s="884"/>
      <c r="S176" s="885"/>
      <c r="T176" s="885"/>
      <c r="U176" s="885"/>
      <c r="V176" s="885"/>
      <c r="W176" s="934"/>
      <c r="X176" s="933" t="s">
        <v>612</v>
      </c>
      <c r="Y176" s="935"/>
      <c r="Z176" s="935"/>
      <c r="AA176" s="935"/>
      <c r="AB176" s="935"/>
      <c r="AC176" s="935"/>
      <c r="AD176" s="935"/>
      <c r="AE176" s="935"/>
      <c r="AF176" s="935"/>
      <c r="AG176" s="935"/>
      <c r="AH176" s="935"/>
      <c r="AI176" s="935"/>
      <c r="AJ176" s="935"/>
      <c r="AK176" s="935"/>
      <c r="AL176" s="935"/>
      <c r="AM176" s="935"/>
      <c r="AN176" s="934"/>
      <c r="AO176" s="921"/>
      <c r="AP176" s="818"/>
      <c r="AQ176" s="816"/>
      <c r="AR176" s="816"/>
      <c r="AS176" s="816"/>
      <c r="AT176" s="816"/>
      <c r="AU176" s="816"/>
      <c r="AV176" s="816"/>
      <c r="AW176" s="816"/>
      <c r="AX176" s="819"/>
    </row>
    <row r="177" spans="1:50" ht="12">
      <c r="A177" s="829"/>
      <c r="B177" s="838"/>
      <c r="C177" s="839"/>
      <c r="D177" s="816"/>
      <c r="E177" s="816"/>
      <c r="F177" s="816"/>
      <c r="G177" s="816"/>
      <c r="H177" s="816"/>
      <c r="I177" s="816"/>
      <c r="J177" s="816"/>
      <c r="K177" s="816"/>
      <c r="L177" s="817"/>
      <c r="M177" s="828"/>
      <c r="N177" s="920"/>
      <c r="O177" s="835" t="s">
        <v>319</v>
      </c>
      <c r="P177" s="876"/>
      <c r="Q177" s="876"/>
      <c r="R177" s="876"/>
      <c r="S177" s="877"/>
      <c r="T177" s="877"/>
      <c r="U177" s="877"/>
      <c r="V177" s="877"/>
      <c r="W177" s="926"/>
      <c r="X177" s="933" t="s">
        <v>612</v>
      </c>
      <c r="Y177" s="927"/>
      <c r="Z177" s="927"/>
      <c r="AA177" s="927"/>
      <c r="AB177" s="927"/>
      <c r="AC177" s="927"/>
      <c r="AD177" s="927"/>
      <c r="AE177" s="927"/>
      <c r="AF177" s="927"/>
      <c r="AG177" s="927"/>
      <c r="AH177" s="927"/>
      <c r="AI177" s="927"/>
      <c r="AJ177" s="927"/>
      <c r="AK177" s="927"/>
      <c r="AL177" s="927"/>
      <c r="AM177" s="927"/>
      <c r="AN177" s="926"/>
      <c r="AO177" s="921"/>
      <c r="AP177" s="818"/>
      <c r="AQ177" s="816"/>
      <c r="AR177" s="816"/>
      <c r="AS177" s="816"/>
      <c r="AT177" s="816"/>
      <c r="AU177" s="816"/>
      <c r="AV177" s="816"/>
      <c r="AW177" s="816"/>
      <c r="AX177" s="819"/>
    </row>
    <row r="178" spans="1:50" ht="12">
      <c r="A178" s="829"/>
      <c r="B178" s="838"/>
      <c r="C178" s="839"/>
      <c r="D178" s="816"/>
      <c r="E178" s="816"/>
      <c r="F178" s="816"/>
      <c r="G178" s="816"/>
      <c r="H178" s="816"/>
      <c r="I178" s="816"/>
      <c r="J178" s="816"/>
      <c r="K178" s="816"/>
      <c r="L178" s="817"/>
      <c r="M178" s="828"/>
      <c r="N178" s="920"/>
      <c r="O178" s="835" t="s">
        <v>305</v>
      </c>
      <c r="P178" s="876"/>
      <c r="Q178" s="876"/>
      <c r="R178" s="876"/>
      <c r="S178" s="877"/>
      <c r="T178" s="877"/>
      <c r="U178" s="877"/>
      <c r="V178" s="877"/>
      <c r="W178" s="926"/>
      <c r="X178" s="933" t="s">
        <v>612</v>
      </c>
      <c r="Y178" s="927"/>
      <c r="Z178" s="927"/>
      <c r="AA178" s="927"/>
      <c r="AB178" s="927"/>
      <c r="AC178" s="927"/>
      <c r="AD178" s="927"/>
      <c r="AE178" s="927"/>
      <c r="AF178" s="927"/>
      <c r="AG178" s="927"/>
      <c r="AH178" s="927"/>
      <c r="AI178" s="927"/>
      <c r="AJ178" s="927"/>
      <c r="AK178" s="927"/>
      <c r="AL178" s="927"/>
      <c r="AM178" s="927"/>
      <c r="AN178" s="926"/>
      <c r="AO178" s="921"/>
      <c r="AP178" s="818"/>
      <c r="AQ178" s="816"/>
      <c r="AR178" s="816"/>
      <c r="AS178" s="816"/>
      <c r="AT178" s="816"/>
      <c r="AU178" s="816"/>
      <c r="AV178" s="816"/>
      <c r="AW178" s="816"/>
      <c r="AX178" s="819"/>
    </row>
    <row r="179" spans="1:50" ht="12">
      <c r="A179" s="829"/>
      <c r="B179" s="838"/>
      <c r="C179" s="839"/>
      <c r="D179" s="816"/>
      <c r="E179" s="816"/>
      <c r="F179" s="816"/>
      <c r="G179" s="816"/>
      <c r="H179" s="816"/>
      <c r="I179" s="816"/>
      <c r="J179" s="816"/>
      <c r="K179" s="816"/>
      <c r="L179" s="817"/>
      <c r="M179" s="828"/>
      <c r="N179" s="920"/>
      <c r="O179" s="835" t="s">
        <v>574</v>
      </c>
      <c r="P179" s="876"/>
      <c r="Q179" s="876"/>
      <c r="R179" s="876"/>
      <c r="S179" s="877"/>
      <c r="T179" s="877"/>
      <c r="U179" s="877"/>
      <c r="V179" s="877"/>
      <c r="W179" s="926"/>
      <c r="X179" s="835" t="s">
        <v>575</v>
      </c>
      <c r="Y179" s="927"/>
      <c r="Z179" s="927"/>
      <c r="AA179" s="927"/>
      <c r="AB179" s="927"/>
      <c r="AC179" s="927"/>
      <c r="AD179" s="927"/>
      <c r="AE179" s="927"/>
      <c r="AF179" s="927"/>
      <c r="AG179" s="927"/>
      <c r="AH179" s="927"/>
      <c r="AI179" s="927"/>
      <c r="AJ179" s="927"/>
      <c r="AK179" s="927"/>
      <c r="AL179" s="927"/>
      <c r="AM179" s="927"/>
      <c r="AN179" s="926"/>
      <c r="AO179" s="921"/>
      <c r="AP179" s="818"/>
      <c r="AQ179" s="816"/>
      <c r="AR179" s="816"/>
      <c r="AS179" s="816"/>
      <c r="AT179" s="816"/>
      <c r="AU179" s="816"/>
      <c r="AV179" s="816"/>
      <c r="AW179" s="816"/>
      <c r="AX179" s="819"/>
    </row>
    <row r="180" spans="1:50" ht="12">
      <c r="A180" s="829"/>
      <c r="B180" s="838"/>
      <c r="C180" s="839"/>
      <c r="D180" s="816"/>
      <c r="E180" s="816"/>
      <c r="F180" s="816"/>
      <c r="G180" s="816"/>
      <c r="H180" s="816"/>
      <c r="I180" s="816"/>
      <c r="J180" s="816"/>
      <c r="K180" s="816"/>
      <c r="L180" s="817"/>
      <c r="M180" s="828"/>
      <c r="N180" s="920"/>
      <c r="O180" s="835" t="s">
        <v>576</v>
      </c>
      <c r="P180" s="876"/>
      <c r="Q180" s="876"/>
      <c r="R180" s="876"/>
      <c r="S180" s="877"/>
      <c r="T180" s="877"/>
      <c r="U180" s="877"/>
      <c r="V180" s="877"/>
      <c r="W180" s="926"/>
      <c r="X180" s="835" t="s">
        <v>577</v>
      </c>
      <c r="Y180" s="927"/>
      <c r="Z180" s="927"/>
      <c r="AA180" s="927"/>
      <c r="AB180" s="927"/>
      <c r="AC180" s="927"/>
      <c r="AD180" s="927"/>
      <c r="AE180" s="927"/>
      <c r="AF180" s="927"/>
      <c r="AG180" s="927"/>
      <c r="AH180" s="927"/>
      <c r="AI180" s="927"/>
      <c r="AJ180" s="927"/>
      <c r="AK180" s="927"/>
      <c r="AL180" s="927"/>
      <c r="AM180" s="927"/>
      <c r="AN180" s="926"/>
      <c r="AO180" s="921"/>
      <c r="AP180" s="818"/>
      <c r="AQ180" s="816"/>
      <c r="AR180" s="816"/>
      <c r="AS180" s="816"/>
      <c r="AT180" s="816"/>
      <c r="AU180" s="816"/>
      <c r="AV180" s="816"/>
      <c r="AW180" s="816"/>
      <c r="AX180" s="819"/>
    </row>
    <row r="181" spans="1:50" ht="12">
      <c r="A181" s="829"/>
      <c r="B181" s="838"/>
      <c r="C181" s="839"/>
      <c r="D181" s="816"/>
      <c r="E181" s="816"/>
      <c r="F181" s="816"/>
      <c r="G181" s="816"/>
      <c r="H181" s="816"/>
      <c r="I181" s="816"/>
      <c r="J181" s="816"/>
      <c r="K181" s="816"/>
      <c r="L181" s="817"/>
      <c r="M181" s="828"/>
      <c r="N181" s="920"/>
      <c r="O181" s="835" t="s">
        <v>578</v>
      </c>
      <c r="P181" s="876"/>
      <c r="Q181" s="876"/>
      <c r="R181" s="876"/>
      <c r="S181" s="877"/>
      <c r="T181" s="877"/>
      <c r="U181" s="877"/>
      <c r="V181" s="877"/>
      <c r="W181" s="926"/>
      <c r="X181" s="835" t="s">
        <v>579</v>
      </c>
      <c r="Y181" s="927"/>
      <c r="Z181" s="927"/>
      <c r="AA181" s="927"/>
      <c r="AB181" s="927"/>
      <c r="AC181" s="927"/>
      <c r="AD181" s="927"/>
      <c r="AE181" s="927"/>
      <c r="AF181" s="927"/>
      <c r="AG181" s="927"/>
      <c r="AH181" s="927"/>
      <c r="AI181" s="927"/>
      <c r="AJ181" s="927"/>
      <c r="AK181" s="927"/>
      <c r="AL181" s="927"/>
      <c r="AM181" s="927"/>
      <c r="AN181" s="926"/>
      <c r="AO181" s="921"/>
      <c r="AP181" s="818"/>
      <c r="AQ181" s="816"/>
      <c r="AR181" s="816"/>
      <c r="AS181" s="816"/>
      <c r="AT181" s="816"/>
      <c r="AU181" s="816"/>
      <c r="AV181" s="816"/>
      <c r="AW181" s="816"/>
      <c r="AX181" s="819"/>
    </row>
    <row r="182" spans="1:50" ht="12">
      <c r="A182" s="829"/>
      <c r="B182" s="838"/>
      <c r="C182" s="839"/>
      <c r="D182" s="816"/>
      <c r="E182" s="816"/>
      <c r="F182" s="816"/>
      <c r="G182" s="816"/>
      <c r="H182" s="816"/>
      <c r="I182" s="816"/>
      <c r="J182" s="816"/>
      <c r="K182" s="816"/>
      <c r="L182" s="817"/>
      <c r="M182" s="828"/>
      <c r="N182" s="920"/>
      <c r="O182" s="835" t="s">
        <v>580</v>
      </c>
      <c r="P182" s="876"/>
      <c r="Q182" s="876"/>
      <c r="R182" s="876"/>
      <c r="S182" s="877"/>
      <c r="T182" s="877"/>
      <c r="U182" s="877"/>
      <c r="V182" s="877"/>
      <c r="W182" s="926"/>
      <c r="X182" s="835" t="s">
        <v>581</v>
      </c>
      <c r="Y182" s="927"/>
      <c r="Z182" s="927"/>
      <c r="AA182" s="927"/>
      <c r="AB182" s="927"/>
      <c r="AC182" s="927"/>
      <c r="AD182" s="927"/>
      <c r="AE182" s="927"/>
      <c r="AF182" s="927"/>
      <c r="AG182" s="927"/>
      <c r="AH182" s="927"/>
      <c r="AI182" s="927"/>
      <c r="AJ182" s="927"/>
      <c r="AK182" s="927"/>
      <c r="AL182" s="927"/>
      <c r="AM182" s="927"/>
      <c r="AN182" s="926"/>
      <c r="AO182" s="921"/>
      <c r="AP182" s="818"/>
      <c r="AQ182" s="816"/>
      <c r="AR182" s="816"/>
      <c r="AS182" s="816"/>
      <c r="AT182" s="816"/>
      <c r="AU182" s="816"/>
      <c r="AV182" s="816"/>
      <c r="AW182" s="816"/>
      <c r="AX182" s="819"/>
    </row>
    <row r="183" spans="1:50" ht="12">
      <c r="A183" s="829"/>
      <c r="B183" s="838"/>
      <c r="C183" s="839"/>
      <c r="D183" s="816"/>
      <c r="E183" s="816"/>
      <c r="F183" s="816"/>
      <c r="G183" s="816"/>
      <c r="H183" s="816"/>
      <c r="I183" s="816"/>
      <c r="J183" s="816"/>
      <c r="K183" s="816"/>
      <c r="L183" s="817"/>
      <c r="M183" s="828"/>
      <c r="N183" s="920"/>
      <c r="O183" s="835" t="s">
        <v>582</v>
      </c>
      <c r="P183" s="876"/>
      <c r="Q183" s="876"/>
      <c r="R183" s="876"/>
      <c r="S183" s="877"/>
      <c r="T183" s="877"/>
      <c r="U183" s="877"/>
      <c r="V183" s="877"/>
      <c r="W183" s="926"/>
      <c r="X183" s="835" t="s">
        <v>583</v>
      </c>
      <c r="Y183" s="927"/>
      <c r="Z183" s="927"/>
      <c r="AA183" s="927"/>
      <c r="AB183" s="927"/>
      <c r="AC183" s="927"/>
      <c r="AD183" s="927"/>
      <c r="AE183" s="927"/>
      <c r="AF183" s="927"/>
      <c r="AG183" s="927"/>
      <c r="AH183" s="927"/>
      <c r="AI183" s="927"/>
      <c r="AJ183" s="927"/>
      <c r="AK183" s="927"/>
      <c r="AL183" s="927"/>
      <c r="AM183" s="927"/>
      <c r="AN183" s="926"/>
      <c r="AO183" s="921"/>
      <c r="AP183" s="818"/>
      <c r="AQ183" s="816"/>
      <c r="AR183" s="816"/>
      <c r="AS183" s="816"/>
      <c r="AT183" s="816"/>
      <c r="AU183" s="816"/>
      <c r="AV183" s="816"/>
      <c r="AW183" s="816"/>
      <c r="AX183" s="819"/>
    </row>
    <row r="184" spans="1:50" ht="12">
      <c r="A184" s="829"/>
      <c r="B184" s="838"/>
      <c r="C184" s="839"/>
      <c r="D184" s="816"/>
      <c r="E184" s="816"/>
      <c r="F184" s="816"/>
      <c r="G184" s="816"/>
      <c r="H184" s="816"/>
      <c r="I184" s="816"/>
      <c r="J184" s="816"/>
      <c r="K184" s="816"/>
      <c r="L184" s="817"/>
      <c r="M184" s="828"/>
      <c r="N184" s="920"/>
      <c r="O184" s="835" t="s">
        <v>584</v>
      </c>
      <c r="P184" s="876"/>
      <c r="Q184" s="876"/>
      <c r="R184" s="876"/>
      <c r="S184" s="877"/>
      <c r="T184" s="877"/>
      <c r="U184" s="877"/>
      <c r="V184" s="877"/>
      <c r="W184" s="926"/>
      <c r="X184" s="835" t="s">
        <v>585</v>
      </c>
      <c r="Y184" s="927"/>
      <c r="Z184" s="927"/>
      <c r="AA184" s="927"/>
      <c r="AB184" s="927"/>
      <c r="AC184" s="927"/>
      <c r="AD184" s="927"/>
      <c r="AE184" s="927"/>
      <c r="AF184" s="927"/>
      <c r="AG184" s="927"/>
      <c r="AH184" s="927"/>
      <c r="AI184" s="927"/>
      <c r="AJ184" s="927"/>
      <c r="AK184" s="927"/>
      <c r="AL184" s="927"/>
      <c r="AM184" s="927"/>
      <c r="AN184" s="926"/>
      <c r="AO184" s="921"/>
      <c r="AP184" s="818"/>
      <c r="AQ184" s="816"/>
      <c r="AR184" s="816"/>
      <c r="AS184" s="816"/>
      <c r="AT184" s="816"/>
      <c r="AU184" s="816"/>
      <c r="AV184" s="816"/>
      <c r="AW184" s="816"/>
      <c r="AX184" s="819"/>
    </row>
    <row r="185" spans="1:50" ht="12">
      <c r="A185" s="829"/>
      <c r="B185" s="838"/>
      <c r="C185" s="839"/>
      <c r="D185" s="816"/>
      <c r="E185" s="816"/>
      <c r="F185" s="816"/>
      <c r="G185" s="816"/>
      <c r="H185" s="816"/>
      <c r="I185" s="816"/>
      <c r="J185" s="816"/>
      <c r="K185" s="816"/>
      <c r="L185" s="817"/>
      <c r="M185" s="828"/>
      <c r="N185" s="920"/>
      <c r="O185" s="835" t="s">
        <v>586</v>
      </c>
      <c r="P185" s="876"/>
      <c r="Q185" s="876"/>
      <c r="R185" s="876"/>
      <c r="S185" s="877"/>
      <c r="T185" s="877"/>
      <c r="U185" s="877"/>
      <c r="V185" s="877"/>
      <c r="W185" s="926"/>
      <c r="X185" s="835" t="s">
        <v>587</v>
      </c>
      <c r="Y185" s="927"/>
      <c r="Z185" s="927"/>
      <c r="AA185" s="927"/>
      <c r="AB185" s="927"/>
      <c r="AC185" s="927"/>
      <c r="AD185" s="927"/>
      <c r="AE185" s="927"/>
      <c r="AF185" s="927"/>
      <c r="AG185" s="927"/>
      <c r="AH185" s="927"/>
      <c r="AI185" s="927"/>
      <c r="AJ185" s="927"/>
      <c r="AK185" s="927"/>
      <c r="AL185" s="927"/>
      <c r="AM185" s="927"/>
      <c r="AN185" s="926"/>
      <c r="AO185" s="921"/>
      <c r="AP185" s="818"/>
      <c r="AQ185" s="816"/>
      <c r="AR185" s="816"/>
      <c r="AS185" s="816"/>
      <c r="AT185" s="816"/>
      <c r="AU185" s="816"/>
      <c r="AV185" s="816"/>
      <c r="AW185" s="816"/>
      <c r="AX185" s="819"/>
    </row>
    <row r="186" spans="1:50" ht="12">
      <c r="A186" s="829"/>
      <c r="B186" s="838"/>
      <c r="C186" s="839"/>
      <c r="D186" s="816"/>
      <c r="E186" s="816"/>
      <c r="F186" s="816"/>
      <c r="G186" s="816"/>
      <c r="H186" s="816"/>
      <c r="I186" s="816"/>
      <c r="J186" s="816"/>
      <c r="K186" s="816"/>
      <c r="L186" s="817"/>
      <c r="M186" s="828"/>
      <c r="N186" s="920"/>
      <c r="O186" s="835" t="s">
        <v>588</v>
      </c>
      <c r="P186" s="876"/>
      <c r="Q186" s="876"/>
      <c r="R186" s="876"/>
      <c r="S186" s="877"/>
      <c r="T186" s="877"/>
      <c r="U186" s="877"/>
      <c r="V186" s="877"/>
      <c r="W186" s="926"/>
      <c r="X186" s="835" t="s">
        <v>589</v>
      </c>
      <c r="Y186" s="927"/>
      <c r="Z186" s="927"/>
      <c r="AA186" s="927"/>
      <c r="AB186" s="927"/>
      <c r="AC186" s="927"/>
      <c r="AD186" s="927"/>
      <c r="AE186" s="927"/>
      <c r="AF186" s="927"/>
      <c r="AG186" s="927"/>
      <c r="AH186" s="927"/>
      <c r="AI186" s="927"/>
      <c r="AJ186" s="927"/>
      <c r="AK186" s="927"/>
      <c r="AL186" s="927"/>
      <c r="AM186" s="927"/>
      <c r="AN186" s="926"/>
      <c r="AO186" s="921"/>
      <c r="AP186" s="818"/>
      <c r="AQ186" s="816"/>
      <c r="AR186" s="816"/>
      <c r="AS186" s="816"/>
      <c r="AT186" s="816"/>
      <c r="AU186" s="816"/>
      <c r="AV186" s="816"/>
      <c r="AW186" s="816"/>
      <c r="AX186" s="819"/>
    </row>
    <row r="187" spans="1:50" ht="12">
      <c r="A187" s="829"/>
      <c r="B187" s="838"/>
      <c r="C187" s="839"/>
      <c r="D187" s="816"/>
      <c r="E187" s="816"/>
      <c r="F187" s="816"/>
      <c r="G187" s="816"/>
      <c r="H187" s="816"/>
      <c r="I187" s="816"/>
      <c r="J187" s="816"/>
      <c r="K187" s="816"/>
      <c r="L187" s="817"/>
      <c r="M187" s="828"/>
      <c r="N187" s="920"/>
      <c r="O187" s="835" t="s">
        <v>590</v>
      </c>
      <c r="P187" s="876"/>
      <c r="Q187" s="876"/>
      <c r="R187" s="876"/>
      <c r="S187" s="877"/>
      <c r="T187" s="877"/>
      <c r="U187" s="877"/>
      <c r="V187" s="877"/>
      <c r="W187" s="926"/>
      <c r="X187" s="835" t="s">
        <v>591</v>
      </c>
      <c r="Y187" s="927"/>
      <c r="Z187" s="927"/>
      <c r="AA187" s="927"/>
      <c r="AB187" s="927"/>
      <c r="AC187" s="927"/>
      <c r="AD187" s="927"/>
      <c r="AE187" s="927"/>
      <c r="AF187" s="927"/>
      <c r="AG187" s="927"/>
      <c r="AH187" s="927"/>
      <c r="AI187" s="927"/>
      <c r="AJ187" s="927"/>
      <c r="AK187" s="927"/>
      <c r="AL187" s="927"/>
      <c r="AM187" s="927"/>
      <c r="AN187" s="926"/>
      <c r="AO187" s="921"/>
      <c r="AP187" s="818"/>
      <c r="AQ187" s="816"/>
      <c r="AR187" s="816"/>
      <c r="AS187" s="816"/>
      <c r="AT187" s="816"/>
      <c r="AU187" s="816"/>
      <c r="AV187" s="816"/>
      <c r="AW187" s="816"/>
      <c r="AX187" s="819"/>
    </row>
    <row r="188" spans="1:50" ht="12">
      <c r="A188" s="829"/>
      <c r="B188" s="838"/>
      <c r="C188" s="839"/>
      <c r="D188" s="816"/>
      <c r="E188" s="816"/>
      <c r="F188" s="816"/>
      <c r="G188" s="816"/>
      <c r="H188" s="816"/>
      <c r="I188" s="816"/>
      <c r="J188" s="816"/>
      <c r="K188" s="816"/>
      <c r="L188" s="817"/>
      <c r="M188" s="828"/>
      <c r="N188" s="920"/>
      <c r="O188" s="835" t="s">
        <v>592</v>
      </c>
      <c r="P188" s="876"/>
      <c r="Q188" s="876"/>
      <c r="R188" s="876"/>
      <c r="S188" s="877"/>
      <c r="T188" s="877"/>
      <c r="U188" s="877"/>
      <c r="V188" s="877"/>
      <c r="W188" s="926"/>
      <c r="X188" s="835" t="s">
        <v>593</v>
      </c>
      <c r="Y188" s="927"/>
      <c r="Z188" s="927"/>
      <c r="AA188" s="927"/>
      <c r="AB188" s="927"/>
      <c r="AC188" s="927"/>
      <c r="AD188" s="927"/>
      <c r="AE188" s="927"/>
      <c r="AF188" s="927"/>
      <c r="AG188" s="927"/>
      <c r="AH188" s="927"/>
      <c r="AI188" s="927"/>
      <c r="AJ188" s="927"/>
      <c r="AK188" s="927"/>
      <c r="AL188" s="927"/>
      <c r="AM188" s="927"/>
      <c r="AN188" s="926"/>
      <c r="AO188" s="921"/>
      <c r="AP188" s="818"/>
      <c r="AQ188" s="816"/>
      <c r="AR188" s="816"/>
      <c r="AS188" s="816"/>
      <c r="AT188" s="816"/>
      <c r="AU188" s="816"/>
      <c r="AV188" s="816"/>
      <c r="AW188" s="816"/>
      <c r="AX188" s="819"/>
    </row>
    <row r="189" spans="1:50" ht="12">
      <c r="A189" s="829"/>
      <c r="B189" s="838"/>
      <c r="C189" s="839"/>
      <c r="D189" s="816"/>
      <c r="E189" s="816"/>
      <c r="F189" s="816"/>
      <c r="G189" s="816"/>
      <c r="H189" s="816"/>
      <c r="I189" s="816"/>
      <c r="J189" s="816"/>
      <c r="K189" s="816"/>
      <c r="L189" s="817"/>
      <c r="M189" s="828"/>
      <c r="N189" s="920"/>
      <c r="O189" s="835" t="s">
        <v>594</v>
      </c>
      <c r="P189" s="876"/>
      <c r="Q189" s="876"/>
      <c r="R189" s="876"/>
      <c r="S189" s="877"/>
      <c r="T189" s="877"/>
      <c r="U189" s="877"/>
      <c r="V189" s="877"/>
      <c r="W189" s="926"/>
      <c r="X189" s="835" t="s">
        <v>595</v>
      </c>
      <c r="Y189" s="927"/>
      <c r="Z189" s="927"/>
      <c r="AA189" s="927"/>
      <c r="AB189" s="927"/>
      <c r="AC189" s="927"/>
      <c r="AD189" s="927"/>
      <c r="AE189" s="927"/>
      <c r="AF189" s="927"/>
      <c r="AG189" s="927"/>
      <c r="AH189" s="927"/>
      <c r="AI189" s="927"/>
      <c r="AJ189" s="927"/>
      <c r="AK189" s="927"/>
      <c r="AL189" s="927"/>
      <c r="AM189" s="927"/>
      <c r="AN189" s="926"/>
      <c r="AO189" s="921"/>
      <c r="AP189" s="818"/>
      <c r="AQ189" s="816"/>
      <c r="AR189" s="816"/>
      <c r="AS189" s="816"/>
      <c r="AT189" s="816"/>
      <c r="AU189" s="816"/>
      <c r="AV189" s="816"/>
      <c r="AW189" s="816"/>
      <c r="AX189" s="819"/>
    </row>
    <row r="190" spans="1:50" ht="12">
      <c r="A190" s="829"/>
      <c r="B190" s="838"/>
      <c r="C190" s="839"/>
      <c r="D190" s="816"/>
      <c r="E190" s="816"/>
      <c r="F190" s="816"/>
      <c r="G190" s="816"/>
      <c r="H190" s="816"/>
      <c r="I190" s="816"/>
      <c r="J190" s="816"/>
      <c r="K190" s="816"/>
      <c r="L190" s="817"/>
      <c r="M190" s="828"/>
      <c r="N190" s="920"/>
      <c r="O190" s="835" t="s">
        <v>596</v>
      </c>
      <c r="P190" s="876"/>
      <c r="Q190" s="876"/>
      <c r="R190" s="876"/>
      <c r="S190" s="877"/>
      <c r="T190" s="877"/>
      <c r="U190" s="877"/>
      <c r="V190" s="877"/>
      <c r="W190" s="926"/>
      <c r="X190" s="835" t="s">
        <v>597</v>
      </c>
      <c r="Y190" s="927"/>
      <c r="Z190" s="927"/>
      <c r="AA190" s="927"/>
      <c r="AB190" s="927"/>
      <c r="AC190" s="927"/>
      <c r="AD190" s="927"/>
      <c r="AE190" s="927"/>
      <c r="AF190" s="927"/>
      <c r="AG190" s="927"/>
      <c r="AH190" s="927"/>
      <c r="AI190" s="927"/>
      <c r="AJ190" s="927"/>
      <c r="AK190" s="927"/>
      <c r="AL190" s="927"/>
      <c r="AM190" s="927"/>
      <c r="AN190" s="926"/>
      <c r="AO190" s="921"/>
      <c r="AP190" s="818"/>
      <c r="AQ190" s="816"/>
      <c r="AR190" s="816"/>
      <c r="AS190" s="816"/>
      <c r="AT190" s="816"/>
      <c r="AU190" s="816"/>
      <c r="AV190" s="816"/>
      <c r="AW190" s="816"/>
      <c r="AX190" s="819"/>
    </row>
    <row r="191" spans="1:50" ht="12">
      <c r="A191" s="829"/>
      <c r="B191" s="838"/>
      <c r="C191" s="839"/>
      <c r="D191" s="816"/>
      <c r="E191" s="816"/>
      <c r="F191" s="816"/>
      <c r="G191" s="816"/>
      <c r="H191" s="816"/>
      <c r="I191" s="816"/>
      <c r="J191" s="816"/>
      <c r="K191" s="816"/>
      <c r="L191" s="817"/>
      <c r="M191" s="828"/>
      <c r="N191" s="920"/>
      <c r="O191" s="835" t="s">
        <v>598</v>
      </c>
      <c r="P191" s="876"/>
      <c r="Q191" s="876"/>
      <c r="R191" s="876"/>
      <c r="S191" s="877"/>
      <c r="T191" s="877"/>
      <c r="U191" s="877"/>
      <c r="V191" s="877"/>
      <c r="W191" s="926"/>
      <c r="X191" s="835" t="s">
        <v>599</v>
      </c>
      <c r="Y191" s="927"/>
      <c r="Z191" s="927"/>
      <c r="AA191" s="927"/>
      <c r="AB191" s="927"/>
      <c r="AC191" s="927"/>
      <c r="AD191" s="927"/>
      <c r="AE191" s="927"/>
      <c r="AF191" s="927"/>
      <c r="AG191" s="927"/>
      <c r="AH191" s="927"/>
      <c r="AI191" s="927"/>
      <c r="AJ191" s="927"/>
      <c r="AK191" s="927"/>
      <c r="AL191" s="927"/>
      <c r="AM191" s="927"/>
      <c r="AN191" s="926"/>
      <c r="AO191" s="921"/>
      <c r="AP191" s="818"/>
      <c r="AQ191" s="816"/>
      <c r="AR191" s="816"/>
      <c r="AS191" s="816"/>
      <c r="AT191" s="816"/>
      <c r="AU191" s="816"/>
      <c r="AV191" s="816"/>
      <c r="AW191" s="816"/>
      <c r="AX191" s="819"/>
    </row>
    <row r="192" spans="1:50" ht="12">
      <c r="A192" s="829"/>
      <c r="B192" s="838"/>
      <c r="C192" s="839"/>
      <c r="D192" s="816"/>
      <c r="E192" s="816"/>
      <c r="F192" s="816"/>
      <c r="G192" s="816"/>
      <c r="H192" s="816"/>
      <c r="I192" s="816"/>
      <c r="J192" s="816"/>
      <c r="K192" s="816"/>
      <c r="L192" s="817"/>
      <c r="M192" s="828"/>
      <c r="N192" s="920"/>
      <c r="O192" s="835" t="s">
        <v>600</v>
      </c>
      <c r="P192" s="876"/>
      <c r="Q192" s="876"/>
      <c r="R192" s="876"/>
      <c r="S192" s="877"/>
      <c r="T192" s="877"/>
      <c r="U192" s="877"/>
      <c r="V192" s="877"/>
      <c r="W192" s="926"/>
      <c r="X192" s="835" t="s">
        <v>601</v>
      </c>
      <c r="Y192" s="927"/>
      <c r="Z192" s="927"/>
      <c r="AA192" s="927"/>
      <c r="AB192" s="927"/>
      <c r="AC192" s="927"/>
      <c r="AD192" s="927"/>
      <c r="AE192" s="927"/>
      <c r="AF192" s="927"/>
      <c r="AG192" s="927"/>
      <c r="AH192" s="927"/>
      <c r="AI192" s="927"/>
      <c r="AJ192" s="927"/>
      <c r="AK192" s="927"/>
      <c r="AL192" s="927"/>
      <c r="AM192" s="927"/>
      <c r="AN192" s="926"/>
      <c r="AO192" s="921"/>
      <c r="AP192" s="818"/>
      <c r="AQ192" s="816"/>
      <c r="AR192" s="816"/>
      <c r="AS192" s="816"/>
      <c r="AT192" s="816"/>
      <c r="AU192" s="816"/>
      <c r="AV192" s="816"/>
      <c r="AW192" s="816"/>
      <c r="AX192" s="819"/>
    </row>
    <row r="193" spans="1:50" ht="12">
      <c r="A193" s="829"/>
      <c r="B193" s="838"/>
      <c r="C193" s="839"/>
      <c r="D193" s="816"/>
      <c r="E193" s="816"/>
      <c r="F193" s="816"/>
      <c r="G193" s="816"/>
      <c r="H193" s="816"/>
      <c r="I193" s="816"/>
      <c r="J193" s="816"/>
      <c r="K193" s="816"/>
      <c r="L193" s="817"/>
      <c r="M193" s="828"/>
      <c r="N193" s="920"/>
      <c r="O193" s="835" t="s">
        <v>602</v>
      </c>
      <c r="P193" s="876"/>
      <c r="Q193" s="876"/>
      <c r="R193" s="876"/>
      <c r="S193" s="877"/>
      <c r="T193" s="877"/>
      <c r="U193" s="877"/>
      <c r="V193" s="877"/>
      <c r="W193" s="926"/>
      <c r="X193" s="835" t="s">
        <v>603</v>
      </c>
      <c r="Y193" s="927"/>
      <c r="Z193" s="927"/>
      <c r="AA193" s="927"/>
      <c r="AB193" s="927"/>
      <c r="AC193" s="927"/>
      <c r="AD193" s="927"/>
      <c r="AE193" s="927"/>
      <c r="AF193" s="927"/>
      <c r="AG193" s="927"/>
      <c r="AH193" s="927"/>
      <c r="AI193" s="927"/>
      <c r="AJ193" s="927"/>
      <c r="AK193" s="927"/>
      <c r="AL193" s="927"/>
      <c r="AM193" s="927"/>
      <c r="AN193" s="926"/>
      <c r="AO193" s="921"/>
      <c r="AP193" s="818"/>
      <c r="AQ193" s="816"/>
      <c r="AR193" s="816"/>
      <c r="AS193" s="816"/>
      <c r="AT193" s="816"/>
      <c r="AU193" s="816"/>
      <c r="AV193" s="816"/>
      <c r="AW193" s="816"/>
      <c r="AX193" s="819"/>
    </row>
    <row r="194" spans="1:50" ht="12">
      <c r="A194" s="829"/>
      <c r="B194" s="838"/>
      <c r="C194" s="839"/>
      <c r="D194" s="816"/>
      <c r="E194" s="816"/>
      <c r="F194" s="816"/>
      <c r="G194" s="816"/>
      <c r="H194" s="816"/>
      <c r="I194" s="816"/>
      <c r="J194" s="816"/>
      <c r="K194" s="816"/>
      <c r="L194" s="817"/>
      <c r="M194" s="828"/>
      <c r="N194" s="920"/>
      <c r="O194" s="835" t="s">
        <v>604</v>
      </c>
      <c r="P194" s="876"/>
      <c r="Q194" s="876"/>
      <c r="R194" s="876"/>
      <c r="S194" s="877"/>
      <c r="T194" s="877"/>
      <c r="U194" s="877"/>
      <c r="V194" s="877"/>
      <c r="W194" s="926"/>
      <c r="X194" s="835" t="s">
        <v>605</v>
      </c>
      <c r="Y194" s="927"/>
      <c r="Z194" s="927"/>
      <c r="AA194" s="927"/>
      <c r="AB194" s="927"/>
      <c r="AC194" s="927"/>
      <c r="AD194" s="927"/>
      <c r="AE194" s="927"/>
      <c r="AF194" s="927"/>
      <c r="AG194" s="927"/>
      <c r="AH194" s="927"/>
      <c r="AI194" s="927"/>
      <c r="AJ194" s="927"/>
      <c r="AK194" s="927"/>
      <c r="AL194" s="927"/>
      <c r="AM194" s="927"/>
      <c r="AN194" s="926"/>
      <c r="AO194" s="921"/>
      <c r="AP194" s="818"/>
      <c r="AQ194" s="816"/>
      <c r="AR194" s="816"/>
      <c r="AS194" s="816"/>
      <c r="AT194" s="816"/>
      <c r="AU194" s="816"/>
      <c r="AV194" s="816"/>
      <c r="AW194" s="816"/>
      <c r="AX194" s="819"/>
    </row>
    <row r="195" spans="1:50" ht="12">
      <c r="A195" s="829"/>
      <c r="B195" s="838"/>
      <c r="C195" s="839"/>
      <c r="D195" s="816"/>
      <c r="E195" s="816"/>
      <c r="F195" s="816"/>
      <c r="G195" s="816"/>
      <c r="H195" s="816"/>
      <c r="I195" s="816"/>
      <c r="J195" s="816"/>
      <c r="K195" s="816"/>
      <c r="L195" s="817"/>
      <c r="M195" s="828"/>
      <c r="N195" s="920"/>
      <c r="O195" s="835" t="s">
        <v>606</v>
      </c>
      <c r="P195" s="876"/>
      <c r="Q195" s="876"/>
      <c r="R195" s="876"/>
      <c r="S195" s="877"/>
      <c r="T195" s="877"/>
      <c r="U195" s="877"/>
      <c r="V195" s="877"/>
      <c r="W195" s="926"/>
      <c r="X195" s="835" t="s">
        <v>607</v>
      </c>
      <c r="Y195" s="927"/>
      <c r="Z195" s="927"/>
      <c r="AA195" s="927"/>
      <c r="AB195" s="927"/>
      <c r="AC195" s="927"/>
      <c r="AD195" s="927"/>
      <c r="AE195" s="927"/>
      <c r="AF195" s="927"/>
      <c r="AG195" s="927"/>
      <c r="AH195" s="927"/>
      <c r="AI195" s="927"/>
      <c r="AJ195" s="927"/>
      <c r="AK195" s="927"/>
      <c r="AL195" s="927"/>
      <c r="AM195" s="927"/>
      <c r="AN195" s="926"/>
      <c r="AO195" s="921"/>
      <c r="AP195" s="818"/>
      <c r="AQ195" s="816"/>
      <c r="AR195" s="816"/>
      <c r="AS195" s="816"/>
      <c r="AT195" s="816"/>
      <c r="AU195" s="816"/>
      <c r="AV195" s="816"/>
      <c r="AW195" s="816"/>
      <c r="AX195" s="819"/>
    </row>
    <row r="196" spans="1:50" ht="12">
      <c r="A196" s="829"/>
      <c r="B196" s="838"/>
      <c r="C196" s="839"/>
      <c r="D196" s="816"/>
      <c r="E196" s="816"/>
      <c r="F196" s="816"/>
      <c r="G196" s="816"/>
      <c r="H196" s="816"/>
      <c r="I196" s="816"/>
      <c r="J196" s="816"/>
      <c r="K196" s="816"/>
      <c r="L196" s="817"/>
      <c r="M196" s="828"/>
      <c r="N196" s="928"/>
      <c r="O196" s="871"/>
      <c r="P196" s="871"/>
      <c r="Q196" s="871"/>
      <c r="R196" s="871"/>
      <c r="S196" s="871"/>
      <c r="T196" s="871"/>
      <c r="U196" s="871"/>
      <c r="V196" s="871"/>
      <c r="W196" s="871"/>
      <c r="X196" s="871"/>
      <c r="Y196" s="871"/>
      <c r="Z196" s="871"/>
      <c r="AA196" s="871"/>
      <c r="AB196" s="871"/>
      <c r="AC196" s="871"/>
      <c r="AD196" s="871"/>
      <c r="AE196" s="871"/>
      <c r="AF196" s="871"/>
      <c r="AG196" s="871"/>
      <c r="AH196" s="871"/>
      <c r="AI196" s="871"/>
      <c r="AJ196" s="871"/>
      <c r="AK196" s="871"/>
      <c r="AL196" s="871"/>
      <c r="AM196" s="871"/>
      <c r="AN196" s="871"/>
      <c r="AO196" s="929"/>
      <c r="AP196" s="818"/>
      <c r="AQ196" s="816"/>
      <c r="AR196" s="816"/>
      <c r="AS196" s="816"/>
      <c r="AT196" s="816"/>
      <c r="AU196" s="816"/>
      <c r="AV196" s="816"/>
      <c r="AW196" s="816"/>
      <c r="AX196" s="819"/>
    </row>
    <row r="197" spans="1:50" ht="12">
      <c r="A197" s="829"/>
      <c r="B197" s="838"/>
      <c r="C197" s="839"/>
      <c r="D197" s="816"/>
      <c r="E197" s="816"/>
      <c r="F197" s="816"/>
      <c r="G197" s="816"/>
      <c r="H197" s="816"/>
      <c r="I197" s="816"/>
      <c r="J197" s="816"/>
      <c r="K197" s="816"/>
      <c r="L197" s="817"/>
      <c r="M197" s="828"/>
      <c r="N197" s="816"/>
      <c r="O197" s="816"/>
      <c r="P197" s="816"/>
      <c r="Q197" s="816"/>
      <c r="R197" s="816"/>
      <c r="S197" s="816"/>
      <c r="T197" s="816"/>
      <c r="U197" s="816"/>
      <c r="V197" s="816"/>
      <c r="W197" s="816"/>
      <c r="X197" s="816"/>
      <c r="Y197" s="816"/>
      <c r="Z197" s="816"/>
      <c r="AA197" s="816"/>
      <c r="AB197" s="816"/>
      <c r="AC197" s="816"/>
      <c r="AD197" s="816"/>
      <c r="AE197" s="816"/>
      <c r="AF197" s="816"/>
      <c r="AG197" s="816"/>
      <c r="AH197" s="816"/>
      <c r="AI197" s="816"/>
      <c r="AJ197" s="816"/>
      <c r="AK197" s="816"/>
      <c r="AL197" s="816"/>
      <c r="AM197" s="816"/>
      <c r="AN197" s="816"/>
      <c r="AO197" s="816"/>
      <c r="AP197" s="818"/>
      <c r="AQ197" s="816"/>
      <c r="AR197" s="816"/>
      <c r="AS197" s="816"/>
      <c r="AT197" s="816"/>
      <c r="AU197" s="816"/>
      <c r="AV197" s="816"/>
      <c r="AW197" s="816"/>
      <c r="AX197" s="819"/>
    </row>
    <row r="198" spans="1:50" ht="12">
      <c r="A198" s="829"/>
      <c r="B198" s="838"/>
      <c r="C198" s="839"/>
      <c r="D198" s="816"/>
      <c r="E198" s="816"/>
      <c r="F198" s="816"/>
      <c r="G198" s="816"/>
      <c r="H198" s="816"/>
      <c r="I198" s="816"/>
      <c r="J198" s="816"/>
      <c r="K198" s="816"/>
      <c r="L198" s="851" t="s">
        <v>482</v>
      </c>
      <c r="M198" s="852" t="s">
        <v>613</v>
      </c>
      <c r="N198" s="855"/>
      <c r="O198" s="855"/>
      <c r="P198" s="855"/>
      <c r="Q198" s="852"/>
      <c r="R198" s="901"/>
      <c r="S198" s="901"/>
      <c r="T198" s="852"/>
      <c r="U198" s="852"/>
      <c r="V198" s="852"/>
      <c r="W198" s="852"/>
      <c r="X198" s="841"/>
      <c r="Y198" s="841"/>
      <c r="Z198" s="841"/>
      <c r="AA198" s="841"/>
      <c r="AB198" s="841"/>
      <c r="AC198" s="841"/>
      <c r="AD198" s="841"/>
      <c r="AE198" s="841"/>
      <c r="AF198" s="852"/>
      <c r="AG198" s="852"/>
      <c r="AH198" s="852"/>
      <c r="AI198" s="852"/>
      <c r="AJ198" s="852"/>
      <c r="AK198" s="852"/>
      <c r="AL198" s="852"/>
      <c r="AM198" s="852"/>
      <c r="AN198" s="852"/>
      <c r="AO198" s="852"/>
      <c r="AP198" s="861"/>
      <c r="AQ198" s="856"/>
      <c r="AR198" s="855"/>
      <c r="AS198" s="855"/>
      <c r="AT198" s="855"/>
      <c r="AU198" s="855"/>
      <c r="AV198" s="855"/>
      <c r="AW198" s="855"/>
      <c r="AX198" s="862"/>
    </row>
    <row r="199" spans="1:50" ht="12">
      <c r="A199" s="829"/>
      <c r="B199" s="838"/>
      <c r="C199" s="839"/>
      <c r="D199" s="816"/>
      <c r="E199" s="816"/>
      <c r="F199" s="816"/>
      <c r="G199" s="816"/>
      <c r="H199" s="816"/>
      <c r="I199" s="816"/>
      <c r="J199" s="816"/>
      <c r="K199" s="816"/>
      <c r="L199" s="851"/>
      <c r="M199" s="852" t="s">
        <v>614</v>
      </c>
      <c r="N199" s="855"/>
      <c r="O199" s="855"/>
      <c r="P199" s="856"/>
      <c r="Q199" s="855"/>
      <c r="R199" s="812"/>
      <c r="S199" s="812"/>
      <c r="T199" s="855"/>
      <c r="U199" s="855"/>
      <c r="V199" s="855"/>
      <c r="W199" s="855"/>
      <c r="X199" s="842"/>
      <c r="Y199" s="842"/>
      <c r="Z199" s="842"/>
      <c r="AA199" s="842"/>
      <c r="AB199" s="842"/>
      <c r="AC199" s="842"/>
      <c r="AD199" s="842"/>
      <c r="AE199" s="842"/>
      <c r="AF199" s="855"/>
      <c r="AG199" s="855"/>
      <c r="AH199" s="855"/>
      <c r="AI199" s="855"/>
      <c r="AJ199" s="855"/>
      <c r="AK199" s="855"/>
      <c r="AL199" s="855"/>
      <c r="AM199" s="855"/>
      <c r="AN199" s="855"/>
      <c r="AO199" s="855"/>
      <c r="AP199" s="861"/>
      <c r="AQ199" s="843" t="s">
        <v>615</v>
      </c>
      <c r="AR199" s="855"/>
      <c r="AS199" s="855"/>
      <c r="AT199" s="855"/>
      <c r="AU199" s="855"/>
      <c r="AV199" s="855"/>
      <c r="AW199" s="855"/>
      <c r="AX199" s="862"/>
    </row>
    <row r="200" spans="1:50" ht="12">
      <c r="A200" s="829"/>
      <c r="B200" s="838"/>
      <c r="C200" s="839"/>
      <c r="D200" s="816"/>
      <c r="E200" s="816"/>
      <c r="F200" s="816"/>
      <c r="G200" s="816"/>
      <c r="H200" s="816"/>
      <c r="I200" s="816"/>
      <c r="J200" s="816"/>
      <c r="K200" s="816"/>
      <c r="L200" s="817"/>
      <c r="M200" s="828"/>
      <c r="N200" s="816"/>
      <c r="O200" s="816"/>
      <c r="P200" s="816"/>
      <c r="Q200" s="816"/>
      <c r="R200" s="816"/>
      <c r="S200" s="816"/>
      <c r="T200" s="816"/>
      <c r="U200" s="816"/>
      <c r="V200" s="816"/>
      <c r="W200" s="816"/>
      <c r="X200" s="816"/>
      <c r="Y200" s="816"/>
      <c r="Z200" s="816"/>
      <c r="AA200" s="816"/>
      <c r="AB200" s="816"/>
      <c r="AC200" s="816"/>
      <c r="AD200" s="816"/>
      <c r="AE200" s="816"/>
      <c r="AF200" s="816"/>
      <c r="AG200" s="816"/>
      <c r="AH200" s="816"/>
      <c r="AI200" s="816"/>
      <c r="AJ200" s="816"/>
      <c r="AK200" s="816"/>
      <c r="AL200" s="816"/>
      <c r="AM200" s="816"/>
      <c r="AN200" s="816"/>
      <c r="AO200" s="816"/>
      <c r="AP200" s="818"/>
      <c r="AQ200" s="816"/>
      <c r="AR200" s="816"/>
      <c r="AS200" s="816"/>
      <c r="AT200" s="816"/>
      <c r="AU200" s="816"/>
      <c r="AV200" s="816"/>
      <c r="AW200" s="816"/>
      <c r="AX200" s="819"/>
    </row>
    <row r="201" spans="1:50" ht="12">
      <c r="A201" s="829"/>
      <c r="B201" s="838"/>
      <c r="C201" s="839"/>
      <c r="D201" s="816"/>
      <c r="E201" s="816"/>
      <c r="F201" s="816"/>
      <c r="G201" s="816"/>
      <c r="H201" s="816"/>
      <c r="I201" s="816"/>
      <c r="J201" s="816"/>
      <c r="K201" s="816"/>
      <c r="L201" s="817"/>
      <c r="M201" s="828" t="s">
        <v>616</v>
      </c>
      <c r="N201" s="816"/>
      <c r="O201" s="816"/>
      <c r="P201" s="816"/>
      <c r="Q201" s="816"/>
      <c r="R201" s="816"/>
      <c r="S201" s="816"/>
      <c r="T201" s="816"/>
      <c r="U201" s="816"/>
      <c r="V201" s="816"/>
      <c r="W201" s="816"/>
      <c r="X201" s="816"/>
      <c r="Y201" s="816"/>
      <c r="Z201" s="816"/>
      <c r="AA201" s="816"/>
      <c r="AB201" s="816"/>
      <c r="AC201" s="816"/>
      <c r="AD201" s="816"/>
      <c r="AE201" s="816"/>
      <c r="AF201" s="816"/>
      <c r="AG201" s="816"/>
      <c r="AH201" s="816"/>
      <c r="AI201" s="816"/>
      <c r="AJ201" s="816"/>
      <c r="AK201" s="816"/>
      <c r="AL201" s="816"/>
      <c r="AM201" s="816"/>
      <c r="AN201" s="816"/>
      <c r="AO201" s="816"/>
      <c r="AP201" s="818"/>
      <c r="AQ201" s="816"/>
      <c r="AR201" s="816"/>
      <c r="AS201" s="816"/>
      <c r="AT201" s="816"/>
      <c r="AU201" s="816"/>
      <c r="AV201" s="816"/>
      <c r="AW201" s="816"/>
      <c r="AX201" s="819"/>
    </row>
    <row r="202" spans="1:50" ht="12">
      <c r="A202" s="829"/>
      <c r="B202" s="838"/>
      <c r="C202" s="839"/>
      <c r="D202" s="816"/>
      <c r="E202" s="816"/>
      <c r="F202" s="816"/>
      <c r="G202" s="816"/>
      <c r="H202" s="816"/>
      <c r="I202" s="816"/>
      <c r="J202" s="816"/>
      <c r="K202" s="816"/>
      <c r="L202" s="817"/>
      <c r="M202" s="872" t="s">
        <v>37</v>
      </c>
      <c r="N202" s="873"/>
      <c r="O202" s="873"/>
      <c r="P202" s="874"/>
      <c r="Q202" s="872" t="s">
        <v>617</v>
      </c>
      <c r="R202" s="873"/>
      <c r="S202" s="873"/>
      <c r="T202" s="873"/>
      <c r="U202" s="873"/>
      <c r="V202" s="873"/>
      <c r="W202" s="873"/>
      <c r="X202" s="873"/>
      <c r="Y202" s="873"/>
      <c r="Z202" s="873"/>
      <c r="AA202" s="873"/>
      <c r="AB202" s="875"/>
      <c r="AC202" s="876"/>
      <c r="AD202" s="876"/>
      <c r="AE202" s="876"/>
      <c r="AF202" s="876"/>
      <c r="AG202" s="877"/>
      <c r="AH202" s="877"/>
      <c r="AI202" s="877"/>
      <c r="AJ202" s="877"/>
      <c r="AK202" s="877"/>
      <c r="AL202" s="877"/>
      <c r="AM202" s="877"/>
      <c r="AN202" s="877"/>
      <c r="AO202" s="877"/>
      <c r="AP202" s="878"/>
      <c r="AQ202" s="879" t="s">
        <v>27</v>
      </c>
      <c r="AR202" s="883"/>
      <c r="AS202" s="877"/>
      <c r="AT202" s="877"/>
      <c r="AU202" s="877"/>
      <c r="AV202" s="877"/>
      <c r="AW202" s="878"/>
      <c r="AX202" s="819"/>
    </row>
    <row r="203" spans="1:50" ht="12">
      <c r="A203" s="829"/>
      <c r="B203" s="838"/>
      <c r="C203" s="839"/>
      <c r="D203" s="816"/>
      <c r="E203" s="816"/>
      <c r="F203" s="816"/>
      <c r="G203" s="816"/>
      <c r="H203" s="816"/>
      <c r="I203" s="816"/>
      <c r="J203" s="816"/>
      <c r="K203" s="816"/>
      <c r="L203" s="817"/>
      <c r="M203" s="880" t="s">
        <v>618</v>
      </c>
      <c r="N203" s="881"/>
      <c r="O203" s="881"/>
      <c r="P203" s="882"/>
      <c r="Q203" s="880" t="s">
        <v>619</v>
      </c>
      <c r="R203" s="881"/>
      <c r="S203" s="881"/>
      <c r="T203" s="881"/>
      <c r="U203" s="881"/>
      <c r="V203" s="881"/>
      <c r="W203" s="881"/>
      <c r="X203" s="881"/>
      <c r="Y203" s="881"/>
      <c r="Z203" s="881"/>
      <c r="AA203" s="881"/>
      <c r="AB203" s="881"/>
      <c r="AC203" s="884"/>
      <c r="AD203" s="884"/>
      <c r="AE203" s="884"/>
      <c r="AF203" s="884"/>
      <c r="AG203" s="885"/>
      <c r="AH203" s="885"/>
      <c r="AI203" s="885"/>
      <c r="AJ203" s="885"/>
      <c r="AK203" s="885"/>
      <c r="AL203" s="885"/>
      <c r="AM203" s="885"/>
      <c r="AN203" s="885"/>
      <c r="AO203" s="885"/>
      <c r="AP203" s="886"/>
      <c r="AQ203" s="887" t="s">
        <v>620</v>
      </c>
      <c r="AR203" s="888"/>
      <c r="AS203" s="885"/>
      <c r="AT203" s="885"/>
      <c r="AU203" s="885"/>
      <c r="AV203" s="885"/>
      <c r="AW203" s="886"/>
      <c r="AX203" s="819"/>
    </row>
    <row r="204" spans="1:50" ht="12">
      <c r="A204" s="829"/>
      <c r="B204" s="838"/>
      <c r="C204" s="839"/>
      <c r="D204" s="816"/>
      <c r="E204" s="816"/>
      <c r="F204" s="816"/>
      <c r="G204" s="816"/>
      <c r="H204" s="816"/>
      <c r="I204" s="816"/>
      <c r="J204" s="816"/>
      <c r="K204" s="816"/>
      <c r="L204" s="817"/>
      <c r="M204" s="889"/>
      <c r="N204" s="890"/>
      <c r="O204" s="890"/>
      <c r="P204" s="891"/>
      <c r="Q204" s="892" t="s">
        <v>621</v>
      </c>
      <c r="R204" s="890"/>
      <c r="S204" s="890"/>
      <c r="T204" s="890"/>
      <c r="U204" s="890"/>
      <c r="V204" s="890"/>
      <c r="W204" s="890"/>
      <c r="X204" s="890"/>
      <c r="Y204" s="890"/>
      <c r="Z204" s="890"/>
      <c r="AA204" s="890"/>
      <c r="AB204" s="893"/>
      <c r="AC204" s="841"/>
      <c r="AD204" s="841"/>
      <c r="AE204" s="841"/>
      <c r="AF204" s="841"/>
      <c r="AG204" s="852"/>
      <c r="AH204" s="852"/>
      <c r="AI204" s="852"/>
      <c r="AJ204" s="852"/>
      <c r="AK204" s="852"/>
      <c r="AL204" s="852"/>
      <c r="AM204" s="852"/>
      <c r="AN204" s="852"/>
      <c r="AO204" s="852"/>
      <c r="AP204" s="853"/>
      <c r="AQ204" s="851" t="s">
        <v>622</v>
      </c>
      <c r="AR204" s="843"/>
      <c r="AS204" s="852"/>
      <c r="AT204" s="852"/>
      <c r="AU204" s="852"/>
      <c r="AV204" s="852"/>
      <c r="AW204" s="853"/>
      <c r="AX204" s="819"/>
    </row>
    <row r="205" spans="1:50" ht="12">
      <c r="A205" s="829"/>
      <c r="B205" s="838"/>
      <c r="C205" s="839"/>
      <c r="D205" s="816"/>
      <c r="E205" s="816"/>
      <c r="F205" s="816"/>
      <c r="G205" s="816"/>
      <c r="H205" s="816"/>
      <c r="I205" s="816"/>
      <c r="J205" s="816"/>
      <c r="K205" s="816"/>
      <c r="L205" s="817"/>
      <c r="M205" s="894"/>
      <c r="N205" s="890"/>
      <c r="O205" s="890"/>
      <c r="P205" s="891"/>
      <c r="Q205" s="892" t="s">
        <v>623</v>
      </c>
      <c r="R205" s="890"/>
      <c r="S205" s="890"/>
      <c r="T205" s="890"/>
      <c r="U205" s="890"/>
      <c r="V205" s="890"/>
      <c r="W205" s="890"/>
      <c r="X205" s="890"/>
      <c r="Y205" s="890"/>
      <c r="Z205" s="890"/>
      <c r="AA205" s="890"/>
      <c r="AB205" s="890"/>
      <c r="AC205" s="890"/>
      <c r="AD205" s="895"/>
      <c r="AE205" s="841"/>
      <c r="AF205" s="841"/>
      <c r="AG205" s="852"/>
      <c r="AH205" s="852"/>
      <c r="AI205" s="852"/>
      <c r="AJ205" s="852"/>
      <c r="AK205" s="852"/>
      <c r="AL205" s="852"/>
      <c r="AM205" s="852"/>
      <c r="AN205" s="852"/>
      <c r="AO205" s="852"/>
      <c r="AP205" s="853"/>
      <c r="AQ205" s="851"/>
      <c r="AR205" s="843"/>
      <c r="AS205" s="852"/>
      <c r="AT205" s="852"/>
      <c r="AU205" s="852"/>
      <c r="AV205" s="852"/>
      <c r="AW205" s="853"/>
      <c r="AX205" s="819"/>
    </row>
    <row r="206" spans="1:50" ht="12">
      <c r="A206" s="829"/>
      <c r="B206" s="838"/>
      <c r="C206" s="839"/>
      <c r="D206" s="816"/>
      <c r="E206" s="816"/>
      <c r="F206" s="816"/>
      <c r="G206" s="816"/>
      <c r="H206" s="816"/>
      <c r="I206" s="816"/>
      <c r="J206" s="816"/>
      <c r="K206" s="816"/>
      <c r="L206" s="817"/>
      <c r="M206" s="894"/>
      <c r="N206" s="890"/>
      <c r="O206" s="890"/>
      <c r="P206" s="891"/>
      <c r="Q206" s="892" t="s">
        <v>624</v>
      </c>
      <c r="R206" s="890"/>
      <c r="S206" s="890"/>
      <c r="T206" s="890"/>
      <c r="U206" s="890"/>
      <c r="V206" s="890"/>
      <c r="W206" s="890"/>
      <c r="X206" s="890"/>
      <c r="Y206" s="890"/>
      <c r="Z206" s="890"/>
      <c r="AA206" s="890"/>
      <c r="AB206" s="890"/>
      <c r="AC206" s="890"/>
      <c r="AD206" s="895"/>
      <c r="AE206" s="841"/>
      <c r="AF206" s="841"/>
      <c r="AG206" s="852"/>
      <c r="AH206" s="852"/>
      <c r="AI206" s="852"/>
      <c r="AJ206" s="852"/>
      <c r="AK206" s="852"/>
      <c r="AL206" s="852"/>
      <c r="AM206" s="852"/>
      <c r="AN206" s="852"/>
      <c r="AO206" s="852"/>
      <c r="AP206" s="853"/>
      <c r="AQ206" s="851"/>
      <c r="AR206" s="843"/>
      <c r="AS206" s="852"/>
      <c r="AT206" s="852"/>
      <c r="AU206" s="852"/>
      <c r="AV206" s="852"/>
      <c r="AW206" s="853"/>
      <c r="AX206" s="819"/>
    </row>
    <row r="207" spans="1:50" ht="12">
      <c r="A207" s="829"/>
      <c r="B207" s="838"/>
      <c r="C207" s="839"/>
      <c r="D207" s="816"/>
      <c r="E207" s="816"/>
      <c r="F207" s="816"/>
      <c r="G207" s="816"/>
      <c r="H207" s="816"/>
      <c r="I207" s="816"/>
      <c r="J207" s="816"/>
      <c r="K207" s="816"/>
      <c r="L207" s="817"/>
      <c r="M207" s="896"/>
      <c r="N207" s="897"/>
      <c r="O207" s="897"/>
      <c r="P207" s="847"/>
      <c r="Q207" s="896"/>
      <c r="R207" s="898"/>
      <c r="S207" s="898"/>
      <c r="T207" s="897"/>
      <c r="U207" s="897"/>
      <c r="V207" s="897"/>
      <c r="W207" s="897"/>
      <c r="X207" s="899"/>
      <c r="Y207" s="899"/>
      <c r="Z207" s="899"/>
      <c r="AA207" s="899"/>
      <c r="AB207" s="899"/>
      <c r="AC207" s="899"/>
      <c r="AD207" s="899"/>
      <c r="AE207" s="899"/>
      <c r="AF207" s="899"/>
      <c r="AG207" s="897"/>
      <c r="AH207" s="897"/>
      <c r="AI207" s="897"/>
      <c r="AJ207" s="897"/>
      <c r="AK207" s="897"/>
      <c r="AL207" s="897"/>
      <c r="AM207" s="897"/>
      <c r="AN207" s="897"/>
      <c r="AO207" s="897"/>
      <c r="AP207" s="900"/>
      <c r="AQ207" s="896"/>
      <c r="AR207" s="846"/>
      <c r="AS207" s="897"/>
      <c r="AT207" s="897"/>
      <c r="AU207" s="897"/>
      <c r="AV207" s="897"/>
      <c r="AW207" s="900"/>
      <c r="AX207" s="819"/>
    </row>
    <row r="208" spans="1:50" ht="12">
      <c r="A208" s="829"/>
      <c r="B208" s="838"/>
      <c r="C208" s="839"/>
      <c r="D208" s="816"/>
      <c r="E208" s="816"/>
      <c r="F208" s="816"/>
      <c r="G208" s="816"/>
      <c r="H208" s="816"/>
      <c r="I208" s="816"/>
      <c r="J208" s="816"/>
      <c r="K208" s="816"/>
      <c r="L208" s="817"/>
      <c r="M208" s="880" t="s">
        <v>625</v>
      </c>
      <c r="N208" s="881"/>
      <c r="O208" s="881"/>
      <c r="P208" s="882"/>
      <c r="Q208" s="880" t="s">
        <v>626</v>
      </c>
      <c r="R208" s="881"/>
      <c r="S208" s="881"/>
      <c r="T208" s="881"/>
      <c r="U208" s="881"/>
      <c r="V208" s="881"/>
      <c r="W208" s="881"/>
      <c r="X208" s="881"/>
      <c r="Y208" s="881"/>
      <c r="Z208" s="881"/>
      <c r="AA208" s="881"/>
      <c r="AB208" s="881"/>
      <c r="AC208" s="884"/>
      <c r="AD208" s="884"/>
      <c r="AE208" s="884"/>
      <c r="AF208" s="884"/>
      <c r="AG208" s="885"/>
      <c r="AH208" s="885"/>
      <c r="AI208" s="885"/>
      <c r="AJ208" s="885"/>
      <c r="AK208" s="885"/>
      <c r="AL208" s="885"/>
      <c r="AM208" s="885"/>
      <c r="AN208" s="885"/>
      <c r="AO208" s="885"/>
      <c r="AP208" s="886"/>
      <c r="AQ208" s="887" t="s">
        <v>620</v>
      </c>
      <c r="AR208" s="888"/>
      <c r="AS208" s="885"/>
      <c r="AT208" s="885"/>
      <c r="AU208" s="885"/>
      <c r="AV208" s="885"/>
      <c r="AW208" s="886"/>
      <c r="AX208" s="819"/>
    </row>
    <row r="209" spans="1:50" ht="12">
      <c r="A209" s="829"/>
      <c r="B209" s="838"/>
      <c r="C209" s="839"/>
      <c r="D209" s="816"/>
      <c r="E209" s="816"/>
      <c r="F209" s="816"/>
      <c r="G209" s="816"/>
      <c r="H209" s="816"/>
      <c r="I209" s="816"/>
      <c r="J209" s="816"/>
      <c r="K209" s="816"/>
      <c r="L209" s="817"/>
      <c r="M209" s="889"/>
      <c r="N209" s="890"/>
      <c r="O209" s="890"/>
      <c r="P209" s="891"/>
      <c r="Q209" s="892" t="s">
        <v>627</v>
      </c>
      <c r="R209" s="890"/>
      <c r="S209" s="890"/>
      <c r="T209" s="890"/>
      <c r="U209" s="890"/>
      <c r="V209" s="890"/>
      <c r="W209" s="890"/>
      <c r="X209" s="890"/>
      <c r="Y209" s="890"/>
      <c r="Z209" s="890"/>
      <c r="AA209" s="890"/>
      <c r="AB209" s="890"/>
      <c r="AC209" s="895"/>
      <c r="AD209" s="841"/>
      <c r="AE209" s="841"/>
      <c r="AF209" s="841"/>
      <c r="AG209" s="852"/>
      <c r="AH209" s="852"/>
      <c r="AI209" s="852"/>
      <c r="AJ209" s="852"/>
      <c r="AK209" s="852"/>
      <c r="AL209" s="852"/>
      <c r="AM209" s="852"/>
      <c r="AN209" s="852"/>
      <c r="AO209" s="852"/>
      <c r="AP209" s="853"/>
      <c r="AQ209" s="851" t="s">
        <v>628</v>
      </c>
      <c r="AR209" s="843"/>
      <c r="AS209" s="852"/>
      <c r="AT209" s="852"/>
      <c r="AU209" s="852"/>
      <c r="AV209" s="852"/>
      <c r="AW209" s="853"/>
      <c r="AX209" s="819"/>
    </row>
    <row r="210" spans="1:50" ht="12">
      <c r="A210" s="829"/>
      <c r="B210" s="838"/>
      <c r="C210" s="839"/>
      <c r="D210" s="816"/>
      <c r="E210" s="816"/>
      <c r="F210" s="816"/>
      <c r="G210" s="816"/>
      <c r="H210" s="816"/>
      <c r="I210" s="816"/>
      <c r="J210" s="816"/>
      <c r="K210" s="816"/>
      <c r="L210" s="817"/>
      <c r="M210" s="889"/>
      <c r="N210" s="890"/>
      <c r="O210" s="890"/>
      <c r="P210" s="891"/>
      <c r="Q210" s="892" t="s">
        <v>623</v>
      </c>
      <c r="R210" s="890"/>
      <c r="S210" s="890"/>
      <c r="T210" s="890"/>
      <c r="U210" s="890"/>
      <c r="V210" s="890"/>
      <c r="W210" s="890"/>
      <c r="X210" s="890"/>
      <c r="Y210" s="890"/>
      <c r="Z210" s="890"/>
      <c r="AA210" s="890"/>
      <c r="AB210" s="890"/>
      <c r="AC210" s="890"/>
      <c r="AD210" s="895"/>
      <c r="AE210" s="841"/>
      <c r="AF210" s="841"/>
      <c r="AG210" s="852"/>
      <c r="AH210" s="852"/>
      <c r="AI210" s="852"/>
      <c r="AJ210" s="852"/>
      <c r="AK210" s="852"/>
      <c r="AL210" s="852"/>
      <c r="AM210" s="852"/>
      <c r="AN210" s="852"/>
      <c r="AO210" s="852"/>
      <c r="AP210" s="853"/>
      <c r="AQ210" s="851"/>
      <c r="AR210" s="843"/>
      <c r="AS210" s="852"/>
      <c r="AT210" s="852"/>
      <c r="AU210" s="852"/>
      <c r="AV210" s="852"/>
      <c r="AW210" s="853"/>
      <c r="AX210" s="819"/>
    </row>
    <row r="211" spans="1:50" ht="12">
      <c r="A211" s="829"/>
      <c r="B211" s="838"/>
      <c r="C211" s="839"/>
      <c r="D211" s="816"/>
      <c r="E211" s="816"/>
      <c r="F211" s="816"/>
      <c r="G211" s="816"/>
      <c r="H211" s="816"/>
      <c r="I211" s="816"/>
      <c r="J211" s="816"/>
      <c r="K211" s="816"/>
      <c r="L211" s="817"/>
      <c r="M211" s="889"/>
      <c r="N211" s="890"/>
      <c r="O211" s="890"/>
      <c r="P211" s="891"/>
      <c r="Q211" s="892" t="s">
        <v>624</v>
      </c>
      <c r="R211" s="890"/>
      <c r="S211" s="890"/>
      <c r="T211" s="890"/>
      <c r="U211" s="890"/>
      <c r="V211" s="890"/>
      <c r="W211" s="890"/>
      <c r="X211" s="890"/>
      <c r="Y211" s="890"/>
      <c r="Z211" s="890"/>
      <c r="AA211" s="890"/>
      <c r="AB211" s="890"/>
      <c r="AC211" s="890"/>
      <c r="AD211" s="895"/>
      <c r="AE211" s="841"/>
      <c r="AF211" s="841"/>
      <c r="AG211" s="852"/>
      <c r="AH211" s="852"/>
      <c r="AI211" s="852"/>
      <c r="AJ211" s="852"/>
      <c r="AK211" s="852"/>
      <c r="AL211" s="852"/>
      <c r="AM211" s="852"/>
      <c r="AN211" s="852"/>
      <c r="AO211" s="852"/>
      <c r="AP211" s="853"/>
      <c r="AQ211" s="851"/>
      <c r="AR211" s="843"/>
      <c r="AS211" s="852"/>
      <c r="AT211" s="852"/>
      <c r="AU211" s="852"/>
      <c r="AV211" s="852"/>
      <c r="AW211" s="853"/>
      <c r="AX211" s="819"/>
    </row>
    <row r="212" spans="1:50" ht="12">
      <c r="A212" s="829"/>
      <c r="B212" s="838"/>
      <c r="C212" s="839"/>
      <c r="D212" s="816"/>
      <c r="E212" s="816"/>
      <c r="F212" s="816"/>
      <c r="G212" s="816"/>
      <c r="H212" s="816"/>
      <c r="I212" s="816"/>
      <c r="J212" s="816"/>
      <c r="K212" s="816"/>
      <c r="L212" s="817"/>
      <c r="M212" s="889"/>
      <c r="N212" s="890"/>
      <c r="O212" s="890"/>
      <c r="P212" s="891"/>
      <c r="Q212" s="892" t="s">
        <v>629</v>
      </c>
      <c r="R212" s="890"/>
      <c r="S212" s="890"/>
      <c r="T212" s="890"/>
      <c r="U212" s="890"/>
      <c r="V212" s="890"/>
      <c r="W212" s="890"/>
      <c r="X212" s="890"/>
      <c r="Y212" s="890"/>
      <c r="Z212" s="890"/>
      <c r="AA212" s="890"/>
      <c r="AB212" s="890"/>
      <c r="AC212" s="890"/>
      <c r="AD212" s="890"/>
      <c r="AE212" s="841"/>
      <c r="AF212" s="841"/>
      <c r="AG212" s="852"/>
      <c r="AH212" s="852"/>
      <c r="AI212" s="852"/>
      <c r="AJ212" s="852"/>
      <c r="AK212" s="852"/>
      <c r="AL212" s="852"/>
      <c r="AM212" s="852"/>
      <c r="AN212" s="852"/>
      <c r="AO212" s="852"/>
      <c r="AP212" s="853"/>
      <c r="AQ212" s="851"/>
      <c r="AR212" s="843"/>
      <c r="AS212" s="852"/>
      <c r="AT212" s="852"/>
      <c r="AU212" s="852"/>
      <c r="AV212" s="852"/>
      <c r="AW212" s="853"/>
      <c r="AX212" s="819"/>
    </row>
    <row r="213" spans="1:50" ht="12">
      <c r="A213" s="829"/>
      <c r="B213" s="838"/>
      <c r="C213" s="839"/>
      <c r="D213" s="816"/>
      <c r="E213" s="816"/>
      <c r="F213" s="816"/>
      <c r="G213" s="816"/>
      <c r="H213" s="816"/>
      <c r="I213" s="816"/>
      <c r="J213" s="816"/>
      <c r="K213" s="816"/>
      <c r="L213" s="817"/>
      <c r="M213" s="889"/>
      <c r="N213" s="890"/>
      <c r="O213" s="890"/>
      <c r="P213" s="891"/>
      <c r="Q213" s="892" t="s">
        <v>630</v>
      </c>
      <c r="R213" s="890"/>
      <c r="S213" s="890"/>
      <c r="T213" s="890"/>
      <c r="U213" s="890"/>
      <c r="V213" s="890"/>
      <c r="W213" s="890"/>
      <c r="X213" s="890"/>
      <c r="Y213" s="890"/>
      <c r="Z213" s="890"/>
      <c r="AA213" s="890"/>
      <c r="AB213" s="890"/>
      <c r="AC213" s="890"/>
      <c r="AD213" s="895" t="s">
        <v>631</v>
      </c>
      <c r="AE213" s="841"/>
      <c r="AF213" s="841"/>
      <c r="AG213" s="852"/>
      <c r="AH213" s="852"/>
      <c r="AI213" s="852"/>
      <c r="AJ213" s="852"/>
      <c r="AK213" s="852"/>
      <c r="AL213" s="852"/>
      <c r="AM213" s="852"/>
      <c r="AN213" s="852"/>
      <c r="AO213" s="852"/>
      <c r="AP213" s="853"/>
      <c r="AQ213" s="851"/>
      <c r="AR213" s="843"/>
      <c r="AS213" s="852"/>
      <c r="AT213" s="852"/>
      <c r="AU213" s="852"/>
      <c r="AV213" s="852"/>
      <c r="AW213" s="853"/>
      <c r="AX213" s="819"/>
    </row>
    <row r="214" spans="1:50" ht="12">
      <c r="A214" s="829"/>
      <c r="B214" s="838"/>
      <c r="C214" s="839"/>
      <c r="D214" s="816"/>
      <c r="E214" s="816"/>
      <c r="F214" s="816"/>
      <c r="G214" s="816"/>
      <c r="H214" s="816"/>
      <c r="I214" s="816"/>
      <c r="J214" s="816"/>
      <c r="K214" s="816"/>
      <c r="L214" s="817"/>
      <c r="M214" s="889"/>
      <c r="N214" s="890"/>
      <c r="O214" s="890"/>
      <c r="P214" s="891"/>
      <c r="Q214" s="892" t="s">
        <v>632</v>
      </c>
      <c r="R214" s="890"/>
      <c r="S214" s="890"/>
      <c r="T214" s="890"/>
      <c r="U214" s="890"/>
      <c r="V214" s="890"/>
      <c r="W214" s="890"/>
      <c r="X214" s="890"/>
      <c r="Y214" s="890"/>
      <c r="Z214" s="890"/>
      <c r="AA214" s="890"/>
      <c r="AB214" s="890"/>
      <c r="AC214" s="890"/>
      <c r="AD214" s="895" t="s">
        <v>633</v>
      </c>
      <c r="AE214" s="890"/>
      <c r="AF214" s="890"/>
      <c r="AG214" s="890"/>
      <c r="AH214" s="890"/>
      <c r="AI214" s="890"/>
      <c r="AJ214" s="852"/>
      <c r="AK214" s="852"/>
      <c r="AL214" s="852"/>
      <c r="AM214" s="852"/>
      <c r="AN214" s="852"/>
      <c r="AO214" s="852"/>
      <c r="AP214" s="853"/>
      <c r="AQ214" s="851"/>
      <c r="AR214" s="843"/>
      <c r="AS214" s="852"/>
      <c r="AT214" s="852"/>
      <c r="AU214" s="852"/>
      <c r="AV214" s="852"/>
      <c r="AW214" s="853"/>
      <c r="AX214" s="819"/>
    </row>
    <row r="215" spans="1:50" ht="12">
      <c r="A215" s="829"/>
      <c r="B215" s="838"/>
      <c r="C215" s="839"/>
      <c r="D215" s="816"/>
      <c r="E215" s="816"/>
      <c r="F215" s="816"/>
      <c r="G215" s="816"/>
      <c r="H215" s="816"/>
      <c r="I215" s="816"/>
      <c r="J215" s="816"/>
      <c r="K215" s="816"/>
      <c r="L215" s="817"/>
      <c r="M215" s="889"/>
      <c r="N215" s="890"/>
      <c r="O215" s="890"/>
      <c r="P215" s="891"/>
      <c r="Q215" s="892" t="s">
        <v>634</v>
      </c>
      <c r="R215" s="890"/>
      <c r="S215" s="890"/>
      <c r="T215" s="890"/>
      <c r="U215" s="890"/>
      <c r="V215" s="890"/>
      <c r="W215" s="890"/>
      <c r="X215" s="890"/>
      <c r="Y215" s="890"/>
      <c r="Z215" s="890"/>
      <c r="AA215" s="890"/>
      <c r="AB215" s="890"/>
      <c r="AC215" s="890"/>
      <c r="AD215" s="895" t="s">
        <v>635</v>
      </c>
      <c r="AE215" s="890"/>
      <c r="AF215" s="890"/>
      <c r="AG215" s="890"/>
      <c r="AH215" s="890"/>
      <c r="AI215" s="890"/>
      <c r="AJ215" s="852"/>
      <c r="AK215" s="852"/>
      <c r="AL215" s="852"/>
      <c r="AM215" s="852"/>
      <c r="AN215" s="852"/>
      <c r="AO215" s="852"/>
      <c r="AP215" s="853"/>
      <c r="AQ215" s="851"/>
      <c r="AR215" s="843"/>
      <c r="AS215" s="852"/>
      <c r="AT215" s="852"/>
      <c r="AU215" s="852"/>
      <c r="AV215" s="852"/>
      <c r="AW215" s="853"/>
      <c r="AX215" s="819"/>
    </row>
    <row r="216" spans="1:50" ht="12">
      <c r="A216" s="829"/>
      <c r="B216" s="838"/>
      <c r="C216" s="839"/>
      <c r="D216" s="816"/>
      <c r="E216" s="816"/>
      <c r="F216" s="816"/>
      <c r="G216" s="816"/>
      <c r="H216" s="816"/>
      <c r="I216" s="816"/>
      <c r="J216" s="816"/>
      <c r="K216" s="816"/>
      <c r="L216" s="817"/>
      <c r="M216" s="889"/>
      <c r="N216" s="890"/>
      <c r="O216" s="890"/>
      <c r="P216" s="891"/>
      <c r="Q216" s="892" t="s">
        <v>636</v>
      </c>
      <c r="R216" s="890"/>
      <c r="S216" s="890"/>
      <c r="T216" s="890"/>
      <c r="U216" s="890"/>
      <c r="V216" s="890"/>
      <c r="W216" s="890"/>
      <c r="X216" s="890"/>
      <c r="Y216" s="890"/>
      <c r="Z216" s="890"/>
      <c r="AA216" s="890"/>
      <c r="AB216" s="890"/>
      <c r="AC216" s="890"/>
      <c r="AD216" s="895" t="s">
        <v>637</v>
      </c>
      <c r="AE216" s="890"/>
      <c r="AF216" s="890"/>
      <c r="AG216" s="890"/>
      <c r="AH216" s="890"/>
      <c r="AI216" s="890"/>
      <c r="AJ216" s="852"/>
      <c r="AK216" s="852"/>
      <c r="AL216" s="852"/>
      <c r="AM216" s="852"/>
      <c r="AN216" s="852"/>
      <c r="AO216" s="852"/>
      <c r="AP216" s="853"/>
      <c r="AQ216" s="851"/>
      <c r="AR216" s="843"/>
      <c r="AS216" s="852"/>
      <c r="AT216" s="852"/>
      <c r="AU216" s="852"/>
      <c r="AV216" s="852"/>
      <c r="AW216" s="853"/>
      <c r="AX216" s="819"/>
    </row>
    <row r="217" spans="1:50" ht="12">
      <c r="A217" s="829"/>
      <c r="B217" s="838"/>
      <c r="C217" s="839"/>
      <c r="D217" s="816"/>
      <c r="E217" s="816"/>
      <c r="F217" s="816"/>
      <c r="G217" s="816"/>
      <c r="H217" s="816"/>
      <c r="I217" s="816"/>
      <c r="J217" s="816"/>
      <c r="K217" s="816"/>
      <c r="L217" s="817"/>
      <c r="M217" s="889"/>
      <c r="N217" s="890"/>
      <c r="O217" s="890"/>
      <c r="P217" s="891"/>
      <c r="Q217" s="892" t="s">
        <v>638</v>
      </c>
      <c r="R217" s="890"/>
      <c r="S217" s="890"/>
      <c r="T217" s="890"/>
      <c r="U217" s="890"/>
      <c r="V217" s="890"/>
      <c r="W217" s="890"/>
      <c r="X217" s="890"/>
      <c r="Y217" s="890"/>
      <c r="Z217" s="890"/>
      <c r="AA217" s="890"/>
      <c r="AB217" s="890"/>
      <c r="AC217" s="890"/>
      <c r="AD217" s="895" t="s">
        <v>639</v>
      </c>
      <c r="AE217" s="890"/>
      <c r="AF217" s="890"/>
      <c r="AG217" s="890"/>
      <c r="AH217" s="890"/>
      <c r="AI217" s="890"/>
      <c r="AJ217" s="852"/>
      <c r="AK217" s="852"/>
      <c r="AL217" s="852"/>
      <c r="AM217" s="852"/>
      <c r="AN217" s="852"/>
      <c r="AO217" s="852"/>
      <c r="AP217" s="853"/>
      <c r="AQ217" s="851"/>
      <c r="AR217" s="843"/>
      <c r="AS217" s="852"/>
      <c r="AT217" s="852"/>
      <c r="AU217" s="852"/>
      <c r="AV217" s="852"/>
      <c r="AW217" s="853"/>
      <c r="AX217" s="819"/>
    </row>
    <row r="218" spans="1:50" ht="12">
      <c r="A218" s="829"/>
      <c r="B218" s="838"/>
      <c r="C218" s="839"/>
      <c r="D218" s="816"/>
      <c r="E218" s="816"/>
      <c r="F218" s="816"/>
      <c r="G218" s="816"/>
      <c r="H218" s="816"/>
      <c r="I218" s="816"/>
      <c r="J218" s="816"/>
      <c r="K218" s="816"/>
      <c r="L218" s="817"/>
      <c r="M218" s="889"/>
      <c r="N218" s="890"/>
      <c r="O218" s="890"/>
      <c r="P218" s="891"/>
      <c r="Q218" s="892" t="s">
        <v>640</v>
      </c>
      <c r="R218" s="890"/>
      <c r="S218" s="890"/>
      <c r="T218" s="890"/>
      <c r="U218" s="890"/>
      <c r="V218" s="890"/>
      <c r="W218" s="890"/>
      <c r="X218" s="890"/>
      <c r="Y218" s="890"/>
      <c r="Z218" s="890"/>
      <c r="AA218" s="890"/>
      <c r="AB218" s="890"/>
      <c r="AC218" s="890"/>
      <c r="AD218" s="895" t="s">
        <v>641</v>
      </c>
      <c r="AE218" s="890"/>
      <c r="AF218" s="890"/>
      <c r="AG218" s="890"/>
      <c r="AH218" s="890"/>
      <c r="AI218" s="890"/>
      <c r="AJ218" s="852"/>
      <c r="AK218" s="852"/>
      <c r="AL218" s="852"/>
      <c r="AM218" s="852"/>
      <c r="AN218" s="852"/>
      <c r="AO218" s="852"/>
      <c r="AP218" s="853"/>
      <c r="AQ218" s="851"/>
      <c r="AR218" s="843"/>
      <c r="AS218" s="852"/>
      <c r="AT218" s="852"/>
      <c r="AU218" s="852"/>
      <c r="AV218" s="852"/>
      <c r="AW218" s="853"/>
      <c r="AX218" s="819"/>
    </row>
    <row r="219" spans="1:50" ht="12">
      <c r="A219" s="829"/>
      <c r="B219" s="838"/>
      <c r="C219" s="839"/>
      <c r="D219" s="816"/>
      <c r="E219" s="816"/>
      <c r="F219" s="816"/>
      <c r="G219" s="816"/>
      <c r="H219" s="816"/>
      <c r="I219" s="816"/>
      <c r="J219" s="816"/>
      <c r="K219" s="816"/>
      <c r="L219" s="817"/>
      <c r="M219" s="889"/>
      <c r="N219" s="890"/>
      <c r="O219" s="890"/>
      <c r="P219" s="891"/>
      <c r="Q219" s="892" t="s">
        <v>642</v>
      </c>
      <c r="R219" s="890"/>
      <c r="S219" s="890"/>
      <c r="T219" s="890"/>
      <c r="U219" s="890"/>
      <c r="V219" s="890"/>
      <c r="W219" s="890"/>
      <c r="X219" s="890"/>
      <c r="Y219" s="890"/>
      <c r="Z219" s="890"/>
      <c r="AA219" s="890"/>
      <c r="AB219" s="890"/>
      <c r="AC219" s="890"/>
      <c r="AD219" s="895" t="s">
        <v>643</v>
      </c>
      <c r="AE219" s="890"/>
      <c r="AF219" s="890"/>
      <c r="AG219" s="890"/>
      <c r="AH219" s="890"/>
      <c r="AI219" s="890"/>
      <c r="AJ219" s="852"/>
      <c r="AK219" s="852"/>
      <c r="AL219" s="852"/>
      <c r="AM219" s="852"/>
      <c r="AN219" s="852"/>
      <c r="AO219" s="852"/>
      <c r="AP219" s="853"/>
      <c r="AQ219" s="851"/>
      <c r="AR219" s="843"/>
      <c r="AS219" s="852"/>
      <c r="AT219" s="852"/>
      <c r="AU219" s="852"/>
      <c r="AV219" s="852"/>
      <c r="AW219" s="853"/>
      <c r="AX219" s="819"/>
    </row>
    <row r="220" spans="1:50" ht="12">
      <c r="A220" s="829"/>
      <c r="B220" s="838"/>
      <c r="C220" s="839"/>
      <c r="D220" s="816"/>
      <c r="E220" s="816"/>
      <c r="F220" s="816"/>
      <c r="G220" s="816"/>
      <c r="H220" s="816"/>
      <c r="I220" s="816"/>
      <c r="J220" s="816"/>
      <c r="K220" s="816"/>
      <c r="L220" s="817"/>
      <c r="M220" s="889"/>
      <c r="N220" s="890"/>
      <c r="O220" s="890"/>
      <c r="P220" s="891"/>
      <c r="Q220" s="892" t="s">
        <v>644</v>
      </c>
      <c r="R220" s="890"/>
      <c r="S220" s="890"/>
      <c r="T220" s="890"/>
      <c r="U220" s="890"/>
      <c r="V220" s="890"/>
      <c r="W220" s="890"/>
      <c r="X220" s="890"/>
      <c r="Y220" s="890"/>
      <c r="Z220" s="890"/>
      <c r="AA220" s="890"/>
      <c r="AB220" s="890"/>
      <c r="AC220" s="890"/>
      <c r="AD220" s="895" t="s">
        <v>645</v>
      </c>
      <c r="AE220" s="890"/>
      <c r="AF220" s="890"/>
      <c r="AG220" s="890"/>
      <c r="AH220" s="890"/>
      <c r="AI220" s="890"/>
      <c r="AJ220" s="852"/>
      <c r="AK220" s="852"/>
      <c r="AL220" s="852"/>
      <c r="AM220" s="852"/>
      <c r="AN220" s="852"/>
      <c r="AO220" s="852"/>
      <c r="AP220" s="853"/>
      <c r="AQ220" s="851"/>
      <c r="AR220" s="843"/>
      <c r="AS220" s="852"/>
      <c r="AT220" s="852"/>
      <c r="AU220" s="852"/>
      <c r="AV220" s="852"/>
      <c r="AW220" s="853"/>
      <c r="AX220" s="819"/>
    </row>
    <row r="221" spans="1:50" ht="12">
      <c r="A221" s="829"/>
      <c r="B221" s="838"/>
      <c r="C221" s="839"/>
      <c r="D221" s="816"/>
      <c r="E221" s="816"/>
      <c r="F221" s="816"/>
      <c r="G221" s="816"/>
      <c r="H221" s="816"/>
      <c r="I221" s="816"/>
      <c r="J221" s="816"/>
      <c r="K221" s="816"/>
      <c r="L221" s="817"/>
      <c r="M221" s="889"/>
      <c r="N221" s="890"/>
      <c r="O221" s="890"/>
      <c r="P221" s="891"/>
      <c r="Q221" s="892" t="s">
        <v>646</v>
      </c>
      <c r="R221" s="890"/>
      <c r="S221" s="890"/>
      <c r="T221" s="890"/>
      <c r="U221" s="890"/>
      <c r="V221" s="890"/>
      <c r="W221" s="890"/>
      <c r="X221" s="890"/>
      <c r="Y221" s="890"/>
      <c r="Z221" s="890"/>
      <c r="AA221" s="890"/>
      <c r="AB221" s="890"/>
      <c r="AC221" s="890"/>
      <c r="AD221" s="895" t="s">
        <v>647</v>
      </c>
      <c r="AE221" s="890"/>
      <c r="AF221" s="890"/>
      <c r="AG221" s="890"/>
      <c r="AH221" s="890"/>
      <c r="AI221" s="890"/>
      <c r="AJ221" s="852"/>
      <c r="AK221" s="852"/>
      <c r="AL221" s="852"/>
      <c r="AM221" s="852"/>
      <c r="AN221" s="852"/>
      <c r="AO221" s="852"/>
      <c r="AP221" s="853"/>
      <c r="AQ221" s="851"/>
      <c r="AR221" s="843"/>
      <c r="AS221" s="852"/>
      <c r="AT221" s="852"/>
      <c r="AU221" s="852"/>
      <c r="AV221" s="852"/>
      <c r="AW221" s="853"/>
      <c r="AX221" s="819"/>
    </row>
    <row r="222" spans="1:50" ht="12">
      <c r="A222" s="829"/>
      <c r="B222" s="838"/>
      <c r="C222" s="839"/>
      <c r="D222" s="816"/>
      <c r="E222" s="816"/>
      <c r="F222" s="816"/>
      <c r="G222" s="816"/>
      <c r="H222" s="816"/>
      <c r="I222" s="816"/>
      <c r="J222" s="816"/>
      <c r="K222" s="816"/>
      <c r="L222" s="817"/>
      <c r="M222" s="889"/>
      <c r="N222" s="890"/>
      <c r="O222" s="890"/>
      <c r="P222" s="891"/>
      <c r="Q222" s="892" t="s">
        <v>648</v>
      </c>
      <c r="R222" s="890"/>
      <c r="S222" s="890"/>
      <c r="T222" s="890"/>
      <c r="U222" s="890"/>
      <c r="V222" s="890"/>
      <c r="W222" s="890"/>
      <c r="X222" s="890"/>
      <c r="Y222" s="890"/>
      <c r="Z222" s="890"/>
      <c r="AA222" s="890"/>
      <c r="AB222" s="890"/>
      <c r="AC222" s="890"/>
      <c r="AD222" s="895" t="s">
        <v>649</v>
      </c>
      <c r="AE222" s="890"/>
      <c r="AF222" s="890"/>
      <c r="AG222" s="890"/>
      <c r="AH222" s="890"/>
      <c r="AI222" s="890"/>
      <c r="AJ222" s="852"/>
      <c r="AK222" s="852"/>
      <c r="AL222" s="852"/>
      <c r="AM222" s="852"/>
      <c r="AN222" s="852"/>
      <c r="AO222" s="852"/>
      <c r="AP222" s="853"/>
      <c r="AQ222" s="851"/>
      <c r="AR222" s="843"/>
      <c r="AS222" s="852"/>
      <c r="AT222" s="852"/>
      <c r="AU222" s="852"/>
      <c r="AV222" s="852"/>
      <c r="AW222" s="853"/>
      <c r="AX222" s="819"/>
    </row>
    <row r="223" spans="1:50" ht="12">
      <c r="A223" s="829"/>
      <c r="B223" s="838"/>
      <c r="C223" s="839"/>
      <c r="D223" s="816"/>
      <c r="E223" s="816"/>
      <c r="F223" s="816"/>
      <c r="G223" s="816"/>
      <c r="H223" s="816"/>
      <c r="I223" s="816"/>
      <c r="J223" s="816"/>
      <c r="K223" s="816"/>
      <c r="L223" s="817"/>
      <c r="M223" s="896"/>
      <c r="N223" s="897"/>
      <c r="O223" s="897"/>
      <c r="P223" s="847"/>
      <c r="Q223" s="896"/>
      <c r="R223" s="898"/>
      <c r="S223" s="898"/>
      <c r="T223" s="897"/>
      <c r="U223" s="897"/>
      <c r="V223" s="897"/>
      <c r="W223" s="897"/>
      <c r="X223" s="899"/>
      <c r="Y223" s="899"/>
      <c r="Z223" s="899"/>
      <c r="AA223" s="899"/>
      <c r="AB223" s="899"/>
      <c r="AC223" s="899"/>
      <c r="AD223" s="899"/>
      <c r="AE223" s="899"/>
      <c r="AF223" s="899"/>
      <c r="AG223" s="897"/>
      <c r="AH223" s="897"/>
      <c r="AI223" s="897"/>
      <c r="AJ223" s="897"/>
      <c r="AK223" s="897"/>
      <c r="AL223" s="897"/>
      <c r="AM223" s="897"/>
      <c r="AN223" s="897"/>
      <c r="AO223" s="897"/>
      <c r="AP223" s="900"/>
      <c r="AQ223" s="896"/>
      <c r="AR223" s="846"/>
      <c r="AS223" s="897"/>
      <c r="AT223" s="897"/>
      <c r="AU223" s="897"/>
      <c r="AV223" s="897"/>
      <c r="AW223" s="900"/>
      <c r="AX223" s="819"/>
    </row>
    <row r="224" spans="1:50" ht="12">
      <c r="A224" s="829"/>
      <c r="B224" s="838"/>
      <c r="C224" s="839"/>
      <c r="D224" s="816"/>
      <c r="E224" s="816"/>
      <c r="F224" s="816"/>
      <c r="G224" s="816"/>
      <c r="H224" s="816"/>
      <c r="I224" s="816"/>
      <c r="J224" s="816"/>
      <c r="K224" s="816"/>
      <c r="L224" s="817"/>
      <c r="M224" s="880" t="s">
        <v>650</v>
      </c>
      <c r="N224" s="881"/>
      <c r="O224" s="881"/>
      <c r="P224" s="882"/>
      <c r="Q224" s="880" t="s">
        <v>651</v>
      </c>
      <c r="R224" s="881"/>
      <c r="S224" s="881"/>
      <c r="T224" s="881"/>
      <c r="U224" s="881"/>
      <c r="V224" s="881"/>
      <c r="W224" s="881"/>
      <c r="X224" s="881"/>
      <c r="Y224" s="881"/>
      <c r="Z224" s="881"/>
      <c r="AA224" s="881"/>
      <c r="AB224" s="881"/>
      <c r="AC224" s="881"/>
      <c r="AD224" s="881"/>
      <c r="AE224" s="881"/>
      <c r="AF224" s="881"/>
      <c r="AG224" s="881"/>
      <c r="AH224" s="881"/>
      <c r="AI224" s="881"/>
      <c r="AJ224" s="885"/>
      <c r="AK224" s="885"/>
      <c r="AL224" s="885"/>
      <c r="AM224" s="885"/>
      <c r="AN224" s="885"/>
      <c r="AO224" s="885"/>
      <c r="AP224" s="886"/>
      <c r="AQ224" s="887" t="s">
        <v>620</v>
      </c>
      <c r="AR224" s="888"/>
      <c r="AS224" s="885"/>
      <c r="AT224" s="885"/>
      <c r="AU224" s="885"/>
      <c r="AV224" s="885"/>
      <c r="AW224" s="886"/>
      <c r="AX224" s="819"/>
    </row>
    <row r="225" spans="1:50" ht="12">
      <c r="A225" s="829"/>
      <c r="B225" s="838"/>
      <c r="C225" s="839"/>
      <c r="D225" s="816"/>
      <c r="E225" s="816"/>
      <c r="F225" s="816"/>
      <c r="G225" s="816"/>
      <c r="H225" s="816"/>
      <c r="I225" s="816"/>
      <c r="J225" s="816"/>
      <c r="K225" s="816"/>
      <c r="L225" s="817"/>
      <c r="M225" s="869" t="s">
        <v>652</v>
      </c>
      <c r="N225" s="890"/>
      <c r="O225" s="890"/>
      <c r="P225" s="891"/>
      <c r="Q225" s="889" t="s">
        <v>653</v>
      </c>
      <c r="R225" s="890"/>
      <c r="S225" s="890"/>
      <c r="T225" s="890"/>
      <c r="U225" s="890"/>
      <c r="V225" s="890"/>
      <c r="W225" s="890"/>
      <c r="X225" s="890"/>
      <c r="Y225" s="890"/>
      <c r="Z225" s="890"/>
      <c r="AA225" s="890"/>
      <c r="AB225" s="890"/>
      <c r="AC225" s="890"/>
      <c r="AD225" s="890"/>
      <c r="AE225" s="890"/>
      <c r="AF225" s="890"/>
      <c r="AG225" s="890"/>
      <c r="AH225" s="890"/>
      <c r="AI225" s="890"/>
      <c r="AJ225" s="852"/>
      <c r="AK225" s="852"/>
      <c r="AL225" s="852"/>
      <c r="AM225" s="852"/>
      <c r="AN225" s="852"/>
      <c r="AO225" s="852"/>
      <c r="AP225" s="853"/>
      <c r="AQ225" s="851" t="s">
        <v>654</v>
      </c>
      <c r="AR225" s="843"/>
      <c r="AS225" s="852"/>
      <c r="AT225" s="852"/>
      <c r="AU225" s="852"/>
      <c r="AV225" s="852"/>
      <c r="AW225" s="853"/>
      <c r="AX225" s="819"/>
    </row>
    <row r="226" spans="1:50" ht="12">
      <c r="A226" s="829"/>
      <c r="B226" s="838"/>
      <c r="C226" s="839"/>
      <c r="D226" s="816"/>
      <c r="E226" s="816"/>
      <c r="F226" s="816"/>
      <c r="G226" s="816"/>
      <c r="H226" s="816"/>
      <c r="I226" s="816"/>
      <c r="J226" s="816"/>
      <c r="K226" s="816"/>
      <c r="L226" s="817"/>
      <c r="M226" s="869"/>
      <c r="N226" s="890"/>
      <c r="O226" s="890"/>
      <c r="P226" s="891"/>
      <c r="Q226" s="889" t="s">
        <v>655</v>
      </c>
      <c r="R226" s="890"/>
      <c r="S226" s="890"/>
      <c r="T226" s="890"/>
      <c r="U226" s="890"/>
      <c r="V226" s="890"/>
      <c r="W226" s="890"/>
      <c r="X226" s="890"/>
      <c r="Y226" s="890"/>
      <c r="Z226" s="890"/>
      <c r="AA226" s="890"/>
      <c r="AB226" s="890"/>
      <c r="AC226" s="890"/>
      <c r="AD226" s="890"/>
      <c r="AE226" s="890"/>
      <c r="AF226" s="890"/>
      <c r="AG226" s="890"/>
      <c r="AH226" s="890"/>
      <c r="AI226" s="890"/>
      <c r="AJ226" s="852"/>
      <c r="AK226" s="852"/>
      <c r="AL226" s="852"/>
      <c r="AM226" s="852"/>
      <c r="AN226" s="852"/>
      <c r="AO226" s="852"/>
      <c r="AP226" s="853"/>
      <c r="AQ226" s="851"/>
      <c r="AR226" s="843"/>
      <c r="AS226" s="852"/>
      <c r="AT226" s="852"/>
      <c r="AU226" s="852"/>
      <c r="AV226" s="852"/>
      <c r="AW226" s="853"/>
      <c r="AX226" s="819"/>
    </row>
    <row r="227" spans="1:50" ht="12">
      <c r="A227" s="829"/>
      <c r="B227" s="838"/>
      <c r="C227" s="839"/>
      <c r="D227" s="816"/>
      <c r="E227" s="816"/>
      <c r="F227" s="816"/>
      <c r="G227" s="816"/>
      <c r="H227" s="816"/>
      <c r="I227" s="816"/>
      <c r="J227" s="816"/>
      <c r="K227" s="816"/>
      <c r="L227" s="817"/>
      <c r="M227" s="902"/>
      <c r="N227" s="903"/>
      <c r="O227" s="903"/>
      <c r="P227" s="904"/>
      <c r="Q227" s="892" t="s">
        <v>627</v>
      </c>
      <c r="R227" s="903"/>
      <c r="S227" s="903"/>
      <c r="T227" s="903"/>
      <c r="U227" s="903"/>
      <c r="V227" s="903"/>
      <c r="W227" s="903"/>
      <c r="X227" s="903"/>
      <c r="Y227" s="903"/>
      <c r="Z227" s="903"/>
      <c r="AA227" s="903"/>
      <c r="AB227" s="903"/>
      <c r="AC227" s="903"/>
      <c r="AD227" s="903"/>
      <c r="AE227" s="903"/>
      <c r="AF227" s="903"/>
      <c r="AG227" s="903"/>
      <c r="AH227" s="903"/>
      <c r="AI227" s="903"/>
      <c r="AJ227" s="852"/>
      <c r="AK227" s="852"/>
      <c r="AL227" s="852"/>
      <c r="AM227" s="852"/>
      <c r="AN227" s="852"/>
      <c r="AO227" s="852"/>
      <c r="AP227" s="853"/>
      <c r="AQ227" s="851"/>
      <c r="AR227" s="852"/>
      <c r="AS227" s="852"/>
      <c r="AT227" s="852"/>
      <c r="AU227" s="852"/>
      <c r="AV227" s="852"/>
      <c r="AW227" s="853"/>
      <c r="AX227" s="819"/>
    </row>
    <row r="228" spans="1:50" ht="12">
      <c r="A228" s="829"/>
      <c r="B228" s="838"/>
      <c r="C228" s="839"/>
      <c r="D228" s="816"/>
      <c r="E228" s="816"/>
      <c r="F228" s="816"/>
      <c r="G228" s="816"/>
      <c r="H228" s="816"/>
      <c r="I228" s="816"/>
      <c r="J228" s="816"/>
      <c r="K228" s="816"/>
      <c r="L228" s="817"/>
      <c r="M228" s="906"/>
      <c r="N228" s="903"/>
      <c r="O228" s="903"/>
      <c r="P228" s="904"/>
      <c r="Q228" s="907" t="s">
        <v>656</v>
      </c>
      <c r="R228" s="908"/>
      <c r="S228" s="908"/>
      <c r="T228" s="908"/>
      <c r="U228" s="908"/>
      <c r="V228" s="908"/>
      <c r="W228" s="908"/>
      <c r="X228" s="908"/>
      <c r="Y228" s="908"/>
      <c r="Z228" s="908"/>
      <c r="AA228" s="908"/>
      <c r="AB228" s="908"/>
      <c r="AC228" s="908"/>
      <c r="AD228" s="909" t="s">
        <v>657</v>
      </c>
      <c r="AE228" s="908"/>
      <c r="AF228" s="908"/>
      <c r="AG228" s="908"/>
      <c r="AH228" s="908"/>
      <c r="AI228" s="903"/>
      <c r="AJ228" s="852"/>
      <c r="AK228" s="852"/>
      <c r="AL228" s="852"/>
      <c r="AM228" s="852"/>
      <c r="AN228" s="852"/>
      <c r="AO228" s="852"/>
      <c r="AP228" s="853"/>
      <c r="AQ228" s="851"/>
      <c r="AR228" s="852"/>
      <c r="AS228" s="852"/>
      <c r="AT228" s="852"/>
      <c r="AU228" s="852"/>
      <c r="AV228" s="852"/>
      <c r="AW228" s="853"/>
      <c r="AX228" s="819"/>
    </row>
    <row r="229" spans="1:50" ht="12">
      <c r="A229" s="829"/>
      <c r="B229" s="838"/>
      <c r="C229" s="839"/>
      <c r="D229" s="816"/>
      <c r="E229" s="816"/>
      <c r="F229" s="816"/>
      <c r="G229" s="816"/>
      <c r="H229" s="816"/>
      <c r="I229" s="816"/>
      <c r="J229" s="816"/>
      <c r="K229" s="816"/>
      <c r="L229" s="817"/>
      <c r="M229" s="902"/>
      <c r="N229" s="903"/>
      <c r="O229" s="903"/>
      <c r="P229" s="904"/>
      <c r="Q229" s="905" t="s">
        <v>658</v>
      </c>
      <c r="R229" s="903"/>
      <c r="S229" s="903"/>
      <c r="T229" s="903"/>
      <c r="U229" s="903"/>
      <c r="V229" s="903"/>
      <c r="W229" s="903"/>
      <c r="X229" s="903"/>
      <c r="Y229" s="903"/>
      <c r="Z229" s="903"/>
      <c r="AA229" s="903"/>
      <c r="AB229" s="903"/>
      <c r="AC229" s="903"/>
      <c r="AD229" s="910" t="s">
        <v>659</v>
      </c>
      <c r="AE229" s="903"/>
      <c r="AF229" s="903"/>
      <c r="AG229" s="903"/>
      <c r="AH229" s="903"/>
      <c r="AI229" s="903"/>
      <c r="AJ229" s="852"/>
      <c r="AK229" s="852"/>
      <c r="AL229" s="852"/>
      <c r="AM229" s="852"/>
      <c r="AN229" s="852"/>
      <c r="AO229" s="852"/>
      <c r="AP229" s="853"/>
      <c r="AQ229" s="851"/>
      <c r="AR229" s="852"/>
      <c r="AS229" s="852"/>
      <c r="AT229" s="852"/>
      <c r="AU229" s="852"/>
      <c r="AV229" s="852"/>
      <c r="AW229" s="853"/>
      <c r="AX229" s="819"/>
    </row>
    <row r="230" spans="1:50" ht="12">
      <c r="A230" s="829"/>
      <c r="B230" s="838"/>
      <c r="C230" s="839"/>
      <c r="D230" s="816"/>
      <c r="E230" s="816"/>
      <c r="F230" s="816"/>
      <c r="G230" s="816"/>
      <c r="H230" s="816"/>
      <c r="I230" s="816"/>
      <c r="J230" s="816"/>
      <c r="K230" s="816"/>
      <c r="L230" s="817"/>
      <c r="M230" s="851"/>
      <c r="N230" s="852"/>
      <c r="O230" s="852"/>
      <c r="P230" s="853"/>
      <c r="Q230" s="896"/>
      <c r="R230" s="898"/>
      <c r="S230" s="898"/>
      <c r="T230" s="897"/>
      <c r="U230" s="897"/>
      <c r="V230" s="897"/>
      <c r="W230" s="897"/>
      <c r="X230" s="899"/>
      <c r="Y230" s="899"/>
      <c r="Z230" s="899"/>
      <c r="AA230" s="899"/>
      <c r="AB230" s="899"/>
      <c r="AC230" s="899"/>
      <c r="AD230" s="899"/>
      <c r="AE230" s="899"/>
      <c r="AF230" s="899"/>
      <c r="AG230" s="899"/>
      <c r="AH230" s="897"/>
      <c r="AI230" s="897"/>
      <c r="AJ230" s="897"/>
      <c r="AK230" s="897"/>
      <c r="AL230" s="897"/>
      <c r="AM230" s="897"/>
      <c r="AN230" s="897"/>
      <c r="AO230" s="897"/>
      <c r="AP230" s="900"/>
      <c r="AQ230" s="896"/>
      <c r="AR230" s="897"/>
      <c r="AS230" s="897"/>
      <c r="AT230" s="897"/>
      <c r="AU230" s="897"/>
      <c r="AV230" s="897"/>
      <c r="AW230" s="900"/>
      <c r="AX230" s="819"/>
    </row>
    <row r="231" spans="1:50" ht="12">
      <c r="A231" s="829"/>
      <c r="B231" s="838"/>
      <c r="C231" s="839"/>
      <c r="D231" s="816"/>
      <c r="E231" s="816"/>
      <c r="F231" s="816"/>
      <c r="G231" s="816"/>
      <c r="H231" s="816"/>
      <c r="I231" s="816"/>
      <c r="J231" s="816"/>
      <c r="K231" s="816"/>
      <c r="L231" s="817"/>
      <c r="M231" s="906"/>
      <c r="N231" s="903"/>
      <c r="O231" s="903"/>
      <c r="P231" s="904"/>
      <c r="Q231" s="911" t="s">
        <v>660</v>
      </c>
      <c r="R231" s="912"/>
      <c r="S231" s="912"/>
      <c r="T231" s="912"/>
      <c r="U231" s="912"/>
      <c r="V231" s="912"/>
      <c r="W231" s="912"/>
      <c r="X231" s="912"/>
      <c r="Y231" s="912"/>
      <c r="Z231" s="912"/>
      <c r="AA231" s="912"/>
      <c r="AB231" s="912"/>
      <c r="AC231" s="912"/>
      <c r="AD231" s="912"/>
      <c r="AE231" s="912"/>
      <c r="AF231" s="912"/>
      <c r="AG231" s="912"/>
      <c r="AH231" s="912"/>
      <c r="AI231" s="913"/>
      <c r="AJ231" s="885"/>
      <c r="AK231" s="885"/>
      <c r="AL231" s="885"/>
      <c r="AM231" s="885"/>
      <c r="AN231" s="885"/>
      <c r="AO231" s="885"/>
      <c r="AP231" s="886"/>
      <c r="AQ231" s="887" t="s">
        <v>620</v>
      </c>
      <c r="AR231" s="885"/>
      <c r="AS231" s="885"/>
      <c r="AT231" s="885"/>
      <c r="AU231" s="885"/>
      <c r="AV231" s="885"/>
      <c r="AW231" s="886"/>
      <c r="AX231" s="819"/>
    </row>
    <row r="232" spans="1:50" ht="12">
      <c r="A232" s="829"/>
      <c r="B232" s="838"/>
      <c r="C232" s="839"/>
      <c r="D232" s="816"/>
      <c r="E232" s="816"/>
      <c r="F232" s="816"/>
      <c r="G232" s="816"/>
      <c r="H232" s="816"/>
      <c r="I232" s="816"/>
      <c r="J232" s="816"/>
      <c r="K232" s="816"/>
      <c r="L232" s="817"/>
      <c r="M232" s="906"/>
      <c r="N232" s="903"/>
      <c r="O232" s="903"/>
      <c r="P232" s="904"/>
      <c r="Q232" s="892" t="s">
        <v>627</v>
      </c>
      <c r="R232" s="908"/>
      <c r="S232" s="908"/>
      <c r="T232" s="908"/>
      <c r="U232" s="908"/>
      <c r="V232" s="908"/>
      <c r="W232" s="908"/>
      <c r="X232" s="908"/>
      <c r="Y232" s="908"/>
      <c r="Z232" s="908"/>
      <c r="AA232" s="908"/>
      <c r="AB232" s="908"/>
      <c r="AC232" s="908"/>
      <c r="AD232" s="908"/>
      <c r="AE232" s="908"/>
      <c r="AF232" s="908"/>
      <c r="AG232" s="908"/>
      <c r="AH232" s="908"/>
      <c r="AI232" s="903"/>
      <c r="AJ232" s="852"/>
      <c r="AK232" s="852"/>
      <c r="AL232" s="852"/>
      <c r="AM232" s="852"/>
      <c r="AN232" s="852"/>
      <c r="AO232" s="852"/>
      <c r="AP232" s="853"/>
      <c r="AQ232" s="851" t="s">
        <v>654</v>
      </c>
      <c r="AR232" s="852"/>
      <c r="AS232" s="852"/>
      <c r="AT232" s="852"/>
      <c r="AU232" s="852"/>
      <c r="AV232" s="852"/>
      <c r="AW232" s="853"/>
      <c r="AX232" s="819"/>
    </row>
    <row r="233" spans="1:50" ht="12">
      <c r="A233" s="829"/>
      <c r="B233" s="838"/>
      <c r="C233" s="839"/>
      <c r="D233" s="816"/>
      <c r="E233" s="816"/>
      <c r="F233" s="816"/>
      <c r="G233" s="816"/>
      <c r="H233" s="816"/>
      <c r="I233" s="816"/>
      <c r="J233" s="816"/>
      <c r="K233" s="816"/>
      <c r="L233" s="817"/>
      <c r="M233" s="906"/>
      <c r="N233" s="903"/>
      <c r="O233" s="903"/>
      <c r="P233" s="904"/>
      <c r="Q233" s="907" t="s">
        <v>656</v>
      </c>
      <c r="R233" s="908"/>
      <c r="S233" s="908"/>
      <c r="T233" s="908"/>
      <c r="U233" s="908"/>
      <c r="V233" s="908"/>
      <c r="W233" s="908"/>
      <c r="X233" s="908"/>
      <c r="Y233" s="908"/>
      <c r="Z233" s="908"/>
      <c r="AA233" s="908"/>
      <c r="AB233" s="908"/>
      <c r="AC233" s="908"/>
      <c r="AD233" s="909" t="s">
        <v>657</v>
      </c>
      <c r="AE233" s="908"/>
      <c r="AF233" s="908"/>
      <c r="AG233" s="908"/>
      <c r="AH233" s="908"/>
      <c r="AI233" s="903"/>
      <c r="AJ233" s="852"/>
      <c r="AK233" s="852"/>
      <c r="AL233" s="852"/>
      <c r="AM233" s="852"/>
      <c r="AN233" s="852"/>
      <c r="AO233" s="852"/>
      <c r="AP233" s="853"/>
      <c r="AQ233" s="851"/>
      <c r="AR233" s="852"/>
      <c r="AS233" s="852"/>
      <c r="AT233" s="852"/>
      <c r="AU233" s="852"/>
      <c r="AV233" s="852"/>
      <c r="AW233" s="853"/>
      <c r="AX233" s="819"/>
    </row>
    <row r="234" spans="1:50" ht="12">
      <c r="A234" s="829"/>
      <c r="B234" s="838"/>
      <c r="C234" s="839"/>
      <c r="D234" s="816"/>
      <c r="E234" s="816"/>
      <c r="F234" s="816"/>
      <c r="G234" s="816"/>
      <c r="H234" s="816"/>
      <c r="I234" s="816"/>
      <c r="J234" s="816"/>
      <c r="K234" s="816"/>
      <c r="L234" s="817"/>
      <c r="M234" s="902"/>
      <c r="N234" s="903"/>
      <c r="O234" s="903"/>
      <c r="P234" s="904"/>
      <c r="Q234" s="907" t="s">
        <v>632</v>
      </c>
      <c r="R234" s="908"/>
      <c r="S234" s="908"/>
      <c r="T234" s="908"/>
      <c r="U234" s="908"/>
      <c r="V234" s="908"/>
      <c r="W234" s="908"/>
      <c r="X234" s="908"/>
      <c r="Y234" s="908"/>
      <c r="Z234" s="908"/>
      <c r="AA234" s="908"/>
      <c r="AB234" s="908"/>
      <c r="AC234" s="908"/>
      <c r="AD234" s="914" t="s">
        <v>661</v>
      </c>
      <c r="AE234" s="908"/>
      <c r="AF234" s="908"/>
      <c r="AG234" s="908"/>
      <c r="AH234" s="908"/>
      <c r="AI234" s="903"/>
      <c r="AJ234" s="852"/>
      <c r="AK234" s="852"/>
      <c r="AL234" s="852"/>
      <c r="AM234" s="852"/>
      <c r="AN234" s="852"/>
      <c r="AO234" s="852"/>
      <c r="AP234" s="853"/>
      <c r="AQ234" s="851"/>
      <c r="AR234" s="852"/>
      <c r="AS234" s="852"/>
      <c r="AT234" s="852"/>
      <c r="AU234" s="852"/>
      <c r="AV234" s="852"/>
      <c r="AW234" s="853"/>
      <c r="AX234" s="819"/>
    </row>
    <row r="235" spans="1:50" ht="12">
      <c r="A235" s="829"/>
      <c r="B235" s="838"/>
      <c r="C235" s="839"/>
      <c r="D235" s="816"/>
      <c r="E235" s="816"/>
      <c r="F235" s="816"/>
      <c r="G235" s="816"/>
      <c r="H235" s="816"/>
      <c r="I235" s="816"/>
      <c r="J235" s="816"/>
      <c r="K235" s="816"/>
      <c r="L235" s="817"/>
      <c r="M235" s="851"/>
      <c r="N235" s="852"/>
      <c r="O235" s="852"/>
      <c r="P235" s="853"/>
      <c r="Q235" s="896"/>
      <c r="R235" s="898"/>
      <c r="S235" s="898"/>
      <c r="T235" s="897"/>
      <c r="U235" s="897"/>
      <c r="V235" s="897"/>
      <c r="W235" s="897"/>
      <c r="X235" s="899"/>
      <c r="Y235" s="899"/>
      <c r="Z235" s="899"/>
      <c r="AA235" s="899"/>
      <c r="AB235" s="899"/>
      <c r="AC235" s="899"/>
      <c r="AD235" s="899"/>
      <c r="AE235" s="899"/>
      <c r="AF235" s="899"/>
      <c r="AG235" s="899"/>
      <c r="AH235" s="897"/>
      <c r="AI235" s="897"/>
      <c r="AJ235" s="897"/>
      <c r="AK235" s="897"/>
      <c r="AL235" s="897"/>
      <c r="AM235" s="897"/>
      <c r="AN235" s="897"/>
      <c r="AO235" s="897"/>
      <c r="AP235" s="900"/>
      <c r="AQ235" s="896"/>
      <c r="AR235" s="897"/>
      <c r="AS235" s="897"/>
      <c r="AT235" s="897"/>
      <c r="AU235" s="897"/>
      <c r="AV235" s="897"/>
      <c r="AW235" s="900"/>
      <c r="AX235" s="819"/>
    </row>
    <row r="236" spans="1:50" ht="12">
      <c r="A236" s="829"/>
      <c r="B236" s="838"/>
      <c r="C236" s="839"/>
      <c r="D236" s="816"/>
      <c r="E236" s="816"/>
      <c r="F236" s="816"/>
      <c r="G236" s="816"/>
      <c r="H236" s="816"/>
      <c r="I236" s="816"/>
      <c r="J236" s="816"/>
      <c r="K236" s="816"/>
      <c r="L236" s="817"/>
      <c r="M236" s="906"/>
      <c r="N236" s="903"/>
      <c r="O236" s="903"/>
      <c r="P236" s="904"/>
      <c r="Q236" s="915" t="s">
        <v>662</v>
      </c>
      <c r="R236" s="913"/>
      <c r="S236" s="913"/>
      <c r="T236" s="913"/>
      <c r="U236" s="913"/>
      <c r="V236" s="913"/>
      <c r="W236" s="913"/>
      <c r="X236" s="913"/>
      <c r="Y236" s="913"/>
      <c r="Z236" s="913"/>
      <c r="AA236" s="913"/>
      <c r="AB236" s="913"/>
      <c r="AC236" s="913"/>
      <c r="AD236" s="913"/>
      <c r="AE236" s="913"/>
      <c r="AF236" s="913"/>
      <c r="AG236" s="913"/>
      <c r="AH236" s="913"/>
      <c r="AI236" s="913"/>
      <c r="AJ236" s="885"/>
      <c r="AK236" s="885"/>
      <c r="AL236" s="885"/>
      <c r="AM236" s="885"/>
      <c r="AN236" s="885"/>
      <c r="AO236" s="885"/>
      <c r="AP236" s="886"/>
      <c r="AQ236" s="887" t="s">
        <v>620</v>
      </c>
      <c r="AR236" s="885"/>
      <c r="AS236" s="885"/>
      <c r="AT236" s="885"/>
      <c r="AU236" s="885"/>
      <c r="AV236" s="885"/>
      <c r="AW236" s="886"/>
      <c r="AX236" s="819"/>
    </row>
    <row r="237" spans="1:50" ht="12">
      <c r="A237" s="829"/>
      <c r="B237" s="838"/>
      <c r="C237" s="839"/>
      <c r="D237" s="816"/>
      <c r="E237" s="816"/>
      <c r="F237" s="816"/>
      <c r="G237" s="816"/>
      <c r="H237" s="816"/>
      <c r="I237" s="816"/>
      <c r="J237" s="816"/>
      <c r="K237" s="816"/>
      <c r="L237" s="817"/>
      <c r="M237" s="906"/>
      <c r="N237" s="903"/>
      <c r="O237" s="903"/>
      <c r="P237" s="904"/>
      <c r="Q237" s="892" t="s">
        <v>627</v>
      </c>
      <c r="R237" s="903"/>
      <c r="S237" s="903"/>
      <c r="T237" s="903"/>
      <c r="U237" s="903"/>
      <c r="V237" s="903"/>
      <c r="W237" s="903"/>
      <c r="X237" s="903"/>
      <c r="Y237" s="903"/>
      <c r="Z237" s="903"/>
      <c r="AA237" s="903"/>
      <c r="AB237" s="903"/>
      <c r="AC237" s="903"/>
      <c r="AD237" s="903"/>
      <c r="AE237" s="903"/>
      <c r="AF237" s="903"/>
      <c r="AG237" s="903"/>
      <c r="AH237" s="903"/>
      <c r="AI237" s="903"/>
      <c r="AJ237" s="852"/>
      <c r="AK237" s="852"/>
      <c r="AL237" s="852"/>
      <c r="AM237" s="852"/>
      <c r="AN237" s="852"/>
      <c r="AO237" s="852"/>
      <c r="AP237" s="853"/>
      <c r="AQ237" s="851" t="s">
        <v>654</v>
      </c>
      <c r="AR237" s="852"/>
      <c r="AS237" s="852"/>
      <c r="AT237" s="852"/>
      <c r="AU237" s="852"/>
      <c r="AV237" s="852"/>
      <c r="AW237" s="853"/>
      <c r="AX237" s="819"/>
    </row>
    <row r="238" spans="1:50" ht="12">
      <c r="A238" s="829"/>
      <c r="B238" s="838"/>
      <c r="C238" s="839"/>
      <c r="D238" s="816"/>
      <c r="E238" s="816"/>
      <c r="F238" s="816"/>
      <c r="G238" s="816"/>
      <c r="H238" s="816"/>
      <c r="I238" s="816"/>
      <c r="J238" s="816"/>
      <c r="K238" s="816"/>
      <c r="L238" s="817"/>
      <c r="M238" s="906"/>
      <c r="N238" s="903"/>
      <c r="O238" s="903"/>
      <c r="P238" s="904"/>
      <c r="Q238" s="907" t="s">
        <v>656</v>
      </c>
      <c r="R238" s="903"/>
      <c r="S238" s="903"/>
      <c r="T238" s="903"/>
      <c r="U238" s="903"/>
      <c r="V238" s="903"/>
      <c r="W238" s="903"/>
      <c r="X238" s="903"/>
      <c r="Y238" s="903"/>
      <c r="Z238" s="903"/>
      <c r="AA238" s="903"/>
      <c r="AB238" s="903"/>
      <c r="AC238" s="903"/>
      <c r="AD238" s="916" t="s">
        <v>657</v>
      </c>
      <c r="AE238" s="903"/>
      <c r="AF238" s="903"/>
      <c r="AG238" s="903"/>
      <c r="AH238" s="903"/>
      <c r="AI238" s="903"/>
      <c r="AJ238" s="852"/>
      <c r="AK238" s="852"/>
      <c r="AL238" s="852"/>
      <c r="AM238" s="852"/>
      <c r="AN238" s="852"/>
      <c r="AO238" s="852"/>
      <c r="AP238" s="853"/>
      <c r="AQ238" s="851"/>
      <c r="AR238" s="852"/>
      <c r="AS238" s="852"/>
      <c r="AT238" s="852"/>
      <c r="AU238" s="852"/>
      <c r="AV238" s="852"/>
      <c r="AW238" s="853"/>
      <c r="AX238" s="819"/>
    </row>
    <row r="239" spans="1:50" ht="12">
      <c r="A239" s="829"/>
      <c r="B239" s="838"/>
      <c r="C239" s="839"/>
      <c r="D239" s="816"/>
      <c r="E239" s="816"/>
      <c r="F239" s="816"/>
      <c r="G239" s="816"/>
      <c r="H239" s="816"/>
      <c r="I239" s="816"/>
      <c r="J239" s="816"/>
      <c r="K239" s="816"/>
      <c r="L239" s="817"/>
      <c r="M239" s="894"/>
      <c r="N239" s="890"/>
      <c r="O239" s="890"/>
      <c r="P239" s="891"/>
      <c r="Q239" s="892" t="s">
        <v>663</v>
      </c>
      <c r="R239" s="890"/>
      <c r="S239" s="890"/>
      <c r="T239" s="890"/>
      <c r="U239" s="890"/>
      <c r="V239" s="890"/>
      <c r="W239" s="890"/>
      <c r="X239" s="890"/>
      <c r="Y239" s="890"/>
      <c r="Z239" s="890"/>
      <c r="AA239" s="890"/>
      <c r="AB239" s="890"/>
      <c r="AC239" s="890"/>
      <c r="AD239" s="895"/>
      <c r="AE239" s="890"/>
      <c r="AF239" s="890"/>
      <c r="AG239" s="890"/>
      <c r="AH239" s="890"/>
      <c r="AI239" s="890"/>
      <c r="AJ239" s="852"/>
      <c r="AK239" s="852"/>
      <c r="AL239" s="852"/>
      <c r="AM239" s="852"/>
      <c r="AN239" s="852"/>
      <c r="AO239" s="852"/>
      <c r="AP239" s="853"/>
      <c r="AQ239" s="851"/>
      <c r="AR239" s="843"/>
      <c r="AS239" s="852"/>
      <c r="AT239" s="852"/>
      <c r="AU239" s="852"/>
      <c r="AV239" s="852"/>
      <c r="AW239" s="853"/>
      <c r="AX239" s="819"/>
    </row>
    <row r="240" spans="1:50" ht="12">
      <c r="A240" s="829"/>
      <c r="B240" s="838"/>
      <c r="C240" s="839"/>
      <c r="D240" s="816"/>
      <c r="E240" s="816"/>
      <c r="F240" s="816"/>
      <c r="G240" s="816"/>
      <c r="H240" s="816"/>
      <c r="I240" s="816"/>
      <c r="J240" s="816"/>
      <c r="K240" s="816"/>
      <c r="L240" s="817"/>
      <c r="M240" s="896"/>
      <c r="N240" s="897"/>
      <c r="O240" s="897"/>
      <c r="P240" s="847"/>
      <c r="Q240" s="896"/>
      <c r="R240" s="898"/>
      <c r="S240" s="898"/>
      <c r="T240" s="897"/>
      <c r="U240" s="897"/>
      <c r="V240" s="897"/>
      <c r="W240" s="897"/>
      <c r="X240" s="899"/>
      <c r="Y240" s="899"/>
      <c r="Z240" s="899"/>
      <c r="AA240" s="899"/>
      <c r="AB240" s="899"/>
      <c r="AC240" s="899"/>
      <c r="AD240" s="899"/>
      <c r="AE240" s="899"/>
      <c r="AF240" s="899"/>
      <c r="AG240" s="899"/>
      <c r="AH240" s="897"/>
      <c r="AI240" s="897"/>
      <c r="AJ240" s="897"/>
      <c r="AK240" s="897"/>
      <c r="AL240" s="897"/>
      <c r="AM240" s="897"/>
      <c r="AN240" s="897"/>
      <c r="AO240" s="897"/>
      <c r="AP240" s="900"/>
      <c r="AQ240" s="896"/>
      <c r="AR240" s="846"/>
      <c r="AS240" s="897"/>
      <c r="AT240" s="897"/>
      <c r="AU240" s="897"/>
      <c r="AV240" s="897"/>
      <c r="AW240" s="900"/>
      <c r="AX240" s="819"/>
    </row>
    <row r="241" spans="1:50" ht="12">
      <c r="A241" s="829"/>
      <c r="B241" s="838"/>
      <c r="C241" s="839"/>
      <c r="D241" s="816"/>
      <c r="E241" s="816"/>
      <c r="F241" s="816"/>
      <c r="G241" s="816"/>
      <c r="H241" s="816"/>
      <c r="I241" s="816"/>
      <c r="J241" s="816"/>
      <c r="K241" s="816"/>
      <c r="L241" s="817"/>
      <c r="M241" s="885"/>
      <c r="N241" s="885"/>
      <c r="O241" s="885"/>
      <c r="P241" s="888"/>
      <c r="Q241" s="885"/>
      <c r="R241" s="941"/>
      <c r="S241" s="941"/>
      <c r="T241" s="885"/>
      <c r="U241" s="885"/>
      <c r="V241" s="885"/>
      <c r="W241" s="885"/>
      <c r="X241" s="884"/>
      <c r="Y241" s="884"/>
      <c r="Z241" s="884"/>
      <c r="AA241" s="884"/>
      <c r="AB241" s="884"/>
      <c r="AC241" s="884"/>
      <c r="AD241" s="884"/>
      <c r="AE241" s="884"/>
      <c r="AF241" s="884"/>
      <c r="AG241" s="884"/>
      <c r="AH241" s="885"/>
      <c r="AI241" s="885"/>
      <c r="AJ241" s="885"/>
      <c r="AK241" s="885"/>
      <c r="AL241" s="885"/>
      <c r="AM241" s="885"/>
      <c r="AN241" s="885"/>
      <c r="AO241" s="885"/>
      <c r="AP241" s="885"/>
      <c r="AQ241" s="887"/>
      <c r="AR241" s="888"/>
      <c r="AS241" s="885"/>
      <c r="AT241" s="885"/>
      <c r="AU241" s="885"/>
      <c r="AV241" s="885"/>
      <c r="AW241" s="886"/>
      <c r="AX241" s="819"/>
    </row>
    <row r="242" spans="1:50" ht="12">
      <c r="A242" s="829"/>
      <c r="B242" s="838"/>
      <c r="C242" s="839"/>
      <c r="D242" s="816"/>
      <c r="E242" s="816"/>
      <c r="F242" s="816"/>
      <c r="G242" s="816"/>
      <c r="H242" s="816"/>
      <c r="I242" s="816"/>
      <c r="J242" s="816"/>
      <c r="K242" s="816"/>
      <c r="L242" s="817"/>
      <c r="M242" s="897" t="s">
        <v>664</v>
      </c>
      <c r="N242" s="897"/>
      <c r="O242" s="897"/>
      <c r="P242" s="846"/>
      <c r="Q242" s="897"/>
      <c r="R242" s="898"/>
      <c r="S242" s="898"/>
      <c r="T242" s="897"/>
      <c r="U242" s="897"/>
      <c r="V242" s="897"/>
      <c r="W242" s="897"/>
      <c r="X242" s="899"/>
      <c r="Y242" s="899"/>
      <c r="Z242" s="899"/>
      <c r="AA242" s="899"/>
      <c r="AB242" s="899"/>
      <c r="AC242" s="899"/>
      <c r="AD242" s="899"/>
      <c r="AE242" s="899"/>
      <c r="AF242" s="899"/>
      <c r="AG242" s="899"/>
      <c r="AH242" s="897"/>
      <c r="AI242" s="897"/>
      <c r="AJ242" s="897"/>
      <c r="AK242" s="897"/>
      <c r="AL242" s="897"/>
      <c r="AM242" s="897"/>
      <c r="AN242" s="897"/>
      <c r="AO242" s="897"/>
      <c r="AP242" s="897"/>
      <c r="AQ242" s="896"/>
      <c r="AR242" s="846"/>
      <c r="AS242" s="897"/>
      <c r="AT242" s="897"/>
      <c r="AU242" s="897"/>
      <c r="AV242" s="897"/>
      <c r="AW242" s="900"/>
      <c r="AX242" s="819"/>
    </row>
    <row r="243" spans="1:50" ht="12">
      <c r="A243" s="829"/>
      <c r="B243" s="838"/>
      <c r="C243" s="839"/>
      <c r="D243" s="816"/>
      <c r="E243" s="816"/>
      <c r="F243" s="816"/>
      <c r="G243" s="816"/>
      <c r="H243" s="816"/>
      <c r="I243" s="816"/>
      <c r="J243" s="816"/>
      <c r="K243" s="816"/>
      <c r="L243" s="817"/>
      <c r="M243" s="889" t="s">
        <v>665</v>
      </c>
      <c r="N243" s="942"/>
      <c r="O243" s="942"/>
      <c r="P243" s="943"/>
      <c r="Q243" s="889" t="s">
        <v>666</v>
      </c>
      <c r="R243" s="942"/>
      <c r="S243" s="942"/>
      <c r="T243" s="942"/>
      <c r="U243" s="942"/>
      <c r="V243" s="942"/>
      <c r="W243" s="942"/>
      <c r="X243" s="942"/>
      <c r="Y243" s="942"/>
      <c r="Z243" s="942"/>
      <c r="AA243" s="942"/>
      <c r="AB243" s="942"/>
      <c r="AC243" s="942"/>
      <c r="AD243" s="942"/>
      <c r="AE243" s="942"/>
      <c r="AF243" s="942"/>
      <c r="AG243" s="942"/>
      <c r="AH243" s="942"/>
      <c r="AI243" s="942"/>
      <c r="AJ243" s="852"/>
      <c r="AK243" s="852"/>
      <c r="AL243" s="852"/>
      <c r="AM243" s="852"/>
      <c r="AN243" s="852"/>
      <c r="AO243" s="852"/>
      <c r="AP243" s="853"/>
      <c r="AQ243" s="851" t="s">
        <v>620</v>
      </c>
      <c r="AR243" s="843"/>
      <c r="AS243" s="852"/>
      <c r="AT243" s="852"/>
      <c r="AU243" s="852"/>
      <c r="AV243" s="852"/>
      <c r="AW243" s="853"/>
      <c r="AX243" s="819"/>
    </row>
    <row r="244" spans="1:50" ht="12">
      <c r="A244" s="829"/>
      <c r="B244" s="838"/>
      <c r="C244" s="839"/>
      <c r="D244" s="816"/>
      <c r="E244" s="816"/>
      <c r="F244" s="816"/>
      <c r="G244" s="816"/>
      <c r="H244" s="816"/>
      <c r="I244" s="816"/>
      <c r="J244" s="816"/>
      <c r="K244" s="816"/>
      <c r="L244" s="817"/>
      <c r="M244" s="889" t="s">
        <v>667</v>
      </c>
      <c r="N244" s="942"/>
      <c r="O244" s="942"/>
      <c r="P244" s="943"/>
      <c r="Q244" s="889" t="s">
        <v>668</v>
      </c>
      <c r="R244" s="942"/>
      <c r="S244" s="942"/>
      <c r="T244" s="942"/>
      <c r="U244" s="942"/>
      <c r="V244" s="942"/>
      <c r="W244" s="942"/>
      <c r="X244" s="942"/>
      <c r="Y244" s="942"/>
      <c r="Z244" s="942"/>
      <c r="AA244" s="942"/>
      <c r="AB244" s="942"/>
      <c r="AC244" s="942"/>
      <c r="AD244" s="942"/>
      <c r="AE244" s="942"/>
      <c r="AF244" s="942"/>
      <c r="AG244" s="942"/>
      <c r="AH244" s="942"/>
      <c r="AI244" s="942"/>
      <c r="AJ244" s="852"/>
      <c r="AK244" s="852"/>
      <c r="AL244" s="852"/>
      <c r="AM244" s="852"/>
      <c r="AN244" s="852"/>
      <c r="AO244" s="852"/>
      <c r="AP244" s="853"/>
      <c r="AQ244" s="851" t="s">
        <v>669</v>
      </c>
      <c r="AR244" s="843"/>
      <c r="AS244" s="852"/>
      <c r="AT244" s="852"/>
      <c r="AU244" s="852"/>
      <c r="AV244" s="852"/>
      <c r="AW244" s="853"/>
      <c r="AX244" s="819"/>
    </row>
    <row r="245" spans="1:50" ht="12">
      <c r="A245" s="829"/>
      <c r="B245" s="838"/>
      <c r="C245" s="839"/>
      <c r="D245" s="816"/>
      <c r="E245" s="816"/>
      <c r="F245" s="816"/>
      <c r="G245" s="816"/>
      <c r="H245" s="816"/>
      <c r="I245" s="816"/>
      <c r="J245" s="816"/>
      <c r="K245" s="816"/>
      <c r="L245" s="817"/>
      <c r="M245" s="944"/>
      <c r="N245" s="942"/>
      <c r="O245" s="942"/>
      <c r="P245" s="943"/>
      <c r="Q245" s="892" t="s">
        <v>494</v>
      </c>
      <c r="R245" s="942"/>
      <c r="S245" s="942"/>
      <c r="T245" s="942"/>
      <c r="U245" s="942"/>
      <c r="V245" s="942"/>
      <c r="W245" s="942"/>
      <c r="X245" s="942"/>
      <c r="Y245" s="942"/>
      <c r="Z245" s="942"/>
      <c r="AA245" s="942"/>
      <c r="AB245" s="942"/>
      <c r="AC245" s="942"/>
      <c r="AD245" s="942"/>
      <c r="AE245" s="942"/>
      <c r="AF245" s="942"/>
      <c r="AG245" s="942"/>
      <c r="AH245" s="942"/>
      <c r="AI245" s="942"/>
      <c r="AJ245" s="852"/>
      <c r="AK245" s="852"/>
      <c r="AL245" s="852"/>
      <c r="AM245" s="852"/>
      <c r="AN245" s="852"/>
      <c r="AO245" s="852"/>
      <c r="AP245" s="853"/>
      <c r="AQ245" s="851"/>
      <c r="AR245" s="843"/>
      <c r="AS245" s="852"/>
      <c r="AT245" s="852"/>
      <c r="AU245" s="852"/>
      <c r="AV245" s="852"/>
      <c r="AW245" s="853"/>
      <c r="AX245" s="819"/>
    </row>
    <row r="246" spans="1:50" ht="12">
      <c r="A246" s="829"/>
      <c r="B246" s="838"/>
      <c r="C246" s="839"/>
      <c r="D246" s="816"/>
      <c r="E246" s="816"/>
      <c r="F246" s="816"/>
      <c r="G246" s="816"/>
      <c r="H246" s="816"/>
      <c r="I246" s="816"/>
      <c r="J246" s="816"/>
      <c r="K246" s="816"/>
      <c r="L246" s="817"/>
      <c r="M246" s="944"/>
      <c r="N246" s="942"/>
      <c r="O246" s="942"/>
      <c r="P246" s="943"/>
      <c r="Q246" s="892"/>
      <c r="R246" s="942" t="s">
        <v>670</v>
      </c>
      <c r="S246" s="942"/>
      <c r="T246" s="942"/>
      <c r="U246" s="942"/>
      <c r="V246" s="942"/>
      <c r="W246" s="942"/>
      <c r="X246" s="942"/>
      <c r="Y246" s="942"/>
      <c r="Z246" s="942"/>
      <c r="AA246" s="942"/>
      <c r="AB246" s="942"/>
      <c r="AC246" s="942"/>
      <c r="AD246" s="942"/>
      <c r="AE246" s="942"/>
      <c r="AF246" s="942"/>
      <c r="AG246" s="942"/>
      <c r="AH246" s="942"/>
      <c r="AI246" s="942"/>
      <c r="AJ246" s="852"/>
      <c r="AK246" s="852"/>
      <c r="AL246" s="852"/>
      <c r="AM246" s="852"/>
      <c r="AN246" s="852"/>
      <c r="AO246" s="852"/>
      <c r="AP246" s="853"/>
      <c r="AQ246" s="851"/>
      <c r="AR246" s="843"/>
      <c r="AS246" s="852"/>
      <c r="AT246" s="852"/>
      <c r="AU246" s="852"/>
      <c r="AV246" s="852"/>
      <c r="AW246" s="853"/>
      <c r="AX246" s="819"/>
    </row>
    <row r="247" spans="1:50" ht="12">
      <c r="A247" s="829"/>
      <c r="B247" s="838"/>
      <c r="C247" s="839"/>
      <c r="D247" s="816"/>
      <c r="E247" s="816"/>
      <c r="F247" s="816"/>
      <c r="G247" s="816"/>
      <c r="H247" s="816"/>
      <c r="I247" s="816"/>
      <c r="J247" s="816"/>
      <c r="K247" s="816"/>
      <c r="L247" s="817"/>
      <c r="M247" s="944"/>
      <c r="N247" s="942"/>
      <c r="O247" s="942"/>
      <c r="P247" s="943"/>
      <c r="Q247" s="892" t="s">
        <v>498</v>
      </c>
      <c r="R247" s="942"/>
      <c r="S247" s="942"/>
      <c r="T247" s="942"/>
      <c r="U247" s="942"/>
      <c r="V247" s="942"/>
      <c r="W247" s="942"/>
      <c r="X247" s="942"/>
      <c r="Y247" s="942"/>
      <c r="Z247" s="942"/>
      <c r="AA247" s="942"/>
      <c r="AB247" s="942"/>
      <c r="AC247" s="942"/>
      <c r="AD247" s="895"/>
      <c r="AE247" s="942"/>
      <c r="AF247" s="942"/>
      <c r="AG247" s="942"/>
      <c r="AH247" s="942"/>
      <c r="AI247" s="942"/>
      <c r="AJ247" s="852"/>
      <c r="AK247" s="852"/>
      <c r="AL247" s="852"/>
      <c r="AM247" s="852"/>
      <c r="AN247" s="852"/>
      <c r="AO247" s="852"/>
      <c r="AP247" s="853"/>
      <c r="AQ247" s="851"/>
      <c r="AR247" s="843"/>
      <c r="AS247" s="852"/>
      <c r="AT247" s="852"/>
      <c r="AU247" s="852"/>
      <c r="AV247" s="852"/>
      <c r="AW247" s="853"/>
      <c r="AX247" s="819"/>
    </row>
    <row r="248" spans="1:50" ht="12">
      <c r="A248" s="829"/>
      <c r="B248" s="838"/>
      <c r="C248" s="839"/>
      <c r="D248" s="816"/>
      <c r="E248" s="816"/>
      <c r="F248" s="816"/>
      <c r="G248" s="816"/>
      <c r="H248" s="816"/>
      <c r="I248" s="816"/>
      <c r="J248" s="816"/>
      <c r="K248" s="816"/>
      <c r="L248" s="817"/>
      <c r="M248" s="944"/>
      <c r="N248" s="942"/>
      <c r="O248" s="942"/>
      <c r="P248" s="943"/>
      <c r="Q248" s="892"/>
      <c r="R248" s="942" t="s">
        <v>671</v>
      </c>
      <c r="S248" s="942"/>
      <c r="T248" s="942"/>
      <c r="U248" s="942"/>
      <c r="V248" s="942"/>
      <c r="W248" s="942"/>
      <c r="X248" s="942"/>
      <c r="Y248" s="942"/>
      <c r="Z248" s="942"/>
      <c r="AA248" s="942"/>
      <c r="AB248" s="942"/>
      <c r="AC248" s="942"/>
      <c r="AD248" s="895"/>
      <c r="AE248" s="942"/>
      <c r="AF248" s="942"/>
      <c r="AG248" s="942"/>
      <c r="AH248" s="942"/>
      <c r="AI248" s="942"/>
      <c r="AJ248" s="852"/>
      <c r="AK248" s="852"/>
      <c r="AL248" s="852"/>
      <c r="AM248" s="852"/>
      <c r="AN248" s="852"/>
      <c r="AO248" s="852"/>
      <c r="AP248" s="853"/>
      <c r="AQ248" s="851"/>
      <c r="AR248" s="843"/>
      <c r="AS248" s="852"/>
      <c r="AT248" s="852"/>
      <c r="AU248" s="852"/>
      <c r="AV248" s="852"/>
      <c r="AW248" s="853"/>
      <c r="AX248" s="819"/>
    </row>
    <row r="249" spans="1:50" ht="12">
      <c r="A249" s="829"/>
      <c r="B249" s="838"/>
      <c r="C249" s="839"/>
      <c r="D249" s="816"/>
      <c r="E249" s="816"/>
      <c r="F249" s="816"/>
      <c r="G249" s="816"/>
      <c r="H249" s="816"/>
      <c r="I249" s="816"/>
      <c r="J249" s="816"/>
      <c r="K249" s="816"/>
      <c r="L249" s="817"/>
      <c r="M249" s="944"/>
      <c r="N249" s="942"/>
      <c r="O249" s="942"/>
      <c r="P249" s="943"/>
      <c r="Q249" s="892"/>
      <c r="R249" s="942" t="s">
        <v>672</v>
      </c>
      <c r="S249" s="942"/>
      <c r="T249" s="942"/>
      <c r="U249" s="942"/>
      <c r="V249" s="942"/>
      <c r="W249" s="942"/>
      <c r="X249" s="942"/>
      <c r="Y249" s="942"/>
      <c r="Z249" s="942"/>
      <c r="AA249" s="942"/>
      <c r="AB249" s="942"/>
      <c r="AC249" s="942"/>
      <c r="AD249" s="895"/>
      <c r="AE249" s="942"/>
      <c r="AF249" s="942"/>
      <c r="AG249" s="942"/>
      <c r="AH249" s="942"/>
      <c r="AI249" s="942"/>
      <c r="AJ249" s="852"/>
      <c r="AK249" s="852"/>
      <c r="AL249" s="852"/>
      <c r="AM249" s="852"/>
      <c r="AN249" s="852"/>
      <c r="AO249" s="852"/>
      <c r="AP249" s="853"/>
      <c r="AQ249" s="851"/>
      <c r="AR249" s="843"/>
      <c r="AS249" s="852"/>
      <c r="AT249" s="852"/>
      <c r="AU249" s="852"/>
      <c r="AV249" s="852"/>
      <c r="AW249" s="853"/>
      <c r="AX249" s="819"/>
    </row>
    <row r="250" spans="1:50" ht="12">
      <c r="A250" s="829"/>
      <c r="B250" s="838"/>
      <c r="C250" s="839"/>
      <c r="D250" s="816"/>
      <c r="E250" s="816"/>
      <c r="F250" s="816"/>
      <c r="G250" s="816"/>
      <c r="H250" s="816"/>
      <c r="I250" s="816"/>
      <c r="J250" s="816"/>
      <c r="K250" s="816"/>
      <c r="L250" s="817"/>
      <c r="M250" s="944"/>
      <c r="N250" s="942"/>
      <c r="O250" s="942"/>
      <c r="P250" s="943"/>
      <c r="Q250" s="892"/>
      <c r="R250" s="942" t="s">
        <v>673</v>
      </c>
      <c r="S250" s="942"/>
      <c r="T250" s="942"/>
      <c r="U250" s="942"/>
      <c r="V250" s="942"/>
      <c r="W250" s="942"/>
      <c r="X250" s="942"/>
      <c r="Y250" s="942"/>
      <c r="Z250" s="942"/>
      <c r="AA250" s="942"/>
      <c r="AB250" s="942"/>
      <c r="AC250" s="942"/>
      <c r="AD250" s="895"/>
      <c r="AE250" s="942"/>
      <c r="AF250" s="942"/>
      <c r="AG250" s="942"/>
      <c r="AH250" s="942"/>
      <c r="AI250" s="942"/>
      <c r="AJ250" s="852"/>
      <c r="AK250" s="852"/>
      <c r="AL250" s="852"/>
      <c r="AM250" s="852"/>
      <c r="AN250" s="852"/>
      <c r="AO250" s="852"/>
      <c r="AP250" s="853"/>
      <c r="AQ250" s="851"/>
      <c r="AR250" s="843"/>
      <c r="AS250" s="852"/>
      <c r="AT250" s="852"/>
      <c r="AU250" s="852"/>
      <c r="AV250" s="852"/>
      <c r="AW250" s="853"/>
      <c r="AX250" s="819"/>
    </row>
    <row r="251" spans="1:50" ht="12">
      <c r="A251" s="829"/>
      <c r="B251" s="838"/>
      <c r="C251" s="839"/>
      <c r="D251" s="816"/>
      <c r="E251" s="816"/>
      <c r="F251" s="816"/>
      <c r="G251" s="816"/>
      <c r="H251" s="816"/>
      <c r="I251" s="816"/>
      <c r="J251" s="816"/>
      <c r="K251" s="816"/>
      <c r="L251" s="817"/>
      <c r="M251" s="944"/>
      <c r="N251" s="942"/>
      <c r="O251" s="942"/>
      <c r="P251" s="943"/>
      <c r="Q251" s="892"/>
      <c r="R251" s="942" t="s">
        <v>674</v>
      </c>
      <c r="S251" s="942"/>
      <c r="T251" s="942"/>
      <c r="U251" s="942"/>
      <c r="V251" s="942"/>
      <c r="W251" s="942"/>
      <c r="X251" s="942"/>
      <c r="Y251" s="942"/>
      <c r="Z251" s="942"/>
      <c r="AA251" s="942"/>
      <c r="AB251" s="942"/>
      <c r="AC251" s="942"/>
      <c r="AD251" s="893"/>
      <c r="AE251" s="942"/>
      <c r="AF251" s="942"/>
      <c r="AG251" s="942"/>
      <c r="AH251" s="942"/>
      <c r="AI251" s="942"/>
      <c r="AJ251" s="852"/>
      <c r="AK251" s="852"/>
      <c r="AL251" s="852"/>
      <c r="AM251" s="852"/>
      <c r="AN251" s="852"/>
      <c r="AO251" s="852"/>
      <c r="AP251" s="853"/>
      <c r="AQ251" s="851"/>
      <c r="AR251" s="843"/>
      <c r="AS251" s="852"/>
      <c r="AT251" s="852"/>
      <c r="AU251" s="852"/>
      <c r="AV251" s="852"/>
      <c r="AW251" s="853"/>
      <c r="AX251" s="819"/>
    </row>
    <row r="252" spans="1:50" ht="12">
      <c r="A252" s="829"/>
      <c r="B252" s="838"/>
      <c r="C252" s="839"/>
      <c r="D252" s="816"/>
      <c r="E252" s="816"/>
      <c r="F252" s="816"/>
      <c r="G252" s="816"/>
      <c r="H252" s="816"/>
      <c r="I252" s="816"/>
      <c r="J252" s="816"/>
      <c r="K252" s="816"/>
      <c r="L252" s="817"/>
      <c r="M252" s="944"/>
      <c r="N252" s="942"/>
      <c r="O252" s="942"/>
      <c r="P252" s="943"/>
      <c r="Q252" s="892"/>
      <c r="R252" s="942" t="s">
        <v>675</v>
      </c>
      <c r="S252" s="942"/>
      <c r="T252" s="942"/>
      <c r="U252" s="942"/>
      <c r="V252" s="942"/>
      <c r="W252" s="942"/>
      <c r="X252" s="942"/>
      <c r="Y252" s="942"/>
      <c r="Z252" s="942"/>
      <c r="AA252" s="942"/>
      <c r="AB252" s="942"/>
      <c r="AC252" s="942"/>
      <c r="AD252" s="893"/>
      <c r="AE252" s="942"/>
      <c r="AF252" s="942"/>
      <c r="AG252" s="942"/>
      <c r="AH252" s="942"/>
      <c r="AI252" s="942"/>
      <c r="AJ252" s="852"/>
      <c r="AK252" s="852"/>
      <c r="AL252" s="852"/>
      <c r="AM252" s="852"/>
      <c r="AN252" s="852"/>
      <c r="AO252" s="852"/>
      <c r="AP252" s="853"/>
      <c r="AQ252" s="851"/>
      <c r="AR252" s="843"/>
      <c r="AS252" s="852"/>
      <c r="AT252" s="852"/>
      <c r="AU252" s="852"/>
      <c r="AV252" s="852"/>
      <c r="AW252" s="853"/>
      <c r="AX252" s="819"/>
    </row>
    <row r="253" spans="1:50" ht="12">
      <c r="A253" s="829"/>
      <c r="B253" s="838"/>
      <c r="C253" s="839"/>
      <c r="D253" s="816"/>
      <c r="E253" s="816"/>
      <c r="F253" s="816"/>
      <c r="G253" s="816"/>
      <c r="H253" s="816"/>
      <c r="I253" s="816"/>
      <c r="J253" s="816"/>
      <c r="K253" s="816"/>
      <c r="L253" s="817"/>
      <c r="M253" s="896"/>
      <c r="N253" s="897"/>
      <c r="O253" s="897"/>
      <c r="P253" s="847"/>
      <c r="Q253" s="896"/>
      <c r="R253" s="898"/>
      <c r="S253" s="898"/>
      <c r="T253" s="897"/>
      <c r="U253" s="897"/>
      <c r="V253" s="897"/>
      <c r="W253" s="897"/>
      <c r="X253" s="899"/>
      <c r="Y253" s="899"/>
      <c r="Z253" s="899"/>
      <c r="AA253" s="899"/>
      <c r="AB253" s="899"/>
      <c r="AC253" s="899"/>
      <c r="AD253" s="899"/>
      <c r="AE253" s="899"/>
      <c r="AF253" s="899"/>
      <c r="AG253" s="899"/>
      <c r="AH253" s="897"/>
      <c r="AI253" s="897"/>
      <c r="AJ253" s="897"/>
      <c r="AK253" s="897"/>
      <c r="AL253" s="897"/>
      <c r="AM253" s="897"/>
      <c r="AN253" s="897"/>
      <c r="AO253" s="897"/>
      <c r="AP253" s="900"/>
      <c r="AQ253" s="896"/>
      <c r="AR253" s="846"/>
      <c r="AS253" s="897"/>
      <c r="AT253" s="897"/>
      <c r="AU253" s="897"/>
      <c r="AV253" s="897"/>
      <c r="AW253" s="900"/>
      <c r="AX253" s="819"/>
    </row>
    <row r="254" spans="1:50" ht="12" thickBot="1">
      <c r="A254" s="830"/>
      <c r="B254" s="831"/>
      <c r="C254" s="831"/>
      <c r="D254" s="831"/>
      <c r="E254" s="831"/>
      <c r="F254" s="831"/>
      <c r="G254" s="831"/>
      <c r="H254" s="831"/>
      <c r="I254" s="831"/>
      <c r="J254" s="831"/>
      <c r="K254" s="831"/>
      <c r="L254" s="831"/>
      <c r="M254" s="831"/>
      <c r="N254" s="831"/>
      <c r="O254" s="831"/>
      <c r="P254" s="831"/>
      <c r="Q254" s="831"/>
      <c r="R254" s="831"/>
      <c r="S254" s="831"/>
      <c r="T254" s="831"/>
      <c r="U254" s="831"/>
      <c r="V254" s="831"/>
      <c r="W254" s="831"/>
      <c r="X254" s="831"/>
      <c r="Y254" s="831"/>
      <c r="Z254" s="831"/>
      <c r="AA254" s="831"/>
      <c r="AB254" s="831"/>
      <c r="AC254" s="831"/>
      <c r="AD254" s="831"/>
      <c r="AE254" s="831"/>
      <c r="AF254" s="831"/>
      <c r="AG254" s="831"/>
      <c r="AH254" s="831"/>
      <c r="AI254" s="831"/>
      <c r="AJ254" s="831"/>
      <c r="AK254" s="831"/>
      <c r="AL254" s="831"/>
      <c r="AM254" s="831"/>
      <c r="AN254" s="831"/>
      <c r="AO254" s="831"/>
      <c r="AP254" s="831"/>
      <c r="AQ254" s="831"/>
      <c r="AR254" s="831"/>
      <c r="AS254" s="831"/>
      <c r="AT254" s="831"/>
      <c r="AU254" s="831"/>
      <c r="AV254" s="831"/>
      <c r="AW254" s="831"/>
      <c r="AX254" s="832"/>
    </row>
  </sheetData>
  <mergeCells count="29">
    <mergeCell ref="B57:C57"/>
    <mergeCell ref="B51:C51"/>
    <mergeCell ref="AM1:AP1"/>
    <mergeCell ref="AQ1:AT1"/>
    <mergeCell ref="AQ3:AT3"/>
    <mergeCell ref="B5:C5"/>
    <mergeCell ref="A1:G3"/>
    <mergeCell ref="H3:K3"/>
    <mergeCell ref="L3:R3"/>
    <mergeCell ref="S3:V3"/>
    <mergeCell ref="W3:AL3"/>
    <mergeCell ref="AH1:AL1"/>
    <mergeCell ref="B14:C14"/>
    <mergeCell ref="AU1:AX1"/>
    <mergeCell ref="H2:K2"/>
    <mergeCell ref="L2:R2"/>
    <mergeCell ref="S2:V2"/>
    <mergeCell ref="W2:AC2"/>
    <mergeCell ref="AD2:AG2"/>
    <mergeCell ref="AH2:AL2"/>
    <mergeCell ref="H1:K1"/>
    <mergeCell ref="L1:R1"/>
    <mergeCell ref="S1:V1"/>
    <mergeCell ref="W1:AC1"/>
    <mergeCell ref="AD1:AG1"/>
    <mergeCell ref="AU2:AX3"/>
    <mergeCell ref="AM2:AP2"/>
    <mergeCell ref="AQ2:AT2"/>
    <mergeCell ref="AM3:AP3"/>
  </mergeCells>
  <phoneticPr fontId="2"/>
  <pageMargins left="0.39370078740157483" right="0.39370078740157483" top="0.51181102362204722" bottom="0.51181102362204722" header="0.31496062992125984" footer="0.31496062992125984"/>
  <pageSetup paperSize="9" fitToHeight="0" orientation="landscape" horizontalDpi="200" verticalDpi="200" r:id="rId1"/>
  <headerFooter alignWithMargins="0">
    <oddFooter>&amp;L&amp;A&amp;C&amp;P/&amp;N&amp;R©Toyo Business Engineering Corp.(B-EN-G) / Confidential</oddFooter>
  </headerFooter>
  <drawing r:id="rId2"/>
  <legacyDrawing r:id="rId3"/>
  <extLst>
    <ext xmlns:x14="http://schemas.microsoft.com/office/spreadsheetml/2009/9/main" uri="{CCE6A557-97BC-4b89-ADB6-D9C93CAAB3DF}">
      <x14:dataValidations xmlns:xm="http://schemas.microsoft.com/office/excel/2006/main" disablePrompts="1" count="1">
        <x14:dataValidation imeMode="off" allowBlank="1" showInputMessage="1" showErrorMessage="1">
          <xm:sqref>KS982805:KT982805 UO982805:UP982805 AEK982805:AEL982805 AOG982805:AOH982805 AYC982805:AYD982805 BHY982805:BHZ982805 BRU982805:BRV982805 CBQ982805:CBR982805 CLM982805:CLN982805 CVI982805:CVJ982805 DFE982805:DFF982805 DPA982805:DPB982805 DYW982805:DYX982805 EIS982805:EIT982805 ESO982805:ESP982805 FCK982805:FCL982805 FMG982805:FMH982805 FWC982805:FWD982805 GFY982805:GFZ982805 GPU982805:GPV982805 GZQ982805:GZR982805 HJM982805:HJN982805 HTI982805:HTJ982805 IDE982805:IDF982805 INA982805:INB982805 IWW982805:IWX982805 JGS982805:JGT982805 JQO982805:JQP982805 KAK982805:KAL982805 KKG982805:KKH982805 KUC982805:KUD982805 LDY982805:LDZ982805 LNU982805:LNV982805 LXQ982805:LXR982805 MHM982805:MHN982805 MRI982805:MRJ982805 NBE982805:NBF982805 NLA982805:NLB982805 NUW982805:NUX982805 OES982805:OET982805 OOO982805:OOP982805 OYK982805:OYL982805 PIG982805:PIH982805 PSC982805:PSD982805 QBY982805:QBZ982805 QLU982805:QLV982805 QVQ982805:QVR982805 RFM982805:RFN982805 RPI982805:RPJ982805 RZE982805:RZF982805 SJA982805:SJB982805 SSW982805:SSX982805 TCS982805:TCT982805 TMO982805:TMP982805 TWK982805:TWL982805 UGG982805:UGH982805 UQC982805:UQD982805 UZY982805:UZZ982805 VJU982805:VJV982805 VTQ982805:VTR982805 WDM982805:WDN982805 WNI982805:WNJ982805 WXE982805:WXF982805 KS65401:KT65429 UO65401:UP65429 AEK65401:AEL65429 AOG65401:AOH65429 AYC65401:AYD65429 BHY65401:BHZ65429 BRU65401:BRV65429 CBQ65401:CBR65429 CLM65401:CLN65429 CVI65401:CVJ65429 DFE65401:DFF65429 DPA65401:DPB65429 DYW65401:DYX65429 EIS65401:EIT65429 ESO65401:ESP65429 FCK65401:FCL65429 FMG65401:FMH65429 FWC65401:FWD65429 GFY65401:GFZ65429 GPU65401:GPV65429 GZQ65401:GZR65429 HJM65401:HJN65429 HTI65401:HTJ65429 IDE65401:IDF65429 INA65401:INB65429 IWW65401:IWX65429 JGS65401:JGT65429 JQO65401:JQP65429 KAK65401:KAL65429 KKG65401:KKH65429 KUC65401:KUD65429 LDY65401:LDZ65429 LNU65401:LNV65429 LXQ65401:LXR65429 MHM65401:MHN65429 MRI65401:MRJ65429 NBE65401:NBF65429 NLA65401:NLB65429 NUW65401:NUX65429 OES65401:OET65429 OOO65401:OOP65429 OYK65401:OYL65429 PIG65401:PIH65429 PSC65401:PSD65429 QBY65401:QBZ65429 QLU65401:QLV65429 QVQ65401:QVR65429 RFM65401:RFN65429 RPI65401:RPJ65429 RZE65401:RZF65429 SJA65401:SJB65429 SSW65401:SSX65429 TCS65401:TCT65429 TMO65401:TMP65429 TWK65401:TWL65429 UGG65401:UGH65429 UQC65401:UQD65429 UZY65401:UZZ65429 VJU65401:VJV65429 VTQ65401:VTR65429 WDM65401:WDN65429 WNI65401:WNJ65429 WXE65401:WXF65429 KS130937:KT130965 UO130937:UP130965 AEK130937:AEL130965 AOG130937:AOH130965 AYC130937:AYD130965 BHY130937:BHZ130965 BRU130937:BRV130965 CBQ130937:CBR130965 CLM130937:CLN130965 CVI130937:CVJ130965 DFE130937:DFF130965 DPA130937:DPB130965 DYW130937:DYX130965 EIS130937:EIT130965 ESO130937:ESP130965 FCK130937:FCL130965 FMG130937:FMH130965 FWC130937:FWD130965 GFY130937:GFZ130965 GPU130937:GPV130965 GZQ130937:GZR130965 HJM130937:HJN130965 HTI130937:HTJ130965 IDE130937:IDF130965 INA130937:INB130965 IWW130937:IWX130965 JGS130937:JGT130965 JQO130937:JQP130965 KAK130937:KAL130965 KKG130937:KKH130965 KUC130937:KUD130965 LDY130937:LDZ130965 LNU130937:LNV130965 LXQ130937:LXR130965 MHM130937:MHN130965 MRI130937:MRJ130965 NBE130937:NBF130965 NLA130937:NLB130965 NUW130937:NUX130965 OES130937:OET130965 OOO130937:OOP130965 OYK130937:OYL130965 PIG130937:PIH130965 PSC130937:PSD130965 QBY130937:QBZ130965 QLU130937:QLV130965 QVQ130937:QVR130965 RFM130937:RFN130965 RPI130937:RPJ130965 RZE130937:RZF130965 SJA130937:SJB130965 SSW130937:SSX130965 TCS130937:TCT130965 TMO130937:TMP130965 TWK130937:TWL130965 UGG130937:UGH130965 UQC130937:UQD130965 UZY130937:UZZ130965 VJU130937:VJV130965 VTQ130937:VTR130965 WDM130937:WDN130965 WNI130937:WNJ130965 WXE130937:WXF130965 KS196473:KT196501 UO196473:UP196501 AEK196473:AEL196501 AOG196473:AOH196501 AYC196473:AYD196501 BHY196473:BHZ196501 BRU196473:BRV196501 CBQ196473:CBR196501 CLM196473:CLN196501 CVI196473:CVJ196501 DFE196473:DFF196501 DPA196473:DPB196501 DYW196473:DYX196501 EIS196473:EIT196501 ESO196473:ESP196501 FCK196473:FCL196501 FMG196473:FMH196501 FWC196473:FWD196501 GFY196473:GFZ196501 GPU196473:GPV196501 GZQ196473:GZR196501 HJM196473:HJN196501 HTI196473:HTJ196501 IDE196473:IDF196501 INA196473:INB196501 IWW196473:IWX196501 JGS196473:JGT196501 JQO196473:JQP196501 KAK196473:KAL196501 KKG196473:KKH196501 KUC196473:KUD196501 LDY196473:LDZ196501 LNU196473:LNV196501 LXQ196473:LXR196501 MHM196473:MHN196501 MRI196473:MRJ196501 NBE196473:NBF196501 NLA196473:NLB196501 NUW196473:NUX196501 OES196473:OET196501 OOO196473:OOP196501 OYK196473:OYL196501 PIG196473:PIH196501 PSC196473:PSD196501 QBY196473:QBZ196501 QLU196473:QLV196501 QVQ196473:QVR196501 RFM196473:RFN196501 RPI196473:RPJ196501 RZE196473:RZF196501 SJA196473:SJB196501 SSW196473:SSX196501 TCS196473:TCT196501 TMO196473:TMP196501 TWK196473:TWL196501 UGG196473:UGH196501 UQC196473:UQD196501 UZY196473:UZZ196501 VJU196473:VJV196501 VTQ196473:VTR196501 WDM196473:WDN196501 WNI196473:WNJ196501 WXE196473:WXF196501 KS262009:KT262037 UO262009:UP262037 AEK262009:AEL262037 AOG262009:AOH262037 AYC262009:AYD262037 BHY262009:BHZ262037 BRU262009:BRV262037 CBQ262009:CBR262037 CLM262009:CLN262037 CVI262009:CVJ262037 DFE262009:DFF262037 DPA262009:DPB262037 DYW262009:DYX262037 EIS262009:EIT262037 ESO262009:ESP262037 FCK262009:FCL262037 FMG262009:FMH262037 FWC262009:FWD262037 GFY262009:GFZ262037 GPU262009:GPV262037 GZQ262009:GZR262037 HJM262009:HJN262037 HTI262009:HTJ262037 IDE262009:IDF262037 INA262009:INB262037 IWW262009:IWX262037 JGS262009:JGT262037 JQO262009:JQP262037 KAK262009:KAL262037 KKG262009:KKH262037 KUC262009:KUD262037 LDY262009:LDZ262037 LNU262009:LNV262037 LXQ262009:LXR262037 MHM262009:MHN262037 MRI262009:MRJ262037 NBE262009:NBF262037 NLA262009:NLB262037 NUW262009:NUX262037 OES262009:OET262037 OOO262009:OOP262037 OYK262009:OYL262037 PIG262009:PIH262037 PSC262009:PSD262037 QBY262009:QBZ262037 QLU262009:QLV262037 QVQ262009:QVR262037 RFM262009:RFN262037 RPI262009:RPJ262037 RZE262009:RZF262037 SJA262009:SJB262037 SSW262009:SSX262037 TCS262009:TCT262037 TMO262009:TMP262037 TWK262009:TWL262037 UGG262009:UGH262037 UQC262009:UQD262037 UZY262009:UZZ262037 VJU262009:VJV262037 VTQ262009:VTR262037 WDM262009:WDN262037 WNI262009:WNJ262037 WXE262009:WXF262037 KS327545:KT327573 UO327545:UP327573 AEK327545:AEL327573 AOG327545:AOH327573 AYC327545:AYD327573 BHY327545:BHZ327573 BRU327545:BRV327573 CBQ327545:CBR327573 CLM327545:CLN327573 CVI327545:CVJ327573 DFE327545:DFF327573 DPA327545:DPB327573 DYW327545:DYX327573 EIS327545:EIT327573 ESO327545:ESP327573 FCK327545:FCL327573 FMG327545:FMH327573 FWC327545:FWD327573 GFY327545:GFZ327573 GPU327545:GPV327573 GZQ327545:GZR327573 HJM327545:HJN327573 HTI327545:HTJ327573 IDE327545:IDF327573 INA327545:INB327573 IWW327545:IWX327573 JGS327545:JGT327573 JQO327545:JQP327573 KAK327545:KAL327573 KKG327545:KKH327573 KUC327545:KUD327573 LDY327545:LDZ327573 LNU327545:LNV327573 LXQ327545:LXR327573 MHM327545:MHN327573 MRI327545:MRJ327573 NBE327545:NBF327573 NLA327545:NLB327573 NUW327545:NUX327573 OES327545:OET327573 OOO327545:OOP327573 OYK327545:OYL327573 PIG327545:PIH327573 PSC327545:PSD327573 QBY327545:QBZ327573 QLU327545:QLV327573 QVQ327545:QVR327573 RFM327545:RFN327573 RPI327545:RPJ327573 RZE327545:RZF327573 SJA327545:SJB327573 SSW327545:SSX327573 TCS327545:TCT327573 TMO327545:TMP327573 TWK327545:TWL327573 UGG327545:UGH327573 UQC327545:UQD327573 UZY327545:UZZ327573 VJU327545:VJV327573 VTQ327545:VTR327573 WDM327545:WDN327573 WNI327545:WNJ327573 WXE327545:WXF327573 KS393081:KT393109 UO393081:UP393109 AEK393081:AEL393109 AOG393081:AOH393109 AYC393081:AYD393109 BHY393081:BHZ393109 BRU393081:BRV393109 CBQ393081:CBR393109 CLM393081:CLN393109 CVI393081:CVJ393109 DFE393081:DFF393109 DPA393081:DPB393109 DYW393081:DYX393109 EIS393081:EIT393109 ESO393081:ESP393109 FCK393081:FCL393109 FMG393081:FMH393109 FWC393081:FWD393109 GFY393081:GFZ393109 GPU393081:GPV393109 GZQ393081:GZR393109 HJM393081:HJN393109 HTI393081:HTJ393109 IDE393081:IDF393109 INA393081:INB393109 IWW393081:IWX393109 JGS393081:JGT393109 JQO393081:JQP393109 KAK393081:KAL393109 KKG393081:KKH393109 KUC393081:KUD393109 LDY393081:LDZ393109 LNU393081:LNV393109 LXQ393081:LXR393109 MHM393081:MHN393109 MRI393081:MRJ393109 NBE393081:NBF393109 NLA393081:NLB393109 NUW393081:NUX393109 OES393081:OET393109 OOO393081:OOP393109 OYK393081:OYL393109 PIG393081:PIH393109 PSC393081:PSD393109 QBY393081:QBZ393109 QLU393081:QLV393109 QVQ393081:QVR393109 RFM393081:RFN393109 RPI393081:RPJ393109 RZE393081:RZF393109 SJA393081:SJB393109 SSW393081:SSX393109 TCS393081:TCT393109 TMO393081:TMP393109 TWK393081:TWL393109 UGG393081:UGH393109 UQC393081:UQD393109 UZY393081:UZZ393109 VJU393081:VJV393109 VTQ393081:VTR393109 WDM393081:WDN393109 WNI393081:WNJ393109 WXE393081:WXF393109 KS458617:KT458645 UO458617:UP458645 AEK458617:AEL458645 AOG458617:AOH458645 AYC458617:AYD458645 BHY458617:BHZ458645 BRU458617:BRV458645 CBQ458617:CBR458645 CLM458617:CLN458645 CVI458617:CVJ458645 DFE458617:DFF458645 DPA458617:DPB458645 DYW458617:DYX458645 EIS458617:EIT458645 ESO458617:ESP458645 FCK458617:FCL458645 FMG458617:FMH458645 FWC458617:FWD458645 GFY458617:GFZ458645 GPU458617:GPV458645 GZQ458617:GZR458645 HJM458617:HJN458645 HTI458617:HTJ458645 IDE458617:IDF458645 INA458617:INB458645 IWW458617:IWX458645 JGS458617:JGT458645 JQO458617:JQP458645 KAK458617:KAL458645 KKG458617:KKH458645 KUC458617:KUD458645 LDY458617:LDZ458645 LNU458617:LNV458645 LXQ458617:LXR458645 MHM458617:MHN458645 MRI458617:MRJ458645 NBE458617:NBF458645 NLA458617:NLB458645 NUW458617:NUX458645 OES458617:OET458645 OOO458617:OOP458645 OYK458617:OYL458645 PIG458617:PIH458645 PSC458617:PSD458645 QBY458617:QBZ458645 QLU458617:QLV458645 QVQ458617:QVR458645 RFM458617:RFN458645 RPI458617:RPJ458645 RZE458617:RZF458645 SJA458617:SJB458645 SSW458617:SSX458645 TCS458617:TCT458645 TMO458617:TMP458645 TWK458617:TWL458645 UGG458617:UGH458645 UQC458617:UQD458645 UZY458617:UZZ458645 VJU458617:VJV458645 VTQ458617:VTR458645 WDM458617:WDN458645 WNI458617:WNJ458645 WXE458617:WXF458645 KS524153:KT524181 UO524153:UP524181 AEK524153:AEL524181 AOG524153:AOH524181 AYC524153:AYD524181 BHY524153:BHZ524181 BRU524153:BRV524181 CBQ524153:CBR524181 CLM524153:CLN524181 CVI524153:CVJ524181 DFE524153:DFF524181 DPA524153:DPB524181 DYW524153:DYX524181 EIS524153:EIT524181 ESO524153:ESP524181 FCK524153:FCL524181 FMG524153:FMH524181 FWC524153:FWD524181 GFY524153:GFZ524181 GPU524153:GPV524181 GZQ524153:GZR524181 HJM524153:HJN524181 HTI524153:HTJ524181 IDE524153:IDF524181 INA524153:INB524181 IWW524153:IWX524181 JGS524153:JGT524181 JQO524153:JQP524181 KAK524153:KAL524181 KKG524153:KKH524181 KUC524153:KUD524181 LDY524153:LDZ524181 LNU524153:LNV524181 LXQ524153:LXR524181 MHM524153:MHN524181 MRI524153:MRJ524181 NBE524153:NBF524181 NLA524153:NLB524181 NUW524153:NUX524181 OES524153:OET524181 OOO524153:OOP524181 OYK524153:OYL524181 PIG524153:PIH524181 PSC524153:PSD524181 QBY524153:QBZ524181 QLU524153:QLV524181 QVQ524153:QVR524181 RFM524153:RFN524181 RPI524153:RPJ524181 RZE524153:RZF524181 SJA524153:SJB524181 SSW524153:SSX524181 TCS524153:TCT524181 TMO524153:TMP524181 TWK524153:TWL524181 UGG524153:UGH524181 UQC524153:UQD524181 UZY524153:UZZ524181 VJU524153:VJV524181 VTQ524153:VTR524181 WDM524153:WDN524181 WNI524153:WNJ524181 WXE524153:WXF524181 KS589689:KT589717 UO589689:UP589717 AEK589689:AEL589717 AOG589689:AOH589717 AYC589689:AYD589717 BHY589689:BHZ589717 BRU589689:BRV589717 CBQ589689:CBR589717 CLM589689:CLN589717 CVI589689:CVJ589717 DFE589689:DFF589717 DPA589689:DPB589717 DYW589689:DYX589717 EIS589689:EIT589717 ESO589689:ESP589717 FCK589689:FCL589717 FMG589689:FMH589717 FWC589689:FWD589717 GFY589689:GFZ589717 GPU589689:GPV589717 GZQ589689:GZR589717 HJM589689:HJN589717 HTI589689:HTJ589717 IDE589689:IDF589717 INA589689:INB589717 IWW589689:IWX589717 JGS589689:JGT589717 JQO589689:JQP589717 KAK589689:KAL589717 KKG589689:KKH589717 KUC589689:KUD589717 LDY589689:LDZ589717 LNU589689:LNV589717 LXQ589689:LXR589717 MHM589689:MHN589717 MRI589689:MRJ589717 NBE589689:NBF589717 NLA589689:NLB589717 NUW589689:NUX589717 OES589689:OET589717 OOO589689:OOP589717 OYK589689:OYL589717 PIG589689:PIH589717 PSC589689:PSD589717 QBY589689:QBZ589717 QLU589689:QLV589717 QVQ589689:QVR589717 RFM589689:RFN589717 RPI589689:RPJ589717 RZE589689:RZF589717 SJA589689:SJB589717 SSW589689:SSX589717 TCS589689:TCT589717 TMO589689:TMP589717 TWK589689:TWL589717 UGG589689:UGH589717 UQC589689:UQD589717 UZY589689:UZZ589717 VJU589689:VJV589717 VTQ589689:VTR589717 WDM589689:WDN589717 WNI589689:WNJ589717 WXE589689:WXF589717 KS655225:KT655253 UO655225:UP655253 AEK655225:AEL655253 AOG655225:AOH655253 AYC655225:AYD655253 BHY655225:BHZ655253 BRU655225:BRV655253 CBQ655225:CBR655253 CLM655225:CLN655253 CVI655225:CVJ655253 DFE655225:DFF655253 DPA655225:DPB655253 DYW655225:DYX655253 EIS655225:EIT655253 ESO655225:ESP655253 FCK655225:FCL655253 FMG655225:FMH655253 FWC655225:FWD655253 GFY655225:GFZ655253 GPU655225:GPV655253 GZQ655225:GZR655253 HJM655225:HJN655253 HTI655225:HTJ655253 IDE655225:IDF655253 INA655225:INB655253 IWW655225:IWX655253 JGS655225:JGT655253 JQO655225:JQP655253 KAK655225:KAL655253 KKG655225:KKH655253 KUC655225:KUD655253 LDY655225:LDZ655253 LNU655225:LNV655253 LXQ655225:LXR655253 MHM655225:MHN655253 MRI655225:MRJ655253 NBE655225:NBF655253 NLA655225:NLB655253 NUW655225:NUX655253 OES655225:OET655253 OOO655225:OOP655253 OYK655225:OYL655253 PIG655225:PIH655253 PSC655225:PSD655253 QBY655225:QBZ655253 QLU655225:QLV655253 QVQ655225:QVR655253 RFM655225:RFN655253 RPI655225:RPJ655253 RZE655225:RZF655253 SJA655225:SJB655253 SSW655225:SSX655253 TCS655225:TCT655253 TMO655225:TMP655253 TWK655225:TWL655253 UGG655225:UGH655253 UQC655225:UQD655253 UZY655225:UZZ655253 VJU655225:VJV655253 VTQ655225:VTR655253 WDM655225:WDN655253 WNI655225:WNJ655253 WXE655225:WXF655253 KS720761:KT720789 UO720761:UP720789 AEK720761:AEL720789 AOG720761:AOH720789 AYC720761:AYD720789 BHY720761:BHZ720789 BRU720761:BRV720789 CBQ720761:CBR720789 CLM720761:CLN720789 CVI720761:CVJ720789 DFE720761:DFF720789 DPA720761:DPB720789 DYW720761:DYX720789 EIS720761:EIT720789 ESO720761:ESP720789 FCK720761:FCL720789 FMG720761:FMH720789 FWC720761:FWD720789 GFY720761:GFZ720789 GPU720761:GPV720789 GZQ720761:GZR720789 HJM720761:HJN720789 HTI720761:HTJ720789 IDE720761:IDF720789 INA720761:INB720789 IWW720761:IWX720789 JGS720761:JGT720789 JQO720761:JQP720789 KAK720761:KAL720789 KKG720761:KKH720789 KUC720761:KUD720789 LDY720761:LDZ720789 LNU720761:LNV720789 LXQ720761:LXR720789 MHM720761:MHN720789 MRI720761:MRJ720789 NBE720761:NBF720789 NLA720761:NLB720789 NUW720761:NUX720789 OES720761:OET720789 OOO720761:OOP720789 OYK720761:OYL720789 PIG720761:PIH720789 PSC720761:PSD720789 QBY720761:QBZ720789 QLU720761:QLV720789 QVQ720761:QVR720789 RFM720761:RFN720789 RPI720761:RPJ720789 RZE720761:RZF720789 SJA720761:SJB720789 SSW720761:SSX720789 TCS720761:TCT720789 TMO720761:TMP720789 TWK720761:TWL720789 UGG720761:UGH720789 UQC720761:UQD720789 UZY720761:UZZ720789 VJU720761:VJV720789 VTQ720761:VTR720789 WDM720761:WDN720789 WNI720761:WNJ720789 WXE720761:WXF720789 KS786297:KT786325 UO786297:UP786325 AEK786297:AEL786325 AOG786297:AOH786325 AYC786297:AYD786325 BHY786297:BHZ786325 BRU786297:BRV786325 CBQ786297:CBR786325 CLM786297:CLN786325 CVI786297:CVJ786325 DFE786297:DFF786325 DPA786297:DPB786325 DYW786297:DYX786325 EIS786297:EIT786325 ESO786297:ESP786325 FCK786297:FCL786325 FMG786297:FMH786325 FWC786297:FWD786325 GFY786297:GFZ786325 GPU786297:GPV786325 GZQ786297:GZR786325 HJM786297:HJN786325 HTI786297:HTJ786325 IDE786297:IDF786325 INA786297:INB786325 IWW786297:IWX786325 JGS786297:JGT786325 JQO786297:JQP786325 KAK786297:KAL786325 KKG786297:KKH786325 KUC786297:KUD786325 LDY786297:LDZ786325 LNU786297:LNV786325 LXQ786297:LXR786325 MHM786297:MHN786325 MRI786297:MRJ786325 NBE786297:NBF786325 NLA786297:NLB786325 NUW786297:NUX786325 OES786297:OET786325 OOO786297:OOP786325 OYK786297:OYL786325 PIG786297:PIH786325 PSC786297:PSD786325 QBY786297:QBZ786325 QLU786297:QLV786325 QVQ786297:QVR786325 RFM786297:RFN786325 RPI786297:RPJ786325 RZE786297:RZF786325 SJA786297:SJB786325 SSW786297:SSX786325 TCS786297:TCT786325 TMO786297:TMP786325 TWK786297:TWL786325 UGG786297:UGH786325 UQC786297:UQD786325 UZY786297:UZZ786325 VJU786297:VJV786325 VTQ786297:VTR786325 WDM786297:WDN786325 WNI786297:WNJ786325 WXE786297:WXF786325 KS851833:KT851861 UO851833:UP851861 AEK851833:AEL851861 AOG851833:AOH851861 AYC851833:AYD851861 BHY851833:BHZ851861 BRU851833:BRV851861 CBQ851833:CBR851861 CLM851833:CLN851861 CVI851833:CVJ851861 DFE851833:DFF851861 DPA851833:DPB851861 DYW851833:DYX851861 EIS851833:EIT851861 ESO851833:ESP851861 FCK851833:FCL851861 FMG851833:FMH851861 FWC851833:FWD851861 GFY851833:GFZ851861 GPU851833:GPV851861 GZQ851833:GZR851861 HJM851833:HJN851861 HTI851833:HTJ851861 IDE851833:IDF851861 INA851833:INB851861 IWW851833:IWX851861 JGS851833:JGT851861 JQO851833:JQP851861 KAK851833:KAL851861 KKG851833:KKH851861 KUC851833:KUD851861 LDY851833:LDZ851861 LNU851833:LNV851861 LXQ851833:LXR851861 MHM851833:MHN851861 MRI851833:MRJ851861 NBE851833:NBF851861 NLA851833:NLB851861 NUW851833:NUX851861 OES851833:OET851861 OOO851833:OOP851861 OYK851833:OYL851861 PIG851833:PIH851861 PSC851833:PSD851861 QBY851833:QBZ851861 QLU851833:QLV851861 QVQ851833:QVR851861 RFM851833:RFN851861 RPI851833:RPJ851861 RZE851833:RZF851861 SJA851833:SJB851861 SSW851833:SSX851861 TCS851833:TCT851861 TMO851833:TMP851861 TWK851833:TWL851861 UGG851833:UGH851861 UQC851833:UQD851861 UZY851833:UZZ851861 VJU851833:VJV851861 VTQ851833:VTR851861 WDM851833:WDN851861 WNI851833:WNJ851861 WXE851833:WXF851861 KS917369:KT917397 UO917369:UP917397 AEK917369:AEL917397 AOG917369:AOH917397 AYC917369:AYD917397 BHY917369:BHZ917397 BRU917369:BRV917397 CBQ917369:CBR917397 CLM917369:CLN917397 CVI917369:CVJ917397 DFE917369:DFF917397 DPA917369:DPB917397 DYW917369:DYX917397 EIS917369:EIT917397 ESO917369:ESP917397 FCK917369:FCL917397 FMG917369:FMH917397 FWC917369:FWD917397 GFY917369:GFZ917397 GPU917369:GPV917397 GZQ917369:GZR917397 HJM917369:HJN917397 HTI917369:HTJ917397 IDE917369:IDF917397 INA917369:INB917397 IWW917369:IWX917397 JGS917369:JGT917397 JQO917369:JQP917397 KAK917369:KAL917397 KKG917369:KKH917397 KUC917369:KUD917397 LDY917369:LDZ917397 LNU917369:LNV917397 LXQ917369:LXR917397 MHM917369:MHN917397 MRI917369:MRJ917397 NBE917369:NBF917397 NLA917369:NLB917397 NUW917369:NUX917397 OES917369:OET917397 OOO917369:OOP917397 OYK917369:OYL917397 PIG917369:PIH917397 PSC917369:PSD917397 QBY917369:QBZ917397 QLU917369:QLV917397 QVQ917369:QVR917397 RFM917369:RFN917397 RPI917369:RPJ917397 RZE917369:RZF917397 SJA917369:SJB917397 SSW917369:SSX917397 TCS917369:TCT917397 TMO917369:TMP917397 TWK917369:TWL917397 UGG917369:UGH917397 UQC917369:UQD917397 UZY917369:UZZ917397 VJU917369:VJV917397 VTQ917369:VTR917397 WDM917369:WDN917397 WNI917369:WNJ917397 WXE917369:WXF917397 KS982905:KT982933 UO982905:UP982933 AEK982905:AEL982933 AOG982905:AOH982933 AYC982905:AYD982933 BHY982905:BHZ982933 BRU982905:BRV982933 CBQ982905:CBR982933 CLM982905:CLN982933 CVI982905:CVJ982933 DFE982905:DFF982933 DPA982905:DPB982933 DYW982905:DYX982933 EIS982905:EIT982933 ESO982905:ESP982933 FCK982905:FCL982933 FMG982905:FMH982933 FWC982905:FWD982933 GFY982905:GFZ982933 GPU982905:GPV982933 GZQ982905:GZR982933 HJM982905:HJN982933 HTI982905:HTJ982933 IDE982905:IDF982933 INA982905:INB982933 IWW982905:IWX982933 JGS982905:JGT982933 JQO982905:JQP982933 KAK982905:KAL982933 KKG982905:KKH982933 KUC982905:KUD982933 LDY982905:LDZ982933 LNU982905:LNV982933 LXQ982905:LXR982933 MHM982905:MHN982933 MRI982905:MRJ982933 NBE982905:NBF982933 NLA982905:NLB982933 NUW982905:NUX982933 OES982905:OET982933 OOO982905:OOP982933 OYK982905:OYL982933 PIG982905:PIH982933 PSC982905:PSD982933 QBY982905:QBZ982933 QLU982905:QLV982933 QVQ982905:QVR982933 RFM982905:RFN982933 RPI982905:RPJ982933 RZE982905:RZF982933 SJA982905:SJB982933 SSW982905:SSX982933 TCS982905:TCT982933 TMO982905:TMP982933 TWK982905:TWL982933 UGG982905:UGH982933 UQC982905:UQD982933 UZY982905:UZZ982933 VJU982905:VJV982933 VTQ982905:VTR982933 WDM982905:WDN982933 WNI982905:WNJ982933 WXE982905:WXF982933 KS982825:KT982829 UO982825:UP982829 AEK982825:AEL982829 AOG982825:AOH982829 AYC982825:AYD982829 BHY982825:BHZ982829 BRU982825:BRV982829 CBQ982825:CBR982829 CLM982825:CLN982829 CVI982825:CVJ982829 DFE982825:DFF982829 DPA982825:DPB982829 DYW982825:DYX982829 EIS982825:EIT982829 ESO982825:ESP982829 FCK982825:FCL982829 FMG982825:FMH982829 FWC982825:FWD982829 GFY982825:GFZ982829 GPU982825:GPV982829 GZQ982825:GZR982829 HJM982825:HJN982829 HTI982825:HTJ982829 IDE982825:IDF982829 INA982825:INB982829 IWW982825:IWX982829 JGS982825:JGT982829 JQO982825:JQP982829 KAK982825:KAL982829 KKG982825:KKH982829 KUC982825:KUD982829 LDY982825:LDZ982829 LNU982825:LNV982829 LXQ982825:LXR982829 MHM982825:MHN982829 MRI982825:MRJ982829 NBE982825:NBF982829 NLA982825:NLB982829 NUW982825:NUX982829 OES982825:OET982829 OOO982825:OOP982829 OYK982825:OYL982829 PIG982825:PIH982829 PSC982825:PSD982829 QBY982825:QBZ982829 QLU982825:QLV982829 QVQ982825:QVR982829 RFM982825:RFN982829 RPI982825:RPJ982829 RZE982825:RZF982829 SJA982825:SJB982829 SSW982825:SSX982829 TCS982825:TCT982829 TMO982825:TMP982829 TWK982825:TWL982829 UGG982825:UGH982829 UQC982825:UQD982829 UZY982825:UZZ982829 VJU982825:VJV982829 VTQ982825:VTR982829 WDM982825:WDN982829 WNI982825:WNJ982829 WXE982825:WXF982829 KS65397:KT65398 UO65397:UP65398 AEK65397:AEL65398 AOG65397:AOH65398 AYC65397:AYD65398 BHY65397:BHZ65398 BRU65397:BRV65398 CBQ65397:CBR65398 CLM65397:CLN65398 CVI65397:CVJ65398 DFE65397:DFF65398 DPA65397:DPB65398 DYW65397:DYX65398 EIS65397:EIT65398 ESO65397:ESP65398 FCK65397:FCL65398 FMG65397:FMH65398 FWC65397:FWD65398 GFY65397:GFZ65398 GPU65397:GPV65398 GZQ65397:GZR65398 HJM65397:HJN65398 HTI65397:HTJ65398 IDE65397:IDF65398 INA65397:INB65398 IWW65397:IWX65398 JGS65397:JGT65398 JQO65397:JQP65398 KAK65397:KAL65398 KKG65397:KKH65398 KUC65397:KUD65398 LDY65397:LDZ65398 LNU65397:LNV65398 LXQ65397:LXR65398 MHM65397:MHN65398 MRI65397:MRJ65398 NBE65397:NBF65398 NLA65397:NLB65398 NUW65397:NUX65398 OES65397:OET65398 OOO65397:OOP65398 OYK65397:OYL65398 PIG65397:PIH65398 PSC65397:PSD65398 QBY65397:QBZ65398 QLU65397:QLV65398 QVQ65397:QVR65398 RFM65397:RFN65398 RPI65397:RPJ65398 RZE65397:RZF65398 SJA65397:SJB65398 SSW65397:SSX65398 TCS65397:TCT65398 TMO65397:TMP65398 TWK65397:TWL65398 UGG65397:UGH65398 UQC65397:UQD65398 UZY65397:UZZ65398 VJU65397:VJV65398 VTQ65397:VTR65398 WDM65397:WDN65398 WNI65397:WNJ65398 WXE65397:WXF65398 KS130933:KT130934 UO130933:UP130934 AEK130933:AEL130934 AOG130933:AOH130934 AYC130933:AYD130934 BHY130933:BHZ130934 BRU130933:BRV130934 CBQ130933:CBR130934 CLM130933:CLN130934 CVI130933:CVJ130934 DFE130933:DFF130934 DPA130933:DPB130934 DYW130933:DYX130934 EIS130933:EIT130934 ESO130933:ESP130934 FCK130933:FCL130934 FMG130933:FMH130934 FWC130933:FWD130934 GFY130933:GFZ130934 GPU130933:GPV130934 GZQ130933:GZR130934 HJM130933:HJN130934 HTI130933:HTJ130934 IDE130933:IDF130934 INA130933:INB130934 IWW130933:IWX130934 JGS130933:JGT130934 JQO130933:JQP130934 KAK130933:KAL130934 KKG130933:KKH130934 KUC130933:KUD130934 LDY130933:LDZ130934 LNU130933:LNV130934 LXQ130933:LXR130934 MHM130933:MHN130934 MRI130933:MRJ130934 NBE130933:NBF130934 NLA130933:NLB130934 NUW130933:NUX130934 OES130933:OET130934 OOO130933:OOP130934 OYK130933:OYL130934 PIG130933:PIH130934 PSC130933:PSD130934 QBY130933:QBZ130934 QLU130933:QLV130934 QVQ130933:QVR130934 RFM130933:RFN130934 RPI130933:RPJ130934 RZE130933:RZF130934 SJA130933:SJB130934 SSW130933:SSX130934 TCS130933:TCT130934 TMO130933:TMP130934 TWK130933:TWL130934 UGG130933:UGH130934 UQC130933:UQD130934 UZY130933:UZZ130934 VJU130933:VJV130934 VTQ130933:VTR130934 WDM130933:WDN130934 WNI130933:WNJ130934 WXE130933:WXF130934 KS196469:KT196470 UO196469:UP196470 AEK196469:AEL196470 AOG196469:AOH196470 AYC196469:AYD196470 BHY196469:BHZ196470 BRU196469:BRV196470 CBQ196469:CBR196470 CLM196469:CLN196470 CVI196469:CVJ196470 DFE196469:DFF196470 DPA196469:DPB196470 DYW196469:DYX196470 EIS196469:EIT196470 ESO196469:ESP196470 FCK196469:FCL196470 FMG196469:FMH196470 FWC196469:FWD196470 GFY196469:GFZ196470 GPU196469:GPV196470 GZQ196469:GZR196470 HJM196469:HJN196470 HTI196469:HTJ196470 IDE196469:IDF196470 INA196469:INB196470 IWW196469:IWX196470 JGS196469:JGT196470 JQO196469:JQP196470 KAK196469:KAL196470 KKG196469:KKH196470 KUC196469:KUD196470 LDY196469:LDZ196470 LNU196469:LNV196470 LXQ196469:LXR196470 MHM196469:MHN196470 MRI196469:MRJ196470 NBE196469:NBF196470 NLA196469:NLB196470 NUW196469:NUX196470 OES196469:OET196470 OOO196469:OOP196470 OYK196469:OYL196470 PIG196469:PIH196470 PSC196469:PSD196470 QBY196469:QBZ196470 QLU196469:QLV196470 QVQ196469:QVR196470 RFM196469:RFN196470 RPI196469:RPJ196470 RZE196469:RZF196470 SJA196469:SJB196470 SSW196469:SSX196470 TCS196469:TCT196470 TMO196469:TMP196470 TWK196469:TWL196470 UGG196469:UGH196470 UQC196469:UQD196470 UZY196469:UZZ196470 VJU196469:VJV196470 VTQ196469:VTR196470 WDM196469:WDN196470 WNI196469:WNJ196470 WXE196469:WXF196470 KS262005:KT262006 UO262005:UP262006 AEK262005:AEL262006 AOG262005:AOH262006 AYC262005:AYD262006 BHY262005:BHZ262006 BRU262005:BRV262006 CBQ262005:CBR262006 CLM262005:CLN262006 CVI262005:CVJ262006 DFE262005:DFF262006 DPA262005:DPB262006 DYW262005:DYX262006 EIS262005:EIT262006 ESO262005:ESP262006 FCK262005:FCL262006 FMG262005:FMH262006 FWC262005:FWD262006 GFY262005:GFZ262006 GPU262005:GPV262006 GZQ262005:GZR262006 HJM262005:HJN262006 HTI262005:HTJ262006 IDE262005:IDF262006 INA262005:INB262006 IWW262005:IWX262006 JGS262005:JGT262006 JQO262005:JQP262006 KAK262005:KAL262006 KKG262005:KKH262006 KUC262005:KUD262006 LDY262005:LDZ262006 LNU262005:LNV262006 LXQ262005:LXR262006 MHM262005:MHN262006 MRI262005:MRJ262006 NBE262005:NBF262006 NLA262005:NLB262006 NUW262005:NUX262006 OES262005:OET262006 OOO262005:OOP262006 OYK262005:OYL262006 PIG262005:PIH262006 PSC262005:PSD262006 QBY262005:QBZ262006 QLU262005:QLV262006 QVQ262005:QVR262006 RFM262005:RFN262006 RPI262005:RPJ262006 RZE262005:RZF262006 SJA262005:SJB262006 SSW262005:SSX262006 TCS262005:TCT262006 TMO262005:TMP262006 TWK262005:TWL262006 UGG262005:UGH262006 UQC262005:UQD262006 UZY262005:UZZ262006 VJU262005:VJV262006 VTQ262005:VTR262006 WDM262005:WDN262006 WNI262005:WNJ262006 WXE262005:WXF262006 KS327541:KT327542 UO327541:UP327542 AEK327541:AEL327542 AOG327541:AOH327542 AYC327541:AYD327542 BHY327541:BHZ327542 BRU327541:BRV327542 CBQ327541:CBR327542 CLM327541:CLN327542 CVI327541:CVJ327542 DFE327541:DFF327542 DPA327541:DPB327542 DYW327541:DYX327542 EIS327541:EIT327542 ESO327541:ESP327542 FCK327541:FCL327542 FMG327541:FMH327542 FWC327541:FWD327542 GFY327541:GFZ327542 GPU327541:GPV327542 GZQ327541:GZR327542 HJM327541:HJN327542 HTI327541:HTJ327542 IDE327541:IDF327542 INA327541:INB327542 IWW327541:IWX327542 JGS327541:JGT327542 JQO327541:JQP327542 KAK327541:KAL327542 KKG327541:KKH327542 KUC327541:KUD327542 LDY327541:LDZ327542 LNU327541:LNV327542 LXQ327541:LXR327542 MHM327541:MHN327542 MRI327541:MRJ327542 NBE327541:NBF327542 NLA327541:NLB327542 NUW327541:NUX327542 OES327541:OET327542 OOO327541:OOP327542 OYK327541:OYL327542 PIG327541:PIH327542 PSC327541:PSD327542 QBY327541:QBZ327542 QLU327541:QLV327542 QVQ327541:QVR327542 RFM327541:RFN327542 RPI327541:RPJ327542 RZE327541:RZF327542 SJA327541:SJB327542 SSW327541:SSX327542 TCS327541:TCT327542 TMO327541:TMP327542 TWK327541:TWL327542 UGG327541:UGH327542 UQC327541:UQD327542 UZY327541:UZZ327542 VJU327541:VJV327542 VTQ327541:VTR327542 WDM327541:WDN327542 WNI327541:WNJ327542 WXE327541:WXF327542 KS393077:KT393078 UO393077:UP393078 AEK393077:AEL393078 AOG393077:AOH393078 AYC393077:AYD393078 BHY393077:BHZ393078 BRU393077:BRV393078 CBQ393077:CBR393078 CLM393077:CLN393078 CVI393077:CVJ393078 DFE393077:DFF393078 DPA393077:DPB393078 DYW393077:DYX393078 EIS393077:EIT393078 ESO393077:ESP393078 FCK393077:FCL393078 FMG393077:FMH393078 FWC393077:FWD393078 GFY393077:GFZ393078 GPU393077:GPV393078 GZQ393077:GZR393078 HJM393077:HJN393078 HTI393077:HTJ393078 IDE393077:IDF393078 INA393077:INB393078 IWW393077:IWX393078 JGS393077:JGT393078 JQO393077:JQP393078 KAK393077:KAL393078 KKG393077:KKH393078 KUC393077:KUD393078 LDY393077:LDZ393078 LNU393077:LNV393078 LXQ393077:LXR393078 MHM393077:MHN393078 MRI393077:MRJ393078 NBE393077:NBF393078 NLA393077:NLB393078 NUW393077:NUX393078 OES393077:OET393078 OOO393077:OOP393078 OYK393077:OYL393078 PIG393077:PIH393078 PSC393077:PSD393078 QBY393077:QBZ393078 QLU393077:QLV393078 QVQ393077:QVR393078 RFM393077:RFN393078 RPI393077:RPJ393078 RZE393077:RZF393078 SJA393077:SJB393078 SSW393077:SSX393078 TCS393077:TCT393078 TMO393077:TMP393078 TWK393077:TWL393078 UGG393077:UGH393078 UQC393077:UQD393078 UZY393077:UZZ393078 VJU393077:VJV393078 VTQ393077:VTR393078 WDM393077:WDN393078 WNI393077:WNJ393078 WXE393077:WXF393078 KS458613:KT458614 UO458613:UP458614 AEK458613:AEL458614 AOG458613:AOH458614 AYC458613:AYD458614 BHY458613:BHZ458614 BRU458613:BRV458614 CBQ458613:CBR458614 CLM458613:CLN458614 CVI458613:CVJ458614 DFE458613:DFF458614 DPA458613:DPB458614 DYW458613:DYX458614 EIS458613:EIT458614 ESO458613:ESP458614 FCK458613:FCL458614 FMG458613:FMH458614 FWC458613:FWD458614 GFY458613:GFZ458614 GPU458613:GPV458614 GZQ458613:GZR458614 HJM458613:HJN458614 HTI458613:HTJ458614 IDE458613:IDF458614 INA458613:INB458614 IWW458613:IWX458614 JGS458613:JGT458614 JQO458613:JQP458614 KAK458613:KAL458614 KKG458613:KKH458614 KUC458613:KUD458614 LDY458613:LDZ458614 LNU458613:LNV458614 LXQ458613:LXR458614 MHM458613:MHN458614 MRI458613:MRJ458614 NBE458613:NBF458614 NLA458613:NLB458614 NUW458613:NUX458614 OES458613:OET458614 OOO458613:OOP458614 OYK458613:OYL458614 PIG458613:PIH458614 PSC458613:PSD458614 QBY458613:QBZ458614 QLU458613:QLV458614 QVQ458613:QVR458614 RFM458613:RFN458614 RPI458613:RPJ458614 RZE458613:RZF458614 SJA458613:SJB458614 SSW458613:SSX458614 TCS458613:TCT458614 TMO458613:TMP458614 TWK458613:TWL458614 UGG458613:UGH458614 UQC458613:UQD458614 UZY458613:UZZ458614 VJU458613:VJV458614 VTQ458613:VTR458614 WDM458613:WDN458614 WNI458613:WNJ458614 WXE458613:WXF458614 KS524149:KT524150 UO524149:UP524150 AEK524149:AEL524150 AOG524149:AOH524150 AYC524149:AYD524150 BHY524149:BHZ524150 BRU524149:BRV524150 CBQ524149:CBR524150 CLM524149:CLN524150 CVI524149:CVJ524150 DFE524149:DFF524150 DPA524149:DPB524150 DYW524149:DYX524150 EIS524149:EIT524150 ESO524149:ESP524150 FCK524149:FCL524150 FMG524149:FMH524150 FWC524149:FWD524150 GFY524149:GFZ524150 GPU524149:GPV524150 GZQ524149:GZR524150 HJM524149:HJN524150 HTI524149:HTJ524150 IDE524149:IDF524150 INA524149:INB524150 IWW524149:IWX524150 JGS524149:JGT524150 JQO524149:JQP524150 KAK524149:KAL524150 KKG524149:KKH524150 KUC524149:KUD524150 LDY524149:LDZ524150 LNU524149:LNV524150 LXQ524149:LXR524150 MHM524149:MHN524150 MRI524149:MRJ524150 NBE524149:NBF524150 NLA524149:NLB524150 NUW524149:NUX524150 OES524149:OET524150 OOO524149:OOP524150 OYK524149:OYL524150 PIG524149:PIH524150 PSC524149:PSD524150 QBY524149:QBZ524150 QLU524149:QLV524150 QVQ524149:QVR524150 RFM524149:RFN524150 RPI524149:RPJ524150 RZE524149:RZF524150 SJA524149:SJB524150 SSW524149:SSX524150 TCS524149:TCT524150 TMO524149:TMP524150 TWK524149:TWL524150 UGG524149:UGH524150 UQC524149:UQD524150 UZY524149:UZZ524150 VJU524149:VJV524150 VTQ524149:VTR524150 WDM524149:WDN524150 WNI524149:WNJ524150 WXE524149:WXF524150 KS589685:KT589686 UO589685:UP589686 AEK589685:AEL589686 AOG589685:AOH589686 AYC589685:AYD589686 BHY589685:BHZ589686 BRU589685:BRV589686 CBQ589685:CBR589686 CLM589685:CLN589686 CVI589685:CVJ589686 DFE589685:DFF589686 DPA589685:DPB589686 DYW589685:DYX589686 EIS589685:EIT589686 ESO589685:ESP589686 FCK589685:FCL589686 FMG589685:FMH589686 FWC589685:FWD589686 GFY589685:GFZ589686 GPU589685:GPV589686 GZQ589685:GZR589686 HJM589685:HJN589686 HTI589685:HTJ589686 IDE589685:IDF589686 INA589685:INB589686 IWW589685:IWX589686 JGS589685:JGT589686 JQO589685:JQP589686 KAK589685:KAL589686 KKG589685:KKH589686 KUC589685:KUD589686 LDY589685:LDZ589686 LNU589685:LNV589686 LXQ589685:LXR589686 MHM589685:MHN589686 MRI589685:MRJ589686 NBE589685:NBF589686 NLA589685:NLB589686 NUW589685:NUX589686 OES589685:OET589686 OOO589685:OOP589686 OYK589685:OYL589686 PIG589685:PIH589686 PSC589685:PSD589686 QBY589685:QBZ589686 QLU589685:QLV589686 QVQ589685:QVR589686 RFM589685:RFN589686 RPI589685:RPJ589686 RZE589685:RZF589686 SJA589685:SJB589686 SSW589685:SSX589686 TCS589685:TCT589686 TMO589685:TMP589686 TWK589685:TWL589686 UGG589685:UGH589686 UQC589685:UQD589686 UZY589685:UZZ589686 VJU589685:VJV589686 VTQ589685:VTR589686 WDM589685:WDN589686 WNI589685:WNJ589686 WXE589685:WXF589686 KS655221:KT655222 UO655221:UP655222 AEK655221:AEL655222 AOG655221:AOH655222 AYC655221:AYD655222 BHY655221:BHZ655222 BRU655221:BRV655222 CBQ655221:CBR655222 CLM655221:CLN655222 CVI655221:CVJ655222 DFE655221:DFF655222 DPA655221:DPB655222 DYW655221:DYX655222 EIS655221:EIT655222 ESO655221:ESP655222 FCK655221:FCL655222 FMG655221:FMH655222 FWC655221:FWD655222 GFY655221:GFZ655222 GPU655221:GPV655222 GZQ655221:GZR655222 HJM655221:HJN655222 HTI655221:HTJ655222 IDE655221:IDF655222 INA655221:INB655222 IWW655221:IWX655222 JGS655221:JGT655222 JQO655221:JQP655222 KAK655221:KAL655222 KKG655221:KKH655222 KUC655221:KUD655222 LDY655221:LDZ655222 LNU655221:LNV655222 LXQ655221:LXR655222 MHM655221:MHN655222 MRI655221:MRJ655222 NBE655221:NBF655222 NLA655221:NLB655222 NUW655221:NUX655222 OES655221:OET655222 OOO655221:OOP655222 OYK655221:OYL655222 PIG655221:PIH655222 PSC655221:PSD655222 QBY655221:QBZ655222 QLU655221:QLV655222 QVQ655221:QVR655222 RFM655221:RFN655222 RPI655221:RPJ655222 RZE655221:RZF655222 SJA655221:SJB655222 SSW655221:SSX655222 TCS655221:TCT655222 TMO655221:TMP655222 TWK655221:TWL655222 UGG655221:UGH655222 UQC655221:UQD655222 UZY655221:UZZ655222 VJU655221:VJV655222 VTQ655221:VTR655222 WDM655221:WDN655222 WNI655221:WNJ655222 WXE655221:WXF655222 KS720757:KT720758 UO720757:UP720758 AEK720757:AEL720758 AOG720757:AOH720758 AYC720757:AYD720758 BHY720757:BHZ720758 BRU720757:BRV720758 CBQ720757:CBR720758 CLM720757:CLN720758 CVI720757:CVJ720758 DFE720757:DFF720758 DPA720757:DPB720758 DYW720757:DYX720758 EIS720757:EIT720758 ESO720757:ESP720758 FCK720757:FCL720758 FMG720757:FMH720758 FWC720757:FWD720758 GFY720757:GFZ720758 GPU720757:GPV720758 GZQ720757:GZR720758 HJM720757:HJN720758 HTI720757:HTJ720758 IDE720757:IDF720758 INA720757:INB720758 IWW720757:IWX720758 JGS720757:JGT720758 JQO720757:JQP720758 KAK720757:KAL720758 KKG720757:KKH720758 KUC720757:KUD720758 LDY720757:LDZ720758 LNU720757:LNV720758 LXQ720757:LXR720758 MHM720757:MHN720758 MRI720757:MRJ720758 NBE720757:NBF720758 NLA720757:NLB720758 NUW720757:NUX720758 OES720757:OET720758 OOO720757:OOP720758 OYK720757:OYL720758 PIG720757:PIH720758 PSC720757:PSD720758 QBY720757:QBZ720758 QLU720757:QLV720758 QVQ720757:QVR720758 RFM720757:RFN720758 RPI720757:RPJ720758 RZE720757:RZF720758 SJA720757:SJB720758 SSW720757:SSX720758 TCS720757:TCT720758 TMO720757:TMP720758 TWK720757:TWL720758 UGG720757:UGH720758 UQC720757:UQD720758 UZY720757:UZZ720758 VJU720757:VJV720758 VTQ720757:VTR720758 WDM720757:WDN720758 WNI720757:WNJ720758 WXE720757:WXF720758 KS786293:KT786294 UO786293:UP786294 AEK786293:AEL786294 AOG786293:AOH786294 AYC786293:AYD786294 BHY786293:BHZ786294 BRU786293:BRV786294 CBQ786293:CBR786294 CLM786293:CLN786294 CVI786293:CVJ786294 DFE786293:DFF786294 DPA786293:DPB786294 DYW786293:DYX786294 EIS786293:EIT786294 ESO786293:ESP786294 FCK786293:FCL786294 FMG786293:FMH786294 FWC786293:FWD786294 GFY786293:GFZ786294 GPU786293:GPV786294 GZQ786293:GZR786294 HJM786293:HJN786294 HTI786293:HTJ786294 IDE786293:IDF786294 INA786293:INB786294 IWW786293:IWX786294 JGS786293:JGT786294 JQO786293:JQP786294 KAK786293:KAL786294 KKG786293:KKH786294 KUC786293:KUD786294 LDY786293:LDZ786294 LNU786293:LNV786294 LXQ786293:LXR786294 MHM786293:MHN786294 MRI786293:MRJ786294 NBE786293:NBF786294 NLA786293:NLB786294 NUW786293:NUX786294 OES786293:OET786294 OOO786293:OOP786294 OYK786293:OYL786294 PIG786293:PIH786294 PSC786293:PSD786294 QBY786293:QBZ786294 QLU786293:QLV786294 QVQ786293:QVR786294 RFM786293:RFN786294 RPI786293:RPJ786294 RZE786293:RZF786294 SJA786293:SJB786294 SSW786293:SSX786294 TCS786293:TCT786294 TMO786293:TMP786294 TWK786293:TWL786294 UGG786293:UGH786294 UQC786293:UQD786294 UZY786293:UZZ786294 VJU786293:VJV786294 VTQ786293:VTR786294 WDM786293:WDN786294 WNI786293:WNJ786294 WXE786293:WXF786294 KS851829:KT851830 UO851829:UP851830 AEK851829:AEL851830 AOG851829:AOH851830 AYC851829:AYD851830 BHY851829:BHZ851830 BRU851829:BRV851830 CBQ851829:CBR851830 CLM851829:CLN851830 CVI851829:CVJ851830 DFE851829:DFF851830 DPA851829:DPB851830 DYW851829:DYX851830 EIS851829:EIT851830 ESO851829:ESP851830 FCK851829:FCL851830 FMG851829:FMH851830 FWC851829:FWD851830 GFY851829:GFZ851830 GPU851829:GPV851830 GZQ851829:GZR851830 HJM851829:HJN851830 HTI851829:HTJ851830 IDE851829:IDF851830 INA851829:INB851830 IWW851829:IWX851830 JGS851829:JGT851830 JQO851829:JQP851830 KAK851829:KAL851830 KKG851829:KKH851830 KUC851829:KUD851830 LDY851829:LDZ851830 LNU851829:LNV851830 LXQ851829:LXR851830 MHM851829:MHN851830 MRI851829:MRJ851830 NBE851829:NBF851830 NLA851829:NLB851830 NUW851829:NUX851830 OES851829:OET851830 OOO851829:OOP851830 OYK851829:OYL851830 PIG851829:PIH851830 PSC851829:PSD851830 QBY851829:QBZ851830 QLU851829:QLV851830 QVQ851829:QVR851830 RFM851829:RFN851830 RPI851829:RPJ851830 RZE851829:RZF851830 SJA851829:SJB851830 SSW851829:SSX851830 TCS851829:TCT851830 TMO851829:TMP851830 TWK851829:TWL851830 UGG851829:UGH851830 UQC851829:UQD851830 UZY851829:UZZ851830 VJU851829:VJV851830 VTQ851829:VTR851830 WDM851829:WDN851830 WNI851829:WNJ851830 WXE851829:WXF851830 KS917365:KT917366 UO917365:UP917366 AEK917365:AEL917366 AOG917365:AOH917366 AYC917365:AYD917366 BHY917365:BHZ917366 BRU917365:BRV917366 CBQ917365:CBR917366 CLM917365:CLN917366 CVI917365:CVJ917366 DFE917365:DFF917366 DPA917365:DPB917366 DYW917365:DYX917366 EIS917365:EIT917366 ESO917365:ESP917366 FCK917365:FCL917366 FMG917365:FMH917366 FWC917365:FWD917366 GFY917365:GFZ917366 GPU917365:GPV917366 GZQ917365:GZR917366 HJM917365:HJN917366 HTI917365:HTJ917366 IDE917365:IDF917366 INA917365:INB917366 IWW917365:IWX917366 JGS917365:JGT917366 JQO917365:JQP917366 KAK917365:KAL917366 KKG917365:KKH917366 KUC917365:KUD917366 LDY917365:LDZ917366 LNU917365:LNV917366 LXQ917365:LXR917366 MHM917365:MHN917366 MRI917365:MRJ917366 NBE917365:NBF917366 NLA917365:NLB917366 NUW917365:NUX917366 OES917365:OET917366 OOO917365:OOP917366 OYK917365:OYL917366 PIG917365:PIH917366 PSC917365:PSD917366 QBY917365:QBZ917366 QLU917365:QLV917366 QVQ917365:QVR917366 RFM917365:RFN917366 RPI917365:RPJ917366 RZE917365:RZF917366 SJA917365:SJB917366 SSW917365:SSX917366 TCS917365:TCT917366 TMO917365:TMP917366 TWK917365:TWL917366 UGG917365:UGH917366 UQC917365:UQD917366 UZY917365:UZZ917366 VJU917365:VJV917366 VTQ917365:VTR917366 WDM917365:WDN917366 WNI917365:WNJ917366 WXE917365:WXF917366 KS982901:KT982902 UO982901:UP982902 AEK982901:AEL982902 AOG982901:AOH982902 AYC982901:AYD982902 BHY982901:BHZ982902 BRU982901:BRV982902 CBQ982901:CBR982902 CLM982901:CLN982902 CVI982901:CVJ982902 DFE982901:DFF982902 DPA982901:DPB982902 DYW982901:DYX982902 EIS982901:EIT982902 ESO982901:ESP982902 FCK982901:FCL982902 FMG982901:FMH982902 FWC982901:FWD982902 GFY982901:GFZ982902 GPU982901:GPV982902 GZQ982901:GZR982902 HJM982901:HJN982902 HTI982901:HTJ982902 IDE982901:IDF982902 INA982901:INB982902 IWW982901:IWX982902 JGS982901:JGT982902 JQO982901:JQP982902 KAK982901:KAL982902 KKG982901:KKH982902 KUC982901:KUD982902 LDY982901:LDZ982902 LNU982901:LNV982902 LXQ982901:LXR982902 MHM982901:MHN982902 MRI982901:MRJ982902 NBE982901:NBF982902 NLA982901:NLB982902 NUW982901:NUX982902 OES982901:OET982902 OOO982901:OOP982902 OYK982901:OYL982902 PIG982901:PIH982902 PSC982901:PSD982902 QBY982901:QBZ982902 QLU982901:QLV982902 QVQ982901:QVR982902 RFM982901:RFN982902 RPI982901:RPJ982902 RZE982901:RZF982902 SJA982901:SJB982902 SSW982901:SSX982902 TCS982901:TCT982902 TMO982901:TMP982902 TWK982901:TWL982902 UGG982901:UGH982902 UQC982901:UQD982902 UZY982901:UZZ982902 VJU982901:VJV982902 VTQ982901:VTR982902 WDM982901:WDN982902 WNI982901:WNJ982902 WXE982901:WXF982902 KS65321:KT65325 UO65321:UP65325 AEK65321:AEL65325 AOG65321:AOH65325 AYC65321:AYD65325 BHY65321:BHZ65325 BRU65321:BRV65325 CBQ65321:CBR65325 CLM65321:CLN65325 CVI65321:CVJ65325 DFE65321:DFF65325 DPA65321:DPB65325 DYW65321:DYX65325 EIS65321:EIT65325 ESO65321:ESP65325 FCK65321:FCL65325 FMG65321:FMH65325 FWC65321:FWD65325 GFY65321:GFZ65325 GPU65321:GPV65325 GZQ65321:GZR65325 HJM65321:HJN65325 HTI65321:HTJ65325 IDE65321:IDF65325 INA65321:INB65325 IWW65321:IWX65325 JGS65321:JGT65325 JQO65321:JQP65325 KAK65321:KAL65325 KKG65321:KKH65325 KUC65321:KUD65325 LDY65321:LDZ65325 LNU65321:LNV65325 LXQ65321:LXR65325 MHM65321:MHN65325 MRI65321:MRJ65325 NBE65321:NBF65325 NLA65321:NLB65325 NUW65321:NUX65325 OES65321:OET65325 OOO65321:OOP65325 OYK65321:OYL65325 PIG65321:PIH65325 PSC65321:PSD65325 QBY65321:QBZ65325 QLU65321:QLV65325 QVQ65321:QVR65325 RFM65321:RFN65325 RPI65321:RPJ65325 RZE65321:RZF65325 SJA65321:SJB65325 SSW65321:SSX65325 TCS65321:TCT65325 TMO65321:TMP65325 TWK65321:TWL65325 UGG65321:UGH65325 UQC65321:UQD65325 UZY65321:UZZ65325 VJU65321:VJV65325 VTQ65321:VTR65325 WDM65321:WDN65325 WNI65321:WNJ65325 WXE65321:WXF65325 KS65362:KT65362 UO65362:UP65362 AEK65362:AEL65362 AOG65362:AOH65362 AYC65362:AYD65362 BHY65362:BHZ65362 BRU65362:BRV65362 CBQ65362:CBR65362 CLM65362:CLN65362 CVI65362:CVJ65362 DFE65362:DFF65362 DPA65362:DPB65362 DYW65362:DYX65362 EIS65362:EIT65362 ESO65362:ESP65362 FCK65362:FCL65362 FMG65362:FMH65362 FWC65362:FWD65362 GFY65362:GFZ65362 GPU65362:GPV65362 GZQ65362:GZR65362 HJM65362:HJN65362 HTI65362:HTJ65362 IDE65362:IDF65362 INA65362:INB65362 IWW65362:IWX65362 JGS65362:JGT65362 JQO65362:JQP65362 KAK65362:KAL65362 KKG65362:KKH65362 KUC65362:KUD65362 LDY65362:LDZ65362 LNU65362:LNV65362 LXQ65362:LXR65362 MHM65362:MHN65362 MRI65362:MRJ65362 NBE65362:NBF65362 NLA65362:NLB65362 NUW65362:NUX65362 OES65362:OET65362 OOO65362:OOP65362 OYK65362:OYL65362 PIG65362:PIH65362 PSC65362:PSD65362 QBY65362:QBZ65362 QLU65362:QLV65362 QVQ65362:QVR65362 RFM65362:RFN65362 RPI65362:RPJ65362 RZE65362:RZF65362 SJA65362:SJB65362 SSW65362:SSX65362 TCS65362:TCT65362 TMO65362:TMP65362 TWK65362:TWL65362 UGG65362:UGH65362 UQC65362:UQD65362 UZY65362:UZZ65362 VJU65362:VJV65362 VTQ65362:VTR65362 WDM65362:WDN65362 WNI65362:WNJ65362 WXE65362:WXF65362 KS130898:KT130898 UO130898:UP130898 AEK130898:AEL130898 AOG130898:AOH130898 AYC130898:AYD130898 BHY130898:BHZ130898 BRU130898:BRV130898 CBQ130898:CBR130898 CLM130898:CLN130898 CVI130898:CVJ130898 DFE130898:DFF130898 DPA130898:DPB130898 DYW130898:DYX130898 EIS130898:EIT130898 ESO130898:ESP130898 FCK130898:FCL130898 FMG130898:FMH130898 FWC130898:FWD130898 GFY130898:GFZ130898 GPU130898:GPV130898 GZQ130898:GZR130898 HJM130898:HJN130898 HTI130898:HTJ130898 IDE130898:IDF130898 INA130898:INB130898 IWW130898:IWX130898 JGS130898:JGT130898 JQO130898:JQP130898 KAK130898:KAL130898 KKG130898:KKH130898 KUC130898:KUD130898 LDY130898:LDZ130898 LNU130898:LNV130898 LXQ130898:LXR130898 MHM130898:MHN130898 MRI130898:MRJ130898 NBE130898:NBF130898 NLA130898:NLB130898 NUW130898:NUX130898 OES130898:OET130898 OOO130898:OOP130898 OYK130898:OYL130898 PIG130898:PIH130898 PSC130898:PSD130898 QBY130898:QBZ130898 QLU130898:QLV130898 QVQ130898:QVR130898 RFM130898:RFN130898 RPI130898:RPJ130898 RZE130898:RZF130898 SJA130898:SJB130898 SSW130898:SSX130898 TCS130898:TCT130898 TMO130898:TMP130898 TWK130898:TWL130898 UGG130898:UGH130898 UQC130898:UQD130898 UZY130898:UZZ130898 VJU130898:VJV130898 VTQ130898:VTR130898 WDM130898:WDN130898 WNI130898:WNJ130898 WXE130898:WXF130898 KS196434:KT196434 UO196434:UP196434 AEK196434:AEL196434 AOG196434:AOH196434 AYC196434:AYD196434 BHY196434:BHZ196434 BRU196434:BRV196434 CBQ196434:CBR196434 CLM196434:CLN196434 CVI196434:CVJ196434 DFE196434:DFF196434 DPA196434:DPB196434 DYW196434:DYX196434 EIS196434:EIT196434 ESO196434:ESP196434 FCK196434:FCL196434 FMG196434:FMH196434 FWC196434:FWD196434 GFY196434:GFZ196434 GPU196434:GPV196434 GZQ196434:GZR196434 HJM196434:HJN196434 HTI196434:HTJ196434 IDE196434:IDF196434 INA196434:INB196434 IWW196434:IWX196434 JGS196434:JGT196434 JQO196434:JQP196434 KAK196434:KAL196434 KKG196434:KKH196434 KUC196434:KUD196434 LDY196434:LDZ196434 LNU196434:LNV196434 LXQ196434:LXR196434 MHM196434:MHN196434 MRI196434:MRJ196434 NBE196434:NBF196434 NLA196434:NLB196434 NUW196434:NUX196434 OES196434:OET196434 OOO196434:OOP196434 OYK196434:OYL196434 PIG196434:PIH196434 PSC196434:PSD196434 QBY196434:QBZ196434 QLU196434:QLV196434 QVQ196434:QVR196434 RFM196434:RFN196434 RPI196434:RPJ196434 RZE196434:RZF196434 SJA196434:SJB196434 SSW196434:SSX196434 TCS196434:TCT196434 TMO196434:TMP196434 TWK196434:TWL196434 UGG196434:UGH196434 UQC196434:UQD196434 UZY196434:UZZ196434 VJU196434:VJV196434 VTQ196434:VTR196434 WDM196434:WDN196434 WNI196434:WNJ196434 WXE196434:WXF196434 KS261970:KT261970 UO261970:UP261970 AEK261970:AEL261970 AOG261970:AOH261970 AYC261970:AYD261970 BHY261970:BHZ261970 BRU261970:BRV261970 CBQ261970:CBR261970 CLM261970:CLN261970 CVI261970:CVJ261970 DFE261970:DFF261970 DPA261970:DPB261970 DYW261970:DYX261970 EIS261970:EIT261970 ESO261970:ESP261970 FCK261970:FCL261970 FMG261970:FMH261970 FWC261970:FWD261970 GFY261970:GFZ261970 GPU261970:GPV261970 GZQ261970:GZR261970 HJM261970:HJN261970 HTI261970:HTJ261970 IDE261970:IDF261970 INA261970:INB261970 IWW261970:IWX261970 JGS261970:JGT261970 JQO261970:JQP261970 KAK261970:KAL261970 KKG261970:KKH261970 KUC261970:KUD261970 LDY261970:LDZ261970 LNU261970:LNV261970 LXQ261970:LXR261970 MHM261970:MHN261970 MRI261970:MRJ261970 NBE261970:NBF261970 NLA261970:NLB261970 NUW261970:NUX261970 OES261970:OET261970 OOO261970:OOP261970 OYK261970:OYL261970 PIG261970:PIH261970 PSC261970:PSD261970 QBY261970:QBZ261970 QLU261970:QLV261970 QVQ261970:QVR261970 RFM261970:RFN261970 RPI261970:RPJ261970 RZE261970:RZF261970 SJA261970:SJB261970 SSW261970:SSX261970 TCS261970:TCT261970 TMO261970:TMP261970 TWK261970:TWL261970 UGG261970:UGH261970 UQC261970:UQD261970 UZY261970:UZZ261970 VJU261970:VJV261970 VTQ261970:VTR261970 WDM261970:WDN261970 WNI261970:WNJ261970 WXE261970:WXF261970 KS327506:KT327506 UO327506:UP327506 AEK327506:AEL327506 AOG327506:AOH327506 AYC327506:AYD327506 BHY327506:BHZ327506 BRU327506:BRV327506 CBQ327506:CBR327506 CLM327506:CLN327506 CVI327506:CVJ327506 DFE327506:DFF327506 DPA327506:DPB327506 DYW327506:DYX327506 EIS327506:EIT327506 ESO327506:ESP327506 FCK327506:FCL327506 FMG327506:FMH327506 FWC327506:FWD327506 GFY327506:GFZ327506 GPU327506:GPV327506 GZQ327506:GZR327506 HJM327506:HJN327506 HTI327506:HTJ327506 IDE327506:IDF327506 INA327506:INB327506 IWW327506:IWX327506 JGS327506:JGT327506 JQO327506:JQP327506 KAK327506:KAL327506 KKG327506:KKH327506 KUC327506:KUD327506 LDY327506:LDZ327506 LNU327506:LNV327506 LXQ327506:LXR327506 MHM327506:MHN327506 MRI327506:MRJ327506 NBE327506:NBF327506 NLA327506:NLB327506 NUW327506:NUX327506 OES327506:OET327506 OOO327506:OOP327506 OYK327506:OYL327506 PIG327506:PIH327506 PSC327506:PSD327506 QBY327506:QBZ327506 QLU327506:QLV327506 QVQ327506:QVR327506 RFM327506:RFN327506 RPI327506:RPJ327506 RZE327506:RZF327506 SJA327506:SJB327506 SSW327506:SSX327506 TCS327506:TCT327506 TMO327506:TMP327506 TWK327506:TWL327506 UGG327506:UGH327506 UQC327506:UQD327506 UZY327506:UZZ327506 VJU327506:VJV327506 VTQ327506:VTR327506 WDM327506:WDN327506 WNI327506:WNJ327506 WXE327506:WXF327506 KS393042:KT393042 UO393042:UP393042 AEK393042:AEL393042 AOG393042:AOH393042 AYC393042:AYD393042 BHY393042:BHZ393042 BRU393042:BRV393042 CBQ393042:CBR393042 CLM393042:CLN393042 CVI393042:CVJ393042 DFE393042:DFF393042 DPA393042:DPB393042 DYW393042:DYX393042 EIS393042:EIT393042 ESO393042:ESP393042 FCK393042:FCL393042 FMG393042:FMH393042 FWC393042:FWD393042 GFY393042:GFZ393042 GPU393042:GPV393042 GZQ393042:GZR393042 HJM393042:HJN393042 HTI393042:HTJ393042 IDE393042:IDF393042 INA393042:INB393042 IWW393042:IWX393042 JGS393042:JGT393042 JQO393042:JQP393042 KAK393042:KAL393042 KKG393042:KKH393042 KUC393042:KUD393042 LDY393042:LDZ393042 LNU393042:LNV393042 LXQ393042:LXR393042 MHM393042:MHN393042 MRI393042:MRJ393042 NBE393042:NBF393042 NLA393042:NLB393042 NUW393042:NUX393042 OES393042:OET393042 OOO393042:OOP393042 OYK393042:OYL393042 PIG393042:PIH393042 PSC393042:PSD393042 QBY393042:QBZ393042 QLU393042:QLV393042 QVQ393042:QVR393042 RFM393042:RFN393042 RPI393042:RPJ393042 RZE393042:RZF393042 SJA393042:SJB393042 SSW393042:SSX393042 TCS393042:TCT393042 TMO393042:TMP393042 TWK393042:TWL393042 UGG393042:UGH393042 UQC393042:UQD393042 UZY393042:UZZ393042 VJU393042:VJV393042 VTQ393042:VTR393042 WDM393042:WDN393042 WNI393042:WNJ393042 WXE393042:WXF393042 KS458578:KT458578 UO458578:UP458578 AEK458578:AEL458578 AOG458578:AOH458578 AYC458578:AYD458578 BHY458578:BHZ458578 BRU458578:BRV458578 CBQ458578:CBR458578 CLM458578:CLN458578 CVI458578:CVJ458578 DFE458578:DFF458578 DPA458578:DPB458578 DYW458578:DYX458578 EIS458578:EIT458578 ESO458578:ESP458578 FCK458578:FCL458578 FMG458578:FMH458578 FWC458578:FWD458578 GFY458578:GFZ458578 GPU458578:GPV458578 GZQ458578:GZR458578 HJM458578:HJN458578 HTI458578:HTJ458578 IDE458578:IDF458578 INA458578:INB458578 IWW458578:IWX458578 JGS458578:JGT458578 JQO458578:JQP458578 KAK458578:KAL458578 KKG458578:KKH458578 KUC458578:KUD458578 LDY458578:LDZ458578 LNU458578:LNV458578 LXQ458578:LXR458578 MHM458578:MHN458578 MRI458578:MRJ458578 NBE458578:NBF458578 NLA458578:NLB458578 NUW458578:NUX458578 OES458578:OET458578 OOO458578:OOP458578 OYK458578:OYL458578 PIG458578:PIH458578 PSC458578:PSD458578 QBY458578:QBZ458578 QLU458578:QLV458578 QVQ458578:QVR458578 RFM458578:RFN458578 RPI458578:RPJ458578 RZE458578:RZF458578 SJA458578:SJB458578 SSW458578:SSX458578 TCS458578:TCT458578 TMO458578:TMP458578 TWK458578:TWL458578 UGG458578:UGH458578 UQC458578:UQD458578 UZY458578:UZZ458578 VJU458578:VJV458578 VTQ458578:VTR458578 WDM458578:WDN458578 WNI458578:WNJ458578 WXE458578:WXF458578 KS524114:KT524114 UO524114:UP524114 AEK524114:AEL524114 AOG524114:AOH524114 AYC524114:AYD524114 BHY524114:BHZ524114 BRU524114:BRV524114 CBQ524114:CBR524114 CLM524114:CLN524114 CVI524114:CVJ524114 DFE524114:DFF524114 DPA524114:DPB524114 DYW524114:DYX524114 EIS524114:EIT524114 ESO524114:ESP524114 FCK524114:FCL524114 FMG524114:FMH524114 FWC524114:FWD524114 GFY524114:GFZ524114 GPU524114:GPV524114 GZQ524114:GZR524114 HJM524114:HJN524114 HTI524114:HTJ524114 IDE524114:IDF524114 INA524114:INB524114 IWW524114:IWX524114 JGS524114:JGT524114 JQO524114:JQP524114 KAK524114:KAL524114 KKG524114:KKH524114 KUC524114:KUD524114 LDY524114:LDZ524114 LNU524114:LNV524114 LXQ524114:LXR524114 MHM524114:MHN524114 MRI524114:MRJ524114 NBE524114:NBF524114 NLA524114:NLB524114 NUW524114:NUX524114 OES524114:OET524114 OOO524114:OOP524114 OYK524114:OYL524114 PIG524114:PIH524114 PSC524114:PSD524114 QBY524114:QBZ524114 QLU524114:QLV524114 QVQ524114:QVR524114 RFM524114:RFN524114 RPI524114:RPJ524114 RZE524114:RZF524114 SJA524114:SJB524114 SSW524114:SSX524114 TCS524114:TCT524114 TMO524114:TMP524114 TWK524114:TWL524114 UGG524114:UGH524114 UQC524114:UQD524114 UZY524114:UZZ524114 VJU524114:VJV524114 VTQ524114:VTR524114 WDM524114:WDN524114 WNI524114:WNJ524114 WXE524114:WXF524114 KS589650:KT589650 UO589650:UP589650 AEK589650:AEL589650 AOG589650:AOH589650 AYC589650:AYD589650 BHY589650:BHZ589650 BRU589650:BRV589650 CBQ589650:CBR589650 CLM589650:CLN589650 CVI589650:CVJ589650 DFE589650:DFF589650 DPA589650:DPB589650 DYW589650:DYX589650 EIS589650:EIT589650 ESO589650:ESP589650 FCK589650:FCL589650 FMG589650:FMH589650 FWC589650:FWD589650 GFY589650:GFZ589650 GPU589650:GPV589650 GZQ589650:GZR589650 HJM589650:HJN589650 HTI589650:HTJ589650 IDE589650:IDF589650 INA589650:INB589650 IWW589650:IWX589650 JGS589650:JGT589650 JQO589650:JQP589650 KAK589650:KAL589650 KKG589650:KKH589650 KUC589650:KUD589650 LDY589650:LDZ589650 LNU589650:LNV589650 LXQ589650:LXR589650 MHM589650:MHN589650 MRI589650:MRJ589650 NBE589650:NBF589650 NLA589650:NLB589650 NUW589650:NUX589650 OES589650:OET589650 OOO589650:OOP589650 OYK589650:OYL589650 PIG589650:PIH589650 PSC589650:PSD589650 QBY589650:QBZ589650 QLU589650:QLV589650 QVQ589650:QVR589650 RFM589650:RFN589650 RPI589650:RPJ589650 RZE589650:RZF589650 SJA589650:SJB589650 SSW589650:SSX589650 TCS589650:TCT589650 TMO589650:TMP589650 TWK589650:TWL589650 UGG589650:UGH589650 UQC589650:UQD589650 UZY589650:UZZ589650 VJU589650:VJV589650 VTQ589650:VTR589650 WDM589650:WDN589650 WNI589650:WNJ589650 WXE589650:WXF589650 KS655186:KT655186 UO655186:UP655186 AEK655186:AEL655186 AOG655186:AOH655186 AYC655186:AYD655186 BHY655186:BHZ655186 BRU655186:BRV655186 CBQ655186:CBR655186 CLM655186:CLN655186 CVI655186:CVJ655186 DFE655186:DFF655186 DPA655186:DPB655186 DYW655186:DYX655186 EIS655186:EIT655186 ESO655186:ESP655186 FCK655186:FCL655186 FMG655186:FMH655186 FWC655186:FWD655186 GFY655186:GFZ655186 GPU655186:GPV655186 GZQ655186:GZR655186 HJM655186:HJN655186 HTI655186:HTJ655186 IDE655186:IDF655186 INA655186:INB655186 IWW655186:IWX655186 JGS655186:JGT655186 JQO655186:JQP655186 KAK655186:KAL655186 KKG655186:KKH655186 KUC655186:KUD655186 LDY655186:LDZ655186 LNU655186:LNV655186 LXQ655186:LXR655186 MHM655186:MHN655186 MRI655186:MRJ655186 NBE655186:NBF655186 NLA655186:NLB655186 NUW655186:NUX655186 OES655186:OET655186 OOO655186:OOP655186 OYK655186:OYL655186 PIG655186:PIH655186 PSC655186:PSD655186 QBY655186:QBZ655186 QLU655186:QLV655186 QVQ655186:QVR655186 RFM655186:RFN655186 RPI655186:RPJ655186 RZE655186:RZF655186 SJA655186:SJB655186 SSW655186:SSX655186 TCS655186:TCT655186 TMO655186:TMP655186 TWK655186:TWL655186 UGG655186:UGH655186 UQC655186:UQD655186 UZY655186:UZZ655186 VJU655186:VJV655186 VTQ655186:VTR655186 WDM655186:WDN655186 WNI655186:WNJ655186 WXE655186:WXF655186 KS720722:KT720722 UO720722:UP720722 AEK720722:AEL720722 AOG720722:AOH720722 AYC720722:AYD720722 BHY720722:BHZ720722 BRU720722:BRV720722 CBQ720722:CBR720722 CLM720722:CLN720722 CVI720722:CVJ720722 DFE720722:DFF720722 DPA720722:DPB720722 DYW720722:DYX720722 EIS720722:EIT720722 ESO720722:ESP720722 FCK720722:FCL720722 FMG720722:FMH720722 FWC720722:FWD720722 GFY720722:GFZ720722 GPU720722:GPV720722 GZQ720722:GZR720722 HJM720722:HJN720722 HTI720722:HTJ720722 IDE720722:IDF720722 INA720722:INB720722 IWW720722:IWX720722 JGS720722:JGT720722 JQO720722:JQP720722 KAK720722:KAL720722 KKG720722:KKH720722 KUC720722:KUD720722 LDY720722:LDZ720722 LNU720722:LNV720722 LXQ720722:LXR720722 MHM720722:MHN720722 MRI720722:MRJ720722 NBE720722:NBF720722 NLA720722:NLB720722 NUW720722:NUX720722 OES720722:OET720722 OOO720722:OOP720722 OYK720722:OYL720722 PIG720722:PIH720722 PSC720722:PSD720722 QBY720722:QBZ720722 QLU720722:QLV720722 QVQ720722:QVR720722 RFM720722:RFN720722 RPI720722:RPJ720722 RZE720722:RZF720722 SJA720722:SJB720722 SSW720722:SSX720722 TCS720722:TCT720722 TMO720722:TMP720722 TWK720722:TWL720722 UGG720722:UGH720722 UQC720722:UQD720722 UZY720722:UZZ720722 VJU720722:VJV720722 VTQ720722:VTR720722 WDM720722:WDN720722 WNI720722:WNJ720722 WXE720722:WXF720722 KS786258:KT786258 UO786258:UP786258 AEK786258:AEL786258 AOG786258:AOH786258 AYC786258:AYD786258 BHY786258:BHZ786258 BRU786258:BRV786258 CBQ786258:CBR786258 CLM786258:CLN786258 CVI786258:CVJ786258 DFE786258:DFF786258 DPA786258:DPB786258 DYW786258:DYX786258 EIS786258:EIT786258 ESO786258:ESP786258 FCK786258:FCL786258 FMG786258:FMH786258 FWC786258:FWD786258 GFY786258:GFZ786258 GPU786258:GPV786258 GZQ786258:GZR786258 HJM786258:HJN786258 HTI786258:HTJ786258 IDE786258:IDF786258 INA786258:INB786258 IWW786258:IWX786258 JGS786258:JGT786258 JQO786258:JQP786258 KAK786258:KAL786258 KKG786258:KKH786258 KUC786258:KUD786258 LDY786258:LDZ786258 LNU786258:LNV786258 LXQ786258:LXR786258 MHM786258:MHN786258 MRI786258:MRJ786258 NBE786258:NBF786258 NLA786258:NLB786258 NUW786258:NUX786258 OES786258:OET786258 OOO786258:OOP786258 OYK786258:OYL786258 PIG786258:PIH786258 PSC786258:PSD786258 QBY786258:QBZ786258 QLU786258:QLV786258 QVQ786258:QVR786258 RFM786258:RFN786258 RPI786258:RPJ786258 RZE786258:RZF786258 SJA786258:SJB786258 SSW786258:SSX786258 TCS786258:TCT786258 TMO786258:TMP786258 TWK786258:TWL786258 UGG786258:UGH786258 UQC786258:UQD786258 UZY786258:UZZ786258 VJU786258:VJV786258 VTQ786258:VTR786258 WDM786258:WDN786258 WNI786258:WNJ786258 WXE786258:WXF786258 KS851794:KT851794 UO851794:UP851794 AEK851794:AEL851794 AOG851794:AOH851794 AYC851794:AYD851794 BHY851794:BHZ851794 BRU851794:BRV851794 CBQ851794:CBR851794 CLM851794:CLN851794 CVI851794:CVJ851794 DFE851794:DFF851794 DPA851794:DPB851794 DYW851794:DYX851794 EIS851794:EIT851794 ESO851794:ESP851794 FCK851794:FCL851794 FMG851794:FMH851794 FWC851794:FWD851794 GFY851794:GFZ851794 GPU851794:GPV851794 GZQ851794:GZR851794 HJM851794:HJN851794 HTI851794:HTJ851794 IDE851794:IDF851794 INA851794:INB851794 IWW851794:IWX851794 JGS851794:JGT851794 JQO851794:JQP851794 KAK851794:KAL851794 KKG851794:KKH851794 KUC851794:KUD851794 LDY851794:LDZ851794 LNU851794:LNV851794 LXQ851794:LXR851794 MHM851794:MHN851794 MRI851794:MRJ851794 NBE851794:NBF851794 NLA851794:NLB851794 NUW851794:NUX851794 OES851794:OET851794 OOO851794:OOP851794 OYK851794:OYL851794 PIG851794:PIH851794 PSC851794:PSD851794 QBY851794:QBZ851794 QLU851794:QLV851794 QVQ851794:QVR851794 RFM851794:RFN851794 RPI851794:RPJ851794 RZE851794:RZF851794 SJA851794:SJB851794 SSW851794:SSX851794 TCS851794:TCT851794 TMO851794:TMP851794 TWK851794:TWL851794 UGG851794:UGH851794 UQC851794:UQD851794 UZY851794:UZZ851794 VJU851794:VJV851794 VTQ851794:VTR851794 WDM851794:WDN851794 WNI851794:WNJ851794 WXE851794:WXF851794 KS917330:KT917330 UO917330:UP917330 AEK917330:AEL917330 AOG917330:AOH917330 AYC917330:AYD917330 BHY917330:BHZ917330 BRU917330:BRV917330 CBQ917330:CBR917330 CLM917330:CLN917330 CVI917330:CVJ917330 DFE917330:DFF917330 DPA917330:DPB917330 DYW917330:DYX917330 EIS917330:EIT917330 ESO917330:ESP917330 FCK917330:FCL917330 FMG917330:FMH917330 FWC917330:FWD917330 GFY917330:GFZ917330 GPU917330:GPV917330 GZQ917330:GZR917330 HJM917330:HJN917330 HTI917330:HTJ917330 IDE917330:IDF917330 INA917330:INB917330 IWW917330:IWX917330 JGS917330:JGT917330 JQO917330:JQP917330 KAK917330:KAL917330 KKG917330:KKH917330 KUC917330:KUD917330 LDY917330:LDZ917330 LNU917330:LNV917330 LXQ917330:LXR917330 MHM917330:MHN917330 MRI917330:MRJ917330 NBE917330:NBF917330 NLA917330:NLB917330 NUW917330:NUX917330 OES917330:OET917330 OOO917330:OOP917330 OYK917330:OYL917330 PIG917330:PIH917330 PSC917330:PSD917330 QBY917330:QBZ917330 QLU917330:QLV917330 QVQ917330:QVR917330 RFM917330:RFN917330 RPI917330:RPJ917330 RZE917330:RZF917330 SJA917330:SJB917330 SSW917330:SSX917330 TCS917330:TCT917330 TMO917330:TMP917330 TWK917330:TWL917330 UGG917330:UGH917330 UQC917330:UQD917330 UZY917330:UZZ917330 VJU917330:VJV917330 VTQ917330:VTR917330 WDM917330:WDN917330 WNI917330:WNJ917330 WXE917330:WXF917330 KS982866:KT982866 UO982866:UP982866 AEK982866:AEL982866 AOG982866:AOH982866 AYC982866:AYD982866 BHY982866:BHZ982866 BRU982866:BRV982866 CBQ982866:CBR982866 CLM982866:CLN982866 CVI982866:CVJ982866 DFE982866:DFF982866 DPA982866:DPB982866 DYW982866:DYX982866 EIS982866:EIT982866 ESO982866:ESP982866 FCK982866:FCL982866 FMG982866:FMH982866 FWC982866:FWD982866 GFY982866:GFZ982866 GPU982866:GPV982866 GZQ982866:GZR982866 HJM982866:HJN982866 HTI982866:HTJ982866 IDE982866:IDF982866 INA982866:INB982866 IWW982866:IWX982866 JGS982866:JGT982866 JQO982866:JQP982866 KAK982866:KAL982866 KKG982866:KKH982866 KUC982866:KUD982866 LDY982866:LDZ982866 LNU982866:LNV982866 LXQ982866:LXR982866 MHM982866:MHN982866 MRI982866:MRJ982866 NBE982866:NBF982866 NLA982866:NLB982866 NUW982866:NUX982866 OES982866:OET982866 OOO982866:OOP982866 OYK982866:OYL982866 PIG982866:PIH982866 PSC982866:PSD982866 QBY982866:QBZ982866 QLU982866:QLV982866 QVQ982866:QVR982866 RFM982866:RFN982866 RPI982866:RPJ982866 RZE982866:RZF982866 SJA982866:SJB982866 SSW982866:SSX982866 TCS982866:TCT982866 TMO982866:TMP982866 TWK982866:TWL982866 UGG982866:UGH982866 UQC982866:UQD982866 UZY982866:UZZ982866 VJU982866:VJV982866 VTQ982866:VTR982866 WDM982866:WDN982866 WNI982866:WNJ982866 WXE982866:WXF982866 KS130857:KT130861 UO130857:UP130861 AEK130857:AEL130861 AOG130857:AOH130861 AYC130857:AYD130861 BHY130857:BHZ130861 BRU130857:BRV130861 CBQ130857:CBR130861 CLM130857:CLN130861 CVI130857:CVJ130861 DFE130857:DFF130861 DPA130857:DPB130861 DYW130857:DYX130861 EIS130857:EIT130861 ESO130857:ESP130861 FCK130857:FCL130861 FMG130857:FMH130861 FWC130857:FWD130861 GFY130857:GFZ130861 GPU130857:GPV130861 GZQ130857:GZR130861 HJM130857:HJN130861 HTI130857:HTJ130861 IDE130857:IDF130861 INA130857:INB130861 IWW130857:IWX130861 JGS130857:JGT130861 JQO130857:JQP130861 KAK130857:KAL130861 KKG130857:KKH130861 KUC130857:KUD130861 LDY130857:LDZ130861 LNU130857:LNV130861 LXQ130857:LXR130861 MHM130857:MHN130861 MRI130857:MRJ130861 NBE130857:NBF130861 NLA130857:NLB130861 NUW130857:NUX130861 OES130857:OET130861 OOO130857:OOP130861 OYK130857:OYL130861 PIG130857:PIH130861 PSC130857:PSD130861 QBY130857:QBZ130861 QLU130857:QLV130861 QVQ130857:QVR130861 RFM130857:RFN130861 RPI130857:RPJ130861 RZE130857:RZF130861 SJA130857:SJB130861 SSW130857:SSX130861 TCS130857:TCT130861 TMO130857:TMP130861 TWK130857:TWL130861 UGG130857:UGH130861 UQC130857:UQD130861 UZY130857:UZZ130861 VJU130857:VJV130861 VTQ130857:VTR130861 WDM130857:WDN130861 WNI130857:WNJ130861 WXE130857:WXF130861 KS65332:KT65332 UO65332:UP65332 AEK65332:AEL65332 AOG65332:AOH65332 AYC65332:AYD65332 BHY65332:BHZ65332 BRU65332:BRV65332 CBQ65332:CBR65332 CLM65332:CLN65332 CVI65332:CVJ65332 DFE65332:DFF65332 DPA65332:DPB65332 DYW65332:DYX65332 EIS65332:EIT65332 ESO65332:ESP65332 FCK65332:FCL65332 FMG65332:FMH65332 FWC65332:FWD65332 GFY65332:GFZ65332 GPU65332:GPV65332 GZQ65332:GZR65332 HJM65332:HJN65332 HTI65332:HTJ65332 IDE65332:IDF65332 INA65332:INB65332 IWW65332:IWX65332 JGS65332:JGT65332 JQO65332:JQP65332 KAK65332:KAL65332 KKG65332:KKH65332 KUC65332:KUD65332 LDY65332:LDZ65332 LNU65332:LNV65332 LXQ65332:LXR65332 MHM65332:MHN65332 MRI65332:MRJ65332 NBE65332:NBF65332 NLA65332:NLB65332 NUW65332:NUX65332 OES65332:OET65332 OOO65332:OOP65332 OYK65332:OYL65332 PIG65332:PIH65332 PSC65332:PSD65332 QBY65332:QBZ65332 QLU65332:QLV65332 QVQ65332:QVR65332 RFM65332:RFN65332 RPI65332:RPJ65332 RZE65332:RZF65332 SJA65332:SJB65332 SSW65332:SSX65332 TCS65332:TCT65332 TMO65332:TMP65332 TWK65332:TWL65332 UGG65332:UGH65332 UQC65332:UQD65332 UZY65332:UZZ65332 VJU65332:VJV65332 VTQ65332:VTR65332 WDM65332:WDN65332 WNI65332:WNJ65332 WXE65332:WXF65332 KS130868:KT130868 UO130868:UP130868 AEK130868:AEL130868 AOG130868:AOH130868 AYC130868:AYD130868 BHY130868:BHZ130868 BRU130868:BRV130868 CBQ130868:CBR130868 CLM130868:CLN130868 CVI130868:CVJ130868 DFE130868:DFF130868 DPA130868:DPB130868 DYW130868:DYX130868 EIS130868:EIT130868 ESO130868:ESP130868 FCK130868:FCL130868 FMG130868:FMH130868 FWC130868:FWD130868 GFY130868:GFZ130868 GPU130868:GPV130868 GZQ130868:GZR130868 HJM130868:HJN130868 HTI130868:HTJ130868 IDE130868:IDF130868 INA130868:INB130868 IWW130868:IWX130868 JGS130868:JGT130868 JQO130868:JQP130868 KAK130868:KAL130868 KKG130868:KKH130868 KUC130868:KUD130868 LDY130868:LDZ130868 LNU130868:LNV130868 LXQ130868:LXR130868 MHM130868:MHN130868 MRI130868:MRJ130868 NBE130868:NBF130868 NLA130868:NLB130868 NUW130868:NUX130868 OES130868:OET130868 OOO130868:OOP130868 OYK130868:OYL130868 PIG130868:PIH130868 PSC130868:PSD130868 QBY130868:QBZ130868 QLU130868:QLV130868 QVQ130868:QVR130868 RFM130868:RFN130868 RPI130868:RPJ130868 RZE130868:RZF130868 SJA130868:SJB130868 SSW130868:SSX130868 TCS130868:TCT130868 TMO130868:TMP130868 TWK130868:TWL130868 UGG130868:UGH130868 UQC130868:UQD130868 UZY130868:UZZ130868 VJU130868:VJV130868 VTQ130868:VTR130868 WDM130868:WDN130868 WNI130868:WNJ130868 WXE130868:WXF130868 KS196404:KT196404 UO196404:UP196404 AEK196404:AEL196404 AOG196404:AOH196404 AYC196404:AYD196404 BHY196404:BHZ196404 BRU196404:BRV196404 CBQ196404:CBR196404 CLM196404:CLN196404 CVI196404:CVJ196404 DFE196404:DFF196404 DPA196404:DPB196404 DYW196404:DYX196404 EIS196404:EIT196404 ESO196404:ESP196404 FCK196404:FCL196404 FMG196404:FMH196404 FWC196404:FWD196404 GFY196404:GFZ196404 GPU196404:GPV196404 GZQ196404:GZR196404 HJM196404:HJN196404 HTI196404:HTJ196404 IDE196404:IDF196404 INA196404:INB196404 IWW196404:IWX196404 JGS196404:JGT196404 JQO196404:JQP196404 KAK196404:KAL196404 KKG196404:KKH196404 KUC196404:KUD196404 LDY196404:LDZ196404 LNU196404:LNV196404 LXQ196404:LXR196404 MHM196404:MHN196404 MRI196404:MRJ196404 NBE196404:NBF196404 NLA196404:NLB196404 NUW196404:NUX196404 OES196404:OET196404 OOO196404:OOP196404 OYK196404:OYL196404 PIG196404:PIH196404 PSC196404:PSD196404 QBY196404:QBZ196404 QLU196404:QLV196404 QVQ196404:QVR196404 RFM196404:RFN196404 RPI196404:RPJ196404 RZE196404:RZF196404 SJA196404:SJB196404 SSW196404:SSX196404 TCS196404:TCT196404 TMO196404:TMP196404 TWK196404:TWL196404 UGG196404:UGH196404 UQC196404:UQD196404 UZY196404:UZZ196404 VJU196404:VJV196404 VTQ196404:VTR196404 WDM196404:WDN196404 WNI196404:WNJ196404 WXE196404:WXF196404 KS261940:KT261940 UO261940:UP261940 AEK261940:AEL261940 AOG261940:AOH261940 AYC261940:AYD261940 BHY261940:BHZ261940 BRU261940:BRV261940 CBQ261940:CBR261940 CLM261940:CLN261940 CVI261940:CVJ261940 DFE261940:DFF261940 DPA261940:DPB261940 DYW261940:DYX261940 EIS261940:EIT261940 ESO261940:ESP261940 FCK261940:FCL261940 FMG261940:FMH261940 FWC261940:FWD261940 GFY261940:GFZ261940 GPU261940:GPV261940 GZQ261940:GZR261940 HJM261940:HJN261940 HTI261940:HTJ261940 IDE261940:IDF261940 INA261940:INB261940 IWW261940:IWX261940 JGS261940:JGT261940 JQO261940:JQP261940 KAK261940:KAL261940 KKG261940:KKH261940 KUC261940:KUD261940 LDY261940:LDZ261940 LNU261940:LNV261940 LXQ261940:LXR261940 MHM261940:MHN261940 MRI261940:MRJ261940 NBE261940:NBF261940 NLA261940:NLB261940 NUW261940:NUX261940 OES261940:OET261940 OOO261940:OOP261940 OYK261940:OYL261940 PIG261940:PIH261940 PSC261940:PSD261940 QBY261940:QBZ261940 QLU261940:QLV261940 QVQ261940:QVR261940 RFM261940:RFN261940 RPI261940:RPJ261940 RZE261940:RZF261940 SJA261940:SJB261940 SSW261940:SSX261940 TCS261940:TCT261940 TMO261940:TMP261940 TWK261940:TWL261940 UGG261940:UGH261940 UQC261940:UQD261940 UZY261940:UZZ261940 VJU261940:VJV261940 VTQ261940:VTR261940 WDM261940:WDN261940 WNI261940:WNJ261940 WXE261940:WXF261940 KS327476:KT327476 UO327476:UP327476 AEK327476:AEL327476 AOG327476:AOH327476 AYC327476:AYD327476 BHY327476:BHZ327476 BRU327476:BRV327476 CBQ327476:CBR327476 CLM327476:CLN327476 CVI327476:CVJ327476 DFE327476:DFF327476 DPA327476:DPB327476 DYW327476:DYX327476 EIS327476:EIT327476 ESO327476:ESP327476 FCK327476:FCL327476 FMG327476:FMH327476 FWC327476:FWD327476 GFY327476:GFZ327476 GPU327476:GPV327476 GZQ327476:GZR327476 HJM327476:HJN327476 HTI327476:HTJ327476 IDE327476:IDF327476 INA327476:INB327476 IWW327476:IWX327476 JGS327476:JGT327476 JQO327476:JQP327476 KAK327476:KAL327476 KKG327476:KKH327476 KUC327476:KUD327476 LDY327476:LDZ327476 LNU327476:LNV327476 LXQ327476:LXR327476 MHM327476:MHN327476 MRI327476:MRJ327476 NBE327476:NBF327476 NLA327476:NLB327476 NUW327476:NUX327476 OES327476:OET327476 OOO327476:OOP327476 OYK327476:OYL327476 PIG327476:PIH327476 PSC327476:PSD327476 QBY327476:QBZ327476 QLU327476:QLV327476 QVQ327476:QVR327476 RFM327476:RFN327476 RPI327476:RPJ327476 RZE327476:RZF327476 SJA327476:SJB327476 SSW327476:SSX327476 TCS327476:TCT327476 TMO327476:TMP327476 TWK327476:TWL327476 UGG327476:UGH327476 UQC327476:UQD327476 UZY327476:UZZ327476 VJU327476:VJV327476 VTQ327476:VTR327476 WDM327476:WDN327476 WNI327476:WNJ327476 WXE327476:WXF327476 KS393012:KT393012 UO393012:UP393012 AEK393012:AEL393012 AOG393012:AOH393012 AYC393012:AYD393012 BHY393012:BHZ393012 BRU393012:BRV393012 CBQ393012:CBR393012 CLM393012:CLN393012 CVI393012:CVJ393012 DFE393012:DFF393012 DPA393012:DPB393012 DYW393012:DYX393012 EIS393012:EIT393012 ESO393012:ESP393012 FCK393012:FCL393012 FMG393012:FMH393012 FWC393012:FWD393012 GFY393012:GFZ393012 GPU393012:GPV393012 GZQ393012:GZR393012 HJM393012:HJN393012 HTI393012:HTJ393012 IDE393012:IDF393012 INA393012:INB393012 IWW393012:IWX393012 JGS393012:JGT393012 JQO393012:JQP393012 KAK393012:KAL393012 KKG393012:KKH393012 KUC393012:KUD393012 LDY393012:LDZ393012 LNU393012:LNV393012 LXQ393012:LXR393012 MHM393012:MHN393012 MRI393012:MRJ393012 NBE393012:NBF393012 NLA393012:NLB393012 NUW393012:NUX393012 OES393012:OET393012 OOO393012:OOP393012 OYK393012:OYL393012 PIG393012:PIH393012 PSC393012:PSD393012 QBY393012:QBZ393012 QLU393012:QLV393012 QVQ393012:QVR393012 RFM393012:RFN393012 RPI393012:RPJ393012 RZE393012:RZF393012 SJA393012:SJB393012 SSW393012:SSX393012 TCS393012:TCT393012 TMO393012:TMP393012 TWK393012:TWL393012 UGG393012:UGH393012 UQC393012:UQD393012 UZY393012:UZZ393012 VJU393012:VJV393012 VTQ393012:VTR393012 WDM393012:WDN393012 WNI393012:WNJ393012 WXE393012:WXF393012 KS458548:KT458548 UO458548:UP458548 AEK458548:AEL458548 AOG458548:AOH458548 AYC458548:AYD458548 BHY458548:BHZ458548 BRU458548:BRV458548 CBQ458548:CBR458548 CLM458548:CLN458548 CVI458548:CVJ458548 DFE458548:DFF458548 DPA458548:DPB458548 DYW458548:DYX458548 EIS458548:EIT458548 ESO458548:ESP458548 FCK458548:FCL458548 FMG458548:FMH458548 FWC458548:FWD458548 GFY458548:GFZ458548 GPU458548:GPV458548 GZQ458548:GZR458548 HJM458548:HJN458548 HTI458548:HTJ458548 IDE458548:IDF458548 INA458548:INB458548 IWW458548:IWX458548 JGS458548:JGT458548 JQO458548:JQP458548 KAK458548:KAL458548 KKG458548:KKH458548 KUC458548:KUD458548 LDY458548:LDZ458548 LNU458548:LNV458548 LXQ458548:LXR458548 MHM458548:MHN458548 MRI458548:MRJ458548 NBE458548:NBF458548 NLA458548:NLB458548 NUW458548:NUX458548 OES458548:OET458548 OOO458548:OOP458548 OYK458548:OYL458548 PIG458548:PIH458548 PSC458548:PSD458548 QBY458548:QBZ458548 QLU458548:QLV458548 QVQ458548:QVR458548 RFM458548:RFN458548 RPI458548:RPJ458548 RZE458548:RZF458548 SJA458548:SJB458548 SSW458548:SSX458548 TCS458548:TCT458548 TMO458548:TMP458548 TWK458548:TWL458548 UGG458548:UGH458548 UQC458548:UQD458548 UZY458548:UZZ458548 VJU458548:VJV458548 VTQ458548:VTR458548 WDM458548:WDN458548 WNI458548:WNJ458548 WXE458548:WXF458548 KS524084:KT524084 UO524084:UP524084 AEK524084:AEL524084 AOG524084:AOH524084 AYC524084:AYD524084 BHY524084:BHZ524084 BRU524084:BRV524084 CBQ524084:CBR524084 CLM524084:CLN524084 CVI524084:CVJ524084 DFE524084:DFF524084 DPA524084:DPB524084 DYW524084:DYX524084 EIS524084:EIT524084 ESO524084:ESP524084 FCK524084:FCL524084 FMG524084:FMH524084 FWC524084:FWD524084 GFY524084:GFZ524084 GPU524084:GPV524084 GZQ524084:GZR524084 HJM524084:HJN524084 HTI524084:HTJ524084 IDE524084:IDF524084 INA524084:INB524084 IWW524084:IWX524084 JGS524084:JGT524084 JQO524084:JQP524084 KAK524084:KAL524084 KKG524084:KKH524084 KUC524084:KUD524084 LDY524084:LDZ524084 LNU524084:LNV524084 LXQ524084:LXR524084 MHM524084:MHN524084 MRI524084:MRJ524084 NBE524084:NBF524084 NLA524084:NLB524084 NUW524084:NUX524084 OES524084:OET524084 OOO524084:OOP524084 OYK524084:OYL524084 PIG524084:PIH524084 PSC524084:PSD524084 QBY524084:QBZ524084 QLU524084:QLV524084 QVQ524084:QVR524084 RFM524084:RFN524084 RPI524084:RPJ524084 RZE524084:RZF524084 SJA524084:SJB524084 SSW524084:SSX524084 TCS524084:TCT524084 TMO524084:TMP524084 TWK524084:TWL524084 UGG524084:UGH524084 UQC524084:UQD524084 UZY524084:UZZ524084 VJU524084:VJV524084 VTQ524084:VTR524084 WDM524084:WDN524084 WNI524084:WNJ524084 WXE524084:WXF524084 KS589620:KT589620 UO589620:UP589620 AEK589620:AEL589620 AOG589620:AOH589620 AYC589620:AYD589620 BHY589620:BHZ589620 BRU589620:BRV589620 CBQ589620:CBR589620 CLM589620:CLN589620 CVI589620:CVJ589620 DFE589620:DFF589620 DPA589620:DPB589620 DYW589620:DYX589620 EIS589620:EIT589620 ESO589620:ESP589620 FCK589620:FCL589620 FMG589620:FMH589620 FWC589620:FWD589620 GFY589620:GFZ589620 GPU589620:GPV589620 GZQ589620:GZR589620 HJM589620:HJN589620 HTI589620:HTJ589620 IDE589620:IDF589620 INA589620:INB589620 IWW589620:IWX589620 JGS589620:JGT589620 JQO589620:JQP589620 KAK589620:KAL589620 KKG589620:KKH589620 KUC589620:KUD589620 LDY589620:LDZ589620 LNU589620:LNV589620 LXQ589620:LXR589620 MHM589620:MHN589620 MRI589620:MRJ589620 NBE589620:NBF589620 NLA589620:NLB589620 NUW589620:NUX589620 OES589620:OET589620 OOO589620:OOP589620 OYK589620:OYL589620 PIG589620:PIH589620 PSC589620:PSD589620 QBY589620:QBZ589620 QLU589620:QLV589620 QVQ589620:QVR589620 RFM589620:RFN589620 RPI589620:RPJ589620 RZE589620:RZF589620 SJA589620:SJB589620 SSW589620:SSX589620 TCS589620:TCT589620 TMO589620:TMP589620 TWK589620:TWL589620 UGG589620:UGH589620 UQC589620:UQD589620 UZY589620:UZZ589620 VJU589620:VJV589620 VTQ589620:VTR589620 WDM589620:WDN589620 WNI589620:WNJ589620 WXE589620:WXF589620 KS655156:KT655156 UO655156:UP655156 AEK655156:AEL655156 AOG655156:AOH655156 AYC655156:AYD655156 BHY655156:BHZ655156 BRU655156:BRV655156 CBQ655156:CBR655156 CLM655156:CLN655156 CVI655156:CVJ655156 DFE655156:DFF655156 DPA655156:DPB655156 DYW655156:DYX655156 EIS655156:EIT655156 ESO655156:ESP655156 FCK655156:FCL655156 FMG655156:FMH655156 FWC655156:FWD655156 GFY655156:GFZ655156 GPU655156:GPV655156 GZQ655156:GZR655156 HJM655156:HJN655156 HTI655156:HTJ655156 IDE655156:IDF655156 INA655156:INB655156 IWW655156:IWX655156 JGS655156:JGT655156 JQO655156:JQP655156 KAK655156:KAL655156 KKG655156:KKH655156 KUC655156:KUD655156 LDY655156:LDZ655156 LNU655156:LNV655156 LXQ655156:LXR655156 MHM655156:MHN655156 MRI655156:MRJ655156 NBE655156:NBF655156 NLA655156:NLB655156 NUW655156:NUX655156 OES655156:OET655156 OOO655156:OOP655156 OYK655156:OYL655156 PIG655156:PIH655156 PSC655156:PSD655156 QBY655156:QBZ655156 QLU655156:QLV655156 QVQ655156:QVR655156 RFM655156:RFN655156 RPI655156:RPJ655156 RZE655156:RZF655156 SJA655156:SJB655156 SSW655156:SSX655156 TCS655156:TCT655156 TMO655156:TMP655156 TWK655156:TWL655156 UGG655156:UGH655156 UQC655156:UQD655156 UZY655156:UZZ655156 VJU655156:VJV655156 VTQ655156:VTR655156 WDM655156:WDN655156 WNI655156:WNJ655156 WXE655156:WXF655156 KS720692:KT720692 UO720692:UP720692 AEK720692:AEL720692 AOG720692:AOH720692 AYC720692:AYD720692 BHY720692:BHZ720692 BRU720692:BRV720692 CBQ720692:CBR720692 CLM720692:CLN720692 CVI720692:CVJ720692 DFE720692:DFF720692 DPA720692:DPB720692 DYW720692:DYX720692 EIS720692:EIT720692 ESO720692:ESP720692 FCK720692:FCL720692 FMG720692:FMH720692 FWC720692:FWD720692 GFY720692:GFZ720692 GPU720692:GPV720692 GZQ720692:GZR720692 HJM720692:HJN720692 HTI720692:HTJ720692 IDE720692:IDF720692 INA720692:INB720692 IWW720692:IWX720692 JGS720692:JGT720692 JQO720692:JQP720692 KAK720692:KAL720692 KKG720692:KKH720692 KUC720692:KUD720692 LDY720692:LDZ720692 LNU720692:LNV720692 LXQ720692:LXR720692 MHM720692:MHN720692 MRI720692:MRJ720692 NBE720692:NBF720692 NLA720692:NLB720692 NUW720692:NUX720692 OES720692:OET720692 OOO720692:OOP720692 OYK720692:OYL720692 PIG720692:PIH720692 PSC720692:PSD720692 QBY720692:QBZ720692 QLU720692:QLV720692 QVQ720692:QVR720692 RFM720692:RFN720692 RPI720692:RPJ720692 RZE720692:RZF720692 SJA720692:SJB720692 SSW720692:SSX720692 TCS720692:TCT720692 TMO720692:TMP720692 TWK720692:TWL720692 UGG720692:UGH720692 UQC720692:UQD720692 UZY720692:UZZ720692 VJU720692:VJV720692 VTQ720692:VTR720692 WDM720692:WDN720692 WNI720692:WNJ720692 WXE720692:WXF720692 KS786228:KT786228 UO786228:UP786228 AEK786228:AEL786228 AOG786228:AOH786228 AYC786228:AYD786228 BHY786228:BHZ786228 BRU786228:BRV786228 CBQ786228:CBR786228 CLM786228:CLN786228 CVI786228:CVJ786228 DFE786228:DFF786228 DPA786228:DPB786228 DYW786228:DYX786228 EIS786228:EIT786228 ESO786228:ESP786228 FCK786228:FCL786228 FMG786228:FMH786228 FWC786228:FWD786228 GFY786228:GFZ786228 GPU786228:GPV786228 GZQ786228:GZR786228 HJM786228:HJN786228 HTI786228:HTJ786228 IDE786228:IDF786228 INA786228:INB786228 IWW786228:IWX786228 JGS786228:JGT786228 JQO786228:JQP786228 KAK786228:KAL786228 KKG786228:KKH786228 KUC786228:KUD786228 LDY786228:LDZ786228 LNU786228:LNV786228 LXQ786228:LXR786228 MHM786228:MHN786228 MRI786228:MRJ786228 NBE786228:NBF786228 NLA786228:NLB786228 NUW786228:NUX786228 OES786228:OET786228 OOO786228:OOP786228 OYK786228:OYL786228 PIG786228:PIH786228 PSC786228:PSD786228 QBY786228:QBZ786228 QLU786228:QLV786228 QVQ786228:QVR786228 RFM786228:RFN786228 RPI786228:RPJ786228 RZE786228:RZF786228 SJA786228:SJB786228 SSW786228:SSX786228 TCS786228:TCT786228 TMO786228:TMP786228 TWK786228:TWL786228 UGG786228:UGH786228 UQC786228:UQD786228 UZY786228:UZZ786228 VJU786228:VJV786228 VTQ786228:VTR786228 WDM786228:WDN786228 WNI786228:WNJ786228 WXE786228:WXF786228 KS851764:KT851764 UO851764:UP851764 AEK851764:AEL851764 AOG851764:AOH851764 AYC851764:AYD851764 BHY851764:BHZ851764 BRU851764:BRV851764 CBQ851764:CBR851764 CLM851764:CLN851764 CVI851764:CVJ851764 DFE851764:DFF851764 DPA851764:DPB851764 DYW851764:DYX851764 EIS851764:EIT851764 ESO851764:ESP851764 FCK851764:FCL851764 FMG851764:FMH851764 FWC851764:FWD851764 GFY851764:GFZ851764 GPU851764:GPV851764 GZQ851764:GZR851764 HJM851764:HJN851764 HTI851764:HTJ851764 IDE851764:IDF851764 INA851764:INB851764 IWW851764:IWX851764 JGS851764:JGT851764 JQO851764:JQP851764 KAK851764:KAL851764 KKG851764:KKH851764 KUC851764:KUD851764 LDY851764:LDZ851764 LNU851764:LNV851764 LXQ851764:LXR851764 MHM851764:MHN851764 MRI851764:MRJ851764 NBE851764:NBF851764 NLA851764:NLB851764 NUW851764:NUX851764 OES851764:OET851764 OOO851764:OOP851764 OYK851764:OYL851764 PIG851764:PIH851764 PSC851764:PSD851764 QBY851764:QBZ851764 QLU851764:QLV851764 QVQ851764:QVR851764 RFM851764:RFN851764 RPI851764:RPJ851764 RZE851764:RZF851764 SJA851764:SJB851764 SSW851764:SSX851764 TCS851764:TCT851764 TMO851764:TMP851764 TWK851764:TWL851764 UGG851764:UGH851764 UQC851764:UQD851764 UZY851764:UZZ851764 VJU851764:VJV851764 VTQ851764:VTR851764 WDM851764:WDN851764 WNI851764:WNJ851764 WXE851764:WXF851764 KS917300:KT917300 UO917300:UP917300 AEK917300:AEL917300 AOG917300:AOH917300 AYC917300:AYD917300 BHY917300:BHZ917300 BRU917300:BRV917300 CBQ917300:CBR917300 CLM917300:CLN917300 CVI917300:CVJ917300 DFE917300:DFF917300 DPA917300:DPB917300 DYW917300:DYX917300 EIS917300:EIT917300 ESO917300:ESP917300 FCK917300:FCL917300 FMG917300:FMH917300 FWC917300:FWD917300 GFY917300:GFZ917300 GPU917300:GPV917300 GZQ917300:GZR917300 HJM917300:HJN917300 HTI917300:HTJ917300 IDE917300:IDF917300 INA917300:INB917300 IWW917300:IWX917300 JGS917300:JGT917300 JQO917300:JQP917300 KAK917300:KAL917300 KKG917300:KKH917300 KUC917300:KUD917300 LDY917300:LDZ917300 LNU917300:LNV917300 LXQ917300:LXR917300 MHM917300:MHN917300 MRI917300:MRJ917300 NBE917300:NBF917300 NLA917300:NLB917300 NUW917300:NUX917300 OES917300:OET917300 OOO917300:OOP917300 OYK917300:OYL917300 PIG917300:PIH917300 PSC917300:PSD917300 QBY917300:QBZ917300 QLU917300:QLV917300 QVQ917300:QVR917300 RFM917300:RFN917300 RPI917300:RPJ917300 RZE917300:RZF917300 SJA917300:SJB917300 SSW917300:SSX917300 TCS917300:TCT917300 TMO917300:TMP917300 TWK917300:TWL917300 UGG917300:UGH917300 UQC917300:UQD917300 UZY917300:UZZ917300 VJU917300:VJV917300 VTQ917300:VTR917300 WDM917300:WDN917300 WNI917300:WNJ917300 WXE917300:WXF917300 KS982836:KT982836 UO982836:UP982836 AEK982836:AEL982836 AOG982836:AOH982836 AYC982836:AYD982836 BHY982836:BHZ982836 BRU982836:BRV982836 CBQ982836:CBR982836 CLM982836:CLN982836 CVI982836:CVJ982836 DFE982836:DFF982836 DPA982836:DPB982836 DYW982836:DYX982836 EIS982836:EIT982836 ESO982836:ESP982836 FCK982836:FCL982836 FMG982836:FMH982836 FWC982836:FWD982836 GFY982836:GFZ982836 GPU982836:GPV982836 GZQ982836:GZR982836 HJM982836:HJN982836 HTI982836:HTJ982836 IDE982836:IDF982836 INA982836:INB982836 IWW982836:IWX982836 JGS982836:JGT982836 JQO982836:JQP982836 KAK982836:KAL982836 KKG982836:KKH982836 KUC982836:KUD982836 LDY982836:LDZ982836 LNU982836:LNV982836 LXQ982836:LXR982836 MHM982836:MHN982836 MRI982836:MRJ982836 NBE982836:NBF982836 NLA982836:NLB982836 NUW982836:NUX982836 OES982836:OET982836 OOO982836:OOP982836 OYK982836:OYL982836 PIG982836:PIH982836 PSC982836:PSD982836 QBY982836:QBZ982836 QLU982836:QLV982836 QVQ982836:QVR982836 RFM982836:RFN982836 RPI982836:RPJ982836 RZE982836:RZF982836 SJA982836:SJB982836 SSW982836:SSX982836 TCS982836:TCT982836 TMO982836:TMP982836 TWK982836:TWL982836 UGG982836:UGH982836 UQC982836:UQD982836 UZY982836:UZZ982836 VJU982836:VJV982836 VTQ982836:VTR982836 WDM982836:WDN982836 WNI982836:WNJ982836 WXE982836:WXF982836 KS196393:KT196397 UO196393:UP196397 AEK196393:AEL196397 AOG196393:AOH196397 AYC196393:AYD196397 BHY196393:BHZ196397 BRU196393:BRV196397 CBQ196393:CBR196397 CLM196393:CLN196397 CVI196393:CVJ196397 DFE196393:DFF196397 DPA196393:DPB196397 DYW196393:DYX196397 EIS196393:EIT196397 ESO196393:ESP196397 FCK196393:FCL196397 FMG196393:FMH196397 FWC196393:FWD196397 GFY196393:GFZ196397 GPU196393:GPV196397 GZQ196393:GZR196397 HJM196393:HJN196397 HTI196393:HTJ196397 IDE196393:IDF196397 INA196393:INB196397 IWW196393:IWX196397 JGS196393:JGT196397 JQO196393:JQP196397 KAK196393:KAL196397 KKG196393:KKH196397 KUC196393:KUD196397 LDY196393:LDZ196397 LNU196393:LNV196397 LXQ196393:LXR196397 MHM196393:MHN196397 MRI196393:MRJ196397 NBE196393:NBF196397 NLA196393:NLB196397 NUW196393:NUX196397 OES196393:OET196397 OOO196393:OOP196397 OYK196393:OYL196397 PIG196393:PIH196397 PSC196393:PSD196397 QBY196393:QBZ196397 QLU196393:QLV196397 QVQ196393:QVR196397 RFM196393:RFN196397 RPI196393:RPJ196397 RZE196393:RZF196397 SJA196393:SJB196397 SSW196393:SSX196397 TCS196393:TCT196397 TMO196393:TMP196397 TWK196393:TWL196397 UGG196393:UGH196397 UQC196393:UQD196397 UZY196393:UZZ196397 VJU196393:VJV196397 VTQ196393:VTR196397 WDM196393:WDN196397 WNI196393:WNJ196397 WXE196393:WXF196397 KS65392:KT65395 UO65392:UP65395 AEK65392:AEL65395 AOG65392:AOH65395 AYC65392:AYD65395 BHY65392:BHZ65395 BRU65392:BRV65395 CBQ65392:CBR65395 CLM65392:CLN65395 CVI65392:CVJ65395 DFE65392:DFF65395 DPA65392:DPB65395 DYW65392:DYX65395 EIS65392:EIT65395 ESO65392:ESP65395 FCK65392:FCL65395 FMG65392:FMH65395 FWC65392:FWD65395 GFY65392:GFZ65395 GPU65392:GPV65395 GZQ65392:GZR65395 HJM65392:HJN65395 HTI65392:HTJ65395 IDE65392:IDF65395 INA65392:INB65395 IWW65392:IWX65395 JGS65392:JGT65395 JQO65392:JQP65395 KAK65392:KAL65395 KKG65392:KKH65395 KUC65392:KUD65395 LDY65392:LDZ65395 LNU65392:LNV65395 LXQ65392:LXR65395 MHM65392:MHN65395 MRI65392:MRJ65395 NBE65392:NBF65395 NLA65392:NLB65395 NUW65392:NUX65395 OES65392:OET65395 OOO65392:OOP65395 OYK65392:OYL65395 PIG65392:PIH65395 PSC65392:PSD65395 QBY65392:QBZ65395 QLU65392:QLV65395 QVQ65392:QVR65395 RFM65392:RFN65395 RPI65392:RPJ65395 RZE65392:RZF65395 SJA65392:SJB65395 SSW65392:SSX65395 TCS65392:TCT65395 TMO65392:TMP65395 TWK65392:TWL65395 UGG65392:UGH65395 UQC65392:UQD65395 UZY65392:UZZ65395 VJU65392:VJV65395 VTQ65392:VTR65395 WDM65392:WDN65395 WNI65392:WNJ65395 WXE65392:WXF65395 KS130928:KT130931 UO130928:UP130931 AEK130928:AEL130931 AOG130928:AOH130931 AYC130928:AYD130931 BHY130928:BHZ130931 BRU130928:BRV130931 CBQ130928:CBR130931 CLM130928:CLN130931 CVI130928:CVJ130931 DFE130928:DFF130931 DPA130928:DPB130931 DYW130928:DYX130931 EIS130928:EIT130931 ESO130928:ESP130931 FCK130928:FCL130931 FMG130928:FMH130931 FWC130928:FWD130931 GFY130928:GFZ130931 GPU130928:GPV130931 GZQ130928:GZR130931 HJM130928:HJN130931 HTI130928:HTJ130931 IDE130928:IDF130931 INA130928:INB130931 IWW130928:IWX130931 JGS130928:JGT130931 JQO130928:JQP130931 KAK130928:KAL130931 KKG130928:KKH130931 KUC130928:KUD130931 LDY130928:LDZ130931 LNU130928:LNV130931 LXQ130928:LXR130931 MHM130928:MHN130931 MRI130928:MRJ130931 NBE130928:NBF130931 NLA130928:NLB130931 NUW130928:NUX130931 OES130928:OET130931 OOO130928:OOP130931 OYK130928:OYL130931 PIG130928:PIH130931 PSC130928:PSD130931 QBY130928:QBZ130931 QLU130928:QLV130931 QVQ130928:QVR130931 RFM130928:RFN130931 RPI130928:RPJ130931 RZE130928:RZF130931 SJA130928:SJB130931 SSW130928:SSX130931 TCS130928:TCT130931 TMO130928:TMP130931 TWK130928:TWL130931 UGG130928:UGH130931 UQC130928:UQD130931 UZY130928:UZZ130931 VJU130928:VJV130931 VTQ130928:VTR130931 WDM130928:WDN130931 WNI130928:WNJ130931 WXE130928:WXF130931 KS196464:KT196467 UO196464:UP196467 AEK196464:AEL196467 AOG196464:AOH196467 AYC196464:AYD196467 BHY196464:BHZ196467 BRU196464:BRV196467 CBQ196464:CBR196467 CLM196464:CLN196467 CVI196464:CVJ196467 DFE196464:DFF196467 DPA196464:DPB196467 DYW196464:DYX196467 EIS196464:EIT196467 ESO196464:ESP196467 FCK196464:FCL196467 FMG196464:FMH196467 FWC196464:FWD196467 GFY196464:GFZ196467 GPU196464:GPV196467 GZQ196464:GZR196467 HJM196464:HJN196467 HTI196464:HTJ196467 IDE196464:IDF196467 INA196464:INB196467 IWW196464:IWX196467 JGS196464:JGT196467 JQO196464:JQP196467 KAK196464:KAL196467 KKG196464:KKH196467 KUC196464:KUD196467 LDY196464:LDZ196467 LNU196464:LNV196467 LXQ196464:LXR196467 MHM196464:MHN196467 MRI196464:MRJ196467 NBE196464:NBF196467 NLA196464:NLB196467 NUW196464:NUX196467 OES196464:OET196467 OOO196464:OOP196467 OYK196464:OYL196467 PIG196464:PIH196467 PSC196464:PSD196467 QBY196464:QBZ196467 QLU196464:QLV196467 QVQ196464:QVR196467 RFM196464:RFN196467 RPI196464:RPJ196467 RZE196464:RZF196467 SJA196464:SJB196467 SSW196464:SSX196467 TCS196464:TCT196467 TMO196464:TMP196467 TWK196464:TWL196467 UGG196464:UGH196467 UQC196464:UQD196467 UZY196464:UZZ196467 VJU196464:VJV196467 VTQ196464:VTR196467 WDM196464:WDN196467 WNI196464:WNJ196467 WXE196464:WXF196467 KS262000:KT262003 UO262000:UP262003 AEK262000:AEL262003 AOG262000:AOH262003 AYC262000:AYD262003 BHY262000:BHZ262003 BRU262000:BRV262003 CBQ262000:CBR262003 CLM262000:CLN262003 CVI262000:CVJ262003 DFE262000:DFF262003 DPA262000:DPB262003 DYW262000:DYX262003 EIS262000:EIT262003 ESO262000:ESP262003 FCK262000:FCL262003 FMG262000:FMH262003 FWC262000:FWD262003 GFY262000:GFZ262003 GPU262000:GPV262003 GZQ262000:GZR262003 HJM262000:HJN262003 HTI262000:HTJ262003 IDE262000:IDF262003 INA262000:INB262003 IWW262000:IWX262003 JGS262000:JGT262003 JQO262000:JQP262003 KAK262000:KAL262003 KKG262000:KKH262003 KUC262000:KUD262003 LDY262000:LDZ262003 LNU262000:LNV262003 LXQ262000:LXR262003 MHM262000:MHN262003 MRI262000:MRJ262003 NBE262000:NBF262003 NLA262000:NLB262003 NUW262000:NUX262003 OES262000:OET262003 OOO262000:OOP262003 OYK262000:OYL262003 PIG262000:PIH262003 PSC262000:PSD262003 QBY262000:QBZ262003 QLU262000:QLV262003 QVQ262000:QVR262003 RFM262000:RFN262003 RPI262000:RPJ262003 RZE262000:RZF262003 SJA262000:SJB262003 SSW262000:SSX262003 TCS262000:TCT262003 TMO262000:TMP262003 TWK262000:TWL262003 UGG262000:UGH262003 UQC262000:UQD262003 UZY262000:UZZ262003 VJU262000:VJV262003 VTQ262000:VTR262003 WDM262000:WDN262003 WNI262000:WNJ262003 WXE262000:WXF262003 KS327536:KT327539 UO327536:UP327539 AEK327536:AEL327539 AOG327536:AOH327539 AYC327536:AYD327539 BHY327536:BHZ327539 BRU327536:BRV327539 CBQ327536:CBR327539 CLM327536:CLN327539 CVI327536:CVJ327539 DFE327536:DFF327539 DPA327536:DPB327539 DYW327536:DYX327539 EIS327536:EIT327539 ESO327536:ESP327539 FCK327536:FCL327539 FMG327536:FMH327539 FWC327536:FWD327539 GFY327536:GFZ327539 GPU327536:GPV327539 GZQ327536:GZR327539 HJM327536:HJN327539 HTI327536:HTJ327539 IDE327536:IDF327539 INA327536:INB327539 IWW327536:IWX327539 JGS327536:JGT327539 JQO327536:JQP327539 KAK327536:KAL327539 KKG327536:KKH327539 KUC327536:KUD327539 LDY327536:LDZ327539 LNU327536:LNV327539 LXQ327536:LXR327539 MHM327536:MHN327539 MRI327536:MRJ327539 NBE327536:NBF327539 NLA327536:NLB327539 NUW327536:NUX327539 OES327536:OET327539 OOO327536:OOP327539 OYK327536:OYL327539 PIG327536:PIH327539 PSC327536:PSD327539 QBY327536:QBZ327539 QLU327536:QLV327539 QVQ327536:QVR327539 RFM327536:RFN327539 RPI327536:RPJ327539 RZE327536:RZF327539 SJA327536:SJB327539 SSW327536:SSX327539 TCS327536:TCT327539 TMO327536:TMP327539 TWK327536:TWL327539 UGG327536:UGH327539 UQC327536:UQD327539 UZY327536:UZZ327539 VJU327536:VJV327539 VTQ327536:VTR327539 WDM327536:WDN327539 WNI327536:WNJ327539 WXE327536:WXF327539 KS393072:KT393075 UO393072:UP393075 AEK393072:AEL393075 AOG393072:AOH393075 AYC393072:AYD393075 BHY393072:BHZ393075 BRU393072:BRV393075 CBQ393072:CBR393075 CLM393072:CLN393075 CVI393072:CVJ393075 DFE393072:DFF393075 DPA393072:DPB393075 DYW393072:DYX393075 EIS393072:EIT393075 ESO393072:ESP393075 FCK393072:FCL393075 FMG393072:FMH393075 FWC393072:FWD393075 GFY393072:GFZ393075 GPU393072:GPV393075 GZQ393072:GZR393075 HJM393072:HJN393075 HTI393072:HTJ393075 IDE393072:IDF393075 INA393072:INB393075 IWW393072:IWX393075 JGS393072:JGT393075 JQO393072:JQP393075 KAK393072:KAL393075 KKG393072:KKH393075 KUC393072:KUD393075 LDY393072:LDZ393075 LNU393072:LNV393075 LXQ393072:LXR393075 MHM393072:MHN393075 MRI393072:MRJ393075 NBE393072:NBF393075 NLA393072:NLB393075 NUW393072:NUX393075 OES393072:OET393075 OOO393072:OOP393075 OYK393072:OYL393075 PIG393072:PIH393075 PSC393072:PSD393075 QBY393072:QBZ393075 QLU393072:QLV393075 QVQ393072:QVR393075 RFM393072:RFN393075 RPI393072:RPJ393075 RZE393072:RZF393075 SJA393072:SJB393075 SSW393072:SSX393075 TCS393072:TCT393075 TMO393072:TMP393075 TWK393072:TWL393075 UGG393072:UGH393075 UQC393072:UQD393075 UZY393072:UZZ393075 VJU393072:VJV393075 VTQ393072:VTR393075 WDM393072:WDN393075 WNI393072:WNJ393075 WXE393072:WXF393075 KS458608:KT458611 UO458608:UP458611 AEK458608:AEL458611 AOG458608:AOH458611 AYC458608:AYD458611 BHY458608:BHZ458611 BRU458608:BRV458611 CBQ458608:CBR458611 CLM458608:CLN458611 CVI458608:CVJ458611 DFE458608:DFF458611 DPA458608:DPB458611 DYW458608:DYX458611 EIS458608:EIT458611 ESO458608:ESP458611 FCK458608:FCL458611 FMG458608:FMH458611 FWC458608:FWD458611 GFY458608:GFZ458611 GPU458608:GPV458611 GZQ458608:GZR458611 HJM458608:HJN458611 HTI458608:HTJ458611 IDE458608:IDF458611 INA458608:INB458611 IWW458608:IWX458611 JGS458608:JGT458611 JQO458608:JQP458611 KAK458608:KAL458611 KKG458608:KKH458611 KUC458608:KUD458611 LDY458608:LDZ458611 LNU458608:LNV458611 LXQ458608:LXR458611 MHM458608:MHN458611 MRI458608:MRJ458611 NBE458608:NBF458611 NLA458608:NLB458611 NUW458608:NUX458611 OES458608:OET458611 OOO458608:OOP458611 OYK458608:OYL458611 PIG458608:PIH458611 PSC458608:PSD458611 QBY458608:QBZ458611 QLU458608:QLV458611 QVQ458608:QVR458611 RFM458608:RFN458611 RPI458608:RPJ458611 RZE458608:RZF458611 SJA458608:SJB458611 SSW458608:SSX458611 TCS458608:TCT458611 TMO458608:TMP458611 TWK458608:TWL458611 UGG458608:UGH458611 UQC458608:UQD458611 UZY458608:UZZ458611 VJU458608:VJV458611 VTQ458608:VTR458611 WDM458608:WDN458611 WNI458608:WNJ458611 WXE458608:WXF458611 KS524144:KT524147 UO524144:UP524147 AEK524144:AEL524147 AOG524144:AOH524147 AYC524144:AYD524147 BHY524144:BHZ524147 BRU524144:BRV524147 CBQ524144:CBR524147 CLM524144:CLN524147 CVI524144:CVJ524147 DFE524144:DFF524147 DPA524144:DPB524147 DYW524144:DYX524147 EIS524144:EIT524147 ESO524144:ESP524147 FCK524144:FCL524147 FMG524144:FMH524147 FWC524144:FWD524147 GFY524144:GFZ524147 GPU524144:GPV524147 GZQ524144:GZR524147 HJM524144:HJN524147 HTI524144:HTJ524147 IDE524144:IDF524147 INA524144:INB524147 IWW524144:IWX524147 JGS524144:JGT524147 JQO524144:JQP524147 KAK524144:KAL524147 KKG524144:KKH524147 KUC524144:KUD524147 LDY524144:LDZ524147 LNU524144:LNV524147 LXQ524144:LXR524147 MHM524144:MHN524147 MRI524144:MRJ524147 NBE524144:NBF524147 NLA524144:NLB524147 NUW524144:NUX524147 OES524144:OET524147 OOO524144:OOP524147 OYK524144:OYL524147 PIG524144:PIH524147 PSC524144:PSD524147 QBY524144:QBZ524147 QLU524144:QLV524147 QVQ524144:QVR524147 RFM524144:RFN524147 RPI524144:RPJ524147 RZE524144:RZF524147 SJA524144:SJB524147 SSW524144:SSX524147 TCS524144:TCT524147 TMO524144:TMP524147 TWK524144:TWL524147 UGG524144:UGH524147 UQC524144:UQD524147 UZY524144:UZZ524147 VJU524144:VJV524147 VTQ524144:VTR524147 WDM524144:WDN524147 WNI524144:WNJ524147 WXE524144:WXF524147 KS589680:KT589683 UO589680:UP589683 AEK589680:AEL589683 AOG589680:AOH589683 AYC589680:AYD589683 BHY589680:BHZ589683 BRU589680:BRV589683 CBQ589680:CBR589683 CLM589680:CLN589683 CVI589680:CVJ589683 DFE589680:DFF589683 DPA589680:DPB589683 DYW589680:DYX589683 EIS589680:EIT589683 ESO589680:ESP589683 FCK589680:FCL589683 FMG589680:FMH589683 FWC589680:FWD589683 GFY589680:GFZ589683 GPU589680:GPV589683 GZQ589680:GZR589683 HJM589680:HJN589683 HTI589680:HTJ589683 IDE589680:IDF589683 INA589680:INB589683 IWW589680:IWX589683 JGS589680:JGT589683 JQO589680:JQP589683 KAK589680:KAL589683 KKG589680:KKH589683 KUC589680:KUD589683 LDY589680:LDZ589683 LNU589680:LNV589683 LXQ589680:LXR589683 MHM589680:MHN589683 MRI589680:MRJ589683 NBE589680:NBF589683 NLA589680:NLB589683 NUW589680:NUX589683 OES589680:OET589683 OOO589680:OOP589683 OYK589680:OYL589683 PIG589680:PIH589683 PSC589680:PSD589683 QBY589680:QBZ589683 QLU589680:QLV589683 QVQ589680:QVR589683 RFM589680:RFN589683 RPI589680:RPJ589683 RZE589680:RZF589683 SJA589680:SJB589683 SSW589680:SSX589683 TCS589680:TCT589683 TMO589680:TMP589683 TWK589680:TWL589683 UGG589680:UGH589683 UQC589680:UQD589683 UZY589680:UZZ589683 VJU589680:VJV589683 VTQ589680:VTR589683 WDM589680:WDN589683 WNI589680:WNJ589683 WXE589680:WXF589683 KS655216:KT655219 UO655216:UP655219 AEK655216:AEL655219 AOG655216:AOH655219 AYC655216:AYD655219 BHY655216:BHZ655219 BRU655216:BRV655219 CBQ655216:CBR655219 CLM655216:CLN655219 CVI655216:CVJ655219 DFE655216:DFF655219 DPA655216:DPB655219 DYW655216:DYX655219 EIS655216:EIT655219 ESO655216:ESP655219 FCK655216:FCL655219 FMG655216:FMH655219 FWC655216:FWD655219 GFY655216:GFZ655219 GPU655216:GPV655219 GZQ655216:GZR655219 HJM655216:HJN655219 HTI655216:HTJ655219 IDE655216:IDF655219 INA655216:INB655219 IWW655216:IWX655219 JGS655216:JGT655219 JQO655216:JQP655219 KAK655216:KAL655219 KKG655216:KKH655219 KUC655216:KUD655219 LDY655216:LDZ655219 LNU655216:LNV655219 LXQ655216:LXR655219 MHM655216:MHN655219 MRI655216:MRJ655219 NBE655216:NBF655219 NLA655216:NLB655219 NUW655216:NUX655219 OES655216:OET655219 OOO655216:OOP655219 OYK655216:OYL655219 PIG655216:PIH655219 PSC655216:PSD655219 QBY655216:QBZ655219 QLU655216:QLV655219 QVQ655216:QVR655219 RFM655216:RFN655219 RPI655216:RPJ655219 RZE655216:RZF655219 SJA655216:SJB655219 SSW655216:SSX655219 TCS655216:TCT655219 TMO655216:TMP655219 TWK655216:TWL655219 UGG655216:UGH655219 UQC655216:UQD655219 UZY655216:UZZ655219 VJU655216:VJV655219 VTQ655216:VTR655219 WDM655216:WDN655219 WNI655216:WNJ655219 WXE655216:WXF655219 KS720752:KT720755 UO720752:UP720755 AEK720752:AEL720755 AOG720752:AOH720755 AYC720752:AYD720755 BHY720752:BHZ720755 BRU720752:BRV720755 CBQ720752:CBR720755 CLM720752:CLN720755 CVI720752:CVJ720755 DFE720752:DFF720755 DPA720752:DPB720755 DYW720752:DYX720755 EIS720752:EIT720755 ESO720752:ESP720755 FCK720752:FCL720755 FMG720752:FMH720755 FWC720752:FWD720755 GFY720752:GFZ720755 GPU720752:GPV720755 GZQ720752:GZR720755 HJM720752:HJN720755 HTI720752:HTJ720755 IDE720752:IDF720755 INA720752:INB720755 IWW720752:IWX720755 JGS720752:JGT720755 JQO720752:JQP720755 KAK720752:KAL720755 KKG720752:KKH720755 KUC720752:KUD720755 LDY720752:LDZ720755 LNU720752:LNV720755 LXQ720752:LXR720755 MHM720752:MHN720755 MRI720752:MRJ720755 NBE720752:NBF720755 NLA720752:NLB720755 NUW720752:NUX720755 OES720752:OET720755 OOO720752:OOP720755 OYK720752:OYL720755 PIG720752:PIH720755 PSC720752:PSD720755 QBY720752:QBZ720755 QLU720752:QLV720755 QVQ720752:QVR720755 RFM720752:RFN720755 RPI720752:RPJ720755 RZE720752:RZF720755 SJA720752:SJB720755 SSW720752:SSX720755 TCS720752:TCT720755 TMO720752:TMP720755 TWK720752:TWL720755 UGG720752:UGH720755 UQC720752:UQD720755 UZY720752:UZZ720755 VJU720752:VJV720755 VTQ720752:VTR720755 WDM720752:WDN720755 WNI720752:WNJ720755 WXE720752:WXF720755 KS786288:KT786291 UO786288:UP786291 AEK786288:AEL786291 AOG786288:AOH786291 AYC786288:AYD786291 BHY786288:BHZ786291 BRU786288:BRV786291 CBQ786288:CBR786291 CLM786288:CLN786291 CVI786288:CVJ786291 DFE786288:DFF786291 DPA786288:DPB786291 DYW786288:DYX786291 EIS786288:EIT786291 ESO786288:ESP786291 FCK786288:FCL786291 FMG786288:FMH786291 FWC786288:FWD786291 GFY786288:GFZ786291 GPU786288:GPV786291 GZQ786288:GZR786291 HJM786288:HJN786291 HTI786288:HTJ786291 IDE786288:IDF786291 INA786288:INB786291 IWW786288:IWX786291 JGS786288:JGT786291 JQO786288:JQP786291 KAK786288:KAL786291 KKG786288:KKH786291 KUC786288:KUD786291 LDY786288:LDZ786291 LNU786288:LNV786291 LXQ786288:LXR786291 MHM786288:MHN786291 MRI786288:MRJ786291 NBE786288:NBF786291 NLA786288:NLB786291 NUW786288:NUX786291 OES786288:OET786291 OOO786288:OOP786291 OYK786288:OYL786291 PIG786288:PIH786291 PSC786288:PSD786291 QBY786288:QBZ786291 QLU786288:QLV786291 QVQ786288:QVR786291 RFM786288:RFN786291 RPI786288:RPJ786291 RZE786288:RZF786291 SJA786288:SJB786291 SSW786288:SSX786291 TCS786288:TCT786291 TMO786288:TMP786291 TWK786288:TWL786291 UGG786288:UGH786291 UQC786288:UQD786291 UZY786288:UZZ786291 VJU786288:VJV786291 VTQ786288:VTR786291 WDM786288:WDN786291 WNI786288:WNJ786291 WXE786288:WXF786291 KS851824:KT851827 UO851824:UP851827 AEK851824:AEL851827 AOG851824:AOH851827 AYC851824:AYD851827 BHY851824:BHZ851827 BRU851824:BRV851827 CBQ851824:CBR851827 CLM851824:CLN851827 CVI851824:CVJ851827 DFE851824:DFF851827 DPA851824:DPB851827 DYW851824:DYX851827 EIS851824:EIT851827 ESO851824:ESP851827 FCK851824:FCL851827 FMG851824:FMH851827 FWC851824:FWD851827 GFY851824:GFZ851827 GPU851824:GPV851827 GZQ851824:GZR851827 HJM851824:HJN851827 HTI851824:HTJ851827 IDE851824:IDF851827 INA851824:INB851827 IWW851824:IWX851827 JGS851824:JGT851827 JQO851824:JQP851827 KAK851824:KAL851827 KKG851824:KKH851827 KUC851824:KUD851827 LDY851824:LDZ851827 LNU851824:LNV851827 LXQ851824:LXR851827 MHM851824:MHN851827 MRI851824:MRJ851827 NBE851824:NBF851827 NLA851824:NLB851827 NUW851824:NUX851827 OES851824:OET851827 OOO851824:OOP851827 OYK851824:OYL851827 PIG851824:PIH851827 PSC851824:PSD851827 QBY851824:QBZ851827 QLU851824:QLV851827 QVQ851824:QVR851827 RFM851824:RFN851827 RPI851824:RPJ851827 RZE851824:RZF851827 SJA851824:SJB851827 SSW851824:SSX851827 TCS851824:TCT851827 TMO851824:TMP851827 TWK851824:TWL851827 UGG851824:UGH851827 UQC851824:UQD851827 UZY851824:UZZ851827 VJU851824:VJV851827 VTQ851824:VTR851827 WDM851824:WDN851827 WNI851824:WNJ851827 WXE851824:WXF851827 KS917360:KT917363 UO917360:UP917363 AEK917360:AEL917363 AOG917360:AOH917363 AYC917360:AYD917363 BHY917360:BHZ917363 BRU917360:BRV917363 CBQ917360:CBR917363 CLM917360:CLN917363 CVI917360:CVJ917363 DFE917360:DFF917363 DPA917360:DPB917363 DYW917360:DYX917363 EIS917360:EIT917363 ESO917360:ESP917363 FCK917360:FCL917363 FMG917360:FMH917363 FWC917360:FWD917363 GFY917360:GFZ917363 GPU917360:GPV917363 GZQ917360:GZR917363 HJM917360:HJN917363 HTI917360:HTJ917363 IDE917360:IDF917363 INA917360:INB917363 IWW917360:IWX917363 JGS917360:JGT917363 JQO917360:JQP917363 KAK917360:KAL917363 KKG917360:KKH917363 KUC917360:KUD917363 LDY917360:LDZ917363 LNU917360:LNV917363 LXQ917360:LXR917363 MHM917360:MHN917363 MRI917360:MRJ917363 NBE917360:NBF917363 NLA917360:NLB917363 NUW917360:NUX917363 OES917360:OET917363 OOO917360:OOP917363 OYK917360:OYL917363 PIG917360:PIH917363 PSC917360:PSD917363 QBY917360:QBZ917363 QLU917360:QLV917363 QVQ917360:QVR917363 RFM917360:RFN917363 RPI917360:RPJ917363 RZE917360:RZF917363 SJA917360:SJB917363 SSW917360:SSX917363 TCS917360:TCT917363 TMO917360:TMP917363 TWK917360:TWL917363 UGG917360:UGH917363 UQC917360:UQD917363 UZY917360:UZZ917363 VJU917360:VJV917363 VTQ917360:VTR917363 WDM917360:WDN917363 WNI917360:WNJ917363 WXE917360:WXF917363 KS982896:KT982899 UO982896:UP982899 AEK982896:AEL982899 AOG982896:AOH982899 AYC982896:AYD982899 BHY982896:BHZ982899 BRU982896:BRV982899 CBQ982896:CBR982899 CLM982896:CLN982899 CVI982896:CVJ982899 DFE982896:DFF982899 DPA982896:DPB982899 DYW982896:DYX982899 EIS982896:EIT982899 ESO982896:ESP982899 FCK982896:FCL982899 FMG982896:FMH982899 FWC982896:FWD982899 GFY982896:GFZ982899 GPU982896:GPV982899 GZQ982896:GZR982899 HJM982896:HJN982899 HTI982896:HTJ982899 IDE982896:IDF982899 INA982896:INB982899 IWW982896:IWX982899 JGS982896:JGT982899 JQO982896:JQP982899 KAK982896:KAL982899 KKG982896:KKH982899 KUC982896:KUD982899 LDY982896:LDZ982899 LNU982896:LNV982899 LXQ982896:LXR982899 MHM982896:MHN982899 MRI982896:MRJ982899 NBE982896:NBF982899 NLA982896:NLB982899 NUW982896:NUX982899 OES982896:OET982899 OOO982896:OOP982899 OYK982896:OYL982899 PIG982896:PIH982899 PSC982896:PSD982899 QBY982896:QBZ982899 QLU982896:QLV982899 QVQ982896:QVR982899 RFM982896:RFN982899 RPI982896:RPJ982899 RZE982896:RZF982899 SJA982896:SJB982899 SSW982896:SSX982899 TCS982896:TCT982899 TMO982896:TMP982899 TWK982896:TWL982899 UGG982896:UGH982899 UQC982896:UQD982899 UZY982896:UZZ982899 VJU982896:VJV982899 VTQ982896:VTR982899 WDM982896:WDN982899 WNI982896:WNJ982899 WXE982896:WXF982899 KS261929:KT261933 UO261929:UP261933 AEK261929:AEL261933 AOG261929:AOH261933 AYC261929:AYD261933 BHY261929:BHZ261933 BRU261929:BRV261933 CBQ261929:CBR261933 CLM261929:CLN261933 CVI261929:CVJ261933 DFE261929:DFF261933 DPA261929:DPB261933 DYW261929:DYX261933 EIS261929:EIT261933 ESO261929:ESP261933 FCK261929:FCL261933 FMG261929:FMH261933 FWC261929:FWD261933 GFY261929:GFZ261933 GPU261929:GPV261933 GZQ261929:GZR261933 HJM261929:HJN261933 HTI261929:HTJ261933 IDE261929:IDF261933 INA261929:INB261933 IWW261929:IWX261933 JGS261929:JGT261933 JQO261929:JQP261933 KAK261929:KAL261933 KKG261929:KKH261933 KUC261929:KUD261933 LDY261929:LDZ261933 LNU261929:LNV261933 LXQ261929:LXR261933 MHM261929:MHN261933 MRI261929:MRJ261933 NBE261929:NBF261933 NLA261929:NLB261933 NUW261929:NUX261933 OES261929:OET261933 OOO261929:OOP261933 OYK261929:OYL261933 PIG261929:PIH261933 PSC261929:PSD261933 QBY261929:QBZ261933 QLU261929:QLV261933 QVQ261929:QVR261933 RFM261929:RFN261933 RPI261929:RPJ261933 RZE261929:RZF261933 SJA261929:SJB261933 SSW261929:SSX261933 TCS261929:TCT261933 TMO261929:TMP261933 TWK261929:TWL261933 UGG261929:UGH261933 UQC261929:UQD261933 UZY261929:UZZ261933 VJU261929:VJV261933 VTQ261929:VTR261933 WDM261929:WDN261933 WNI261929:WNJ261933 WXE261929:WXF261933 KS65388:KT65390 UO65388:UP65390 AEK65388:AEL65390 AOG65388:AOH65390 AYC65388:AYD65390 BHY65388:BHZ65390 BRU65388:BRV65390 CBQ65388:CBR65390 CLM65388:CLN65390 CVI65388:CVJ65390 DFE65388:DFF65390 DPA65388:DPB65390 DYW65388:DYX65390 EIS65388:EIT65390 ESO65388:ESP65390 FCK65388:FCL65390 FMG65388:FMH65390 FWC65388:FWD65390 GFY65388:GFZ65390 GPU65388:GPV65390 GZQ65388:GZR65390 HJM65388:HJN65390 HTI65388:HTJ65390 IDE65388:IDF65390 INA65388:INB65390 IWW65388:IWX65390 JGS65388:JGT65390 JQO65388:JQP65390 KAK65388:KAL65390 KKG65388:KKH65390 KUC65388:KUD65390 LDY65388:LDZ65390 LNU65388:LNV65390 LXQ65388:LXR65390 MHM65388:MHN65390 MRI65388:MRJ65390 NBE65388:NBF65390 NLA65388:NLB65390 NUW65388:NUX65390 OES65388:OET65390 OOO65388:OOP65390 OYK65388:OYL65390 PIG65388:PIH65390 PSC65388:PSD65390 QBY65388:QBZ65390 QLU65388:QLV65390 QVQ65388:QVR65390 RFM65388:RFN65390 RPI65388:RPJ65390 RZE65388:RZF65390 SJA65388:SJB65390 SSW65388:SSX65390 TCS65388:TCT65390 TMO65388:TMP65390 TWK65388:TWL65390 UGG65388:UGH65390 UQC65388:UQD65390 UZY65388:UZZ65390 VJU65388:VJV65390 VTQ65388:VTR65390 WDM65388:WDN65390 WNI65388:WNJ65390 WXE65388:WXF65390 KS130924:KT130926 UO130924:UP130926 AEK130924:AEL130926 AOG130924:AOH130926 AYC130924:AYD130926 BHY130924:BHZ130926 BRU130924:BRV130926 CBQ130924:CBR130926 CLM130924:CLN130926 CVI130924:CVJ130926 DFE130924:DFF130926 DPA130924:DPB130926 DYW130924:DYX130926 EIS130924:EIT130926 ESO130924:ESP130926 FCK130924:FCL130926 FMG130924:FMH130926 FWC130924:FWD130926 GFY130924:GFZ130926 GPU130924:GPV130926 GZQ130924:GZR130926 HJM130924:HJN130926 HTI130924:HTJ130926 IDE130924:IDF130926 INA130924:INB130926 IWW130924:IWX130926 JGS130924:JGT130926 JQO130924:JQP130926 KAK130924:KAL130926 KKG130924:KKH130926 KUC130924:KUD130926 LDY130924:LDZ130926 LNU130924:LNV130926 LXQ130924:LXR130926 MHM130924:MHN130926 MRI130924:MRJ130926 NBE130924:NBF130926 NLA130924:NLB130926 NUW130924:NUX130926 OES130924:OET130926 OOO130924:OOP130926 OYK130924:OYL130926 PIG130924:PIH130926 PSC130924:PSD130926 QBY130924:QBZ130926 QLU130924:QLV130926 QVQ130924:QVR130926 RFM130924:RFN130926 RPI130924:RPJ130926 RZE130924:RZF130926 SJA130924:SJB130926 SSW130924:SSX130926 TCS130924:TCT130926 TMO130924:TMP130926 TWK130924:TWL130926 UGG130924:UGH130926 UQC130924:UQD130926 UZY130924:UZZ130926 VJU130924:VJV130926 VTQ130924:VTR130926 WDM130924:WDN130926 WNI130924:WNJ130926 WXE130924:WXF130926 KS196460:KT196462 UO196460:UP196462 AEK196460:AEL196462 AOG196460:AOH196462 AYC196460:AYD196462 BHY196460:BHZ196462 BRU196460:BRV196462 CBQ196460:CBR196462 CLM196460:CLN196462 CVI196460:CVJ196462 DFE196460:DFF196462 DPA196460:DPB196462 DYW196460:DYX196462 EIS196460:EIT196462 ESO196460:ESP196462 FCK196460:FCL196462 FMG196460:FMH196462 FWC196460:FWD196462 GFY196460:GFZ196462 GPU196460:GPV196462 GZQ196460:GZR196462 HJM196460:HJN196462 HTI196460:HTJ196462 IDE196460:IDF196462 INA196460:INB196462 IWW196460:IWX196462 JGS196460:JGT196462 JQO196460:JQP196462 KAK196460:KAL196462 KKG196460:KKH196462 KUC196460:KUD196462 LDY196460:LDZ196462 LNU196460:LNV196462 LXQ196460:LXR196462 MHM196460:MHN196462 MRI196460:MRJ196462 NBE196460:NBF196462 NLA196460:NLB196462 NUW196460:NUX196462 OES196460:OET196462 OOO196460:OOP196462 OYK196460:OYL196462 PIG196460:PIH196462 PSC196460:PSD196462 QBY196460:QBZ196462 QLU196460:QLV196462 QVQ196460:QVR196462 RFM196460:RFN196462 RPI196460:RPJ196462 RZE196460:RZF196462 SJA196460:SJB196462 SSW196460:SSX196462 TCS196460:TCT196462 TMO196460:TMP196462 TWK196460:TWL196462 UGG196460:UGH196462 UQC196460:UQD196462 UZY196460:UZZ196462 VJU196460:VJV196462 VTQ196460:VTR196462 WDM196460:WDN196462 WNI196460:WNJ196462 WXE196460:WXF196462 KS261996:KT261998 UO261996:UP261998 AEK261996:AEL261998 AOG261996:AOH261998 AYC261996:AYD261998 BHY261996:BHZ261998 BRU261996:BRV261998 CBQ261996:CBR261998 CLM261996:CLN261998 CVI261996:CVJ261998 DFE261996:DFF261998 DPA261996:DPB261998 DYW261996:DYX261998 EIS261996:EIT261998 ESO261996:ESP261998 FCK261996:FCL261998 FMG261996:FMH261998 FWC261996:FWD261998 GFY261996:GFZ261998 GPU261996:GPV261998 GZQ261996:GZR261998 HJM261996:HJN261998 HTI261996:HTJ261998 IDE261996:IDF261998 INA261996:INB261998 IWW261996:IWX261998 JGS261996:JGT261998 JQO261996:JQP261998 KAK261996:KAL261998 KKG261996:KKH261998 KUC261996:KUD261998 LDY261996:LDZ261998 LNU261996:LNV261998 LXQ261996:LXR261998 MHM261996:MHN261998 MRI261996:MRJ261998 NBE261996:NBF261998 NLA261996:NLB261998 NUW261996:NUX261998 OES261996:OET261998 OOO261996:OOP261998 OYK261996:OYL261998 PIG261996:PIH261998 PSC261996:PSD261998 QBY261996:QBZ261998 QLU261996:QLV261998 QVQ261996:QVR261998 RFM261996:RFN261998 RPI261996:RPJ261998 RZE261996:RZF261998 SJA261996:SJB261998 SSW261996:SSX261998 TCS261996:TCT261998 TMO261996:TMP261998 TWK261996:TWL261998 UGG261996:UGH261998 UQC261996:UQD261998 UZY261996:UZZ261998 VJU261996:VJV261998 VTQ261996:VTR261998 WDM261996:WDN261998 WNI261996:WNJ261998 WXE261996:WXF261998 KS327532:KT327534 UO327532:UP327534 AEK327532:AEL327534 AOG327532:AOH327534 AYC327532:AYD327534 BHY327532:BHZ327534 BRU327532:BRV327534 CBQ327532:CBR327534 CLM327532:CLN327534 CVI327532:CVJ327534 DFE327532:DFF327534 DPA327532:DPB327534 DYW327532:DYX327534 EIS327532:EIT327534 ESO327532:ESP327534 FCK327532:FCL327534 FMG327532:FMH327534 FWC327532:FWD327534 GFY327532:GFZ327534 GPU327532:GPV327534 GZQ327532:GZR327534 HJM327532:HJN327534 HTI327532:HTJ327534 IDE327532:IDF327534 INA327532:INB327534 IWW327532:IWX327534 JGS327532:JGT327534 JQO327532:JQP327534 KAK327532:KAL327534 KKG327532:KKH327534 KUC327532:KUD327534 LDY327532:LDZ327534 LNU327532:LNV327534 LXQ327532:LXR327534 MHM327532:MHN327534 MRI327532:MRJ327534 NBE327532:NBF327534 NLA327532:NLB327534 NUW327532:NUX327534 OES327532:OET327534 OOO327532:OOP327534 OYK327532:OYL327534 PIG327532:PIH327534 PSC327532:PSD327534 QBY327532:QBZ327534 QLU327532:QLV327534 QVQ327532:QVR327534 RFM327532:RFN327534 RPI327532:RPJ327534 RZE327532:RZF327534 SJA327532:SJB327534 SSW327532:SSX327534 TCS327532:TCT327534 TMO327532:TMP327534 TWK327532:TWL327534 UGG327532:UGH327534 UQC327532:UQD327534 UZY327532:UZZ327534 VJU327532:VJV327534 VTQ327532:VTR327534 WDM327532:WDN327534 WNI327532:WNJ327534 WXE327532:WXF327534 KS393068:KT393070 UO393068:UP393070 AEK393068:AEL393070 AOG393068:AOH393070 AYC393068:AYD393070 BHY393068:BHZ393070 BRU393068:BRV393070 CBQ393068:CBR393070 CLM393068:CLN393070 CVI393068:CVJ393070 DFE393068:DFF393070 DPA393068:DPB393070 DYW393068:DYX393070 EIS393068:EIT393070 ESO393068:ESP393070 FCK393068:FCL393070 FMG393068:FMH393070 FWC393068:FWD393070 GFY393068:GFZ393070 GPU393068:GPV393070 GZQ393068:GZR393070 HJM393068:HJN393070 HTI393068:HTJ393070 IDE393068:IDF393070 INA393068:INB393070 IWW393068:IWX393070 JGS393068:JGT393070 JQO393068:JQP393070 KAK393068:KAL393070 KKG393068:KKH393070 KUC393068:KUD393070 LDY393068:LDZ393070 LNU393068:LNV393070 LXQ393068:LXR393070 MHM393068:MHN393070 MRI393068:MRJ393070 NBE393068:NBF393070 NLA393068:NLB393070 NUW393068:NUX393070 OES393068:OET393070 OOO393068:OOP393070 OYK393068:OYL393070 PIG393068:PIH393070 PSC393068:PSD393070 QBY393068:QBZ393070 QLU393068:QLV393070 QVQ393068:QVR393070 RFM393068:RFN393070 RPI393068:RPJ393070 RZE393068:RZF393070 SJA393068:SJB393070 SSW393068:SSX393070 TCS393068:TCT393070 TMO393068:TMP393070 TWK393068:TWL393070 UGG393068:UGH393070 UQC393068:UQD393070 UZY393068:UZZ393070 VJU393068:VJV393070 VTQ393068:VTR393070 WDM393068:WDN393070 WNI393068:WNJ393070 WXE393068:WXF393070 KS458604:KT458606 UO458604:UP458606 AEK458604:AEL458606 AOG458604:AOH458606 AYC458604:AYD458606 BHY458604:BHZ458606 BRU458604:BRV458606 CBQ458604:CBR458606 CLM458604:CLN458606 CVI458604:CVJ458606 DFE458604:DFF458606 DPA458604:DPB458606 DYW458604:DYX458606 EIS458604:EIT458606 ESO458604:ESP458606 FCK458604:FCL458606 FMG458604:FMH458606 FWC458604:FWD458606 GFY458604:GFZ458606 GPU458604:GPV458606 GZQ458604:GZR458606 HJM458604:HJN458606 HTI458604:HTJ458606 IDE458604:IDF458606 INA458604:INB458606 IWW458604:IWX458606 JGS458604:JGT458606 JQO458604:JQP458606 KAK458604:KAL458606 KKG458604:KKH458606 KUC458604:KUD458606 LDY458604:LDZ458606 LNU458604:LNV458606 LXQ458604:LXR458606 MHM458604:MHN458606 MRI458604:MRJ458606 NBE458604:NBF458606 NLA458604:NLB458606 NUW458604:NUX458606 OES458604:OET458606 OOO458604:OOP458606 OYK458604:OYL458606 PIG458604:PIH458606 PSC458604:PSD458606 QBY458604:QBZ458606 QLU458604:QLV458606 QVQ458604:QVR458606 RFM458604:RFN458606 RPI458604:RPJ458606 RZE458604:RZF458606 SJA458604:SJB458606 SSW458604:SSX458606 TCS458604:TCT458606 TMO458604:TMP458606 TWK458604:TWL458606 UGG458604:UGH458606 UQC458604:UQD458606 UZY458604:UZZ458606 VJU458604:VJV458606 VTQ458604:VTR458606 WDM458604:WDN458606 WNI458604:WNJ458606 WXE458604:WXF458606 KS524140:KT524142 UO524140:UP524142 AEK524140:AEL524142 AOG524140:AOH524142 AYC524140:AYD524142 BHY524140:BHZ524142 BRU524140:BRV524142 CBQ524140:CBR524142 CLM524140:CLN524142 CVI524140:CVJ524142 DFE524140:DFF524142 DPA524140:DPB524142 DYW524140:DYX524142 EIS524140:EIT524142 ESO524140:ESP524142 FCK524140:FCL524142 FMG524140:FMH524142 FWC524140:FWD524142 GFY524140:GFZ524142 GPU524140:GPV524142 GZQ524140:GZR524142 HJM524140:HJN524142 HTI524140:HTJ524142 IDE524140:IDF524142 INA524140:INB524142 IWW524140:IWX524142 JGS524140:JGT524142 JQO524140:JQP524142 KAK524140:KAL524142 KKG524140:KKH524142 KUC524140:KUD524142 LDY524140:LDZ524142 LNU524140:LNV524142 LXQ524140:LXR524142 MHM524140:MHN524142 MRI524140:MRJ524142 NBE524140:NBF524142 NLA524140:NLB524142 NUW524140:NUX524142 OES524140:OET524142 OOO524140:OOP524142 OYK524140:OYL524142 PIG524140:PIH524142 PSC524140:PSD524142 QBY524140:QBZ524142 QLU524140:QLV524142 QVQ524140:QVR524142 RFM524140:RFN524142 RPI524140:RPJ524142 RZE524140:RZF524142 SJA524140:SJB524142 SSW524140:SSX524142 TCS524140:TCT524142 TMO524140:TMP524142 TWK524140:TWL524142 UGG524140:UGH524142 UQC524140:UQD524142 UZY524140:UZZ524142 VJU524140:VJV524142 VTQ524140:VTR524142 WDM524140:WDN524142 WNI524140:WNJ524142 WXE524140:WXF524142 KS589676:KT589678 UO589676:UP589678 AEK589676:AEL589678 AOG589676:AOH589678 AYC589676:AYD589678 BHY589676:BHZ589678 BRU589676:BRV589678 CBQ589676:CBR589678 CLM589676:CLN589678 CVI589676:CVJ589678 DFE589676:DFF589678 DPA589676:DPB589678 DYW589676:DYX589678 EIS589676:EIT589678 ESO589676:ESP589678 FCK589676:FCL589678 FMG589676:FMH589678 FWC589676:FWD589678 GFY589676:GFZ589678 GPU589676:GPV589678 GZQ589676:GZR589678 HJM589676:HJN589678 HTI589676:HTJ589678 IDE589676:IDF589678 INA589676:INB589678 IWW589676:IWX589678 JGS589676:JGT589678 JQO589676:JQP589678 KAK589676:KAL589678 KKG589676:KKH589678 KUC589676:KUD589678 LDY589676:LDZ589678 LNU589676:LNV589678 LXQ589676:LXR589678 MHM589676:MHN589678 MRI589676:MRJ589678 NBE589676:NBF589678 NLA589676:NLB589678 NUW589676:NUX589678 OES589676:OET589678 OOO589676:OOP589678 OYK589676:OYL589678 PIG589676:PIH589678 PSC589676:PSD589678 QBY589676:QBZ589678 QLU589676:QLV589678 QVQ589676:QVR589678 RFM589676:RFN589678 RPI589676:RPJ589678 RZE589676:RZF589678 SJA589676:SJB589678 SSW589676:SSX589678 TCS589676:TCT589678 TMO589676:TMP589678 TWK589676:TWL589678 UGG589676:UGH589678 UQC589676:UQD589678 UZY589676:UZZ589678 VJU589676:VJV589678 VTQ589676:VTR589678 WDM589676:WDN589678 WNI589676:WNJ589678 WXE589676:WXF589678 KS655212:KT655214 UO655212:UP655214 AEK655212:AEL655214 AOG655212:AOH655214 AYC655212:AYD655214 BHY655212:BHZ655214 BRU655212:BRV655214 CBQ655212:CBR655214 CLM655212:CLN655214 CVI655212:CVJ655214 DFE655212:DFF655214 DPA655212:DPB655214 DYW655212:DYX655214 EIS655212:EIT655214 ESO655212:ESP655214 FCK655212:FCL655214 FMG655212:FMH655214 FWC655212:FWD655214 GFY655212:GFZ655214 GPU655212:GPV655214 GZQ655212:GZR655214 HJM655212:HJN655214 HTI655212:HTJ655214 IDE655212:IDF655214 INA655212:INB655214 IWW655212:IWX655214 JGS655212:JGT655214 JQO655212:JQP655214 KAK655212:KAL655214 KKG655212:KKH655214 KUC655212:KUD655214 LDY655212:LDZ655214 LNU655212:LNV655214 LXQ655212:LXR655214 MHM655212:MHN655214 MRI655212:MRJ655214 NBE655212:NBF655214 NLA655212:NLB655214 NUW655212:NUX655214 OES655212:OET655214 OOO655212:OOP655214 OYK655212:OYL655214 PIG655212:PIH655214 PSC655212:PSD655214 QBY655212:QBZ655214 QLU655212:QLV655214 QVQ655212:QVR655214 RFM655212:RFN655214 RPI655212:RPJ655214 RZE655212:RZF655214 SJA655212:SJB655214 SSW655212:SSX655214 TCS655212:TCT655214 TMO655212:TMP655214 TWK655212:TWL655214 UGG655212:UGH655214 UQC655212:UQD655214 UZY655212:UZZ655214 VJU655212:VJV655214 VTQ655212:VTR655214 WDM655212:WDN655214 WNI655212:WNJ655214 WXE655212:WXF655214 KS720748:KT720750 UO720748:UP720750 AEK720748:AEL720750 AOG720748:AOH720750 AYC720748:AYD720750 BHY720748:BHZ720750 BRU720748:BRV720750 CBQ720748:CBR720750 CLM720748:CLN720750 CVI720748:CVJ720750 DFE720748:DFF720750 DPA720748:DPB720750 DYW720748:DYX720750 EIS720748:EIT720750 ESO720748:ESP720750 FCK720748:FCL720750 FMG720748:FMH720750 FWC720748:FWD720750 GFY720748:GFZ720750 GPU720748:GPV720750 GZQ720748:GZR720750 HJM720748:HJN720750 HTI720748:HTJ720750 IDE720748:IDF720750 INA720748:INB720750 IWW720748:IWX720750 JGS720748:JGT720750 JQO720748:JQP720750 KAK720748:KAL720750 KKG720748:KKH720750 KUC720748:KUD720750 LDY720748:LDZ720750 LNU720748:LNV720750 LXQ720748:LXR720750 MHM720748:MHN720750 MRI720748:MRJ720750 NBE720748:NBF720750 NLA720748:NLB720750 NUW720748:NUX720750 OES720748:OET720750 OOO720748:OOP720750 OYK720748:OYL720750 PIG720748:PIH720750 PSC720748:PSD720750 QBY720748:QBZ720750 QLU720748:QLV720750 QVQ720748:QVR720750 RFM720748:RFN720750 RPI720748:RPJ720750 RZE720748:RZF720750 SJA720748:SJB720750 SSW720748:SSX720750 TCS720748:TCT720750 TMO720748:TMP720750 TWK720748:TWL720750 UGG720748:UGH720750 UQC720748:UQD720750 UZY720748:UZZ720750 VJU720748:VJV720750 VTQ720748:VTR720750 WDM720748:WDN720750 WNI720748:WNJ720750 WXE720748:WXF720750 KS786284:KT786286 UO786284:UP786286 AEK786284:AEL786286 AOG786284:AOH786286 AYC786284:AYD786286 BHY786284:BHZ786286 BRU786284:BRV786286 CBQ786284:CBR786286 CLM786284:CLN786286 CVI786284:CVJ786286 DFE786284:DFF786286 DPA786284:DPB786286 DYW786284:DYX786286 EIS786284:EIT786286 ESO786284:ESP786286 FCK786284:FCL786286 FMG786284:FMH786286 FWC786284:FWD786286 GFY786284:GFZ786286 GPU786284:GPV786286 GZQ786284:GZR786286 HJM786284:HJN786286 HTI786284:HTJ786286 IDE786284:IDF786286 INA786284:INB786286 IWW786284:IWX786286 JGS786284:JGT786286 JQO786284:JQP786286 KAK786284:KAL786286 KKG786284:KKH786286 KUC786284:KUD786286 LDY786284:LDZ786286 LNU786284:LNV786286 LXQ786284:LXR786286 MHM786284:MHN786286 MRI786284:MRJ786286 NBE786284:NBF786286 NLA786284:NLB786286 NUW786284:NUX786286 OES786284:OET786286 OOO786284:OOP786286 OYK786284:OYL786286 PIG786284:PIH786286 PSC786284:PSD786286 QBY786284:QBZ786286 QLU786284:QLV786286 QVQ786284:QVR786286 RFM786284:RFN786286 RPI786284:RPJ786286 RZE786284:RZF786286 SJA786284:SJB786286 SSW786284:SSX786286 TCS786284:TCT786286 TMO786284:TMP786286 TWK786284:TWL786286 UGG786284:UGH786286 UQC786284:UQD786286 UZY786284:UZZ786286 VJU786284:VJV786286 VTQ786284:VTR786286 WDM786284:WDN786286 WNI786284:WNJ786286 WXE786284:WXF786286 KS851820:KT851822 UO851820:UP851822 AEK851820:AEL851822 AOG851820:AOH851822 AYC851820:AYD851822 BHY851820:BHZ851822 BRU851820:BRV851822 CBQ851820:CBR851822 CLM851820:CLN851822 CVI851820:CVJ851822 DFE851820:DFF851822 DPA851820:DPB851822 DYW851820:DYX851822 EIS851820:EIT851822 ESO851820:ESP851822 FCK851820:FCL851822 FMG851820:FMH851822 FWC851820:FWD851822 GFY851820:GFZ851822 GPU851820:GPV851822 GZQ851820:GZR851822 HJM851820:HJN851822 HTI851820:HTJ851822 IDE851820:IDF851822 INA851820:INB851822 IWW851820:IWX851822 JGS851820:JGT851822 JQO851820:JQP851822 KAK851820:KAL851822 KKG851820:KKH851822 KUC851820:KUD851822 LDY851820:LDZ851822 LNU851820:LNV851822 LXQ851820:LXR851822 MHM851820:MHN851822 MRI851820:MRJ851822 NBE851820:NBF851822 NLA851820:NLB851822 NUW851820:NUX851822 OES851820:OET851822 OOO851820:OOP851822 OYK851820:OYL851822 PIG851820:PIH851822 PSC851820:PSD851822 QBY851820:QBZ851822 QLU851820:QLV851822 QVQ851820:QVR851822 RFM851820:RFN851822 RPI851820:RPJ851822 RZE851820:RZF851822 SJA851820:SJB851822 SSW851820:SSX851822 TCS851820:TCT851822 TMO851820:TMP851822 TWK851820:TWL851822 UGG851820:UGH851822 UQC851820:UQD851822 UZY851820:UZZ851822 VJU851820:VJV851822 VTQ851820:VTR851822 WDM851820:WDN851822 WNI851820:WNJ851822 WXE851820:WXF851822 KS917356:KT917358 UO917356:UP917358 AEK917356:AEL917358 AOG917356:AOH917358 AYC917356:AYD917358 BHY917356:BHZ917358 BRU917356:BRV917358 CBQ917356:CBR917358 CLM917356:CLN917358 CVI917356:CVJ917358 DFE917356:DFF917358 DPA917356:DPB917358 DYW917356:DYX917358 EIS917356:EIT917358 ESO917356:ESP917358 FCK917356:FCL917358 FMG917356:FMH917358 FWC917356:FWD917358 GFY917356:GFZ917358 GPU917356:GPV917358 GZQ917356:GZR917358 HJM917356:HJN917358 HTI917356:HTJ917358 IDE917356:IDF917358 INA917356:INB917358 IWW917356:IWX917358 JGS917356:JGT917358 JQO917356:JQP917358 KAK917356:KAL917358 KKG917356:KKH917358 KUC917356:KUD917358 LDY917356:LDZ917358 LNU917356:LNV917358 LXQ917356:LXR917358 MHM917356:MHN917358 MRI917356:MRJ917358 NBE917356:NBF917358 NLA917356:NLB917358 NUW917356:NUX917358 OES917356:OET917358 OOO917356:OOP917358 OYK917356:OYL917358 PIG917356:PIH917358 PSC917356:PSD917358 QBY917356:QBZ917358 QLU917356:QLV917358 QVQ917356:QVR917358 RFM917356:RFN917358 RPI917356:RPJ917358 RZE917356:RZF917358 SJA917356:SJB917358 SSW917356:SSX917358 TCS917356:TCT917358 TMO917356:TMP917358 TWK917356:TWL917358 UGG917356:UGH917358 UQC917356:UQD917358 UZY917356:UZZ917358 VJU917356:VJV917358 VTQ917356:VTR917358 WDM917356:WDN917358 WNI917356:WNJ917358 WXE917356:WXF917358 KS982892:KT982894 UO982892:UP982894 AEK982892:AEL982894 AOG982892:AOH982894 AYC982892:AYD982894 BHY982892:BHZ982894 BRU982892:BRV982894 CBQ982892:CBR982894 CLM982892:CLN982894 CVI982892:CVJ982894 DFE982892:DFF982894 DPA982892:DPB982894 DYW982892:DYX982894 EIS982892:EIT982894 ESO982892:ESP982894 FCK982892:FCL982894 FMG982892:FMH982894 FWC982892:FWD982894 GFY982892:GFZ982894 GPU982892:GPV982894 GZQ982892:GZR982894 HJM982892:HJN982894 HTI982892:HTJ982894 IDE982892:IDF982894 INA982892:INB982894 IWW982892:IWX982894 JGS982892:JGT982894 JQO982892:JQP982894 KAK982892:KAL982894 KKG982892:KKH982894 KUC982892:KUD982894 LDY982892:LDZ982894 LNU982892:LNV982894 LXQ982892:LXR982894 MHM982892:MHN982894 MRI982892:MRJ982894 NBE982892:NBF982894 NLA982892:NLB982894 NUW982892:NUX982894 OES982892:OET982894 OOO982892:OOP982894 OYK982892:OYL982894 PIG982892:PIH982894 PSC982892:PSD982894 QBY982892:QBZ982894 QLU982892:QLV982894 QVQ982892:QVR982894 RFM982892:RFN982894 RPI982892:RPJ982894 RZE982892:RZF982894 SJA982892:SJB982894 SSW982892:SSX982894 TCS982892:TCT982894 TMO982892:TMP982894 TWK982892:TWL982894 UGG982892:UGH982894 UQC982892:UQD982894 UZY982892:UZZ982894 VJU982892:VJV982894 VTQ982892:VTR982894 WDM982892:WDN982894 WNI982892:WNJ982894 WXE982892:WXF982894 KS327465:KT327469 UO327465:UP327469 AEK327465:AEL327469 AOG327465:AOH327469 AYC327465:AYD327469 BHY327465:BHZ327469 BRU327465:BRV327469 CBQ327465:CBR327469 CLM327465:CLN327469 CVI327465:CVJ327469 DFE327465:DFF327469 DPA327465:DPB327469 DYW327465:DYX327469 EIS327465:EIT327469 ESO327465:ESP327469 FCK327465:FCL327469 FMG327465:FMH327469 FWC327465:FWD327469 GFY327465:GFZ327469 GPU327465:GPV327469 GZQ327465:GZR327469 HJM327465:HJN327469 HTI327465:HTJ327469 IDE327465:IDF327469 INA327465:INB327469 IWW327465:IWX327469 JGS327465:JGT327469 JQO327465:JQP327469 KAK327465:KAL327469 KKG327465:KKH327469 KUC327465:KUD327469 LDY327465:LDZ327469 LNU327465:LNV327469 LXQ327465:LXR327469 MHM327465:MHN327469 MRI327465:MRJ327469 NBE327465:NBF327469 NLA327465:NLB327469 NUW327465:NUX327469 OES327465:OET327469 OOO327465:OOP327469 OYK327465:OYL327469 PIG327465:PIH327469 PSC327465:PSD327469 QBY327465:QBZ327469 QLU327465:QLV327469 QVQ327465:QVR327469 RFM327465:RFN327469 RPI327465:RPJ327469 RZE327465:RZF327469 SJA327465:SJB327469 SSW327465:SSX327469 TCS327465:TCT327469 TMO327465:TMP327469 TWK327465:TWL327469 UGG327465:UGH327469 UQC327465:UQD327469 UZY327465:UZZ327469 VJU327465:VJV327469 VTQ327465:VTR327469 WDM327465:WDN327469 WNI327465:WNJ327469 WXE327465:WXF327469 KS65384:KT65386 UO65384:UP65386 AEK65384:AEL65386 AOG65384:AOH65386 AYC65384:AYD65386 BHY65384:BHZ65386 BRU65384:BRV65386 CBQ65384:CBR65386 CLM65384:CLN65386 CVI65384:CVJ65386 DFE65384:DFF65386 DPA65384:DPB65386 DYW65384:DYX65386 EIS65384:EIT65386 ESO65384:ESP65386 FCK65384:FCL65386 FMG65384:FMH65386 FWC65384:FWD65386 GFY65384:GFZ65386 GPU65384:GPV65386 GZQ65384:GZR65386 HJM65384:HJN65386 HTI65384:HTJ65386 IDE65384:IDF65386 INA65384:INB65386 IWW65384:IWX65386 JGS65384:JGT65386 JQO65384:JQP65386 KAK65384:KAL65386 KKG65384:KKH65386 KUC65384:KUD65386 LDY65384:LDZ65386 LNU65384:LNV65386 LXQ65384:LXR65386 MHM65384:MHN65386 MRI65384:MRJ65386 NBE65384:NBF65386 NLA65384:NLB65386 NUW65384:NUX65386 OES65384:OET65386 OOO65384:OOP65386 OYK65384:OYL65386 PIG65384:PIH65386 PSC65384:PSD65386 QBY65384:QBZ65386 QLU65384:QLV65386 QVQ65384:QVR65386 RFM65384:RFN65386 RPI65384:RPJ65386 RZE65384:RZF65386 SJA65384:SJB65386 SSW65384:SSX65386 TCS65384:TCT65386 TMO65384:TMP65386 TWK65384:TWL65386 UGG65384:UGH65386 UQC65384:UQD65386 UZY65384:UZZ65386 VJU65384:VJV65386 VTQ65384:VTR65386 WDM65384:WDN65386 WNI65384:WNJ65386 WXE65384:WXF65386 KS130920:KT130922 UO130920:UP130922 AEK130920:AEL130922 AOG130920:AOH130922 AYC130920:AYD130922 BHY130920:BHZ130922 BRU130920:BRV130922 CBQ130920:CBR130922 CLM130920:CLN130922 CVI130920:CVJ130922 DFE130920:DFF130922 DPA130920:DPB130922 DYW130920:DYX130922 EIS130920:EIT130922 ESO130920:ESP130922 FCK130920:FCL130922 FMG130920:FMH130922 FWC130920:FWD130922 GFY130920:GFZ130922 GPU130920:GPV130922 GZQ130920:GZR130922 HJM130920:HJN130922 HTI130920:HTJ130922 IDE130920:IDF130922 INA130920:INB130922 IWW130920:IWX130922 JGS130920:JGT130922 JQO130920:JQP130922 KAK130920:KAL130922 KKG130920:KKH130922 KUC130920:KUD130922 LDY130920:LDZ130922 LNU130920:LNV130922 LXQ130920:LXR130922 MHM130920:MHN130922 MRI130920:MRJ130922 NBE130920:NBF130922 NLA130920:NLB130922 NUW130920:NUX130922 OES130920:OET130922 OOO130920:OOP130922 OYK130920:OYL130922 PIG130920:PIH130922 PSC130920:PSD130922 QBY130920:QBZ130922 QLU130920:QLV130922 QVQ130920:QVR130922 RFM130920:RFN130922 RPI130920:RPJ130922 RZE130920:RZF130922 SJA130920:SJB130922 SSW130920:SSX130922 TCS130920:TCT130922 TMO130920:TMP130922 TWK130920:TWL130922 UGG130920:UGH130922 UQC130920:UQD130922 UZY130920:UZZ130922 VJU130920:VJV130922 VTQ130920:VTR130922 WDM130920:WDN130922 WNI130920:WNJ130922 WXE130920:WXF130922 KS196456:KT196458 UO196456:UP196458 AEK196456:AEL196458 AOG196456:AOH196458 AYC196456:AYD196458 BHY196456:BHZ196458 BRU196456:BRV196458 CBQ196456:CBR196458 CLM196456:CLN196458 CVI196456:CVJ196458 DFE196456:DFF196458 DPA196456:DPB196458 DYW196456:DYX196458 EIS196456:EIT196458 ESO196456:ESP196458 FCK196456:FCL196458 FMG196456:FMH196458 FWC196456:FWD196458 GFY196456:GFZ196458 GPU196456:GPV196458 GZQ196456:GZR196458 HJM196456:HJN196458 HTI196456:HTJ196458 IDE196456:IDF196458 INA196456:INB196458 IWW196456:IWX196458 JGS196456:JGT196458 JQO196456:JQP196458 KAK196456:KAL196458 KKG196456:KKH196458 KUC196456:KUD196458 LDY196456:LDZ196458 LNU196456:LNV196458 LXQ196456:LXR196458 MHM196456:MHN196458 MRI196456:MRJ196458 NBE196456:NBF196458 NLA196456:NLB196458 NUW196456:NUX196458 OES196456:OET196458 OOO196456:OOP196458 OYK196456:OYL196458 PIG196456:PIH196458 PSC196456:PSD196458 QBY196456:QBZ196458 QLU196456:QLV196458 QVQ196456:QVR196458 RFM196456:RFN196458 RPI196456:RPJ196458 RZE196456:RZF196458 SJA196456:SJB196458 SSW196456:SSX196458 TCS196456:TCT196458 TMO196456:TMP196458 TWK196456:TWL196458 UGG196456:UGH196458 UQC196456:UQD196458 UZY196456:UZZ196458 VJU196456:VJV196458 VTQ196456:VTR196458 WDM196456:WDN196458 WNI196456:WNJ196458 WXE196456:WXF196458 KS261992:KT261994 UO261992:UP261994 AEK261992:AEL261994 AOG261992:AOH261994 AYC261992:AYD261994 BHY261992:BHZ261994 BRU261992:BRV261994 CBQ261992:CBR261994 CLM261992:CLN261994 CVI261992:CVJ261994 DFE261992:DFF261994 DPA261992:DPB261994 DYW261992:DYX261994 EIS261992:EIT261994 ESO261992:ESP261994 FCK261992:FCL261994 FMG261992:FMH261994 FWC261992:FWD261994 GFY261992:GFZ261994 GPU261992:GPV261994 GZQ261992:GZR261994 HJM261992:HJN261994 HTI261992:HTJ261994 IDE261992:IDF261994 INA261992:INB261994 IWW261992:IWX261994 JGS261992:JGT261994 JQO261992:JQP261994 KAK261992:KAL261994 KKG261992:KKH261994 KUC261992:KUD261994 LDY261992:LDZ261994 LNU261992:LNV261994 LXQ261992:LXR261994 MHM261992:MHN261994 MRI261992:MRJ261994 NBE261992:NBF261994 NLA261992:NLB261994 NUW261992:NUX261994 OES261992:OET261994 OOO261992:OOP261994 OYK261992:OYL261994 PIG261992:PIH261994 PSC261992:PSD261994 QBY261992:QBZ261994 QLU261992:QLV261994 QVQ261992:QVR261994 RFM261992:RFN261994 RPI261992:RPJ261994 RZE261992:RZF261994 SJA261992:SJB261994 SSW261992:SSX261994 TCS261992:TCT261994 TMO261992:TMP261994 TWK261992:TWL261994 UGG261992:UGH261994 UQC261992:UQD261994 UZY261992:UZZ261994 VJU261992:VJV261994 VTQ261992:VTR261994 WDM261992:WDN261994 WNI261992:WNJ261994 WXE261992:WXF261994 KS327528:KT327530 UO327528:UP327530 AEK327528:AEL327530 AOG327528:AOH327530 AYC327528:AYD327530 BHY327528:BHZ327530 BRU327528:BRV327530 CBQ327528:CBR327530 CLM327528:CLN327530 CVI327528:CVJ327530 DFE327528:DFF327530 DPA327528:DPB327530 DYW327528:DYX327530 EIS327528:EIT327530 ESO327528:ESP327530 FCK327528:FCL327530 FMG327528:FMH327530 FWC327528:FWD327530 GFY327528:GFZ327530 GPU327528:GPV327530 GZQ327528:GZR327530 HJM327528:HJN327530 HTI327528:HTJ327530 IDE327528:IDF327530 INA327528:INB327530 IWW327528:IWX327530 JGS327528:JGT327530 JQO327528:JQP327530 KAK327528:KAL327530 KKG327528:KKH327530 KUC327528:KUD327530 LDY327528:LDZ327530 LNU327528:LNV327530 LXQ327528:LXR327530 MHM327528:MHN327530 MRI327528:MRJ327530 NBE327528:NBF327530 NLA327528:NLB327530 NUW327528:NUX327530 OES327528:OET327530 OOO327528:OOP327530 OYK327528:OYL327530 PIG327528:PIH327530 PSC327528:PSD327530 QBY327528:QBZ327530 QLU327528:QLV327530 QVQ327528:QVR327530 RFM327528:RFN327530 RPI327528:RPJ327530 RZE327528:RZF327530 SJA327528:SJB327530 SSW327528:SSX327530 TCS327528:TCT327530 TMO327528:TMP327530 TWK327528:TWL327530 UGG327528:UGH327530 UQC327528:UQD327530 UZY327528:UZZ327530 VJU327528:VJV327530 VTQ327528:VTR327530 WDM327528:WDN327530 WNI327528:WNJ327530 WXE327528:WXF327530 KS393064:KT393066 UO393064:UP393066 AEK393064:AEL393066 AOG393064:AOH393066 AYC393064:AYD393066 BHY393064:BHZ393066 BRU393064:BRV393066 CBQ393064:CBR393066 CLM393064:CLN393066 CVI393064:CVJ393066 DFE393064:DFF393066 DPA393064:DPB393066 DYW393064:DYX393066 EIS393064:EIT393066 ESO393064:ESP393066 FCK393064:FCL393066 FMG393064:FMH393066 FWC393064:FWD393066 GFY393064:GFZ393066 GPU393064:GPV393066 GZQ393064:GZR393066 HJM393064:HJN393066 HTI393064:HTJ393066 IDE393064:IDF393066 INA393064:INB393066 IWW393064:IWX393066 JGS393064:JGT393066 JQO393064:JQP393066 KAK393064:KAL393066 KKG393064:KKH393066 KUC393064:KUD393066 LDY393064:LDZ393066 LNU393064:LNV393066 LXQ393064:LXR393066 MHM393064:MHN393066 MRI393064:MRJ393066 NBE393064:NBF393066 NLA393064:NLB393066 NUW393064:NUX393066 OES393064:OET393066 OOO393064:OOP393066 OYK393064:OYL393066 PIG393064:PIH393066 PSC393064:PSD393066 QBY393064:QBZ393066 QLU393064:QLV393066 QVQ393064:QVR393066 RFM393064:RFN393066 RPI393064:RPJ393066 RZE393064:RZF393066 SJA393064:SJB393066 SSW393064:SSX393066 TCS393064:TCT393066 TMO393064:TMP393066 TWK393064:TWL393066 UGG393064:UGH393066 UQC393064:UQD393066 UZY393064:UZZ393066 VJU393064:VJV393066 VTQ393064:VTR393066 WDM393064:WDN393066 WNI393064:WNJ393066 WXE393064:WXF393066 KS458600:KT458602 UO458600:UP458602 AEK458600:AEL458602 AOG458600:AOH458602 AYC458600:AYD458602 BHY458600:BHZ458602 BRU458600:BRV458602 CBQ458600:CBR458602 CLM458600:CLN458602 CVI458600:CVJ458602 DFE458600:DFF458602 DPA458600:DPB458602 DYW458600:DYX458602 EIS458600:EIT458602 ESO458600:ESP458602 FCK458600:FCL458602 FMG458600:FMH458602 FWC458600:FWD458602 GFY458600:GFZ458602 GPU458600:GPV458602 GZQ458600:GZR458602 HJM458600:HJN458602 HTI458600:HTJ458602 IDE458600:IDF458602 INA458600:INB458602 IWW458600:IWX458602 JGS458600:JGT458602 JQO458600:JQP458602 KAK458600:KAL458602 KKG458600:KKH458602 KUC458600:KUD458602 LDY458600:LDZ458602 LNU458600:LNV458602 LXQ458600:LXR458602 MHM458600:MHN458602 MRI458600:MRJ458602 NBE458600:NBF458602 NLA458600:NLB458602 NUW458600:NUX458602 OES458600:OET458602 OOO458600:OOP458602 OYK458600:OYL458602 PIG458600:PIH458602 PSC458600:PSD458602 QBY458600:QBZ458602 QLU458600:QLV458602 QVQ458600:QVR458602 RFM458600:RFN458602 RPI458600:RPJ458602 RZE458600:RZF458602 SJA458600:SJB458602 SSW458600:SSX458602 TCS458600:TCT458602 TMO458600:TMP458602 TWK458600:TWL458602 UGG458600:UGH458602 UQC458600:UQD458602 UZY458600:UZZ458602 VJU458600:VJV458602 VTQ458600:VTR458602 WDM458600:WDN458602 WNI458600:WNJ458602 WXE458600:WXF458602 KS524136:KT524138 UO524136:UP524138 AEK524136:AEL524138 AOG524136:AOH524138 AYC524136:AYD524138 BHY524136:BHZ524138 BRU524136:BRV524138 CBQ524136:CBR524138 CLM524136:CLN524138 CVI524136:CVJ524138 DFE524136:DFF524138 DPA524136:DPB524138 DYW524136:DYX524138 EIS524136:EIT524138 ESO524136:ESP524138 FCK524136:FCL524138 FMG524136:FMH524138 FWC524136:FWD524138 GFY524136:GFZ524138 GPU524136:GPV524138 GZQ524136:GZR524138 HJM524136:HJN524138 HTI524136:HTJ524138 IDE524136:IDF524138 INA524136:INB524138 IWW524136:IWX524138 JGS524136:JGT524138 JQO524136:JQP524138 KAK524136:KAL524138 KKG524136:KKH524138 KUC524136:KUD524138 LDY524136:LDZ524138 LNU524136:LNV524138 LXQ524136:LXR524138 MHM524136:MHN524138 MRI524136:MRJ524138 NBE524136:NBF524138 NLA524136:NLB524138 NUW524136:NUX524138 OES524136:OET524138 OOO524136:OOP524138 OYK524136:OYL524138 PIG524136:PIH524138 PSC524136:PSD524138 QBY524136:QBZ524138 QLU524136:QLV524138 QVQ524136:QVR524138 RFM524136:RFN524138 RPI524136:RPJ524138 RZE524136:RZF524138 SJA524136:SJB524138 SSW524136:SSX524138 TCS524136:TCT524138 TMO524136:TMP524138 TWK524136:TWL524138 UGG524136:UGH524138 UQC524136:UQD524138 UZY524136:UZZ524138 VJU524136:VJV524138 VTQ524136:VTR524138 WDM524136:WDN524138 WNI524136:WNJ524138 WXE524136:WXF524138 KS589672:KT589674 UO589672:UP589674 AEK589672:AEL589674 AOG589672:AOH589674 AYC589672:AYD589674 BHY589672:BHZ589674 BRU589672:BRV589674 CBQ589672:CBR589674 CLM589672:CLN589674 CVI589672:CVJ589674 DFE589672:DFF589674 DPA589672:DPB589674 DYW589672:DYX589674 EIS589672:EIT589674 ESO589672:ESP589674 FCK589672:FCL589674 FMG589672:FMH589674 FWC589672:FWD589674 GFY589672:GFZ589674 GPU589672:GPV589674 GZQ589672:GZR589674 HJM589672:HJN589674 HTI589672:HTJ589674 IDE589672:IDF589674 INA589672:INB589674 IWW589672:IWX589674 JGS589672:JGT589674 JQO589672:JQP589674 KAK589672:KAL589674 KKG589672:KKH589674 KUC589672:KUD589674 LDY589672:LDZ589674 LNU589672:LNV589674 LXQ589672:LXR589674 MHM589672:MHN589674 MRI589672:MRJ589674 NBE589672:NBF589674 NLA589672:NLB589674 NUW589672:NUX589674 OES589672:OET589674 OOO589672:OOP589674 OYK589672:OYL589674 PIG589672:PIH589674 PSC589672:PSD589674 QBY589672:QBZ589674 QLU589672:QLV589674 QVQ589672:QVR589674 RFM589672:RFN589674 RPI589672:RPJ589674 RZE589672:RZF589674 SJA589672:SJB589674 SSW589672:SSX589674 TCS589672:TCT589674 TMO589672:TMP589674 TWK589672:TWL589674 UGG589672:UGH589674 UQC589672:UQD589674 UZY589672:UZZ589674 VJU589672:VJV589674 VTQ589672:VTR589674 WDM589672:WDN589674 WNI589672:WNJ589674 WXE589672:WXF589674 KS655208:KT655210 UO655208:UP655210 AEK655208:AEL655210 AOG655208:AOH655210 AYC655208:AYD655210 BHY655208:BHZ655210 BRU655208:BRV655210 CBQ655208:CBR655210 CLM655208:CLN655210 CVI655208:CVJ655210 DFE655208:DFF655210 DPA655208:DPB655210 DYW655208:DYX655210 EIS655208:EIT655210 ESO655208:ESP655210 FCK655208:FCL655210 FMG655208:FMH655210 FWC655208:FWD655210 GFY655208:GFZ655210 GPU655208:GPV655210 GZQ655208:GZR655210 HJM655208:HJN655210 HTI655208:HTJ655210 IDE655208:IDF655210 INA655208:INB655210 IWW655208:IWX655210 JGS655208:JGT655210 JQO655208:JQP655210 KAK655208:KAL655210 KKG655208:KKH655210 KUC655208:KUD655210 LDY655208:LDZ655210 LNU655208:LNV655210 LXQ655208:LXR655210 MHM655208:MHN655210 MRI655208:MRJ655210 NBE655208:NBF655210 NLA655208:NLB655210 NUW655208:NUX655210 OES655208:OET655210 OOO655208:OOP655210 OYK655208:OYL655210 PIG655208:PIH655210 PSC655208:PSD655210 QBY655208:QBZ655210 QLU655208:QLV655210 QVQ655208:QVR655210 RFM655208:RFN655210 RPI655208:RPJ655210 RZE655208:RZF655210 SJA655208:SJB655210 SSW655208:SSX655210 TCS655208:TCT655210 TMO655208:TMP655210 TWK655208:TWL655210 UGG655208:UGH655210 UQC655208:UQD655210 UZY655208:UZZ655210 VJU655208:VJV655210 VTQ655208:VTR655210 WDM655208:WDN655210 WNI655208:WNJ655210 WXE655208:WXF655210 KS720744:KT720746 UO720744:UP720746 AEK720744:AEL720746 AOG720744:AOH720746 AYC720744:AYD720746 BHY720744:BHZ720746 BRU720744:BRV720746 CBQ720744:CBR720746 CLM720744:CLN720746 CVI720744:CVJ720746 DFE720744:DFF720746 DPA720744:DPB720746 DYW720744:DYX720746 EIS720744:EIT720746 ESO720744:ESP720746 FCK720744:FCL720746 FMG720744:FMH720746 FWC720744:FWD720746 GFY720744:GFZ720746 GPU720744:GPV720746 GZQ720744:GZR720746 HJM720744:HJN720746 HTI720744:HTJ720746 IDE720744:IDF720746 INA720744:INB720746 IWW720744:IWX720746 JGS720744:JGT720746 JQO720744:JQP720746 KAK720744:KAL720746 KKG720744:KKH720746 KUC720744:KUD720746 LDY720744:LDZ720746 LNU720744:LNV720746 LXQ720744:LXR720746 MHM720744:MHN720746 MRI720744:MRJ720746 NBE720744:NBF720746 NLA720744:NLB720746 NUW720744:NUX720746 OES720744:OET720746 OOO720744:OOP720746 OYK720744:OYL720746 PIG720744:PIH720746 PSC720744:PSD720746 QBY720744:QBZ720746 QLU720744:QLV720746 QVQ720744:QVR720746 RFM720744:RFN720746 RPI720744:RPJ720746 RZE720744:RZF720746 SJA720744:SJB720746 SSW720744:SSX720746 TCS720744:TCT720746 TMO720744:TMP720746 TWK720744:TWL720746 UGG720744:UGH720746 UQC720744:UQD720746 UZY720744:UZZ720746 VJU720744:VJV720746 VTQ720744:VTR720746 WDM720744:WDN720746 WNI720744:WNJ720746 WXE720744:WXF720746 KS786280:KT786282 UO786280:UP786282 AEK786280:AEL786282 AOG786280:AOH786282 AYC786280:AYD786282 BHY786280:BHZ786282 BRU786280:BRV786282 CBQ786280:CBR786282 CLM786280:CLN786282 CVI786280:CVJ786282 DFE786280:DFF786282 DPA786280:DPB786282 DYW786280:DYX786282 EIS786280:EIT786282 ESO786280:ESP786282 FCK786280:FCL786282 FMG786280:FMH786282 FWC786280:FWD786282 GFY786280:GFZ786282 GPU786280:GPV786282 GZQ786280:GZR786282 HJM786280:HJN786282 HTI786280:HTJ786282 IDE786280:IDF786282 INA786280:INB786282 IWW786280:IWX786282 JGS786280:JGT786282 JQO786280:JQP786282 KAK786280:KAL786282 KKG786280:KKH786282 KUC786280:KUD786282 LDY786280:LDZ786282 LNU786280:LNV786282 LXQ786280:LXR786282 MHM786280:MHN786282 MRI786280:MRJ786282 NBE786280:NBF786282 NLA786280:NLB786282 NUW786280:NUX786282 OES786280:OET786282 OOO786280:OOP786282 OYK786280:OYL786282 PIG786280:PIH786282 PSC786280:PSD786282 QBY786280:QBZ786282 QLU786280:QLV786282 QVQ786280:QVR786282 RFM786280:RFN786282 RPI786280:RPJ786282 RZE786280:RZF786282 SJA786280:SJB786282 SSW786280:SSX786282 TCS786280:TCT786282 TMO786280:TMP786282 TWK786280:TWL786282 UGG786280:UGH786282 UQC786280:UQD786282 UZY786280:UZZ786282 VJU786280:VJV786282 VTQ786280:VTR786282 WDM786280:WDN786282 WNI786280:WNJ786282 WXE786280:WXF786282 KS851816:KT851818 UO851816:UP851818 AEK851816:AEL851818 AOG851816:AOH851818 AYC851816:AYD851818 BHY851816:BHZ851818 BRU851816:BRV851818 CBQ851816:CBR851818 CLM851816:CLN851818 CVI851816:CVJ851818 DFE851816:DFF851818 DPA851816:DPB851818 DYW851816:DYX851818 EIS851816:EIT851818 ESO851816:ESP851818 FCK851816:FCL851818 FMG851816:FMH851818 FWC851816:FWD851818 GFY851816:GFZ851818 GPU851816:GPV851818 GZQ851816:GZR851818 HJM851816:HJN851818 HTI851816:HTJ851818 IDE851816:IDF851818 INA851816:INB851818 IWW851816:IWX851818 JGS851816:JGT851818 JQO851816:JQP851818 KAK851816:KAL851818 KKG851816:KKH851818 KUC851816:KUD851818 LDY851816:LDZ851818 LNU851816:LNV851818 LXQ851816:LXR851818 MHM851816:MHN851818 MRI851816:MRJ851818 NBE851816:NBF851818 NLA851816:NLB851818 NUW851816:NUX851818 OES851816:OET851818 OOO851816:OOP851818 OYK851816:OYL851818 PIG851816:PIH851818 PSC851816:PSD851818 QBY851816:QBZ851818 QLU851816:QLV851818 QVQ851816:QVR851818 RFM851816:RFN851818 RPI851816:RPJ851818 RZE851816:RZF851818 SJA851816:SJB851818 SSW851816:SSX851818 TCS851816:TCT851818 TMO851816:TMP851818 TWK851816:TWL851818 UGG851816:UGH851818 UQC851816:UQD851818 UZY851816:UZZ851818 VJU851816:VJV851818 VTQ851816:VTR851818 WDM851816:WDN851818 WNI851816:WNJ851818 WXE851816:WXF851818 KS917352:KT917354 UO917352:UP917354 AEK917352:AEL917354 AOG917352:AOH917354 AYC917352:AYD917354 BHY917352:BHZ917354 BRU917352:BRV917354 CBQ917352:CBR917354 CLM917352:CLN917354 CVI917352:CVJ917354 DFE917352:DFF917354 DPA917352:DPB917354 DYW917352:DYX917354 EIS917352:EIT917354 ESO917352:ESP917354 FCK917352:FCL917354 FMG917352:FMH917354 FWC917352:FWD917354 GFY917352:GFZ917354 GPU917352:GPV917354 GZQ917352:GZR917354 HJM917352:HJN917354 HTI917352:HTJ917354 IDE917352:IDF917354 INA917352:INB917354 IWW917352:IWX917354 JGS917352:JGT917354 JQO917352:JQP917354 KAK917352:KAL917354 KKG917352:KKH917354 KUC917352:KUD917354 LDY917352:LDZ917354 LNU917352:LNV917354 LXQ917352:LXR917354 MHM917352:MHN917354 MRI917352:MRJ917354 NBE917352:NBF917354 NLA917352:NLB917354 NUW917352:NUX917354 OES917352:OET917354 OOO917352:OOP917354 OYK917352:OYL917354 PIG917352:PIH917354 PSC917352:PSD917354 QBY917352:QBZ917354 QLU917352:QLV917354 QVQ917352:QVR917354 RFM917352:RFN917354 RPI917352:RPJ917354 RZE917352:RZF917354 SJA917352:SJB917354 SSW917352:SSX917354 TCS917352:TCT917354 TMO917352:TMP917354 TWK917352:TWL917354 UGG917352:UGH917354 UQC917352:UQD917354 UZY917352:UZZ917354 VJU917352:VJV917354 VTQ917352:VTR917354 WDM917352:WDN917354 WNI917352:WNJ917354 WXE917352:WXF917354 KS982888:KT982890 UO982888:UP982890 AEK982888:AEL982890 AOG982888:AOH982890 AYC982888:AYD982890 BHY982888:BHZ982890 BRU982888:BRV982890 CBQ982888:CBR982890 CLM982888:CLN982890 CVI982888:CVJ982890 DFE982888:DFF982890 DPA982888:DPB982890 DYW982888:DYX982890 EIS982888:EIT982890 ESO982888:ESP982890 FCK982888:FCL982890 FMG982888:FMH982890 FWC982888:FWD982890 GFY982888:GFZ982890 GPU982888:GPV982890 GZQ982888:GZR982890 HJM982888:HJN982890 HTI982888:HTJ982890 IDE982888:IDF982890 INA982888:INB982890 IWW982888:IWX982890 JGS982888:JGT982890 JQO982888:JQP982890 KAK982888:KAL982890 KKG982888:KKH982890 KUC982888:KUD982890 LDY982888:LDZ982890 LNU982888:LNV982890 LXQ982888:LXR982890 MHM982888:MHN982890 MRI982888:MRJ982890 NBE982888:NBF982890 NLA982888:NLB982890 NUW982888:NUX982890 OES982888:OET982890 OOO982888:OOP982890 OYK982888:OYL982890 PIG982888:PIH982890 PSC982888:PSD982890 QBY982888:QBZ982890 QLU982888:QLV982890 QVQ982888:QVR982890 RFM982888:RFN982890 RPI982888:RPJ982890 RZE982888:RZF982890 SJA982888:SJB982890 SSW982888:SSX982890 TCS982888:TCT982890 TMO982888:TMP982890 TWK982888:TWL982890 UGG982888:UGH982890 UQC982888:UQD982890 UZY982888:UZZ982890 VJU982888:VJV982890 VTQ982888:VTR982890 WDM982888:WDN982890 WNI982888:WNJ982890 WXE982888:WXF982890 KS393001:KT393005 UO393001:UP393005 AEK393001:AEL393005 AOG393001:AOH393005 AYC393001:AYD393005 BHY393001:BHZ393005 BRU393001:BRV393005 CBQ393001:CBR393005 CLM393001:CLN393005 CVI393001:CVJ393005 DFE393001:DFF393005 DPA393001:DPB393005 DYW393001:DYX393005 EIS393001:EIT393005 ESO393001:ESP393005 FCK393001:FCL393005 FMG393001:FMH393005 FWC393001:FWD393005 GFY393001:GFZ393005 GPU393001:GPV393005 GZQ393001:GZR393005 HJM393001:HJN393005 HTI393001:HTJ393005 IDE393001:IDF393005 INA393001:INB393005 IWW393001:IWX393005 JGS393001:JGT393005 JQO393001:JQP393005 KAK393001:KAL393005 KKG393001:KKH393005 KUC393001:KUD393005 LDY393001:LDZ393005 LNU393001:LNV393005 LXQ393001:LXR393005 MHM393001:MHN393005 MRI393001:MRJ393005 NBE393001:NBF393005 NLA393001:NLB393005 NUW393001:NUX393005 OES393001:OET393005 OOO393001:OOP393005 OYK393001:OYL393005 PIG393001:PIH393005 PSC393001:PSD393005 QBY393001:QBZ393005 QLU393001:QLV393005 QVQ393001:QVR393005 RFM393001:RFN393005 RPI393001:RPJ393005 RZE393001:RZF393005 SJA393001:SJB393005 SSW393001:SSX393005 TCS393001:TCT393005 TMO393001:TMP393005 TWK393001:TWL393005 UGG393001:UGH393005 UQC393001:UQD393005 UZY393001:UZZ393005 VJU393001:VJV393005 VTQ393001:VTR393005 WDM393001:WDN393005 WNI393001:WNJ393005 WXE393001:WXF393005 KS65382:KS65383 UO65382:UO65383 AEK65382:AEK65383 AOG65382:AOG65383 AYC65382:AYC65383 BHY65382:BHY65383 BRU65382:BRU65383 CBQ65382:CBQ65383 CLM65382:CLM65383 CVI65382:CVI65383 DFE65382:DFE65383 DPA65382:DPA65383 DYW65382:DYW65383 EIS65382:EIS65383 ESO65382:ESO65383 FCK65382:FCK65383 FMG65382:FMG65383 FWC65382:FWC65383 GFY65382:GFY65383 GPU65382:GPU65383 GZQ65382:GZQ65383 HJM65382:HJM65383 HTI65382:HTI65383 IDE65382:IDE65383 INA65382:INA65383 IWW65382:IWW65383 JGS65382:JGS65383 JQO65382:JQO65383 KAK65382:KAK65383 KKG65382:KKG65383 KUC65382:KUC65383 LDY65382:LDY65383 LNU65382:LNU65383 LXQ65382:LXQ65383 MHM65382:MHM65383 MRI65382:MRI65383 NBE65382:NBE65383 NLA65382:NLA65383 NUW65382:NUW65383 OES65382:OES65383 OOO65382:OOO65383 OYK65382:OYK65383 PIG65382:PIG65383 PSC65382:PSC65383 QBY65382:QBY65383 QLU65382:QLU65383 QVQ65382:QVQ65383 RFM65382:RFM65383 RPI65382:RPI65383 RZE65382:RZE65383 SJA65382:SJA65383 SSW65382:SSW65383 TCS65382:TCS65383 TMO65382:TMO65383 TWK65382:TWK65383 UGG65382:UGG65383 UQC65382:UQC65383 UZY65382:UZY65383 VJU65382:VJU65383 VTQ65382:VTQ65383 WDM65382:WDM65383 WNI65382:WNI65383 WXE65382:WXE65383 KS130918:KS130919 UO130918:UO130919 AEK130918:AEK130919 AOG130918:AOG130919 AYC130918:AYC130919 BHY130918:BHY130919 BRU130918:BRU130919 CBQ130918:CBQ130919 CLM130918:CLM130919 CVI130918:CVI130919 DFE130918:DFE130919 DPA130918:DPA130919 DYW130918:DYW130919 EIS130918:EIS130919 ESO130918:ESO130919 FCK130918:FCK130919 FMG130918:FMG130919 FWC130918:FWC130919 GFY130918:GFY130919 GPU130918:GPU130919 GZQ130918:GZQ130919 HJM130918:HJM130919 HTI130918:HTI130919 IDE130918:IDE130919 INA130918:INA130919 IWW130918:IWW130919 JGS130918:JGS130919 JQO130918:JQO130919 KAK130918:KAK130919 KKG130918:KKG130919 KUC130918:KUC130919 LDY130918:LDY130919 LNU130918:LNU130919 LXQ130918:LXQ130919 MHM130918:MHM130919 MRI130918:MRI130919 NBE130918:NBE130919 NLA130918:NLA130919 NUW130918:NUW130919 OES130918:OES130919 OOO130918:OOO130919 OYK130918:OYK130919 PIG130918:PIG130919 PSC130918:PSC130919 QBY130918:QBY130919 QLU130918:QLU130919 QVQ130918:QVQ130919 RFM130918:RFM130919 RPI130918:RPI130919 RZE130918:RZE130919 SJA130918:SJA130919 SSW130918:SSW130919 TCS130918:TCS130919 TMO130918:TMO130919 TWK130918:TWK130919 UGG130918:UGG130919 UQC130918:UQC130919 UZY130918:UZY130919 VJU130918:VJU130919 VTQ130918:VTQ130919 WDM130918:WDM130919 WNI130918:WNI130919 WXE130918:WXE130919 KS196454:KS196455 UO196454:UO196455 AEK196454:AEK196455 AOG196454:AOG196455 AYC196454:AYC196455 BHY196454:BHY196455 BRU196454:BRU196455 CBQ196454:CBQ196455 CLM196454:CLM196455 CVI196454:CVI196455 DFE196454:DFE196455 DPA196454:DPA196455 DYW196454:DYW196455 EIS196454:EIS196455 ESO196454:ESO196455 FCK196454:FCK196455 FMG196454:FMG196455 FWC196454:FWC196455 GFY196454:GFY196455 GPU196454:GPU196455 GZQ196454:GZQ196455 HJM196454:HJM196455 HTI196454:HTI196455 IDE196454:IDE196455 INA196454:INA196455 IWW196454:IWW196455 JGS196454:JGS196455 JQO196454:JQO196455 KAK196454:KAK196455 KKG196454:KKG196455 KUC196454:KUC196455 LDY196454:LDY196455 LNU196454:LNU196455 LXQ196454:LXQ196455 MHM196454:MHM196455 MRI196454:MRI196455 NBE196454:NBE196455 NLA196454:NLA196455 NUW196454:NUW196455 OES196454:OES196455 OOO196454:OOO196455 OYK196454:OYK196455 PIG196454:PIG196455 PSC196454:PSC196455 QBY196454:QBY196455 QLU196454:QLU196455 QVQ196454:QVQ196455 RFM196454:RFM196455 RPI196454:RPI196455 RZE196454:RZE196455 SJA196454:SJA196455 SSW196454:SSW196455 TCS196454:TCS196455 TMO196454:TMO196455 TWK196454:TWK196455 UGG196454:UGG196455 UQC196454:UQC196455 UZY196454:UZY196455 VJU196454:VJU196455 VTQ196454:VTQ196455 WDM196454:WDM196455 WNI196454:WNI196455 WXE196454:WXE196455 KS261990:KS261991 UO261990:UO261991 AEK261990:AEK261991 AOG261990:AOG261991 AYC261990:AYC261991 BHY261990:BHY261991 BRU261990:BRU261991 CBQ261990:CBQ261991 CLM261990:CLM261991 CVI261990:CVI261991 DFE261990:DFE261991 DPA261990:DPA261991 DYW261990:DYW261991 EIS261990:EIS261991 ESO261990:ESO261991 FCK261990:FCK261991 FMG261990:FMG261991 FWC261990:FWC261991 GFY261990:GFY261991 GPU261990:GPU261991 GZQ261990:GZQ261991 HJM261990:HJM261991 HTI261990:HTI261991 IDE261990:IDE261991 INA261990:INA261991 IWW261990:IWW261991 JGS261990:JGS261991 JQO261990:JQO261991 KAK261990:KAK261991 KKG261990:KKG261991 KUC261990:KUC261991 LDY261990:LDY261991 LNU261990:LNU261991 LXQ261990:LXQ261991 MHM261990:MHM261991 MRI261990:MRI261991 NBE261990:NBE261991 NLA261990:NLA261991 NUW261990:NUW261991 OES261990:OES261991 OOO261990:OOO261991 OYK261990:OYK261991 PIG261990:PIG261991 PSC261990:PSC261991 QBY261990:QBY261991 QLU261990:QLU261991 QVQ261990:QVQ261991 RFM261990:RFM261991 RPI261990:RPI261991 RZE261990:RZE261991 SJA261990:SJA261991 SSW261990:SSW261991 TCS261990:TCS261991 TMO261990:TMO261991 TWK261990:TWK261991 UGG261990:UGG261991 UQC261990:UQC261991 UZY261990:UZY261991 VJU261990:VJU261991 VTQ261990:VTQ261991 WDM261990:WDM261991 WNI261990:WNI261991 WXE261990:WXE261991 KS327526:KS327527 UO327526:UO327527 AEK327526:AEK327527 AOG327526:AOG327527 AYC327526:AYC327527 BHY327526:BHY327527 BRU327526:BRU327527 CBQ327526:CBQ327527 CLM327526:CLM327527 CVI327526:CVI327527 DFE327526:DFE327527 DPA327526:DPA327527 DYW327526:DYW327527 EIS327526:EIS327527 ESO327526:ESO327527 FCK327526:FCK327527 FMG327526:FMG327527 FWC327526:FWC327527 GFY327526:GFY327527 GPU327526:GPU327527 GZQ327526:GZQ327527 HJM327526:HJM327527 HTI327526:HTI327527 IDE327526:IDE327527 INA327526:INA327527 IWW327526:IWW327527 JGS327526:JGS327527 JQO327526:JQO327527 KAK327526:KAK327527 KKG327526:KKG327527 KUC327526:KUC327527 LDY327526:LDY327527 LNU327526:LNU327527 LXQ327526:LXQ327527 MHM327526:MHM327527 MRI327526:MRI327527 NBE327526:NBE327527 NLA327526:NLA327527 NUW327526:NUW327527 OES327526:OES327527 OOO327526:OOO327527 OYK327526:OYK327527 PIG327526:PIG327527 PSC327526:PSC327527 QBY327526:QBY327527 QLU327526:QLU327527 QVQ327526:QVQ327527 RFM327526:RFM327527 RPI327526:RPI327527 RZE327526:RZE327527 SJA327526:SJA327527 SSW327526:SSW327527 TCS327526:TCS327527 TMO327526:TMO327527 TWK327526:TWK327527 UGG327526:UGG327527 UQC327526:UQC327527 UZY327526:UZY327527 VJU327526:VJU327527 VTQ327526:VTQ327527 WDM327526:WDM327527 WNI327526:WNI327527 WXE327526:WXE327527 KS393062:KS393063 UO393062:UO393063 AEK393062:AEK393063 AOG393062:AOG393063 AYC393062:AYC393063 BHY393062:BHY393063 BRU393062:BRU393063 CBQ393062:CBQ393063 CLM393062:CLM393063 CVI393062:CVI393063 DFE393062:DFE393063 DPA393062:DPA393063 DYW393062:DYW393063 EIS393062:EIS393063 ESO393062:ESO393063 FCK393062:FCK393063 FMG393062:FMG393063 FWC393062:FWC393063 GFY393062:GFY393063 GPU393062:GPU393063 GZQ393062:GZQ393063 HJM393062:HJM393063 HTI393062:HTI393063 IDE393062:IDE393063 INA393062:INA393063 IWW393062:IWW393063 JGS393062:JGS393063 JQO393062:JQO393063 KAK393062:KAK393063 KKG393062:KKG393063 KUC393062:KUC393063 LDY393062:LDY393063 LNU393062:LNU393063 LXQ393062:LXQ393063 MHM393062:MHM393063 MRI393062:MRI393063 NBE393062:NBE393063 NLA393062:NLA393063 NUW393062:NUW393063 OES393062:OES393063 OOO393062:OOO393063 OYK393062:OYK393063 PIG393062:PIG393063 PSC393062:PSC393063 QBY393062:QBY393063 QLU393062:QLU393063 QVQ393062:QVQ393063 RFM393062:RFM393063 RPI393062:RPI393063 RZE393062:RZE393063 SJA393062:SJA393063 SSW393062:SSW393063 TCS393062:TCS393063 TMO393062:TMO393063 TWK393062:TWK393063 UGG393062:UGG393063 UQC393062:UQC393063 UZY393062:UZY393063 VJU393062:VJU393063 VTQ393062:VTQ393063 WDM393062:WDM393063 WNI393062:WNI393063 WXE393062:WXE393063 KS458598:KS458599 UO458598:UO458599 AEK458598:AEK458599 AOG458598:AOG458599 AYC458598:AYC458599 BHY458598:BHY458599 BRU458598:BRU458599 CBQ458598:CBQ458599 CLM458598:CLM458599 CVI458598:CVI458599 DFE458598:DFE458599 DPA458598:DPA458599 DYW458598:DYW458599 EIS458598:EIS458599 ESO458598:ESO458599 FCK458598:FCK458599 FMG458598:FMG458599 FWC458598:FWC458599 GFY458598:GFY458599 GPU458598:GPU458599 GZQ458598:GZQ458599 HJM458598:HJM458599 HTI458598:HTI458599 IDE458598:IDE458599 INA458598:INA458599 IWW458598:IWW458599 JGS458598:JGS458599 JQO458598:JQO458599 KAK458598:KAK458599 KKG458598:KKG458599 KUC458598:KUC458599 LDY458598:LDY458599 LNU458598:LNU458599 LXQ458598:LXQ458599 MHM458598:MHM458599 MRI458598:MRI458599 NBE458598:NBE458599 NLA458598:NLA458599 NUW458598:NUW458599 OES458598:OES458599 OOO458598:OOO458599 OYK458598:OYK458599 PIG458598:PIG458599 PSC458598:PSC458599 QBY458598:QBY458599 QLU458598:QLU458599 QVQ458598:QVQ458599 RFM458598:RFM458599 RPI458598:RPI458599 RZE458598:RZE458599 SJA458598:SJA458599 SSW458598:SSW458599 TCS458598:TCS458599 TMO458598:TMO458599 TWK458598:TWK458599 UGG458598:UGG458599 UQC458598:UQC458599 UZY458598:UZY458599 VJU458598:VJU458599 VTQ458598:VTQ458599 WDM458598:WDM458599 WNI458598:WNI458599 WXE458598:WXE458599 KS524134:KS524135 UO524134:UO524135 AEK524134:AEK524135 AOG524134:AOG524135 AYC524134:AYC524135 BHY524134:BHY524135 BRU524134:BRU524135 CBQ524134:CBQ524135 CLM524134:CLM524135 CVI524134:CVI524135 DFE524134:DFE524135 DPA524134:DPA524135 DYW524134:DYW524135 EIS524134:EIS524135 ESO524134:ESO524135 FCK524134:FCK524135 FMG524134:FMG524135 FWC524134:FWC524135 GFY524134:GFY524135 GPU524134:GPU524135 GZQ524134:GZQ524135 HJM524134:HJM524135 HTI524134:HTI524135 IDE524134:IDE524135 INA524134:INA524135 IWW524134:IWW524135 JGS524134:JGS524135 JQO524134:JQO524135 KAK524134:KAK524135 KKG524134:KKG524135 KUC524134:KUC524135 LDY524134:LDY524135 LNU524134:LNU524135 LXQ524134:LXQ524135 MHM524134:MHM524135 MRI524134:MRI524135 NBE524134:NBE524135 NLA524134:NLA524135 NUW524134:NUW524135 OES524134:OES524135 OOO524134:OOO524135 OYK524134:OYK524135 PIG524134:PIG524135 PSC524134:PSC524135 QBY524134:QBY524135 QLU524134:QLU524135 QVQ524134:QVQ524135 RFM524134:RFM524135 RPI524134:RPI524135 RZE524134:RZE524135 SJA524134:SJA524135 SSW524134:SSW524135 TCS524134:TCS524135 TMO524134:TMO524135 TWK524134:TWK524135 UGG524134:UGG524135 UQC524134:UQC524135 UZY524134:UZY524135 VJU524134:VJU524135 VTQ524134:VTQ524135 WDM524134:WDM524135 WNI524134:WNI524135 WXE524134:WXE524135 KS589670:KS589671 UO589670:UO589671 AEK589670:AEK589671 AOG589670:AOG589671 AYC589670:AYC589671 BHY589670:BHY589671 BRU589670:BRU589671 CBQ589670:CBQ589671 CLM589670:CLM589671 CVI589670:CVI589671 DFE589670:DFE589671 DPA589670:DPA589671 DYW589670:DYW589671 EIS589670:EIS589671 ESO589670:ESO589671 FCK589670:FCK589671 FMG589670:FMG589671 FWC589670:FWC589671 GFY589670:GFY589671 GPU589670:GPU589671 GZQ589670:GZQ589671 HJM589670:HJM589671 HTI589670:HTI589671 IDE589670:IDE589671 INA589670:INA589671 IWW589670:IWW589671 JGS589670:JGS589671 JQO589670:JQO589671 KAK589670:KAK589671 KKG589670:KKG589671 KUC589670:KUC589671 LDY589670:LDY589671 LNU589670:LNU589671 LXQ589670:LXQ589671 MHM589670:MHM589671 MRI589670:MRI589671 NBE589670:NBE589671 NLA589670:NLA589671 NUW589670:NUW589671 OES589670:OES589671 OOO589670:OOO589671 OYK589670:OYK589671 PIG589670:PIG589671 PSC589670:PSC589671 QBY589670:QBY589671 QLU589670:QLU589671 QVQ589670:QVQ589671 RFM589670:RFM589671 RPI589670:RPI589671 RZE589670:RZE589671 SJA589670:SJA589671 SSW589670:SSW589671 TCS589670:TCS589671 TMO589670:TMO589671 TWK589670:TWK589671 UGG589670:UGG589671 UQC589670:UQC589671 UZY589670:UZY589671 VJU589670:VJU589671 VTQ589670:VTQ589671 WDM589670:WDM589671 WNI589670:WNI589671 WXE589670:WXE589671 KS655206:KS655207 UO655206:UO655207 AEK655206:AEK655207 AOG655206:AOG655207 AYC655206:AYC655207 BHY655206:BHY655207 BRU655206:BRU655207 CBQ655206:CBQ655207 CLM655206:CLM655207 CVI655206:CVI655207 DFE655206:DFE655207 DPA655206:DPA655207 DYW655206:DYW655207 EIS655206:EIS655207 ESO655206:ESO655207 FCK655206:FCK655207 FMG655206:FMG655207 FWC655206:FWC655207 GFY655206:GFY655207 GPU655206:GPU655207 GZQ655206:GZQ655207 HJM655206:HJM655207 HTI655206:HTI655207 IDE655206:IDE655207 INA655206:INA655207 IWW655206:IWW655207 JGS655206:JGS655207 JQO655206:JQO655207 KAK655206:KAK655207 KKG655206:KKG655207 KUC655206:KUC655207 LDY655206:LDY655207 LNU655206:LNU655207 LXQ655206:LXQ655207 MHM655206:MHM655207 MRI655206:MRI655207 NBE655206:NBE655207 NLA655206:NLA655207 NUW655206:NUW655207 OES655206:OES655207 OOO655206:OOO655207 OYK655206:OYK655207 PIG655206:PIG655207 PSC655206:PSC655207 QBY655206:QBY655207 QLU655206:QLU655207 QVQ655206:QVQ655207 RFM655206:RFM655207 RPI655206:RPI655207 RZE655206:RZE655207 SJA655206:SJA655207 SSW655206:SSW655207 TCS655206:TCS655207 TMO655206:TMO655207 TWK655206:TWK655207 UGG655206:UGG655207 UQC655206:UQC655207 UZY655206:UZY655207 VJU655206:VJU655207 VTQ655206:VTQ655207 WDM655206:WDM655207 WNI655206:WNI655207 WXE655206:WXE655207 KS720742:KS720743 UO720742:UO720743 AEK720742:AEK720743 AOG720742:AOG720743 AYC720742:AYC720743 BHY720742:BHY720743 BRU720742:BRU720743 CBQ720742:CBQ720743 CLM720742:CLM720743 CVI720742:CVI720743 DFE720742:DFE720743 DPA720742:DPA720743 DYW720742:DYW720743 EIS720742:EIS720743 ESO720742:ESO720743 FCK720742:FCK720743 FMG720742:FMG720743 FWC720742:FWC720743 GFY720742:GFY720743 GPU720742:GPU720743 GZQ720742:GZQ720743 HJM720742:HJM720743 HTI720742:HTI720743 IDE720742:IDE720743 INA720742:INA720743 IWW720742:IWW720743 JGS720742:JGS720743 JQO720742:JQO720743 KAK720742:KAK720743 KKG720742:KKG720743 KUC720742:KUC720743 LDY720742:LDY720743 LNU720742:LNU720743 LXQ720742:LXQ720743 MHM720742:MHM720743 MRI720742:MRI720743 NBE720742:NBE720743 NLA720742:NLA720743 NUW720742:NUW720743 OES720742:OES720743 OOO720742:OOO720743 OYK720742:OYK720743 PIG720742:PIG720743 PSC720742:PSC720743 QBY720742:QBY720743 QLU720742:QLU720743 QVQ720742:QVQ720743 RFM720742:RFM720743 RPI720742:RPI720743 RZE720742:RZE720743 SJA720742:SJA720743 SSW720742:SSW720743 TCS720742:TCS720743 TMO720742:TMO720743 TWK720742:TWK720743 UGG720742:UGG720743 UQC720742:UQC720743 UZY720742:UZY720743 VJU720742:VJU720743 VTQ720742:VTQ720743 WDM720742:WDM720743 WNI720742:WNI720743 WXE720742:WXE720743 KS786278:KS786279 UO786278:UO786279 AEK786278:AEK786279 AOG786278:AOG786279 AYC786278:AYC786279 BHY786278:BHY786279 BRU786278:BRU786279 CBQ786278:CBQ786279 CLM786278:CLM786279 CVI786278:CVI786279 DFE786278:DFE786279 DPA786278:DPA786279 DYW786278:DYW786279 EIS786278:EIS786279 ESO786278:ESO786279 FCK786278:FCK786279 FMG786278:FMG786279 FWC786278:FWC786279 GFY786278:GFY786279 GPU786278:GPU786279 GZQ786278:GZQ786279 HJM786278:HJM786279 HTI786278:HTI786279 IDE786278:IDE786279 INA786278:INA786279 IWW786278:IWW786279 JGS786278:JGS786279 JQO786278:JQO786279 KAK786278:KAK786279 KKG786278:KKG786279 KUC786278:KUC786279 LDY786278:LDY786279 LNU786278:LNU786279 LXQ786278:LXQ786279 MHM786278:MHM786279 MRI786278:MRI786279 NBE786278:NBE786279 NLA786278:NLA786279 NUW786278:NUW786279 OES786278:OES786279 OOO786278:OOO786279 OYK786278:OYK786279 PIG786278:PIG786279 PSC786278:PSC786279 QBY786278:QBY786279 QLU786278:QLU786279 QVQ786278:QVQ786279 RFM786278:RFM786279 RPI786278:RPI786279 RZE786278:RZE786279 SJA786278:SJA786279 SSW786278:SSW786279 TCS786278:TCS786279 TMO786278:TMO786279 TWK786278:TWK786279 UGG786278:UGG786279 UQC786278:UQC786279 UZY786278:UZY786279 VJU786278:VJU786279 VTQ786278:VTQ786279 WDM786278:WDM786279 WNI786278:WNI786279 WXE786278:WXE786279 KS851814:KS851815 UO851814:UO851815 AEK851814:AEK851815 AOG851814:AOG851815 AYC851814:AYC851815 BHY851814:BHY851815 BRU851814:BRU851815 CBQ851814:CBQ851815 CLM851814:CLM851815 CVI851814:CVI851815 DFE851814:DFE851815 DPA851814:DPA851815 DYW851814:DYW851815 EIS851814:EIS851815 ESO851814:ESO851815 FCK851814:FCK851815 FMG851814:FMG851815 FWC851814:FWC851815 GFY851814:GFY851815 GPU851814:GPU851815 GZQ851814:GZQ851815 HJM851814:HJM851815 HTI851814:HTI851815 IDE851814:IDE851815 INA851814:INA851815 IWW851814:IWW851815 JGS851814:JGS851815 JQO851814:JQO851815 KAK851814:KAK851815 KKG851814:KKG851815 KUC851814:KUC851815 LDY851814:LDY851815 LNU851814:LNU851815 LXQ851814:LXQ851815 MHM851814:MHM851815 MRI851814:MRI851815 NBE851814:NBE851815 NLA851814:NLA851815 NUW851814:NUW851815 OES851814:OES851815 OOO851814:OOO851815 OYK851814:OYK851815 PIG851814:PIG851815 PSC851814:PSC851815 QBY851814:QBY851815 QLU851814:QLU851815 QVQ851814:QVQ851815 RFM851814:RFM851815 RPI851814:RPI851815 RZE851814:RZE851815 SJA851814:SJA851815 SSW851814:SSW851815 TCS851814:TCS851815 TMO851814:TMO851815 TWK851814:TWK851815 UGG851814:UGG851815 UQC851814:UQC851815 UZY851814:UZY851815 VJU851814:VJU851815 VTQ851814:VTQ851815 WDM851814:WDM851815 WNI851814:WNI851815 WXE851814:WXE851815 KS917350:KS917351 UO917350:UO917351 AEK917350:AEK917351 AOG917350:AOG917351 AYC917350:AYC917351 BHY917350:BHY917351 BRU917350:BRU917351 CBQ917350:CBQ917351 CLM917350:CLM917351 CVI917350:CVI917351 DFE917350:DFE917351 DPA917350:DPA917351 DYW917350:DYW917351 EIS917350:EIS917351 ESO917350:ESO917351 FCK917350:FCK917351 FMG917350:FMG917351 FWC917350:FWC917351 GFY917350:GFY917351 GPU917350:GPU917351 GZQ917350:GZQ917351 HJM917350:HJM917351 HTI917350:HTI917351 IDE917350:IDE917351 INA917350:INA917351 IWW917350:IWW917351 JGS917350:JGS917351 JQO917350:JQO917351 KAK917350:KAK917351 KKG917350:KKG917351 KUC917350:KUC917351 LDY917350:LDY917351 LNU917350:LNU917351 LXQ917350:LXQ917351 MHM917350:MHM917351 MRI917350:MRI917351 NBE917350:NBE917351 NLA917350:NLA917351 NUW917350:NUW917351 OES917350:OES917351 OOO917350:OOO917351 OYK917350:OYK917351 PIG917350:PIG917351 PSC917350:PSC917351 QBY917350:QBY917351 QLU917350:QLU917351 QVQ917350:QVQ917351 RFM917350:RFM917351 RPI917350:RPI917351 RZE917350:RZE917351 SJA917350:SJA917351 SSW917350:SSW917351 TCS917350:TCS917351 TMO917350:TMO917351 TWK917350:TWK917351 UGG917350:UGG917351 UQC917350:UQC917351 UZY917350:UZY917351 VJU917350:VJU917351 VTQ917350:VTQ917351 WDM917350:WDM917351 WNI917350:WNI917351 WXE917350:WXE917351 KS982886:KS982887 UO982886:UO982887 AEK982886:AEK982887 AOG982886:AOG982887 AYC982886:AYC982887 BHY982886:BHY982887 BRU982886:BRU982887 CBQ982886:CBQ982887 CLM982886:CLM982887 CVI982886:CVI982887 DFE982886:DFE982887 DPA982886:DPA982887 DYW982886:DYW982887 EIS982886:EIS982887 ESO982886:ESO982887 FCK982886:FCK982887 FMG982886:FMG982887 FWC982886:FWC982887 GFY982886:GFY982887 GPU982886:GPU982887 GZQ982886:GZQ982887 HJM982886:HJM982887 HTI982886:HTI982887 IDE982886:IDE982887 INA982886:INA982887 IWW982886:IWW982887 JGS982886:JGS982887 JQO982886:JQO982887 KAK982886:KAK982887 KKG982886:KKG982887 KUC982886:KUC982887 LDY982886:LDY982887 LNU982886:LNU982887 LXQ982886:LXQ982887 MHM982886:MHM982887 MRI982886:MRI982887 NBE982886:NBE982887 NLA982886:NLA982887 NUW982886:NUW982887 OES982886:OES982887 OOO982886:OOO982887 OYK982886:OYK982887 PIG982886:PIG982887 PSC982886:PSC982887 QBY982886:QBY982887 QLU982886:QLU982887 QVQ982886:QVQ982887 RFM982886:RFM982887 RPI982886:RPI982887 RZE982886:RZE982887 SJA982886:SJA982887 SSW982886:SSW982887 TCS982886:TCS982887 TMO982886:TMO982887 TWK982886:TWK982887 UGG982886:UGG982887 UQC982886:UQC982887 UZY982886:UZY982887 VJU982886:VJU982887 VTQ982886:VTQ982887 WDM982886:WDM982887 WNI982886:WNI982887 WXE982886:WXE982887 KS458537:KT458541 UO458537:UP458541 AEK458537:AEL458541 AOG458537:AOH458541 AYC458537:AYD458541 BHY458537:BHZ458541 BRU458537:BRV458541 CBQ458537:CBR458541 CLM458537:CLN458541 CVI458537:CVJ458541 DFE458537:DFF458541 DPA458537:DPB458541 DYW458537:DYX458541 EIS458537:EIT458541 ESO458537:ESP458541 FCK458537:FCL458541 FMG458537:FMH458541 FWC458537:FWD458541 GFY458537:GFZ458541 GPU458537:GPV458541 GZQ458537:GZR458541 HJM458537:HJN458541 HTI458537:HTJ458541 IDE458537:IDF458541 INA458537:INB458541 IWW458537:IWX458541 JGS458537:JGT458541 JQO458537:JQP458541 KAK458537:KAL458541 KKG458537:KKH458541 KUC458537:KUD458541 LDY458537:LDZ458541 LNU458537:LNV458541 LXQ458537:LXR458541 MHM458537:MHN458541 MRI458537:MRJ458541 NBE458537:NBF458541 NLA458537:NLB458541 NUW458537:NUX458541 OES458537:OET458541 OOO458537:OOP458541 OYK458537:OYL458541 PIG458537:PIH458541 PSC458537:PSD458541 QBY458537:QBZ458541 QLU458537:QLV458541 QVQ458537:QVR458541 RFM458537:RFN458541 RPI458537:RPJ458541 RZE458537:RZF458541 SJA458537:SJB458541 SSW458537:SSX458541 TCS458537:TCT458541 TMO458537:TMP458541 TWK458537:TWL458541 UGG458537:UGH458541 UQC458537:UQD458541 UZY458537:UZZ458541 VJU458537:VJV458541 VTQ458537:VTR458541 WDM458537:WDN458541 WNI458537:WNJ458541 WXE458537:WXF458541 KS65387 UO65387 AEK65387 AOG65387 AYC65387 BHY65387 BRU65387 CBQ65387 CLM65387 CVI65387 DFE65387 DPA65387 DYW65387 EIS65387 ESO65387 FCK65387 FMG65387 FWC65387 GFY65387 GPU65387 GZQ65387 HJM65387 HTI65387 IDE65387 INA65387 IWW65387 JGS65387 JQO65387 KAK65387 KKG65387 KUC65387 LDY65387 LNU65387 LXQ65387 MHM65387 MRI65387 NBE65387 NLA65387 NUW65387 OES65387 OOO65387 OYK65387 PIG65387 PSC65387 QBY65387 QLU65387 QVQ65387 RFM65387 RPI65387 RZE65387 SJA65387 SSW65387 TCS65387 TMO65387 TWK65387 UGG65387 UQC65387 UZY65387 VJU65387 VTQ65387 WDM65387 WNI65387 WXE65387 KS130923 UO130923 AEK130923 AOG130923 AYC130923 BHY130923 BRU130923 CBQ130923 CLM130923 CVI130923 DFE130923 DPA130923 DYW130923 EIS130923 ESO130923 FCK130923 FMG130923 FWC130923 GFY130923 GPU130923 GZQ130923 HJM130923 HTI130923 IDE130923 INA130923 IWW130923 JGS130923 JQO130923 KAK130923 KKG130923 KUC130923 LDY130923 LNU130923 LXQ130923 MHM130923 MRI130923 NBE130923 NLA130923 NUW130923 OES130923 OOO130923 OYK130923 PIG130923 PSC130923 QBY130923 QLU130923 QVQ130923 RFM130923 RPI130923 RZE130923 SJA130923 SSW130923 TCS130923 TMO130923 TWK130923 UGG130923 UQC130923 UZY130923 VJU130923 VTQ130923 WDM130923 WNI130923 WXE130923 KS196459 UO196459 AEK196459 AOG196459 AYC196459 BHY196459 BRU196459 CBQ196459 CLM196459 CVI196459 DFE196459 DPA196459 DYW196459 EIS196459 ESO196459 FCK196459 FMG196459 FWC196459 GFY196459 GPU196459 GZQ196459 HJM196459 HTI196459 IDE196459 INA196459 IWW196459 JGS196459 JQO196459 KAK196459 KKG196459 KUC196459 LDY196459 LNU196459 LXQ196459 MHM196459 MRI196459 NBE196459 NLA196459 NUW196459 OES196459 OOO196459 OYK196459 PIG196459 PSC196459 QBY196459 QLU196459 QVQ196459 RFM196459 RPI196459 RZE196459 SJA196459 SSW196459 TCS196459 TMO196459 TWK196459 UGG196459 UQC196459 UZY196459 VJU196459 VTQ196459 WDM196459 WNI196459 WXE196459 KS261995 UO261995 AEK261995 AOG261995 AYC261995 BHY261995 BRU261995 CBQ261995 CLM261995 CVI261995 DFE261995 DPA261995 DYW261995 EIS261995 ESO261995 FCK261995 FMG261995 FWC261995 GFY261995 GPU261995 GZQ261995 HJM261995 HTI261995 IDE261995 INA261995 IWW261995 JGS261995 JQO261995 KAK261995 KKG261995 KUC261995 LDY261995 LNU261995 LXQ261995 MHM261995 MRI261995 NBE261995 NLA261995 NUW261995 OES261995 OOO261995 OYK261995 PIG261995 PSC261995 QBY261995 QLU261995 QVQ261995 RFM261995 RPI261995 RZE261995 SJA261995 SSW261995 TCS261995 TMO261995 TWK261995 UGG261995 UQC261995 UZY261995 VJU261995 VTQ261995 WDM261995 WNI261995 WXE261995 KS327531 UO327531 AEK327531 AOG327531 AYC327531 BHY327531 BRU327531 CBQ327531 CLM327531 CVI327531 DFE327531 DPA327531 DYW327531 EIS327531 ESO327531 FCK327531 FMG327531 FWC327531 GFY327531 GPU327531 GZQ327531 HJM327531 HTI327531 IDE327531 INA327531 IWW327531 JGS327531 JQO327531 KAK327531 KKG327531 KUC327531 LDY327531 LNU327531 LXQ327531 MHM327531 MRI327531 NBE327531 NLA327531 NUW327531 OES327531 OOO327531 OYK327531 PIG327531 PSC327531 QBY327531 QLU327531 QVQ327531 RFM327531 RPI327531 RZE327531 SJA327531 SSW327531 TCS327531 TMO327531 TWK327531 UGG327531 UQC327531 UZY327531 VJU327531 VTQ327531 WDM327531 WNI327531 WXE327531 KS393067 UO393067 AEK393067 AOG393067 AYC393067 BHY393067 BRU393067 CBQ393067 CLM393067 CVI393067 DFE393067 DPA393067 DYW393067 EIS393067 ESO393067 FCK393067 FMG393067 FWC393067 GFY393067 GPU393067 GZQ393067 HJM393067 HTI393067 IDE393067 INA393067 IWW393067 JGS393067 JQO393067 KAK393067 KKG393067 KUC393067 LDY393067 LNU393067 LXQ393067 MHM393067 MRI393067 NBE393067 NLA393067 NUW393067 OES393067 OOO393067 OYK393067 PIG393067 PSC393067 QBY393067 QLU393067 QVQ393067 RFM393067 RPI393067 RZE393067 SJA393067 SSW393067 TCS393067 TMO393067 TWK393067 UGG393067 UQC393067 UZY393067 VJU393067 VTQ393067 WDM393067 WNI393067 WXE393067 KS458603 UO458603 AEK458603 AOG458603 AYC458603 BHY458603 BRU458603 CBQ458603 CLM458603 CVI458603 DFE458603 DPA458603 DYW458603 EIS458603 ESO458603 FCK458603 FMG458603 FWC458603 GFY458603 GPU458603 GZQ458603 HJM458603 HTI458603 IDE458603 INA458603 IWW458603 JGS458603 JQO458603 KAK458603 KKG458603 KUC458603 LDY458603 LNU458603 LXQ458603 MHM458603 MRI458603 NBE458603 NLA458603 NUW458603 OES458603 OOO458603 OYK458603 PIG458603 PSC458603 QBY458603 QLU458603 QVQ458603 RFM458603 RPI458603 RZE458603 SJA458603 SSW458603 TCS458603 TMO458603 TWK458603 UGG458603 UQC458603 UZY458603 VJU458603 VTQ458603 WDM458603 WNI458603 WXE458603 KS524139 UO524139 AEK524139 AOG524139 AYC524139 BHY524139 BRU524139 CBQ524139 CLM524139 CVI524139 DFE524139 DPA524139 DYW524139 EIS524139 ESO524139 FCK524139 FMG524139 FWC524139 GFY524139 GPU524139 GZQ524139 HJM524139 HTI524139 IDE524139 INA524139 IWW524139 JGS524139 JQO524139 KAK524139 KKG524139 KUC524139 LDY524139 LNU524139 LXQ524139 MHM524139 MRI524139 NBE524139 NLA524139 NUW524139 OES524139 OOO524139 OYK524139 PIG524139 PSC524139 QBY524139 QLU524139 QVQ524139 RFM524139 RPI524139 RZE524139 SJA524139 SSW524139 TCS524139 TMO524139 TWK524139 UGG524139 UQC524139 UZY524139 VJU524139 VTQ524139 WDM524139 WNI524139 WXE524139 KS589675 UO589675 AEK589675 AOG589675 AYC589675 BHY589675 BRU589675 CBQ589675 CLM589675 CVI589675 DFE589675 DPA589675 DYW589675 EIS589675 ESO589675 FCK589675 FMG589675 FWC589675 GFY589675 GPU589675 GZQ589675 HJM589675 HTI589675 IDE589675 INA589675 IWW589675 JGS589675 JQO589675 KAK589675 KKG589675 KUC589675 LDY589675 LNU589675 LXQ589675 MHM589675 MRI589675 NBE589675 NLA589675 NUW589675 OES589675 OOO589675 OYK589675 PIG589675 PSC589675 QBY589675 QLU589675 QVQ589675 RFM589675 RPI589675 RZE589675 SJA589675 SSW589675 TCS589675 TMO589675 TWK589675 UGG589675 UQC589675 UZY589675 VJU589675 VTQ589675 WDM589675 WNI589675 WXE589675 KS655211 UO655211 AEK655211 AOG655211 AYC655211 BHY655211 BRU655211 CBQ655211 CLM655211 CVI655211 DFE655211 DPA655211 DYW655211 EIS655211 ESO655211 FCK655211 FMG655211 FWC655211 GFY655211 GPU655211 GZQ655211 HJM655211 HTI655211 IDE655211 INA655211 IWW655211 JGS655211 JQO655211 KAK655211 KKG655211 KUC655211 LDY655211 LNU655211 LXQ655211 MHM655211 MRI655211 NBE655211 NLA655211 NUW655211 OES655211 OOO655211 OYK655211 PIG655211 PSC655211 QBY655211 QLU655211 QVQ655211 RFM655211 RPI655211 RZE655211 SJA655211 SSW655211 TCS655211 TMO655211 TWK655211 UGG655211 UQC655211 UZY655211 VJU655211 VTQ655211 WDM655211 WNI655211 WXE655211 KS720747 UO720747 AEK720747 AOG720747 AYC720747 BHY720747 BRU720747 CBQ720747 CLM720747 CVI720747 DFE720747 DPA720747 DYW720747 EIS720747 ESO720747 FCK720747 FMG720747 FWC720747 GFY720747 GPU720747 GZQ720747 HJM720747 HTI720747 IDE720747 INA720747 IWW720747 JGS720747 JQO720747 KAK720747 KKG720747 KUC720747 LDY720747 LNU720747 LXQ720747 MHM720747 MRI720747 NBE720747 NLA720747 NUW720747 OES720747 OOO720747 OYK720747 PIG720747 PSC720747 QBY720747 QLU720747 QVQ720747 RFM720747 RPI720747 RZE720747 SJA720747 SSW720747 TCS720747 TMO720747 TWK720747 UGG720747 UQC720747 UZY720747 VJU720747 VTQ720747 WDM720747 WNI720747 WXE720747 KS786283 UO786283 AEK786283 AOG786283 AYC786283 BHY786283 BRU786283 CBQ786283 CLM786283 CVI786283 DFE786283 DPA786283 DYW786283 EIS786283 ESO786283 FCK786283 FMG786283 FWC786283 GFY786283 GPU786283 GZQ786283 HJM786283 HTI786283 IDE786283 INA786283 IWW786283 JGS786283 JQO786283 KAK786283 KKG786283 KUC786283 LDY786283 LNU786283 LXQ786283 MHM786283 MRI786283 NBE786283 NLA786283 NUW786283 OES786283 OOO786283 OYK786283 PIG786283 PSC786283 QBY786283 QLU786283 QVQ786283 RFM786283 RPI786283 RZE786283 SJA786283 SSW786283 TCS786283 TMO786283 TWK786283 UGG786283 UQC786283 UZY786283 VJU786283 VTQ786283 WDM786283 WNI786283 WXE786283 KS851819 UO851819 AEK851819 AOG851819 AYC851819 BHY851819 BRU851819 CBQ851819 CLM851819 CVI851819 DFE851819 DPA851819 DYW851819 EIS851819 ESO851819 FCK851819 FMG851819 FWC851819 GFY851819 GPU851819 GZQ851819 HJM851819 HTI851819 IDE851819 INA851819 IWW851819 JGS851819 JQO851819 KAK851819 KKG851819 KUC851819 LDY851819 LNU851819 LXQ851819 MHM851819 MRI851819 NBE851819 NLA851819 NUW851819 OES851819 OOO851819 OYK851819 PIG851819 PSC851819 QBY851819 QLU851819 QVQ851819 RFM851819 RPI851819 RZE851819 SJA851819 SSW851819 TCS851819 TMO851819 TWK851819 UGG851819 UQC851819 UZY851819 VJU851819 VTQ851819 WDM851819 WNI851819 WXE851819 KS917355 UO917355 AEK917355 AOG917355 AYC917355 BHY917355 BRU917355 CBQ917355 CLM917355 CVI917355 DFE917355 DPA917355 DYW917355 EIS917355 ESO917355 FCK917355 FMG917355 FWC917355 GFY917355 GPU917355 GZQ917355 HJM917355 HTI917355 IDE917355 INA917355 IWW917355 JGS917355 JQO917355 KAK917355 KKG917355 KUC917355 LDY917355 LNU917355 LXQ917355 MHM917355 MRI917355 NBE917355 NLA917355 NUW917355 OES917355 OOO917355 OYK917355 PIG917355 PSC917355 QBY917355 QLU917355 QVQ917355 RFM917355 RPI917355 RZE917355 SJA917355 SSW917355 TCS917355 TMO917355 TWK917355 UGG917355 UQC917355 UZY917355 VJU917355 VTQ917355 WDM917355 WNI917355 WXE917355 KS982891 UO982891 AEK982891 AOG982891 AYC982891 BHY982891 BRU982891 CBQ982891 CLM982891 CVI982891 DFE982891 DPA982891 DYW982891 EIS982891 ESO982891 FCK982891 FMG982891 FWC982891 GFY982891 GPU982891 GZQ982891 HJM982891 HTI982891 IDE982891 INA982891 IWW982891 JGS982891 JQO982891 KAK982891 KKG982891 KUC982891 LDY982891 LNU982891 LXQ982891 MHM982891 MRI982891 NBE982891 NLA982891 NUW982891 OES982891 OOO982891 OYK982891 PIG982891 PSC982891 QBY982891 QLU982891 QVQ982891 RFM982891 RPI982891 RZE982891 SJA982891 SSW982891 TCS982891 TMO982891 TWK982891 UGG982891 UQC982891 UZY982891 VJU982891 VTQ982891 WDM982891 WNI982891 WXE982891 KS524073:KT524077 UO524073:UP524077 AEK524073:AEL524077 AOG524073:AOH524077 AYC524073:AYD524077 BHY524073:BHZ524077 BRU524073:BRV524077 CBQ524073:CBR524077 CLM524073:CLN524077 CVI524073:CVJ524077 DFE524073:DFF524077 DPA524073:DPB524077 DYW524073:DYX524077 EIS524073:EIT524077 ESO524073:ESP524077 FCK524073:FCL524077 FMG524073:FMH524077 FWC524073:FWD524077 GFY524073:GFZ524077 GPU524073:GPV524077 GZQ524073:GZR524077 HJM524073:HJN524077 HTI524073:HTJ524077 IDE524073:IDF524077 INA524073:INB524077 IWW524073:IWX524077 JGS524073:JGT524077 JQO524073:JQP524077 KAK524073:KAL524077 KKG524073:KKH524077 KUC524073:KUD524077 LDY524073:LDZ524077 LNU524073:LNV524077 LXQ524073:LXR524077 MHM524073:MHN524077 MRI524073:MRJ524077 NBE524073:NBF524077 NLA524073:NLB524077 NUW524073:NUX524077 OES524073:OET524077 OOO524073:OOP524077 OYK524073:OYL524077 PIG524073:PIH524077 PSC524073:PSD524077 QBY524073:QBZ524077 QLU524073:QLV524077 QVQ524073:QVR524077 RFM524073:RFN524077 RPI524073:RPJ524077 RZE524073:RZF524077 SJA524073:SJB524077 SSW524073:SSX524077 TCS524073:TCT524077 TMO524073:TMP524077 TWK524073:TWL524077 UGG524073:UGH524077 UQC524073:UQD524077 UZY524073:UZZ524077 VJU524073:VJV524077 VTQ524073:VTR524077 WDM524073:WDN524077 WNI524073:WNJ524077 WXE524073:WXF524077 KS65376:KT65381 UO65376:UP65381 AEK65376:AEL65381 AOG65376:AOH65381 AYC65376:AYD65381 BHY65376:BHZ65381 BRU65376:BRV65381 CBQ65376:CBR65381 CLM65376:CLN65381 CVI65376:CVJ65381 DFE65376:DFF65381 DPA65376:DPB65381 DYW65376:DYX65381 EIS65376:EIT65381 ESO65376:ESP65381 FCK65376:FCL65381 FMG65376:FMH65381 FWC65376:FWD65381 GFY65376:GFZ65381 GPU65376:GPV65381 GZQ65376:GZR65381 HJM65376:HJN65381 HTI65376:HTJ65381 IDE65376:IDF65381 INA65376:INB65381 IWW65376:IWX65381 JGS65376:JGT65381 JQO65376:JQP65381 KAK65376:KAL65381 KKG65376:KKH65381 KUC65376:KUD65381 LDY65376:LDZ65381 LNU65376:LNV65381 LXQ65376:LXR65381 MHM65376:MHN65381 MRI65376:MRJ65381 NBE65376:NBF65381 NLA65376:NLB65381 NUW65376:NUX65381 OES65376:OET65381 OOO65376:OOP65381 OYK65376:OYL65381 PIG65376:PIH65381 PSC65376:PSD65381 QBY65376:QBZ65381 QLU65376:QLV65381 QVQ65376:QVR65381 RFM65376:RFN65381 RPI65376:RPJ65381 RZE65376:RZF65381 SJA65376:SJB65381 SSW65376:SSX65381 TCS65376:TCT65381 TMO65376:TMP65381 TWK65376:TWL65381 UGG65376:UGH65381 UQC65376:UQD65381 UZY65376:UZZ65381 VJU65376:VJV65381 VTQ65376:VTR65381 WDM65376:WDN65381 WNI65376:WNJ65381 WXE65376:WXF65381 KS130912:KT130917 UO130912:UP130917 AEK130912:AEL130917 AOG130912:AOH130917 AYC130912:AYD130917 BHY130912:BHZ130917 BRU130912:BRV130917 CBQ130912:CBR130917 CLM130912:CLN130917 CVI130912:CVJ130917 DFE130912:DFF130917 DPA130912:DPB130917 DYW130912:DYX130917 EIS130912:EIT130917 ESO130912:ESP130917 FCK130912:FCL130917 FMG130912:FMH130917 FWC130912:FWD130917 GFY130912:GFZ130917 GPU130912:GPV130917 GZQ130912:GZR130917 HJM130912:HJN130917 HTI130912:HTJ130917 IDE130912:IDF130917 INA130912:INB130917 IWW130912:IWX130917 JGS130912:JGT130917 JQO130912:JQP130917 KAK130912:KAL130917 KKG130912:KKH130917 KUC130912:KUD130917 LDY130912:LDZ130917 LNU130912:LNV130917 LXQ130912:LXR130917 MHM130912:MHN130917 MRI130912:MRJ130917 NBE130912:NBF130917 NLA130912:NLB130917 NUW130912:NUX130917 OES130912:OET130917 OOO130912:OOP130917 OYK130912:OYL130917 PIG130912:PIH130917 PSC130912:PSD130917 QBY130912:QBZ130917 QLU130912:QLV130917 QVQ130912:QVR130917 RFM130912:RFN130917 RPI130912:RPJ130917 RZE130912:RZF130917 SJA130912:SJB130917 SSW130912:SSX130917 TCS130912:TCT130917 TMO130912:TMP130917 TWK130912:TWL130917 UGG130912:UGH130917 UQC130912:UQD130917 UZY130912:UZZ130917 VJU130912:VJV130917 VTQ130912:VTR130917 WDM130912:WDN130917 WNI130912:WNJ130917 WXE130912:WXF130917 KS196448:KT196453 UO196448:UP196453 AEK196448:AEL196453 AOG196448:AOH196453 AYC196448:AYD196453 BHY196448:BHZ196453 BRU196448:BRV196453 CBQ196448:CBR196453 CLM196448:CLN196453 CVI196448:CVJ196453 DFE196448:DFF196453 DPA196448:DPB196453 DYW196448:DYX196453 EIS196448:EIT196453 ESO196448:ESP196453 FCK196448:FCL196453 FMG196448:FMH196453 FWC196448:FWD196453 GFY196448:GFZ196453 GPU196448:GPV196453 GZQ196448:GZR196453 HJM196448:HJN196453 HTI196448:HTJ196453 IDE196448:IDF196453 INA196448:INB196453 IWW196448:IWX196453 JGS196448:JGT196453 JQO196448:JQP196453 KAK196448:KAL196453 KKG196448:KKH196453 KUC196448:KUD196453 LDY196448:LDZ196453 LNU196448:LNV196453 LXQ196448:LXR196453 MHM196448:MHN196453 MRI196448:MRJ196453 NBE196448:NBF196453 NLA196448:NLB196453 NUW196448:NUX196453 OES196448:OET196453 OOO196448:OOP196453 OYK196448:OYL196453 PIG196448:PIH196453 PSC196448:PSD196453 QBY196448:QBZ196453 QLU196448:QLV196453 QVQ196448:QVR196453 RFM196448:RFN196453 RPI196448:RPJ196453 RZE196448:RZF196453 SJA196448:SJB196453 SSW196448:SSX196453 TCS196448:TCT196453 TMO196448:TMP196453 TWK196448:TWL196453 UGG196448:UGH196453 UQC196448:UQD196453 UZY196448:UZZ196453 VJU196448:VJV196453 VTQ196448:VTR196453 WDM196448:WDN196453 WNI196448:WNJ196453 WXE196448:WXF196453 KS261984:KT261989 UO261984:UP261989 AEK261984:AEL261989 AOG261984:AOH261989 AYC261984:AYD261989 BHY261984:BHZ261989 BRU261984:BRV261989 CBQ261984:CBR261989 CLM261984:CLN261989 CVI261984:CVJ261989 DFE261984:DFF261989 DPA261984:DPB261989 DYW261984:DYX261989 EIS261984:EIT261989 ESO261984:ESP261989 FCK261984:FCL261989 FMG261984:FMH261989 FWC261984:FWD261989 GFY261984:GFZ261989 GPU261984:GPV261989 GZQ261984:GZR261989 HJM261984:HJN261989 HTI261984:HTJ261989 IDE261984:IDF261989 INA261984:INB261989 IWW261984:IWX261989 JGS261984:JGT261989 JQO261984:JQP261989 KAK261984:KAL261989 KKG261984:KKH261989 KUC261984:KUD261989 LDY261984:LDZ261989 LNU261984:LNV261989 LXQ261984:LXR261989 MHM261984:MHN261989 MRI261984:MRJ261989 NBE261984:NBF261989 NLA261984:NLB261989 NUW261984:NUX261989 OES261984:OET261989 OOO261984:OOP261989 OYK261984:OYL261989 PIG261984:PIH261989 PSC261984:PSD261989 QBY261984:QBZ261989 QLU261984:QLV261989 QVQ261984:QVR261989 RFM261984:RFN261989 RPI261984:RPJ261989 RZE261984:RZF261989 SJA261984:SJB261989 SSW261984:SSX261989 TCS261984:TCT261989 TMO261984:TMP261989 TWK261984:TWL261989 UGG261984:UGH261989 UQC261984:UQD261989 UZY261984:UZZ261989 VJU261984:VJV261989 VTQ261984:VTR261989 WDM261984:WDN261989 WNI261984:WNJ261989 WXE261984:WXF261989 KS327520:KT327525 UO327520:UP327525 AEK327520:AEL327525 AOG327520:AOH327525 AYC327520:AYD327525 BHY327520:BHZ327525 BRU327520:BRV327525 CBQ327520:CBR327525 CLM327520:CLN327525 CVI327520:CVJ327525 DFE327520:DFF327525 DPA327520:DPB327525 DYW327520:DYX327525 EIS327520:EIT327525 ESO327520:ESP327525 FCK327520:FCL327525 FMG327520:FMH327525 FWC327520:FWD327525 GFY327520:GFZ327525 GPU327520:GPV327525 GZQ327520:GZR327525 HJM327520:HJN327525 HTI327520:HTJ327525 IDE327520:IDF327525 INA327520:INB327525 IWW327520:IWX327525 JGS327520:JGT327525 JQO327520:JQP327525 KAK327520:KAL327525 KKG327520:KKH327525 KUC327520:KUD327525 LDY327520:LDZ327525 LNU327520:LNV327525 LXQ327520:LXR327525 MHM327520:MHN327525 MRI327520:MRJ327525 NBE327520:NBF327525 NLA327520:NLB327525 NUW327520:NUX327525 OES327520:OET327525 OOO327520:OOP327525 OYK327520:OYL327525 PIG327520:PIH327525 PSC327520:PSD327525 QBY327520:QBZ327525 QLU327520:QLV327525 QVQ327520:QVR327525 RFM327520:RFN327525 RPI327520:RPJ327525 RZE327520:RZF327525 SJA327520:SJB327525 SSW327520:SSX327525 TCS327520:TCT327525 TMO327520:TMP327525 TWK327520:TWL327525 UGG327520:UGH327525 UQC327520:UQD327525 UZY327520:UZZ327525 VJU327520:VJV327525 VTQ327520:VTR327525 WDM327520:WDN327525 WNI327520:WNJ327525 WXE327520:WXF327525 KS393056:KT393061 UO393056:UP393061 AEK393056:AEL393061 AOG393056:AOH393061 AYC393056:AYD393061 BHY393056:BHZ393061 BRU393056:BRV393061 CBQ393056:CBR393061 CLM393056:CLN393061 CVI393056:CVJ393061 DFE393056:DFF393061 DPA393056:DPB393061 DYW393056:DYX393061 EIS393056:EIT393061 ESO393056:ESP393061 FCK393056:FCL393061 FMG393056:FMH393061 FWC393056:FWD393061 GFY393056:GFZ393061 GPU393056:GPV393061 GZQ393056:GZR393061 HJM393056:HJN393061 HTI393056:HTJ393061 IDE393056:IDF393061 INA393056:INB393061 IWW393056:IWX393061 JGS393056:JGT393061 JQO393056:JQP393061 KAK393056:KAL393061 KKG393056:KKH393061 KUC393056:KUD393061 LDY393056:LDZ393061 LNU393056:LNV393061 LXQ393056:LXR393061 MHM393056:MHN393061 MRI393056:MRJ393061 NBE393056:NBF393061 NLA393056:NLB393061 NUW393056:NUX393061 OES393056:OET393061 OOO393056:OOP393061 OYK393056:OYL393061 PIG393056:PIH393061 PSC393056:PSD393061 QBY393056:QBZ393061 QLU393056:QLV393061 QVQ393056:QVR393061 RFM393056:RFN393061 RPI393056:RPJ393061 RZE393056:RZF393061 SJA393056:SJB393061 SSW393056:SSX393061 TCS393056:TCT393061 TMO393056:TMP393061 TWK393056:TWL393061 UGG393056:UGH393061 UQC393056:UQD393061 UZY393056:UZZ393061 VJU393056:VJV393061 VTQ393056:VTR393061 WDM393056:WDN393061 WNI393056:WNJ393061 WXE393056:WXF393061 KS458592:KT458597 UO458592:UP458597 AEK458592:AEL458597 AOG458592:AOH458597 AYC458592:AYD458597 BHY458592:BHZ458597 BRU458592:BRV458597 CBQ458592:CBR458597 CLM458592:CLN458597 CVI458592:CVJ458597 DFE458592:DFF458597 DPA458592:DPB458597 DYW458592:DYX458597 EIS458592:EIT458597 ESO458592:ESP458597 FCK458592:FCL458597 FMG458592:FMH458597 FWC458592:FWD458597 GFY458592:GFZ458597 GPU458592:GPV458597 GZQ458592:GZR458597 HJM458592:HJN458597 HTI458592:HTJ458597 IDE458592:IDF458597 INA458592:INB458597 IWW458592:IWX458597 JGS458592:JGT458597 JQO458592:JQP458597 KAK458592:KAL458597 KKG458592:KKH458597 KUC458592:KUD458597 LDY458592:LDZ458597 LNU458592:LNV458597 LXQ458592:LXR458597 MHM458592:MHN458597 MRI458592:MRJ458597 NBE458592:NBF458597 NLA458592:NLB458597 NUW458592:NUX458597 OES458592:OET458597 OOO458592:OOP458597 OYK458592:OYL458597 PIG458592:PIH458597 PSC458592:PSD458597 QBY458592:QBZ458597 QLU458592:QLV458597 QVQ458592:QVR458597 RFM458592:RFN458597 RPI458592:RPJ458597 RZE458592:RZF458597 SJA458592:SJB458597 SSW458592:SSX458597 TCS458592:TCT458597 TMO458592:TMP458597 TWK458592:TWL458597 UGG458592:UGH458597 UQC458592:UQD458597 UZY458592:UZZ458597 VJU458592:VJV458597 VTQ458592:VTR458597 WDM458592:WDN458597 WNI458592:WNJ458597 WXE458592:WXF458597 KS524128:KT524133 UO524128:UP524133 AEK524128:AEL524133 AOG524128:AOH524133 AYC524128:AYD524133 BHY524128:BHZ524133 BRU524128:BRV524133 CBQ524128:CBR524133 CLM524128:CLN524133 CVI524128:CVJ524133 DFE524128:DFF524133 DPA524128:DPB524133 DYW524128:DYX524133 EIS524128:EIT524133 ESO524128:ESP524133 FCK524128:FCL524133 FMG524128:FMH524133 FWC524128:FWD524133 GFY524128:GFZ524133 GPU524128:GPV524133 GZQ524128:GZR524133 HJM524128:HJN524133 HTI524128:HTJ524133 IDE524128:IDF524133 INA524128:INB524133 IWW524128:IWX524133 JGS524128:JGT524133 JQO524128:JQP524133 KAK524128:KAL524133 KKG524128:KKH524133 KUC524128:KUD524133 LDY524128:LDZ524133 LNU524128:LNV524133 LXQ524128:LXR524133 MHM524128:MHN524133 MRI524128:MRJ524133 NBE524128:NBF524133 NLA524128:NLB524133 NUW524128:NUX524133 OES524128:OET524133 OOO524128:OOP524133 OYK524128:OYL524133 PIG524128:PIH524133 PSC524128:PSD524133 QBY524128:QBZ524133 QLU524128:QLV524133 QVQ524128:QVR524133 RFM524128:RFN524133 RPI524128:RPJ524133 RZE524128:RZF524133 SJA524128:SJB524133 SSW524128:SSX524133 TCS524128:TCT524133 TMO524128:TMP524133 TWK524128:TWL524133 UGG524128:UGH524133 UQC524128:UQD524133 UZY524128:UZZ524133 VJU524128:VJV524133 VTQ524128:VTR524133 WDM524128:WDN524133 WNI524128:WNJ524133 WXE524128:WXF524133 KS589664:KT589669 UO589664:UP589669 AEK589664:AEL589669 AOG589664:AOH589669 AYC589664:AYD589669 BHY589664:BHZ589669 BRU589664:BRV589669 CBQ589664:CBR589669 CLM589664:CLN589669 CVI589664:CVJ589669 DFE589664:DFF589669 DPA589664:DPB589669 DYW589664:DYX589669 EIS589664:EIT589669 ESO589664:ESP589669 FCK589664:FCL589669 FMG589664:FMH589669 FWC589664:FWD589669 GFY589664:GFZ589669 GPU589664:GPV589669 GZQ589664:GZR589669 HJM589664:HJN589669 HTI589664:HTJ589669 IDE589664:IDF589669 INA589664:INB589669 IWW589664:IWX589669 JGS589664:JGT589669 JQO589664:JQP589669 KAK589664:KAL589669 KKG589664:KKH589669 KUC589664:KUD589669 LDY589664:LDZ589669 LNU589664:LNV589669 LXQ589664:LXR589669 MHM589664:MHN589669 MRI589664:MRJ589669 NBE589664:NBF589669 NLA589664:NLB589669 NUW589664:NUX589669 OES589664:OET589669 OOO589664:OOP589669 OYK589664:OYL589669 PIG589664:PIH589669 PSC589664:PSD589669 QBY589664:QBZ589669 QLU589664:QLV589669 QVQ589664:QVR589669 RFM589664:RFN589669 RPI589664:RPJ589669 RZE589664:RZF589669 SJA589664:SJB589669 SSW589664:SSX589669 TCS589664:TCT589669 TMO589664:TMP589669 TWK589664:TWL589669 UGG589664:UGH589669 UQC589664:UQD589669 UZY589664:UZZ589669 VJU589664:VJV589669 VTQ589664:VTR589669 WDM589664:WDN589669 WNI589664:WNJ589669 WXE589664:WXF589669 KS655200:KT655205 UO655200:UP655205 AEK655200:AEL655205 AOG655200:AOH655205 AYC655200:AYD655205 BHY655200:BHZ655205 BRU655200:BRV655205 CBQ655200:CBR655205 CLM655200:CLN655205 CVI655200:CVJ655205 DFE655200:DFF655205 DPA655200:DPB655205 DYW655200:DYX655205 EIS655200:EIT655205 ESO655200:ESP655205 FCK655200:FCL655205 FMG655200:FMH655205 FWC655200:FWD655205 GFY655200:GFZ655205 GPU655200:GPV655205 GZQ655200:GZR655205 HJM655200:HJN655205 HTI655200:HTJ655205 IDE655200:IDF655205 INA655200:INB655205 IWW655200:IWX655205 JGS655200:JGT655205 JQO655200:JQP655205 KAK655200:KAL655205 KKG655200:KKH655205 KUC655200:KUD655205 LDY655200:LDZ655205 LNU655200:LNV655205 LXQ655200:LXR655205 MHM655200:MHN655205 MRI655200:MRJ655205 NBE655200:NBF655205 NLA655200:NLB655205 NUW655200:NUX655205 OES655200:OET655205 OOO655200:OOP655205 OYK655200:OYL655205 PIG655200:PIH655205 PSC655200:PSD655205 QBY655200:QBZ655205 QLU655200:QLV655205 QVQ655200:QVR655205 RFM655200:RFN655205 RPI655200:RPJ655205 RZE655200:RZF655205 SJA655200:SJB655205 SSW655200:SSX655205 TCS655200:TCT655205 TMO655200:TMP655205 TWK655200:TWL655205 UGG655200:UGH655205 UQC655200:UQD655205 UZY655200:UZZ655205 VJU655200:VJV655205 VTQ655200:VTR655205 WDM655200:WDN655205 WNI655200:WNJ655205 WXE655200:WXF655205 KS720736:KT720741 UO720736:UP720741 AEK720736:AEL720741 AOG720736:AOH720741 AYC720736:AYD720741 BHY720736:BHZ720741 BRU720736:BRV720741 CBQ720736:CBR720741 CLM720736:CLN720741 CVI720736:CVJ720741 DFE720736:DFF720741 DPA720736:DPB720741 DYW720736:DYX720741 EIS720736:EIT720741 ESO720736:ESP720741 FCK720736:FCL720741 FMG720736:FMH720741 FWC720736:FWD720741 GFY720736:GFZ720741 GPU720736:GPV720741 GZQ720736:GZR720741 HJM720736:HJN720741 HTI720736:HTJ720741 IDE720736:IDF720741 INA720736:INB720741 IWW720736:IWX720741 JGS720736:JGT720741 JQO720736:JQP720741 KAK720736:KAL720741 KKG720736:KKH720741 KUC720736:KUD720741 LDY720736:LDZ720741 LNU720736:LNV720741 LXQ720736:LXR720741 MHM720736:MHN720741 MRI720736:MRJ720741 NBE720736:NBF720741 NLA720736:NLB720741 NUW720736:NUX720741 OES720736:OET720741 OOO720736:OOP720741 OYK720736:OYL720741 PIG720736:PIH720741 PSC720736:PSD720741 QBY720736:QBZ720741 QLU720736:QLV720741 QVQ720736:QVR720741 RFM720736:RFN720741 RPI720736:RPJ720741 RZE720736:RZF720741 SJA720736:SJB720741 SSW720736:SSX720741 TCS720736:TCT720741 TMO720736:TMP720741 TWK720736:TWL720741 UGG720736:UGH720741 UQC720736:UQD720741 UZY720736:UZZ720741 VJU720736:VJV720741 VTQ720736:VTR720741 WDM720736:WDN720741 WNI720736:WNJ720741 WXE720736:WXF720741 KS786272:KT786277 UO786272:UP786277 AEK786272:AEL786277 AOG786272:AOH786277 AYC786272:AYD786277 BHY786272:BHZ786277 BRU786272:BRV786277 CBQ786272:CBR786277 CLM786272:CLN786277 CVI786272:CVJ786277 DFE786272:DFF786277 DPA786272:DPB786277 DYW786272:DYX786277 EIS786272:EIT786277 ESO786272:ESP786277 FCK786272:FCL786277 FMG786272:FMH786277 FWC786272:FWD786277 GFY786272:GFZ786277 GPU786272:GPV786277 GZQ786272:GZR786277 HJM786272:HJN786277 HTI786272:HTJ786277 IDE786272:IDF786277 INA786272:INB786277 IWW786272:IWX786277 JGS786272:JGT786277 JQO786272:JQP786277 KAK786272:KAL786277 KKG786272:KKH786277 KUC786272:KUD786277 LDY786272:LDZ786277 LNU786272:LNV786277 LXQ786272:LXR786277 MHM786272:MHN786277 MRI786272:MRJ786277 NBE786272:NBF786277 NLA786272:NLB786277 NUW786272:NUX786277 OES786272:OET786277 OOO786272:OOP786277 OYK786272:OYL786277 PIG786272:PIH786277 PSC786272:PSD786277 QBY786272:QBZ786277 QLU786272:QLV786277 QVQ786272:QVR786277 RFM786272:RFN786277 RPI786272:RPJ786277 RZE786272:RZF786277 SJA786272:SJB786277 SSW786272:SSX786277 TCS786272:TCT786277 TMO786272:TMP786277 TWK786272:TWL786277 UGG786272:UGH786277 UQC786272:UQD786277 UZY786272:UZZ786277 VJU786272:VJV786277 VTQ786272:VTR786277 WDM786272:WDN786277 WNI786272:WNJ786277 WXE786272:WXF786277 KS851808:KT851813 UO851808:UP851813 AEK851808:AEL851813 AOG851808:AOH851813 AYC851808:AYD851813 BHY851808:BHZ851813 BRU851808:BRV851813 CBQ851808:CBR851813 CLM851808:CLN851813 CVI851808:CVJ851813 DFE851808:DFF851813 DPA851808:DPB851813 DYW851808:DYX851813 EIS851808:EIT851813 ESO851808:ESP851813 FCK851808:FCL851813 FMG851808:FMH851813 FWC851808:FWD851813 GFY851808:GFZ851813 GPU851808:GPV851813 GZQ851808:GZR851813 HJM851808:HJN851813 HTI851808:HTJ851813 IDE851808:IDF851813 INA851808:INB851813 IWW851808:IWX851813 JGS851808:JGT851813 JQO851808:JQP851813 KAK851808:KAL851813 KKG851808:KKH851813 KUC851808:KUD851813 LDY851808:LDZ851813 LNU851808:LNV851813 LXQ851808:LXR851813 MHM851808:MHN851813 MRI851808:MRJ851813 NBE851808:NBF851813 NLA851808:NLB851813 NUW851808:NUX851813 OES851808:OET851813 OOO851808:OOP851813 OYK851808:OYL851813 PIG851808:PIH851813 PSC851808:PSD851813 QBY851808:QBZ851813 QLU851808:QLV851813 QVQ851808:QVR851813 RFM851808:RFN851813 RPI851808:RPJ851813 RZE851808:RZF851813 SJA851808:SJB851813 SSW851808:SSX851813 TCS851808:TCT851813 TMO851808:TMP851813 TWK851808:TWL851813 UGG851808:UGH851813 UQC851808:UQD851813 UZY851808:UZZ851813 VJU851808:VJV851813 VTQ851808:VTR851813 WDM851808:WDN851813 WNI851808:WNJ851813 WXE851808:WXF851813 KS917344:KT917349 UO917344:UP917349 AEK917344:AEL917349 AOG917344:AOH917349 AYC917344:AYD917349 BHY917344:BHZ917349 BRU917344:BRV917349 CBQ917344:CBR917349 CLM917344:CLN917349 CVI917344:CVJ917349 DFE917344:DFF917349 DPA917344:DPB917349 DYW917344:DYX917349 EIS917344:EIT917349 ESO917344:ESP917349 FCK917344:FCL917349 FMG917344:FMH917349 FWC917344:FWD917349 GFY917344:GFZ917349 GPU917344:GPV917349 GZQ917344:GZR917349 HJM917344:HJN917349 HTI917344:HTJ917349 IDE917344:IDF917349 INA917344:INB917349 IWW917344:IWX917349 JGS917344:JGT917349 JQO917344:JQP917349 KAK917344:KAL917349 KKG917344:KKH917349 KUC917344:KUD917349 LDY917344:LDZ917349 LNU917344:LNV917349 LXQ917344:LXR917349 MHM917344:MHN917349 MRI917344:MRJ917349 NBE917344:NBF917349 NLA917344:NLB917349 NUW917344:NUX917349 OES917344:OET917349 OOO917344:OOP917349 OYK917344:OYL917349 PIG917344:PIH917349 PSC917344:PSD917349 QBY917344:QBZ917349 QLU917344:QLV917349 QVQ917344:QVR917349 RFM917344:RFN917349 RPI917344:RPJ917349 RZE917344:RZF917349 SJA917344:SJB917349 SSW917344:SSX917349 TCS917344:TCT917349 TMO917344:TMP917349 TWK917344:TWL917349 UGG917344:UGH917349 UQC917344:UQD917349 UZY917344:UZZ917349 VJU917344:VJV917349 VTQ917344:VTR917349 WDM917344:WDN917349 WNI917344:WNJ917349 WXE917344:WXF917349 KS982880:KT982885 UO982880:UP982885 AEK982880:AEL982885 AOG982880:AOH982885 AYC982880:AYD982885 BHY982880:BHZ982885 BRU982880:BRV982885 CBQ982880:CBR982885 CLM982880:CLN982885 CVI982880:CVJ982885 DFE982880:DFF982885 DPA982880:DPB982885 DYW982880:DYX982885 EIS982880:EIT982885 ESO982880:ESP982885 FCK982880:FCL982885 FMG982880:FMH982885 FWC982880:FWD982885 GFY982880:GFZ982885 GPU982880:GPV982885 GZQ982880:GZR982885 HJM982880:HJN982885 HTI982880:HTJ982885 IDE982880:IDF982885 INA982880:INB982885 IWW982880:IWX982885 JGS982880:JGT982885 JQO982880:JQP982885 KAK982880:KAL982885 KKG982880:KKH982885 KUC982880:KUD982885 LDY982880:LDZ982885 LNU982880:LNV982885 LXQ982880:LXR982885 MHM982880:MHN982885 MRI982880:MRJ982885 NBE982880:NBF982885 NLA982880:NLB982885 NUW982880:NUX982885 OES982880:OET982885 OOO982880:OOP982885 OYK982880:OYL982885 PIG982880:PIH982885 PSC982880:PSD982885 QBY982880:QBZ982885 QLU982880:QLV982885 QVQ982880:QVR982885 RFM982880:RFN982885 RPI982880:RPJ982885 RZE982880:RZF982885 SJA982880:SJB982885 SSW982880:SSX982885 TCS982880:TCT982885 TMO982880:TMP982885 TWK982880:TWL982885 UGG982880:UGH982885 UQC982880:UQD982885 UZY982880:UZZ982885 VJU982880:VJV982885 VTQ982880:VTR982885 WDM982880:WDN982885 WNI982880:WNJ982885 WXE982880:WXF982885 KS589609:KT589613 UO589609:UP589613 AEK589609:AEL589613 AOG589609:AOH589613 AYC589609:AYD589613 BHY589609:BHZ589613 BRU589609:BRV589613 CBQ589609:CBR589613 CLM589609:CLN589613 CVI589609:CVJ589613 DFE589609:DFF589613 DPA589609:DPB589613 DYW589609:DYX589613 EIS589609:EIT589613 ESO589609:ESP589613 FCK589609:FCL589613 FMG589609:FMH589613 FWC589609:FWD589613 GFY589609:GFZ589613 GPU589609:GPV589613 GZQ589609:GZR589613 HJM589609:HJN589613 HTI589609:HTJ589613 IDE589609:IDF589613 INA589609:INB589613 IWW589609:IWX589613 JGS589609:JGT589613 JQO589609:JQP589613 KAK589609:KAL589613 KKG589609:KKH589613 KUC589609:KUD589613 LDY589609:LDZ589613 LNU589609:LNV589613 LXQ589609:LXR589613 MHM589609:MHN589613 MRI589609:MRJ589613 NBE589609:NBF589613 NLA589609:NLB589613 NUW589609:NUX589613 OES589609:OET589613 OOO589609:OOP589613 OYK589609:OYL589613 PIG589609:PIH589613 PSC589609:PSD589613 QBY589609:QBZ589613 QLU589609:QLV589613 QVQ589609:QVR589613 RFM589609:RFN589613 RPI589609:RPJ589613 RZE589609:RZF589613 SJA589609:SJB589613 SSW589609:SSX589613 TCS589609:TCT589613 TMO589609:TMP589613 TWK589609:TWL589613 UGG589609:UGH589613 UQC589609:UQD589613 UZY589609:UZZ589613 VJU589609:VJV589613 VTQ589609:VTR589613 WDM589609:WDN589613 WNI589609:WNJ589613 WXE589609:WXF589613 KS65364:KT65374 UO65364:UP65374 AEK65364:AEL65374 AOG65364:AOH65374 AYC65364:AYD65374 BHY65364:BHZ65374 BRU65364:BRV65374 CBQ65364:CBR65374 CLM65364:CLN65374 CVI65364:CVJ65374 DFE65364:DFF65374 DPA65364:DPB65374 DYW65364:DYX65374 EIS65364:EIT65374 ESO65364:ESP65374 FCK65364:FCL65374 FMG65364:FMH65374 FWC65364:FWD65374 GFY65364:GFZ65374 GPU65364:GPV65374 GZQ65364:GZR65374 HJM65364:HJN65374 HTI65364:HTJ65374 IDE65364:IDF65374 INA65364:INB65374 IWW65364:IWX65374 JGS65364:JGT65374 JQO65364:JQP65374 KAK65364:KAL65374 KKG65364:KKH65374 KUC65364:KUD65374 LDY65364:LDZ65374 LNU65364:LNV65374 LXQ65364:LXR65374 MHM65364:MHN65374 MRI65364:MRJ65374 NBE65364:NBF65374 NLA65364:NLB65374 NUW65364:NUX65374 OES65364:OET65374 OOO65364:OOP65374 OYK65364:OYL65374 PIG65364:PIH65374 PSC65364:PSD65374 QBY65364:QBZ65374 QLU65364:QLV65374 QVQ65364:QVR65374 RFM65364:RFN65374 RPI65364:RPJ65374 RZE65364:RZF65374 SJA65364:SJB65374 SSW65364:SSX65374 TCS65364:TCT65374 TMO65364:TMP65374 TWK65364:TWL65374 UGG65364:UGH65374 UQC65364:UQD65374 UZY65364:UZZ65374 VJU65364:VJV65374 VTQ65364:VTR65374 WDM65364:WDN65374 WNI65364:WNJ65374 WXE65364:WXF65374 KS130900:KT130910 UO130900:UP130910 AEK130900:AEL130910 AOG130900:AOH130910 AYC130900:AYD130910 BHY130900:BHZ130910 BRU130900:BRV130910 CBQ130900:CBR130910 CLM130900:CLN130910 CVI130900:CVJ130910 DFE130900:DFF130910 DPA130900:DPB130910 DYW130900:DYX130910 EIS130900:EIT130910 ESO130900:ESP130910 FCK130900:FCL130910 FMG130900:FMH130910 FWC130900:FWD130910 GFY130900:GFZ130910 GPU130900:GPV130910 GZQ130900:GZR130910 HJM130900:HJN130910 HTI130900:HTJ130910 IDE130900:IDF130910 INA130900:INB130910 IWW130900:IWX130910 JGS130900:JGT130910 JQO130900:JQP130910 KAK130900:KAL130910 KKG130900:KKH130910 KUC130900:KUD130910 LDY130900:LDZ130910 LNU130900:LNV130910 LXQ130900:LXR130910 MHM130900:MHN130910 MRI130900:MRJ130910 NBE130900:NBF130910 NLA130900:NLB130910 NUW130900:NUX130910 OES130900:OET130910 OOO130900:OOP130910 OYK130900:OYL130910 PIG130900:PIH130910 PSC130900:PSD130910 QBY130900:QBZ130910 QLU130900:QLV130910 QVQ130900:QVR130910 RFM130900:RFN130910 RPI130900:RPJ130910 RZE130900:RZF130910 SJA130900:SJB130910 SSW130900:SSX130910 TCS130900:TCT130910 TMO130900:TMP130910 TWK130900:TWL130910 UGG130900:UGH130910 UQC130900:UQD130910 UZY130900:UZZ130910 VJU130900:VJV130910 VTQ130900:VTR130910 WDM130900:WDN130910 WNI130900:WNJ130910 WXE130900:WXF130910 KS196436:KT196446 UO196436:UP196446 AEK196436:AEL196446 AOG196436:AOH196446 AYC196436:AYD196446 BHY196436:BHZ196446 BRU196436:BRV196446 CBQ196436:CBR196446 CLM196436:CLN196446 CVI196436:CVJ196446 DFE196436:DFF196446 DPA196436:DPB196446 DYW196436:DYX196446 EIS196436:EIT196446 ESO196436:ESP196446 FCK196436:FCL196446 FMG196436:FMH196446 FWC196436:FWD196446 GFY196436:GFZ196446 GPU196436:GPV196446 GZQ196436:GZR196446 HJM196436:HJN196446 HTI196436:HTJ196446 IDE196436:IDF196446 INA196436:INB196446 IWW196436:IWX196446 JGS196436:JGT196446 JQO196436:JQP196446 KAK196436:KAL196446 KKG196436:KKH196446 KUC196436:KUD196446 LDY196436:LDZ196446 LNU196436:LNV196446 LXQ196436:LXR196446 MHM196436:MHN196446 MRI196436:MRJ196446 NBE196436:NBF196446 NLA196436:NLB196446 NUW196436:NUX196446 OES196436:OET196446 OOO196436:OOP196446 OYK196436:OYL196446 PIG196436:PIH196446 PSC196436:PSD196446 QBY196436:QBZ196446 QLU196436:QLV196446 QVQ196436:QVR196446 RFM196436:RFN196446 RPI196436:RPJ196446 RZE196436:RZF196446 SJA196436:SJB196446 SSW196436:SSX196446 TCS196436:TCT196446 TMO196436:TMP196446 TWK196436:TWL196446 UGG196436:UGH196446 UQC196436:UQD196446 UZY196436:UZZ196446 VJU196436:VJV196446 VTQ196436:VTR196446 WDM196436:WDN196446 WNI196436:WNJ196446 WXE196436:WXF196446 KS261972:KT261982 UO261972:UP261982 AEK261972:AEL261982 AOG261972:AOH261982 AYC261972:AYD261982 BHY261972:BHZ261982 BRU261972:BRV261982 CBQ261972:CBR261982 CLM261972:CLN261982 CVI261972:CVJ261982 DFE261972:DFF261982 DPA261972:DPB261982 DYW261972:DYX261982 EIS261972:EIT261982 ESO261972:ESP261982 FCK261972:FCL261982 FMG261972:FMH261982 FWC261972:FWD261982 GFY261972:GFZ261982 GPU261972:GPV261982 GZQ261972:GZR261982 HJM261972:HJN261982 HTI261972:HTJ261982 IDE261972:IDF261982 INA261972:INB261982 IWW261972:IWX261982 JGS261972:JGT261982 JQO261972:JQP261982 KAK261972:KAL261982 KKG261972:KKH261982 KUC261972:KUD261982 LDY261972:LDZ261982 LNU261972:LNV261982 LXQ261972:LXR261982 MHM261972:MHN261982 MRI261972:MRJ261982 NBE261972:NBF261982 NLA261972:NLB261982 NUW261972:NUX261982 OES261972:OET261982 OOO261972:OOP261982 OYK261972:OYL261982 PIG261972:PIH261982 PSC261972:PSD261982 QBY261972:QBZ261982 QLU261972:QLV261982 QVQ261972:QVR261982 RFM261972:RFN261982 RPI261972:RPJ261982 RZE261972:RZF261982 SJA261972:SJB261982 SSW261972:SSX261982 TCS261972:TCT261982 TMO261972:TMP261982 TWK261972:TWL261982 UGG261972:UGH261982 UQC261972:UQD261982 UZY261972:UZZ261982 VJU261972:VJV261982 VTQ261972:VTR261982 WDM261972:WDN261982 WNI261972:WNJ261982 WXE261972:WXF261982 KS327508:KT327518 UO327508:UP327518 AEK327508:AEL327518 AOG327508:AOH327518 AYC327508:AYD327518 BHY327508:BHZ327518 BRU327508:BRV327518 CBQ327508:CBR327518 CLM327508:CLN327518 CVI327508:CVJ327518 DFE327508:DFF327518 DPA327508:DPB327518 DYW327508:DYX327518 EIS327508:EIT327518 ESO327508:ESP327518 FCK327508:FCL327518 FMG327508:FMH327518 FWC327508:FWD327518 GFY327508:GFZ327518 GPU327508:GPV327518 GZQ327508:GZR327518 HJM327508:HJN327518 HTI327508:HTJ327518 IDE327508:IDF327518 INA327508:INB327518 IWW327508:IWX327518 JGS327508:JGT327518 JQO327508:JQP327518 KAK327508:KAL327518 KKG327508:KKH327518 KUC327508:KUD327518 LDY327508:LDZ327518 LNU327508:LNV327518 LXQ327508:LXR327518 MHM327508:MHN327518 MRI327508:MRJ327518 NBE327508:NBF327518 NLA327508:NLB327518 NUW327508:NUX327518 OES327508:OET327518 OOO327508:OOP327518 OYK327508:OYL327518 PIG327508:PIH327518 PSC327508:PSD327518 QBY327508:QBZ327518 QLU327508:QLV327518 QVQ327508:QVR327518 RFM327508:RFN327518 RPI327508:RPJ327518 RZE327508:RZF327518 SJA327508:SJB327518 SSW327508:SSX327518 TCS327508:TCT327518 TMO327508:TMP327518 TWK327508:TWL327518 UGG327508:UGH327518 UQC327508:UQD327518 UZY327508:UZZ327518 VJU327508:VJV327518 VTQ327508:VTR327518 WDM327508:WDN327518 WNI327508:WNJ327518 WXE327508:WXF327518 KS393044:KT393054 UO393044:UP393054 AEK393044:AEL393054 AOG393044:AOH393054 AYC393044:AYD393054 BHY393044:BHZ393054 BRU393044:BRV393054 CBQ393044:CBR393054 CLM393044:CLN393054 CVI393044:CVJ393054 DFE393044:DFF393054 DPA393044:DPB393054 DYW393044:DYX393054 EIS393044:EIT393054 ESO393044:ESP393054 FCK393044:FCL393054 FMG393044:FMH393054 FWC393044:FWD393054 GFY393044:GFZ393054 GPU393044:GPV393054 GZQ393044:GZR393054 HJM393044:HJN393054 HTI393044:HTJ393054 IDE393044:IDF393054 INA393044:INB393054 IWW393044:IWX393054 JGS393044:JGT393054 JQO393044:JQP393054 KAK393044:KAL393054 KKG393044:KKH393054 KUC393044:KUD393054 LDY393044:LDZ393054 LNU393044:LNV393054 LXQ393044:LXR393054 MHM393044:MHN393054 MRI393044:MRJ393054 NBE393044:NBF393054 NLA393044:NLB393054 NUW393044:NUX393054 OES393044:OET393054 OOO393044:OOP393054 OYK393044:OYL393054 PIG393044:PIH393054 PSC393044:PSD393054 QBY393044:QBZ393054 QLU393044:QLV393054 QVQ393044:QVR393054 RFM393044:RFN393054 RPI393044:RPJ393054 RZE393044:RZF393054 SJA393044:SJB393054 SSW393044:SSX393054 TCS393044:TCT393054 TMO393044:TMP393054 TWK393044:TWL393054 UGG393044:UGH393054 UQC393044:UQD393054 UZY393044:UZZ393054 VJU393044:VJV393054 VTQ393044:VTR393054 WDM393044:WDN393054 WNI393044:WNJ393054 WXE393044:WXF393054 KS458580:KT458590 UO458580:UP458590 AEK458580:AEL458590 AOG458580:AOH458590 AYC458580:AYD458590 BHY458580:BHZ458590 BRU458580:BRV458590 CBQ458580:CBR458590 CLM458580:CLN458590 CVI458580:CVJ458590 DFE458580:DFF458590 DPA458580:DPB458590 DYW458580:DYX458590 EIS458580:EIT458590 ESO458580:ESP458590 FCK458580:FCL458590 FMG458580:FMH458590 FWC458580:FWD458590 GFY458580:GFZ458590 GPU458580:GPV458590 GZQ458580:GZR458590 HJM458580:HJN458590 HTI458580:HTJ458590 IDE458580:IDF458590 INA458580:INB458590 IWW458580:IWX458590 JGS458580:JGT458590 JQO458580:JQP458590 KAK458580:KAL458590 KKG458580:KKH458590 KUC458580:KUD458590 LDY458580:LDZ458590 LNU458580:LNV458590 LXQ458580:LXR458590 MHM458580:MHN458590 MRI458580:MRJ458590 NBE458580:NBF458590 NLA458580:NLB458590 NUW458580:NUX458590 OES458580:OET458590 OOO458580:OOP458590 OYK458580:OYL458590 PIG458580:PIH458590 PSC458580:PSD458590 QBY458580:QBZ458590 QLU458580:QLV458590 QVQ458580:QVR458590 RFM458580:RFN458590 RPI458580:RPJ458590 RZE458580:RZF458590 SJA458580:SJB458590 SSW458580:SSX458590 TCS458580:TCT458590 TMO458580:TMP458590 TWK458580:TWL458590 UGG458580:UGH458590 UQC458580:UQD458590 UZY458580:UZZ458590 VJU458580:VJV458590 VTQ458580:VTR458590 WDM458580:WDN458590 WNI458580:WNJ458590 WXE458580:WXF458590 KS524116:KT524126 UO524116:UP524126 AEK524116:AEL524126 AOG524116:AOH524126 AYC524116:AYD524126 BHY524116:BHZ524126 BRU524116:BRV524126 CBQ524116:CBR524126 CLM524116:CLN524126 CVI524116:CVJ524126 DFE524116:DFF524126 DPA524116:DPB524126 DYW524116:DYX524126 EIS524116:EIT524126 ESO524116:ESP524126 FCK524116:FCL524126 FMG524116:FMH524126 FWC524116:FWD524126 GFY524116:GFZ524126 GPU524116:GPV524126 GZQ524116:GZR524126 HJM524116:HJN524126 HTI524116:HTJ524126 IDE524116:IDF524126 INA524116:INB524126 IWW524116:IWX524126 JGS524116:JGT524126 JQO524116:JQP524126 KAK524116:KAL524126 KKG524116:KKH524126 KUC524116:KUD524126 LDY524116:LDZ524126 LNU524116:LNV524126 LXQ524116:LXR524126 MHM524116:MHN524126 MRI524116:MRJ524126 NBE524116:NBF524126 NLA524116:NLB524126 NUW524116:NUX524126 OES524116:OET524126 OOO524116:OOP524126 OYK524116:OYL524126 PIG524116:PIH524126 PSC524116:PSD524126 QBY524116:QBZ524126 QLU524116:QLV524126 QVQ524116:QVR524126 RFM524116:RFN524126 RPI524116:RPJ524126 RZE524116:RZF524126 SJA524116:SJB524126 SSW524116:SSX524126 TCS524116:TCT524126 TMO524116:TMP524126 TWK524116:TWL524126 UGG524116:UGH524126 UQC524116:UQD524126 UZY524116:UZZ524126 VJU524116:VJV524126 VTQ524116:VTR524126 WDM524116:WDN524126 WNI524116:WNJ524126 WXE524116:WXF524126 KS589652:KT589662 UO589652:UP589662 AEK589652:AEL589662 AOG589652:AOH589662 AYC589652:AYD589662 BHY589652:BHZ589662 BRU589652:BRV589662 CBQ589652:CBR589662 CLM589652:CLN589662 CVI589652:CVJ589662 DFE589652:DFF589662 DPA589652:DPB589662 DYW589652:DYX589662 EIS589652:EIT589662 ESO589652:ESP589662 FCK589652:FCL589662 FMG589652:FMH589662 FWC589652:FWD589662 GFY589652:GFZ589662 GPU589652:GPV589662 GZQ589652:GZR589662 HJM589652:HJN589662 HTI589652:HTJ589662 IDE589652:IDF589662 INA589652:INB589662 IWW589652:IWX589662 JGS589652:JGT589662 JQO589652:JQP589662 KAK589652:KAL589662 KKG589652:KKH589662 KUC589652:KUD589662 LDY589652:LDZ589662 LNU589652:LNV589662 LXQ589652:LXR589662 MHM589652:MHN589662 MRI589652:MRJ589662 NBE589652:NBF589662 NLA589652:NLB589662 NUW589652:NUX589662 OES589652:OET589662 OOO589652:OOP589662 OYK589652:OYL589662 PIG589652:PIH589662 PSC589652:PSD589662 QBY589652:QBZ589662 QLU589652:QLV589662 QVQ589652:QVR589662 RFM589652:RFN589662 RPI589652:RPJ589662 RZE589652:RZF589662 SJA589652:SJB589662 SSW589652:SSX589662 TCS589652:TCT589662 TMO589652:TMP589662 TWK589652:TWL589662 UGG589652:UGH589662 UQC589652:UQD589662 UZY589652:UZZ589662 VJU589652:VJV589662 VTQ589652:VTR589662 WDM589652:WDN589662 WNI589652:WNJ589662 WXE589652:WXF589662 KS655188:KT655198 UO655188:UP655198 AEK655188:AEL655198 AOG655188:AOH655198 AYC655188:AYD655198 BHY655188:BHZ655198 BRU655188:BRV655198 CBQ655188:CBR655198 CLM655188:CLN655198 CVI655188:CVJ655198 DFE655188:DFF655198 DPA655188:DPB655198 DYW655188:DYX655198 EIS655188:EIT655198 ESO655188:ESP655198 FCK655188:FCL655198 FMG655188:FMH655198 FWC655188:FWD655198 GFY655188:GFZ655198 GPU655188:GPV655198 GZQ655188:GZR655198 HJM655188:HJN655198 HTI655188:HTJ655198 IDE655188:IDF655198 INA655188:INB655198 IWW655188:IWX655198 JGS655188:JGT655198 JQO655188:JQP655198 KAK655188:KAL655198 KKG655188:KKH655198 KUC655188:KUD655198 LDY655188:LDZ655198 LNU655188:LNV655198 LXQ655188:LXR655198 MHM655188:MHN655198 MRI655188:MRJ655198 NBE655188:NBF655198 NLA655188:NLB655198 NUW655188:NUX655198 OES655188:OET655198 OOO655188:OOP655198 OYK655188:OYL655198 PIG655188:PIH655198 PSC655188:PSD655198 QBY655188:QBZ655198 QLU655188:QLV655198 QVQ655188:QVR655198 RFM655188:RFN655198 RPI655188:RPJ655198 RZE655188:RZF655198 SJA655188:SJB655198 SSW655188:SSX655198 TCS655188:TCT655198 TMO655188:TMP655198 TWK655188:TWL655198 UGG655188:UGH655198 UQC655188:UQD655198 UZY655188:UZZ655198 VJU655188:VJV655198 VTQ655188:VTR655198 WDM655188:WDN655198 WNI655188:WNJ655198 WXE655188:WXF655198 KS720724:KT720734 UO720724:UP720734 AEK720724:AEL720734 AOG720724:AOH720734 AYC720724:AYD720734 BHY720724:BHZ720734 BRU720724:BRV720734 CBQ720724:CBR720734 CLM720724:CLN720734 CVI720724:CVJ720734 DFE720724:DFF720734 DPA720724:DPB720734 DYW720724:DYX720734 EIS720724:EIT720734 ESO720724:ESP720734 FCK720724:FCL720734 FMG720724:FMH720734 FWC720724:FWD720734 GFY720724:GFZ720734 GPU720724:GPV720734 GZQ720724:GZR720734 HJM720724:HJN720734 HTI720724:HTJ720734 IDE720724:IDF720734 INA720724:INB720734 IWW720724:IWX720734 JGS720724:JGT720734 JQO720724:JQP720734 KAK720724:KAL720734 KKG720724:KKH720734 KUC720724:KUD720734 LDY720724:LDZ720734 LNU720724:LNV720734 LXQ720724:LXR720734 MHM720724:MHN720734 MRI720724:MRJ720734 NBE720724:NBF720734 NLA720724:NLB720734 NUW720724:NUX720734 OES720724:OET720734 OOO720724:OOP720734 OYK720724:OYL720734 PIG720724:PIH720734 PSC720724:PSD720734 QBY720724:QBZ720734 QLU720724:QLV720734 QVQ720724:QVR720734 RFM720724:RFN720734 RPI720724:RPJ720734 RZE720724:RZF720734 SJA720724:SJB720734 SSW720724:SSX720734 TCS720724:TCT720734 TMO720724:TMP720734 TWK720724:TWL720734 UGG720724:UGH720734 UQC720724:UQD720734 UZY720724:UZZ720734 VJU720724:VJV720734 VTQ720724:VTR720734 WDM720724:WDN720734 WNI720724:WNJ720734 WXE720724:WXF720734 KS786260:KT786270 UO786260:UP786270 AEK786260:AEL786270 AOG786260:AOH786270 AYC786260:AYD786270 BHY786260:BHZ786270 BRU786260:BRV786270 CBQ786260:CBR786270 CLM786260:CLN786270 CVI786260:CVJ786270 DFE786260:DFF786270 DPA786260:DPB786270 DYW786260:DYX786270 EIS786260:EIT786270 ESO786260:ESP786270 FCK786260:FCL786270 FMG786260:FMH786270 FWC786260:FWD786270 GFY786260:GFZ786270 GPU786260:GPV786270 GZQ786260:GZR786270 HJM786260:HJN786270 HTI786260:HTJ786270 IDE786260:IDF786270 INA786260:INB786270 IWW786260:IWX786270 JGS786260:JGT786270 JQO786260:JQP786270 KAK786260:KAL786270 KKG786260:KKH786270 KUC786260:KUD786270 LDY786260:LDZ786270 LNU786260:LNV786270 LXQ786260:LXR786270 MHM786260:MHN786270 MRI786260:MRJ786270 NBE786260:NBF786270 NLA786260:NLB786270 NUW786260:NUX786270 OES786260:OET786270 OOO786260:OOP786270 OYK786260:OYL786270 PIG786260:PIH786270 PSC786260:PSD786270 QBY786260:QBZ786270 QLU786260:QLV786270 QVQ786260:QVR786270 RFM786260:RFN786270 RPI786260:RPJ786270 RZE786260:RZF786270 SJA786260:SJB786270 SSW786260:SSX786270 TCS786260:TCT786270 TMO786260:TMP786270 TWK786260:TWL786270 UGG786260:UGH786270 UQC786260:UQD786270 UZY786260:UZZ786270 VJU786260:VJV786270 VTQ786260:VTR786270 WDM786260:WDN786270 WNI786260:WNJ786270 WXE786260:WXF786270 KS851796:KT851806 UO851796:UP851806 AEK851796:AEL851806 AOG851796:AOH851806 AYC851796:AYD851806 BHY851796:BHZ851806 BRU851796:BRV851806 CBQ851796:CBR851806 CLM851796:CLN851806 CVI851796:CVJ851806 DFE851796:DFF851806 DPA851796:DPB851806 DYW851796:DYX851806 EIS851796:EIT851806 ESO851796:ESP851806 FCK851796:FCL851806 FMG851796:FMH851806 FWC851796:FWD851806 GFY851796:GFZ851806 GPU851796:GPV851806 GZQ851796:GZR851806 HJM851796:HJN851806 HTI851796:HTJ851806 IDE851796:IDF851806 INA851796:INB851806 IWW851796:IWX851806 JGS851796:JGT851806 JQO851796:JQP851806 KAK851796:KAL851806 KKG851796:KKH851806 KUC851796:KUD851806 LDY851796:LDZ851806 LNU851796:LNV851806 LXQ851796:LXR851806 MHM851796:MHN851806 MRI851796:MRJ851806 NBE851796:NBF851806 NLA851796:NLB851806 NUW851796:NUX851806 OES851796:OET851806 OOO851796:OOP851806 OYK851796:OYL851806 PIG851796:PIH851806 PSC851796:PSD851806 QBY851796:QBZ851806 QLU851796:QLV851806 QVQ851796:QVR851806 RFM851796:RFN851806 RPI851796:RPJ851806 RZE851796:RZF851806 SJA851796:SJB851806 SSW851796:SSX851806 TCS851796:TCT851806 TMO851796:TMP851806 TWK851796:TWL851806 UGG851796:UGH851806 UQC851796:UQD851806 UZY851796:UZZ851806 VJU851796:VJV851806 VTQ851796:VTR851806 WDM851796:WDN851806 WNI851796:WNJ851806 WXE851796:WXF851806 KS917332:KT917342 UO917332:UP917342 AEK917332:AEL917342 AOG917332:AOH917342 AYC917332:AYD917342 BHY917332:BHZ917342 BRU917332:BRV917342 CBQ917332:CBR917342 CLM917332:CLN917342 CVI917332:CVJ917342 DFE917332:DFF917342 DPA917332:DPB917342 DYW917332:DYX917342 EIS917332:EIT917342 ESO917332:ESP917342 FCK917332:FCL917342 FMG917332:FMH917342 FWC917332:FWD917342 GFY917332:GFZ917342 GPU917332:GPV917342 GZQ917332:GZR917342 HJM917332:HJN917342 HTI917332:HTJ917342 IDE917332:IDF917342 INA917332:INB917342 IWW917332:IWX917342 JGS917332:JGT917342 JQO917332:JQP917342 KAK917332:KAL917342 KKG917332:KKH917342 KUC917332:KUD917342 LDY917332:LDZ917342 LNU917332:LNV917342 LXQ917332:LXR917342 MHM917332:MHN917342 MRI917332:MRJ917342 NBE917332:NBF917342 NLA917332:NLB917342 NUW917332:NUX917342 OES917332:OET917342 OOO917332:OOP917342 OYK917332:OYL917342 PIG917332:PIH917342 PSC917332:PSD917342 QBY917332:QBZ917342 QLU917332:QLV917342 QVQ917332:QVR917342 RFM917332:RFN917342 RPI917332:RPJ917342 RZE917332:RZF917342 SJA917332:SJB917342 SSW917332:SSX917342 TCS917332:TCT917342 TMO917332:TMP917342 TWK917332:TWL917342 UGG917332:UGH917342 UQC917332:UQD917342 UZY917332:UZZ917342 VJU917332:VJV917342 VTQ917332:VTR917342 WDM917332:WDN917342 WNI917332:WNJ917342 WXE917332:WXF917342 KS982868:KT982878 UO982868:UP982878 AEK982868:AEL982878 AOG982868:AOH982878 AYC982868:AYD982878 BHY982868:BHZ982878 BRU982868:BRV982878 CBQ982868:CBR982878 CLM982868:CLN982878 CVI982868:CVJ982878 DFE982868:DFF982878 DPA982868:DPB982878 DYW982868:DYX982878 EIS982868:EIT982878 ESO982868:ESP982878 FCK982868:FCL982878 FMG982868:FMH982878 FWC982868:FWD982878 GFY982868:GFZ982878 GPU982868:GPV982878 GZQ982868:GZR982878 HJM982868:HJN982878 HTI982868:HTJ982878 IDE982868:IDF982878 INA982868:INB982878 IWW982868:IWX982878 JGS982868:JGT982878 JQO982868:JQP982878 KAK982868:KAL982878 KKG982868:KKH982878 KUC982868:KUD982878 LDY982868:LDZ982878 LNU982868:LNV982878 LXQ982868:LXR982878 MHM982868:MHN982878 MRI982868:MRJ982878 NBE982868:NBF982878 NLA982868:NLB982878 NUW982868:NUX982878 OES982868:OET982878 OOO982868:OOP982878 OYK982868:OYL982878 PIG982868:PIH982878 PSC982868:PSD982878 QBY982868:QBZ982878 QLU982868:QLV982878 QVQ982868:QVR982878 RFM982868:RFN982878 RPI982868:RPJ982878 RZE982868:RZF982878 SJA982868:SJB982878 SSW982868:SSX982878 TCS982868:TCT982878 TMO982868:TMP982878 TWK982868:TWL982878 UGG982868:UGH982878 UQC982868:UQD982878 UZY982868:UZZ982878 VJU982868:VJV982878 VTQ982868:VTR982878 WDM982868:WDN982878 WNI982868:WNJ982878 WXE982868:WXF982878 KS655145:KT655149 UO655145:UP655149 AEK655145:AEL655149 AOG655145:AOH655149 AYC655145:AYD655149 BHY655145:BHZ655149 BRU655145:BRV655149 CBQ655145:CBR655149 CLM655145:CLN655149 CVI655145:CVJ655149 DFE655145:DFF655149 DPA655145:DPB655149 DYW655145:DYX655149 EIS655145:EIT655149 ESO655145:ESP655149 FCK655145:FCL655149 FMG655145:FMH655149 FWC655145:FWD655149 GFY655145:GFZ655149 GPU655145:GPV655149 GZQ655145:GZR655149 HJM655145:HJN655149 HTI655145:HTJ655149 IDE655145:IDF655149 INA655145:INB655149 IWW655145:IWX655149 JGS655145:JGT655149 JQO655145:JQP655149 KAK655145:KAL655149 KKG655145:KKH655149 KUC655145:KUD655149 LDY655145:LDZ655149 LNU655145:LNV655149 LXQ655145:LXR655149 MHM655145:MHN655149 MRI655145:MRJ655149 NBE655145:NBF655149 NLA655145:NLB655149 NUW655145:NUX655149 OES655145:OET655149 OOO655145:OOP655149 OYK655145:OYL655149 PIG655145:PIH655149 PSC655145:PSD655149 QBY655145:QBZ655149 QLU655145:QLV655149 QVQ655145:QVR655149 RFM655145:RFN655149 RPI655145:RPJ655149 RZE655145:RZF655149 SJA655145:SJB655149 SSW655145:SSX655149 TCS655145:TCT655149 TMO655145:TMP655149 TWK655145:TWL655149 UGG655145:UGH655149 UQC655145:UQD655149 UZY655145:UZZ655149 VJU655145:VJV655149 VTQ655145:VTR655149 WDM655145:WDN655149 WNI655145:WNJ655149 WXE655145:WXF655149 KS65159:KT65290 UO65159:UP65290 AEK65159:AEL65290 AOG65159:AOH65290 AYC65159:AYD65290 BHY65159:BHZ65290 BRU65159:BRV65290 CBQ65159:CBR65290 CLM65159:CLN65290 CVI65159:CVJ65290 DFE65159:DFF65290 DPA65159:DPB65290 DYW65159:DYX65290 EIS65159:EIT65290 ESO65159:ESP65290 FCK65159:FCL65290 FMG65159:FMH65290 FWC65159:FWD65290 GFY65159:GFZ65290 GPU65159:GPV65290 GZQ65159:GZR65290 HJM65159:HJN65290 HTI65159:HTJ65290 IDE65159:IDF65290 INA65159:INB65290 IWW65159:IWX65290 JGS65159:JGT65290 JQO65159:JQP65290 KAK65159:KAL65290 KKG65159:KKH65290 KUC65159:KUD65290 LDY65159:LDZ65290 LNU65159:LNV65290 LXQ65159:LXR65290 MHM65159:MHN65290 MRI65159:MRJ65290 NBE65159:NBF65290 NLA65159:NLB65290 NUW65159:NUX65290 OES65159:OET65290 OOO65159:OOP65290 OYK65159:OYL65290 PIG65159:PIH65290 PSC65159:PSD65290 QBY65159:QBZ65290 QLU65159:QLV65290 QVQ65159:QVR65290 RFM65159:RFN65290 RPI65159:RPJ65290 RZE65159:RZF65290 SJA65159:SJB65290 SSW65159:SSX65290 TCS65159:TCT65290 TMO65159:TMP65290 TWK65159:TWL65290 UGG65159:UGH65290 UQC65159:UQD65290 UZY65159:UZZ65290 VJU65159:VJV65290 VTQ65159:VTR65290 WDM65159:WDN65290 WNI65159:WNJ65290 WXE65159:WXF65290 KS130695:KT130826 UO130695:UP130826 AEK130695:AEL130826 AOG130695:AOH130826 AYC130695:AYD130826 BHY130695:BHZ130826 BRU130695:BRV130826 CBQ130695:CBR130826 CLM130695:CLN130826 CVI130695:CVJ130826 DFE130695:DFF130826 DPA130695:DPB130826 DYW130695:DYX130826 EIS130695:EIT130826 ESO130695:ESP130826 FCK130695:FCL130826 FMG130695:FMH130826 FWC130695:FWD130826 GFY130695:GFZ130826 GPU130695:GPV130826 GZQ130695:GZR130826 HJM130695:HJN130826 HTI130695:HTJ130826 IDE130695:IDF130826 INA130695:INB130826 IWW130695:IWX130826 JGS130695:JGT130826 JQO130695:JQP130826 KAK130695:KAL130826 KKG130695:KKH130826 KUC130695:KUD130826 LDY130695:LDZ130826 LNU130695:LNV130826 LXQ130695:LXR130826 MHM130695:MHN130826 MRI130695:MRJ130826 NBE130695:NBF130826 NLA130695:NLB130826 NUW130695:NUX130826 OES130695:OET130826 OOO130695:OOP130826 OYK130695:OYL130826 PIG130695:PIH130826 PSC130695:PSD130826 QBY130695:QBZ130826 QLU130695:QLV130826 QVQ130695:QVR130826 RFM130695:RFN130826 RPI130695:RPJ130826 RZE130695:RZF130826 SJA130695:SJB130826 SSW130695:SSX130826 TCS130695:TCT130826 TMO130695:TMP130826 TWK130695:TWL130826 UGG130695:UGH130826 UQC130695:UQD130826 UZY130695:UZZ130826 VJU130695:VJV130826 VTQ130695:VTR130826 WDM130695:WDN130826 WNI130695:WNJ130826 WXE130695:WXF130826 KS196231:KT196362 UO196231:UP196362 AEK196231:AEL196362 AOG196231:AOH196362 AYC196231:AYD196362 BHY196231:BHZ196362 BRU196231:BRV196362 CBQ196231:CBR196362 CLM196231:CLN196362 CVI196231:CVJ196362 DFE196231:DFF196362 DPA196231:DPB196362 DYW196231:DYX196362 EIS196231:EIT196362 ESO196231:ESP196362 FCK196231:FCL196362 FMG196231:FMH196362 FWC196231:FWD196362 GFY196231:GFZ196362 GPU196231:GPV196362 GZQ196231:GZR196362 HJM196231:HJN196362 HTI196231:HTJ196362 IDE196231:IDF196362 INA196231:INB196362 IWW196231:IWX196362 JGS196231:JGT196362 JQO196231:JQP196362 KAK196231:KAL196362 KKG196231:KKH196362 KUC196231:KUD196362 LDY196231:LDZ196362 LNU196231:LNV196362 LXQ196231:LXR196362 MHM196231:MHN196362 MRI196231:MRJ196362 NBE196231:NBF196362 NLA196231:NLB196362 NUW196231:NUX196362 OES196231:OET196362 OOO196231:OOP196362 OYK196231:OYL196362 PIG196231:PIH196362 PSC196231:PSD196362 QBY196231:QBZ196362 QLU196231:QLV196362 QVQ196231:QVR196362 RFM196231:RFN196362 RPI196231:RPJ196362 RZE196231:RZF196362 SJA196231:SJB196362 SSW196231:SSX196362 TCS196231:TCT196362 TMO196231:TMP196362 TWK196231:TWL196362 UGG196231:UGH196362 UQC196231:UQD196362 UZY196231:UZZ196362 VJU196231:VJV196362 VTQ196231:VTR196362 WDM196231:WDN196362 WNI196231:WNJ196362 WXE196231:WXF196362 KS261767:KT261898 UO261767:UP261898 AEK261767:AEL261898 AOG261767:AOH261898 AYC261767:AYD261898 BHY261767:BHZ261898 BRU261767:BRV261898 CBQ261767:CBR261898 CLM261767:CLN261898 CVI261767:CVJ261898 DFE261767:DFF261898 DPA261767:DPB261898 DYW261767:DYX261898 EIS261767:EIT261898 ESO261767:ESP261898 FCK261767:FCL261898 FMG261767:FMH261898 FWC261767:FWD261898 GFY261767:GFZ261898 GPU261767:GPV261898 GZQ261767:GZR261898 HJM261767:HJN261898 HTI261767:HTJ261898 IDE261767:IDF261898 INA261767:INB261898 IWW261767:IWX261898 JGS261767:JGT261898 JQO261767:JQP261898 KAK261767:KAL261898 KKG261767:KKH261898 KUC261767:KUD261898 LDY261767:LDZ261898 LNU261767:LNV261898 LXQ261767:LXR261898 MHM261767:MHN261898 MRI261767:MRJ261898 NBE261767:NBF261898 NLA261767:NLB261898 NUW261767:NUX261898 OES261767:OET261898 OOO261767:OOP261898 OYK261767:OYL261898 PIG261767:PIH261898 PSC261767:PSD261898 QBY261767:QBZ261898 QLU261767:QLV261898 QVQ261767:QVR261898 RFM261767:RFN261898 RPI261767:RPJ261898 RZE261767:RZF261898 SJA261767:SJB261898 SSW261767:SSX261898 TCS261767:TCT261898 TMO261767:TMP261898 TWK261767:TWL261898 UGG261767:UGH261898 UQC261767:UQD261898 UZY261767:UZZ261898 VJU261767:VJV261898 VTQ261767:VTR261898 WDM261767:WDN261898 WNI261767:WNJ261898 WXE261767:WXF261898 KS327303:KT327434 UO327303:UP327434 AEK327303:AEL327434 AOG327303:AOH327434 AYC327303:AYD327434 BHY327303:BHZ327434 BRU327303:BRV327434 CBQ327303:CBR327434 CLM327303:CLN327434 CVI327303:CVJ327434 DFE327303:DFF327434 DPA327303:DPB327434 DYW327303:DYX327434 EIS327303:EIT327434 ESO327303:ESP327434 FCK327303:FCL327434 FMG327303:FMH327434 FWC327303:FWD327434 GFY327303:GFZ327434 GPU327303:GPV327434 GZQ327303:GZR327434 HJM327303:HJN327434 HTI327303:HTJ327434 IDE327303:IDF327434 INA327303:INB327434 IWW327303:IWX327434 JGS327303:JGT327434 JQO327303:JQP327434 KAK327303:KAL327434 KKG327303:KKH327434 KUC327303:KUD327434 LDY327303:LDZ327434 LNU327303:LNV327434 LXQ327303:LXR327434 MHM327303:MHN327434 MRI327303:MRJ327434 NBE327303:NBF327434 NLA327303:NLB327434 NUW327303:NUX327434 OES327303:OET327434 OOO327303:OOP327434 OYK327303:OYL327434 PIG327303:PIH327434 PSC327303:PSD327434 QBY327303:QBZ327434 QLU327303:QLV327434 QVQ327303:QVR327434 RFM327303:RFN327434 RPI327303:RPJ327434 RZE327303:RZF327434 SJA327303:SJB327434 SSW327303:SSX327434 TCS327303:TCT327434 TMO327303:TMP327434 TWK327303:TWL327434 UGG327303:UGH327434 UQC327303:UQD327434 UZY327303:UZZ327434 VJU327303:VJV327434 VTQ327303:VTR327434 WDM327303:WDN327434 WNI327303:WNJ327434 WXE327303:WXF327434 KS392839:KT392970 UO392839:UP392970 AEK392839:AEL392970 AOG392839:AOH392970 AYC392839:AYD392970 BHY392839:BHZ392970 BRU392839:BRV392970 CBQ392839:CBR392970 CLM392839:CLN392970 CVI392839:CVJ392970 DFE392839:DFF392970 DPA392839:DPB392970 DYW392839:DYX392970 EIS392839:EIT392970 ESO392839:ESP392970 FCK392839:FCL392970 FMG392839:FMH392970 FWC392839:FWD392970 GFY392839:GFZ392970 GPU392839:GPV392970 GZQ392839:GZR392970 HJM392839:HJN392970 HTI392839:HTJ392970 IDE392839:IDF392970 INA392839:INB392970 IWW392839:IWX392970 JGS392839:JGT392970 JQO392839:JQP392970 KAK392839:KAL392970 KKG392839:KKH392970 KUC392839:KUD392970 LDY392839:LDZ392970 LNU392839:LNV392970 LXQ392839:LXR392970 MHM392839:MHN392970 MRI392839:MRJ392970 NBE392839:NBF392970 NLA392839:NLB392970 NUW392839:NUX392970 OES392839:OET392970 OOO392839:OOP392970 OYK392839:OYL392970 PIG392839:PIH392970 PSC392839:PSD392970 QBY392839:QBZ392970 QLU392839:QLV392970 QVQ392839:QVR392970 RFM392839:RFN392970 RPI392839:RPJ392970 RZE392839:RZF392970 SJA392839:SJB392970 SSW392839:SSX392970 TCS392839:TCT392970 TMO392839:TMP392970 TWK392839:TWL392970 UGG392839:UGH392970 UQC392839:UQD392970 UZY392839:UZZ392970 VJU392839:VJV392970 VTQ392839:VTR392970 WDM392839:WDN392970 WNI392839:WNJ392970 WXE392839:WXF392970 KS458375:KT458506 UO458375:UP458506 AEK458375:AEL458506 AOG458375:AOH458506 AYC458375:AYD458506 BHY458375:BHZ458506 BRU458375:BRV458506 CBQ458375:CBR458506 CLM458375:CLN458506 CVI458375:CVJ458506 DFE458375:DFF458506 DPA458375:DPB458506 DYW458375:DYX458506 EIS458375:EIT458506 ESO458375:ESP458506 FCK458375:FCL458506 FMG458375:FMH458506 FWC458375:FWD458506 GFY458375:GFZ458506 GPU458375:GPV458506 GZQ458375:GZR458506 HJM458375:HJN458506 HTI458375:HTJ458506 IDE458375:IDF458506 INA458375:INB458506 IWW458375:IWX458506 JGS458375:JGT458506 JQO458375:JQP458506 KAK458375:KAL458506 KKG458375:KKH458506 KUC458375:KUD458506 LDY458375:LDZ458506 LNU458375:LNV458506 LXQ458375:LXR458506 MHM458375:MHN458506 MRI458375:MRJ458506 NBE458375:NBF458506 NLA458375:NLB458506 NUW458375:NUX458506 OES458375:OET458506 OOO458375:OOP458506 OYK458375:OYL458506 PIG458375:PIH458506 PSC458375:PSD458506 QBY458375:QBZ458506 QLU458375:QLV458506 QVQ458375:QVR458506 RFM458375:RFN458506 RPI458375:RPJ458506 RZE458375:RZF458506 SJA458375:SJB458506 SSW458375:SSX458506 TCS458375:TCT458506 TMO458375:TMP458506 TWK458375:TWL458506 UGG458375:UGH458506 UQC458375:UQD458506 UZY458375:UZZ458506 VJU458375:VJV458506 VTQ458375:VTR458506 WDM458375:WDN458506 WNI458375:WNJ458506 WXE458375:WXF458506 KS523911:KT524042 UO523911:UP524042 AEK523911:AEL524042 AOG523911:AOH524042 AYC523911:AYD524042 BHY523911:BHZ524042 BRU523911:BRV524042 CBQ523911:CBR524042 CLM523911:CLN524042 CVI523911:CVJ524042 DFE523911:DFF524042 DPA523911:DPB524042 DYW523911:DYX524042 EIS523911:EIT524042 ESO523911:ESP524042 FCK523911:FCL524042 FMG523911:FMH524042 FWC523911:FWD524042 GFY523911:GFZ524042 GPU523911:GPV524042 GZQ523911:GZR524042 HJM523911:HJN524042 HTI523911:HTJ524042 IDE523911:IDF524042 INA523911:INB524042 IWW523911:IWX524042 JGS523911:JGT524042 JQO523911:JQP524042 KAK523911:KAL524042 KKG523911:KKH524042 KUC523911:KUD524042 LDY523911:LDZ524042 LNU523911:LNV524042 LXQ523911:LXR524042 MHM523911:MHN524042 MRI523911:MRJ524042 NBE523911:NBF524042 NLA523911:NLB524042 NUW523911:NUX524042 OES523911:OET524042 OOO523911:OOP524042 OYK523911:OYL524042 PIG523911:PIH524042 PSC523911:PSD524042 QBY523911:QBZ524042 QLU523911:QLV524042 QVQ523911:QVR524042 RFM523911:RFN524042 RPI523911:RPJ524042 RZE523911:RZF524042 SJA523911:SJB524042 SSW523911:SSX524042 TCS523911:TCT524042 TMO523911:TMP524042 TWK523911:TWL524042 UGG523911:UGH524042 UQC523911:UQD524042 UZY523911:UZZ524042 VJU523911:VJV524042 VTQ523911:VTR524042 WDM523911:WDN524042 WNI523911:WNJ524042 WXE523911:WXF524042 KS589447:KT589578 UO589447:UP589578 AEK589447:AEL589578 AOG589447:AOH589578 AYC589447:AYD589578 BHY589447:BHZ589578 BRU589447:BRV589578 CBQ589447:CBR589578 CLM589447:CLN589578 CVI589447:CVJ589578 DFE589447:DFF589578 DPA589447:DPB589578 DYW589447:DYX589578 EIS589447:EIT589578 ESO589447:ESP589578 FCK589447:FCL589578 FMG589447:FMH589578 FWC589447:FWD589578 GFY589447:GFZ589578 GPU589447:GPV589578 GZQ589447:GZR589578 HJM589447:HJN589578 HTI589447:HTJ589578 IDE589447:IDF589578 INA589447:INB589578 IWW589447:IWX589578 JGS589447:JGT589578 JQO589447:JQP589578 KAK589447:KAL589578 KKG589447:KKH589578 KUC589447:KUD589578 LDY589447:LDZ589578 LNU589447:LNV589578 LXQ589447:LXR589578 MHM589447:MHN589578 MRI589447:MRJ589578 NBE589447:NBF589578 NLA589447:NLB589578 NUW589447:NUX589578 OES589447:OET589578 OOO589447:OOP589578 OYK589447:OYL589578 PIG589447:PIH589578 PSC589447:PSD589578 QBY589447:QBZ589578 QLU589447:QLV589578 QVQ589447:QVR589578 RFM589447:RFN589578 RPI589447:RPJ589578 RZE589447:RZF589578 SJA589447:SJB589578 SSW589447:SSX589578 TCS589447:TCT589578 TMO589447:TMP589578 TWK589447:TWL589578 UGG589447:UGH589578 UQC589447:UQD589578 UZY589447:UZZ589578 VJU589447:VJV589578 VTQ589447:VTR589578 WDM589447:WDN589578 WNI589447:WNJ589578 WXE589447:WXF589578 KS654983:KT655114 UO654983:UP655114 AEK654983:AEL655114 AOG654983:AOH655114 AYC654983:AYD655114 BHY654983:BHZ655114 BRU654983:BRV655114 CBQ654983:CBR655114 CLM654983:CLN655114 CVI654983:CVJ655114 DFE654983:DFF655114 DPA654983:DPB655114 DYW654983:DYX655114 EIS654983:EIT655114 ESO654983:ESP655114 FCK654983:FCL655114 FMG654983:FMH655114 FWC654983:FWD655114 GFY654983:GFZ655114 GPU654983:GPV655114 GZQ654983:GZR655114 HJM654983:HJN655114 HTI654983:HTJ655114 IDE654983:IDF655114 INA654983:INB655114 IWW654983:IWX655114 JGS654983:JGT655114 JQO654983:JQP655114 KAK654983:KAL655114 KKG654983:KKH655114 KUC654983:KUD655114 LDY654983:LDZ655114 LNU654983:LNV655114 LXQ654983:LXR655114 MHM654983:MHN655114 MRI654983:MRJ655114 NBE654983:NBF655114 NLA654983:NLB655114 NUW654983:NUX655114 OES654983:OET655114 OOO654983:OOP655114 OYK654983:OYL655114 PIG654983:PIH655114 PSC654983:PSD655114 QBY654983:QBZ655114 QLU654983:QLV655114 QVQ654983:QVR655114 RFM654983:RFN655114 RPI654983:RPJ655114 RZE654983:RZF655114 SJA654983:SJB655114 SSW654983:SSX655114 TCS654983:TCT655114 TMO654983:TMP655114 TWK654983:TWL655114 UGG654983:UGH655114 UQC654983:UQD655114 UZY654983:UZZ655114 VJU654983:VJV655114 VTQ654983:VTR655114 WDM654983:WDN655114 WNI654983:WNJ655114 WXE654983:WXF655114 KS720519:KT720650 UO720519:UP720650 AEK720519:AEL720650 AOG720519:AOH720650 AYC720519:AYD720650 BHY720519:BHZ720650 BRU720519:BRV720650 CBQ720519:CBR720650 CLM720519:CLN720650 CVI720519:CVJ720650 DFE720519:DFF720650 DPA720519:DPB720650 DYW720519:DYX720650 EIS720519:EIT720650 ESO720519:ESP720650 FCK720519:FCL720650 FMG720519:FMH720650 FWC720519:FWD720650 GFY720519:GFZ720650 GPU720519:GPV720650 GZQ720519:GZR720650 HJM720519:HJN720650 HTI720519:HTJ720650 IDE720519:IDF720650 INA720519:INB720650 IWW720519:IWX720650 JGS720519:JGT720650 JQO720519:JQP720650 KAK720519:KAL720650 KKG720519:KKH720650 KUC720519:KUD720650 LDY720519:LDZ720650 LNU720519:LNV720650 LXQ720519:LXR720650 MHM720519:MHN720650 MRI720519:MRJ720650 NBE720519:NBF720650 NLA720519:NLB720650 NUW720519:NUX720650 OES720519:OET720650 OOO720519:OOP720650 OYK720519:OYL720650 PIG720519:PIH720650 PSC720519:PSD720650 QBY720519:QBZ720650 QLU720519:QLV720650 QVQ720519:QVR720650 RFM720519:RFN720650 RPI720519:RPJ720650 RZE720519:RZF720650 SJA720519:SJB720650 SSW720519:SSX720650 TCS720519:TCT720650 TMO720519:TMP720650 TWK720519:TWL720650 UGG720519:UGH720650 UQC720519:UQD720650 UZY720519:UZZ720650 VJU720519:VJV720650 VTQ720519:VTR720650 WDM720519:WDN720650 WNI720519:WNJ720650 WXE720519:WXF720650 KS786055:KT786186 UO786055:UP786186 AEK786055:AEL786186 AOG786055:AOH786186 AYC786055:AYD786186 BHY786055:BHZ786186 BRU786055:BRV786186 CBQ786055:CBR786186 CLM786055:CLN786186 CVI786055:CVJ786186 DFE786055:DFF786186 DPA786055:DPB786186 DYW786055:DYX786186 EIS786055:EIT786186 ESO786055:ESP786186 FCK786055:FCL786186 FMG786055:FMH786186 FWC786055:FWD786186 GFY786055:GFZ786186 GPU786055:GPV786186 GZQ786055:GZR786186 HJM786055:HJN786186 HTI786055:HTJ786186 IDE786055:IDF786186 INA786055:INB786186 IWW786055:IWX786186 JGS786055:JGT786186 JQO786055:JQP786186 KAK786055:KAL786186 KKG786055:KKH786186 KUC786055:KUD786186 LDY786055:LDZ786186 LNU786055:LNV786186 LXQ786055:LXR786186 MHM786055:MHN786186 MRI786055:MRJ786186 NBE786055:NBF786186 NLA786055:NLB786186 NUW786055:NUX786186 OES786055:OET786186 OOO786055:OOP786186 OYK786055:OYL786186 PIG786055:PIH786186 PSC786055:PSD786186 QBY786055:QBZ786186 QLU786055:QLV786186 QVQ786055:QVR786186 RFM786055:RFN786186 RPI786055:RPJ786186 RZE786055:RZF786186 SJA786055:SJB786186 SSW786055:SSX786186 TCS786055:TCT786186 TMO786055:TMP786186 TWK786055:TWL786186 UGG786055:UGH786186 UQC786055:UQD786186 UZY786055:UZZ786186 VJU786055:VJV786186 VTQ786055:VTR786186 WDM786055:WDN786186 WNI786055:WNJ786186 WXE786055:WXF786186 KS851591:KT851722 UO851591:UP851722 AEK851591:AEL851722 AOG851591:AOH851722 AYC851591:AYD851722 BHY851591:BHZ851722 BRU851591:BRV851722 CBQ851591:CBR851722 CLM851591:CLN851722 CVI851591:CVJ851722 DFE851591:DFF851722 DPA851591:DPB851722 DYW851591:DYX851722 EIS851591:EIT851722 ESO851591:ESP851722 FCK851591:FCL851722 FMG851591:FMH851722 FWC851591:FWD851722 GFY851591:GFZ851722 GPU851591:GPV851722 GZQ851591:GZR851722 HJM851591:HJN851722 HTI851591:HTJ851722 IDE851591:IDF851722 INA851591:INB851722 IWW851591:IWX851722 JGS851591:JGT851722 JQO851591:JQP851722 KAK851591:KAL851722 KKG851591:KKH851722 KUC851591:KUD851722 LDY851591:LDZ851722 LNU851591:LNV851722 LXQ851591:LXR851722 MHM851591:MHN851722 MRI851591:MRJ851722 NBE851591:NBF851722 NLA851591:NLB851722 NUW851591:NUX851722 OES851591:OET851722 OOO851591:OOP851722 OYK851591:OYL851722 PIG851591:PIH851722 PSC851591:PSD851722 QBY851591:QBZ851722 QLU851591:QLV851722 QVQ851591:QVR851722 RFM851591:RFN851722 RPI851591:RPJ851722 RZE851591:RZF851722 SJA851591:SJB851722 SSW851591:SSX851722 TCS851591:TCT851722 TMO851591:TMP851722 TWK851591:TWL851722 UGG851591:UGH851722 UQC851591:UQD851722 UZY851591:UZZ851722 VJU851591:VJV851722 VTQ851591:VTR851722 WDM851591:WDN851722 WNI851591:WNJ851722 WXE851591:WXF851722 KS917127:KT917258 UO917127:UP917258 AEK917127:AEL917258 AOG917127:AOH917258 AYC917127:AYD917258 BHY917127:BHZ917258 BRU917127:BRV917258 CBQ917127:CBR917258 CLM917127:CLN917258 CVI917127:CVJ917258 DFE917127:DFF917258 DPA917127:DPB917258 DYW917127:DYX917258 EIS917127:EIT917258 ESO917127:ESP917258 FCK917127:FCL917258 FMG917127:FMH917258 FWC917127:FWD917258 GFY917127:GFZ917258 GPU917127:GPV917258 GZQ917127:GZR917258 HJM917127:HJN917258 HTI917127:HTJ917258 IDE917127:IDF917258 INA917127:INB917258 IWW917127:IWX917258 JGS917127:JGT917258 JQO917127:JQP917258 KAK917127:KAL917258 KKG917127:KKH917258 KUC917127:KUD917258 LDY917127:LDZ917258 LNU917127:LNV917258 LXQ917127:LXR917258 MHM917127:MHN917258 MRI917127:MRJ917258 NBE917127:NBF917258 NLA917127:NLB917258 NUW917127:NUX917258 OES917127:OET917258 OOO917127:OOP917258 OYK917127:OYL917258 PIG917127:PIH917258 PSC917127:PSD917258 QBY917127:QBZ917258 QLU917127:QLV917258 QVQ917127:QVR917258 RFM917127:RFN917258 RPI917127:RPJ917258 RZE917127:RZF917258 SJA917127:SJB917258 SSW917127:SSX917258 TCS917127:TCT917258 TMO917127:TMP917258 TWK917127:TWL917258 UGG917127:UGH917258 UQC917127:UQD917258 UZY917127:UZZ917258 VJU917127:VJV917258 VTQ917127:VTR917258 WDM917127:WDN917258 WNI917127:WNJ917258 WXE917127:WXF917258 KS982663:KT982794 UO982663:UP982794 AEK982663:AEL982794 AOG982663:AOH982794 AYC982663:AYD982794 BHY982663:BHZ982794 BRU982663:BRV982794 CBQ982663:CBR982794 CLM982663:CLN982794 CVI982663:CVJ982794 DFE982663:DFF982794 DPA982663:DPB982794 DYW982663:DYX982794 EIS982663:EIT982794 ESO982663:ESP982794 FCK982663:FCL982794 FMG982663:FMH982794 FWC982663:FWD982794 GFY982663:GFZ982794 GPU982663:GPV982794 GZQ982663:GZR982794 HJM982663:HJN982794 HTI982663:HTJ982794 IDE982663:IDF982794 INA982663:INB982794 IWW982663:IWX982794 JGS982663:JGT982794 JQO982663:JQP982794 KAK982663:KAL982794 KKG982663:KKH982794 KUC982663:KUD982794 LDY982663:LDZ982794 LNU982663:LNV982794 LXQ982663:LXR982794 MHM982663:MHN982794 MRI982663:MRJ982794 NBE982663:NBF982794 NLA982663:NLB982794 NUW982663:NUX982794 OES982663:OET982794 OOO982663:OOP982794 OYK982663:OYL982794 PIG982663:PIH982794 PSC982663:PSD982794 QBY982663:QBZ982794 QLU982663:QLV982794 QVQ982663:QVR982794 RFM982663:RFN982794 RPI982663:RPJ982794 RZE982663:RZF982794 SJA982663:SJB982794 SSW982663:SSX982794 TCS982663:TCT982794 TMO982663:TMP982794 TWK982663:TWL982794 UGG982663:UGH982794 UQC982663:UQD982794 UZY982663:UZZ982794 VJU982663:VJV982794 VTQ982663:VTR982794 WDM982663:WDN982794 WNI982663:WNJ982794 WXE982663:WXF982794 KS720681:KT720685 UO720681:UP720685 AEK720681:AEL720685 AOG720681:AOH720685 AYC720681:AYD720685 BHY720681:BHZ720685 BRU720681:BRV720685 CBQ720681:CBR720685 CLM720681:CLN720685 CVI720681:CVJ720685 DFE720681:DFF720685 DPA720681:DPB720685 DYW720681:DYX720685 EIS720681:EIT720685 ESO720681:ESP720685 FCK720681:FCL720685 FMG720681:FMH720685 FWC720681:FWD720685 GFY720681:GFZ720685 GPU720681:GPV720685 GZQ720681:GZR720685 HJM720681:HJN720685 HTI720681:HTJ720685 IDE720681:IDF720685 INA720681:INB720685 IWW720681:IWX720685 JGS720681:JGT720685 JQO720681:JQP720685 KAK720681:KAL720685 KKG720681:KKH720685 KUC720681:KUD720685 LDY720681:LDZ720685 LNU720681:LNV720685 LXQ720681:LXR720685 MHM720681:MHN720685 MRI720681:MRJ720685 NBE720681:NBF720685 NLA720681:NLB720685 NUW720681:NUX720685 OES720681:OET720685 OOO720681:OOP720685 OYK720681:OYL720685 PIG720681:PIH720685 PSC720681:PSD720685 QBY720681:QBZ720685 QLU720681:QLV720685 QVQ720681:QVR720685 RFM720681:RFN720685 RPI720681:RPJ720685 RZE720681:RZF720685 SJA720681:SJB720685 SSW720681:SSX720685 TCS720681:TCT720685 TMO720681:TMP720685 TWK720681:TWL720685 UGG720681:UGH720685 UQC720681:UQD720685 UZY720681:UZZ720685 VJU720681:VJV720685 VTQ720681:VTR720685 WDM720681:WDN720685 WNI720681:WNJ720685 WXE720681:WXF720685 KS65350:KT65350 UO65350:UP65350 AEK65350:AEL65350 AOG65350:AOH65350 AYC65350:AYD65350 BHY65350:BHZ65350 BRU65350:BRV65350 CBQ65350:CBR65350 CLM65350:CLN65350 CVI65350:CVJ65350 DFE65350:DFF65350 DPA65350:DPB65350 DYW65350:DYX65350 EIS65350:EIT65350 ESO65350:ESP65350 FCK65350:FCL65350 FMG65350:FMH65350 FWC65350:FWD65350 GFY65350:GFZ65350 GPU65350:GPV65350 GZQ65350:GZR65350 HJM65350:HJN65350 HTI65350:HTJ65350 IDE65350:IDF65350 INA65350:INB65350 IWW65350:IWX65350 JGS65350:JGT65350 JQO65350:JQP65350 KAK65350:KAL65350 KKG65350:KKH65350 KUC65350:KUD65350 LDY65350:LDZ65350 LNU65350:LNV65350 LXQ65350:LXR65350 MHM65350:MHN65350 MRI65350:MRJ65350 NBE65350:NBF65350 NLA65350:NLB65350 NUW65350:NUX65350 OES65350:OET65350 OOO65350:OOP65350 OYK65350:OYL65350 PIG65350:PIH65350 PSC65350:PSD65350 QBY65350:QBZ65350 QLU65350:QLV65350 QVQ65350:QVR65350 RFM65350:RFN65350 RPI65350:RPJ65350 RZE65350:RZF65350 SJA65350:SJB65350 SSW65350:SSX65350 TCS65350:TCT65350 TMO65350:TMP65350 TWK65350:TWL65350 UGG65350:UGH65350 UQC65350:UQD65350 UZY65350:UZZ65350 VJU65350:VJV65350 VTQ65350:VTR65350 WDM65350:WDN65350 WNI65350:WNJ65350 WXE65350:WXF65350 KS130886:KT130886 UO130886:UP130886 AEK130886:AEL130886 AOG130886:AOH130886 AYC130886:AYD130886 BHY130886:BHZ130886 BRU130886:BRV130886 CBQ130886:CBR130886 CLM130886:CLN130886 CVI130886:CVJ130886 DFE130886:DFF130886 DPA130886:DPB130886 DYW130886:DYX130886 EIS130886:EIT130886 ESO130886:ESP130886 FCK130886:FCL130886 FMG130886:FMH130886 FWC130886:FWD130886 GFY130886:GFZ130886 GPU130886:GPV130886 GZQ130886:GZR130886 HJM130886:HJN130886 HTI130886:HTJ130886 IDE130886:IDF130886 INA130886:INB130886 IWW130886:IWX130886 JGS130886:JGT130886 JQO130886:JQP130886 KAK130886:KAL130886 KKG130886:KKH130886 KUC130886:KUD130886 LDY130886:LDZ130886 LNU130886:LNV130886 LXQ130886:LXR130886 MHM130886:MHN130886 MRI130886:MRJ130886 NBE130886:NBF130886 NLA130886:NLB130886 NUW130886:NUX130886 OES130886:OET130886 OOO130886:OOP130886 OYK130886:OYL130886 PIG130886:PIH130886 PSC130886:PSD130886 QBY130886:QBZ130886 QLU130886:QLV130886 QVQ130886:QVR130886 RFM130886:RFN130886 RPI130886:RPJ130886 RZE130886:RZF130886 SJA130886:SJB130886 SSW130886:SSX130886 TCS130886:TCT130886 TMO130886:TMP130886 TWK130886:TWL130886 UGG130886:UGH130886 UQC130886:UQD130886 UZY130886:UZZ130886 VJU130886:VJV130886 VTQ130886:VTR130886 WDM130886:WDN130886 WNI130886:WNJ130886 WXE130886:WXF130886 KS196422:KT196422 UO196422:UP196422 AEK196422:AEL196422 AOG196422:AOH196422 AYC196422:AYD196422 BHY196422:BHZ196422 BRU196422:BRV196422 CBQ196422:CBR196422 CLM196422:CLN196422 CVI196422:CVJ196422 DFE196422:DFF196422 DPA196422:DPB196422 DYW196422:DYX196422 EIS196422:EIT196422 ESO196422:ESP196422 FCK196422:FCL196422 FMG196422:FMH196422 FWC196422:FWD196422 GFY196422:GFZ196422 GPU196422:GPV196422 GZQ196422:GZR196422 HJM196422:HJN196422 HTI196422:HTJ196422 IDE196422:IDF196422 INA196422:INB196422 IWW196422:IWX196422 JGS196422:JGT196422 JQO196422:JQP196422 KAK196422:KAL196422 KKG196422:KKH196422 KUC196422:KUD196422 LDY196422:LDZ196422 LNU196422:LNV196422 LXQ196422:LXR196422 MHM196422:MHN196422 MRI196422:MRJ196422 NBE196422:NBF196422 NLA196422:NLB196422 NUW196422:NUX196422 OES196422:OET196422 OOO196422:OOP196422 OYK196422:OYL196422 PIG196422:PIH196422 PSC196422:PSD196422 QBY196422:QBZ196422 QLU196422:QLV196422 QVQ196422:QVR196422 RFM196422:RFN196422 RPI196422:RPJ196422 RZE196422:RZF196422 SJA196422:SJB196422 SSW196422:SSX196422 TCS196422:TCT196422 TMO196422:TMP196422 TWK196422:TWL196422 UGG196422:UGH196422 UQC196422:UQD196422 UZY196422:UZZ196422 VJU196422:VJV196422 VTQ196422:VTR196422 WDM196422:WDN196422 WNI196422:WNJ196422 WXE196422:WXF196422 KS261958:KT261958 UO261958:UP261958 AEK261958:AEL261958 AOG261958:AOH261958 AYC261958:AYD261958 BHY261958:BHZ261958 BRU261958:BRV261958 CBQ261958:CBR261958 CLM261958:CLN261958 CVI261958:CVJ261958 DFE261958:DFF261958 DPA261958:DPB261958 DYW261958:DYX261958 EIS261958:EIT261958 ESO261958:ESP261958 FCK261958:FCL261958 FMG261958:FMH261958 FWC261958:FWD261958 GFY261958:GFZ261958 GPU261958:GPV261958 GZQ261958:GZR261958 HJM261958:HJN261958 HTI261958:HTJ261958 IDE261958:IDF261958 INA261958:INB261958 IWW261958:IWX261958 JGS261958:JGT261958 JQO261958:JQP261958 KAK261958:KAL261958 KKG261958:KKH261958 KUC261958:KUD261958 LDY261958:LDZ261958 LNU261958:LNV261958 LXQ261958:LXR261958 MHM261958:MHN261958 MRI261958:MRJ261958 NBE261958:NBF261958 NLA261958:NLB261958 NUW261958:NUX261958 OES261958:OET261958 OOO261958:OOP261958 OYK261958:OYL261958 PIG261958:PIH261958 PSC261958:PSD261958 QBY261958:QBZ261958 QLU261958:QLV261958 QVQ261958:QVR261958 RFM261958:RFN261958 RPI261958:RPJ261958 RZE261958:RZF261958 SJA261958:SJB261958 SSW261958:SSX261958 TCS261958:TCT261958 TMO261958:TMP261958 TWK261958:TWL261958 UGG261958:UGH261958 UQC261958:UQD261958 UZY261958:UZZ261958 VJU261958:VJV261958 VTQ261958:VTR261958 WDM261958:WDN261958 WNI261958:WNJ261958 WXE261958:WXF261958 KS327494:KT327494 UO327494:UP327494 AEK327494:AEL327494 AOG327494:AOH327494 AYC327494:AYD327494 BHY327494:BHZ327494 BRU327494:BRV327494 CBQ327494:CBR327494 CLM327494:CLN327494 CVI327494:CVJ327494 DFE327494:DFF327494 DPA327494:DPB327494 DYW327494:DYX327494 EIS327494:EIT327494 ESO327494:ESP327494 FCK327494:FCL327494 FMG327494:FMH327494 FWC327494:FWD327494 GFY327494:GFZ327494 GPU327494:GPV327494 GZQ327494:GZR327494 HJM327494:HJN327494 HTI327494:HTJ327494 IDE327494:IDF327494 INA327494:INB327494 IWW327494:IWX327494 JGS327494:JGT327494 JQO327494:JQP327494 KAK327494:KAL327494 KKG327494:KKH327494 KUC327494:KUD327494 LDY327494:LDZ327494 LNU327494:LNV327494 LXQ327494:LXR327494 MHM327494:MHN327494 MRI327494:MRJ327494 NBE327494:NBF327494 NLA327494:NLB327494 NUW327494:NUX327494 OES327494:OET327494 OOO327494:OOP327494 OYK327494:OYL327494 PIG327494:PIH327494 PSC327494:PSD327494 QBY327494:QBZ327494 QLU327494:QLV327494 QVQ327494:QVR327494 RFM327494:RFN327494 RPI327494:RPJ327494 RZE327494:RZF327494 SJA327494:SJB327494 SSW327494:SSX327494 TCS327494:TCT327494 TMO327494:TMP327494 TWK327494:TWL327494 UGG327494:UGH327494 UQC327494:UQD327494 UZY327494:UZZ327494 VJU327494:VJV327494 VTQ327494:VTR327494 WDM327494:WDN327494 WNI327494:WNJ327494 WXE327494:WXF327494 KS393030:KT393030 UO393030:UP393030 AEK393030:AEL393030 AOG393030:AOH393030 AYC393030:AYD393030 BHY393030:BHZ393030 BRU393030:BRV393030 CBQ393030:CBR393030 CLM393030:CLN393030 CVI393030:CVJ393030 DFE393030:DFF393030 DPA393030:DPB393030 DYW393030:DYX393030 EIS393030:EIT393030 ESO393030:ESP393030 FCK393030:FCL393030 FMG393030:FMH393030 FWC393030:FWD393030 GFY393030:GFZ393030 GPU393030:GPV393030 GZQ393030:GZR393030 HJM393030:HJN393030 HTI393030:HTJ393030 IDE393030:IDF393030 INA393030:INB393030 IWW393030:IWX393030 JGS393030:JGT393030 JQO393030:JQP393030 KAK393030:KAL393030 KKG393030:KKH393030 KUC393030:KUD393030 LDY393030:LDZ393030 LNU393030:LNV393030 LXQ393030:LXR393030 MHM393030:MHN393030 MRI393030:MRJ393030 NBE393030:NBF393030 NLA393030:NLB393030 NUW393030:NUX393030 OES393030:OET393030 OOO393030:OOP393030 OYK393030:OYL393030 PIG393030:PIH393030 PSC393030:PSD393030 QBY393030:QBZ393030 QLU393030:QLV393030 QVQ393030:QVR393030 RFM393030:RFN393030 RPI393030:RPJ393030 RZE393030:RZF393030 SJA393030:SJB393030 SSW393030:SSX393030 TCS393030:TCT393030 TMO393030:TMP393030 TWK393030:TWL393030 UGG393030:UGH393030 UQC393030:UQD393030 UZY393030:UZZ393030 VJU393030:VJV393030 VTQ393030:VTR393030 WDM393030:WDN393030 WNI393030:WNJ393030 WXE393030:WXF393030 KS458566:KT458566 UO458566:UP458566 AEK458566:AEL458566 AOG458566:AOH458566 AYC458566:AYD458566 BHY458566:BHZ458566 BRU458566:BRV458566 CBQ458566:CBR458566 CLM458566:CLN458566 CVI458566:CVJ458566 DFE458566:DFF458566 DPA458566:DPB458566 DYW458566:DYX458566 EIS458566:EIT458566 ESO458566:ESP458566 FCK458566:FCL458566 FMG458566:FMH458566 FWC458566:FWD458566 GFY458566:GFZ458566 GPU458566:GPV458566 GZQ458566:GZR458566 HJM458566:HJN458566 HTI458566:HTJ458566 IDE458566:IDF458566 INA458566:INB458566 IWW458566:IWX458566 JGS458566:JGT458566 JQO458566:JQP458566 KAK458566:KAL458566 KKG458566:KKH458566 KUC458566:KUD458566 LDY458566:LDZ458566 LNU458566:LNV458566 LXQ458566:LXR458566 MHM458566:MHN458566 MRI458566:MRJ458566 NBE458566:NBF458566 NLA458566:NLB458566 NUW458566:NUX458566 OES458566:OET458566 OOO458566:OOP458566 OYK458566:OYL458566 PIG458566:PIH458566 PSC458566:PSD458566 QBY458566:QBZ458566 QLU458566:QLV458566 QVQ458566:QVR458566 RFM458566:RFN458566 RPI458566:RPJ458566 RZE458566:RZF458566 SJA458566:SJB458566 SSW458566:SSX458566 TCS458566:TCT458566 TMO458566:TMP458566 TWK458566:TWL458566 UGG458566:UGH458566 UQC458566:UQD458566 UZY458566:UZZ458566 VJU458566:VJV458566 VTQ458566:VTR458566 WDM458566:WDN458566 WNI458566:WNJ458566 WXE458566:WXF458566 KS524102:KT524102 UO524102:UP524102 AEK524102:AEL524102 AOG524102:AOH524102 AYC524102:AYD524102 BHY524102:BHZ524102 BRU524102:BRV524102 CBQ524102:CBR524102 CLM524102:CLN524102 CVI524102:CVJ524102 DFE524102:DFF524102 DPA524102:DPB524102 DYW524102:DYX524102 EIS524102:EIT524102 ESO524102:ESP524102 FCK524102:FCL524102 FMG524102:FMH524102 FWC524102:FWD524102 GFY524102:GFZ524102 GPU524102:GPV524102 GZQ524102:GZR524102 HJM524102:HJN524102 HTI524102:HTJ524102 IDE524102:IDF524102 INA524102:INB524102 IWW524102:IWX524102 JGS524102:JGT524102 JQO524102:JQP524102 KAK524102:KAL524102 KKG524102:KKH524102 KUC524102:KUD524102 LDY524102:LDZ524102 LNU524102:LNV524102 LXQ524102:LXR524102 MHM524102:MHN524102 MRI524102:MRJ524102 NBE524102:NBF524102 NLA524102:NLB524102 NUW524102:NUX524102 OES524102:OET524102 OOO524102:OOP524102 OYK524102:OYL524102 PIG524102:PIH524102 PSC524102:PSD524102 QBY524102:QBZ524102 QLU524102:QLV524102 QVQ524102:QVR524102 RFM524102:RFN524102 RPI524102:RPJ524102 RZE524102:RZF524102 SJA524102:SJB524102 SSW524102:SSX524102 TCS524102:TCT524102 TMO524102:TMP524102 TWK524102:TWL524102 UGG524102:UGH524102 UQC524102:UQD524102 UZY524102:UZZ524102 VJU524102:VJV524102 VTQ524102:VTR524102 WDM524102:WDN524102 WNI524102:WNJ524102 WXE524102:WXF524102 KS589638:KT589638 UO589638:UP589638 AEK589638:AEL589638 AOG589638:AOH589638 AYC589638:AYD589638 BHY589638:BHZ589638 BRU589638:BRV589638 CBQ589638:CBR589638 CLM589638:CLN589638 CVI589638:CVJ589638 DFE589638:DFF589638 DPA589638:DPB589638 DYW589638:DYX589638 EIS589638:EIT589638 ESO589638:ESP589638 FCK589638:FCL589638 FMG589638:FMH589638 FWC589638:FWD589638 GFY589638:GFZ589638 GPU589638:GPV589638 GZQ589638:GZR589638 HJM589638:HJN589638 HTI589638:HTJ589638 IDE589638:IDF589638 INA589638:INB589638 IWW589638:IWX589638 JGS589638:JGT589638 JQO589638:JQP589638 KAK589638:KAL589638 KKG589638:KKH589638 KUC589638:KUD589638 LDY589638:LDZ589638 LNU589638:LNV589638 LXQ589638:LXR589638 MHM589638:MHN589638 MRI589638:MRJ589638 NBE589638:NBF589638 NLA589638:NLB589638 NUW589638:NUX589638 OES589638:OET589638 OOO589638:OOP589638 OYK589638:OYL589638 PIG589638:PIH589638 PSC589638:PSD589638 QBY589638:QBZ589638 QLU589638:QLV589638 QVQ589638:QVR589638 RFM589638:RFN589638 RPI589638:RPJ589638 RZE589638:RZF589638 SJA589638:SJB589638 SSW589638:SSX589638 TCS589638:TCT589638 TMO589638:TMP589638 TWK589638:TWL589638 UGG589638:UGH589638 UQC589638:UQD589638 UZY589638:UZZ589638 VJU589638:VJV589638 VTQ589638:VTR589638 WDM589638:WDN589638 WNI589638:WNJ589638 WXE589638:WXF589638 KS655174:KT655174 UO655174:UP655174 AEK655174:AEL655174 AOG655174:AOH655174 AYC655174:AYD655174 BHY655174:BHZ655174 BRU655174:BRV655174 CBQ655174:CBR655174 CLM655174:CLN655174 CVI655174:CVJ655174 DFE655174:DFF655174 DPA655174:DPB655174 DYW655174:DYX655174 EIS655174:EIT655174 ESO655174:ESP655174 FCK655174:FCL655174 FMG655174:FMH655174 FWC655174:FWD655174 GFY655174:GFZ655174 GPU655174:GPV655174 GZQ655174:GZR655174 HJM655174:HJN655174 HTI655174:HTJ655174 IDE655174:IDF655174 INA655174:INB655174 IWW655174:IWX655174 JGS655174:JGT655174 JQO655174:JQP655174 KAK655174:KAL655174 KKG655174:KKH655174 KUC655174:KUD655174 LDY655174:LDZ655174 LNU655174:LNV655174 LXQ655174:LXR655174 MHM655174:MHN655174 MRI655174:MRJ655174 NBE655174:NBF655174 NLA655174:NLB655174 NUW655174:NUX655174 OES655174:OET655174 OOO655174:OOP655174 OYK655174:OYL655174 PIG655174:PIH655174 PSC655174:PSD655174 QBY655174:QBZ655174 QLU655174:QLV655174 QVQ655174:QVR655174 RFM655174:RFN655174 RPI655174:RPJ655174 RZE655174:RZF655174 SJA655174:SJB655174 SSW655174:SSX655174 TCS655174:TCT655174 TMO655174:TMP655174 TWK655174:TWL655174 UGG655174:UGH655174 UQC655174:UQD655174 UZY655174:UZZ655174 VJU655174:VJV655174 VTQ655174:VTR655174 WDM655174:WDN655174 WNI655174:WNJ655174 WXE655174:WXF655174 KS720710:KT720710 UO720710:UP720710 AEK720710:AEL720710 AOG720710:AOH720710 AYC720710:AYD720710 BHY720710:BHZ720710 BRU720710:BRV720710 CBQ720710:CBR720710 CLM720710:CLN720710 CVI720710:CVJ720710 DFE720710:DFF720710 DPA720710:DPB720710 DYW720710:DYX720710 EIS720710:EIT720710 ESO720710:ESP720710 FCK720710:FCL720710 FMG720710:FMH720710 FWC720710:FWD720710 GFY720710:GFZ720710 GPU720710:GPV720710 GZQ720710:GZR720710 HJM720710:HJN720710 HTI720710:HTJ720710 IDE720710:IDF720710 INA720710:INB720710 IWW720710:IWX720710 JGS720710:JGT720710 JQO720710:JQP720710 KAK720710:KAL720710 KKG720710:KKH720710 KUC720710:KUD720710 LDY720710:LDZ720710 LNU720710:LNV720710 LXQ720710:LXR720710 MHM720710:MHN720710 MRI720710:MRJ720710 NBE720710:NBF720710 NLA720710:NLB720710 NUW720710:NUX720710 OES720710:OET720710 OOO720710:OOP720710 OYK720710:OYL720710 PIG720710:PIH720710 PSC720710:PSD720710 QBY720710:QBZ720710 QLU720710:QLV720710 QVQ720710:QVR720710 RFM720710:RFN720710 RPI720710:RPJ720710 RZE720710:RZF720710 SJA720710:SJB720710 SSW720710:SSX720710 TCS720710:TCT720710 TMO720710:TMP720710 TWK720710:TWL720710 UGG720710:UGH720710 UQC720710:UQD720710 UZY720710:UZZ720710 VJU720710:VJV720710 VTQ720710:VTR720710 WDM720710:WDN720710 WNI720710:WNJ720710 WXE720710:WXF720710 KS786246:KT786246 UO786246:UP786246 AEK786246:AEL786246 AOG786246:AOH786246 AYC786246:AYD786246 BHY786246:BHZ786246 BRU786246:BRV786246 CBQ786246:CBR786246 CLM786246:CLN786246 CVI786246:CVJ786246 DFE786246:DFF786246 DPA786246:DPB786246 DYW786246:DYX786246 EIS786246:EIT786246 ESO786246:ESP786246 FCK786246:FCL786246 FMG786246:FMH786246 FWC786246:FWD786246 GFY786246:GFZ786246 GPU786246:GPV786246 GZQ786246:GZR786246 HJM786246:HJN786246 HTI786246:HTJ786246 IDE786246:IDF786246 INA786246:INB786246 IWW786246:IWX786246 JGS786246:JGT786246 JQO786246:JQP786246 KAK786246:KAL786246 KKG786246:KKH786246 KUC786246:KUD786246 LDY786246:LDZ786246 LNU786246:LNV786246 LXQ786246:LXR786246 MHM786246:MHN786246 MRI786246:MRJ786246 NBE786246:NBF786246 NLA786246:NLB786246 NUW786246:NUX786246 OES786246:OET786246 OOO786246:OOP786246 OYK786246:OYL786246 PIG786246:PIH786246 PSC786246:PSD786246 QBY786246:QBZ786246 QLU786246:QLV786246 QVQ786246:QVR786246 RFM786246:RFN786246 RPI786246:RPJ786246 RZE786246:RZF786246 SJA786246:SJB786246 SSW786246:SSX786246 TCS786246:TCT786246 TMO786246:TMP786246 TWK786246:TWL786246 UGG786246:UGH786246 UQC786246:UQD786246 UZY786246:UZZ786246 VJU786246:VJV786246 VTQ786246:VTR786246 WDM786246:WDN786246 WNI786246:WNJ786246 WXE786246:WXF786246 KS851782:KT851782 UO851782:UP851782 AEK851782:AEL851782 AOG851782:AOH851782 AYC851782:AYD851782 BHY851782:BHZ851782 BRU851782:BRV851782 CBQ851782:CBR851782 CLM851782:CLN851782 CVI851782:CVJ851782 DFE851782:DFF851782 DPA851782:DPB851782 DYW851782:DYX851782 EIS851782:EIT851782 ESO851782:ESP851782 FCK851782:FCL851782 FMG851782:FMH851782 FWC851782:FWD851782 GFY851782:GFZ851782 GPU851782:GPV851782 GZQ851782:GZR851782 HJM851782:HJN851782 HTI851782:HTJ851782 IDE851782:IDF851782 INA851782:INB851782 IWW851782:IWX851782 JGS851782:JGT851782 JQO851782:JQP851782 KAK851782:KAL851782 KKG851782:KKH851782 KUC851782:KUD851782 LDY851782:LDZ851782 LNU851782:LNV851782 LXQ851782:LXR851782 MHM851782:MHN851782 MRI851782:MRJ851782 NBE851782:NBF851782 NLA851782:NLB851782 NUW851782:NUX851782 OES851782:OET851782 OOO851782:OOP851782 OYK851782:OYL851782 PIG851782:PIH851782 PSC851782:PSD851782 QBY851782:QBZ851782 QLU851782:QLV851782 QVQ851782:QVR851782 RFM851782:RFN851782 RPI851782:RPJ851782 RZE851782:RZF851782 SJA851782:SJB851782 SSW851782:SSX851782 TCS851782:TCT851782 TMO851782:TMP851782 TWK851782:TWL851782 UGG851782:UGH851782 UQC851782:UQD851782 UZY851782:UZZ851782 VJU851782:VJV851782 VTQ851782:VTR851782 WDM851782:WDN851782 WNI851782:WNJ851782 WXE851782:WXF851782 KS917318:KT917318 UO917318:UP917318 AEK917318:AEL917318 AOG917318:AOH917318 AYC917318:AYD917318 BHY917318:BHZ917318 BRU917318:BRV917318 CBQ917318:CBR917318 CLM917318:CLN917318 CVI917318:CVJ917318 DFE917318:DFF917318 DPA917318:DPB917318 DYW917318:DYX917318 EIS917318:EIT917318 ESO917318:ESP917318 FCK917318:FCL917318 FMG917318:FMH917318 FWC917318:FWD917318 GFY917318:GFZ917318 GPU917318:GPV917318 GZQ917318:GZR917318 HJM917318:HJN917318 HTI917318:HTJ917318 IDE917318:IDF917318 INA917318:INB917318 IWW917318:IWX917318 JGS917318:JGT917318 JQO917318:JQP917318 KAK917318:KAL917318 KKG917318:KKH917318 KUC917318:KUD917318 LDY917318:LDZ917318 LNU917318:LNV917318 LXQ917318:LXR917318 MHM917318:MHN917318 MRI917318:MRJ917318 NBE917318:NBF917318 NLA917318:NLB917318 NUW917318:NUX917318 OES917318:OET917318 OOO917318:OOP917318 OYK917318:OYL917318 PIG917318:PIH917318 PSC917318:PSD917318 QBY917318:QBZ917318 QLU917318:QLV917318 QVQ917318:QVR917318 RFM917318:RFN917318 RPI917318:RPJ917318 RZE917318:RZF917318 SJA917318:SJB917318 SSW917318:SSX917318 TCS917318:TCT917318 TMO917318:TMP917318 TWK917318:TWL917318 UGG917318:UGH917318 UQC917318:UQD917318 UZY917318:UZZ917318 VJU917318:VJV917318 VTQ917318:VTR917318 WDM917318:WDN917318 WNI917318:WNJ917318 WXE917318:WXF917318 KS982854:KT982854 UO982854:UP982854 AEK982854:AEL982854 AOG982854:AOH982854 AYC982854:AYD982854 BHY982854:BHZ982854 BRU982854:BRV982854 CBQ982854:CBR982854 CLM982854:CLN982854 CVI982854:CVJ982854 DFE982854:DFF982854 DPA982854:DPB982854 DYW982854:DYX982854 EIS982854:EIT982854 ESO982854:ESP982854 FCK982854:FCL982854 FMG982854:FMH982854 FWC982854:FWD982854 GFY982854:GFZ982854 GPU982854:GPV982854 GZQ982854:GZR982854 HJM982854:HJN982854 HTI982854:HTJ982854 IDE982854:IDF982854 INA982854:INB982854 IWW982854:IWX982854 JGS982854:JGT982854 JQO982854:JQP982854 KAK982854:KAL982854 KKG982854:KKH982854 KUC982854:KUD982854 LDY982854:LDZ982854 LNU982854:LNV982854 LXQ982854:LXR982854 MHM982854:MHN982854 MRI982854:MRJ982854 NBE982854:NBF982854 NLA982854:NLB982854 NUW982854:NUX982854 OES982854:OET982854 OOO982854:OOP982854 OYK982854:OYL982854 PIG982854:PIH982854 PSC982854:PSD982854 QBY982854:QBZ982854 QLU982854:QLV982854 QVQ982854:QVR982854 RFM982854:RFN982854 RPI982854:RPJ982854 RZE982854:RZF982854 SJA982854:SJB982854 SSW982854:SSX982854 TCS982854:TCT982854 TMO982854:TMP982854 TWK982854:TWL982854 UGG982854:UGH982854 UQC982854:UQD982854 UZY982854:UZZ982854 VJU982854:VJV982854 VTQ982854:VTR982854 WDM982854:WDN982854 WNI982854:WNJ982854 WXE982854:WXF982854 KS786217:KT786221 UO786217:UP786221 AEK786217:AEL786221 AOG786217:AOH786221 AYC786217:AYD786221 BHY786217:BHZ786221 BRU786217:BRV786221 CBQ786217:CBR786221 CLM786217:CLN786221 CVI786217:CVJ786221 DFE786217:DFF786221 DPA786217:DPB786221 DYW786217:DYX786221 EIS786217:EIT786221 ESO786217:ESP786221 FCK786217:FCL786221 FMG786217:FMH786221 FWC786217:FWD786221 GFY786217:GFZ786221 GPU786217:GPV786221 GZQ786217:GZR786221 HJM786217:HJN786221 HTI786217:HTJ786221 IDE786217:IDF786221 INA786217:INB786221 IWW786217:IWX786221 JGS786217:JGT786221 JQO786217:JQP786221 KAK786217:KAL786221 KKG786217:KKH786221 KUC786217:KUD786221 LDY786217:LDZ786221 LNU786217:LNV786221 LXQ786217:LXR786221 MHM786217:MHN786221 MRI786217:MRJ786221 NBE786217:NBF786221 NLA786217:NLB786221 NUW786217:NUX786221 OES786217:OET786221 OOO786217:OOP786221 OYK786217:OYL786221 PIG786217:PIH786221 PSC786217:PSD786221 QBY786217:QBZ786221 QLU786217:QLV786221 QVQ786217:QVR786221 RFM786217:RFN786221 RPI786217:RPJ786221 RZE786217:RZF786221 SJA786217:SJB786221 SSW786217:SSX786221 TCS786217:TCT786221 TMO786217:TMP786221 TWK786217:TWL786221 UGG786217:UGH786221 UQC786217:UQD786221 UZY786217:UZZ786221 VJU786217:VJV786221 VTQ786217:VTR786221 WDM786217:WDN786221 WNI786217:WNJ786221 WXE786217:WXF786221 KS65319:KT65319 UO65319:UP65319 AEK65319:AEL65319 AOG65319:AOH65319 AYC65319:AYD65319 BHY65319:BHZ65319 BRU65319:BRV65319 CBQ65319:CBR65319 CLM65319:CLN65319 CVI65319:CVJ65319 DFE65319:DFF65319 DPA65319:DPB65319 DYW65319:DYX65319 EIS65319:EIT65319 ESO65319:ESP65319 FCK65319:FCL65319 FMG65319:FMH65319 FWC65319:FWD65319 GFY65319:GFZ65319 GPU65319:GPV65319 GZQ65319:GZR65319 HJM65319:HJN65319 HTI65319:HTJ65319 IDE65319:IDF65319 INA65319:INB65319 IWW65319:IWX65319 JGS65319:JGT65319 JQO65319:JQP65319 KAK65319:KAL65319 KKG65319:KKH65319 KUC65319:KUD65319 LDY65319:LDZ65319 LNU65319:LNV65319 LXQ65319:LXR65319 MHM65319:MHN65319 MRI65319:MRJ65319 NBE65319:NBF65319 NLA65319:NLB65319 NUW65319:NUX65319 OES65319:OET65319 OOO65319:OOP65319 OYK65319:OYL65319 PIG65319:PIH65319 PSC65319:PSD65319 QBY65319:QBZ65319 QLU65319:QLV65319 QVQ65319:QVR65319 RFM65319:RFN65319 RPI65319:RPJ65319 RZE65319:RZF65319 SJA65319:SJB65319 SSW65319:SSX65319 TCS65319:TCT65319 TMO65319:TMP65319 TWK65319:TWL65319 UGG65319:UGH65319 UQC65319:UQD65319 UZY65319:UZZ65319 VJU65319:VJV65319 VTQ65319:VTR65319 WDM65319:WDN65319 WNI65319:WNJ65319 WXE65319:WXF65319 KS130855:KT130855 UO130855:UP130855 AEK130855:AEL130855 AOG130855:AOH130855 AYC130855:AYD130855 BHY130855:BHZ130855 BRU130855:BRV130855 CBQ130855:CBR130855 CLM130855:CLN130855 CVI130855:CVJ130855 DFE130855:DFF130855 DPA130855:DPB130855 DYW130855:DYX130855 EIS130855:EIT130855 ESO130855:ESP130855 FCK130855:FCL130855 FMG130855:FMH130855 FWC130855:FWD130855 GFY130855:GFZ130855 GPU130855:GPV130855 GZQ130855:GZR130855 HJM130855:HJN130855 HTI130855:HTJ130855 IDE130855:IDF130855 INA130855:INB130855 IWW130855:IWX130855 JGS130855:JGT130855 JQO130855:JQP130855 KAK130855:KAL130855 KKG130855:KKH130855 KUC130855:KUD130855 LDY130855:LDZ130855 LNU130855:LNV130855 LXQ130855:LXR130855 MHM130855:MHN130855 MRI130855:MRJ130855 NBE130855:NBF130855 NLA130855:NLB130855 NUW130855:NUX130855 OES130855:OET130855 OOO130855:OOP130855 OYK130855:OYL130855 PIG130855:PIH130855 PSC130855:PSD130855 QBY130855:QBZ130855 QLU130855:QLV130855 QVQ130855:QVR130855 RFM130855:RFN130855 RPI130855:RPJ130855 RZE130855:RZF130855 SJA130855:SJB130855 SSW130855:SSX130855 TCS130855:TCT130855 TMO130855:TMP130855 TWK130855:TWL130855 UGG130855:UGH130855 UQC130855:UQD130855 UZY130855:UZZ130855 VJU130855:VJV130855 VTQ130855:VTR130855 WDM130855:WDN130855 WNI130855:WNJ130855 WXE130855:WXF130855 KS196391:KT196391 UO196391:UP196391 AEK196391:AEL196391 AOG196391:AOH196391 AYC196391:AYD196391 BHY196391:BHZ196391 BRU196391:BRV196391 CBQ196391:CBR196391 CLM196391:CLN196391 CVI196391:CVJ196391 DFE196391:DFF196391 DPA196391:DPB196391 DYW196391:DYX196391 EIS196391:EIT196391 ESO196391:ESP196391 FCK196391:FCL196391 FMG196391:FMH196391 FWC196391:FWD196391 GFY196391:GFZ196391 GPU196391:GPV196391 GZQ196391:GZR196391 HJM196391:HJN196391 HTI196391:HTJ196391 IDE196391:IDF196391 INA196391:INB196391 IWW196391:IWX196391 JGS196391:JGT196391 JQO196391:JQP196391 KAK196391:KAL196391 KKG196391:KKH196391 KUC196391:KUD196391 LDY196391:LDZ196391 LNU196391:LNV196391 LXQ196391:LXR196391 MHM196391:MHN196391 MRI196391:MRJ196391 NBE196391:NBF196391 NLA196391:NLB196391 NUW196391:NUX196391 OES196391:OET196391 OOO196391:OOP196391 OYK196391:OYL196391 PIG196391:PIH196391 PSC196391:PSD196391 QBY196391:QBZ196391 QLU196391:QLV196391 QVQ196391:QVR196391 RFM196391:RFN196391 RPI196391:RPJ196391 RZE196391:RZF196391 SJA196391:SJB196391 SSW196391:SSX196391 TCS196391:TCT196391 TMO196391:TMP196391 TWK196391:TWL196391 UGG196391:UGH196391 UQC196391:UQD196391 UZY196391:UZZ196391 VJU196391:VJV196391 VTQ196391:VTR196391 WDM196391:WDN196391 WNI196391:WNJ196391 WXE196391:WXF196391 KS261927:KT261927 UO261927:UP261927 AEK261927:AEL261927 AOG261927:AOH261927 AYC261927:AYD261927 BHY261927:BHZ261927 BRU261927:BRV261927 CBQ261927:CBR261927 CLM261927:CLN261927 CVI261927:CVJ261927 DFE261927:DFF261927 DPA261927:DPB261927 DYW261927:DYX261927 EIS261927:EIT261927 ESO261927:ESP261927 FCK261927:FCL261927 FMG261927:FMH261927 FWC261927:FWD261927 GFY261927:GFZ261927 GPU261927:GPV261927 GZQ261927:GZR261927 HJM261927:HJN261927 HTI261927:HTJ261927 IDE261927:IDF261927 INA261927:INB261927 IWW261927:IWX261927 JGS261927:JGT261927 JQO261927:JQP261927 KAK261927:KAL261927 KKG261927:KKH261927 KUC261927:KUD261927 LDY261927:LDZ261927 LNU261927:LNV261927 LXQ261927:LXR261927 MHM261927:MHN261927 MRI261927:MRJ261927 NBE261927:NBF261927 NLA261927:NLB261927 NUW261927:NUX261927 OES261927:OET261927 OOO261927:OOP261927 OYK261927:OYL261927 PIG261927:PIH261927 PSC261927:PSD261927 QBY261927:QBZ261927 QLU261927:QLV261927 QVQ261927:QVR261927 RFM261927:RFN261927 RPI261927:RPJ261927 RZE261927:RZF261927 SJA261927:SJB261927 SSW261927:SSX261927 TCS261927:TCT261927 TMO261927:TMP261927 TWK261927:TWL261927 UGG261927:UGH261927 UQC261927:UQD261927 UZY261927:UZZ261927 VJU261927:VJV261927 VTQ261927:VTR261927 WDM261927:WDN261927 WNI261927:WNJ261927 WXE261927:WXF261927 KS327463:KT327463 UO327463:UP327463 AEK327463:AEL327463 AOG327463:AOH327463 AYC327463:AYD327463 BHY327463:BHZ327463 BRU327463:BRV327463 CBQ327463:CBR327463 CLM327463:CLN327463 CVI327463:CVJ327463 DFE327463:DFF327463 DPA327463:DPB327463 DYW327463:DYX327463 EIS327463:EIT327463 ESO327463:ESP327463 FCK327463:FCL327463 FMG327463:FMH327463 FWC327463:FWD327463 GFY327463:GFZ327463 GPU327463:GPV327463 GZQ327463:GZR327463 HJM327463:HJN327463 HTI327463:HTJ327463 IDE327463:IDF327463 INA327463:INB327463 IWW327463:IWX327463 JGS327463:JGT327463 JQO327463:JQP327463 KAK327463:KAL327463 KKG327463:KKH327463 KUC327463:KUD327463 LDY327463:LDZ327463 LNU327463:LNV327463 LXQ327463:LXR327463 MHM327463:MHN327463 MRI327463:MRJ327463 NBE327463:NBF327463 NLA327463:NLB327463 NUW327463:NUX327463 OES327463:OET327463 OOO327463:OOP327463 OYK327463:OYL327463 PIG327463:PIH327463 PSC327463:PSD327463 QBY327463:QBZ327463 QLU327463:QLV327463 QVQ327463:QVR327463 RFM327463:RFN327463 RPI327463:RPJ327463 RZE327463:RZF327463 SJA327463:SJB327463 SSW327463:SSX327463 TCS327463:TCT327463 TMO327463:TMP327463 TWK327463:TWL327463 UGG327463:UGH327463 UQC327463:UQD327463 UZY327463:UZZ327463 VJU327463:VJV327463 VTQ327463:VTR327463 WDM327463:WDN327463 WNI327463:WNJ327463 WXE327463:WXF327463 KS392999:KT392999 UO392999:UP392999 AEK392999:AEL392999 AOG392999:AOH392999 AYC392999:AYD392999 BHY392999:BHZ392999 BRU392999:BRV392999 CBQ392999:CBR392999 CLM392999:CLN392999 CVI392999:CVJ392999 DFE392999:DFF392999 DPA392999:DPB392999 DYW392999:DYX392999 EIS392999:EIT392999 ESO392999:ESP392999 FCK392999:FCL392999 FMG392999:FMH392999 FWC392999:FWD392999 GFY392999:GFZ392999 GPU392999:GPV392999 GZQ392999:GZR392999 HJM392999:HJN392999 HTI392999:HTJ392999 IDE392999:IDF392999 INA392999:INB392999 IWW392999:IWX392999 JGS392999:JGT392999 JQO392999:JQP392999 KAK392999:KAL392999 KKG392999:KKH392999 KUC392999:KUD392999 LDY392999:LDZ392999 LNU392999:LNV392999 LXQ392999:LXR392999 MHM392999:MHN392999 MRI392999:MRJ392999 NBE392999:NBF392999 NLA392999:NLB392999 NUW392999:NUX392999 OES392999:OET392999 OOO392999:OOP392999 OYK392999:OYL392999 PIG392999:PIH392999 PSC392999:PSD392999 QBY392999:QBZ392999 QLU392999:QLV392999 QVQ392999:QVR392999 RFM392999:RFN392999 RPI392999:RPJ392999 RZE392999:RZF392999 SJA392999:SJB392999 SSW392999:SSX392999 TCS392999:TCT392999 TMO392999:TMP392999 TWK392999:TWL392999 UGG392999:UGH392999 UQC392999:UQD392999 UZY392999:UZZ392999 VJU392999:VJV392999 VTQ392999:VTR392999 WDM392999:WDN392999 WNI392999:WNJ392999 WXE392999:WXF392999 KS458535:KT458535 UO458535:UP458535 AEK458535:AEL458535 AOG458535:AOH458535 AYC458535:AYD458535 BHY458535:BHZ458535 BRU458535:BRV458535 CBQ458535:CBR458535 CLM458535:CLN458535 CVI458535:CVJ458535 DFE458535:DFF458535 DPA458535:DPB458535 DYW458535:DYX458535 EIS458535:EIT458535 ESO458535:ESP458535 FCK458535:FCL458535 FMG458535:FMH458535 FWC458535:FWD458535 GFY458535:GFZ458535 GPU458535:GPV458535 GZQ458535:GZR458535 HJM458535:HJN458535 HTI458535:HTJ458535 IDE458535:IDF458535 INA458535:INB458535 IWW458535:IWX458535 JGS458535:JGT458535 JQO458535:JQP458535 KAK458535:KAL458535 KKG458535:KKH458535 KUC458535:KUD458535 LDY458535:LDZ458535 LNU458535:LNV458535 LXQ458535:LXR458535 MHM458535:MHN458535 MRI458535:MRJ458535 NBE458535:NBF458535 NLA458535:NLB458535 NUW458535:NUX458535 OES458535:OET458535 OOO458535:OOP458535 OYK458535:OYL458535 PIG458535:PIH458535 PSC458535:PSD458535 QBY458535:QBZ458535 QLU458535:QLV458535 QVQ458535:QVR458535 RFM458535:RFN458535 RPI458535:RPJ458535 RZE458535:RZF458535 SJA458535:SJB458535 SSW458535:SSX458535 TCS458535:TCT458535 TMO458535:TMP458535 TWK458535:TWL458535 UGG458535:UGH458535 UQC458535:UQD458535 UZY458535:UZZ458535 VJU458535:VJV458535 VTQ458535:VTR458535 WDM458535:WDN458535 WNI458535:WNJ458535 WXE458535:WXF458535 KS524071:KT524071 UO524071:UP524071 AEK524071:AEL524071 AOG524071:AOH524071 AYC524071:AYD524071 BHY524071:BHZ524071 BRU524071:BRV524071 CBQ524071:CBR524071 CLM524071:CLN524071 CVI524071:CVJ524071 DFE524071:DFF524071 DPA524071:DPB524071 DYW524071:DYX524071 EIS524071:EIT524071 ESO524071:ESP524071 FCK524071:FCL524071 FMG524071:FMH524071 FWC524071:FWD524071 GFY524071:GFZ524071 GPU524071:GPV524071 GZQ524071:GZR524071 HJM524071:HJN524071 HTI524071:HTJ524071 IDE524071:IDF524071 INA524071:INB524071 IWW524071:IWX524071 JGS524071:JGT524071 JQO524071:JQP524071 KAK524071:KAL524071 KKG524071:KKH524071 KUC524071:KUD524071 LDY524071:LDZ524071 LNU524071:LNV524071 LXQ524071:LXR524071 MHM524071:MHN524071 MRI524071:MRJ524071 NBE524071:NBF524071 NLA524071:NLB524071 NUW524071:NUX524071 OES524071:OET524071 OOO524071:OOP524071 OYK524071:OYL524071 PIG524071:PIH524071 PSC524071:PSD524071 QBY524071:QBZ524071 QLU524071:QLV524071 QVQ524071:QVR524071 RFM524071:RFN524071 RPI524071:RPJ524071 RZE524071:RZF524071 SJA524071:SJB524071 SSW524071:SSX524071 TCS524071:TCT524071 TMO524071:TMP524071 TWK524071:TWL524071 UGG524071:UGH524071 UQC524071:UQD524071 UZY524071:UZZ524071 VJU524071:VJV524071 VTQ524071:VTR524071 WDM524071:WDN524071 WNI524071:WNJ524071 WXE524071:WXF524071 KS589607:KT589607 UO589607:UP589607 AEK589607:AEL589607 AOG589607:AOH589607 AYC589607:AYD589607 BHY589607:BHZ589607 BRU589607:BRV589607 CBQ589607:CBR589607 CLM589607:CLN589607 CVI589607:CVJ589607 DFE589607:DFF589607 DPA589607:DPB589607 DYW589607:DYX589607 EIS589607:EIT589607 ESO589607:ESP589607 FCK589607:FCL589607 FMG589607:FMH589607 FWC589607:FWD589607 GFY589607:GFZ589607 GPU589607:GPV589607 GZQ589607:GZR589607 HJM589607:HJN589607 HTI589607:HTJ589607 IDE589607:IDF589607 INA589607:INB589607 IWW589607:IWX589607 JGS589607:JGT589607 JQO589607:JQP589607 KAK589607:KAL589607 KKG589607:KKH589607 KUC589607:KUD589607 LDY589607:LDZ589607 LNU589607:LNV589607 LXQ589607:LXR589607 MHM589607:MHN589607 MRI589607:MRJ589607 NBE589607:NBF589607 NLA589607:NLB589607 NUW589607:NUX589607 OES589607:OET589607 OOO589607:OOP589607 OYK589607:OYL589607 PIG589607:PIH589607 PSC589607:PSD589607 QBY589607:QBZ589607 QLU589607:QLV589607 QVQ589607:QVR589607 RFM589607:RFN589607 RPI589607:RPJ589607 RZE589607:RZF589607 SJA589607:SJB589607 SSW589607:SSX589607 TCS589607:TCT589607 TMO589607:TMP589607 TWK589607:TWL589607 UGG589607:UGH589607 UQC589607:UQD589607 UZY589607:UZZ589607 VJU589607:VJV589607 VTQ589607:VTR589607 WDM589607:WDN589607 WNI589607:WNJ589607 WXE589607:WXF589607 KS655143:KT655143 UO655143:UP655143 AEK655143:AEL655143 AOG655143:AOH655143 AYC655143:AYD655143 BHY655143:BHZ655143 BRU655143:BRV655143 CBQ655143:CBR655143 CLM655143:CLN655143 CVI655143:CVJ655143 DFE655143:DFF655143 DPA655143:DPB655143 DYW655143:DYX655143 EIS655143:EIT655143 ESO655143:ESP655143 FCK655143:FCL655143 FMG655143:FMH655143 FWC655143:FWD655143 GFY655143:GFZ655143 GPU655143:GPV655143 GZQ655143:GZR655143 HJM655143:HJN655143 HTI655143:HTJ655143 IDE655143:IDF655143 INA655143:INB655143 IWW655143:IWX655143 JGS655143:JGT655143 JQO655143:JQP655143 KAK655143:KAL655143 KKG655143:KKH655143 KUC655143:KUD655143 LDY655143:LDZ655143 LNU655143:LNV655143 LXQ655143:LXR655143 MHM655143:MHN655143 MRI655143:MRJ655143 NBE655143:NBF655143 NLA655143:NLB655143 NUW655143:NUX655143 OES655143:OET655143 OOO655143:OOP655143 OYK655143:OYL655143 PIG655143:PIH655143 PSC655143:PSD655143 QBY655143:QBZ655143 QLU655143:QLV655143 QVQ655143:QVR655143 RFM655143:RFN655143 RPI655143:RPJ655143 RZE655143:RZF655143 SJA655143:SJB655143 SSW655143:SSX655143 TCS655143:TCT655143 TMO655143:TMP655143 TWK655143:TWL655143 UGG655143:UGH655143 UQC655143:UQD655143 UZY655143:UZZ655143 VJU655143:VJV655143 VTQ655143:VTR655143 WDM655143:WDN655143 WNI655143:WNJ655143 WXE655143:WXF655143 KS720679:KT720679 UO720679:UP720679 AEK720679:AEL720679 AOG720679:AOH720679 AYC720679:AYD720679 BHY720679:BHZ720679 BRU720679:BRV720679 CBQ720679:CBR720679 CLM720679:CLN720679 CVI720679:CVJ720679 DFE720679:DFF720679 DPA720679:DPB720679 DYW720679:DYX720679 EIS720679:EIT720679 ESO720679:ESP720679 FCK720679:FCL720679 FMG720679:FMH720679 FWC720679:FWD720679 GFY720679:GFZ720679 GPU720679:GPV720679 GZQ720679:GZR720679 HJM720679:HJN720679 HTI720679:HTJ720679 IDE720679:IDF720679 INA720679:INB720679 IWW720679:IWX720679 JGS720679:JGT720679 JQO720679:JQP720679 KAK720679:KAL720679 KKG720679:KKH720679 KUC720679:KUD720679 LDY720679:LDZ720679 LNU720679:LNV720679 LXQ720679:LXR720679 MHM720679:MHN720679 MRI720679:MRJ720679 NBE720679:NBF720679 NLA720679:NLB720679 NUW720679:NUX720679 OES720679:OET720679 OOO720679:OOP720679 OYK720679:OYL720679 PIG720679:PIH720679 PSC720679:PSD720679 QBY720679:QBZ720679 QLU720679:QLV720679 QVQ720679:QVR720679 RFM720679:RFN720679 RPI720679:RPJ720679 RZE720679:RZF720679 SJA720679:SJB720679 SSW720679:SSX720679 TCS720679:TCT720679 TMO720679:TMP720679 TWK720679:TWL720679 UGG720679:UGH720679 UQC720679:UQD720679 UZY720679:UZZ720679 VJU720679:VJV720679 VTQ720679:VTR720679 WDM720679:WDN720679 WNI720679:WNJ720679 WXE720679:WXF720679 KS786215:KT786215 UO786215:UP786215 AEK786215:AEL786215 AOG786215:AOH786215 AYC786215:AYD786215 BHY786215:BHZ786215 BRU786215:BRV786215 CBQ786215:CBR786215 CLM786215:CLN786215 CVI786215:CVJ786215 DFE786215:DFF786215 DPA786215:DPB786215 DYW786215:DYX786215 EIS786215:EIT786215 ESO786215:ESP786215 FCK786215:FCL786215 FMG786215:FMH786215 FWC786215:FWD786215 GFY786215:GFZ786215 GPU786215:GPV786215 GZQ786215:GZR786215 HJM786215:HJN786215 HTI786215:HTJ786215 IDE786215:IDF786215 INA786215:INB786215 IWW786215:IWX786215 JGS786215:JGT786215 JQO786215:JQP786215 KAK786215:KAL786215 KKG786215:KKH786215 KUC786215:KUD786215 LDY786215:LDZ786215 LNU786215:LNV786215 LXQ786215:LXR786215 MHM786215:MHN786215 MRI786215:MRJ786215 NBE786215:NBF786215 NLA786215:NLB786215 NUW786215:NUX786215 OES786215:OET786215 OOO786215:OOP786215 OYK786215:OYL786215 PIG786215:PIH786215 PSC786215:PSD786215 QBY786215:QBZ786215 QLU786215:QLV786215 QVQ786215:QVR786215 RFM786215:RFN786215 RPI786215:RPJ786215 RZE786215:RZF786215 SJA786215:SJB786215 SSW786215:SSX786215 TCS786215:TCT786215 TMO786215:TMP786215 TWK786215:TWL786215 UGG786215:UGH786215 UQC786215:UQD786215 UZY786215:UZZ786215 VJU786215:VJV786215 VTQ786215:VTR786215 WDM786215:WDN786215 WNI786215:WNJ786215 WXE786215:WXF786215 KS851751:KT851751 UO851751:UP851751 AEK851751:AEL851751 AOG851751:AOH851751 AYC851751:AYD851751 BHY851751:BHZ851751 BRU851751:BRV851751 CBQ851751:CBR851751 CLM851751:CLN851751 CVI851751:CVJ851751 DFE851751:DFF851751 DPA851751:DPB851751 DYW851751:DYX851751 EIS851751:EIT851751 ESO851751:ESP851751 FCK851751:FCL851751 FMG851751:FMH851751 FWC851751:FWD851751 GFY851751:GFZ851751 GPU851751:GPV851751 GZQ851751:GZR851751 HJM851751:HJN851751 HTI851751:HTJ851751 IDE851751:IDF851751 INA851751:INB851751 IWW851751:IWX851751 JGS851751:JGT851751 JQO851751:JQP851751 KAK851751:KAL851751 KKG851751:KKH851751 KUC851751:KUD851751 LDY851751:LDZ851751 LNU851751:LNV851751 LXQ851751:LXR851751 MHM851751:MHN851751 MRI851751:MRJ851751 NBE851751:NBF851751 NLA851751:NLB851751 NUW851751:NUX851751 OES851751:OET851751 OOO851751:OOP851751 OYK851751:OYL851751 PIG851751:PIH851751 PSC851751:PSD851751 QBY851751:QBZ851751 QLU851751:QLV851751 QVQ851751:QVR851751 RFM851751:RFN851751 RPI851751:RPJ851751 RZE851751:RZF851751 SJA851751:SJB851751 SSW851751:SSX851751 TCS851751:TCT851751 TMO851751:TMP851751 TWK851751:TWL851751 UGG851751:UGH851751 UQC851751:UQD851751 UZY851751:UZZ851751 VJU851751:VJV851751 VTQ851751:VTR851751 WDM851751:WDN851751 WNI851751:WNJ851751 WXE851751:WXF851751 KS917287:KT917287 UO917287:UP917287 AEK917287:AEL917287 AOG917287:AOH917287 AYC917287:AYD917287 BHY917287:BHZ917287 BRU917287:BRV917287 CBQ917287:CBR917287 CLM917287:CLN917287 CVI917287:CVJ917287 DFE917287:DFF917287 DPA917287:DPB917287 DYW917287:DYX917287 EIS917287:EIT917287 ESO917287:ESP917287 FCK917287:FCL917287 FMG917287:FMH917287 FWC917287:FWD917287 GFY917287:GFZ917287 GPU917287:GPV917287 GZQ917287:GZR917287 HJM917287:HJN917287 HTI917287:HTJ917287 IDE917287:IDF917287 INA917287:INB917287 IWW917287:IWX917287 JGS917287:JGT917287 JQO917287:JQP917287 KAK917287:KAL917287 KKG917287:KKH917287 KUC917287:KUD917287 LDY917287:LDZ917287 LNU917287:LNV917287 LXQ917287:LXR917287 MHM917287:MHN917287 MRI917287:MRJ917287 NBE917287:NBF917287 NLA917287:NLB917287 NUW917287:NUX917287 OES917287:OET917287 OOO917287:OOP917287 OYK917287:OYL917287 PIG917287:PIH917287 PSC917287:PSD917287 QBY917287:QBZ917287 QLU917287:QLV917287 QVQ917287:QVR917287 RFM917287:RFN917287 RPI917287:RPJ917287 RZE917287:RZF917287 SJA917287:SJB917287 SSW917287:SSX917287 TCS917287:TCT917287 TMO917287:TMP917287 TWK917287:TWL917287 UGG917287:UGH917287 UQC917287:UQD917287 UZY917287:UZZ917287 VJU917287:VJV917287 VTQ917287:VTR917287 WDM917287:WDN917287 WNI917287:WNJ917287 WXE917287:WXF917287 KS982823:KT982823 UO982823:UP982823 AEK982823:AEL982823 AOG982823:AOH982823 AYC982823:AYD982823 BHY982823:BHZ982823 BRU982823:BRV982823 CBQ982823:CBR982823 CLM982823:CLN982823 CVI982823:CVJ982823 DFE982823:DFF982823 DPA982823:DPB982823 DYW982823:DYX982823 EIS982823:EIT982823 ESO982823:ESP982823 FCK982823:FCL982823 FMG982823:FMH982823 FWC982823:FWD982823 GFY982823:GFZ982823 GPU982823:GPV982823 GZQ982823:GZR982823 HJM982823:HJN982823 HTI982823:HTJ982823 IDE982823:IDF982823 INA982823:INB982823 IWW982823:IWX982823 JGS982823:JGT982823 JQO982823:JQP982823 KAK982823:KAL982823 KKG982823:KKH982823 KUC982823:KUD982823 LDY982823:LDZ982823 LNU982823:LNV982823 LXQ982823:LXR982823 MHM982823:MHN982823 MRI982823:MRJ982823 NBE982823:NBF982823 NLA982823:NLB982823 NUW982823:NUX982823 OES982823:OET982823 OOO982823:OOP982823 OYK982823:OYL982823 PIG982823:PIH982823 PSC982823:PSD982823 QBY982823:QBZ982823 QLU982823:QLV982823 QVQ982823:QVR982823 RFM982823:RFN982823 RPI982823:RPJ982823 RZE982823:RZF982823 SJA982823:SJB982823 SSW982823:SSX982823 TCS982823:TCT982823 TMO982823:TMP982823 TWK982823:TWL982823 UGG982823:UGH982823 UQC982823:UQD982823 UZY982823:UZZ982823 VJU982823:VJV982823 VTQ982823:VTR982823 WDM982823:WDN982823 WNI982823:WNJ982823 WXE982823:WXF982823 KS851753:KT851757 UO851753:UP851757 AEK851753:AEL851757 AOG851753:AOH851757 AYC851753:AYD851757 BHY851753:BHZ851757 BRU851753:BRV851757 CBQ851753:CBR851757 CLM851753:CLN851757 CVI851753:CVJ851757 DFE851753:DFF851757 DPA851753:DPB851757 DYW851753:DYX851757 EIS851753:EIT851757 ESO851753:ESP851757 FCK851753:FCL851757 FMG851753:FMH851757 FWC851753:FWD851757 GFY851753:GFZ851757 GPU851753:GPV851757 GZQ851753:GZR851757 HJM851753:HJN851757 HTI851753:HTJ851757 IDE851753:IDF851757 INA851753:INB851757 IWW851753:IWX851757 JGS851753:JGT851757 JQO851753:JQP851757 KAK851753:KAL851757 KKG851753:KKH851757 KUC851753:KUD851757 LDY851753:LDZ851757 LNU851753:LNV851757 LXQ851753:LXR851757 MHM851753:MHN851757 MRI851753:MRJ851757 NBE851753:NBF851757 NLA851753:NLB851757 NUW851753:NUX851757 OES851753:OET851757 OOO851753:OOP851757 OYK851753:OYL851757 PIG851753:PIH851757 PSC851753:PSD851757 QBY851753:QBZ851757 QLU851753:QLV851757 QVQ851753:QVR851757 RFM851753:RFN851757 RPI851753:RPJ851757 RZE851753:RZF851757 SJA851753:SJB851757 SSW851753:SSX851757 TCS851753:TCT851757 TMO851753:TMP851757 TWK851753:TWL851757 UGG851753:UGH851757 UQC851753:UQD851757 UZY851753:UZZ851757 VJU851753:VJV851757 VTQ851753:VTR851757 WDM851753:WDN851757 WNI851753:WNJ851757 WXE851753:WXF851757 KS65308:KT65308 UO65308:UP65308 AEK65308:AEL65308 AOG65308:AOH65308 AYC65308:AYD65308 BHY65308:BHZ65308 BRU65308:BRV65308 CBQ65308:CBR65308 CLM65308:CLN65308 CVI65308:CVJ65308 DFE65308:DFF65308 DPA65308:DPB65308 DYW65308:DYX65308 EIS65308:EIT65308 ESO65308:ESP65308 FCK65308:FCL65308 FMG65308:FMH65308 FWC65308:FWD65308 GFY65308:GFZ65308 GPU65308:GPV65308 GZQ65308:GZR65308 HJM65308:HJN65308 HTI65308:HTJ65308 IDE65308:IDF65308 INA65308:INB65308 IWW65308:IWX65308 JGS65308:JGT65308 JQO65308:JQP65308 KAK65308:KAL65308 KKG65308:KKH65308 KUC65308:KUD65308 LDY65308:LDZ65308 LNU65308:LNV65308 LXQ65308:LXR65308 MHM65308:MHN65308 MRI65308:MRJ65308 NBE65308:NBF65308 NLA65308:NLB65308 NUW65308:NUX65308 OES65308:OET65308 OOO65308:OOP65308 OYK65308:OYL65308 PIG65308:PIH65308 PSC65308:PSD65308 QBY65308:QBZ65308 QLU65308:QLV65308 QVQ65308:QVR65308 RFM65308:RFN65308 RPI65308:RPJ65308 RZE65308:RZF65308 SJA65308:SJB65308 SSW65308:SSX65308 TCS65308:TCT65308 TMO65308:TMP65308 TWK65308:TWL65308 UGG65308:UGH65308 UQC65308:UQD65308 UZY65308:UZZ65308 VJU65308:VJV65308 VTQ65308:VTR65308 WDM65308:WDN65308 WNI65308:WNJ65308 WXE65308:WXF65308 KS130844:KT130844 UO130844:UP130844 AEK130844:AEL130844 AOG130844:AOH130844 AYC130844:AYD130844 BHY130844:BHZ130844 BRU130844:BRV130844 CBQ130844:CBR130844 CLM130844:CLN130844 CVI130844:CVJ130844 DFE130844:DFF130844 DPA130844:DPB130844 DYW130844:DYX130844 EIS130844:EIT130844 ESO130844:ESP130844 FCK130844:FCL130844 FMG130844:FMH130844 FWC130844:FWD130844 GFY130844:GFZ130844 GPU130844:GPV130844 GZQ130844:GZR130844 HJM130844:HJN130844 HTI130844:HTJ130844 IDE130844:IDF130844 INA130844:INB130844 IWW130844:IWX130844 JGS130844:JGT130844 JQO130844:JQP130844 KAK130844:KAL130844 KKG130844:KKH130844 KUC130844:KUD130844 LDY130844:LDZ130844 LNU130844:LNV130844 LXQ130844:LXR130844 MHM130844:MHN130844 MRI130844:MRJ130844 NBE130844:NBF130844 NLA130844:NLB130844 NUW130844:NUX130844 OES130844:OET130844 OOO130844:OOP130844 OYK130844:OYL130844 PIG130844:PIH130844 PSC130844:PSD130844 QBY130844:QBZ130844 QLU130844:QLV130844 QVQ130844:QVR130844 RFM130844:RFN130844 RPI130844:RPJ130844 RZE130844:RZF130844 SJA130844:SJB130844 SSW130844:SSX130844 TCS130844:TCT130844 TMO130844:TMP130844 TWK130844:TWL130844 UGG130844:UGH130844 UQC130844:UQD130844 UZY130844:UZZ130844 VJU130844:VJV130844 VTQ130844:VTR130844 WDM130844:WDN130844 WNI130844:WNJ130844 WXE130844:WXF130844 KS196380:KT196380 UO196380:UP196380 AEK196380:AEL196380 AOG196380:AOH196380 AYC196380:AYD196380 BHY196380:BHZ196380 BRU196380:BRV196380 CBQ196380:CBR196380 CLM196380:CLN196380 CVI196380:CVJ196380 DFE196380:DFF196380 DPA196380:DPB196380 DYW196380:DYX196380 EIS196380:EIT196380 ESO196380:ESP196380 FCK196380:FCL196380 FMG196380:FMH196380 FWC196380:FWD196380 GFY196380:GFZ196380 GPU196380:GPV196380 GZQ196380:GZR196380 HJM196380:HJN196380 HTI196380:HTJ196380 IDE196380:IDF196380 INA196380:INB196380 IWW196380:IWX196380 JGS196380:JGT196380 JQO196380:JQP196380 KAK196380:KAL196380 KKG196380:KKH196380 KUC196380:KUD196380 LDY196380:LDZ196380 LNU196380:LNV196380 LXQ196380:LXR196380 MHM196380:MHN196380 MRI196380:MRJ196380 NBE196380:NBF196380 NLA196380:NLB196380 NUW196380:NUX196380 OES196380:OET196380 OOO196380:OOP196380 OYK196380:OYL196380 PIG196380:PIH196380 PSC196380:PSD196380 QBY196380:QBZ196380 QLU196380:QLV196380 QVQ196380:QVR196380 RFM196380:RFN196380 RPI196380:RPJ196380 RZE196380:RZF196380 SJA196380:SJB196380 SSW196380:SSX196380 TCS196380:TCT196380 TMO196380:TMP196380 TWK196380:TWL196380 UGG196380:UGH196380 UQC196380:UQD196380 UZY196380:UZZ196380 VJU196380:VJV196380 VTQ196380:VTR196380 WDM196380:WDN196380 WNI196380:WNJ196380 WXE196380:WXF196380 KS261916:KT261916 UO261916:UP261916 AEK261916:AEL261916 AOG261916:AOH261916 AYC261916:AYD261916 BHY261916:BHZ261916 BRU261916:BRV261916 CBQ261916:CBR261916 CLM261916:CLN261916 CVI261916:CVJ261916 DFE261916:DFF261916 DPA261916:DPB261916 DYW261916:DYX261916 EIS261916:EIT261916 ESO261916:ESP261916 FCK261916:FCL261916 FMG261916:FMH261916 FWC261916:FWD261916 GFY261916:GFZ261916 GPU261916:GPV261916 GZQ261916:GZR261916 HJM261916:HJN261916 HTI261916:HTJ261916 IDE261916:IDF261916 INA261916:INB261916 IWW261916:IWX261916 JGS261916:JGT261916 JQO261916:JQP261916 KAK261916:KAL261916 KKG261916:KKH261916 KUC261916:KUD261916 LDY261916:LDZ261916 LNU261916:LNV261916 LXQ261916:LXR261916 MHM261916:MHN261916 MRI261916:MRJ261916 NBE261916:NBF261916 NLA261916:NLB261916 NUW261916:NUX261916 OES261916:OET261916 OOO261916:OOP261916 OYK261916:OYL261916 PIG261916:PIH261916 PSC261916:PSD261916 QBY261916:QBZ261916 QLU261916:QLV261916 QVQ261916:QVR261916 RFM261916:RFN261916 RPI261916:RPJ261916 RZE261916:RZF261916 SJA261916:SJB261916 SSW261916:SSX261916 TCS261916:TCT261916 TMO261916:TMP261916 TWK261916:TWL261916 UGG261916:UGH261916 UQC261916:UQD261916 UZY261916:UZZ261916 VJU261916:VJV261916 VTQ261916:VTR261916 WDM261916:WDN261916 WNI261916:WNJ261916 WXE261916:WXF261916 KS327452:KT327452 UO327452:UP327452 AEK327452:AEL327452 AOG327452:AOH327452 AYC327452:AYD327452 BHY327452:BHZ327452 BRU327452:BRV327452 CBQ327452:CBR327452 CLM327452:CLN327452 CVI327452:CVJ327452 DFE327452:DFF327452 DPA327452:DPB327452 DYW327452:DYX327452 EIS327452:EIT327452 ESO327452:ESP327452 FCK327452:FCL327452 FMG327452:FMH327452 FWC327452:FWD327452 GFY327452:GFZ327452 GPU327452:GPV327452 GZQ327452:GZR327452 HJM327452:HJN327452 HTI327452:HTJ327452 IDE327452:IDF327452 INA327452:INB327452 IWW327452:IWX327452 JGS327452:JGT327452 JQO327452:JQP327452 KAK327452:KAL327452 KKG327452:KKH327452 KUC327452:KUD327452 LDY327452:LDZ327452 LNU327452:LNV327452 LXQ327452:LXR327452 MHM327452:MHN327452 MRI327452:MRJ327452 NBE327452:NBF327452 NLA327452:NLB327452 NUW327452:NUX327452 OES327452:OET327452 OOO327452:OOP327452 OYK327452:OYL327452 PIG327452:PIH327452 PSC327452:PSD327452 QBY327452:QBZ327452 QLU327452:QLV327452 QVQ327452:QVR327452 RFM327452:RFN327452 RPI327452:RPJ327452 RZE327452:RZF327452 SJA327452:SJB327452 SSW327452:SSX327452 TCS327452:TCT327452 TMO327452:TMP327452 TWK327452:TWL327452 UGG327452:UGH327452 UQC327452:UQD327452 UZY327452:UZZ327452 VJU327452:VJV327452 VTQ327452:VTR327452 WDM327452:WDN327452 WNI327452:WNJ327452 WXE327452:WXF327452 KS392988:KT392988 UO392988:UP392988 AEK392988:AEL392988 AOG392988:AOH392988 AYC392988:AYD392988 BHY392988:BHZ392988 BRU392988:BRV392988 CBQ392988:CBR392988 CLM392988:CLN392988 CVI392988:CVJ392988 DFE392988:DFF392988 DPA392988:DPB392988 DYW392988:DYX392988 EIS392988:EIT392988 ESO392988:ESP392988 FCK392988:FCL392988 FMG392988:FMH392988 FWC392988:FWD392988 GFY392988:GFZ392988 GPU392988:GPV392988 GZQ392988:GZR392988 HJM392988:HJN392988 HTI392988:HTJ392988 IDE392988:IDF392988 INA392988:INB392988 IWW392988:IWX392988 JGS392988:JGT392988 JQO392988:JQP392988 KAK392988:KAL392988 KKG392988:KKH392988 KUC392988:KUD392988 LDY392988:LDZ392988 LNU392988:LNV392988 LXQ392988:LXR392988 MHM392988:MHN392988 MRI392988:MRJ392988 NBE392988:NBF392988 NLA392988:NLB392988 NUW392988:NUX392988 OES392988:OET392988 OOO392988:OOP392988 OYK392988:OYL392988 PIG392988:PIH392988 PSC392988:PSD392988 QBY392988:QBZ392988 QLU392988:QLV392988 QVQ392988:QVR392988 RFM392988:RFN392988 RPI392988:RPJ392988 RZE392988:RZF392988 SJA392988:SJB392988 SSW392988:SSX392988 TCS392988:TCT392988 TMO392988:TMP392988 TWK392988:TWL392988 UGG392988:UGH392988 UQC392988:UQD392988 UZY392988:UZZ392988 VJU392988:VJV392988 VTQ392988:VTR392988 WDM392988:WDN392988 WNI392988:WNJ392988 WXE392988:WXF392988 KS458524:KT458524 UO458524:UP458524 AEK458524:AEL458524 AOG458524:AOH458524 AYC458524:AYD458524 BHY458524:BHZ458524 BRU458524:BRV458524 CBQ458524:CBR458524 CLM458524:CLN458524 CVI458524:CVJ458524 DFE458524:DFF458524 DPA458524:DPB458524 DYW458524:DYX458524 EIS458524:EIT458524 ESO458524:ESP458524 FCK458524:FCL458524 FMG458524:FMH458524 FWC458524:FWD458524 GFY458524:GFZ458524 GPU458524:GPV458524 GZQ458524:GZR458524 HJM458524:HJN458524 HTI458524:HTJ458524 IDE458524:IDF458524 INA458524:INB458524 IWW458524:IWX458524 JGS458524:JGT458524 JQO458524:JQP458524 KAK458524:KAL458524 KKG458524:KKH458524 KUC458524:KUD458524 LDY458524:LDZ458524 LNU458524:LNV458524 LXQ458524:LXR458524 MHM458524:MHN458524 MRI458524:MRJ458524 NBE458524:NBF458524 NLA458524:NLB458524 NUW458524:NUX458524 OES458524:OET458524 OOO458524:OOP458524 OYK458524:OYL458524 PIG458524:PIH458524 PSC458524:PSD458524 QBY458524:QBZ458524 QLU458524:QLV458524 QVQ458524:QVR458524 RFM458524:RFN458524 RPI458524:RPJ458524 RZE458524:RZF458524 SJA458524:SJB458524 SSW458524:SSX458524 TCS458524:TCT458524 TMO458524:TMP458524 TWK458524:TWL458524 UGG458524:UGH458524 UQC458524:UQD458524 UZY458524:UZZ458524 VJU458524:VJV458524 VTQ458524:VTR458524 WDM458524:WDN458524 WNI458524:WNJ458524 WXE458524:WXF458524 KS524060:KT524060 UO524060:UP524060 AEK524060:AEL524060 AOG524060:AOH524060 AYC524060:AYD524060 BHY524060:BHZ524060 BRU524060:BRV524060 CBQ524060:CBR524060 CLM524060:CLN524060 CVI524060:CVJ524060 DFE524060:DFF524060 DPA524060:DPB524060 DYW524060:DYX524060 EIS524060:EIT524060 ESO524060:ESP524060 FCK524060:FCL524060 FMG524060:FMH524060 FWC524060:FWD524060 GFY524060:GFZ524060 GPU524060:GPV524060 GZQ524060:GZR524060 HJM524060:HJN524060 HTI524060:HTJ524060 IDE524060:IDF524060 INA524060:INB524060 IWW524060:IWX524060 JGS524060:JGT524060 JQO524060:JQP524060 KAK524060:KAL524060 KKG524060:KKH524060 KUC524060:KUD524060 LDY524060:LDZ524060 LNU524060:LNV524060 LXQ524060:LXR524060 MHM524060:MHN524060 MRI524060:MRJ524060 NBE524060:NBF524060 NLA524060:NLB524060 NUW524060:NUX524060 OES524060:OET524060 OOO524060:OOP524060 OYK524060:OYL524060 PIG524060:PIH524060 PSC524060:PSD524060 QBY524060:QBZ524060 QLU524060:QLV524060 QVQ524060:QVR524060 RFM524060:RFN524060 RPI524060:RPJ524060 RZE524060:RZF524060 SJA524060:SJB524060 SSW524060:SSX524060 TCS524060:TCT524060 TMO524060:TMP524060 TWK524060:TWL524060 UGG524060:UGH524060 UQC524060:UQD524060 UZY524060:UZZ524060 VJU524060:VJV524060 VTQ524060:VTR524060 WDM524060:WDN524060 WNI524060:WNJ524060 WXE524060:WXF524060 KS589596:KT589596 UO589596:UP589596 AEK589596:AEL589596 AOG589596:AOH589596 AYC589596:AYD589596 BHY589596:BHZ589596 BRU589596:BRV589596 CBQ589596:CBR589596 CLM589596:CLN589596 CVI589596:CVJ589596 DFE589596:DFF589596 DPA589596:DPB589596 DYW589596:DYX589596 EIS589596:EIT589596 ESO589596:ESP589596 FCK589596:FCL589596 FMG589596:FMH589596 FWC589596:FWD589596 GFY589596:GFZ589596 GPU589596:GPV589596 GZQ589596:GZR589596 HJM589596:HJN589596 HTI589596:HTJ589596 IDE589596:IDF589596 INA589596:INB589596 IWW589596:IWX589596 JGS589596:JGT589596 JQO589596:JQP589596 KAK589596:KAL589596 KKG589596:KKH589596 KUC589596:KUD589596 LDY589596:LDZ589596 LNU589596:LNV589596 LXQ589596:LXR589596 MHM589596:MHN589596 MRI589596:MRJ589596 NBE589596:NBF589596 NLA589596:NLB589596 NUW589596:NUX589596 OES589596:OET589596 OOO589596:OOP589596 OYK589596:OYL589596 PIG589596:PIH589596 PSC589596:PSD589596 QBY589596:QBZ589596 QLU589596:QLV589596 QVQ589596:QVR589596 RFM589596:RFN589596 RPI589596:RPJ589596 RZE589596:RZF589596 SJA589596:SJB589596 SSW589596:SSX589596 TCS589596:TCT589596 TMO589596:TMP589596 TWK589596:TWL589596 UGG589596:UGH589596 UQC589596:UQD589596 UZY589596:UZZ589596 VJU589596:VJV589596 VTQ589596:VTR589596 WDM589596:WDN589596 WNI589596:WNJ589596 WXE589596:WXF589596 KS655132:KT655132 UO655132:UP655132 AEK655132:AEL655132 AOG655132:AOH655132 AYC655132:AYD655132 BHY655132:BHZ655132 BRU655132:BRV655132 CBQ655132:CBR655132 CLM655132:CLN655132 CVI655132:CVJ655132 DFE655132:DFF655132 DPA655132:DPB655132 DYW655132:DYX655132 EIS655132:EIT655132 ESO655132:ESP655132 FCK655132:FCL655132 FMG655132:FMH655132 FWC655132:FWD655132 GFY655132:GFZ655132 GPU655132:GPV655132 GZQ655132:GZR655132 HJM655132:HJN655132 HTI655132:HTJ655132 IDE655132:IDF655132 INA655132:INB655132 IWW655132:IWX655132 JGS655132:JGT655132 JQO655132:JQP655132 KAK655132:KAL655132 KKG655132:KKH655132 KUC655132:KUD655132 LDY655132:LDZ655132 LNU655132:LNV655132 LXQ655132:LXR655132 MHM655132:MHN655132 MRI655132:MRJ655132 NBE655132:NBF655132 NLA655132:NLB655132 NUW655132:NUX655132 OES655132:OET655132 OOO655132:OOP655132 OYK655132:OYL655132 PIG655132:PIH655132 PSC655132:PSD655132 QBY655132:QBZ655132 QLU655132:QLV655132 QVQ655132:QVR655132 RFM655132:RFN655132 RPI655132:RPJ655132 RZE655132:RZF655132 SJA655132:SJB655132 SSW655132:SSX655132 TCS655132:TCT655132 TMO655132:TMP655132 TWK655132:TWL655132 UGG655132:UGH655132 UQC655132:UQD655132 UZY655132:UZZ655132 VJU655132:VJV655132 VTQ655132:VTR655132 WDM655132:WDN655132 WNI655132:WNJ655132 WXE655132:WXF655132 KS720668:KT720668 UO720668:UP720668 AEK720668:AEL720668 AOG720668:AOH720668 AYC720668:AYD720668 BHY720668:BHZ720668 BRU720668:BRV720668 CBQ720668:CBR720668 CLM720668:CLN720668 CVI720668:CVJ720668 DFE720668:DFF720668 DPA720668:DPB720668 DYW720668:DYX720668 EIS720668:EIT720668 ESO720668:ESP720668 FCK720668:FCL720668 FMG720668:FMH720668 FWC720668:FWD720668 GFY720668:GFZ720668 GPU720668:GPV720668 GZQ720668:GZR720668 HJM720668:HJN720668 HTI720668:HTJ720668 IDE720668:IDF720668 INA720668:INB720668 IWW720668:IWX720668 JGS720668:JGT720668 JQO720668:JQP720668 KAK720668:KAL720668 KKG720668:KKH720668 KUC720668:KUD720668 LDY720668:LDZ720668 LNU720668:LNV720668 LXQ720668:LXR720668 MHM720668:MHN720668 MRI720668:MRJ720668 NBE720668:NBF720668 NLA720668:NLB720668 NUW720668:NUX720668 OES720668:OET720668 OOO720668:OOP720668 OYK720668:OYL720668 PIG720668:PIH720668 PSC720668:PSD720668 QBY720668:QBZ720668 QLU720668:QLV720668 QVQ720668:QVR720668 RFM720668:RFN720668 RPI720668:RPJ720668 RZE720668:RZF720668 SJA720668:SJB720668 SSW720668:SSX720668 TCS720668:TCT720668 TMO720668:TMP720668 TWK720668:TWL720668 UGG720668:UGH720668 UQC720668:UQD720668 UZY720668:UZZ720668 VJU720668:VJV720668 VTQ720668:VTR720668 WDM720668:WDN720668 WNI720668:WNJ720668 WXE720668:WXF720668 KS786204:KT786204 UO786204:UP786204 AEK786204:AEL786204 AOG786204:AOH786204 AYC786204:AYD786204 BHY786204:BHZ786204 BRU786204:BRV786204 CBQ786204:CBR786204 CLM786204:CLN786204 CVI786204:CVJ786204 DFE786204:DFF786204 DPA786204:DPB786204 DYW786204:DYX786204 EIS786204:EIT786204 ESO786204:ESP786204 FCK786204:FCL786204 FMG786204:FMH786204 FWC786204:FWD786204 GFY786204:GFZ786204 GPU786204:GPV786204 GZQ786204:GZR786204 HJM786204:HJN786204 HTI786204:HTJ786204 IDE786204:IDF786204 INA786204:INB786204 IWW786204:IWX786204 JGS786204:JGT786204 JQO786204:JQP786204 KAK786204:KAL786204 KKG786204:KKH786204 KUC786204:KUD786204 LDY786204:LDZ786204 LNU786204:LNV786204 LXQ786204:LXR786204 MHM786204:MHN786204 MRI786204:MRJ786204 NBE786204:NBF786204 NLA786204:NLB786204 NUW786204:NUX786204 OES786204:OET786204 OOO786204:OOP786204 OYK786204:OYL786204 PIG786204:PIH786204 PSC786204:PSD786204 QBY786204:QBZ786204 QLU786204:QLV786204 QVQ786204:QVR786204 RFM786204:RFN786204 RPI786204:RPJ786204 RZE786204:RZF786204 SJA786204:SJB786204 SSW786204:SSX786204 TCS786204:TCT786204 TMO786204:TMP786204 TWK786204:TWL786204 UGG786204:UGH786204 UQC786204:UQD786204 UZY786204:UZZ786204 VJU786204:VJV786204 VTQ786204:VTR786204 WDM786204:WDN786204 WNI786204:WNJ786204 WXE786204:WXF786204 KS851740:KT851740 UO851740:UP851740 AEK851740:AEL851740 AOG851740:AOH851740 AYC851740:AYD851740 BHY851740:BHZ851740 BRU851740:BRV851740 CBQ851740:CBR851740 CLM851740:CLN851740 CVI851740:CVJ851740 DFE851740:DFF851740 DPA851740:DPB851740 DYW851740:DYX851740 EIS851740:EIT851740 ESO851740:ESP851740 FCK851740:FCL851740 FMG851740:FMH851740 FWC851740:FWD851740 GFY851740:GFZ851740 GPU851740:GPV851740 GZQ851740:GZR851740 HJM851740:HJN851740 HTI851740:HTJ851740 IDE851740:IDF851740 INA851740:INB851740 IWW851740:IWX851740 JGS851740:JGT851740 JQO851740:JQP851740 KAK851740:KAL851740 KKG851740:KKH851740 KUC851740:KUD851740 LDY851740:LDZ851740 LNU851740:LNV851740 LXQ851740:LXR851740 MHM851740:MHN851740 MRI851740:MRJ851740 NBE851740:NBF851740 NLA851740:NLB851740 NUW851740:NUX851740 OES851740:OET851740 OOO851740:OOP851740 OYK851740:OYL851740 PIG851740:PIH851740 PSC851740:PSD851740 QBY851740:QBZ851740 QLU851740:QLV851740 QVQ851740:QVR851740 RFM851740:RFN851740 RPI851740:RPJ851740 RZE851740:RZF851740 SJA851740:SJB851740 SSW851740:SSX851740 TCS851740:TCT851740 TMO851740:TMP851740 TWK851740:TWL851740 UGG851740:UGH851740 UQC851740:UQD851740 UZY851740:UZZ851740 VJU851740:VJV851740 VTQ851740:VTR851740 WDM851740:WDN851740 WNI851740:WNJ851740 WXE851740:WXF851740 KS917276:KT917276 UO917276:UP917276 AEK917276:AEL917276 AOG917276:AOH917276 AYC917276:AYD917276 BHY917276:BHZ917276 BRU917276:BRV917276 CBQ917276:CBR917276 CLM917276:CLN917276 CVI917276:CVJ917276 DFE917276:DFF917276 DPA917276:DPB917276 DYW917276:DYX917276 EIS917276:EIT917276 ESO917276:ESP917276 FCK917276:FCL917276 FMG917276:FMH917276 FWC917276:FWD917276 GFY917276:GFZ917276 GPU917276:GPV917276 GZQ917276:GZR917276 HJM917276:HJN917276 HTI917276:HTJ917276 IDE917276:IDF917276 INA917276:INB917276 IWW917276:IWX917276 JGS917276:JGT917276 JQO917276:JQP917276 KAK917276:KAL917276 KKG917276:KKH917276 KUC917276:KUD917276 LDY917276:LDZ917276 LNU917276:LNV917276 LXQ917276:LXR917276 MHM917276:MHN917276 MRI917276:MRJ917276 NBE917276:NBF917276 NLA917276:NLB917276 NUW917276:NUX917276 OES917276:OET917276 OOO917276:OOP917276 OYK917276:OYL917276 PIG917276:PIH917276 PSC917276:PSD917276 QBY917276:QBZ917276 QLU917276:QLV917276 QVQ917276:QVR917276 RFM917276:RFN917276 RPI917276:RPJ917276 RZE917276:RZF917276 SJA917276:SJB917276 SSW917276:SSX917276 TCS917276:TCT917276 TMO917276:TMP917276 TWK917276:TWL917276 UGG917276:UGH917276 UQC917276:UQD917276 UZY917276:UZZ917276 VJU917276:VJV917276 VTQ917276:VTR917276 WDM917276:WDN917276 WNI917276:WNJ917276 WXE917276:WXF917276 KS982812:KT982812 UO982812:UP982812 AEK982812:AEL982812 AOG982812:AOH982812 AYC982812:AYD982812 BHY982812:BHZ982812 BRU982812:BRV982812 CBQ982812:CBR982812 CLM982812:CLN982812 CVI982812:CVJ982812 DFE982812:DFF982812 DPA982812:DPB982812 DYW982812:DYX982812 EIS982812:EIT982812 ESO982812:ESP982812 FCK982812:FCL982812 FMG982812:FMH982812 FWC982812:FWD982812 GFY982812:GFZ982812 GPU982812:GPV982812 GZQ982812:GZR982812 HJM982812:HJN982812 HTI982812:HTJ982812 IDE982812:IDF982812 INA982812:INB982812 IWW982812:IWX982812 JGS982812:JGT982812 JQO982812:JQP982812 KAK982812:KAL982812 KKG982812:KKH982812 KUC982812:KUD982812 LDY982812:LDZ982812 LNU982812:LNV982812 LXQ982812:LXR982812 MHM982812:MHN982812 MRI982812:MRJ982812 NBE982812:NBF982812 NLA982812:NLB982812 NUW982812:NUX982812 OES982812:OET982812 OOO982812:OOP982812 OYK982812:OYL982812 PIG982812:PIH982812 PSC982812:PSD982812 QBY982812:QBZ982812 QLU982812:QLV982812 QVQ982812:QVR982812 RFM982812:RFN982812 RPI982812:RPJ982812 RZE982812:RZF982812 SJA982812:SJB982812 SSW982812:SSX982812 TCS982812:TCT982812 TMO982812:TMP982812 TWK982812:TWL982812 UGG982812:UGH982812 UQC982812:UQD982812 UZY982812:UZZ982812 VJU982812:VJV982812 VTQ982812:VTR982812 WDM982812:WDN982812 WNI982812:WNJ982812 WXE982812:WXF982812 KS917289:KT917293 UO917289:UP917293 AEK917289:AEL917293 AOG917289:AOH917293 AYC917289:AYD917293 BHY917289:BHZ917293 BRU917289:BRV917293 CBQ917289:CBR917293 CLM917289:CLN917293 CVI917289:CVJ917293 DFE917289:DFF917293 DPA917289:DPB917293 DYW917289:DYX917293 EIS917289:EIT917293 ESO917289:ESP917293 FCK917289:FCL917293 FMG917289:FMH917293 FWC917289:FWD917293 GFY917289:GFZ917293 GPU917289:GPV917293 GZQ917289:GZR917293 HJM917289:HJN917293 HTI917289:HTJ917293 IDE917289:IDF917293 INA917289:INB917293 IWW917289:IWX917293 JGS917289:JGT917293 JQO917289:JQP917293 KAK917289:KAL917293 KKG917289:KKH917293 KUC917289:KUD917293 LDY917289:LDZ917293 LNU917289:LNV917293 LXQ917289:LXR917293 MHM917289:MHN917293 MRI917289:MRJ917293 NBE917289:NBF917293 NLA917289:NLB917293 NUW917289:NUX917293 OES917289:OET917293 OOO917289:OOP917293 OYK917289:OYL917293 PIG917289:PIH917293 PSC917289:PSD917293 QBY917289:QBZ917293 QLU917289:QLV917293 QVQ917289:QVR917293 RFM917289:RFN917293 RPI917289:RPJ917293 RZE917289:RZF917293 SJA917289:SJB917293 SSW917289:SSX917293 TCS917289:TCT917293 TMO917289:TMP917293 TWK917289:TWL917293 UGG917289:UGH917293 UQC917289:UQD917293 UZY917289:UZZ917293 VJU917289:VJV917293 VTQ917289:VTR917293 WDM917289:WDN917293 WNI917289:WNJ917293 WXE917289:WXF917293 KS65301:KT65301 UO65301:UP65301 AEK65301:AEL65301 AOG65301:AOH65301 AYC65301:AYD65301 BHY65301:BHZ65301 BRU65301:BRV65301 CBQ65301:CBR65301 CLM65301:CLN65301 CVI65301:CVJ65301 DFE65301:DFF65301 DPA65301:DPB65301 DYW65301:DYX65301 EIS65301:EIT65301 ESO65301:ESP65301 FCK65301:FCL65301 FMG65301:FMH65301 FWC65301:FWD65301 GFY65301:GFZ65301 GPU65301:GPV65301 GZQ65301:GZR65301 HJM65301:HJN65301 HTI65301:HTJ65301 IDE65301:IDF65301 INA65301:INB65301 IWW65301:IWX65301 JGS65301:JGT65301 JQO65301:JQP65301 KAK65301:KAL65301 KKG65301:KKH65301 KUC65301:KUD65301 LDY65301:LDZ65301 LNU65301:LNV65301 LXQ65301:LXR65301 MHM65301:MHN65301 MRI65301:MRJ65301 NBE65301:NBF65301 NLA65301:NLB65301 NUW65301:NUX65301 OES65301:OET65301 OOO65301:OOP65301 OYK65301:OYL65301 PIG65301:PIH65301 PSC65301:PSD65301 QBY65301:QBZ65301 QLU65301:QLV65301 QVQ65301:QVR65301 RFM65301:RFN65301 RPI65301:RPJ65301 RZE65301:RZF65301 SJA65301:SJB65301 SSW65301:SSX65301 TCS65301:TCT65301 TMO65301:TMP65301 TWK65301:TWL65301 UGG65301:UGH65301 UQC65301:UQD65301 UZY65301:UZZ65301 VJU65301:VJV65301 VTQ65301:VTR65301 WDM65301:WDN65301 WNI65301:WNJ65301 WXE65301:WXF65301 KS130837:KT130837 UO130837:UP130837 AEK130837:AEL130837 AOG130837:AOH130837 AYC130837:AYD130837 BHY130837:BHZ130837 BRU130837:BRV130837 CBQ130837:CBR130837 CLM130837:CLN130837 CVI130837:CVJ130837 DFE130837:DFF130837 DPA130837:DPB130837 DYW130837:DYX130837 EIS130837:EIT130837 ESO130837:ESP130837 FCK130837:FCL130837 FMG130837:FMH130837 FWC130837:FWD130837 GFY130837:GFZ130837 GPU130837:GPV130837 GZQ130837:GZR130837 HJM130837:HJN130837 HTI130837:HTJ130837 IDE130837:IDF130837 INA130837:INB130837 IWW130837:IWX130837 JGS130837:JGT130837 JQO130837:JQP130837 KAK130837:KAL130837 KKG130837:KKH130837 KUC130837:KUD130837 LDY130837:LDZ130837 LNU130837:LNV130837 LXQ130837:LXR130837 MHM130837:MHN130837 MRI130837:MRJ130837 NBE130837:NBF130837 NLA130837:NLB130837 NUW130837:NUX130837 OES130837:OET130837 OOO130837:OOP130837 OYK130837:OYL130837 PIG130837:PIH130837 PSC130837:PSD130837 QBY130837:QBZ130837 QLU130837:QLV130837 QVQ130837:QVR130837 RFM130837:RFN130837 RPI130837:RPJ130837 RZE130837:RZF130837 SJA130837:SJB130837 SSW130837:SSX130837 TCS130837:TCT130837 TMO130837:TMP130837 TWK130837:TWL130837 UGG130837:UGH130837 UQC130837:UQD130837 UZY130837:UZZ130837 VJU130837:VJV130837 VTQ130837:VTR130837 WDM130837:WDN130837 WNI130837:WNJ130837 WXE130837:WXF130837 KS196373:KT196373 UO196373:UP196373 AEK196373:AEL196373 AOG196373:AOH196373 AYC196373:AYD196373 BHY196373:BHZ196373 BRU196373:BRV196373 CBQ196373:CBR196373 CLM196373:CLN196373 CVI196373:CVJ196373 DFE196373:DFF196373 DPA196373:DPB196373 DYW196373:DYX196373 EIS196373:EIT196373 ESO196373:ESP196373 FCK196373:FCL196373 FMG196373:FMH196373 FWC196373:FWD196373 GFY196373:GFZ196373 GPU196373:GPV196373 GZQ196373:GZR196373 HJM196373:HJN196373 HTI196373:HTJ196373 IDE196373:IDF196373 INA196373:INB196373 IWW196373:IWX196373 JGS196373:JGT196373 JQO196373:JQP196373 KAK196373:KAL196373 KKG196373:KKH196373 KUC196373:KUD196373 LDY196373:LDZ196373 LNU196373:LNV196373 LXQ196373:LXR196373 MHM196373:MHN196373 MRI196373:MRJ196373 NBE196373:NBF196373 NLA196373:NLB196373 NUW196373:NUX196373 OES196373:OET196373 OOO196373:OOP196373 OYK196373:OYL196373 PIG196373:PIH196373 PSC196373:PSD196373 QBY196373:QBZ196373 QLU196373:QLV196373 QVQ196373:QVR196373 RFM196373:RFN196373 RPI196373:RPJ196373 RZE196373:RZF196373 SJA196373:SJB196373 SSW196373:SSX196373 TCS196373:TCT196373 TMO196373:TMP196373 TWK196373:TWL196373 UGG196373:UGH196373 UQC196373:UQD196373 UZY196373:UZZ196373 VJU196373:VJV196373 VTQ196373:VTR196373 WDM196373:WDN196373 WNI196373:WNJ196373 WXE196373:WXF196373 KS261909:KT261909 UO261909:UP261909 AEK261909:AEL261909 AOG261909:AOH261909 AYC261909:AYD261909 BHY261909:BHZ261909 BRU261909:BRV261909 CBQ261909:CBR261909 CLM261909:CLN261909 CVI261909:CVJ261909 DFE261909:DFF261909 DPA261909:DPB261909 DYW261909:DYX261909 EIS261909:EIT261909 ESO261909:ESP261909 FCK261909:FCL261909 FMG261909:FMH261909 FWC261909:FWD261909 GFY261909:GFZ261909 GPU261909:GPV261909 GZQ261909:GZR261909 HJM261909:HJN261909 HTI261909:HTJ261909 IDE261909:IDF261909 INA261909:INB261909 IWW261909:IWX261909 JGS261909:JGT261909 JQO261909:JQP261909 KAK261909:KAL261909 KKG261909:KKH261909 KUC261909:KUD261909 LDY261909:LDZ261909 LNU261909:LNV261909 LXQ261909:LXR261909 MHM261909:MHN261909 MRI261909:MRJ261909 NBE261909:NBF261909 NLA261909:NLB261909 NUW261909:NUX261909 OES261909:OET261909 OOO261909:OOP261909 OYK261909:OYL261909 PIG261909:PIH261909 PSC261909:PSD261909 QBY261909:QBZ261909 QLU261909:QLV261909 QVQ261909:QVR261909 RFM261909:RFN261909 RPI261909:RPJ261909 RZE261909:RZF261909 SJA261909:SJB261909 SSW261909:SSX261909 TCS261909:TCT261909 TMO261909:TMP261909 TWK261909:TWL261909 UGG261909:UGH261909 UQC261909:UQD261909 UZY261909:UZZ261909 VJU261909:VJV261909 VTQ261909:VTR261909 WDM261909:WDN261909 WNI261909:WNJ261909 WXE261909:WXF261909 KS327445:KT327445 UO327445:UP327445 AEK327445:AEL327445 AOG327445:AOH327445 AYC327445:AYD327445 BHY327445:BHZ327445 BRU327445:BRV327445 CBQ327445:CBR327445 CLM327445:CLN327445 CVI327445:CVJ327445 DFE327445:DFF327445 DPA327445:DPB327445 DYW327445:DYX327445 EIS327445:EIT327445 ESO327445:ESP327445 FCK327445:FCL327445 FMG327445:FMH327445 FWC327445:FWD327445 GFY327445:GFZ327445 GPU327445:GPV327445 GZQ327445:GZR327445 HJM327445:HJN327445 HTI327445:HTJ327445 IDE327445:IDF327445 INA327445:INB327445 IWW327445:IWX327445 JGS327445:JGT327445 JQO327445:JQP327445 KAK327445:KAL327445 KKG327445:KKH327445 KUC327445:KUD327445 LDY327445:LDZ327445 LNU327445:LNV327445 LXQ327445:LXR327445 MHM327445:MHN327445 MRI327445:MRJ327445 NBE327445:NBF327445 NLA327445:NLB327445 NUW327445:NUX327445 OES327445:OET327445 OOO327445:OOP327445 OYK327445:OYL327445 PIG327445:PIH327445 PSC327445:PSD327445 QBY327445:QBZ327445 QLU327445:QLV327445 QVQ327445:QVR327445 RFM327445:RFN327445 RPI327445:RPJ327445 RZE327445:RZF327445 SJA327445:SJB327445 SSW327445:SSX327445 TCS327445:TCT327445 TMO327445:TMP327445 TWK327445:TWL327445 UGG327445:UGH327445 UQC327445:UQD327445 UZY327445:UZZ327445 VJU327445:VJV327445 VTQ327445:VTR327445 WDM327445:WDN327445 WNI327445:WNJ327445 WXE327445:WXF327445 KS392981:KT392981 UO392981:UP392981 AEK392981:AEL392981 AOG392981:AOH392981 AYC392981:AYD392981 BHY392981:BHZ392981 BRU392981:BRV392981 CBQ392981:CBR392981 CLM392981:CLN392981 CVI392981:CVJ392981 DFE392981:DFF392981 DPA392981:DPB392981 DYW392981:DYX392981 EIS392981:EIT392981 ESO392981:ESP392981 FCK392981:FCL392981 FMG392981:FMH392981 FWC392981:FWD392981 GFY392981:GFZ392981 GPU392981:GPV392981 GZQ392981:GZR392981 HJM392981:HJN392981 HTI392981:HTJ392981 IDE392981:IDF392981 INA392981:INB392981 IWW392981:IWX392981 JGS392981:JGT392981 JQO392981:JQP392981 KAK392981:KAL392981 KKG392981:KKH392981 KUC392981:KUD392981 LDY392981:LDZ392981 LNU392981:LNV392981 LXQ392981:LXR392981 MHM392981:MHN392981 MRI392981:MRJ392981 NBE392981:NBF392981 NLA392981:NLB392981 NUW392981:NUX392981 OES392981:OET392981 OOO392981:OOP392981 OYK392981:OYL392981 PIG392981:PIH392981 PSC392981:PSD392981 QBY392981:QBZ392981 QLU392981:QLV392981 QVQ392981:QVR392981 RFM392981:RFN392981 RPI392981:RPJ392981 RZE392981:RZF392981 SJA392981:SJB392981 SSW392981:SSX392981 TCS392981:TCT392981 TMO392981:TMP392981 TWK392981:TWL392981 UGG392981:UGH392981 UQC392981:UQD392981 UZY392981:UZZ392981 VJU392981:VJV392981 VTQ392981:VTR392981 WDM392981:WDN392981 WNI392981:WNJ392981 WXE392981:WXF392981 KS458517:KT458517 UO458517:UP458517 AEK458517:AEL458517 AOG458517:AOH458517 AYC458517:AYD458517 BHY458517:BHZ458517 BRU458517:BRV458517 CBQ458517:CBR458517 CLM458517:CLN458517 CVI458517:CVJ458517 DFE458517:DFF458517 DPA458517:DPB458517 DYW458517:DYX458517 EIS458517:EIT458517 ESO458517:ESP458517 FCK458517:FCL458517 FMG458517:FMH458517 FWC458517:FWD458517 GFY458517:GFZ458517 GPU458517:GPV458517 GZQ458517:GZR458517 HJM458517:HJN458517 HTI458517:HTJ458517 IDE458517:IDF458517 INA458517:INB458517 IWW458517:IWX458517 JGS458517:JGT458517 JQO458517:JQP458517 KAK458517:KAL458517 KKG458517:KKH458517 KUC458517:KUD458517 LDY458517:LDZ458517 LNU458517:LNV458517 LXQ458517:LXR458517 MHM458517:MHN458517 MRI458517:MRJ458517 NBE458517:NBF458517 NLA458517:NLB458517 NUW458517:NUX458517 OES458517:OET458517 OOO458517:OOP458517 OYK458517:OYL458517 PIG458517:PIH458517 PSC458517:PSD458517 QBY458517:QBZ458517 QLU458517:QLV458517 QVQ458517:QVR458517 RFM458517:RFN458517 RPI458517:RPJ458517 RZE458517:RZF458517 SJA458517:SJB458517 SSW458517:SSX458517 TCS458517:TCT458517 TMO458517:TMP458517 TWK458517:TWL458517 UGG458517:UGH458517 UQC458517:UQD458517 UZY458517:UZZ458517 VJU458517:VJV458517 VTQ458517:VTR458517 WDM458517:WDN458517 WNI458517:WNJ458517 WXE458517:WXF458517 KS524053:KT524053 UO524053:UP524053 AEK524053:AEL524053 AOG524053:AOH524053 AYC524053:AYD524053 BHY524053:BHZ524053 BRU524053:BRV524053 CBQ524053:CBR524053 CLM524053:CLN524053 CVI524053:CVJ524053 DFE524053:DFF524053 DPA524053:DPB524053 DYW524053:DYX524053 EIS524053:EIT524053 ESO524053:ESP524053 FCK524053:FCL524053 FMG524053:FMH524053 FWC524053:FWD524053 GFY524053:GFZ524053 GPU524053:GPV524053 GZQ524053:GZR524053 HJM524053:HJN524053 HTI524053:HTJ524053 IDE524053:IDF524053 INA524053:INB524053 IWW524053:IWX524053 JGS524053:JGT524053 JQO524053:JQP524053 KAK524053:KAL524053 KKG524053:KKH524053 KUC524053:KUD524053 LDY524053:LDZ524053 LNU524053:LNV524053 LXQ524053:LXR524053 MHM524053:MHN524053 MRI524053:MRJ524053 NBE524053:NBF524053 NLA524053:NLB524053 NUW524053:NUX524053 OES524053:OET524053 OOO524053:OOP524053 OYK524053:OYL524053 PIG524053:PIH524053 PSC524053:PSD524053 QBY524053:QBZ524053 QLU524053:QLV524053 QVQ524053:QVR524053 RFM524053:RFN524053 RPI524053:RPJ524053 RZE524053:RZF524053 SJA524053:SJB524053 SSW524053:SSX524053 TCS524053:TCT524053 TMO524053:TMP524053 TWK524053:TWL524053 UGG524053:UGH524053 UQC524053:UQD524053 UZY524053:UZZ524053 VJU524053:VJV524053 VTQ524053:VTR524053 WDM524053:WDN524053 WNI524053:WNJ524053 WXE524053:WXF524053 KS589589:KT589589 UO589589:UP589589 AEK589589:AEL589589 AOG589589:AOH589589 AYC589589:AYD589589 BHY589589:BHZ589589 BRU589589:BRV589589 CBQ589589:CBR589589 CLM589589:CLN589589 CVI589589:CVJ589589 DFE589589:DFF589589 DPA589589:DPB589589 DYW589589:DYX589589 EIS589589:EIT589589 ESO589589:ESP589589 FCK589589:FCL589589 FMG589589:FMH589589 FWC589589:FWD589589 GFY589589:GFZ589589 GPU589589:GPV589589 GZQ589589:GZR589589 HJM589589:HJN589589 HTI589589:HTJ589589 IDE589589:IDF589589 INA589589:INB589589 IWW589589:IWX589589 JGS589589:JGT589589 JQO589589:JQP589589 KAK589589:KAL589589 KKG589589:KKH589589 KUC589589:KUD589589 LDY589589:LDZ589589 LNU589589:LNV589589 LXQ589589:LXR589589 MHM589589:MHN589589 MRI589589:MRJ589589 NBE589589:NBF589589 NLA589589:NLB589589 NUW589589:NUX589589 OES589589:OET589589 OOO589589:OOP589589 OYK589589:OYL589589 PIG589589:PIH589589 PSC589589:PSD589589 QBY589589:QBZ589589 QLU589589:QLV589589 QVQ589589:QVR589589 RFM589589:RFN589589 RPI589589:RPJ589589 RZE589589:RZF589589 SJA589589:SJB589589 SSW589589:SSX589589 TCS589589:TCT589589 TMO589589:TMP589589 TWK589589:TWL589589 UGG589589:UGH589589 UQC589589:UQD589589 UZY589589:UZZ589589 VJU589589:VJV589589 VTQ589589:VTR589589 WDM589589:WDN589589 WNI589589:WNJ589589 WXE589589:WXF589589 KS655125:KT655125 UO655125:UP655125 AEK655125:AEL655125 AOG655125:AOH655125 AYC655125:AYD655125 BHY655125:BHZ655125 BRU655125:BRV655125 CBQ655125:CBR655125 CLM655125:CLN655125 CVI655125:CVJ655125 DFE655125:DFF655125 DPA655125:DPB655125 DYW655125:DYX655125 EIS655125:EIT655125 ESO655125:ESP655125 FCK655125:FCL655125 FMG655125:FMH655125 FWC655125:FWD655125 GFY655125:GFZ655125 GPU655125:GPV655125 GZQ655125:GZR655125 HJM655125:HJN655125 HTI655125:HTJ655125 IDE655125:IDF655125 INA655125:INB655125 IWW655125:IWX655125 JGS655125:JGT655125 JQO655125:JQP655125 KAK655125:KAL655125 KKG655125:KKH655125 KUC655125:KUD655125 LDY655125:LDZ655125 LNU655125:LNV655125 LXQ655125:LXR655125 MHM655125:MHN655125 MRI655125:MRJ655125 NBE655125:NBF655125 NLA655125:NLB655125 NUW655125:NUX655125 OES655125:OET655125 OOO655125:OOP655125 OYK655125:OYL655125 PIG655125:PIH655125 PSC655125:PSD655125 QBY655125:QBZ655125 QLU655125:QLV655125 QVQ655125:QVR655125 RFM655125:RFN655125 RPI655125:RPJ655125 RZE655125:RZF655125 SJA655125:SJB655125 SSW655125:SSX655125 TCS655125:TCT655125 TMO655125:TMP655125 TWK655125:TWL655125 UGG655125:UGH655125 UQC655125:UQD655125 UZY655125:UZZ655125 VJU655125:VJV655125 VTQ655125:VTR655125 WDM655125:WDN655125 WNI655125:WNJ655125 WXE655125:WXF655125 KS720661:KT720661 UO720661:UP720661 AEK720661:AEL720661 AOG720661:AOH720661 AYC720661:AYD720661 BHY720661:BHZ720661 BRU720661:BRV720661 CBQ720661:CBR720661 CLM720661:CLN720661 CVI720661:CVJ720661 DFE720661:DFF720661 DPA720661:DPB720661 DYW720661:DYX720661 EIS720661:EIT720661 ESO720661:ESP720661 FCK720661:FCL720661 FMG720661:FMH720661 FWC720661:FWD720661 GFY720661:GFZ720661 GPU720661:GPV720661 GZQ720661:GZR720661 HJM720661:HJN720661 HTI720661:HTJ720661 IDE720661:IDF720661 INA720661:INB720661 IWW720661:IWX720661 JGS720661:JGT720661 JQO720661:JQP720661 KAK720661:KAL720661 KKG720661:KKH720661 KUC720661:KUD720661 LDY720661:LDZ720661 LNU720661:LNV720661 LXQ720661:LXR720661 MHM720661:MHN720661 MRI720661:MRJ720661 NBE720661:NBF720661 NLA720661:NLB720661 NUW720661:NUX720661 OES720661:OET720661 OOO720661:OOP720661 OYK720661:OYL720661 PIG720661:PIH720661 PSC720661:PSD720661 QBY720661:QBZ720661 QLU720661:QLV720661 QVQ720661:QVR720661 RFM720661:RFN720661 RPI720661:RPJ720661 RZE720661:RZF720661 SJA720661:SJB720661 SSW720661:SSX720661 TCS720661:TCT720661 TMO720661:TMP720661 TWK720661:TWL720661 UGG720661:UGH720661 UQC720661:UQD720661 UZY720661:UZZ720661 VJU720661:VJV720661 VTQ720661:VTR720661 WDM720661:WDN720661 WNI720661:WNJ720661 WXE720661:WXF720661 KS786197:KT786197 UO786197:UP786197 AEK786197:AEL786197 AOG786197:AOH786197 AYC786197:AYD786197 BHY786197:BHZ786197 BRU786197:BRV786197 CBQ786197:CBR786197 CLM786197:CLN786197 CVI786197:CVJ786197 DFE786197:DFF786197 DPA786197:DPB786197 DYW786197:DYX786197 EIS786197:EIT786197 ESO786197:ESP786197 FCK786197:FCL786197 FMG786197:FMH786197 FWC786197:FWD786197 GFY786197:GFZ786197 GPU786197:GPV786197 GZQ786197:GZR786197 HJM786197:HJN786197 HTI786197:HTJ786197 IDE786197:IDF786197 INA786197:INB786197 IWW786197:IWX786197 JGS786197:JGT786197 JQO786197:JQP786197 KAK786197:KAL786197 KKG786197:KKH786197 KUC786197:KUD786197 LDY786197:LDZ786197 LNU786197:LNV786197 LXQ786197:LXR786197 MHM786197:MHN786197 MRI786197:MRJ786197 NBE786197:NBF786197 NLA786197:NLB786197 NUW786197:NUX786197 OES786197:OET786197 OOO786197:OOP786197 OYK786197:OYL786197 PIG786197:PIH786197 PSC786197:PSD786197 QBY786197:QBZ786197 QLU786197:QLV786197 QVQ786197:QVR786197 RFM786197:RFN786197 RPI786197:RPJ786197 RZE786197:RZF786197 SJA786197:SJB786197 SSW786197:SSX786197 TCS786197:TCT786197 TMO786197:TMP786197 TWK786197:TWL786197 UGG786197:UGH786197 UQC786197:UQD786197 UZY786197:UZZ786197 VJU786197:VJV786197 VTQ786197:VTR786197 WDM786197:WDN786197 WNI786197:WNJ786197 WXE786197:WXF786197 KS851733:KT851733 UO851733:UP851733 AEK851733:AEL851733 AOG851733:AOH851733 AYC851733:AYD851733 BHY851733:BHZ851733 BRU851733:BRV851733 CBQ851733:CBR851733 CLM851733:CLN851733 CVI851733:CVJ851733 DFE851733:DFF851733 DPA851733:DPB851733 DYW851733:DYX851733 EIS851733:EIT851733 ESO851733:ESP851733 FCK851733:FCL851733 FMG851733:FMH851733 FWC851733:FWD851733 GFY851733:GFZ851733 GPU851733:GPV851733 GZQ851733:GZR851733 HJM851733:HJN851733 HTI851733:HTJ851733 IDE851733:IDF851733 INA851733:INB851733 IWW851733:IWX851733 JGS851733:JGT851733 JQO851733:JQP851733 KAK851733:KAL851733 KKG851733:KKH851733 KUC851733:KUD851733 LDY851733:LDZ851733 LNU851733:LNV851733 LXQ851733:LXR851733 MHM851733:MHN851733 MRI851733:MRJ851733 NBE851733:NBF851733 NLA851733:NLB851733 NUW851733:NUX851733 OES851733:OET851733 OOO851733:OOP851733 OYK851733:OYL851733 PIG851733:PIH851733 PSC851733:PSD851733 QBY851733:QBZ851733 QLU851733:QLV851733 QVQ851733:QVR851733 RFM851733:RFN851733 RPI851733:RPJ851733 RZE851733:RZF851733 SJA851733:SJB851733 SSW851733:SSX851733 TCS851733:TCT851733 TMO851733:TMP851733 TWK851733:TWL851733 UGG851733:UGH851733 UQC851733:UQD851733 UZY851733:UZZ851733 VJU851733:VJV851733 VTQ851733:VTR851733 WDM851733:WDN851733 WNI851733:WNJ851733 WXE851733:WXF851733 KS917269:KT917269 UO917269:UP917269 AEK917269:AEL917269 AOG917269:AOH917269 AYC917269:AYD917269 BHY917269:BHZ917269 BRU917269:BRV917269 CBQ917269:CBR917269 CLM917269:CLN917269 CVI917269:CVJ917269 DFE917269:DFF917269 DPA917269:DPB917269 DYW917269:DYX917269 EIS917269:EIT917269 ESO917269:ESP917269 FCK917269:FCL917269 FMG917269:FMH917269 FWC917269:FWD917269 GFY917269:GFZ917269 GPU917269:GPV917269 GZQ917269:GZR917269 HJM917269:HJN917269 HTI917269:HTJ917269 IDE917269:IDF917269 INA917269:INB917269 IWW917269:IWX917269 JGS917269:JGT917269 JQO917269:JQP917269 KAK917269:KAL917269 KKG917269:KKH917269 KUC917269:KUD917269 LDY917269:LDZ917269 LNU917269:LNV917269 LXQ917269:LXR917269 MHM917269:MHN917269 MRI917269:MRJ917269 NBE917269:NBF917269 NLA917269:NLB917269 NUW917269:NUX917269 OES917269:OET917269 OOO917269:OOP917269 OYK917269:OYL917269 PIG917269:PIH917269 PSC917269:PSD917269 QBY917269:QBZ917269 QLU917269:QLV917269 QVQ917269:QVR917269 RFM917269:RFN917269 RPI917269:RPJ917269 RZE917269:RZF917269 SJA917269:SJB917269 SSW917269:SSX917269 TCS917269:TCT917269 TMO917269:TMP917269 TWK917269:TWL917269 UGG917269:UGH917269 UQC917269:UQD917269 UZY917269:UZZ917269 VJU917269:VJV917269 VTQ917269:VTR917269 WDM917269:WDN917269 WNI917269:WNJ917269 WXE917269:WXF917269 KS6:KT49 UO6:UP49 AEK6:AEL49 AOG6:AOH49 AYC6:AYD49 BHY6:BHZ49 BRU6:BRV49 CBQ6:CBR49 CLM6:CLN49 CVI6:CVJ49 DFE6:DFF49 DPA6:DPB49 DYW6:DYX49 EIS6:EIT49 ESO6:ESP49 FCK6:FCL49 FMG6:FMH49 FWC6:FWD49 GFY6:GFZ49 GPU6:GPV49 GZQ6:GZR49 HJM6:HJN49 HTI6:HTJ49 IDE6:IDF49 INA6:INB49 IWW6:IWX49 JGS6:JGT49 JQO6:JQP49 KAK6:KAL49 KKG6:KKH49 KUC6:KUD49 LDY6:LDZ49 LNU6:LNV49 LXQ6:LXR49 MHM6:MHN49 MRI6:MRJ49 NBE6:NBF49 NLA6:NLB49 NUW6:NUX49 OES6:OET49 OOO6:OOP49 OYK6:OYL49 PIG6:PIH49 PSC6:PSD49 QBY6:QBZ49 QLU6:QLV49 QVQ6:QVR49 RFM6:RFN49 RPI6:RPJ49 RZE6:RZF49 SJA6:SJB49 SSW6:SSX49 TCS6:TCT49 TMO6:TMP49 TWK6:TWL49 UGG6:UGH49 UQC6:UQD49 UZY6:UZZ49 VJU6:VJV49 VTQ6:VTR49 WDM6:WDN49 WNI6:WNJ49 WXE6:WXF49</xm:sqref>
        </x14:dataValidation>
      </x14:dataValidations>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4">
    <tabColor rgb="FFFFCCFF"/>
    <pageSetUpPr fitToPage="1"/>
  </sheetPr>
  <dimension ref="A4:I23"/>
  <sheetViews>
    <sheetView showGridLines="0" zoomScaleNormal="100" zoomScaleSheetLayoutView="100" workbookViewId="0">
      <selection activeCell="F22" sqref="F22"/>
    </sheetView>
  </sheetViews>
  <sheetFormatPr defaultRowHeight="12"/>
  <cols>
    <col min="1" max="1" width="6.83203125" style="167" customWidth="1"/>
    <col min="2" max="2" width="6.6640625" style="167" customWidth="1"/>
    <col min="3" max="3" width="26.6640625" style="167" customWidth="1"/>
    <col min="4" max="4" width="6.6640625" style="167" customWidth="1"/>
    <col min="5" max="6" width="26.6640625" style="167" customWidth="1"/>
    <col min="7" max="7" width="66.6640625" style="167" customWidth="1"/>
    <col min="8" max="8" width="1.5" style="167" customWidth="1"/>
    <col min="9" max="213" width="9.33203125" style="167"/>
    <col min="214" max="263" width="3.33203125" style="167" customWidth="1"/>
    <col min="264" max="264" width="1.5" style="167" customWidth="1"/>
    <col min="265" max="469" width="9.33203125" style="167"/>
    <col min="470" max="519" width="3.33203125" style="167" customWidth="1"/>
    <col min="520" max="520" width="1.5" style="167" customWidth="1"/>
    <col min="521" max="725" width="9.33203125" style="167"/>
    <col min="726" max="775" width="3.33203125" style="167" customWidth="1"/>
    <col min="776" max="776" width="1.5" style="167" customWidth="1"/>
    <col min="777" max="981" width="9.33203125" style="167"/>
    <col min="982" max="1031" width="3.33203125" style="167" customWidth="1"/>
    <col min="1032" max="1032" width="1.5" style="167" customWidth="1"/>
    <col min="1033" max="1237" width="9.33203125" style="167"/>
    <col min="1238" max="1287" width="3.33203125" style="167" customWidth="1"/>
    <col min="1288" max="1288" width="1.5" style="167" customWidth="1"/>
    <col min="1289" max="1493" width="9.33203125" style="167"/>
    <col min="1494" max="1543" width="3.33203125" style="167" customWidth="1"/>
    <col min="1544" max="1544" width="1.5" style="167" customWidth="1"/>
    <col min="1545" max="1749" width="9.33203125" style="167"/>
    <col min="1750" max="1799" width="3.33203125" style="167" customWidth="1"/>
    <col min="1800" max="1800" width="1.5" style="167" customWidth="1"/>
    <col min="1801" max="2005" width="9.33203125" style="167"/>
    <col min="2006" max="2055" width="3.33203125" style="167" customWidth="1"/>
    <col min="2056" max="2056" width="1.5" style="167" customWidth="1"/>
    <col min="2057" max="2261" width="9.33203125" style="167"/>
    <col min="2262" max="2311" width="3.33203125" style="167" customWidth="1"/>
    <col min="2312" max="2312" width="1.5" style="167" customWidth="1"/>
    <col min="2313" max="2517" width="9.33203125" style="167"/>
    <col min="2518" max="2567" width="3.33203125" style="167" customWidth="1"/>
    <col min="2568" max="2568" width="1.5" style="167" customWidth="1"/>
    <col min="2569" max="2773" width="9.33203125" style="167"/>
    <col min="2774" max="2823" width="3.33203125" style="167" customWidth="1"/>
    <col min="2824" max="2824" width="1.5" style="167" customWidth="1"/>
    <col min="2825" max="3029" width="9.33203125" style="167"/>
    <col min="3030" max="3079" width="3.33203125" style="167" customWidth="1"/>
    <col min="3080" max="3080" width="1.5" style="167" customWidth="1"/>
    <col min="3081" max="3285" width="9.33203125" style="167"/>
    <col min="3286" max="3335" width="3.33203125" style="167" customWidth="1"/>
    <col min="3336" max="3336" width="1.5" style="167" customWidth="1"/>
    <col min="3337" max="3541" width="9.33203125" style="167"/>
    <col min="3542" max="3591" width="3.33203125" style="167" customWidth="1"/>
    <col min="3592" max="3592" width="1.5" style="167" customWidth="1"/>
    <col min="3593" max="3797" width="9.33203125" style="167"/>
    <col min="3798" max="3847" width="3.33203125" style="167" customWidth="1"/>
    <col min="3848" max="3848" width="1.5" style="167" customWidth="1"/>
    <col min="3849" max="4053" width="9.33203125" style="167"/>
    <col min="4054" max="4103" width="3.33203125" style="167" customWidth="1"/>
    <col min="4104" max="4104" width="1.5" style="167" customWidth="1"/>
    <col min="4105" max="4309" width="9.33203125" style="167"/>
    <col min="4310" max="4359" width="3.33203125" style="167" customWidth="1"/>
    <col min="4360" max="4360" width="1.5" style="167" customWidth="1"/>
    <col min="4361" max="4565" width="9.33203125" style="167"/>
    <col min="4566" max="4615" width="3.33203125" style="167" customWidth="1"/>
    <col min="4616" max="4616" width="1.5" style="167" customWidth="1"/>
    <col min="4617" max="4821" width="9.33203125" style="167"/>
    <col min="4822" max="4871" width="3.33203125" style="167" customWidth="1"/>
    <col min="4872" max="4872" width="1.5" style="167" customWidth="1"/>
    <col min="4873" max="5077" width="9.33203125" style="167"/>
    <col min="5078" max="5127" width="3.33203125" style="167" customWidth="1"/>
    <col min="5128" max="5128" width="1.5" style="167" customWidth="1"/>
    <col min="5129" max="5333" width="9.33203125" style="167"/>
    <col min="5334" max="5383" width="3.33203125" style="167" customWidth="1"/>
    <col min="5384" max="5384" width="1.5" style="167" customWidth="1"/>
    <col min="5385" max="5589" width="9.33203125" style="167"/>
    <col min="5590" max="5639" width="3.33203125" style="167" customWidth="1"/>
    <col min="5640" max="5640" width="1.5" style="167" customWidth="1"/>
    <col min="5641" max="5845" width="9.33203125" style="167"/>
    <col min="5846" max="5895" width="3.33203125" style="167" customWidth="1"/>
    <col min="5896" max="5896" width="1.5" style="167" customWidth="1"/>
    <col min="5897" max="6101" width="9.33203125" style="167"/>
    <col min="6102" max="6151" width="3.33203125" style="167" customWidth="1"/>
    <col min="6152" max="6152" width="1.5" style="167" customWidth="1"/>
    <col min="6153" max="6357" width="9.33203125" style="167"/>
    <col min="6358" max="6407" width="3.33203125" style="167" customWidth="1"/>
    <col min="6408" max="6408" width="1.5" style="167" customWidth="1"/>
    <col min="6409" max="6613" width="9.33203125" style="167"/>
    <col min="6614" max="6663" width="3.33203125" style="167" customWidth="1"/>
    <col min="6664" max="6664" width="1.5" style="167" customWidth="1"/>
    <col min="6665" max="6869" width="9.33203125" style="167"/>
    <col min="6870" max="6919" width="3.33203125" style="167" customWidth="1"/>
    <col min="6920" max="6920" width="1.5" style="167" customWidth="1"/>
    <col min="6921" max="7125" width="9.33203125" style="167"/>
    <col min="7126" max="7175" width="3.33203125" style="167" customWidth="1"/>
    <col min="7176" max="7176" width="1.5" style="167" customWidth="1"/>
    <col min="7177" max="7381" width="9.33203125" style="167"/>
    <col min="7382" max="7431" width="3.33203125" style="167" customWidth="1"/>
    <col min="7432" max="7432" width="1.5" style="167" customWidth="1"/>
    <col min="7433" max="7637" width="9.33203125" style="167"/>
    <col min="7638" max="7687" width="3.33203125" style="167" customWidth="1"/>
    <col min="7688" max="7688" width="1.5" style="167" customWidth="1"/>
    <col min="7689" max="7893" width="9.33203125" style="167"/>
    <col min="7894" max="7943" width="3.33203125" style="167" customWidth="1"/>
    <col min="7944" max="7944" width="1.5" style="167" customWidth="1"/>
    <col min="7945" max="8149" width="9.33203125" style="167"/>
    <col min="8150" max="8199" width="3.33203125" style="167" customWidth="1"/>
    <col min="8200" max="8200" width="1.5" style="167" customWidth="1"/>
    <col min="8201" max="8405" width="9.33203125" style="167"/>
    <col min="8406" max="8455" width="3.33203125" style="167" customWidth="1"/>
    <col min="8456" max="8456" width="1.5" style="167" customWidth="1"/>
    <col min="8457" max="8661" width="9.33203125" style="167"/>
    <col min="8662" max="8711" width="3.33203125" style="167" customWidth="1"/>
    <col min="8712" max="8712" width="1.5" style="167" customWidth="1"/>
    <col min="8713" max="8917" width="9.33203125" style="167"/>
    <col min="8918" max="8967" width="3.33203125" style="167" customWidth="1"/>
    <col min="8968" max="8968" width="1.5" style="167" customWidth="1"/>
    <col min="8969" max="9173" width="9.33203125" style="167"/>
    <col min="9174" max="9223" width="3.33203125" style="167" customWidth="1"/>
    <col min="9224" max="9224" width="1.5" style="167" customWidth="1"/>
    <col min="9225" max="9429" width="9.33203125" style="167"/>
    <col min="9430" max="9479" width="3.33203125" style="167" customWidth="1"/>
    <col min="9480" max="9480" width="1.5" style="167" customWidth="1"/>
    <col min="9481" max="9685" width="9.33203125" style="167"/>
    <col min="9686" max="9735" width="3.33203125" style="167" customWidth="1"/>
    <col min="9736" max="9736" width="1.5" style="167" customWidth="1"/>
    <col min="9737" max="9941" width="9.33203125" style="167"/>
    <col min="9942" max="9991" width="3.33203125" style="167" customWidth="1"/>
    <col min="9992" max="9992" width="1.5" style="167" customWidth="1"/>
    <col min="9993" max="10197" width="9.33203125" style="167"/>
    <col min="10198" max="10247" width="3.33203125" style="167" customWidth="1"/>
    <col min="10248" max="10248" width="1.5" style="167" customWidth="1"/>
    <col min="10249" max="10453" width="9.33203125" style="167"/>
    <col min="10454" max="10503" width="3.33203125" style="167" customWidth="1"/>
    <col min="10504" max="10504" width="1.5" style="167" customWidth="1"/>
    <col min="10505" max="10709" width="9.33203125" style="167"/>
    <col min="10710" max="10759" width="3.33203125" style="167" customWidth="1"/>
    <col min="10760" max="10760" width="1.5" style="167" customWidth="1"/>
    <col min="10761" max="10965" width="9.33203125" style="167"/>
    <col min="10966" max="11015" width="3.33203125" style="167" customWidth="1"/>
    <col min="11016" max="11016" width="1.5" style="167" customWidth="1"/>
    <col min="11017" max="11221" width="9.33203125" style="167"/>
    <col min="11222" max="11271" width="3.33203125" style="167" customWidth="1"/>
    <col min="11272" max="11272" width="1.5" style="167" customWidth="1"/>
    <col min="11273" max="11477" width="9.33203125" style="167"/>
    <col min="11478" max="11527" width="3.33203125" style="167" customWidth="1"/>
    <col min="11528" max="11528" width="1.5" style="167" customWidth="1"/>
    <col min="11529" max="11733" width="9.33203125" style="167"/>
    <col min="11734" max="11783" width="3.33203125" style="167" customWidth="1"/>
    <col min="11784" max="11784" width="1.5" style="167" customWidth="1"/>
    <col min="11785" max="11989" width="9.33203125" style="167"/>
    <col min="11990" max="12039" width="3.33203125" style="167" customWidth="1"/>
    <col min="12040" max="12040" width="1.5" style="167" customWidth="1"/>
    <col min="12041" max="12245" width="9.33203125" style="167"/>
    <col min="12246" max="12295" width="3.33203125" style="167" customWidth="1"/>
    <col min="12296" max="12296" width="1.5" style="167" customWidth="1"/>
    <col min="12297" max="12501" width="9.33203125" style="167"/>
    <col min="12502" max="12551" width="3.33203125" style="167" customWidth="1"/>
    <col min="12552" max="12552" width="1.5" style="167" customWidth="1"/>
    <col min="12553" max="12757" width="9.33203125" style="167"/>
    <col min="12758" max="12807" width="3.33203125" style="167" customWidth="1"/>
    <col min="12808" max="12808" width="1.5" style="167" customWidth="1"/>
    <col min="12809" max="13013" width="9.33203125" style="167"/>
    <col min="13014" max="13063" width="3.33203125" style="167" customWidth="1"/>
    <col min="13064" max="13064" width="1.5" style="167" customWidth="1"/>
    <col min="13065" max="13269" width="9.33203125" style="167"/>
    <col min="13270" max="13319" width="3.33203125" style="167" customWidth="1"/>
    <col min="13320" max="13320" width="1.5" style="167" customWidth="1"/>
    <col min="13321" max="13525" width="9.33203125" style="167"/>
    <col min="13526" max="13575" width="3.33203125" style="167" customWidth="1"/>
    <col min="13576" max="13576" width="1.5" style="167" customWidth="1"/>
    <col min="13577" max="13781" width="9.33203125" style="167"/>
    <col min="13782" max="13831" width="3.33203125" style="167" customWidth="1"/>
    <col min="13832" max="13832" width="1.5" style="167" customWidth="1"/>
    <col min="13833" max="14037" width="9.33203125" style="167"/>
    <col min="14038" max="14087" width="3.33203125" style="167" customWidth="1"/>
    <col min="14088" max="14088" width="1.5" style="167" customWidth="1"/>
    <col min="14089" max="14293" width="9.33203125" style="167"/>
    <col min="14294" max="14343" width="3.33203125" style="167" customWidth="1"/>
    <col min="14344" max="14344" width="1.5" style="167" customWidth="1"/>
    <col min="14345" max="14549" width="9.33203125" style="167"/>
    <col min="14550" max="14599" width="3.33203125" style="167" customWidth="1"/>
    <col min="14600" max="14600" width="1.5" style="167" customWidth="1"/>
    <col min="14601" max="14805" width="9.33203125" style="167"/>
    <col min="14806" max="14855" width="3.33203125" style="167" customWidth="1"/>
    <col min="14856" max="14856" width="1.5" style="167" customWidth="1"/>
    <col min="14857" max="15061" width="9.33203125" style="167"/>
    <col min="15062" max="15111" width="3.33203125" style="167" customWidth="1"/>
    <col min="15112" max="15112" width="1.5" style="167" customWidth="1"/>
    <col min="15113" max="15317" width="9.33203125" style="167"/>
    <col min="15318" max="15367" width="3.33203125" style="167" customWidth="1"/>
    <col min="15368" max="15368" width="1.5" style="167" customWidth="1"/>
    <col min="15369" max="15573" width="9.33203125" style="167"/>
    <col min="15574" max="15623" width="3.33203125" style="167" customWidth="1"/>
    <col min="15624" max="15624" width="1.5" style="167" customWidth="1"/>
    <col min="15625" max="15829" width="9.33203125" style="167"/>
    <col min="15830" max="15879" width="3.33203125" style="167" customWidth="1"/>
    <col min="15880" max="15880" width="1.5" style="167" customWidth="1"/>
    <col min="15881" max="16085" width="9.33203125" style="167"/>
    <col min="16086" max="16135" width="3.33203125" style="167" customWidth="1"/>
    <col min="16136" max="16136" width="1.5" style="167" customWidth="1"/>
    <col min="16137" max="16384" width="9.33203125" style="167"/>
  </cols>
  <sheetData>
    <row r="4" spans="1:9" ht="12.75" thickBot="1"/>
    <row r="5" spans="1:9" ht="11.25" customHeight="1">
      <c r="A5" s="168" t="s">
        <v>90</v>
      </c>
      <c r="B5" s="169"/>
      <c r="C5" s="170"/>
      <c r="D5" s="171">
        <v>1</v>
      </c>
      <c r="E5" s="172"/>
      <c r="F5" s="169"/>
      <c r="G5" s="173"/>
    </row>
    <row r="6" spans="1:9" ht="11.25" customHeight="1">
      <c r="A6" s="174" t="s">
        <v>172</v>
      </c>
      <c r="B6" s="175"/>
      <c r="C6" s="176"/>
      <c r="D6" s="177"/>
      <c r="E6" s="178"/>
      <c r="F6" s="178"/>
      <c r="G6" s="179"/>
    </row>
    <row r="7" spans="1:9" ht="11.25" customHeight="1">
      <c r="A7" s="174" t="s">
        <v>173</v>
      </c>
      <c r="B7" s="175"/>
      <c r="C7" s="176"/>
      <c r="D7" s="177"/>
      <c r="E7" s="180"/>
      <c r="F7" s="180"/>
      <c r="G7" s="181"/>
    </row>
    <row r="8" spans="1:9">
      <c r="A8" s="174" t="s">
        <v>91</v>
      </c>
      <c r="B8" s="175"/>
      <c r="C8" s="176"/>
      <c r="D8" s="177"/>
      <c r="E8" s="180"/>
      <c r="F8" s="180"/>
      <c r="G8" s="181"/>
    </row>
    <row r="9" spans="1:9" ht="11.25" customHeight="1">
      <c r="A9" s="182" t="s">
        <v>92</v>
      </c>
      <c r="B9" s="183"/>
      <c r="C9" s="184"/>
      <c r="D9" s="185"/>
      <c r="E9" s="180"/>
      <c r="F9" s="180"/>
      <c r="G9" s="181"/>
    </row>
    <row r="10" spans="1:9" ht="11.25" customHeight="1" thickBot="1">
      <c r="A10" s="186" t="s">
        <v>93</v>
      </c>
      <c r="B10" s="187"/>
      <c r="C10" s="188"/>
      <c r="D10" s="189"/>
      <c r="E10" s="190"/>
      <c r="F10" s="190"/>
      <c r="G10" s="191"/>
    </row>
    <row r="11" spans="1:9" ht="11.25" customHeight="1" thickTop="1">
      <c r="A11" s="192"/>
      <c r="B11" s="193"/>
      <c r="C11" s="194"/>
      <c r="D11" s="195"/>
      <c r="E11" s="196" t="s">
        <v>174</v>
      </c>
      <c r="F11" s="197"/>
      <c r="G11" s="198"/>
      <c r="H11" s="199"/>
      <c r="I11" s="199"/>
    </row>
    <row r="12" spans="1:9" ht="11.25" customHeight="1" thickBot="1">
      <c r="A12" s="200" t="s">
        <v>175</v>
      </c>
      <c r="B12" s="201" t="s">
        <v>176</v>
      </c>
      <c r="C12" s="201" t="s">
        <v>97</v>
      </c>
      <c r="D12" s="202" t="s">
        <v>177</v>
      </c>
      <c r="E12" s="203" t="s">
        <v>94</v>
      </c>
      <c r="F12" s="204" t="s">
        <v>95</v>
      </c>
      <c r="G12" s="205" t="s">
        <v>178</v>
      </c>
      <c r="I12" s="199"/>
    </row>
    <row r="13" spans="1:9" s="212" customFormat="1" ht="12.75" thickTop="1">
      <c r="A13" s="206"/>
      <c r="B13" s="207"/>
      <c r="C13" s="207"/>
      <c r="D13" s="208"/>
      <c r="E13" s="209"/>
      <c r="F13" s="210"/>
      <c r="G13" s="211"/>
    </row>
    <row r="14" spans="1:9" s="212" customFormat="1">
      <c r="A14" s="256"/>
      <c r="B14" s="207"/>
      <c r="C14" s="207"/>
      <c r="D14" s="208"/>
      <c r="E14" s="209"/>
      <c r="F14" s="257"/>
      <c r="G14" s="211"/>
    </row>
    <row r="15" spans="1:9" s="212" customFormat="1">
      <c r="A15" s="256"/>
      <c r="B15" s="207"/>
      <c r="C15" s="207"/>
      <c r="D15" s="208"/>
      <c r="E15" s="209"/>
      <c r="F15" s="257"/>
      <c r="G15" s="211"/>
    </row>
    <row r="16" spans="1:9" s="212" customFormat="1">
      <c r="A16" s="256"/>
      <c r="B16" s="207"/>
      <c r="C16" s="207"/>
      <c r="D16" s="208"/>
      <c r="E16" s="209"/>
      <c r="F16" s="257"/>
      <c r="G16" s="211"/>
    </row>
    <row r="17" spans="1:7" s="212" customFormat="1">
      <c r="A17" s="256"/>
      <c r="B17" s="207"/>
      <c r="C17" s="207"/>
      <c r="D17" s="208"/>
      <c r="E17" s="209"/>
      <c r="F17" s="257"/>
      <c r="G17" s="211"/>
    </row>
    <row r="18" spans="1:7" s="212" customFormat="1">
      <c r="A18" s="256"/>
      <c r="B18" s="207"/>
      <c r="C18" s="207"/>
      <c r="D18" s="208"/>
      <c r="E18" s="209"/>
      <c r="F18" s="257"/>
      <c r="G18" s="211"/>
    </row>
    <row r="19" spans="1:7" s="212" customFormat="1">
      <c r="A19" s="256"/>
      <c r="B19" s="207"/>
      <c r="C19" s="207"/>
      <c r="D19" s="208"/>
      <c r="E19" s="209"/>
      <c r="F19" s="257"/>
      <c r="G19" s="211"/>
    </row>
    <row r="20" spans="1:7" ht="11.25" customHeight="1">
      <c r="A20" s="213"/>
      <c r="B20" s="214"/>
      <c r="C20" s="214"/>
      <c r="D20" s="215"/>
      <c r="E20" s="216"/>
      <c r="F20" s="217"/>
      <c r="G20" s="181"/>
    </row>
    <row r="21" spans="1:7">
      <c r="A21" s="213"/>
      <c r="B21" s="218"/>
      <c r="C21" s="219"/>
      <c r="D21" s="220"/>
      <c r="E21" s="216"/>
      <c r="F21" s="217"/>
      <c r="G21" s="181"/>
    </row>
    <row r="22" spans="1:7">
      <c r="A22" s="221"/>
      <c r="B22" s="219"/>
      <c r="C22" s="218"/>
      <c r="D22" s="217"/>
      <c r="E22" s="217"/>
      <c r="F22" s="217"/>
      <c r="G22" s="181"/>
    </row>
    <row r="23" spans="1:7" ht="16.5" customHeight="1" thickBot="1">
      <c r="A23" s="612"/>
      <c r="B23" s="225"/>
      <c r="C23" s="225"/>
      <c r="D23" s="225"/>
      <c r="E23" s="225"/>
      <c r="F23" s="223"/>
      <c r="G23" s="224"/>
    </row>
  </sheetData>
  <phoneticPr fontId="2"/>
  <dataValidations count="1">
    <dataValidation imeMode="off" allowBlank="1" showInputMessage="1" showErrorMessage="1" sqref="WVN982980:WVO982994 JB65476:JC65490 SX65476:SY65490 ACT65476:ACU65490 AMP65476:AMQ65490 AWL65476:AWM65490 BGH65476:BGI65490 BQD65476:BQE65490 BZZ65476:CAA65490 CJV65476:CJW65490 CTR65476:CTS65490 DDN65476:DDO65490 DNJ65476:DNK65490 DXF65476:DXG65490 EHB65476:EHC65490 EQX65476:EQY65490 FAT65476:FAU65490 FKP65476:FKQ65490 FUL65476:FUM65490 GEH65476:GEI65490 GOD65476:GOE65490 GXZ65476:GYA65490 HHV65476:HHW65490 HRR65476:HRS65490 IBN65476:IBO65490 ILJ65476:ILK65490 IVF65476:IVG65490 JFB65476:JFC65490 JOX65476:JOY65490 JYT65476:JYU65490 KIP65476:KIQ65490 KSL65476:KSM65490 LCH65476:LCI65490 LMD65476:LME65490 LVZ65476:LWA65490 MFV65476:MFW65490 MPR65476:MPS65490 MZN65476:MZO65490 NJJ65476:NJK65490 NTF65476:NTG65490 ODB65476:ODC65490 OMX65476:OMY65490 OWT65476:OWU65490 PGP65476:PGQ65490 PQL65476:PQM65490 QAH65476:QAI65490 QKD65476:QKE65490 QTZ65476:QUA65490 RDV65476:RDW65490 RNR65476:RNS65490 RXN65476:RXO65490 SHJ65476:SHK65490 SRF65476:SRG65490 TBB65476:TBC65490 TKX65476:TKY65490 TUT65476:TUU65490 UEP65476:UEQ65490 UOL65476:UOM65490 UYH65476:UYI65490 VID65476:VIE65490 VRZ65476:VSA65490 WBV65476:WBW65490 WLR65476:WLS65490 WVN65476:WVO65490 JB131012:JC131026 SX131012:SY131026 ACT131012:ACU131026 AMP131012:AMQ131026 AWL131012:AWM131026 BGH131012:BGI131026 BQD131012:BQE131026 BZZ131012:CAA131026 CJV131012:CJW131026 CTR131012:CTS131026 DDN131012:DDO131026 DNJ131012:DNK131026 DXF131012:DXG131026 EHB131012:EHC131026 EQX131012:EQY131026 FAT131012:FAU131026 FKP131012:FKQ131026 FUL131012:FUM131026 GEH131012:GEI131026 GOD131012:GOE131026 GXZ131012:GYA131026 HHV131012:HHW131026 HRR131012:HRS131026 IBN131012:IBO131026 ILJ131012:ILK131026 IVF131012:IVG131026 JFB131012:JFC131026 JOX131012:JOY131026 JYT131012:JYU131026 KIP131012:KIQ131026 KSL131012:KSM131026 LCH131012:LCI131026 LMD131012:LME131026 LVZ131012:LWA131026 MFV131012:MFW131026 MPR131012:MPS131026 MZN131012:MZO131026 NJJ131012:NJK131026 NTF131012:NTG131026 ODB131012:ODC131026 OMX131012:OMY131026 OWT131012:OWU131026 PGP131012:PGQ131026 PQL131012:PQM131026 QAH131012:QAI131026 QKD131012:QKE131026 QTZ131012:QUA131026 RDV131012:RDW131026 RNR131012:RNS131026 RXN131012:RXO131026 SHJ131012:SHK131026 SRF131012:SRG131026 TBB131012:TBC131026 TKX131012:TKY131026 TUT131012:TUU131026 UEP131012:UEQ131026 UOL131012:UOM131026 UYH131012:UYI131026 VID131012:VIE131026 VRZ131012:VSA131026 WBV131012:WBW131026 WLR131012:WLS131026 WVN131012:WVO131026 JB196548:JC196562 SX196548:SY196562 ACT196548:ACU196562 AMP196548:AMQ196562 AWL196548:AWM196562 BGH196548:BGI196562 BQD196548:BQE196562 BZZ196548:CAA196562 CJV196548:CJW196562 CTR196548:CTS196562 DDN196548:DDO196562 DNJ196548:DNK196562 DXF196548:DXG196562 EHB196548:EHC196562 EQX196548:EQY196562 FAT196548:FAU196562 FKP196548:FKQ196562 FUL196548:FUM196562 GEH196548:GEI196562 GOD196548:GOE196562 GXZ196548:GYA196562 HHV196548:HHW196562 HRR196548:HRS196562 IBN196548:IBO196562 ILJ196548:ILK196562 IVF196548:IVG196562 JFB196548:JFC196562 JOX196548:JOY196562 JYT196548:JYU196562 KIP196548:KIQ196562 KSL196548:KSM196562 LCH196548:LCI196562 LMD196548:LME196562 LVZ196548:LWA196562 MFV196548:MFW196562 MPR196548:MPS196562 MZN196548:MZO196562 NJJ196548:NJK196562 NTF196548:NTG196562 ODB196548:ODC196562 OMX196548:OMY196562 OWT196548:OWU196562 PGP196548:PGQ196562 PQL196548:PQM196562 QAH196548:QAI196562 QKD196548:QKE196562 QTZ196548:QUA196562 RDV196548:RDW196562 RNR196548:RNS196562 RXN196548:RXO196562 SHJ196548:SHK196562 SRF196548:SRG196562 TBB196548:TBC196562 TKX196548:TKY196562 TUT196548:TUU196562 UEP196548:UEQ196562 UOL196548:UOM196562 UYH196548:UYI196562 VID196548:VIE196562 VRZ196548:VSA196562 WBV196548:WBW196562 WLR196548:WLS196562 WVN196548:WVO196562 JB262084:JC262098 SX262084:SY262098 ACT262084:ACU262098 AMP262084:AMQ262098 AWL262084:AWM262098 BGH262084:BGI262098 BQD262084:BQE262098 BZZ262084:CAA262098 CJV262084:CJW262098 CTR262084:CTS262098 DDN262084:DDO262098 DNJ262084:DNK262098 DXF262084:DXG262098 EHB262084:EHC262098 EQX262084:EQY262098 FAT262084:FAU262098 FKP262084:FKQ262098 FUL262084:FUM262098 GEH262084:GEI262098 GOD262084:GOE262098 GXZ262084:GYA262098 HHV262084:HHW262098 HRR262084:HRS262098 IBN262084:IBO262098 ILJ262084:ILK262098 IVF262084:IVG262098 JFB262084:JFC262098 JOX262084:JOY262098 JYT262084:JYU262098 KIP262084:KIQ262098 KSL262084:KSM262098 LCH262084:LCI262098 LMD262084:LME262098 LVZ262084:LWA262098 MFV262084:MFW262098 MPR262084:MPS262098 MZN262084:MZO262098 NJJ262084:NJK262098 NTF262084:NTG262098 ODB262084:ODC262098 OMX262084:OMY262098 OWT262084:OWU262098 PGP262084:PGQ262098 PQL262084:PQM262098 QAH262084:QAI262098 QKD262084:QKE262098 QTZ262084:QUA262098 RDV262084:RDW262098 RNR262084:RNS262098 RXN262084:RXO262098 SHJ262084:SHK262098 SRF262084:SRG262098 TBB262084:TBC262098 TKX262084:TKY262098 TUT262084:TUU262098 UEP262084:UEQ262098 UOL262084:UOM262098 UYH262084:UYI262098 VID262084:VIE262098 VRZ262084:VSA262098 WBV262084:WBW262098 WLR262084:WLS262098 WVN262084:WVO262098 JB327620:JC327634 SX327620:SY327634 ACT327620:ACU327634 AMP327620:AMQ327634 AWL327620:AWM327634 BGH327620:BGI327634 BQD327620:BQE327634 BZZ327620:CAA327634 CJV327620:CJW327634 CTR327620:CTS327634 DDN327620:DDO327634 DNJ327620:DNK327634 DXF327620:DXG327634 EHB327620:EHC327634 EQX327620:EQY327634 FAT327620:FAU327634 FKP327620:FKQ327634 FUL327620:FUM327634 GEH327620:GEI327634 GOD327620:GOE327634 GXZ327620:GYA327634 HHV327620:HHW327634 HRR327620:HRS327634 IBN327620:IBO327634 ILJ327620:ILK327634 IVF327620:IVG327634 JFB327620:JFC327634 JOX327620:JOY327634 JYT327620:JYU327634 KIP327620:KIQ327634 KSL327620:KSM327634 LCH327620:LCI327634 LMD327620:LME327634 LVZ327620:LWA327634 MFV327620:MFW327634 MPR327620:MPS327634 MZN327620:MZO327634 NJJ327620:NJK327634 NTF327620:NTG327634 ODB327620:ODC327634 OMX327620:OMY327634 OWT327620:OWU327634 PGP327620:PGQ327634 PQL327620:PQM327634 QAH327620:QAI327634 QKD327620:QKE327634 QTZ327620:QUA327634 RDV327620:RDW327634 RNR327620:RNS327634 RXN327620:RXO327634 SHJ327620:SHK327634 SRF327620:SRG327634 TBB327620:TBC327634 TKX327620:TKY327634 TUT327620:TUU327634 UEP327620:UEQ327634 UOL327620:UOM327634 UYH327620:UYI327634 VID327620:VIE327634 VRZ327620:VSA327634 WBV327620:WBW327634 WLR327620:WLS327634 WVN327620:WVO327634 JB393156:JC393170 SX393156:SY393170 ACT393156:ACU393170 AMP393156:AMQ393170 AWL393156:AWM393170 BGH393156:BGI393170 BQD393156:BQE393170 BZZ393156:CAA393170 CJV393156:CJW393170 CTR393156:CTS393170 DDN393156:DDO393170 DNJ393156:DNK393170 DXF393156:DXG393170 EHB393156:EHC393170 EQX393156:EQY393170 FAT393156:FAU393170 FKP393156:FKQ393170 FUL393156:FUM393170 GEH393156:GEI393170 GOD393156:GOE393170 GXZ393156:GYA393170 HHV393156:HHW393170 HRR393156:HRS393170 IBN393156:IBO393170 ILJ393156:ILK393170 IVF393156:IVG393170 JFB393156:JFC393170 JOX393156:JOY393170 JYT393156:JYU393170 KIP393156:KIQ393170 KSL393156:KSM393170 LCH393156:LCI393170 LMD393156:LME393170 LVZ393156:LWA393170 MFV393156:MFW393170 MPR393156:MPS393170 MZN393156:MZO393170 NJJ393156:NJK393170 NTF393156:NTG393170 ODB393156:ODC393170 OMX393156:OMY393170 OWT393156:OWU393170 PGP393156:PGQ393170 PQL393156:PQM393170 QAH393156:QAI393170 QKD393156:QKE393170 QTZ393156:QUA393170 RDV393156:RDW393170 RNR393156:RNS393170 RXN393156:RXO393170 SHJ393156:SHK393170 SRF393156:SRG393170 TBB393156:TBC393170 TKX393156:TKY393170 TUT393156:TUU393170 UEP393156:UEQ393170 UOL393156:UOM393170 UYH393156:UYI393170 VID393156:VIE393170 VRZ393156:VSA393170 WBV393156:WBW393170 WLR393156:WLS393170 WVN393156:WVO393170 JB458692:JC458706 SX458692:SY458706 ACT458692:ACU458706 AMP458692:AMQ458706 AWL458692:AWM458706 BGH458692:BGI458706 BQD458692:BQE458706 BZZ458692:CAA458706 CJV458692:CJW458706 CTR458692:CTS458706 DDN458692:DDO458706 DNJ458692:DNK458706 DXF458692:DXG458706 EHB458692:EHC458706 EQX458692:EQY458706 FAT458692:FAU458706 FKP458692:FKQ458706 FUL458692:FUM458706 GEH458692:GEI458706 GOD458692:GOE458706 GXZ458692:GYA458706 HHV458692:HHW458706 HRR458692:HRS458706 IBN458692:IBO458706 ILJ458692:ILK458706 IVF458692:IVG458706 JFB458692:JFC458706 JOX458692:JOY458706 JYT458692:JYU458706 KIP458692:KIQ458706 KSL458692:KSM458706 LCH458692:LCI458706 LMD458692:LME458706 LVZ458692:LWA458706 MFV458692:MFW458706 MPR458692:MPS458706 MZN458692:MZO458706 NJJ458692:NJK458706 NTF458692:NTG458706 ODB458692:ODC458706 OMX458692:OMY458706 OWT458692:OWU458706 PGP458692:PGQ458706 PQL458692:PQM458706 QAH458692:QAI458706 QKD458692:QKE458706 QTZ458692:QUA458706 RDV458692:RDW458706 RNR458692:RNS458706 RXN458692:RXO458706 SHJ458692:SHK458706 SRF458692:SRG458706 TBB458692:TBC458706 TKX458692:TKY458706 TUT458692:TUU458706 UEP458692:UEQ458706 UOL458692:UOM458706 UYH458692:UYI458706 VID458692:VIE458706 VRZ458692:VSA458706 WBV458692:WBW458706 WLR458692:WLS458706 WVN458692:WVO458706 JB524228:JC524242 SX524228:SY524242 ACT524228:ACU524242 AMP524228:AMQ524242 AWL524228:AWM524242 BGH524228:BGI524242 BQD524228:BQE524242 BZZ524228:CAA524242 CJV524228:CJW524242 CTR524228:CTS524242 DDN524228:DDO524242 DNJ524228:DNK524242 DXF524228:DXG524242 EHB524228:EHC524242 EQX524228:EQY524242 FAT524228:FAU524242 FKP524228:FKQ524242 FUL524228:FUM524242 GEH524228:GEI524242 GOD524228:GOE524242 GXZ524228:GYA524242 HHV524228:HHW524242 HRR524228:HRS524242 IBN524228:IBO524242 ILJ524228:ILK524242 IVF524228:IVG524242 JFB524228:JFC524242 JOX524228:JOY524242 JYT524228:JYU524242 KIP524228:KIQ524242 KSL524228:KSM524242 LCH524228:LCI524242 LMD524228:LME524242 LVZ524228:LWA524242 MFV524228:MFW524242 MPR524228:MPS524242 MZN524228:MZO524242 NJJ524228:NJK524242 NTF524228:NTG524242 ODB524228:ODC524242 OMX524228:OMY524242 OWT524228:OWU524242 PGP524228:PGQ524242 PQL524228:PQM524242 QAH524228:QAI524242 QKD524228:QKE524242 QTZ524228:QUA524242 RDV524228:RDW524242 RNR524228:RNS524242 RXN524228:RXO524242 SHJ524228:SHK524242 SRF524228:SRG524242 TBB524228:TBC524242 TKX524228:TKY524242 TUT524228:TUU524242 UEP524228:UEQ524242 UOL524228:UOM524242 UYH524228:UYI524242 VID524228:VIE524242 VRZ524228:VSA524242 WBV524228:WBW524242 WLR524228:WLS524242 WVN524228:WVO524242 JB589764:JC589778 SX589764:SY589778 ACT589764:ACU589778 AMP589764:AMQ589778 AWL589764:AWM589778 BGH589764:BGI589778 BQD589764:BQE589778 BZZ589764:CAA589778 CJV589764:CJW589778 CTR589764:CTS589778 DDN589764:DDO589778 DNJ589764:DNK589778 DXF589764:DXG589778 EHB589764:EHC589778 EQX589764:EQY589778 FAT589764:FAU589778 FKP589764:FKQ589778 FUL589764:FUM589778 GEH589764:GEI589778 GOD589764:GOE589778 GXZ589764:GYA589778 HHV589764:HHW589778 HRR589764:HRS589778 IBN589764:IBO589778 ILJ589764:ILK589778 IVF589764:IVG589778 JFB589764:JFC589778 JOX589764:JOY589778 JYT589764:JYU589778 KIP589764:KIQ589778 KSL589764:KSM589778 LCH589764:LCI589778 LMD589764:LME589778 LVZ589764:LWA589778 MFV589764:MFW589778 MPR589764:MPS589778 MZN589764:MZO589778 NJJ589764:NJK589778 NTF589764:NTG589778 ODB589764:ODC589778 OMX589764:OMY589778 OWT589764:OWU589778 PGP589764:PGQ589778 PQL589764:PQM589778 QAH589764:QAI589778 QKD589764:QKE589778 QTZ589764:QUA589778 RDV589764:RDW589778 RNR589764:RNS589778 RXN589764:RXO589778 SHJ589764:SHK589778 SRF589764:SRG589778 TBB589764:TBC589778 TKX589764:TKY589778 TUT589764:TUU589778 UEP589764:UEQ589778 UOL589764:UOM589778 UYH589764:UYI589778 VID589764:VIE589778 VRZ589764:VSA589778 WBV589764:WBW589778 WLR589764:WLS589778 WVN589764:WVO589778 JB655300:JC655314 SX655300:SY655314 ACT655300:ACU655314 AMP655300:AMQ655314 AWL655300:AWM655314 BGH655300:BGI655314 BQD655300:BQE655314 BZZ655300:CAA655314 CJV655300:CJW655314 CTR655300:CTS655314 DDN655300:DDO655314 DNJ655300:DNK655314 DXF655300:DXG655314 EHB655300:EHC655314 EQX655300:EQY655314 FAT655300:FAU655314 FKP655300:FKQ655314 FUL655300:FUM655314 GEH655300:GEI655314 GOD655300:GOE655314 GXZ655300:GYA655314 HHV655300:HHW655314 HRR655300:HRS655314 IBN655300:IBO655314 ILJ655300:ILK655314 IVF655300:IVG655314 JFB655300:JFC655314 JOX655300:JOY655314 JYT655300:JYU655314 KIP655300:KIQ655314 KSL655300:KSM655314 LCH655300:LCI655314 LMD655300:LME655314 LVZ655300:LWA655314 MFV655300:MFW655314 MPR655300:MPS655314 MZN655300:MZO655314 NJJ655300:NJK655314 NTF655300:NTG655314 ODB655300:ODC655314 OMX655300:OMY655314 OWT655300:OWU655314 PGP655300:PGQ655314 PQL655300:PQM655314 QAH655300:QAI655314 QKD655300:QKE655314 QTZ655300:QUA655314 RDV655300:RDW655314 RNR655300:RNS655314 RXN655300:RXO655314 SHJ655300:SHK655314 SRF655300:SRG655314 TBB655300:TBC655314 TKX655300:TKY655314 TUT655300:TUU655314 UEP655300:UEQ655314 UOL655300:UOM655314 UYH655300:UYI655314 VID655300:VIE655314 VRZ655300:VSA655314 WBV655300:WBW655314 WLR655300:WLS655314 WVN655300:WVO655314 JB720836:JC720850 SX720836:SY720850 ACT720836:ACU720850 AMP720836:AMQ720850 AWL720836:AWM720850 BGH720836:BGI720850 BQD720836:BQE720850 BZZ720836:CAA720850 CJV720836:CJW720850 CTR720836:CTS720850 DDN720836:DDO720850 DNJ720836:DNK720850 DXF720836:DXG720850 EHB720836:EHC720850 EQX720836:EQY720850 FAT720836:FAU720850 FKP720836:FKQ720850 FUL720836:FUM720850 GEH720836:GEI720850 GOD720836:GOE720850 GXZ720836:GYA720850 HHV720836:HHW720850 HRR720836:HRS720850 IBN720836:IBO720850 ILJ720836:ILK720850 IVF720836:IVG720850 JFB720836:JFC720850 JOX720836:JOY720850 JYT720836:JYU720850 KIP720836:KIQ720850 KSL720836:KSM720850 LCH720836:LCI720850 LMD720836:LME720850 LVZ720836:LWA720850 MFV720836:MFW720850 MPR720836:MPS720850 MZN720836:MZO720850 NJJ720836:NJK720850 NTF720836:NTG720850 ODB720836:ODC720850 OMX720836:OMY720850 OWT720836:OWU720850 PGP720836:PGQ720850 PQL720836:PQM720850 QAH720836:QAI720850 QKD720836:QKE720850 QTZ720836:QUA720850 RDV720836:RDW720850 RNR720836:RNS720850 RXN720836:RXO720850 SHJ720836:SHK720850 SRF720836:SRG720850 TBB720836:TBC720850 TKX720836:TKY720850 TUT720836:TUU720850 UEP720836:UEQ720850 UOL720836:UOM720850 UYH720836:UYI720850 VID720836:VIE720850 VRZ720836:VSA720850 WBV720836:WBW720850 WLR720836:WLS720850 WVN720836:WVO720850 JB786372:JC786386 SX786372:SY786386 ACT786372:ACU786386 AMP786372:AMQ786386 AWL786372:AWM786386 BGH786372:BGI786386 BQD786372:BQE786386 BZZ786372:CAA786386 CJV786372:CJW786386 CTR786372:CTS786386 DDN786372:DDO786386 DNJ786372:DNK786386 DXF786372:DXG786386 EHB786372:EHC786386 EQX786372:EQY786386 FAT786372:FAU786386 FKP786372:FKQ786386 FUL786372:FUM786386 GEH786372:GEI786386 GOD786372:GOE786386 GXZ786372:GYA786386 HHV786372:HHW786386 HRR786372:HRS786386 IBN786372:IBO786386 ILJ786372:ILK786386 IVF786372:IVG786386 JFB786372:JFC786386 JOX786372:JOY786386 JYT786372:JYU786386 KIP786372:KIQ786386 KSL786372:KSM786386 LCH786372:LCI786386 LMD786372:LME786386 LVZ786372:LWA786386 MFV786372:MFW786386 MPR786372:MPS786386 MZN786372:MZO786386 NJJ786372:NJK786386 NTF786372:NTG786386 ODB786372:ODC786386 OMX786372:OMY786386 OWT786372:OWU786386 PGP786372:PGQ786386 PQL786372:PQM786386 QAH786372:QAI786386 QKD786372:QKE786386 QTZ786372:QUA786386 RDV786372:RDW786386 RNR786372:RNS786386 RXN786372:RXO786386 SHJ786372:SHK786386 SRF786372:SRG786386 TBB786372:TBC786386 TKX786372:TKY786386 TUT786372:TUU786386 UEP786372:UEQ786386 UOL786372:UOM786386 UYH786372:UYI786386 VID786372:VIE786386 VRZ786372:VSA786386 WBV786372:WBW786386 WLR786372:WLS786386 WVN786372:WVO786386 JB851908:JC851922 SX851908:SY851922 ACT851908:ACU851922 AMP851908:AMQ851922 AWL851908:AWM851922 BGH851908:BGI851922 BQD851908:BQE851922 BZZ851908:CAA851922 CJV851908:CJW851922 CTR851908:CTS851922 DDN851908:DDO851922 DNJ851908:DNK851922 DXF851908:DXG851922 EHB851908:EHC851922 EQX851908:EQY851922 FAT851908:FAU851922 FKP851908:FKQ851922 FUL851908:FUM851922 GEH851908:GEI851922 GOD851908:GOE851922 GXZ851908:GYA851922 HHV851908:HHW851922 HRR851908:HRS851922 IBN851908:IBO851922 ILJ851908:ILK851922 IVF851908:IVG851922 JFB851908:JFC851922 JOX851908:JOY851922 JYT851908:JYU851922 KIP851908:KIQ851922 KSL851908:KSM851922 LCH851908:LCI851922 LMD851908:LME851922 LVZ851908:LWA851922 MFV851908:MFW851922 MPR851908:MPS851922 MZN851908:MZO851922 NJJ851908:NJK851922 NTF851908:NTG851922 ODB851908:ODC851922 OMX851908:OMY851922 OWT851908:OWU851922 PGP851908:PGQ851922 PQL851908:PQM851922 QAH851908:QAI851922 QKD851908:QKE851922 QTZ851908:QUA851922 RDV851908:RDW851922 RNR851908:RNS851922 RXN851908:RXO851922 SHJ851908:SHK851922 SRF851908:SRG851922 TBB851908:TBC851922 TKX851908:TKY851922 TUT851908:TUU851922 UEP851908:UEQ851922 UOL851908:UOM851922 UYH851908:UYI851922 VID851908:VIE851922 VRZ851908:VSA851922 WBV851908:WBW851922 WLR851908:WLS851922 WVN851908:WVO851922 JB917444:JC917458 SX917444:SY917458 ACT917444:ACU917458 AMP917444:AMQ917458 AWL917444:AWM917458 BGH917444:BGI917458 BQD917444:BQE917458 BZZ917444:CAA917458 CJV917444:CJW917458 CTR917444:CTS917458 DDN917444:DDO917458 DNJ917444:DNK917458 DXF917444:DXG917458 EHB917444:EHC917458 EQX917444:EQY917458 FAT917444:FAU917458 FKP917444:FKQ917458 FUL917444:FUM917458 GEH917444:GEI917458 GOD917444:GOE917458 GXZ917444:GYA917458 HHV917444:HHW917458 HRR917444:HRS917458 IBN917444:IBO917458 ILJ917444:ILK917458 IVF917444:IVG917458 JFB917444:JFC917458 JOX917444:JOY917458 JYT917444:JYU917458 KIP917444:KIQ917458 KSL917444:KSM917458 LCH917444:LCI917458 LMD917444:LME917458 LVZ917444:LWA917458 MFV917444:MFW917458 MPR917444:MPS917458 MZN917444:MZO917458 NJJ917444:NJK917458 NTF917444:NTG917458 ODB917444:ODC917458 OMX917444:OMY917458 OWT917444:OWU917458 PGP917444:PGQ917458 PQL917444:PQM917458 QAH917444:QAI917458 QKD917444:QKE917458 QTZ917444:QUA917458 RDV917444:RDW917458 RNR917444:RNS917458 RXN917444:RXO917458 SHJ917444:SHK917458 SRF917444:SRG917458 TBB917444:TBC917458 TKX917444:TKY917458 TUT917444:TUU917458 UEP917444:UEQ917458 UOL917444:UOM917458 UYH917444:UYI917458 VID917444:VIE917458 VRZ917444:VSA917458 WBV917444:WBW917458 WLR917444:WLS917458 WVN917444:WVO917458 JB982980:JC982994 SX982980:SY982994 ACT982980:ACU982994 AMP982980:AMQ982994 AWL982980:AWM982994 BGH982980:BGI982994 BQD982980:BQE982994 BZZ982980:CAA982994 CJV982980:CJW982994 CTR982980:CTS982994 DDN982980:DDO982994 DNJ982980:DNK982994 DXF982980:DXG982994 EHB982980:EHC982994 EQX982980:EQY982994 FAT982980:FAU982994 FKP982980:FKQ982994 FUL982980:FUM982994 GEH982980:GEI982994 GOD982980:GOE982994 GXZ982980:GYA982994 HHV982980:HHW982994 HRR982980:HRS982994 IBN982980:IBO982994 ILJ982980:ILK982994 IVF982980:IVG982994 JFB982980:JFC982994 JOX982980:JOY982994 JYT982980:JYU982994 KIP982980:KIQ982994 KSL982980:KSM982994 LCH982980:LCI982994 LMD982980:LME982994 LVZ982980:LWA982994 MFV982980:MFW982994 MPR982980:MPS982994 MZN982980:MZO982994 NJJ982980:NJK982994 NTF982980:NTG982994 ODB982980:ODC982994 OMX982980:OMY982994 OWT982980:OWU982994 PGP982980:PGQ982994 PQL982980:PQM982994 QAH982980:QAI982994 QKD982980:QKE982994 QTZ982980:QUA982994 RDV982980:RDW982994 RNR982980:RNS982994 RXN982980:RXO982994 SHJ982980:SHK982994 SRF982980:SRG982994 TBB982980:TBC982994 TKX982980:TKY982994 TUT982980:TUU982994 UEP982980:UEQ982994 UOL982980:UOM982994 UYH982980:UYI982994 VID982980:VIE982994 VRZ982980:VSA982994 WBV982980:WBW982994 WLR982980:WLS982994 WLR13:WLS20 JB13:JC20 SX13:SY20 ACT13:ACU20 AMP13:AMQ20 AWL13:AWM20 BGH13:BGI20 BQD13:BQE20 BZZ13:CAA20 CJV13:CJW20 CTR13:CTS20 DDN13:DDO20 DNJ13:DNK20 DXF13:DXG20 EHB13:EHC20 EQX13:EQY20 FAT13:FAU20 FKP13:FKQ20 FUL13:FUM20 GEH13:GEI20 GOD13:GOE20 GXZ13:GYA20 HHV13:HHW20 HRR13:HRS20 IBN13:IBO20 ILJ13:ILK20 IVF13:IVG20 JFB13:JFC20 JOX13:JOY20 JYT13:JYU20 KIP13:KIQ20 KSL13:KSM20 LCH13:LCI20 LMD13:LME20 LVZ13:LWA20 MFV13:MFW20 MPR13:MPS20 MZN13:MZO20 NJJ13:NJK20 NTF13:NTG20 ODB13:ODC20 OMX13:OMY20 OWT13:OWU20 PGP13:PGQ20 PQL13:PQM20 QAH13:QAI20 QKD13:QKE20 QTZ13:QUA20 RDV13:RDW20 RNR13:RNS20 RXN13:RXO20 SHJ13:SHK20 SRF13:SRG20 TBB13:TBC20 TKX13:TKY20 TUT13:TUU20 UEP13:UEQ20 UOL13:UOM20 UYH13:UYI20 VID13:VIE20 VRZ13:VSA20 WBV13:WBW20 WVN13:WVO20 WLR5:WLS10 WVN5:WVO10 JB5:JC10 SX5:SY10 ACT5:ACU10 AMP5:AMQ10 AWL5:AWM10 BGH5:BGI10 BQD5:BQE10 BZZ5:CAA10 CJV5:CJW10 CTR5:CTS10 DDN5:DDO10 DNJ5:DNK10 DXF5:DXG10 EHB5:EHC10 EQX5:EQY10 FAT5:FAU10 FKP5:FKQ10 FUL5:FUM10 GEH5:GEI10 GOD5:GOE10 GXZ5:GYA10 HHV5:HHW10 HRR5:HRS10 IBN5:IBO10 ILJ5:ILK10 IVF5:IVG10 JFB5:JFC10 JOX5:JOY10 JYT5:JYU10 KIP5:KIQ10 KSL5:KSM10 LCH5:LCI10 LMD5:LME10 LVZ5:LWA10 MFV5:MFW10 MPR5:MPS10 MZN5:MZO10 NJJ5:NJK10 NTF5:NTG10 ODB5:ODC10 OMX5:OMY10 OWT5:OWU10 PGP5:PGQ10 PQL5:PQM10 QAH5:QAI10 QKD5:QKE10 QTZ5:QUA10 RDV5:RDW10 RNR5:RNS10 RXN5:RXO10 SHJ5:SHK10 SRF5:SRG10 TBB5:TBC10 TKX5:TKY10 TUT5:TUU10 UEP5:UEQ10 UOL5:UOM10 UYH5:UYI10 VID5:VIE10 VRZ5:VSA10 WBV5:WBW10"/>
  </dataValidations>
  <pageMargins left="0.39370078740157483" right="0.39370078740157483" top="0.51181102362204722" bottom="0.51181102362204722" header="0.31496062992125984" footer="0.31496062992125984"/>
  <pageSetup paperSize="9" fitToHeight="0" orientation="landscape" horizontalDpi="200" verticalDpi="200" r:id="rId1"/>
  <headerFooter alignWithMargins="0">
    <oddFooter>&amp;L&amp;A&amp;C&amp;P/&amp;N&amp;R©Toyo Business Engineering Corp.(B-EN-G) / Confidential</oddFooter>
  </headerFooter>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5">
    <tabColor rgb="FFFFCCFF"/>
    <pageSetUpPr fitToPage="1"/>
  </sheetPr>
  <dimension ref="A4:U22"/>
  <sheetViews>
    <sheetView showGridLines="0" zoomScaleNormal="100" zoomScaleSheetLayoutView="100" workbookViewId="0">
      <pane xSplit="2" topLeftCell="C1" activePane="topRight" state="frozen"/>
      <selection activeCell="AV14" sqref="AV14"/>
      <selection pane="topRight" activeCell="A18" sqref="A18"/>
    </sheetView>
  </sheetViews>
  <sheetFormatPr defaultRowHeight="12"/>
  <cols>
    <col min="1" max="1" width="12" style="167" customWidth="1"/>
    <col min="2" max="2" width="16.83203125" style="167" bestFit="1" customWidth="1"/>
    <col min="3" max="4" width="16.6640625" style="167" customWidth="1"/>
    <col min="5" max="5" width="104.1640625" style="167" customWidth="1"/>
    <col min="6" max="6" width="30.6640625" style="4" bestFit="1" customWidth="1"/>
    <col min="7" max="8" width="11.33203125" style="4" bestFit="1" customWidth="1"/>
    <col min="9" max="9" width="15.83203125" style="4" bestFit="1" customWidth="1"/>
    <col min="10" max="10" width="11.33203125" style="4" bestFit="1" customWidth="1"/>
    <col min="11" max="11" width="15.83203125" style="4" bestFit="1" customWidth="1"/>
    <col min="12" max="12" width="18.6640625" style="4" bestFit="1" customWidth="1"/>
    <col min="13" max="13" width="11.33203125" style="4" bestFit="1" customWidth="1"/>
    <col min="14" max="14" width="18.83203125" style="4" bestFit="1" customWidth="1"/>
    <col min="15" max="15" width="19.83203125" style="4" bestFit="1" customWidth="1"/>
    <col min="16" max="16" width="17.6640625" style="4" bestFit="1" customWidth="1"/>
    <col min="17" max="17" width="15.83203125" style="4" bestFit="1" customWidth="1"/>
    <col min="18" max="18" width="16" style="4" bestFit="1" customWidth="1"/>
    <col min="19" max="19" width="25.5" style="4" bestFit="1" customWidth="1"/>
    <col min="20" max="20" width="23.33203125" style="4" bestFit="1" customWidth="1"/>
    <col min="21" max="21" width="13.5" style="4" bestFit="1" customWidth="1"/>
    <col min="22" max="177" width="9.33203125" style="4"/>
    <col min="178" max="227" width="3.33203125" style="4" customWidth="1"/>
    <col min="228" max="228" width="1.5" style="4" customWidth="1"/>
    <col min="229" max="433" width="9.33203125" style="4"/>
    <col min="434" max="483" width="3.33203125" style="4" customWidth="1"/>
    <col min="484" max="484" width="1.5" style="4" customWidth="1"/>
    <col min="485" max="689" width="9.33203125" style="4"/>
    <col min="690" max="739" width="3.33203125" style="4" customWidth="1"/>
    <col min="740" max="740" width="1.5" style="4" customWidth="1"/>
    <col min="741" max="945" width="9.33203125" style="4"/>
    <col min="946" max="995" width="3.33203125" style="4" customWidth="1"/>
    <col min="996" max="996" width="1.5" style="4" customWidth="1"/>
    <col min="997" max="1201" width="9.33203125" style="4"/>
    <col min="1202" max="1251" width="3.33203125" style="4" customWidth="1"/>
    <col min="1252" max="1252" width="1.5" style="4" customWidth="1"/>
    <col min="1253" max="1457" width="9.33203125" style="4"/>
    <col min="1458" max="1507" width="3.33203125" style="4" customWidth="1"/>
    <col min="1508" max="1508" width="1.5" style="4" customWidth="1"/>
    <col min="1509" max="1713" width="9.33203125" style="4"/>
    <col min="1714" max="1763" width="3.33203125" style="4" customWidth="1"/>
    <col min="1764" max="1764" width="1.5" style="4" customWidth="1"/>
    <col min="1765" max="1969" width="9.33203125" style="4"/>
    <col min="1970" max="2019" width="3.33203125" style="4" customWidth="1"/>
    <col min="2020" max="2020" width="1.5" style="4" customWidth="1"/>
    <col min="2021" max="2225" width="9.33203125" style="4"/>
    <col min="2226" max="2275" width="3.33203125" style="4" customWidth="1"/>
    <col min="2276" max="2276" width="1.5" style="4" customWidth="1"/>
    <col min="2277" max="2481" width="9.33203125" style="4"/>
    <col min="2482" max="2531" width="3.33203125" style="4" customWidth="1"/>
    <col min="2532" max="2532" width="1.5" style="4" customWidth="1"/>
    <col min="2533" max="2737" width="9.33203125" style="4"/>
    <col min="2738" max="2787" width="3.33203125" style="4" customWidth="1"/>
    <col min="2788" max="2788" width="1.5" style="4" customWidth="1"/>
    <col min="2789" max="2993" width="9.33203125" style="4"/>
    <col min="2994" max="3043" width="3.33203125" style="4" customWidth="1"/>
    <col min="3044" max="3044" width="1.5" style="4" customWidth="1"/>
    <col min="3045" max="3249" width="9.33203125" style="4"/>
    <col min="3250" max="3299" width="3.33203125" style="4" customWidth="1"/>
    <col min="3300" max="3300" width="1.5" style="4" customWidth="1"/>
    <col min="3301" max="3505" width="9.33203125" style="4"/>
    <col min="3506" max="3555" width="3.33203125" style="4" customWidth="1"/>
    <col min="3556" max="3556" width="1.5" style="4" customWidth="1"/>
    <col min="3557" max="3761" width="9.33203125" style="4"/>
    <col min="3762" max="3811" width="3.33203125" style="4" customWidth="1"/>
    <col min="3812" max="3812" width="1.5" style="4" customWidth="1"/>
    <col min="3813" max="4017" width="9.33203125" style="4"/>
    <col min="4018" max="4067" width="3.33203125" style="4" customWidth="1"/>
    <col min="4068" max="4068" width="1.5" style="4" customWidth="1"/>
    <col min="4069" max="4273" width="9.33203125" style="4"/>
    <col min="4274" max="4323" width="3.33203125" style="4" customWidth="1"/>
    <col min="4324" max="4324" width="1.5" style="4" customWidth="1"/>
    <col min="4325" max="4529" width="9.33203125" style="4"/>
    <col min="4530" max="4579" width="3.33203125" style="4" customWidth="1"/>
    <col min="4580" max="4580" width="1.5" style="4" customWidth="1"/>
    <col min="4581" max="4785" width="9.33203125" style="4"/>
    <col min="4786" max="4835" width="3.33203125" style="4" customWidth="1"/>
    <col min="4836" max="4836" width="1.5" style="4" customWidth="1"/>
    <col min="4837" max="5041" width="9.33203125" style="4"/>
    <col min="5042" max="5091" width="3.33203125" style="4" customWidth="1"/>
    <col min="5092" max="5092" width="1.5" style="4" customWidth="1"/>
    <col min="5093" max="5297" width="9.33203125" style="4"/>
    <col min="5298" max="5347" width="3.33203125" style="4" customWidth="1"/>
    <col min="5348" max="5348" width="1.5" style="4" customWidth="1"/>
    <col min="5349" max="5553" width="9.33203125" style="4"/>
    <col min="5554" max="5603" width="3.33203125" style="4" customWidth="1"/>
    <col min="5604" max="5604" width="1.5" style="4" customWidth="1"/>
    <col min="5605" max="5809" width="9.33203125" style="4"/>
    <col min="5810" max="5859" width="3.33203125" style="4" customWidth="1"/>
    <col min="5860" max="5860" width="1.5" style="4" customWidth="1"/>
    <col min="5861" max="6065" width="9.33203125" style="4"/>
    <col min="6066" max="6115" width="3.33203125" style="4" customWidth="1"/>
    <col min="6116" max="6116" width="1.5" style="4" customWidth="1"/>
    <col min="6117" max="6321" width="9.33203125" style="4"/>
    <col min="6322" max="6371" width="3.33203125" style="4" customWidth="1"/>
    <col min="6372" max="6372" width="1.5" style="4" customWidth="1"/>
    <col min="6373" max="6577" width="9.33203125" style="4"/>
    <col min="6578" max="6627" width="3.33203125" style="4" customWidth="1"/>
    <col min="6628" max="6628" width="1.5" style="4" customWidth="1"/>
    <col min="6629" max="6833" width="9.33203125" style="4"/>
    <col min="6834" max="6883" width="3.33203125" style="4" customWidth="1"/>
    <col min="6884" max="6884" width="1.5" style="4" customWidth="1"/>
    <col min="6885" max="7089" width="9.33203125" style="4"/>
    <col min="7090" max="7139" width="3.33203125" style="4" customWidth="1"/>
    <col min="7140" max="7140" width="1.5" style="4" customWidth="1"/>
    <col min="7141" max="7345" width="9.33203125" style="4"/>
    <col min="7346" max="7395" width="3.33203125" style="4" customWidth="1"/>
    <col min="7396" max="7396" width="1.5" style="4" customWidth="1"/>
    <col min="7397" max="7601" width="9.33203125" style="4"/>
    <col min="7602" max="7651" width="3.33203125" style="4" customWidth="1"/>
    <col min="7652" max="7652" width="1.5" style="4" customWidth="1"/>
    <col min="7653" max="7857" width="9.33203125" style="4"/>
    <col min="7858" max="7907" width="3.33203125" style="4" customWidth="1"/>
    <col min="7908" max="7908" width="1.5" style="4" customWidth="1"/>
    <col min="7909" max="8113" width="9.33203125" style="4"/>
    <col min="8114" max="8163" width="3.33203125" style="4" customWidth="1"/>
    <col min="8164" max="8164" width="1.5" style="4" customWidth="1"/>
    <col min="8165" max="8369" width="9.33203125" style="4"/>
    <col min="8370" max="8419" width="3.33203125" style="4" customWidth="1"/>
    <col min="8420" max="8420" width="1.5" style="4" customWidth="1"/>
    <col min="8421" max="8625" width="9.33203125" style="4"/>
    <col min="8626" max="8675" width="3.33203125" style="4" customWidth="1"/>
    <col min="8676" max="8676" width="1.5" style="4" customWidth="1"/>
    <col min="8677" max="8881" width="9.33203125" style="4"/>
    <col min="8882" max="8931" width="3.33203125" style="4" customWidth="1"/>
    <col min="8932" max="8932" width="1.5" style="4" customWidth="1"/>
    <col min="8933" max="9137" width="9.33203125" style="4"/>
    <col min="9138" max="9187" width="3.33203125" style="4" customWidth="1"/>
    <col min="9188" max="9188" width="1.5" style="4" customWidth="1"/>
    <col min="9189" max="9393" width="9.33203125" style="4"/>
    <col min="9394" max="9443" width="3.33203125" style="4" customWidth="1"/>
    <col min="9444" max="9444" width="1.5" style="4" customWidth="1"/>
    <col min="9445" max="9649" width="9.33203125" style="4"/>
    <col min="9650" max="9699" width="3.33203125" style="4" customWidth="1"/>
    <col min="9700" max="9700" width="1.5" style="4" customWidth="1"/>
    <col min="9701" max="9905" width="9.33203125" style="4"/>
    <col min="9906" max="9955" width="3.33203125" style="4" customWidth="1"/>
    <col min="9956" max="9956" width="1.5" style="4" customWidth="1"/>
    <col min="9957" max="10161" width="9.33203125" style="4"/>
    <col min="10162" max="10211" width="3.33203125" style="4" customWidth="1"/>
    <col min="10212" max="10212" width="1.5" style="4" customWidth="1"/>
    <col min="10213" max="10417" width="9.33203125" style="4"/>
    <col min="10418" max="10467" width="3.33203125" style="4" customWidth="1"/>
    <col min="10468" max="10468" width="1.5" style="4" customWidth="1"/>
    <col min="10469" max="10673" width="9.33203125" style="4"/>
    <col min="10674" max="10723" width="3.33203125" style="4" customWidth="1"/>
    <col min="10724" max="10724" width="1.5" style="4" customWidth="1"/>
    <col min="10725" max="10929" width="9.33203125" style="4"/>
    <col min="10930" max="10979" width="3.33203125" style="4" customWidth="1"/>
    <col min="10980" max="10980" width="1.5" style="4" customWidth="1"/>
    <col min="10981" max="11185" width="9.33203125" style="4"/>
    <col min="11186" max="11235" width="3.33203125" style="4" customWidth="1"/>
    <col min="11236" max="11236" width="1.5" style="4" customWidth="1"/>
    <col min="11237" max="11441" width="9.33203125" style="4"/>
    <col min="11442" max="11491" width="3.33203125" style="4" customWidth="1"/>
    <col min="11492" max="11492" width="1.5" style="4" customWidth="1"/>
    <col min="11493" max="11697" width="9.33203125" style="4"/>
    <col min="11698" max="11747" width="3.33203125" style="4" customWidth="1"/>
    <col min="11748" max="11748" width="1.5" style="4" customWidth="1"/>
    <col min="11749" max="11953" width="9.33203125" style="4"/>
    <col min="11954" max="12003" width="3.33203125" style="4" customWidth="1"/>
    <col min="12004" max="12004" width="1.5" style="4" customWidth="1"/>
    <col min="12005" max="12209" width="9.33203125" style="4"/>
    <col min="12210" max="12259" width="3.33203125" style="4" customWidth="1"/>
    <col min="12260" max="12260" width="1.5" style="4" customWidth="1"/>
    <col min="12261" max="12465" width="9.33203125" style="4"/>
    <col min="12466" max="12515" width="3.33203125" style="4" customWidth="1"/>
    <col min="12516" max="12516" width="1.5" style="4" customWidth="1"/>
    <col min="12517" max="12721" width="9.33203125" style="4"/>
    <col min="12722" max="12771" width="3.33203125" style="4" customWidth="1"/>
    <col min="12772" max="12772" width="1.5" style="4" customWidth="1"/>
    <col min="12773" max="12977" width="9.33203125" style="4"/>
    <col min="12978" max="13027" width="3.33203125" style="4" customWidth="1"/>
    <col min="13028" max="13028" width="1.5" style="4" customWidth="1"/>
    <col min="13029" max="13233" width="9.33203125" style="4"/>
    <col min="13234" max="13283" width="3.33203125" style="4" customWidth="1"/>
    <col min="13284" max="13284" width="1.5" style="4" customWidth="1"/>
    <col min="13285" max="13489" width="9.33203125" style="4"/>
    <col min="13490" max="13539" width="3.33203125" style="4" customWidth="1"/>
    <col min="13540" max="13540" width="1.5" style="4" customWidth="1"/>
    <col min="13541" max="13745" width="9.33203125" style="4"/>
    <col min="13746" max="13795" width="3.33203125" style="4" customWidth="1"/>
    <col min="13796" max="13796" width="1.5" style="4" customWidth="1"/>
    <col min="13797" max="14001" width="9.33203125" style="4"/>
    <col min="14002" max="14051" width="3.33203125" style="4" customWidth="1"/>
    <col min="14052" max="14052" width="1.5" style="4" customWidth="1"/>
    <col min="14053" max="14257" width="9.33203125" style="4"/>
    <col min="14258" max="14307" width="3.33203125" style="4" customWidth="1"/>
    <col min="14308" max="14308" width="1.5" style="4" customWidth="1"/>
    <col min="14309" max="14513" width="9.33203125" style="4"/>
    <col min="14514" max="14563" width="3.33203125" style="4" customWidth="1"/>
    <col min="14564" max="14564" width="1.5" style="4" customWidth="1"/>
    <col min="14565" max="14769" width="9.33203125" style="4"/>
    <col min="14770" max="14819" width="3.33203125" style="4" customWidth="1"/>
    <col min="14820" max="14820" width="1.5" style="4" customWidth="1"/>
    <col min="14821" max="15025" width="9.33203125" style="4"/>
    <col min="15026" max="15075" width="3.33203125" style="4" customWidth="1"/>
    <col min="15076" max="15076" width="1.5" style="4" customWidth="1"/>
    <col min="15077" max="15281" width="9.33203125" style="4"/>
    <col min="15282" max="15331" width="3.33203125" style="4" customWidth="1"/>
    <col min="15332" max="15332" width="1.5" style="4" customWidth="1"/>
    <col min="15333" max="15537" width="9.33203125" style="4"/>
    <col min="15538" max="15587" width="3.33203125" style="4" customWidth="1"/>
    <col min="15588" max="15588" width="1.5" style="4" customWidth="1"/>
    <col min="15589" max="15793" width="9.33203125" style="4"/>
    <col min="15794" max="15843" width="3.33203125" style="4" customWidth="1"/>
    <col min="15844" max="15844" width="1.5" style="4" customWidth="1"/>
    <col min="15845" max="16049" width="9.33203125" style="4"/>
    <col min="16050" max="16099" width="3.33203125" style="4" customWidth="1"/>
    <col min="16100" max="16100" width="1.5" style="4" customWidth="1"/>
    <col min="16101" max="16384" width="9.33203125" style="4"/>
  </cols>
  <sheetData>
    <row r="4" spans="1:21" ht="12.75" thickBot="1">
      <c r="A4" s="225"/>
      <c r="B4" s="225"/>
      <c r="C4" s="225"/>
      <c r="D4" s="225"/>
      <c r="E4" s="225"/>
    </row>
    <row r="5" spans="1:21" ht="11.25" customHeight="1">
      <c r="A5" s="226" t="s">
        <v>179</v>
      </c>
      <c r="B5" s="227"/>
      <c r="C5" s="228">
        <v>1</v>
      </c>
      <c r="D5" s="229"/>
      <c r="E5" s="230"/>
      <c r="F5" s="296" t="s">
        <v>197</v>
      </c>
      <c r="G5" s="229"/>
      <c r="H5" s="229"/>
      <c r="I5" s="229"/>
      <c r="J5" s="229"/>
      <c r="K5" s="229"/>
      <c r="L5" s="229"/>
      <c r="M5" s="229"/>
      <c r="N5" s="229"/>
      <c r="O5" s="229"/>
      <c r="P5" s="229"/>
      <c r="Q5" s="229"/>
      <c r="R5" s="229"/>
      <c r="S5" s="229"/>
      <c r="T5" s="229"/>
      <c r="U5" s="230"/>
    </row>
    <row r="6" spans="1:21" ht="11.25" customHeight="1">
      <c r="A6" s="231" t="s">
        <v>180</v>
      </c>
      <c r="B6" s="232"/>
      <c r="C6" s="233"/>
      <c r="D6" s="233"/>
      <c r="E6" s="234"/>
      <c r="F6" s="297" t="s">
        <v>198</v>
      </c>
      <c r="G6" s="298" t="s">
        <v>199</v>
      </c>
      <c r="H6" s="298" t="s">
        <v>200</v>
      </c>
      <c r="I6" s="298" t="s">
        <v>201</v>
      </c>
      <c r="J6" s="298" t="s">
        <v>202</v>
      </c>
      <c r="K6" s="298" t="s">
        <v>203</v>
      </c>
      <c r="L6" s="298" t="s">
        <v>204</v>
      </c>
      <c r="M6" s="298" t="s">
        <v>205</v>
      </c>
      <c r="N6" s="298" t="s">
        <v>206</v>
      </c>
      <c r="O6" s="298" t="s">
        <v>207</v>
      </c>
      <c r="P6" s="298" t="s">
        <v>213</v>
      </c>
      <c r="Q6" s="298" t="s">
        <v>208</v>
      </c>
      <c r="R6" s="298" t="s">
        <v>209</v>
      </c>
      <c r="S6" s="298" t="s">
        <v>210</v>
      </c>
      <c r="T6" s="298" t="s">
        <v>211</v>
      </c>
      <c r="U6" s="299" t="s">
        <v>212</v>
      </c>
    </row>
    <row r="7" spans="1:21" ht="11.25" customHeight="1">
      <c r="A7" s="231" t="s">
        <v>181</v>
      </c>
      <c r="B7" s="232"/>
      <c r="C7" s="233"/>
      <c r="D7" s="233"/>
      <c r="E7" s="234"/>
      <c r="F7" s="300"/>
      <c r="G7" s="301"/>
      <c r="H7" s="301"/>
      <c r="I7" s="301"/>
      <c r="J7" s="301"/>
      <c r="K7" s="301"/>
      <c r="L7" s="301"/>
      <c r="M7" s="301"/>
      <c r="N7" s="301"/>
      <c r="O7" s="301"/>
      <c r="P7" s="301"/>
      <c r="Q7" s="301"/>
      <c r="R7" s="301"/>
      <c r="S7" s="301"/>
      <c r="T7" s="301"/>
      <c r="U7" s="302"/>
    </row>
    <row r="8" spans="1:21" ht="11.25" customHeight="1">
      <c r="A8" s="235" t="s">
        <v>182</v>
      </c>
      <c r="B8" s="236"/>
      <c r="C8" s="237"/>
      <c r="D8" s="238"/>
      <c r="E8" s="239"/>
      <c r="F8" s="303"/>
      <c r="G8" s="304"/>
      <c r="H8" s="304"/>
      <c r="I8" s="304"/>
      <c r="J8" s="304"/>
      <c r="K8" s="304"/>
      <c r="L8" s="304"/>
      <c r="M8" s="304"/>
      <c r="N8" s="304"/>
      <c r="O8" s="304"/>
      <c r="P8" s="304"/>
      <c r="Q8" s="304"/>
      <c r="R8" s="304"/>
      <c r="S8" s="304"/>
      <c r="T8" s="304"/>
      <c r="U8" s="305"/>
    </row>
    <row r="9" spans="1:21">
      <c r="A9" s="240"/>
      <c r="B9" s="241" t="s">
        <v>92</v>
      </c>
      <c r="C9" s="241" t="s">
        <v>183</v>
      </c>
      <c r="D9" s="313" t="s">
        <v>191</v>
      </c>
      <c r="E9" s="258" t="s">
        <v>189</v>
      </c>
      <c r="F9" s="259"/>
      <c r="G9" s="306"/>
      <c r="H9" s="306"/>
      <c r="I9" s="306"/>
      <c r="J9" s="306"/>
      <c r="K9" s="306"/>
      <c r="L9" s="306"/>
      <c r="M9" s="306"/>
      <c r="N9" s="306"/>
      <c r="O9" s="306"/>
      <c r="P9" s="306"/>
      <c r="Q9" s="306"/>
      <c r="R9" s="306"/>
      <c r="S9" s="306"/>
      <c r="T9" s="306"/>
      <c r="U9" s="258"/>
    </row>
    <row r="10" spans="1:21">
      <c r="A10" s="242"/>
      <c r="B10" s="92"/>
      <c r="C10" s="244"/>
      <c r="D10" s="243"/>
      <c r="E10" s="245"/>
      <c r="F10" s="307"/>
      <c r="G10" s="244"/>
      <c r="H10" s="244"/>
      <c r="I10" s="244"/>
      <c r="J10" s="244"/>
      <c r="K10" s="244"/>
      <c r="L10" s="244"/>
      <c r="M10" s="244"/>
      <c r="N10" s="244"/>
      <c r="O10" s="244"/>
      <c r="P10" s="244"/>
      <c r="Q10" s="244"/>
      <c r="R10" s="244"/>
      <c r="S10" s="244"/>
      <c r="T10" s="244"/>
      <c r="U10" s="245"/>
    </row>
    <row r="11" spans="1:21" ht="11.25" customHeight="1">
      <c r="A11" s="246" t="s">
        <v>184</v>
      </c>
      <c r="B11" s="247" t="s">
        <v>185</v>
      </c>
      <c r="C11" s="248" t="s">
        <v>186</v>
      </c>
      <c r="D11" s="248" t="s">
        <v>187</v>
      </c>
      <c r="E11" s="249" t="s">
        <v>188</v>
      </c>
      <c r="F11" s="308"/>
      <c r="G11" s="309"/>
      <c r="H11" s="309"/>
      <c r="I11" s="309"/>
      <c r="J11" s="309"/>
      <c r="K11" s="309"/>
      <c r="L11" s="309"/>
      <c r="M11" s="309"/>
      <c r="N11" s="309"/>
      <c r="O11" s="309"/>
      <c r="P11" s="309"/>
      <c r="Q11" s="309"/>
      <c r="R11" s="309"/>
      <c r="S11" s="309"/>
      <c r="T11" s="309"/>
      <c r="U11" s="310"/>
    </row>
    <row r="12" spans="1:21">
      <c r="A12" s="242"/>
      <c r="B12" s="250"/>
      <c r="C12" s="251"/>
      <c r="D12" s="251"/>
      <c r="E12" s="252"/>
      <c r="F12" s="255"/>
      <c r="G12" s="311"/>
      <c r="H12" s="311"/>
      <c r="I12" s="311"/>
      <c r="J12" s="311"/>
      <c r="K12" s="311"/>
      <c r="L12" s="311"/>
      <c r="M12" s="311"/>
      <c r="N12" s="311"/>
      <c r="O12" s="311"/>
      <c r="P12" s="311"/>
      <c r="Q12" s="311"/>
      <c r="R12" s="311"/>
      <c r="S12" s="311"/>
      <c r="T12" s="311"/>
      <c r="U12" s="312"/>
    </row>
    <row r="13" spans="1:21">
      <c r="A13" s="242"/>
      <c r="B13" s="251"/>
      <c r="C13" s="251"/>
      <c r="D13" s="251"/>
      <c r="E13" s="252"/>
      <c r="F13" s="255"/>
      <c r="G13" s="311"/>
      <c r="H13" s="311"/>
      <c r="I13" s="311"/>
      <c r="J13" s="311"/>
      <c r="K13" s="311"/>
      <c r="L13" s="311"/>
      <c r="M13" s="311"/>
      <c r="N13" s="311"/>
      <c r="O13" s="311"/>
      <c r="P13" s="311"/>
      <c r="Q13" s="311"/>
      <c r="R13" s="311"/>
      <c r="S13" s="311"/>
      <c r="T13" s="311"/>
      <c r="U13" s="312"/>
    </row>
    <row r="14" spans="1:21">
      <c r="A14" s="242"/>
      <c r="B14" s="251"/>
      <c r="C14" s="251"/>
      <c r="D14" s="251"/>
      <c r="E14" s="252"/>
      <c r="F14" s="255"/>
      <c r="G14" s="311"/>
      <c r="H14" s="311"/>
      <c r="I14" s="311"/>
      <c r="J14" s="311"/>
      <c r="K14" s="311"/>
      <c r="L14" s="311"/>
      <c r="M14" s="311"/>
      <c r="N14" s="311"/>
      <c r="O14" s="311"/>
      <c r="P14" s="311"/>
      <c r="Q14" s="311"/>
      <c r="R14" s="311"/>
      <c r="S14" s="311"/>
      <c r="T14" s="311"/>
      <c r="U14" s="312"/>
    </row>
    <row r="15" spans="1:21">
      <c r="A15" s="242"/>
      <c r="B15" s="251"/>
      <c r="C15" s="251"/>
      <c r="D15" s="251"/>
      <c r="E15" s="252"/>
      <c r="F15" s="255"/>
      <c r="G15" s="311"/>
      <c r="H15" s="311"/>
      <c r="I15" s="311"/>
      <c r="J15" s="311"/>
      <c r="K15" s="311"/>
      <c r="L15" s="311"/>
      <c r="M15" s="311"/>
      <c r="N15" s="311"/>
      <c r="O15" s="311"/>
      <c r="P15" s="311"/>
      <c r="Q15" s="311"/>
      <c r="R15" s="311"/>
      <c r="S15" s="311"/>
      <c r="T15" s="311"/>
      <c r="U15" s="312"/>
    </row>
    <row r="16" spans="1:21">
      <c r="A16" s="242"/>
      <c r="B16" s="251"/>
      <c r="C16" s="251"/>
      <c r="D16" s="251"/>
      <c r="E16" s="252"/>
      <c r="F16" s="255"/>
      <c r="G16" s="311"/>
      <c r="H16" s="311"/>
      <c r="I16" s="311"/>
      <c r="J16" s="311"/>
      <c r="K16" s="311"/>
      <c r="L16" s="311"/>
      <c r="M16" s="311"/>
      <c r="N16" s="311"/>
      <c r="O16" s="311"/>
      <c r="P16" s="311"/>
      <c r="Q16" s="311"/>
      <c r="R16" s="311"/>
      <c r="S16" s="311"/>
      <c r="T16" s="311"/>
      <c r="U16" s="312"/>
    </row>
    <row r="17" spans="1:21">
      <c r="A17" s="242"/>
      <c r="B17" s="251"/>
      <c r="C17" s="251"/>
      <c r="D17" s="251"/>
      <c r="E17" s="252"/>
      <c r="F17" s="255"/>
      <c r="G17" s="311"/>
      <c r="H17" s="311"/>
      <c r="I17" s="311"/>
      <c r="J17" s="311"/>
      <c r="K17" s="311"/>
      <c r="L17" s="311"/>
      <c r="M17" s="311"/>
      <c r="N17" s="311"/>
      <c r="O17" s="311"/>
      <c r="P17" s="311"/>
      <c r="Q17" s="311"/>
      <c r="R17" s="311"/>
      <c r="S17" s="311"/>
      <c r="T17" s="311"/>
      <c r="U17" s="312"/>
    </row>
    <row r="18" spans="1:21">
      <c r="A18" s="242"/>
      <c r="B18" s="251"/>
      <c r="C18" s="251"/>
      <c r="D18" s="251"/>
      <c r="E18" s="252"/>
      <c r="F18" s="255"/>
      <c r="G18" s="311"/>
      <c r="H18" s="311"/>
      <c r="I18" s="311"/>
      <c r="J18" s="311"/>
      <c r="K18" s="311"/>
      <c r="L18" s="311"/>
      <c r="M18" s="311"/>
      <c r="N18" s="311"/>
      <c r="O18" s="311"/>
      <c r="P18" s="311"/>
      <c r="Q18" s="311"/>
      <c r="R18" s="311"/>
      <c r="S18" s="311"/>
      <c r="T18" s="311"/>
      <c r="U18" s="312"/>
    </row>
    <row r="19" spans="1:21">
      <c r="A19" s="242"/>
      <c r="B19" s="251"/>
      <c r="C19" s="251"/>
      <c r="D19" s="251"/>
      <c r="E19" s="252"/>
      <c r="F19" s="255"/>
      <c r="G19" s="311"/>
      <c r="H19" s="311"/>
      <c r="I19" s="311"/>
      <c r="J19" s="311"/>
      <c r="K19" s="311"/>
      <c r="L19" s="311"/>
      <c r="M19" s="311"/>
      <c r="N19" s="311"/>
      <c r="O19" s="311"/>
      <c r="P19" s="311"/>
      <c r="Q19" s="311"/>
      <c r="R19" s="311"/>
      <c r="S19" s="311"/>
      <c r="T19" s="311"/>
      <c r="U19" s="312"/>
    </row>
    <row r="20" spans="1:21">
      <c r="A20" s="242"/>
      <c r="B20" s="254"/>
      <c r="C20" s="254"/>
      <c r="D20" s="255"/>
      <c r="E20" s="252"/>
      <c r="F20" s="255"/>
      <c r="G20" s="311"/>
      <c r="H20" s="311"/>
      <c r="I20" s="311"/>
      <c r="J20" s="311"/>
      <c r="K20" s="311"/>
      <c r="L20" s="311"/>
      <c r="M20" s="311"/>
      <c r="N20" s="311"/>
      <c r="O20" s="311"/>
      <c r="P20" s="311"/>
      <c r="Q20" s="311"/>
      <c r="R20" s="311"/>
      <c r="S20" s="311"/>
      <c r="T20" s="311"/>
      <c r="U20" s="312"/>
    </row>
    <row r="21" spans="1:21">
      <c r="A21" s="222"/>
      <c r="B21" s="199"/>
      <c r="C21" s="199"/>
      <c r="D21" s="199"/>
      <c r="E21" s="253"/>
      <c r="F21" s="255"/>
      <c r="G21" s="311"/>
      <c r="H21" s="311"/>
      <c r="I21" s="311"/>
      <c r="J21" s="311"/>
      <c r="K21" s="311"/>
      <c r="L21" s="311"/>
      <c r="M21" s="311"/>
      <c r="N21" s="311"/>
      <c r="O21" s="311"/>
      <c r="P21" s="311"/>
      <c r="Q21" s="311"/>
      <c r="R21" s="311"/>
      <c r="S21" s="311"/>
      <c r="T21" s="311"/>
      <c r="U21" s="312"/>
    </row>
    <row r="22" spans="1:21" s="610" customFormat="1" ht="12" customHeight="1" thickBot="1">
      <c r="A22" s="611"/>
      <c r="B22" s="607"/>
      <c r="C22" s="607"/>
      <c r="D22" s="607"/>
      <c r="E22" s="598"/>
      <c r="F22" s="609"/>
      <c r="G22" s="596"/>
      <c r="H22" s="596"/>
      <c r="I22" s="596"/>
      <c r="J22" s="596"/>
      <c r="K22" s="596"/>
      <c r="L22" s="596"/>
      <c r="M22" s="596"/>
      <c r="N22" s="596"/>
      <c r="O22" s="596"/>
      <c r="P22" s="596"/>
      <c r="Q22" s="596"/>
      <c r="R22" s="596"/>
      <c r="S22" s="596"/>
      <c r="T22" s="596"/>
      <c r="U22" s="608"/>
    </row>
  </sheetData>
  <phoneticPr fontId="2"/>
  <dataValidations count="1">
    <dataValidation imeMode="off" allowBlank="1" showInputMessage="1" showErrorMessage="1" sqref="WUD982940:WUE982954 HR65436:HS65450 RN65436:RO65450 ABJ65436:ABK65450 ALF65436:ALG65450 AVB65436:AVC65450 BEX65436:BEY65450 BOT65436:BOU65450 BYP65436:BYQ65450 CIL65436:CIM65450 CSH65436:CSI65450 DCD65436:DCE65450 DLZ65436:DMA65450 DVV65436:DVW65450 EFR65436:EFS65450 EPN65436:EPO65450 EZJ65436:EZK65450 FJF65436:FJG65450 FTB65436:FTC65450 GCX65436:GCY65450 GMT65436:GMU65450 GWP65436:GWQ65450 HGL65436:HGM65450 HQH65436:HQI65450 IAD65436:IAE65450 IJZ65436:IKA65450 ITV65436:ITW65450 JDR65436:JDS65450 JNN65436:JNO65450 JXJ65436:JXK65450 KHF65436:KHG65450 KRB65436:KRC65450 LAX65436:LAY65450 LKT65436:LKU65450 LUP65436:LUQ65450 MEL65436:MEM65450 MOH65436:MOI65450 MYD65436:MYE65450 NHZ65436:NIA65450 NRV65436:NRW65450 OBR65436:OBS65450 OLN65436:OLO65450 OVJ65436:OVK65450 PFF65436:PFG65450 PPB65436:PPC65450 PYX65436:PYY65450 QIT65436:QIU65450 QSP65436:QSQ65450 RCL65436:RCM65450 RMH65436:RMI65450 RWD65436:RWE65450 SFZ65436:SGA65450 SPV65436:SPW65450 SZR65436:SZS65450 TJN65436:TJO65450 TTJ65436:TTK65450 UDF65436:UDG65450 UNB65436:UNC65450 UWX65436:UWY65450 VGT65436:VGU65450 VQP65436:VQQ65450 WAL65436:WAM65450 WKH65436:WKI65450 WUD65436:WUE65450 HR130972:HS130986 RN130972:RO130986 ABJ130972:ABK130986 ALF130972:ALG130986 AVB130972:AVC130986 BEX130972:BEY130986 BOT130972:BOU130986 BYP130972:BYQ130986 CIL130972:CIM130986 CSH130972:CSI130986 DCD130972:DCE130986 DLZ130972:DMA130986 DVV130972:DVW130986 EFR130972:EFS130986 EPN130972:EPO130986 EZJ130972:EZK130986 FJF130972:FJG130986 FTB130972:FTC130986 GCX130972:GCY130986 GMT130972:GMU130986 GWP130972:GWQ130986 HGL130972:HGM130986 HQH130972:HQI130986 IAD130972:IAE130986 IJZ130972:IKA130986 ITV130972:ITW130986 JDR130972:JDS130986 JNN130972:JNO130986 JXJ130972:JXK130986 KHF130972:KHG130986 KRB130972:KRC130986 LAX130972:LAY130986 LKT130972:LKU130986 LUP130972:LUQ130986 MEL130972:MEM130986 MOH130972:MOI130986 MYD130972:MYE130986 NHZ130972:NIA130986 NRV130972:NRW130986 OBR130972:OBS130986 OLN130972:OLO130986 OVJ130972:OVK130986 PFF130972:PFG130986 PPB130972:PPC130986 PYX130972:PYY130986 QIT130972:QIU130986 QSP130972:QSQ130986 RCL130972:RCM130986 RMH130972:RMI130986 RWD130972:RWE130986 SFZ130972:SGA130986 SPV130972:SPW130986 SZR130972:SZS130986 TJN130972:TJO130986 TTJ130972:TTK130986 UDF130972:UDG130986 UNB130972:UNC130986 UWX130972:UWY130986 VGT130972:VGU130986 VQP130972:VQQ130986 WAL130972:WAM130986 WKH130972:WKI130986 WUD130972:WUE130986 HR196508:HS196522 RN196508:RO196522 ABJ196508:ABK196522 ALF196508:ALG196522 AVB196508:AVC196522 BEX196508:BEY196522 BOT196508:BOU196522 BYP196508:BYQ196522 CIL196508:CIM196522 CSH196508:CSI196522 DCD196508:DCE196522 DLZ196508:DMA196522 DVV196508:DVW196522 EFR196508:EFS196522 EPN196508:EPO196522 EZJ196508:EZK196522 FJF196508:FJG196522 FTB196508:FTC196522 GCX196508:GCY196522 GMT196508:GMU196522 GWP196508:GWQ196522 HGL196508:HGM196522 HQH196508:HQI196522 IAD196508:IAE196522 IJZ196508:IKA196522 ITV196508:ITW196522 JDR196508:JDS196522 JNN196508:JNO196522 JXJ196508:JXK196522 KHF196508:KHG196522 KRB196508:KRC196522 LAX196508:LAY196522 LKT196508:LKU196522 LUP196508:LUQ196522 MEL196508:MEM196522 MOH196508:MOI196522 MYD196508:MYE196522 NHZ196508:NIA196522 NRV196508:NRW196522 OBR196508:OBS196522 OLN196508:OLO196522 OVJ196508:OVK196522 PFF196508:PFG196522 PPB196508:PPC196522 PYX196508:PYY196522 QIT196508:QIU196522 QSP196508:QSQ196522 RCL196508:RCM196522 RMH196508:RMI196522 RWD196508:RWE196522 SFZ196508:SGA196522 SPV196508:SPW196522 SZR196508:SZS196522 TJN196508:TJO196522 TTJ196508:TTK196522 UDF196508:UDG196522 UNB196508:UNC196522 UWX196508:UWY196522 VGT196508:VGU196522 VQP196508:VQQ196522 WAL196508:WAM196522 WKH196508:WKI196522 WUD196508:WUE196522 HR262044:HS262058 RN262044:RO262058 ABJ262044:ABK262058 ALF262044:ALG262058 AVB262044:AVC262058 BEX262044:BEY262058 BOT262044:BOU262058 BYP262044:BYQ262058 CIL262044:CIM262058 CSH262044:CSI262058 DCD262044:DCE262058 DLZ262044:DMA262058 DVV262044:DVW262058 EFR262044:EFS262058 EPN262044:EPO262058 EZJ262044:EZK262058 FJF262044:FJG262058 FTB262044:FTC262058 GCX262044:GCY262058 GMT262044:GMU262058 GWP262044:GWQ262058 HGL262044:HGM262058 HQH262044:HQI262058 IAD262044:IAE262058 IJZ262044:IKA262058 ITV262044:ITW262058 JDR262044:JDS262058 JNN262044:JNO262058 JXJ262044:JXK262058 KHF262044:KHG262058 KRB262044:KRC262058 LAX262044:LAY262058 LKT262044:LKU262058 LUP262044:LUQ262058 MEL262044:MEM262058 MOH262044:MOI262058 MYD262044:MYE262058 NHZ262044:NIA262058 NRV262044:NRW262058 OBR262044:OBS262058 OLN262044:OLO262058 OVJ262044:OVK262058 PFF262044:PFG262058 PPB262044:PPC262058 PYX262044:PYY262058 QIT262044:QIU262058 QSP262044:QSQ262058 RCL262044:RCM262058 RMH262044:RMI262058 RWD262044:RWE262058 SFZ262044:SGA262058 SPV262044:SPW262058 SZR262044:SZS262058 TJN262044:TJO262058 TTJ262044:TTK262058 UDF262044:UDG262058 UNB262044:UNC262058 UWX262044:UWY262058 VGT262044:VGU262058 VQP262044:VQQ262058 WAL262044:WAM262058 WKH262044:WKI262058 WUD262044:WUE262058 HR327580:HS327594 RN327580:RO327594 ABJ327580:ABK327594 ALF327580:ALG327594 AVB327580:AVC327594 BEX327580:BEY327594 BOT327580:BOU327594 BYP327580:BYQ327594 CIL327580:CIM327594 CSH327580:CSI327594 DCD327580:DCE327594 DLZ327580:DMA327594 DVV327580:DVW327594 EFR327580:EFS327594 EPN327580:EPO327594 EZJ327580:EZK327594 FJF327580:FJG327594 FTB327580:FTC327594 GCX327580:GCY327594 GMT327580:GMU327594 GWP327580:GWQ327594 HGL327580:HGM327594 HQH327580:HQI327594 IAD327580:IAE327594 IJZ327580:IKA327594 ITV327580:ITW327594 JDR327580:JDS327594 JNN327580:JNO327594 JXJ327580:JXK327594 KHF327580:KHG327594 KRB327580:KRC327594 LAX327580:LAY327594 LKT327580:LKU327594 LUP327580:LUQ327594 MEL327580:MEM327594 MOH327580:MOI327594 MYD327580:MYE327594 NHZ327580:NIA327594 NRV327580:NRW327594 OBR327580:OBS327594 OLN327580:OLO327594 OVJ327580:OVK327594 PFF327580:PFG327594 PPB327580:PPC327594 PYX327580:PYY327594 QIT327580:QIU327594 QSP327580:QSQ327594 RCL327580:RCM327594 RMH327580:RMI327594 RWD327580:RWE327594 SFZ327580:SGA327594 SPV327580:SPW327594 SZR327580:SZS327594 TJN327580:TJO327594 TTJ327580:TTK327594 UDF327580:UDG327594 UNB327580:UNC327594 UWX327580:UWY327594 VGT327580:VGU327594 VQP327580:VQQ327594 WAL327580:WAM327594 WKH327580:WKI327594 WUD327580:WUE327594 HR393116:HS393130 RN393116:RO393130 ABJ393116:ABK393130 ALF393116:ALG393130 AVB393116:AVC393130 BEX393116:BEY393130 BOT393116:BOU393130 BYP393116:BYQ393130 CIL393116:CIM393130 CSH393116:CSI393130 DCD393116:DCE393130 DLZ393116:DMA393130 DVV393116:DVW393130 EFR393116:EFS393130 EPN393116:EPO393130 EZJ393116:EZK393130 FJF393116:FJG393130 FTB393116:FTC393130 GCX393116:GCY393130 GMT393116:GMU393130 GWP393116:GWQ393130 HGL393116:HGM393130 HQH393116:HQI393130 IAD393116:IAE393130 IJZ393116:IKA393130 ITV393116:ITW393130 JDR393116:JDS393130 JNN393116:JNO393130 JXJ393116:JXK393130 KHF393116:KHG393130 KRB393116:KRC393130 LAX393116:LAY393130 LKT393116:LKU393130 LUP393116:LUQ393130 MEL393116:MEM393130 MOH393116:MOI393130 MYD393116:MYE393130 NHZ393116:NIA393130 NRV393116:NRW393130 OBR393116:OBS393130 OLN393116:OLO393130 OVJ393116:OVK393130 PFF393116:PFG393130 PPB393116:PPC393130 PYX393116:PYY393130 QIT393116:QIU393130 QSP393116:QSQ393130 RCL393116:RCM393130 RMH393116:RMI393130 RWD393116:RWE393130 SFZ393116:SGA393130 SPV393116:SPW393130 SZR393116:SZS393130 TJN393116:TJO393130 TTJ393116:TTK393130 UDF393116:UDG393130 UNB393116:UNC393130 UWX393116:UWY393130 VGT393116:VGU393130 VQP393116:VQQ393130 WAL393116:WAM393130 WKH393116:WKI393130 WUD393116:WUE393130 HR458652:HS458666 RN458652:RO458666 ABJ458652:ABK458666 ALF458652:ALG458666 AVB458652:AVC458666 BEX458652:BEY458666 BOT458652:BOU458666 BYP458652:BYQ458666 CIL458652:CIM458666 CSH458652:CSI458666 DCD458652:DCE458666 DLZ458652:DMA458666 DVV458652:DVW458666 EFR458652:EFS458666 EPN458652:EPO458666 EZJ458652:EZK458666 FJF458652:FJG458666 FTB458652:FTC458666 GCX458652:GCY458666 GMT458652:GMU458666 GWP458652:GWQ458666 HGL458652:HGM458666 HQH458652:HQI458666 IAD458652:IAE458666 IJZ458652:IKA458666 ITV458652:ITW458666 JDR458652:JDS458666 JNN458652:JNO458666 JXJ458652:JXK458666 KHF458652:KHG458666 KRB458652:KRC458666 LAX458652:LAY458666 LKT458652:LKU458666 LUP458652:LUQ458666 MEL458652:MEM458666 MOH458652:MOI458666 MYD458652:MYE458666 NHZ458652:NIA458666 NRV458652:NRW458666 OBR458652:OBS458666 OLN458652:OLO458666 OVJ458652:OVK458666 PFF458652:PFG458666 PPB458652:PPC458666 PYX458652:PYY458666 QIT458652:QIU458666 QSP458652:QSQ458666 RCL458652:RCM458666 RMH458652:RMI458666 RWD458652:RWE458666 SFZ458652:SGA458666 SPV458652:SPW458666 SZR458652:SZS458666 TJN458652:TJO458666 TTJ458652:TTK458666 UDF458652:UDG458666 UNB458652:UNC458666 UWX458652:UWY458666 VGT458652:VGU458666 VQP458652:VQQ458666 WAL458652:WAM458666 WKH458652:WKI458666 WUD458652:WUE458666 HR524188:HS524202 RN524188:RO524202 ABJ524188:ABK524202 ALF524188:ALG524202 AVB524188:AVC524202 BEX524188:BEY524202 BOT524188:BOU524202 BYP524188:BYQ524202 CIL524188:CIM524202 CSH524188:CSI524202 DCD524188:DCE524202 DLZ524188:DMA524202 DVV524188:DVW524202 EFR524188:EFS524202 EPN524188:EPO524202 EZJ524188:EZK524202 FJF524188:FJG524202 FTB524188:FTC524202 GCX524188:GCY524202 GMT524188:GMU524202 GWP524188:GWQ524202 HGL524188:HGM524202 HQH524188:HQI524202 IAD524188:IAE524202 IJZ524188:IKA524202 ITV524188:ITW524202 JDR524188:JDS524202 JNN524188:JNO524202 JXJ524188:JXK524202 KHF524188:KHG524202 KRB524188:KRC524202 LAX524188:LAY524202 LKT524188:LKU524202 LUP524188:LUQ524202 MEL524188:MEM524202 MOH524188:MOI524202 MYD524188:MYE524202 NHZ524188:NIA524202 NRV524188:NRW524202 OBR524188:OBS524202 OLN524188:OLO524202 OVJ524188:OVK524202 PFF524188:PFG524202 PPB524188:PPC524202 PYX524188:PYY524202 QIT524188:QIU524202 QSP524188:QSQ524202 RCL524188:RCM524202 RMH524188:RMI524202 RWD524188:RWE524202 SFZ524188:SGA524202 SPV524188:SPW524202 SZR524188:SZS524202 TJN524188:TJO524202 TTJ524188:TTK524202 UDF524188:UDG524202 UNB524188:UNC524202 UWX524188:UWY524202 VGT524188:VGU524202 VQP524188:VQQ524202 WAL524188:WAM524202 WKH524188:WKI524202 WUD524188:WUE524202 HR589724:HS589738 RN589724:RO589738 ABJ589724:ABK589738 ALF589724:ALG589738 AVB589724:AVC589738 BEX589724:BEY589738 BOT589724:BOU589738 BYP589724:BYQ589738 CIL589724:CIM589738 CSH589724:CSI589738 DCD589724:DCE589738 DLZ589724:DMA589738 DVV589724:DVW589738 EFR589724:EFS589738 EPN589724:EPO589738 EZJ589724:EZK589738 FJF589724:FJG589738 FTB589724:FTC589738 GCX589724:GCY589738 GMT589724:GMU589738 GWP589724:GWQ589738 HGL589724:HGM589738 HQH589724:HQI589738 IAD589724:IAE589738 IJZ589724:IKA589738 ITV589724:ITW589738 JDR589724:JDS589738 JNN589724:JNO589738 JXJ589724:JXK589738 KHF589724:KHG589738 KRB589724:KRC589738 LAX589724:LAY589738 LKT589724:LKU589738 LUP589724:LUQ589738 MEL589724:MEM589738 MOH589724:MOI589738 MYD589724:MYE589738 NHZ589724:NIA589738 NRV589724:NRW589738 OBR589724:OBS589738 OLN589724:OLO589738 OVJ589724:OVK589738 PFF589724:PFG589738 PPB589724:PPC589738 PYX589724:PYY589738 QIT589724:QIU589738 QSP589724:QSQ589738 RCL589724:RCM589738 RMH589724:RMI589738 RWD589724:RWE589738 SFZ589724:SGA589738 SPV589724:SPW589738 SZR589724:SZS589738 TJN589724:TJO589738 TTJ589724:TTK589738 UDF589724:UDG589738 UNB589724:UNC589738 UWX589724:UWY589738 VGT589724:VGU589738 VQP589724:VQQ589738 WAL589724:WAM589738 WKH589724:WKI589738 WUD589724:WUE589738 HR655260:HS655274 RN655260:RO655274 ABJ655260:ABK655274 ALF655260:ALG655274 AVB655260:AVC655274 BEX655260:BEY655274 BOT655260:BOU655274 BYP655260:BYQ655274 CIL655260:CIM655274 CSH655260:CSI655274 DCD655260:DCE655274 DLZ655260:DMA655274 DVV655260:DVW655274 EFR655260:EFS655274 EPN655260:EPO655274 EZJ655260:EZK655274 FJF655260:FJG655274 FTB655260:FTC655274 GCX655260:GCY655274 GMT655260:GMU655274 GWP655260:GWQ655274 HGL655260:HGM655274 HQH655260:HQI655274 IAD655260:IAE655274 IJZ655260:IKA655274 ITV655260:ITW655274 JDR655260:JDS655274 JNN655260:JNO655274 JXJ655260:JXK655274 KHF655260:KHG655274 KRB655260:KRC655274 LAX655260:LAY655274 LKT655260:LKU655274 LUP655260:LUQ655274 MEL655260:MEM655274 MOH655260:MOI655274 MYD655260:MYE655274 NHZ655260:NIA655274 NRV655260:NRW655274 OBR655260:OBS655274 OLN655260:OLO655274 OVJ655260:OVK655274 PFF655260:PFG655274 PPB655260:PPC655274 PYX655260:PYY655274 QIT655260:QIU655274 QSP655260:QSQ655274 RCL655260:RCM655274 RMH655260:RMI655274 RWD655260:RWE655274 SFZ655260:SGA655274 SPV655260:SPW655274 SZR655260:SZS655274 TJN655260:TJO655274 TTJ655260:TTK655274 UDF655260:UDG655274 UNB655260:UNC655274 UWX655260:UWY655274 VGT655260:VGU655274 VQP655260:VQQ655274 WAL655260:WAM655274 WKH655260:WKI655274 WUD655260:WUE655274 HR720796:HS720810 RN720796:RO720810 ABJ720796:ABK720810 ALF720796:ALG720810 AVB720796:AVC720810 BEX720796:BEY720810 BOT720796:BOU720810 BYP720796:BYQ720810 CIL720796:CIM720810 CSH720796:CSI720810 DCD720796:DCE720810 DLZ720796:DMA720810 DVV720796:DVW720810 EFR720796:EFS720810 EPN720796:EPO720810 EZJ720796:EZK720810 FJF720796:FJG720810 FTB720796:FTC720810 GCX720796:GCY720810 GMT720796:GMU720810 GWP720796:GWQ720810 HGL720796:HGM720810 HQH720796:HQI720810 IAD720796:IAE720810 IJZ720796:IKA720810 ITV720796:ITW720810 JDR720796:JDS720810 JNN720796:JNO720810 JXJ720796:JXK720810 KHF720796:KHG720810 KRB720796:KRC720810 LAX720796:LAY720810 LKT720796:LKU720810 LUP720796:LUQ720810 MEL720796:MEM720810 MOH720796:MOI720810 MYD720796:MYE720810 NHZ720796:NIA720810 NRV720796:NRW720810 OBR720796:OBS720810 OLN720796:OLO720810 OVJ720796:OVK720810 PFF720796:PFG720810 PPB720796:PPC720810 PYX720796:PYY720810 QIT720796:QIU720810 QSP720796:QSQ720810 RCL720796:RCM720810 RMH720796:RMI720810 RWD720796:RWE720810 SFZ720796:SGA720810 SPV720796:SPW720810 SZR720796:SZS720810 TJN720796:TJO720810 TTJ720796:TTK720810 UDF720796:UDG720810 UNB720796:UNC720810 UWX720796:UWY720810 VGT720796:VGU720810 VQP720796:VQQ720810 WAL720796:WAM720810 WKH720796:WKI720810 WUD720796:WUE720810 HR786332:HS786346 RN786332:RO786346 ABJ786332:ABK786346 ALF786332:ALG786346 AVB786332:AVC786346 BEX786332:BEY786346 BOT786332:BOU786346 BYP786332:BYQ786346 CIL786332:CIM786346 CSH786332:CSI786346 DCD786332:DCE786346 DLZ786332:DMA786346 DVV786332:DVW786346 EFR786332:EFS786346 EPN786332:EPO786346 EZJ786332:EZK786346 FJF786332:FJG786346 FTB786332:FTC786346 GCX786332:GCY786346 GMT786332:GMU786346 GWP786332:GWQ786346 HGL786332:HGM786346 HQH786332:HQI786346 IAD786332:IAE786346 IJZ786332:IKA786346 ITV786332:ITW786346 JDR786332:JDS786346 JNN786332:JNO786346 JXJ786332:JXK786346 KHF786332:KHG786346 KRB786332:KRC786346 LAX786332:LAY786346 LKT786332:LKU786346 LUP786332:LUQ786346 MEL786332:MEM786346 MOH786332:MOI786346 MYD786332:MYE786346 NHZ786332:NIA786346 NRV786332:NRW786346 OBR786332:OBS786346 OLN786332:OLO786346 OVJ786332:OVK786346 PFF786332:PFG786346 PPB786332:PPC786346 PYX786332:PYY786346 QIT786332:QIU786346 QSP786332:QSQ786346 RCL786332:RCM786346 RMH786332:RMI786346 RWD786332:RWE786346 SFZ786332:SGA786346 SPV786332:SPW786346 SZR786332:SZS786346 TJN786332:TJO786346 TTJ786332:TTK786346 UDF786332:UDG786346 UNB786332:UNC786346 UWX786332:UWY786346 VGT786332:VGU786346 VQP786332:VQQ786346 WAL786332:WAM786346 WKH786332:WKI786346 WUD786332:WUE786346 HR851868:HS851882 RN851868:RO851882 ABJ851868:ABK851882 ALF851868:ALG851882 AVB851868:AVC851882 BEX851868:BEY851882 BOT851868:BOU851882 BYP851868:BYQ851882 CIL851868:CIM851882 CSH851868:CSI851882 DCD851868:DCE851882 DLZ851868:DMA851882 DVV851868:DVW851882 EFR851868:EFS851882 EPN851868:EPO851882 EZJ851868:EZK851882 FJF851868:FJG851882 FTB851868:FTC851882 GCX851868:GCY851882 GMT851868:GMU851882 GWP851868:GWQ851882 HGL851868:HGM851882 HQH851868:HQI851882 IAD851868:IAE851882 IJZ851868:IKA851882 ITV851868:ITW851882 JDR851868:JDS851882 JNN851868:JNO851882 JXJ851868:JXK851882 KHF851868:KHG851882 KRB851868:KRC851882 LAX851868:LAY851882 LKT851868:LKU851882 LUP851868:LUQ851882 MEL851868:MEM851882 MOH851868:MOI851882 MYD851868:MYE851882 NHZ851868:NIA851882 NRV851868:NRW851882 OBR851868:OBS851882 OLN851868:OLO851882 OVJ851868:OVK851882 PFF851868:PFG851882 PPB851868:PPC851882 PYX851868:PYY851882 QIT851868:QIU851882 QSP851868:QSQ851882 RCL851868:RCM851882 RMH851868:RMI851882 RWD851868:RWE851882 SFZ851868:SGA851882 SPV851868:SPW851882 SZR851868:SZS851882 TJN851868:TJO851882 TTJ851868:TTK851882 UDF851868:UDG851882 UNB851868:UNC851882 UWX851868:UWY851882 VGT851868:VGU851882 VQP851868:VQQ851882 WAL851868:WAM851882 WKH851868:WKI851882 WUD851868:WUE851882 HR917404:HS917418 RN917404:RO917418 ABJ917404:ABK917418 ALF917404:ALG917418 AVB917404:AVC917418 BEX917404:BEY917418 BOT917404:BOU917418 BYP917404:BYQ917418 CIL917404:CIM917418 CSH917404:CSI917418 DCD917404:DCE917418 DLZ917404:DMA917418 DVV917404:DVW917418 EFR917404:EFS917418 EPN917404:EPO917418 EZJ917404:EZK917418 FJF917404:FJG917418 FTB917404:FTC917418 GCX917404:GCY917418 GMT917404:GMU917418 GWP917404:GWQ917418 HGL917404:HGM917418 HQH917404:HQI917418 IAD917404:IAE917418 IJZ917404:IKA917418 ITV917404:ITW917418 JDR917404:JDS917418 JNN917404:JNO917418 JXJ917404:JXK917418 KHF917404:KHG917418 KRB917404:KRC917418 LAX917404:LAY917418 LKT917404:LKU917418 LUP917404:LUQ917418 MEL917404:MEM917418 MOH917404:MOI917418 MYD917404:MYE917418 NHZ917404:NIA917418 NRV917404:NRW917418 OBR917404:OBS917418 OLN917404:OLO917418 OVJ917404:OVK917418 PFF917404:PFG917418 PPB917404:PPC917418 PYX917404:PYY917418 QIT917404:QIU917418 QSP917404:QSQ917418 RCL917404:RCM917418 RMH917404:RMI917418 RWD917404:RWE917418 SFZ917404:SGA917418 SPV917404:SPW917418 SZR917404:SZS917418 TJN917404:TJO917418 TTJ917404:TTK917418 UDF917404:UDG917418 UNB917404:UNC917418 UWX917404:UWY917418 VGT917404:VGU917418 VQP917404:VQQ917418 WAL917404:WAM917418 WKH917404:WKI917418 WUD917404:WUE917418 HR982940:HS982954 RN982940:RO982954 ABJ982940:ABK982954 ALF982940:ALG982954 AVB982940:AVC982954 BEX982940:BEY982954 BOT982940:BOU982954 BYP982940:BYQ982954 CIL982940:CIM982954 CSH982940:CSI982954 DCD982940:DCE982954 DLZ982940:DMA982954 DVV982940:DVW982954 EFR982940:EFS982954 EPN982940:EPO982954 EZJ982940:EZK982954 FJF982940:FJG982954 FTB982940:FTC982954 GCX982940:GCY982954 GMT982940:GMU982954 GWP982940:GWQ982954 HGL982940:HGM982954 HQH982940:HQI982954 IAD982940:IAE982954 IJZ982940:IKA982954 ITV982940:ITW982954 JDR982940:JDS982954 JNN982940:JNO982954 JXJ982940:JXK982954 KHF982940:KHG982954 KRB982940:KRC982954 LAX982940:LAY982954 LKT982940:LKU982954 LUP982940:LUQ982954 MEL982940:MEM982954 MOH982940:MOI982954 MYD982940:MYE982954 NHZ982940:NIA982954 NRV982940:NRW982954 OBR982940:OBS982954 OLN982940:OLO982954 OVJ982940:OVK982954 PFF982940:PFG982954 PPB982940:PPC982954 PYX982940:PYY982954 QIT982940:QIU982954 QSP982940:QSQ982954 RCL982940:RCM982954 RMH982940:RMI982954 RWD982940:RWE982954 SFZ982940:SGA982954 SPV982940:SPW982954 SZR982940:SZS982954 TJN982940:TJO982954 TTJ982940:TTK982954 UDF982940:UDG982954 UNB982940:UNC982954 UWX982940:UWY982954 VGT982940:VGU982954 VQP982940:VQQ982954 WAL982940:WAM982954 WKH982940:WKI982954 WUD6:WUE12 WKH6:WKI12 WAL6:WAM12 VQP6:VQQ12 VGT6:VGU12 UWX6:UWY12 UNB6:UNC12 UDF6:UDG12 TTJ6:TTK12 TJN6:TJO12 SZR6:SZS12 SPV6:SPW12 SFZ6:SGA12 RWD6:RWE12 RMH6:RMI12 RCL6:RCM12 QSP6:QSQ12 QIT6:QIU12 PYX6:PYY12 PPB6:PPC12 PFF6:PFG12 OVJ6:OVK12 OLN6:OLO12 OBR6:OBS12 NRV6:NRW12 NHZ6:NIA12 MYD6:MYE12 MOH6:MOI12 MEL6:MEM12 LUP6:LUQ12 LKT6:LKU12 LAX6:LAY12 KRB6:KRC12 KHF6:KHG12 JXJ6:JXK12 JNN6:JNO12 JDR6:JDS12 ITV6:ITW12 IJZ6:IKA12 IAD6:IAE12 HQH6:HQI12 HGL6:HGM12 GWP6:GWQ12 GMT6:GMU12 GCX6:GCY12 FTB6:FTC12 FJF6:FJG12 EZJ6:EZK12 EPN6:EPO12 EFR6:EFS12 DVV6:DVW12 DLZ6:DMA12 DCD6:DCE12 CSH6:CSI12 CIL6:CIM12 BYP6:BYQ12 BOT6:BOU12 BEX6:BEY12 AVB6:AVC12 ALF6:ALG12 ABJ6:ABK12 RN6:RO12 HR6:HS12 RN21:RO21 HR21:HS21 WUD21:WUE21 WKH21:WKI21 WAL21:WAM21 VQP21:VQQ21 VGT21:VGU21 UWX21:UWY21 UNB21:UNC21 UDF21:UDG21 TTJ21:TTK21 TJN21:TJO21 SZR21:SZS21 SPV21:SPW21 SFZ21:SGA21 RWD21:RWE21 RMH21:RMI21 RCL21:RCM21 QSP21:QSQ21 QIT21:QIU21 PYX21:PYY21 PPB21:PPC21 PFF21:PFG21 OVJ21:OVK21 OLN21:OLO21 OBR21:OBS21 NRV21:NRW21 NHZ21:NIA21 MYD21:MYE21 MOH21:MOI21 MEL21:MEM21 LUP21:LUQ21 LKT21:LKU21 LAX21:LAY21 KRB21:KRC21 KHF21:KHG21 JXJ21:JXK21 JNN21:JNO21 JDR21:JDS21 ITV21:ITW21 IJZ21:IKA21 IAD21:IAE21 HQH21:HQI21 HGL21:HGM21 GWP21:GWQ21 GMT21:GMU21 GCX21:GCY21 FTB21:FTC21 FJF21:FJG21 EZJ21:EZK21 EPN21:EPO21 EFR21:EFS21 DVV21:DVW21 DLZ21:DMA21 DCD21:DCE21 CSH21:CSI21 CIL21:CIM21 BYP21:BYQ21 BOT21:BOU21 BEX21:BEY21 AVB21:AVC21 ALF21:ALG21 ABJ21:ABK21"/>
  </dataValidations>
  <pageMargins left="0.39370078740157483" right="0.39370078740157483" top="0.51181102362204722" bottom="0.51181102362204722" header="0.31496062992125984" footer="0.31496062992125984"/>
  <pageSetup paperSize="9" fitToHeight="0" orientation="landscape" horizontalDpi="200" verticalDpi="200" r:id="rId1"/>
  <headerFooter alignWithMargins="0">
    <oddFooter>&amp;L&amp;A&amp;C&amp;P/&amp;N&amp;R©Toyo Business Engineering Corp.(B-EN-G) / Confidential</oddFooter>
  </headerFooter>
  <drawing r:id="rId2"/>
  <legacy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CFF"/>
    <pageSetUpPr fitToPage="1"/>
  </sheetPr>
  <dimension ref="A1:AX69"/>
  <sheetViews>
    <sheetView showGridLines="0" zoomScaleNormal="100" zoomScaleSheetLayoutView="100" workbookViewId="0">
      <selection activeCell="AD46" sqref="AD46"/>
    </sheetView>
  </sheetViews>
  <sheetFormatPr defaultRowHeight="11.25"/>
  <cols>
    <col min="1" max="50" width="3.33203125" customWidth="1"/>
    <col min="51" max="51" width="1.5" customWidth="1"/>
  </cols>
  <sheetData>
    <row r="1" spans="1:50" ht="14.25">
      <c r="A1" s="513" t="s">
        <v>96</v>
      </c>
      <c r="B1" s="514"/>
      <c r="C1" s="514"/>
      <c r="D1" s="514"/>
      <c r="E1" s="514"/>
      <c r="F1" s="514"/>
      <c r="G1" s="515"/>
      <c r="H1" s="522" t="s">
        <v>2</v>
      </c>
      <c r="I1" s="523"/>
      <c r="J1" s="523"/>
      <c r="K1" s="524"/>
      <c r="L1" s="525" t="str">
        <f>IF(顧客名="","",顧客名)</f>
        <v>株式会社XXXX殿</v>
      </c>
      <c r="M1" s="526"/>
      <c r="N1" s="526"/>
      <c r="O1" s="526"/>
      <c r="P1" s="526"/>
      <c r="Q1" s="526"/>
      <c r="R1" s="527"/>
      <c r="S1" s="528" t="s">
        <v>86</v>
      </c>
      <c r="T1" s="523"/>
      <c r="U1" s="523"/>
      <c r="V1" s="524"/>
      <c r="W1" s="525" t="str">
        <f>IF(システム="","",システム)</f>
        <v>mcframe7</v>
      </c>
      <c r="X1" s="526"/>
      <c r="Y1" s="526"/>
      <c r="Z1" s="526"/>
      <c r="AA1" s="526"/>
      <c r="AB1" s="526"/>
      <c r="AC1" s="527"/>
      <c r="AD1" s="533" t="s">
        <v>8</v>
      </c>
      <c r="AE1" s="534"/>
      <c r="AF1" s="534"/>
      <c r="AG1" s="543"/>
      <c r="AH1" s="544" t="str">
        <f>IF(作成者="","",作成者)</f>
        <v>XX</v>
      </c>
      <c r="AI1" s="545"/>
      <c r="AJ1" s="545"/>
      <c r="AK1" s="545"/>
      <c r="AL1" s="546"/>
      <c r="AM1" s="533" t="s">
        <v>9</v>
      </c>
      <c r="AN1" s="534"/>
      <c r="AO1" s="534"/>
      <c r="AP1" s="543"/>
      <c r="AQ1" s="547">
        <f>IF(作成日="","",作成日)</f>
        <v>42902</v>
      </c>
      <c r="AR1" s="548"/>
      <c r="AS1" s="548"/>
      <c r="AT1" s="549"/>
      <c r="AU1" s="533" t="s">
        <v>0</v>
      </c>
      <c r="AV1" s="534"/>
      <c r="AW1" s="534"/>
      <c r="AX1" s="535"/>
    </row>
    <row r="2" spans="1:50" ht="14.25">
      <c r="A2" s="516"/>
      <c r="B2" s="517"/>
      <c r="C2" s="517"/>
      <c r="D2" s="517"/>
      <c r="E2" s="517"/>
      <c r="F2" s="517"/>
      <c r="G2" s="518"/>
      <c r="H2" s="536" t="s">
        <v>87</v>
      </c>
      <c r="I2" s="537"/>
      <c r="J2" s="537"/>
      <c r="K2" s="538"/>
      <c r="L2" s="539" t="str">
        <f>IF(プロジェクト名="","",プロジェクト名)</f>
        <v>新基幹システム構築プロジェクト</v>
      </c>
      <c r="M2" s="540"/>
      <c r="N2" s="540"/>
      <c r="O2" s="540"/>
      <c r="P2" s="540"/>
      <c r="Q2" s="540"/>
      <c r="R2" s="541"/>
      <c r="S2" s="542" t="s">
        <v>57</v>
      </c>
      <c r="T2" s="537"/>
      <c r="U2" s="537"/>
      <c r="V2" s="538"/>
      <c r="W2" s="539" t="str">
        <f>IF(サブシステム="","",サブシステム)</f>
        <v>SCM</v>
      </c>
      <c r="X2" s="540"/>
      <c r="Y2" s="540"/>
      <c r="Z2" s="540"/>
      <c r="AA2" s="540"/>
      <c r="AB2" s="540"/>
      <c r="AC2" s="541"/>
      <c r="AD2" s="550" t="s">
        <v>10</v>
      </c>
      <c r="AE2" s="551"/>
      <c r="AF2" s="551"/>
      <c r="AG2" s="552"/>
      <c r="AH2" s="553" t="str">
        <f>IF(修正者="","",修正者)</f>
        <v>XX</v>
      </c>
      <c r="AI2" s="554"/>
      <c r="AJ2" s="554"/>
      <c r="AK2" s="554"/>
      <c r="AL2" s="555"/>
      <c r="AM2" s="556" t="s">
        <v>11</v>
      </c>
      <c r="AN2" s="557"/>
      <c r="AO2" s="557"/>
      <c r="AP2" s="558"/>
      <c r="AQ2" s="559">
        <f>IF(修正日="","",修正日)</f>
        <v>43007</v>
      </c>
      <c r="AR2" s="560"/>
      <c r="AS2" s="560"/>
      <c r="AT2" s="560"/>
      <c r="AU2" s="561" t="str">
        <f>IF(文書番号="","",文書番号)</f>
        <v>XX-XX-9999</v>
      </c>
      <c r="AV2" s="562"/>
      <c r="AW2" s="562"/>
      <c r="AX2" s="563"/>
    </row>
    <row r="3" spans="1:50" ht="15" thickBot="1">
      <c r="A3" s="519"/>
      <c r="B3" s="520"/>
      <c r="C3" s="520"/>
      <c r="D3" s="520"/>
      <c r="E3" s="520"/>
      <c r="F3" s="520"/>
      <c r="G3" s="521"/>
      <c r="H3" s="529" t="s">
        <v>13</v>
      </c>
      <c r="I3" s="529"/>
      <c r="J3" s="529"/>
      <c r="K3" s="530"/>
      <c r="L3" s="507" t="str">
        <f>IF(機能ID="","",機能ID)</f>
        <v>MSBCBA0040</v>
      </c>
      <c r="M3" s="531"/>
      <c r="N3" s="531"/>
      <c r="O3" s="531"/>
      <c r="P3" s="531"/>
      <c r="Q3" s="531"/>
      <c r="R3" s="531"/>
      <c r="S3" s="532" t="s">
        <v>14</v>
      </c>
      <c r="T3" s="529"/>
      <c r="U3" s="529"/>
      <c r="V3" s="530"/>
      <c r="W3" s="507" t="str">
        <f>IF(機能名="","",機能名)</f>
        <v>納期回答作成バッチ</v>
      </c>
      <c r="X3" s="508"/>
      <c r="Y3" s="508"/>
      <c r="Z3" s="508"/>
      <c r="AA3" s="508"/>
      <c r="AB3" s="508"/>
      <c r="AC3" s="508"/>
      <c r="AD3" s="508"/>
      <c r="AE3" s="508"/>
      <c r="AF3" s="508"/>
      <c r="AG3" s="508"/>
      <c r="AH3" s="508"/>
      <c r="AI3" s="508"/>
      <c r="AJ3" s="508"/>
      <c r="AK3" s="508"/>
      <c r="AL3" s="509"/>
      <c r="AM3" s="510" t="s">
        <v>12</v>
      </c>
      <c r="AN3" s="511"/>
      <c r="AO3" s="511"/>
      <c r="AP3" s="512"/>
      <c r="AQ3" s="504" t="str">
        <f>IF(Rev="","",Rev)</f>
        <v>r02.00</v>
      </c>
      <c r="AR3" s="505"/>
      <c r="AS3" s="505"/>
      <c r="AT3" s="506"/>
      <c r="AU3" s="564"/>
      <c r="AV3" s="565"/>
      <c r="AW3" s="565"/>
      <c r="AX3" s="566"/>
    </row>
    <row r="4" spans="1:50">
      <c r="A4" s="96"/>
      <c r="B4" s="97"/>
      <c r="C4" s="97"/>
      <c r="D4" s="97"/>
      <c r="E4" s="97"/>
      <c r="F4" s="97"/>
      <c r="G4" s="97"/>
      <c r="H4" s="97"/>
      <c r="I4" s="97"/>
      <c r="J4" s="97"/>
      <c r="K4" s="97"/>
      <c r="L4" s="97"/>
      <c r="M4" s="97"/>
      <c r="N4" s="97"/>
      <c r="O4" s="97"/>
      <c r="P4" s="97"/>
      <c r="Q4" s="97"/>
      <c r="R4" s="97"/>
      <c r="S4" s="97"/>
      <c r="T4" s="97"/>
      <c r="U4" s="97"/>
      <c r="V4" s="97"/>
      <c r="W4" s="97"/>
      <c r="X4" s="97"/>
      <c r="Y4" s="97"/>
      <c r="Z4" s="97"/>
      <c r="AA4" s="97"/>
      <c r="AB4" s="97"/>
      <c r="AC4" s="97"/>
      <c r="AD4" s="97"/>
      <c r="AE4" s="97"/>
      <c r="AF4" s="97"/>
      <c r="AG4" s="97"/>
      <c r="AH4" s="97"/>
      <c r="AI4" s="97"/>
      <c r="AJ4" s="97"/>
      <c r="AK4" s="97"/>
      <c r="AL4" s="97"/>
      <c r="AM4" s="97"/>
      <c r="AN4" s="97"/>
      <c r="AO4" s="97"/>
      <c r="AP4" s="97"/>
      <c r="AQ4" s="97"/>
      <c r="AR4" s="97"/>
      <c r="AS4" s="97"/>
      <c r="AT4" s="97"/>
      <c r="AU4" s="97"/>
      <c r="AV4" s="97"/>
      <c r="AW4" s="97"/>
      <c r="AX4" s="98"/>
    </row>
    <row r="5" spans="1:50">
      <c r="A5" s="99"/>
      <c r="B5" s="89" t="s">
        <v>109</v>
      </c>
      <c r="C5" s="89"/>
      <c r="D5" s="89"/>
      <c r="E5" s="89"/>
      <c r="F5" s="89"/>
      <c r="G5" s="89"/>
      <c r="H5" s="89"/>
      <c r="I5" s="89"/>
      <c r="J5" s="89"/>
      <c r="K5" s="89"/>
      <c r="L5" s="89"/>
      <c r="M5" s="89"/>
      <c r="N5" s="89"/>
      <c r="O5" s="89"/>
      <c r="P5" s="89"/>
      <c r="Q5" s="95"/>
      <c r="R5" s="95"/>
      <c r="S5" s="95"/>
      <c r="T5" s="95"/>
      <c r="U5" s="95"/>
      <c r="V5" s="95"/>
      <c r="W5" s="95"/>
      <c r="X5" s="95"/>
      <c r="Y5" s="95"/>
      <c r="Z5" s="95"/>
      <c r="AA5" s="95"/>
      <c r="AB5" s="95"/>
      <c r="AC5" s="95"/>
      <c r="AD5" s="95"/>
      <c r="AE5" s="95"/>
      <c r="AF5" s="95"/>
      <c r="AG5" s="95"/>
      <c r="AH5" s="95"/>
      <c r="AI5" s="95"/>
      <c r="AJ5" s="95"/>
      <c r="AK5" s="95"/>
      <c r="AL5" s="95"/>
      <c r="AM5" s="95"/>
      <c r="AN5" s="95"/>
      <c r="AO5" s="95"/>
      <c r="AP5" s="95"/>
      <c r="AQ5" s="95"/>
      <c r="AR5" s="95"/>
      <c r="AS5" s="95"/>
      <c r="AT5" s="95"/>
      <c r="AU5" s="95"/>
      <c r="AV5" s="95"/>
      <c r="AW5" s="95"/>
      <c r="AX5" s="100"/>
    </row>
    <row r="6" spans="1:50">
      <c r="A6" s="99"/>
      <c r="B6" s="89"/>
      <c r="C6" s="89"/>
      <c r="D6" s="89"/>
      <c r="E6" s="89"/>
      <c r="F6" s="89"/>
      <c r="G6" s="89"/>
      <c r="H6" s="89"/>
      <c r="I6" s="89"/>
      <c r="J6" s="89"/>
      <c r="K6" s="89"/>
      <c r="L6" s="89"/>
      <c r="M6" s="89"/>
      <c r="N6" s="89"/>
      <c r="O6" s="89"/>
      <c r="P6" s="89"/>
      <c r="Q6" s="95"/>
      <c r="R6" s="95"/>
      <c r="S6" s="95"/>
      <c r="T6" s="95"/>
      <c r="U6" s="95"/>
      <c r="V6" s="95"/>
      <c r="W6" s="95"/>
      <c r="X6" s="95"/>
      <c r="Y6" s="95"/>
      <c r="Z6" s="95"/>
      <c r="AA6" s="95"/>
      <c r="AB6" s="95"/>
      <c r="AC6" s="95"/>
      <c r="AD6" s="95"/>
      <c r="AE6" s="95"/>
      <c r="AF6" s="95"/>
      <c r="AG6" s="95"/>
      <c r="AH6" s="95"/>
      <c r="AI6" s="95"/>
      <c r="AJ6" s="95"/>
      <c r="AK6" s="95"/>
      <c r="AL6" s="95"/>
      <c r="AM6" s="95"/>
      <c r="AN6" s="95"/>
      <c r="AO6" s="95"/>
      <c r="AP6" s="95"/>
      <c r="AQ6" s="95"/>
      <c r="AR6" s="95"/>
      <c r="AS6" s="95"/>
      <c r="AT6" s="95"/>
      <c r="AU6" s="95"/>
      <c r="AV6" s="95"/>
      <c r="AW6" s="95"/>
      <c r="AX6" s="100"/>
    </row>
    <row r="7" spans="1:50">
      <c r="A7" s="99"/>
      <c r="B7" s="89"/>
      <c r="C7" s="89" t="s">
        <v>110</v>
      </c>
      <c r="D7" s="89"/>
      <c r="E7" s="89"/>
      <c r="F7" s="89"/>
      <c r="G7" s="89"/>
      <c r="H7" s="89"/>
      <c r="I7" s="89"/>
      <c r="J7" s="89"/>
      <c r="K7" s="89"/>
      <c r="L7" s="89"/>
      <c r="M7" s="89"/>
      <c r="N7" s="89"/>
      <c r="O7" s="89"/>
      <c r="P7" s="89"/>
      <c r="Q7" s="95"/>
      <c r="R7" s="95"/>
      <c r="S7" s="95"/>
      <c r="T7" s="95"/>
      <c r="U7" s="95"/>
      <c r="V7" s="95"/>
      <c r="W7" s="95"/>
      <c r="X7" s="95"/>
      <c r="Y7" s="95"/>
      <c r="Z7" s="95"/>
      <c r="AA7" s="95"/>
      <c r="AB7" s="95"/>
      <c r="AC7" s="95"/>
      <c r="AD7" s="95"/>
      <c r="AE7" s="95"/>
      <c r="AF7" s="95"/>
      <c r="AG7" s="95"/>
      <c r="AH7" s="95"/>
      <c r="AI7" s="95"/>
      <c r="AJ7" s="95"/>
      <c r="AK7" s="95"/>
      <c r="AL7" s="95"/>
      <c r="AM7" s="95"/>
      <c r="AN7" s="95"/>
      <c r="AO7" s="95"/>
      <c r="AP7" s="95"/>
      <c r="AQ7" s="95"/>
      <c r="AR7" s="95"/>
      <c r="AS7" s="95"/>
      <c r="AT7" s="95"/>
      <c r="AU7" s="95"/>
      <c r="AV7" s="95"/>
      <c r="AW7" s="95"/>
      <c r="AX7" s="100"/>
    </row>
    <row r="8" spans="1:50">
      <c r="A8" s="99"/>
      <c r="B8" s="89"/>
      <c r="C8" s="89" t="s">
        <v>111</v>
      </c>
      <c r="D8" s="89"/>
      <c r="E8" s="89"/>
      <c r="F8" s="89"/>
      <c r="G8" s="89"/>
      <c r="H8" s="89"/>
      <c r="I8" s="89"/>
      <c r="J8" s="89"/>
      <c r="K8" s="89"/>
      <c r="L8" s="89"/>
      <c r="M8" s="89"/>
      <c r="N8" s="89"/>
      <c r="O8" s="89"/>
      <c r="P8" s="89"/>
      <c r="Q8" s="95"/>
      <c r="R8" s="95"/>
      <c r="S8" s="95"/>
      <c r="T8" s="95"/>
      <c r="U8" s="95"/>
      <c r="V8" s="95"/>
      <c r="W8" s="95"/>
      <c r="X8" s="95"/>
      <c r="Y8" s="95"/>
      <c r="Z8" s="95"/>
      <c r="AA8" s="95"/>
      <c r="AB8" s="95"/>
      <c r="AC8" s="95"/>
      <c r="AD8" s="95"/>
      <c r="AE8" s="95"/>
      <c r="AF8" s="95"/>
      <c r="AG8" s="95"/>
      <c r="AH8" s="95"/>
      <c r="AI8" s="95"/>
      <c r="AJ8" s="95"/>
      <c r="AK8" s="95"/>
      <c r="AL8" s="95"/>
      <c r="AM8" s="95"/>
      <c r="AN8" s="95"/>
      <c r="AO8" s="95"/>
      <c r="AP8" s="95"/>
      <c r="AQ8" s="95"/>
      <c r="AR8" s="95"/>
      <c r="AS8" s="95"/>
      <c r="AT8" s="95"/>
      <c r="AU8" s="95"/>
      <c r="AV8" s="95"/>
      <c r="AW8" s="95"/>
      <c r="AX8" s="100"/>
    </row>
    <row r="9" spans="1:50">
      <c r="A9" s="99"/>
      <c r="B9" s="89"/>
      <c r="C9" s="89"/>
      <c r="D9" s="89"/>
      <c r="E9" s="89"/>
      <c r="F9" s="89"/>
      <c r="G9" s="89"/>
      <c r="H9" s="89"/>
      <c r="I9" s="89"/>
      <c r="J9" s="89"/>
      <c r="K9" s="89"/>
      <c r="L9" s="89"/>
      <c r="M9" s="89"/>
      <c r="N9" s="89"/>
      <c r="O9" s="89"/>
      <c r="P9" s="89"/>
      <c r="Q9" s="95"/>
      <c r="R9" s="95"/>
      <c r="S9" s="95"/>
      <c r="T9" s="95"/>
      <c r="U9" s="95"/>
      <c r="V9" s="95"/>
      <c r="W9" s="95"/>
      <c r="X9" s="95"/>
      <c r="Y9" s="95"/>
      <c r="Z9" s="95"/>
      <c r="AA9" s="95"/>
      <c r="AB9" s="95"/>
      <c r="AC9" s="95"/>
      <c r="AD9" s="95"/>
      <c r="AE9" s="95"/>
      <c r="AF9" s="95"/>
      <c r="AG9" s="95"/>
      <c r="AH9" s="95"/>
      <c r="AI9" s="95"/>
      <c r="AJ9" s="95"/>
      <c r="AK9" s="95"/>
      <c r="AL9" s="95"/>
      <c r="AM9" s="95"/>
      <c r="AN9" s="95"/>
      <c r="AO9" s="95"/>
      <c r="AP9" s="95"/>
      <c r="AQ9" s="95"/>
      <c r="AR9" s="95"/>
      <c r="AS9" s="95"/>
      <c r="AT9" s="95"/>
      <c r="AU9" s="95"/>
      <c r="AV9" s="95"/>
      <c r="AW9" s="95"/>
      <c r="AX9" s="100"/>
    </row>
    <row r="10" spans="1:50">
      <c r="A10" s="99"/>
      <c r="B10" s="89"/>
      <c r="C10" s="89" t="s">
        <v>112</v>
      </c>
      <c r="D10" s="89"/>
      <c r="E10" s="89"/>
      <c r="F10" s="89"/>
      <c r="G10" s="89"/>
      <c r="H10" s="89"/>
      <c r="I10" s="89"/>
      <c r="J10" s="89"/>
      <c r="K10" s="89"/>
      <c r="L10" s="89"/>
      <c r="M10" s="89"/>
      <c r="N10" s="89"/>
      <c r="O10" s="89"/>
      <c r="P10" s="89"/>
      <c r="Q10" s="95"/>
      <c r="R10" s="95"/>
      <c r="S10" s="95"/>
      <c r="T10" s="95"/>
      <c r="U10" s="95"/>
      <c r="V10" s="95"/>
      <c r="W10" s="95"/>
      <c r="X10" s="95"/>
      <c r="Y10" s="95"/>
      <c r="Z10" s="95"/>
      <c r="AA10" s="95"/>
      <c r="AB10" s="95"/>
      <c r="AC10" s="95"/>
      <c r="AD10" s="95"/>
      <c r="AE10" s="95"/>
      <c r="AF10" s="95"/>
      <c r="AG10" s="95"/>
      <c r="AH10" s="95"/>
      <c r="AI10" s="95"/>
      <c r="AJ10" s="95"/>
      <c r="AK10" s="95"/>
      <c r="AL10" s="95"/>
      <c r="AM10" s="95"/>
      <c r="AN10" s="95"/>
      <c r="AO10" s="95"/>
      <c r="AP10" s="95"/>
      <c r="AQ10" s="95"/>
      <c r="AR10" s="95"/>
      <c r="AS10" s="95"/>
      <c r="AT10" s="95"/>
      <c r="AU10" s="95"/>
      <c r="AV10" s="95"/>
      <c r="AW10" s="95"/>
      <c r="AX10" s="100"/>
    </row>
    <row r="11" spans="1:50">
      <c r="A11" s="99"/>
      <c r="B11" s="89"/>
      <c r="C11" s="89" t="s">
        <v>113</v>
      </c>
      <c r="D11" s="89"/>
      <c r="E11" s="89"/>
      <c r="F11" s="89"/>
      <c r="G11" s="89"/>
      <c r="H11" s="89"/>
      <c r="I11" s="89"/>
      <c r="J11" s="89"/>
      <c r="K11" s="89"/>
      <c r="L11" s="89"/>
      <c r="M11" s="89"/>
      <c r="N11" s="89"/>
      <c r="O11" s="89"/>
      <c r="P11" s="89"/>
      <c r="Q11" s="95"/>
      <c r="R11" s="95"/>
      <c r="S11" s="95"/>
      <c r="T11" s="95"/>
      <c r="U11" s="95"/>
      <c r="V11" s="95"/>
      <c r="W11" s="95"/>
      <c r="X11" s="95"/>
      <c r="Y11" s="95"/>
      <c r="Z11" s="95"/>
      <c r="AA11" s="95"/>
      <c r="AB11" s="95"/>
      <c r="AC11" s="95"/>
      <c r="AD11" s="95"/>
      <c r="AE11" s="95"/>
      <c r="AF11" s="95"/>
      <c r="AG11" s="95"/>
      <c r="AH11" s="95"/>
      <c r="AI11" s="95"/>
      <c r="AJ11" s="95"/>
      <c r="AK11" s="95"/>
      <c r="AL11" s="95"/>
      <c r="AM11" s="95"/>
      <c r="AN11" s="95"/>
      <c r="AO11" s="95"/>
      <c r="AP11" s="95"/>
      <c r="AQ11" s="95"/>
      <c r="AR11" s="95"/>
      <c r="AS11" s="95"/>
      <c r="AT11" s="95"/>
      <c r="AU11" s="95"/>
      <c r="AV11" s="95"/>
      <c r="AW11" s="95"/>
      <c r="AX11" s="100"/>
    </row>
    <row r="12" spans="1:50">
      <c r="A12" s="99"/>
      <c r="B12" s="89"/>
      <c r="C12" s="89"/>
      <c r="D12" s="89"/>
      <c r="E12" s="89"/>
      <c r="F12" s="89"/>
      <c r="G12" s="89"/>
      <c r="H12" s="89"/>
      <c r="I12" s="89"/>
      <c r="J12" s="89"/>
      <c r="K12" s="89"/>
      <c r="L12" s="89"/>
      <c r="M12" s="89"/>
      <c r="N12" s="89"/>
      <c r="O12" s="89"/>
      <c r="P12" s="89"/>
      <c r="Q12" s="95"/>
      <c r="R12" s="95"/>
      <c r="S12" s="95"/>
      <c r="T12" s="95"/>
      <c r="U12" s="95"/>
      <c r="V12" s="95"/>
      <c r="W12" s="95"/>
      <c r="X12" s="95"/>
      <c r="Y12" s="95"/>
      <c r="Z12" s="95"/>
      <c r="AA12" s="95"/>
      <c r="AB12" s="95"/>
      <c r="AC12" s="95"/>
      <c r="AD12" s="95"/>
      <c r="AE12" s="95"/>
      <c r="AF12" s="95"/>
      <c r="AG12" s="95"/>
      <c r="AH12" s="95"/>
      <c r="AI12" s="95"/>
      <c r="AJ12" s="95"/>
      <c r="AK12" s="95"/>
      <c r="AL12" s="95"/>
      <c r="AM12" s="95"/>
      <c r="AN12" s="95"/>
      <c r="AO12" s="95"/>
      <c r="AP12" s="95"/>
      <c r="AQ12" s="95"/>
      <c r="AR12" s="95"/>
      <c r="AS12" s="95"/>
      <c r="AT12" s="95"/>
      <c r="AU12" s="95"/>
      <c r="AV12" s="95"/>
      <c r="AW12" s="95"/>
      <c r="AX12" s="100"/>
    </row>
    <row r="13" spans="1:50">
      <c r="A13" s="99"/>
      <c r="B13" s="89"/>
      <c r="C13" s="89" t="s">
        <v>114</v>
      </c>
      <c r="D13" s="89"/>
      <c r="E13" s="89"/>
      <c r="F13" s="89"/>
      <c r="G13" s="89"/>
      <c r="H13" s="89"/>
      <c r="I13" s="89"/>
      <c r="J13" s="89"/>
      <c r="K13" s="89"/>
      <c r="L13" s="89"/>
      <c r="M13" s="89"/>
      <c r="N13" s="89"/>
      <c r="O13" s="89"/>
      <c r="P13" s="89"/>
      <c r="Q13" s="95"/>
      <c r="R13" s="95"/>
      <c r="S13" s="95"/>
      <c r="T13" s="95"/>
      <c r="U13" s="95"/>
      <c r="V13" s="95"/>
      <c r="W13" s="95"/>
      <c r="X13" s="95"/>
      <c r="Y13" s="95"/>
      <c r="Z13" s="95"/>
      <c r="AA13" s="95"/>
      <c r="AB13" s="95"/>
      <c r="AC13" s="95"/>
      <c r="AD13" s="95"/>
      <c r="AE13" s="95"/>
      <c r="AF13" s="95"/>
      <c r="AG13" s="95"/>
      <c r="AH13" s="95"/>
      <c r="AI13" s="95"/>
      <c r="AJ13" s="95"/>
      <c r="AK13" s="95"/>
      <c r="AL13" s="95"/>
      <c r="AM13" s="95"/>
      <c r="AN13" s="95"/>
      <c r="AO13" s="95"/>
      <c r="AP13" s="95"/>
      <c r="AQ13" s="95"/>
      <c r="AR13" s="95"/>
      <c r="AS13" s="95"/>
      <c r="AT13" s="95"/>
      <c r="AU13" s="95"/>
      <c r="AV13" s="95"/>
      <c r="AW13" s="95"/>
      <c r="AX13" s="100"/>
    </row>
    <row r="14" spans="1:50">
      <c r="A14" s="99"/>
      <c r="B14" s="89"/>
      <c r="C14" s="89" t="s">
        <v>115</v>
      </c>
      <c r="D14" s="89"/>
      <c r="E14" s="89"/>
      <c r="F14" s="89"/>
      <c r="G14" s="89"/>
      <c r="H14" s="89"/>
      <c r="I14" s="89"/>
      <c r="J14" s="89"/>
      <c r="K14" s="89"/>
      <c r="L14" s="89"/>
      <c r="M14" s="89"/>
      <c r="N14" s="89"/>
      <c r="O14" s="89"/>
      <c r="P14" s="89"/>
      <c r="Q14" s="95"/>
      <c r="R14" s="95"/>
      <c r="S14" s="95"/>
      <c r="T14" s="95"/>
      <c r="U14" s="95"/>
      <c r="V14" s="95"/>
      <c r="W14" s="95"/>
      <c r="X14" s="95"/>
      <c r="Y14" s="95"/>
      <c r="Z14" s="95"/>
      <c r="AA14" s="95"/>
      <c r="AB14" s="95"/>
      <c r="AC14" s="95"/>
      <c r="AD14" s="95"/>
      <c r="AE14" s="95"/>
      <c r="AF14" s="95"/>
      <c r="AG14" s="95"/>
      <c r="AH14" s="95"/>
      <c r="AI14" s="95"/>
      <c r="AJ14" s="95"/>
      <c r="AK14" s="95"/>
      <c r="AL14" s="95"/>
      <c r="AM14" s="95"/>
      <c r="AN14" s="95"/>
      <c r="AO14" s="95"/>
      <c r="AP14" s="95"/>
      <c r="AQ14" s="95"/>
      <c r="AR14" s="95"/>
      <c r="AS14" s="95"/>
      <c r="AT14" s="95"/>
      <c r="AU14" s="95"/>
      <c r="AV14" s="95"/>
      <c r="AW14" s="95"/>
      <c r="AX14" s="100"/>
    </row>
    <row r="15" spans="1:50">
      <c r="A15" s="99"/>
      <c r="B15" s="89"/>
      <c r="C15" s="89"/>
      <c r="D15" s="89" t="s">
        <v>116</v>
      </c>
      <c r="E15" s="89"/>
      <c r="F15" s="89"/>
      <c r="G15" s="89"/>
      <c r="H15" s="89"/>
      <c r="I15" s="89"/>
      <c r="J15" s="89"/>
      <c r="K15" s="89"/>
      <c r="L15" s="89"/>
      <c r="M15" s="89"/>
      <c r="N15" s="89"/>
      <c r="O15" s="89"/>
      <c r="P15" s="89"/>
      <c r="Q15" s="95"/>
      <c r="R15" s="95"/>
      <c r="S15" s="95"/>
      <c r="T15" s="95"/>
      <c r="U15" s="95"/>
      <c r="V15" s="95"/>
      <c r="W15" s="95"/>
      <c r="X15" s="95"/>
      <c r="Y15" s="95"/>
      <c r="Z15" s="95"/>
      <c r="AA15" s="95"/>
      <c r="AB15" s="95"/>
      <c r="AC15" s="95"/>
      <c r="AD15" s="95"/>
      <c r="AE15" s="95"/>
      <c r="AF15" s="95"/>
      <c r="AG15" s="95"/>
      <c r="AH15" s="95"/>
      <c r="AI15" s="95"/>
      <c r="AJ15" s="95"/>
      <c r="AK15" s="95"/>
      <c r="AL15" s="95"/>
      <c r="AM15" s="95"/>
      <c r="AN15" s="95"/>
      <c r="AO15" s="95"/>
      <c r="AP15" s="95"/>
      <c r="AQ15" s="95"/>
      <c r="AR15" s="95"/>
      <c r="AS15" s="95"/>
      <c r="AT15" s="95"/>
      <c r="AU15" s="95"/>
      <c r="AV15" s="95"/>
      <c r="AW15" s="95"/>
      <c r="AX15" s="100"/>
    </row>
    <row r="16" spans="1:50">
      <c r="A16" s="99"/>
      <c r="B16" s="89"/>
      <c r="C16" s="89"/>
      <c r="D16" s="89"/>
      <c r="E16" s="89" t="s">
        <v>117</v>
      </c>
      <c r="F16" s="89"/>
      <c r="G16" s="89"/>
      <c r="H16" s="89"/>
      <c r="I16" s="89"/>
      <c r="J16" s="89"/>
      <c r="K16" s="89"/>
      <c r="L16" s="89"/>
      <c r="M16" s="89"/>
      <c r="N16" s="89"/>
      <c r="O16" s="89"/>
      <c r="P16" s="89"/>
      <c r="Q16" s="95"/>
      <c r="R16" s="95"/>
      <c r="S16" s="95"/>
      <c r="T16" s="95"/>
      <c r="U16" s="95"/>
      <c r="V16" s="95"/>
      <c r="W16" s="95"/>
      <c r="X16" s="95"/>
      <c r="Y16" s="95"/>
      <c r="Z16" s="95"/>
      <c r="AA16" s="95"/>
      <c r="AB16" s="95"/>
      <c r="AC16" s="95"/>
      <c r="AD16" s="95"/>
      <c r="AE16" s="95"/>
      <c r="AF16" s="95"/>
      <c r="AG16" s="95"/>
      <c r="AH16" s="95"/>
      <c r="AI16" s="95"/>
      <c r="AJ16" s="95"/>
      <c r="AK16" s="95"/>
      <c r="AL16" s="95"/>
      <c r="AM16" s="95"/>
      <c r="AN16" s="95"/>
      <c r="AO16" s="95"/>
      <c r="AP16" s="95"/>
      <c r="AQ16" s="95"/>
      <c r="AR16" s="95"/>
      <c r="AS16" s="95"/>
      <c r="AT16" s="95"/>
      <c r="AU16" s="95"/>
      <c r="AV16" s="95"/>
      <c r="AW16" s="95"/>
      <c r="AX16" s="100"/>
    </row>
    <row r="17" spans="1:50">
      <c r="A17" s="99"/>
      <c r="B17" s="89"/>
      <c r="C17" s="89"/>
      <c r="D17" s="89"/>
      <c r="E17" s="89" t="s">
        <v>118</v>
      </c>
      <c r="F17" s="89"/>
      <c r="G17" s="89"/>
      <c r="H17" s="89"/>
      <c r="I17" s="89"/>
      <c r="J17" s="89"/>
      <c r="K17" s="89"/>
      <c r="L17" s="89"/>
      <c r="M17" s="89"/>
      <c r="N17" s="89"/>
      <c r="O17" s="89"/>
      <c r="P17" s="89"/>
      <c r="Q17" s="95"/>
      <c r="R17" s="95"/>
      <c r="S17" s="95"/>
      <c r="T17" s="95"/>
      <c r="U17" s="95"/>
      <c r="V17" s="95"/>
      <c r="W17" s="95"/>
      <c r="X17" s="95"/>
      <c r="Y17" s="95"/>
      <c r="Z17" s="95"/>
      <c r="AA17" s="95"/>
      <c r="AB17" s="95"/>
      <c r="AC17" s="95"/>
      <c r="AD17" s="95"/>
      <c r="AE17" s="95"/>
      <c r="AF17" s="95"/>
      <c r="AG17" s="95"/>
      <c r="AH17" s="95"/>
      <c r="AI17" s="95"/>
      <c r="AJ17" s="95"/>
      <c r="AK17" s="95"/>
      <c r="AL17" s="95"/>
      <c r="AM17" s="95"/>
      <c r="AN17" s="95"/>
      <c r="AO17" s="95"/>
      <c r="AP17" s="95"/>
      <c r="AQ17" s="95"/>
      <c r="AR17" s="95"/>
      <c r="AS17" s="95"/>
      <c r="AT17" s="95"/>
      <c r="AU17" s="95"/>
      <c r="AV17" s="95"/>
      <c r="AW17" s="95"/>
      <c r="AX17" s="100"/>
    </row>
    <row r="18" spans="1:50">
      <c r="A18" s="99"/>
      <c r="B18" s="89"/>
      <c r="C18" s="89"/>
      <c r="D18" s="89"/>
      <c r="E18" s="89" t="s">
        <v>119</v>
      </c>
      <c r="F18" s="89"/>
      <c r="G18" s="89"/>
      <c r="H18" s="89"/>
      <c r="I18" s="89"/>
      <c r="J18" s="89"/>
      <c r="K18" s="89"/>
      <c r="L18" s="89"/>
      <c r="M18" s="89"/>
      <c r="N18" s="89"/>
      <c r="O18" s="89"/>
      <c r="P18" s="89"/>
      <c r="Q18" s="95"/>
      <c r="R18" s="95"/>
      <c r="S18" s="95"/>
      <c r="T18" s="95"/>
      <c r="U18" s="95"/>
      <c r="V18" s="95"/>
      <c r="W18" s="95"/>
      <c r="X18" s="95"/>
      <c r="Y18" s="95"/>
      <c r="Z18" s="95"/>
      <c r="AA18" s="95"/>
      <c r="AB18" s="95"/>
      <c r="AC18" s="95"/>
      <c r="AD18" s="95"/>
      <c r="AE18" s="95"/>
      <c r="AF18" s="95"/>
      <c r="AG18" s="95"/>
      <c r="AH18" s="95"/>
      <c r="AI18" s="95"/>
      <c r="AJ18" s="95"/>
      <c r="AK18" s="95"/>
      <c r="AL18" s="95"/>
      <c r="AM18" s="95"/>
      <c r="AN18" s="95"/>
      <c r="AO18" s="95"/>
      <c r="AP18" s="95"/>
      <c r="AQ18" s="95"/>
      <c r="AR18" s="95"/>
      <c r="AS18" s="95"/>
      <c r="AT18" s="95"/>
      <c r="AU18" s="95"/>
      <c r="AV18" s="95"/>
      <c r="AW18" s="95"/>
      <c r="AX18" s="100"/>
    </row>
    <row r="19" spans="1:50">
      <c r="A19" s="99"/>
      <c r="B19" s="89"/>
      <c r="C19" s="89"/>
      <c r="D19" s="89"/>
      <c r="E19" s="89" t="s">
        <v>111</v>
      </c>
      <c r="F19" s="89"/>
      <c r="G19" s="89"/>
      <c r="H19" s="89"/>
      <c r="I19" s="89"/>
      <c r="J19" s="89"/>
      <c r="K19" s="89"/>
      <c r="L19" s="89"/>
      <c r="M19" s="89"/>
      <c r="N19" s="89"/>
      <c r="O19" s="89"/>
      <c r="P19" s="89"/>
      <c r="Q19" s="95"/>
      <c r="R19" s="95"/>
      <c r="S19" s="95"/>
      <c r="T19" s="95"/>
      <c r="U19" s="95"/>
      <c r="V19" s="95"/>
      <c r="W19" s="95"/>
      <c r="X19" s="95"/>
      <c r="Y19" s="95"/>
      <c r="Z19" s="95"/>
      <c r="AA19" s="95"/>
      <c r="AB19" s="95"/>
      <c r="AC19" s="95"/>
      <c r="AD19" s="95"/>
      <c r="AE19" s="95"/>
      <c r="AF19" s="95"/>
      <c r="AG19" s="95"/>
      <c r="AH19" s="95"/>
      <c r="AI19" s="95"/>
      <c r="AJ19" s="95"/>
      <c r="AK19" s="95"/>
      <c r="AL19" s="95"/>
      <c r="AM19" s="95"/>
      <c r="AN19" s="95"/>
      <c r="AO19" s="95"/>
      <c r="AP19" s="95"/>
      <c r="AQ19" s="95"/>
      <c r="AR19" s="95"/>
      <c r="AS19" s="95"/>
      <c r="AT19" s="95"/>
      <c r="AU19" s="95"/>
      <c r="AV19" s="95"/>
      <c r="AW19" s="95"/>
      <c r="AX19" s="100"/>
    </row>
    <row r="20" spans="1:50">
      <c r="A20" s="99"/>
      <c r="B20" s="89"/>
      <c r="C20" s="89"/>
      <c r="D20" s="89" t="s">
        <v>120</v>
      </c>
      <c r="E20" s="89"/>
      <c r="F20" s="89"/>
      <c r="G20" s="89"/>
      <c r="H20" s="89"/>
      <c r="I20" s="89"/>
      <c r="J20" s="89"/>
      <c r="K20" s="89"/>
      <c r="L20" s="89"/>
      <c r="M20" s="89"/>
      <c r="N20" s="89"/>
      <c r="O20" s="89"/>
      <c r="P20" s="89"/>
      <c r="Q20" s="95"/>
      <c r="R20" s="95"/>
      <c r="S20" s="95"/>
      <c r="T20" s="95"/>
      <c r="U20" s="95"/>
      <c r="V20" s="95"/>
      <c r="W20" s="95"/>
      <c r="X20" s="95"/>
      <c r="Y20" s="95"/>
      <c r="Z20" s="95"/>
      <c r="AA20" s="95"/>
      <c r="AB20" s="95"/>
      <c r="AC20" s="95"/>
      <c r="AD20" s="95"/>
      <c r="AE20" s="95"/>
      <c r="AF20" s="95"/>
      <c r="AG20" s="95"/>
      <c r="AH20" s="95"/>
      <c r="AI20" s="95"/>
      <c r="AJ20" s="95"/>
      <c r="AK20" s="95"/>
      <c r="AL20" s="95"/>
      <c r="AM20" s="95"/>
      <c r="AN20" s="95"/>
      <c r="AO20" s="95"/>
      <c r="AP20" s="95"/>
      <c r="AQ20" s="95"/>
      <c r="AR20" s="95"/>
      <c r="AS20" s="95"/>
      <c r="AT20" s="95"/>
      <c r="AU20" s="95"/>
      <c r="AV20" s="95"/>
      <c r="AW20" s="95"/>
      <c r="AX20" s="100"/>
    </row>
    <row r="21" spans="1:50">
      <c r="A21" s="99"/>
      <c r="B21" s="89"/>
      <c r="C21" s="89"/>
      <c r="D21" s="89" t="s">
        <v>121</v>
      </c>
      <c r="E21" s="89"/>
      <c r="F21" s="89"/>
      <c r="G21" s="89"/>
      <c r="H21" s="89"/>
      <c r="I21" s="89"/>
      <c r="J21" s="89"/>
      <c r="K21" s="89"/>
      <c r="L21" s="89"/>
      <c r="M21" s="89"/>
      <c r="N21" s="89"/>
      <c r="O21" s="89"/>
      <c r="P21" s="89"/>
      <c r="Q21" s="95"/>
      <c r="R21" s="95"/>
      <c r="S21" s="95"/>
      <c r="T21" s="95"/>
      <c r="U21" s="95"/>
      <c r="V21" s="95"/>
      <c r="W21" s="95"/>
      <c r="X21" s="95"/>
      <c r="Y21" s="95"/>
      <c r="Z21" s="95"/>
      <c r="AA21" s="95"/>
      <c r="AB21" s="95"/>
      <c r="AC21" s="95"/>
      <c r="AD21" s="95"/>
      <c r="AE21" s="95"/>
      <c r="AF21" s="95"/>
      <c r="AG21" s="95"/>
      <c r="AH21" s="95"/>
      <c r="AI21" s="95"/>
      <c r="AJ21" s="95"/>
      <c r="AK21" s="95"/>
      <c r="AL21" s="95"/>
      <c r="AM21" s="95"/>
      <c r="AN21" s="95"/>
      <c r="AO21" s="95"/>
      <c r="AP21" s="95"/>
      <c r="AQ21" s="95"/>
      <c r="AR21" s="95"/>
      <c r="AS21" s="95"/>
      <c r="AT21" s="95"/>
      <c r="AU21" s="95"/>
      <c r="AV21" s="95"/>
      <c r="AW21" s="95"/>
      <c r="AX21" s="100"/>
    </row>
    <row r="22" spans="1:50">
      <c r="A22" s="99"/>
      <c r="B22" s="89"/>
      <c r="C22" s="89"/>
      <c r="D22" s="89"/>
      <c r="E22" s="89" t="s">
        <v>122</v>
      </c>
      <c r="F22" s="89"/>
      <c r="G22" s="89"/>
      <c r="H22" s="89"/>
      <c r="I22" s="89"/>
      <c r="J22" s="89"/>
      <c r="K22" s="89"/>
      <c r="L22" s="89"/>
      <c r="M22" s="89"/>
      <c r="N22" s="89"/>
      <c r="O22" s="89"/>
      <c r="P22" s="89"/>
      <c r="Q22" s="95"/>
      <c r="R22" s="95"/>
      <c r="S22" s="95"/>
      <c r="T22" s="95"/>
      <c r="U22" s="95"/>
      <c r="V22" s="95"/>
      <c r="W22" s="95"/>
      <c r="X22" s="95"/>
      <c r="Y22" s="95"/>
      <c r="Z22" s="95"/>
      <c r="AA22" s="95"/>
      <c r="AB22" s="95"/>
      <c r="AC22" s="95"/>
      <c r="AD22" s="95"/>
      <c r="AE22" s="95"/>
      <c r="AF22" s="95"/>
      <c r="AG22" s="95"/>
      <c r="AH22" s="95"/>
      <c r="AI22" s="95"/>
      <c r="AJ22" s="95"/>
      <c r="AK22" s="95"/>
      <c r="AL22" s="95"/>
      <c r="AM22" s="95"/>
      <c r="AN22" s="95"/>
      <c r="AO22" s="95"/>
      <c r="AP22" s="95"/>
      <c r="AQ22" s="95"/>
      <c r="AR22" s="95"/>
      <c r="AS22" s="95"/>
      <c r="AT22" s="95"/>
      <c r="AU22" s="95"/>
      <c r="AV22" s="95"/>
      <c r="AW22" s="95"/>
      <c r="AX22" s="100"/>
    </row>
    <row r="23" spans="1:50">
      <c r="A23" s="99"/>
      <c r="B23" s="89"/>
      <c r="C23" s="89"/>
      <c r="D23" s="89" t="s">
        <v>120</v>
      </c>
      <c r="E23" s="89"/>
      <c r="F23" s="89"/>
      <c r="G23" s="89"/>
      <c r="H23" s="89"/>
      <c r="I23" s="89"/>
      <c r="J23" s="89"/>
      <c r="K23" s="89"/>
      <c r="L23" s="89"/>
      <c r="M23" s="89"/>
      <c r="N23" s="89"/>
      <c r="O23" s="89"/>
      <c r="P23" s="89"/>
      <c r="Q23" s="95"/>
      <c r="R23" s="95"/>
      <c r="S23" s="95"/>
      <c r="T23" s="95"/>
      <c r="U23" s="95"/>
      <c r="V23" s="95"/>
      <c r="W23" s="95"/>
      <c r="X23" s="95"/>
      <c r="Y23" s="95"/>
      <c r="Z23" s="95"/>
      <c r="AA23" s="95"/>
      <c r="AB23" s="95"/>
      <c r="AC23" s="95"/>
      <c r="AD23" s="95"/>
      <c r="AE23" s="95"/>
      <c r="AF23" s="95"/>
      <c r="AG23" s="95"/>
      <c r="AH23" s="95"/>
      <c r="AI23" s="95"/>
      <c r="AJ23" s="95"/>
      <c r="AK23" s="95"/>
      <c r="AL23" s="95"/>
      <c r="AM23" s="95"/>
      <c r="AN23" s="95"/>
      <c r="AO23" s="95"/>
      <c r="AP23" s="95"/>
      <c r="AQ23" s="95"/>
      <c r="AR23" s="95"/>
      <c r="AS23" s="95"/>
      <c r="AT23" s="95"/>
      <c r="AU23" s="95"/>
      <c r="AV23" s="95"/>
      <c r="AW23" s="95"/>
      <c r="AX23" s="100"/>
    </row>
    <row r="24" spans="1:50">
      <c r="A24" s="99"/>
      <c r="B24" s="89"/>
      <c r="C24" s="89"/>
      <c r="D24" s="89" t="s">
        <v>123</v>
      </c>
      <c r="E24" s="89"/>
      <c r="F24" s="89"/>
      <c r="G24" s="89"/>
      <c r="H24" s="89"/>
      <c r="I24" s="89"/>
      <c r="J24" s="89"/>
      <c r="K24" s="89"/>
      <c r="L24" s="89"/>
      <c r="M24" s="89"/>
      <c r="N24" s="89"/>
      <c r="O24" s="89"/>
      <c r="P24" s="89"/>
      <c r="Q24" s="95"/>
      <c r="R24" s="95"/>
      <c r="S24" s="95"/>
      <c r="T24" s="95"/>
      <c r="U24" s="95"/>
      <c r="V24" s="95"/>
      <c r="W24" s="95"/>
      <c r="X24" s="95"/>
      <c r="Y24" s="95"/>
      <c r="Z24" s="95"/>
      <c r="AA24" s="95"/>
      <c r="AB24" s="95"/>
      <c r="AC24" s="95"/>
      <c r="AD24" s="95"/>
      <c r="AE24" s="95"/>
      <c r="AF24" s="95"/>
      <c r="AG24" s="95"/>
      <c r="AH24" s="95"/>
      <c r="AI24" s="95"/>
      <c r="AJ24" s="95"/>
      <c r="AK24" s="95"/>
      <c r="AL24" s="95"/>
      <c r="AM24" s="95"/>
      <c r="AN24" s="95"/>
      <c r="AO24" s="95"/>
      <c r="AP24" s="95"/>
      <c r="AQ24" s="95"/>
      <c r="AR24" s="95"/>
      <c r="AS24" s="95"/>
      <c r="AT24" s="95"/>
      <c r="AU24" s="95"/>
      <c r="AV24" s="95"/>
      <c r="AW24" s="95"/>
      <c r="AX24" s="100"/>
    </row>
    <row r="25" spans="1:50">
      <c r="A25" s="99"/>
      <c r="B25" s="89"/>
      <c r="C25" s="89"/>
      <c r="D25" s="89"/>
      <c r="E25" s="89" t="s">
        <v>124</v>
      </c>
      <c r="F25" s="89"/>
      <c r="G25" s="89"/>
      <c r="H25" s="89"/>
      <c r="I25" s="89"/>
      <c r="J25" s="89"/>
      <c r="K25" s="89"/>
      <c r="L25" s="89"/>
      <c r="M25" s="89"/>
      <c r="N25" s="89"/>
      <c r="O25" s="89"/>
      <c r="P25" s="89"/>
      <c r="Q25" s="95"/>
      <c r="R25" s="95"/>
      <c r="S25" s="95"/>
      <c r="T25" s="95"/>
      <c r="U25" s="95"/>
      <c r="V25" s="95"/>
      <c r="W25" s="95"/>
      <c r="X25" s="95"/>
      <c r="Y25" s="95"/>
      <c r="Z25" s="95"/>
      <c r="AA25" s="95"/>
      <c r="AB25" s="95"/>
      <c r="AC25" s="95"/>
      <c r="AD25" s="95"/>
      <c r="AE25" s="95"/>
      <c r="AF25" s="95"/>
      <c r="AG25" s="95"/>
      <c r="AH25" s="95"/>
      <c r="AI25" s="95"/>
      <c r="AJ25" s="95"/>
      <c r="AK25" s="95"/>
      <c r="AL25" s="95"/>
      <c r="AM25" s="95"/>
      <c r="AN25" s="95"/>
      <c r="AO25" s="95"/>
      <c r="AP25" s="95"/>
      <c r="AQ25" s="95"/>
      <c r="AR25" s="95"/>
      <c r="AS25" s="95"/>
      <c r="AT25" s="95"/>
      <c r="AU25" s="95"/>
      <c r="AV25" s="95"/>
      <c r="AW25" s="95"/>
      <c r="AX25" s="100"/>
    </row>
    <row r="26" spans="1:50">
      <c r="A26" s="99"/>
      <c r="B26" s="89"/>
      <c r="C26" s="89"/>
      <c r="D26" s="89" t="s">
        <v>120</v>
      </c>
      <c r="E26" s="89"/>
      <c r="F26" s="89"/>
      <c r="G26" s="89"/>
      <c r="H26" s="89"/>
      <c r="I26" s="89"/>
      <c r="J26" s="89"/>
      <c r="K26" s="89"/>
      <c r="L26" s="89"/>
      <c r="M26" s="89"/>
      <c r="N26" s="89"/>
      <c r="O26" s="89"/>
      <c r="P26" s="89"/>
      <c r="Q26" s="95"/>
      <c r="R26" s="95"/>
      <c r="S26" s="95"/>
      <c r="T26" s="95"/>
      <c r="U26" s="95"/>
      <c r="V26" s="95"/>
      <c r="W26" s="95"/>
      <c r="X26" s="95"/>
      <c r="Y26" s="95"/>
      <c r="Z26" s="95"/>
      <c r="AA26" s="95"/>
      <c r="AB26" s="95"/>
      <c r="AC26" s="95"/>
      <c r="AD26" s="95"/>
      <c r="AE26" s="95"/>
      <c r="AF26" s="95"/>
      <c r="AG26" s="95"/>
      <c r="AH26" s="95"/>
      <c r="AI26" s="95"/>
      <c r="AJ26" s="95"/>
      <c r="AK26" s="95"/>
      <c r="AL26" s="95"/>
      <c r="AM26" s="95"/>
      <c r="AN26" s="95"/>
      <c r="AO26" s="95"/>
      <c r="AP26" s="95"/>
      <c r="AQ26" s="95"/>
      <c r="AR26" s="95"/>
      <c r="AS26" s="95"/>
      <c r="AT26" s="95"/>
      <c r="AU26" s="95"/>
      <c r="AV26" s="95"/>
      <c r="AW26" s="95"/>
      <c r="AX26" s="100"/>
    </row>
    <row r="27" spans="1:50">
      <c r="A27" s="99"/>
      <c r="B27" s="89"/>
      <c r="C27" s="89" t="s">
        <v>120</v>
      </c>
      <c r="D27" s="89"/>
      <c r="E27" s="89"/>
      <c r="F27" s="89"/>
      <c r="G27" s="89"/>
      <c r="H27" s="89"/>
      <c r="I27" s="89"/>
      <c r="J27" s="89"/>
      <c r="K27" s="89"/>
      <c r="L27" s="89"/>
      <c r="M27" s="89"/>
      <c r="N27" s="89"/>
      <c r="O27" s="89"/>
      <c r="P27" s="89"/>
      <c r="Q27" s="95"/>
      <c r="R27" s="95"/>
      <c r="S27" s="95"/>
      <c r="T27" s="95"/>
      <c r="U27" s="95"/>
      <c r="V27" s="95"/>
      <c r="W27" s="95"/>
      <c r="X27" s="95"/>
      <c r="Y27" s="95"/>
      <c r="Z27" s="95"/>
      <c r="AA27" s="95"/>
      <c r="AB27" s="95"/>
      <c r="AC27" s="95"/>
      <c r="AD27" s="95"/>
      <c r="AE27" s="95"/>
      <c r="AF27" s="95"/>
      <c r="AG27" s="95"/>
      <c r="AH27" s="95"/>
      <c r="AI27" s="95"/>
      <c r="AJ27" s="95"/>
      <c r="AK27" s="95"/>
      <c r="AL27" s="95"/>
      <c r="AM27" s="95"/>
      <c r="AN27" s="95"/>
      <c r="AO27" s="95"/>
      <c r="AP27" s="95"/>
      <c r="AQ27" s="95"/>
      <c r="AR27" s="95"/>
      <c r="AS27" s="95"/>
      <c r="AT27" s="95"/>
      <c r="AU27" s="95"/>
      <c r="AV27" s="95"/>
      <c r="AW27" s="95"/>
      <c r="AX27" s="100"/>
    </row>
    <row r="28" spans="1:50">
      <c r="A28" s="99"/>
      <c r="B28" s="89"/>
      <c r="C28" s="89"/>
      <c r="D28" s="89"/>
      <c r="E28" s="89"/>
      <c r="F28" s="89"/>
      <c r="G28" s="89"/>
      <c r="H28" s="89"/>
      <c r="I28" s="89"/>
      <c r="J28" s="89"/>
      <c r="K28" s="89"/>
      <c r="L28" s="89"/>
      <c r="M28" s="89"/>
      <c r="N28" s="89"/>
      <c r="O28" s="89"/>
      <c r="P28" s="89"/>
      <c r="Q28" s="95"/>
      <c r="R28" s="95"/>
      <c r="S28" s="95"/>
      <c r="T28" s="95"/>
      <c r="U28" s="95"/>
      <c r="V28" s="95"/>
      <c r="W28" s="95"/>
      <c r="X28" s="95"/>
      <c r="Y28" s="95"/>
      <c r="Z28" s="95"/>
      <c r="AA28" s="95"/>
      <c r="AB28" s="95"/>
      <c r="AC28" s="95"/>
      <c r="AD28" s="95"/>
      <c r="AE28" s="95"/>
      <c r="AF28" s="95"/>
      <c r="AG28" s="95"/>
      <c r="AH28" s="95"/>
      <c r="AI28" s="95"/>
      <c r="AJ28" s="95"/>
      <c r="AK28" s="95"/>
      <c r="AL28" s="95"/>
      <c r="AM28" s="95"/>
      <c r="AN28" s="95"/>
      <c r="AO28" s="95"/>
      <c r="AP28" s="95"/>
      <c r="AQ28" s="95"/>
      <c r="AR28" s="95"/>
      <c r="AS28" s="95"/>
      <c r="AT28" s="95"/>
      <c r="AU28" s="95"/>
      <c r="AV28" s="95"/>
      <c r="AW28" s="95"/>
      <c r="AX28" s="100"/>
    </row>
    <row r="29" spans="1:50">
      <c r="A29" s="99"/>
      <c r="B29" s="89"/>
      <c r="C29" s="89" t="s">
        <v>125</v>
      </c>
      <c r="D29" s="89"/>
      <c r="E29" s="89"/>
      <c r="F29" s="89"/>
      <c r="G29" s="89"/>
      <c r="H29" s="89"/>
      <c r="I29" s="89"/>
      <c r="J29" s="89"/>
      <c r="K29" s="89"/>
      <c r="L29" s="89"/>
      <c r="M29" s="89"/>
      <c r="N29" s="89"/>
      <c r="O29" s="89"/>
      <c r="P29" s="89"/>
      <c r="Q29" s="95"/>
      <c r="R29" s="95"/>
      <c r="S29" s="95"/>
      <c r="T29" s="95"/>
      <c r="U29" s="95"/>
      <c r="V29" s="95"/>
      <c r="W29" s="95"/>
      <c r="X29" s="95"/>
      <c r="Y29" s="95"/>
      <c r="Z29" s="95"/>
      <c r="AA29" s="95"/>
      <c r="AB29" s="95"/>
      <c r="AC29" s="95"/>
      <c r="AD29" s="95"/>
      <c r="AE29" s="95"/>
      <c r="AF29" s="95"/>
      <c r="AG29" s="95"/>
      <c r="AH29" s="95"/>
      <c r="AI29" s="95"/>
      <c r="AJ29" s="95"/>
      <c r="AK29" s="95"/>
      <c r="AL29" s="95"/>
      <c r="AM29" s="95"/>
      <c r="AN29" s="95"/>
      <c r="AO29" s="95"/>
      <c r="AP29" s="95"/>
      <c r="AQ29" s="95"/>
      <c r="AR29" s="95"/>
      <c r="AS29" s="95"/>
      <c r="AT29" s="95"/>
      <c r="AU29" s="95"/>
      <c r="AV29" s="95"/>
      <c r="AW29" s="95"/>
      <c r="AX29" s="100"/>
    </row>
    <row r="30" spans="1:50">
      <c r="A30" s="99"/>
      <c r="B30" s="89"/>
      <c r="C30" s="89" t="s">
        <v>126</v>
      </c>
      <c r="D30" s="89"/>
      <c r="E30" s="89"/>
      <c r="F30" s="89"/>
      <c r="G30" s="89"/>
      <c r="H30" s="89"/>
      <c r="I30" s="89"/>
      <c r="J30" s="89"/>
      <c r="K30" s="89"/>
      <c r="L30" s="89"/>
      <c r="M30" s="89"/>
      <c r="N30" s="89"/>
      <c r="O30" s="89"/>
      <c r="P30" s="89"/>
      <c r="Q30" s="95"/>
      <c r="R30" s="95"/>
      <c r="S30" s="95"/>
      <c r="T30" s="95"/>
      <c r="U30" s="95"/>
      <c r="V30" s="95"/>
      <c r="W30" s="95"/>
      <c r="X30" s="95"/>
      <c r="Y30" s="95"/>
      <c r="Z30" s="95"/>
      <c r="AA30" s="95"/>
      <c r="AB30" s="95"/>
      <c r="AC30" s="95"/>
      <c r="AD30" s="95"/>
      <c r="AE30" s="95"/>
      <c r="AF30" s="95"/>
      <c r="AG30" s="95"/>
      <c r="AH30" s="95"/>
      <c r="AI30" s="95"/>
      <c r="AJ30" s="95"/>
      <c r="AK30" s="95"/>
      <c r="AL30" s="95"/>
      <c r="AM30" s="95"/>
      <c r="AN30" s="95"/>
      <c r="AO30" s="95"/>
      <c r="AP30" s="95"/>
      <c r="AQ30" s="95"/>
      <c r="AR30" s="95"/>
      <c r="AS30" s="95"/>
      <c r="AT30" s="95"/>
      <c r="AU30" s="95"/>
      <c r="AV30" s="95"/>
      <c r="AW30" s="95"/>
      <c r="AX30" s="100"/>
    </row>
    <row r="31" spans="1:50">
      <c r="A31" s="99"/>
      <c r="B31" s="89"/>
      <c r="C31" s="89"/>
      <c r="D31" s="89" t="s">
        <v>127</v>
      </c>
      <c r="E31" s="89"/>
      <c r="F31" s="89"/>
      <c r="G31" s="89"/>
      <c r="H31" s="89"/>
      <c r="I31" s="89"/>
      <c r="J31" s="89"/>
      <c r="K31" s="89"/>
      <c r="L31" s="89"/>
      <c r="M31" s="89"/>
      <c r="N31" s="89"/>
      <c r="O31" s="89"/>
      <c r="P31" s="89"/>
      <c r="Q31" s="95"/>
      <c r="R31" s="95"/>
      <c r="S31" s="95"/>
      <c r="T31" s="95"/>
      <c r="U31" s="95"/>
      <c r="V31" s="95"/>
      <c r="W31" s="95"/>
      <c r="X31" s="95"/>
      <c r="Y31" s="95"/>
      <c r="Z31" s="95"/>
      <c r="AA31" s="95"/>
      <c r="AB31" s="95"/>
      <c r="AC31" s="95"/>
      <c r="AD31" s="95"/>
      <c r="AE31" s="95"/>
      <c r="AF31" s="95"/>
      <c r="AG31" s="95"/>
      <c r="AH31" s="95"/>
      <c r="AI31" s="95"/>
      <c r="AJ31" s="95"/>
      <c r="AK31" s="95"/>
      <c r="AL31" s="95"/>
      <c r="AM31" s="95"/>
      <c r="AN31" s="95"/>
      <c r="AO31" s="95"/>
      <c r="AP31" s="95"/>
      <c r="AQ31" s="95"/>
      <c r="AR31" s="95"/>
      <c r="AS31" s="95"/>
      <c r="AT31" s="95"/>
      <c r="AU31" s="95"/>
      <c r="AV31" s="95"/>
      <c r="AW31" s="95"/>
      <c r="AX31" s="100"/>
    </row>
    <row r="32" spans="1:50">
      <c r="A32" s="99"/>
      <c r="B32" s="89"/>
      <c r="C32" s="89" t="s">
        <v>120</v>
      </c>
      <c r="D32" s="89"/>
      <c r="E32" s="89"/>
      <c r="F32" s="89"/>
      <c r="G32" s="89"/>
      <c r="H32" s="89"/>
      <c r="I32" s="89"/>
      <c r="J32" s="89"/>
      <c r="K32" s="89"/>
      <c r="L32" s="89"/>
      <c r="M32" s="89"/>
      <c r="N32" s="89"/>
      <c r="O32" s="89"/>
      <c r="P32" s="89"/>
      <c r="Q32" s="95"/>
      <c r="R32" s="95"/>
      <c r="S32" s="95"/>
      <c r="T32" s="95"/>
      <c r="U32" s="95"/>
      <c r="V32" s="95"/>
      <c r="W32" s="95"/>
      <c r="X32" s="95"/>
      <c r="Y32" s="95"/>
      <c r="Z32" s="95"/>
      <c r="AA32" s="95"/>
      <c r="AB32" s="95"/>
      <c r="AC32" s="95"/>
      <c r="AD32" s="95"/>
      <c r="AE32" s="95"/>
      <c r="AF32" s="95"/>
      <c r="AG32" s="95"/>
      <c r="AH32" s="95"/>
      <c r="AI32" s="95"/>
      <c r="AJ32" s="95"/>
      <c r="AK32" s="95"/>
      <c r="AL32" s="95"/>
      <c r="AM32" s="95"/>
      <c r="AN32" s="95"/>
      <c r="AO32" s="95"/>
      <c r="AP32" s="95"/>
      <c r="AQ32" s="95"/>
      <c r="AR32" s="95"/>
      <c r="AS32" s="95"/>
      <c r="AT32" s="95"/>
      <c r="AU32" s="95"/>
      <c r="AV32" s="95"/>
      <c r="AW32" s="95"/>
      <c r="AX32" s="100"/>
    </row>
    <row r="33" spans="1:50">
      <c r="A33" s="99"/>
      <c r="B33" s="89"/>
      <c r="C33" s="89"/>
      <c r="D33" s="89"/>
      <c r="E33" s="89"/>
      <c r="F33" s="89"/>
      <c r="G33" s="89"/>
      <c r="H33" s="89"/>
      <c r="I33" s="89"/>
      <c r="J33" s="89"/>
      <c r="K33" s="89"/>
      <c r="L33" s="89"/>
      <c r="M33" s="89"/>
      <c r="N33" s="89"/>
      <c r="O33" s="89"/>
      <c r="P33" s="89"/>
      <c r="Q33" s="95"/>
      <c r="R33" s="95"/>
      <c r="S33" s="95"/>
      <c r="T33" s="95"/>
      <c r="U33" s="95"/>
      <c r="V33" s="95"/>
      <c r="W33" s="95"/>
      <c r="X33" s="95"/>
      <c r="Y33" s="95"/>
      <c r="Z33" s="95"/>
      <c r="AA33" s="95"/>
      <c r="AB33" s="95"/>
      <c r="AC33" s="95"/>
      <c r="AD33" s="95"/>
      <c r="AE33" s="95"/>
      <c r="AF33" s="95"/>
      <c r="AG33" s="95"/>
      <c r="AH33" s="95"/>
      <c r="AI33" s="95"/>
      <c r="AJ33" s="95"/>
      <c r="AK33" s="95"/>
      <c r="AL33" s="95"/>
      <c r="AM33" s="95"/>
      <c r="AN33" s="95"/>
      <c r="AO33" s="95"/>
      <c r="AP33" s="95"/>
      <c r="AQ33" s="95"/>
      <c r="AR33" s="95"/>
      <c r="AS33" s="95"/>
      <c r="AT33" s="95"/>
      <c r="AU33" s="95"/>
      <c r="AV33" s="95"/>
      <c r="AW33" s="95"/>
      <c r="AX33" s="100"/>
    </row>
    <row r="34" spans="1:50">
      <c r="A34" s="99"/>
      <c r="B34" s="89"/>
      <c r="C34" s="89" t="s">
        <v>128</v>
      </c>
      <c r="D34" s="89"/>
      <c r="E34" s="89"/>
      <c r="F34" s="89"/>
      <c r="G34" s="89"/>
      <c r="H34" s="89"/>
      <c r="I34" s="89"/>
      <c r="J34" s="89"/>
      <c r="K34" s="89"/>
      <c r="L34" s="89"/>
      <c r="M34" s="89"/>
      <c r="N34" s="89"/>
      <c r="O34" s="89"/>
      <c r="P34" s="89"/>
      <c r="Q34" s="95"/>
      <c r="R34" s="95"/>
      <c r="S34" s="95"/>
      <c r="T34" s="95"/>
      <c r="U34" s="95"/>
      <c r="V34" s="95"/>
      <c r="W34" s="95"/>
      <c r="X34" s="95"/>
      <c r="Y34" s="95"/>
      <c r="Z34" s="95"/>
      <c r="AA34" s="95"/>
      <c r="AB34" s="95"/>
      <c r="AC34" s="95"/>
      <c r="AD34" s="95"/>
      <c r="AE34" s="95"/>
      <c r="AF34" s="95"/>
      <c r="AG34" s="95"/>
      <c r="AH34" s="95"/>
      <c r="AI34" s="95"/>
      <c r="AJ34" s="95"/>
      <c r="AK34" s="95"/>
      <c r="AL34" s="95"/>
      <c r="AM34" s="95"/>
      <c r="AN34" s="95"/>
      <c r="AO34" s="95"/>
      <c r="AP34" s="95"/>
      <c r="AQ34" s="95"/>
      <c r="AR34" s="95"/>
      <c r="AS34" s="95"/>
      <c r="AT34" s="95"/>
      <c r="AU34" s="95"/>
      <c r="AV34" s="95"/>
      <c r="AW34" s="95"/>
      <c r="AX34" s="100"/>
    </row>
    <row r="35" spans="1:50">
      <c r="A35" s="99"/>
      <c r="B35" s="89"/>
      <c r="C35" s="89" t="s">
        <v>129</v>
      </c>
      <c r="D35" s="89"/>
      <c r="E35" s="89"/>
      <c r="F35" s="89"/>
      <c r="G35" s="89"/>
      <c r="H35" s="89"/>
      <c r="I35" s="89"/>
      <c r="J35" s="89"/>
      <c r="K35" s="89"/>
      <c r="L35" s="89"/>
      <c r="M35" s="89"/>
      <c r="N35" s="89"/>
      <c r="O35" s="89"/>
      <c r="P35" s="89"/>
      <c r="Q35" s="95"/>
      <c r="R35" s="95"/>
      <c r="S35" s="95"/>
      <c r="T35" s="95"/>
      <c r="U35" s="95"/>
      <c r="V35" s="95"/>
      <c r="W35" s="95"/>
      <c r="X35" s="95"/>
      <c r="Y35" s="95"/>
      <c r="Z35" s="95"/>
      <c r="AA35" s="95"/>
      <c r="AB35" s="95"/>
      <c r="AC35" s="95"/>
      <c r="AD35" s="95"/>
      <c r="AE35" s="95"/>
      <c r="AF35" s="95"/>
      <c r="AG35" s="95"/>
      <c r="AH35" s="95"/>
      <c r="AI35" s="95"/>
      <c r="AJ35" s="95"/>
      <c r="AK35" s="95"/>
      <c r="AL35" s="95"/>
      <c r="AM35" s="95"/>
      <c r="AN35" s="95"/>
      <c r="AO35" s="95"/>
      <c r="AP35" s="95"/>
      <c r="AQ35" s="95"/>
      <c r="AR35" s="95"/>
      <c r="AS35" s="95"/>
      <c r="AT35" s="95"/>
      <c r="AU35" s="95"/>
      <c r="AV35" s="95"/>
      <c r="AW35" s="95"/>
      <c r="AX35" s="100"/>
    </row>
    <row r="36" spans="1:50">
      <c r="A36" s="99"/>
      <c r="B36" s="89"/>
      <c r="C36" s="89"/>
      <c r="D36" s="89" t="s">
        <v>130</v>
      </c>
      <c r="E36" s="89"/>
      <c r="F36" s="89"/>
      <c r="G36" s="89"/>
      <c r="H36" s="89"/>
      <c r="I36" s="89"/>
      <c r="J36" s="89"/>
      <c r="K36" s="89"/>
      <c r="L36" s="89"/>
      <c r="M36" s="89"/>
      <c r="N36" s="89"/>
      <c r="O36" s="89"/>
      <c r="P36" s="89"/>
      <c r="Q36" s="95"/>
      <c r="R36" s="95"/>
      <c r="S36" s="95"/>
      <c r="T36" s="95"/>
      <c r="U36" s="95"/>
      <c r="V36" s="95"/>
      <c r="W36" s="95"/>
      <c r="X36" s="95"/>
      <c r="Y36" s="95"/>
      <c r="Z36" s="95"/>
      <c r="AA36" s="95"/>
      <c r="AB36" s="95"/>
      <c r="AC36" s="95"/>
      <c r="AD36" s="95"/>
      <c r="AE36" s="95"/>
      <c r="AF36" s="95"/>
      <c r="AG36" s="95"/>
      <c r="AH36" s="95"/>
      <c r="AI36" s="95"/>
      <c r="AJ36" s="95"/>
      <c r="AK36" s="95"/>
      <c r="AL36" s="95"/>
      <c r="AM36" s="95"/>
      <c r="AN36" s="95"/>
      <c r="AO36" s="95"/>
      <c r="AP36" s="95"/>
      <c r="AQ36" s="95"/>
      <c r="AR36" s="95"/>
      <c r="AS36" s="95"/>
      <c r="AT36" s="95"/>
      <c r="AU36" s="95"/>
      <c r="AV36" s="95"/>
      <c r="AW36" s="95"/>
      <c r="AX36" s="100"/>
    </row>
    <row r="37" spans="1:50">
      <c r="A37" s="99"/>
      <c r="B37" s="89"/>
      <c r="C37" s="89" t="s">
        <v>120</v>
      </c>
      <c r="D37" s="89"/>
      <c r="E37" s="89"/>
      <c r="F37" s="89"/>
      <c r="G37" s="89"/>
      <c r="H37" s="89"/>
      <c r="I37" s="89"/>
      <c r="J37" s="89"/>
      <c r="K37" s="89"/>
      <c r="L37" s="89"/>
      <c r="M37" s="89"/>
      <c r="N37" s="89"/>
      <c r="O37" s="89"/>
      <c r="P37" s="89"/>
      <c r="Q37" s="95"/>
      <c r="R37" s="95"/>
      <c r="S37" s="95"/>
      <c r="T37" s="95"/>
      <c r="U37" s="95"/>
      <c r="V37" s="95"/>
      <c r="W37" s="95"/>
      <c r="X37" s="95"/>
      <c r="Y37" s="95"/>
      <c r="Z37" s="95"/>
      <c r="AA37" s="95"/>
      <c r="AB37" s="95"/>
      <c r="AC37" s="95"/>
      <c r="AD37" s="95"/>
      <c r="AE37" s="95"/>
      <c r="AF37" s="95"/>
      <c r="AG37" s="95"/>
      <c r="AH37" s="95"/>
      <c r="AI37" s="95"/>
      <c r="AJ37" s="95"/>
      <c r="AK37" s="95"/>
      <c r="AL37" s="95"/>
      <c r="AM37" s="95"/>
      <c r="AN37" s="95"/>
      <c r="AO37" s="95"/>
      <c r="AP37" s="95"/>
      <c r="AQ37" s="95"/>
      <c r="AR37" s="95"/>
      <c r="AS37" s="95"/>
      <c r="AT37" s="95"/>
      <c r="AU37" s="95"/>
      <c r="AV37" s="95"/>
      <c r="AW37" s="95"/>
      <c r="AX37" s="100"/>
    </row>
    <row r="38" spans="1:50">
      <c r="A38" s="99"/>
      <c r="B38" s="89"/>
      <c r="C38" s="89"/>
      <c r="D38" s="89"/>
      <c r="E38" s="89"/>
      <c r="F38" s="89"/>
      <c r="G38" s="89"/>
      <c r="H38" s="89"/>
      <c r="I38" s="89"/>
      <c r="J38" s="89"/>
      <c r="K38" s="89"/>
      <c r="L38" s="89"/>
      <c r="M38" s="89"/>
      <c r="N38" s="89"/>
      <c r="O38" s="89"/>
      <c r="P38" s="89"/>
      <c r="Q38" s="95"/>
      <c r="R38" s="95"/>
      <c r="S38" s="95"/>
      <c r="T38" s="95"/>
      <c r="U38" s="95"/>
      <c r="V38" s="95"/>
      <c r="W38" s="95"/>
      <c r="X38" s="95"/>
      <c r="Y38" s="95"/>
      <c r="Z38" s="95"/>
      <c r="AA38" s="95"/>
      <c r="AB38" s="95"/>
      <c r="AC38" s="95"/>
      <c r="AD38" s="95"/>
      <c r="AE38" s="95"/>
      <c r="AF38" s="95"/>
      <c r="AG38" s="95"/>
      <c r="AH38" s="95"/>
      <c r="AI38" s="95"/>
      <c r="AJ38" s="95"/>
      <c r="AK38" s="95"/>
      <c r="AL38" s="95"/>
      <c r="AM38" s="95"/>
      <c r="AN38" s="95"/>
      <c r="AO38" s="95"/>
      <c r="AP38" s="95"/>
      <c r="AQ38" s="95"/>
      <c r="AR38" s="95"/>
      <c r="AS38" s="95"/>
      <c r="AT38" s="95"/>
      <c r="AU38" s="95"/>
      <c r="AV38" s="95"/>
      <c r="AW38" s="95"/>
      <c r="AX38" s="100"/>
    </row>
    <row r="39" spans="1:50">
      <c r="A39" s="99"/>
      <c r="B39" s="89"/>
      <c r="C39" s="89" t="s">
        <v>131</v>
      </c>
      <c r="D39" s="89"/>
      <c r="E39" s="89"/>
      <c r="F39" s="89"/>
      <c r="G39" s="89"/>
      <c r="H39" s="89"/>
      <c r="I39" s="89"/>
      <c r="J39" s="89"/>
      <c r="K39" s="89"/>
      <c r="L39" s="89"/>
      <c r="M39" s="89"/>
      <c r="N39" s="89"/>
      <c r="O39" s="89"/>
      <c r="P39" s="89"/>
      <c r="Q39" s="95"/>
      <c r="R39" s="95"/>
      <c r="S39" s="95"/>
      <c r="T39" s="95"/>
      <c r="U39" s="95"/>
      <c r="V39" s="95"/>
      <c r="W39" s="95"/>
      <c r="X39" s="95"/>
      <c r="Y39" s="95"/>
      <c r="Z39" s="95"/>
      <c r="AA39" s="95"/>
      <c r="AB39" s="95"/>
      <c r="AC39" s="95"/>
      <c r="AD39" s="95"/>
      <c r="AE39" s="95"/>
      <c r="AF39" s="95"/>
      <c r="AG39" s="95"/>
      <c r="AH39" s="95"/>
      <c r="AI39" s="95"/>
      <c r="AJ39" s="95"/>
      <c r="AK39" s="95"/>
      <c r="AL39" s="95"/>
      <c r="AM39" s="95"/>
      <c r="AN39" s="95"/>
      <c r="AO39" s="95"/>
      <c r="AP39" s="95"/>
      <c r="AQ39" s="95"/>
      <c r="AR39" s="95"/>
      <c r="AS39" s="95"/>
      <c r="AT39" s="95"/>
      <c r="AU39" s="95"/>
      <c r="AV39" s="95"/>
      <c r="AW39" s="95"/>
      <c r="AX39" s="100"/>
    </row>
    <row r="40" spans="1:50">
      <c r="A40" s="99"/>
      <c r="B40" s="89"/>
      <c r="C40" s="89" t="s">
        <v>132</v>
      </c>
      <c r="D40" s="89"/>
      <c r="E40" s="89"/>
      <c r="F40" s="89"/>
      <c r="G40" s="89"/>
      <c r="H40" s="89"/>
      <c r="I40" s="89"/>
      <c r="J40" s="89"/>
      <c r="K40" s="89"/>
      <c r="L40" s="89"/>
      <c r="M40" s="89"/>
      <c r="N40" s="89"/>
      <c r="O40" s="89"/>
      <c r="P40" s="89"/>
      <c r="Q40" s="95"/>
      <c r="R40" s="95"/>
      <c r="S40" s="95"/>
      <c r="T40" s="95"/>
      <c r="U40" s="95"/>
      <c r="V40" s="95"/>
      <c r="W40" s="95"/>
      <c r="X40" s="95"/>
      <c r="Y40" s="95"/>
      <c r="Z40" s="95"/>
      <c r="AA40" s="95"/>
      <c r="AB40" s="95"/>
      <c r="AC40" s="95"/>
      <c r="AD40" s="95"/>
      <c r="AE40" s="95"/>
      <c r="AF40" s="95"/>
      <c r="AG40" s="95"/>
      <c r="AH40" s="95"/>
      <c r="AI40" s="95"/>
      <c r="AJ40" s="95"/>
      <c r="AK40" s="95"/>
      <c r="AL40" s="95"/>
      <c r="AM40" s="95"/>
      <c r="AN40" s="95"/>
      <c r="AO40" s="95"/>
      <c r="AP40" s="95"/>
      <c r="AQ40" s="95"/>
      <c r="AR40" s="95"/>
      <c r="AS40" s="95"/>
      <c r="AT40" s="95"/>
      <c r="AU40" s="95"/>
      <c r="AV40" s="95"/>
      <c r="AW40" s="95"/>
      <c r="AX40" s="100"/>
    </row>
    <row r="41" spans="1:50">
      <c r="A41" s="99"/>
      <c r="B41" s="89"/>
      <c r="C41" s="89"/>
      <c r="D41" s="89" t="s">
        <v>133</v>
      </c>
      <c r="E41" s="89"/>
      <c r="F41" s="89"/>
      <c r="G41" s="89"/>
      <c r="H41" s="89"/>
      <c r="I41" s="89"/>
      <c r="J41" s="89"/>
      <c r="K41" s="89"/>
      <c r="L41" s="89"/>
      <c r="M41" s="89"/>
      <c r="N41" s="89"/>
      <c r="O41" s="89"/>
      <c r="P41" s="89"/>
      <c r="Q41" s="95"/>
      <c r="R41" s="95"/>
      <c r="S41" s="95"/>
      <c r="T41" s="95"/>
      <c r="U41" s="95"/>
      <c r="V41" s="95"/>
      <c r="W41" s="95"/>
      <c r="X41" s="95"/>
      <c r="Y41" s="95"/>
      <c r="Z41" s="95"/>
      <c r="AA41" s="95"/>
      <c r="AB41" s="95"/>
      <c r="AC41" s="95"/>
      <c r="AD41" s="95"/>
      <c r="AE41" s="95"/>
      <c r="AF41" s="95"/>
      <c r="AG41" s="95"/>
      <c r="AH41" s="95"/>
      <c r="AI41" s="95"/>
      <c r="AJ41" s="95"/>
      <c r="AK41" s="95"/>
      <c r="AL41" s="95"/>
      <c r="AM41" s="95"/>
      <c r="AN41" s="95"/>
      <c r="AO41" s="95"/>
      <c r="AP41" s="95"/>
      <c r="AQ41" s="95"/>
      <c r="AR41" s="95"/>
      <c r="AS41" s="95"/>
      <c r="AT41" s="95"/>
      <c r="AU41" s="95"/>
      <c r="AV41" s="95"/>
      <c r="AW41" s="95"/>
      <c r="AX41" s="100"/>
    </row>
    <row r="42" spans="1:50">
      <c r="A42" s="99"/>
      <c r="B42" s="89"/>
      <c r="C42" s="89"/>
      <c r="D42" s="89" t="s">
        <v>134</v>
      </c>
      <c r="E42" s="89"/>
      <c r="F42" s="89"/>
      <c r="G42" s="89"/>
      <c r="H42" s="89"/>
      <c r="I42" s="89"/>
      <c r="J42" s="89"/>
      <c r="K42" s="89"/>
      <c r="L42" s="89"/>
      <c r="M42" s="89"/>
      <c r="N42" s="89"/>
      <c r="O42" s="89"/>
      <c r="P42" s="89"/>
      <c r="Q42" s="95"/>
      <c r="R42" s="95"/>
      <c r="S42" s="95"/>
      <c r="T42" s="95"/>
      <c r="U42" s="95"/>
      <c r="V42" s="95"/>
      <c r="W42" s="95"/>
      <c r="X42" s="95"/>
      <c r="Y42" s="95"/>
      <c r="Z42" s="95"/>
      <c r="AA42" s="95"/>
      <c r="AB42" s="95"/>
      <c r="AC42" s="95"/>
      <c r="AD42" s="95"/>
      <c r="AE42" s="95"/>
      <c r="AF42" s="95"/>
      <c r="AG42" s="95"/>
      <c r="AH42" s="95"/>
      <c r="AI42" s="95"/>
      <c r="AJ42" s="95"/>
      <c r="AK42" s="95"/>
      <c r="AL42" s="95"/>
      <c r="AM42" s="95"/>
      <c r="AN42" s="95"/>
      <c r="AO42" s="95"/>
      <c r="AP42" s="95"/>
      <c r="AQ42" s="95"/>
      <c r="AR42" s="95"/>
      <c r="AS42" s="95"/>
      <c r="AT42" s="95"/>
      <c r="AU42" s="95"/>
      <c r="AV42" s="95"/>
      <c r="AW42" s="95"/>
      <c r="AX42" s="100"/>
    </row>
    <row r="43" spans="1:50">
      <c r="A43" s="99"/>
      <c r="B43" s="89"/>
      <c r="C43" s="89"/>
      <c r="D43" s="89"/>
      <c r="E43" s="89" t="s">
        <v>135</v>
      </c>
      <c r="F43" s="89"/>
      <c r="G43" s="89"/>
      <c r="H43" s="89"/>
      <c r="I43" s="89"/>
      <c r="J43" s="89"/>
      <c r="K43" s="89"/>
      <c r="L43" s="89"/>
      <c r="M43" s="89"/>
      <c r="N43" s="89"/>
      <c r="O43" s="89"/>
      <c r="P43" s="89"/>
      <c r="Q43" s="95"/>
      <c r="R43" s="95"/>
      <c r="S43" s="95"/>
      <c r="T43" s="95"/>
      <c r="U43" s="95"/>
      <c r="V43" s="95"/>
      <c r="W43" s="95"/>
      <c r="X43" s="95"/>
      <c r="Y43" s="95"/>
      <c r="Z43" s="95"/>
      <c r="AA43" s="95"/>
      <c r="AB43" s="95"/>
      <c r="AC43" s="95"/>
      <c r="AD43" s="95"/>
      <c r="AE43" s="95"/>
      <c r="AF43" s="95"/>
      <c r="AG43" s="95"/>
      <c r="AH43" s="95"/>
      <c r="AI43" s="95"/>
      <c r="AJ43" s="95"/>
      <c r="AK43" s="95"/>
      <c r="AL43" s="95"/>
      <c r="AM43" s="95"/>
      <c r="AN43" s="95"/>
      <c r="AO43" s="95"/>
      <c r="AP43" s="95"/>
      <c r="AQ43" s="95"/>
      <c r="AR43" s="95"/>
      <c r="AS43" s="95"/>
      <c r="AT43" s="95"/>
      <c r="AU43" s="95"/>
      <c r="AV43" s="95"/>
      <c r="AW43" s="95"/>
      <c r="AX43" s="100"/>
    </row>
    <row r="44" spans="1:50">
      <c r="A44" s="99"/>
      <c r="B44" s="89"/>
      <c r="C44" s="89"/>
      <c r="D44" s="89" t="s">
        <v>120</v>
      </c>
      <c r="E44" s="89"/>
      <c r="F44" s="89"/>
      <c r="G44" s="89"/>
      <c r="H44" s="89"/>
      <c r="I44" s="89"/>
      <c r="J44" s="89"/>
      <c r="K44" s="89"/>
      <c r="L44" s="89"/>
      <c r="M44" s="89"/>
      <c r="N44" s="89"/>
      <c r="O44" s="89"/>
      <c r="P44" s="89"/>
      <c r="Q44" s="95"/>
      <c r="R44" s="95"/>
      <c r="S44" s="95"/>
      <c r="T44" s="95"/>
      <c r="U44" s="95"/>
      <c r="V44" s="95"/>
      <c r="W44" s="95"/>
      <c r="X44" s="95"/>
      <c r="Y44" s="95"/>
      <c r="Z44" s="95"/>
      <c r="AA44" s="95"/>
      <c r="AB44" s="95"/>
      <c r="AC44" s="95"/>
      <c r="AD44" s="95"/>
      <c r="AE44" s="95"/>
      <c r="AF44" s="95"/>
      <c r="AG44" s="95"/>
      <c r="AH44" s="95"/>
      <c r="AI44" s="95"/>
      <c r="AJ44" s="95"/>
      <c r="AK44" s="95"/>
      <c r="AL44" s="95"/>
      <c r="AM44" s="95"/>
      <c r="AN44" s="95"/>
      <c r="AO44" s="95"/>
      <c r="AP44" s="95"/>
      <c r="AQ44" s="95"/>
      <c r="AR44" s="95"/>
      <c r="AS44" s="95"/>
      <c r="AT44" s="95"/>
      <c r="AU44" s="95"/>
      <c r="AV44" s="95"/>
      <c r="AW44" s="95"/>
      <c r="AX44" s="100"/>
    </row>
    <row r="45" spans="1:50">
      <c r="A45" s="99"/>
      <c r="B45" s="89"/>
      <c r="C45" s="89"/>
      <c r="D45" s="89" t="s">
        <v>136</v>
      </c>
      <c r="E45" s="89"/>
      <c r="F45" s="89"/>
      <c r="G45" s="89"/>
      <c r="H45" s="89"/>
      <c r="I45" s="89"/>
      <c r="J45" s="89"/>
      <c r="K45" s="89"/>
      <c r="L45" s="89"/>
      <c r="M45" s="89"/>
      <c r="N45" s="89"/>
      <c r="O45" s="89"/>
      <c r="P45" s="89"/>
      <c r="Q45" s="95"/>
      <c r="R45" s="95"/>
      <c r="S45" s="95"/>
      <c r="T45" s="95"/>
      <c r="U45" s="95"/>
      <c r="V45" s="95"/>
      <c r="W45" s="95"/>
      <c r="X45" s="95"/>
      <c r="Y45" s="95"/>
      <c r="Z45" s="95"/>
      <c r="AA45" s="95"/>
      <c r="AB45" s="95"/>
      <c r="AC45" s="95"/>
      <c r="AD45" s="95"/>
      <c r="AE45" s="95"/>
      <c r="AF45" s="95"/>
      <c r="AG45" s="95"/>
      <c r="AH45" s="95"/>
      <c r="AI45" s="95"/>
      <c r="AJ45" s="95"/>
      <c r="AK45" s="95"/>
      <c r="AL45" s="95"/>
      <c r="AM45" s="95"/>
      <c r="AN45" s="95"/>
      <c r="AO45" s="95"/>
      <c r="AP45" s="95"/>
      <c r="AQ45" s="95"/>
      <c r="AR45" s="95"/>
      <c r="AS45" s="95"/>
      <c r="AT45" s="95"/>
      <c r="AU45" s="95"/>
      <c r="AV45" s="95"/>
      <c r="AW45" s="95"/>
      <c r="AX45" s="100"/>
    </row>
    <row r="46" spans="1:50">
      <c r="A46" s="99"/>
      <c r="B46" s="89"/>
      <c r="C46" s="89"/>
      <c r="D46" s="89"/>
      <c r="E46" s="89" t="s">
        <v>137</v>
      </c>
      <c r="F46" s="89"/>
      <c r="G46" s="89"/>
      <c r="H46" s="89"/>
      <c r="I46" s="89"/>
      <c r="J46" s="89"/>
      <c r="K46" s="89"/>
      <c r="L46" s="89"/>
      <c r="M46" s="89"/>
      <c r="N46" s="89"/>
      <c r="O46" s="89"/>
      <c r="P46" s="89"/>
      <c r="Q46" s="95"/>
      <c r="R46" s="95"/>
      <c r="S46" s="95"/>
      <c r="T46" s="95"/>
      <c r="U46" s="95"/>
      <c r="V46" s="95"/>
      <c r="W46" s="95"/>
      <c r="X46" s="95"/>
      <c r="Y46" s="95"/>
      <c r="Z46" s="95"/>
      <c r="AA46" s="95"/>
      <c r="AB46" s="95"/>
      <c r="AC46" s="95"/>
      <c r="AD46" s="95"/>
      <c r="AE46" s="95"/>
      <c r="AF46" s="95"/>
      <c r="AG46" s="95"/>
      <c r="AH46" s="95"/>
      <c r="AI46" s="95"/>
      <c r="AJ46" s="95"/>
      <c r="AK46" s="95"/>
      <c r="AL46" s="95"/>
      <c r="AM46" s="95"/>
      <c r="AN46" s="95"/>
      <c r="AO46" s="95"/>
      <c r="AP46" s="95"/>
      <c r="AQ46" s="95"/>
      <c r="AR46" s="95"/>
      <c r="AS46" s="95"/>
      <c r="AT46" s="95"/>
      <c r="AU46" s="95"/>
      <c r="AV46" s="95"/>
      <c r="AW46" s="95"/>
      <c r="AX46" s="100"/>
    </row>
    <row r="47" spans="1:50">
      <c r="A47" s="99"/>
      <c r="B47" s="89"/>
      <c r="C47" s="89"/>
      <c r="D47" s="89" t="s">
        <v>120</v>
      </c>
      <c r="E47" s="89"/>
      <c r="F47" s="89"/>
      <c r="G47" s="89"/>
      <c r="H47" s="89"/>
      <c r="I47" s="89"/>
      <c r="J47" s="89"/>
      <c r="K47" s="89"/>
      <c r="L47" s="89"/>
      <c r="M47" s="89"/>
      <c r="N47" s="89"/>
      <c r="O47" s="89"/>
      <c r="P47" s="89"/>
      <c r="Q47" s="95"/>
      <c r="R47" s="95"/>
      <c r="S47" s="95"/>
      <c r="T47" s="95"/>
      <c r="U47" s="95"/>
      <c r="V47" s="95"/>
      <c r="W47" s="95"/>
      <c r="X47" s="95"/>
      <c r="Y47" s="95"/>
      <c r="Z47" s="95"/>
      <c r="AA47" s="95"/>
      <c r="AB47" s="95"/>
      <c r="AC47" s="95"/>
      <c r="AD47" s="95"/>
      <c r="AE47" s="95"/>
      <c r="AF47" s="95"/>
      <c r="AG47" s="95"/>
      <c r="AH47" s="95"/>
      <c r="AI47" s="95"/>
      <c r="AJ47" s="95"/>
      <c r="AK47" s="95"/>
      <c r="AL47" s="95"/>
      <c r="AM47" s="95"/>
      <c r="AN47" s="95"/>
      <c r="AO47" s="95"/>
      <c r="AP47" s="95"/>
      <c r="AQ47" s="95"/>
      <c r="AR47" s="95"/>
      <c r="AS47" s="95"/>
      <c r="AT47" s="95"/>
      <c r="AU47" s="95"/>
      <c r="AV47" s="95"/>
      <c r="AW47" s="95"/>
      <c r="AX47" s="100"/>
    </row>
    <row r="48" spans="1:50">
      <c r="A48" s="99"/>
      <c r="B48" s="89"/>
      <c r="C48" s="89"/>
      <c r="D48" s="89"/>
      <c r="E48" s="89"/>
      <c r="F48" s="89"/>
      <c r="G48" s="89"/>
      <c r="H48" s="89"/>
      <c r="I48" s="89"/>
      <c r="J48" s="89"/>
      <c r="K48" s="89"/>
      <c r="L48" s="89"/>
      <c r="M48" s="89"/>
      <c r="N48" s="89"/>
      <c r="O48" s="89"/>
      <c r="P48" s="89"/>
      <c r="Q48" s="95"/>
      <c r="R48" s="95"/>
      <c r="S48" s="95"/>
      <c r="T48" s="95"/>
      <c r="U48" s="95"/>
      <c r="V48" s="95"/>
      <c r="W48" s="95"/>
      <c r="X48" s="95"/>
      <c r="Y48" s="95"/>
      <c r="Z48" s="95"/>
      <c r="AA48" s="95"/>
      <c r="AB48" s="95"/>
      <c r="AC48" s="95"/>
      <c r="AD48" s="95"/>
      <c r="AE48" s="95"/>
      <c r="AF48" s="95"/>
      <c r="AG48" s="95"/>
      <c r="AH48" s="95"/>
      <c r="AI48" s="95"/>
      <c r="AJ48" s="95"/>
      <c r="AK48" s="95"/>
      <c r="AL48" s="95"/>
      <c r="AM48" s="95"/>
      <c r="AN48" s="95"/>
      <c r="AO48" s="95"/>
      <c r="AP48" s="95"/>
      <c r="AQ48" s="95"/>
      <c r="AR48" s="95"/>
      <c r="AS48" s="95"/>
      <c r="AT48" s="95"/>
      <c r="AU48" s="95"/>
      <c r="AV48" s="95"/>
      <c r="AW48" s="95"/>
      <c r="AX48" s="100"/>
    </row>
    <row r="49" spans="1:50">
      <c r="A49" s="99"/>
      <c r="B49" s="89"/>
      <c r="C49" s="89"/>
      <c r="D49" s="89" t="s">
        <v>138</v>
      </c>
      <c r="E49" s="89"/>
      <c r="F49" s="89"/>
      <c r="G49" s="89"/>
      <c r="H49" s="89"/>
      <c r="I49" s="89"/>
      <c r="J49" s="89"/>
      <c r="K49" s="89"/>
      <c r="L49" s="89"/>
      <c r="M49" s="89"/>
      <c r="N49" s="89"/>
      <c r="O49" s="89"/>
      <c r="P49" s="89"/>
      <c r="Q49" s="95"/>
      <c r="R49" s="95"/>
      <c r="S49" s="95"/>
      <c r="T49" s="95"/>
      <c r="U49" s="95"/>
      <c r="V49" s="95"/>
      <c r="W49" s="95"/>
      <c r="X49" s="95"/>
      <c r="Y49" s="95"/>
      <c r="Z49" s="95"/>
      <c r="AA49" s="95"/>
      <c r="AB49" s="95"/>
      <c r="AC49" s="95"/>
      <c r="AD49" s="95"/>
      <c r="AE49" s="95"/>
      <c r="AF49" s="95"/>
      <c r="AG49" s="95"/>
      <c r="AH49" s="95"/>
      <c r="AI49" s="95"/>
      <c r="AJ49" s="95"/>
      <c r="AK49" s="95"/>
      <c r="AL49" s="95"/>
      <c r="AM49" s="95"/>
      <c r="AN49" s="95"/>
      <c r="AO49" s="95"/>
      <c r="AP49" s="95"/>
      <c r="AQ49" s="95"/>
      <c r="AR49" s="95"/>
      <c r="AS49" s="95"/>
      <c r="AT49" s="95"/>
      <c r="AU49" s="95"/>
      <c r="AV49" s="95"/>
      <c r="AW49" s="95"/>
      <c r="AX49" s="100"/>
    </row>
    <row r="50" spans="1:50">
      <c r="A50" s="99"/>
      <c r="B50" s="89"/>
      <c r="C50" s="89"/>
      <c r="D50" s="89" t="s">
        <v>139</v>
      </c>
      <c r="E50" s="89"/>
      <c r="F50" s="89"/>
      <c r="G50" s="89"/>
      <c r="H50" s="89"/>
      <c r="I50" s="89"/>
      <c r="J50" s="89"/>
      <c r="K50" s="89"/>
      <c r="L50" s="89"/>
      <c r="M50" s="89"/>
      <c r="N50" s="89"/>
      <c r="O50" s="89"/>
      <c r="P50" s="89"/>
      <c r="Q50" s="95"/>
      <c r="R50" s="95"/>
      <c r="S50" s="95"/>
      <c r="T50" s="95"/>
      <c r="U50" s="95"/>
      <c r="V50" s="95"/>
      <c r="W50" s="95"/>
      <c r="X50" s="95"/>
      <c r="Y50" s="95"/>
      <c r="Z50" s="95"/>
      <c r="AA50" s="95"/>
      <c r="AB50" s="95"/>
      <c r="AC50" s="95"/>
      <c r="AD50" s="95"/>
      <c r="AE50" s="95"/>
      <c r="AF50" s="95"/>
      <c r="AG50" s="95"/>
      <c r="AH50" s="95"/>
      <c r="AI50" s="95"/>
      <c r="AJ50" s="95"/>
      <c r="AK50" s="95"/>
      <c r="AL50" s="95"/>
      <c r="AM50" s="95"/>
      <c r="AN50" s="95"/>
      <c r="AO50" s="95"/>
      <c r="AP50" s="95"/>
      <c r="AQ50" s="95"/>
      <c r="AR50" s="95"/>
      <c r="AS50" s="95"/>
      <c r="AT50" s="95"/>
      <c r="AU50" s="95"/>
      <c r="AV50" s="95"/>
      <c r="AW50" s="95"/>
      <c r="AX50" s="100"/>
    </row>
    <row r="51" spans="1:50">
      <c r="A51" s="99"/>
      <c r="B51" s="89"/>
      <c r="C51" s="89"/>
      <c r="D51" s="89"/>
      <c r="E51" s="89"/>
      <c r="F51" s="89"/>
      <c r="G51" s="89"/>
      <c r="H51" s="89"/>
      <c r="I51" s="89"/>
      <c r="J51" s="89"/>
      <c r="K51" s="89"/>
      <c r="L51" s="89"/>
      <c r="M51" s="89"/>
      <c r="N51" s="89"/>
      <c r="O51" s="89"/>
      <c r="P51" s="89"/>
      <c r="Q51" s="95"/>
      <c r="R51" s="95"/>
      <c r="S51" s="95"/>
      <c r="T51" s="95"/>
      <c r="U51" s="95"/>
      <c r="V51" s="95"/>
      <c r="W51" s="95"/>
      <c r="X51" s="95"/>
      <c r="Y51" s="95"/>
      <c r="Z51" s="95"/>
      <c r="AA51" s="95"/>
      <c r="AB51" s="95"/>
      <c r="AC51" s="95"/>
      <c r="AD51" s="95"/>
      <c r="AE51" s="95"/>
      <c r="AF51" s="95"/>
      <c r="AG51" s="95"/>
      <c r="AH51" s="95"/>
      <c r="AI51" s="95"/>
      <c r="AJ51" s="95"/>
      <c r="AK51" s="95"/>
      <c r="AL51" s="95"/>
      <c r="AM51" s="95"/>
      <c r="AN51" s="95"/>
      <c r="AO51" s="95"/>
      <c r="AP51" s="95"/>
      <c r="AQ51" s="95"/>
      <c r="AR51" s="95"/>
      <c r="AS51" s="95"/>
      <c r="AT51" s="95"/>
      <c r="AU51" s="95"/>
      <c r="AV51" s="95"/>
      <c r="AW51" s="95"/>
      <c r="AX51" s="100"/>
    </row>
    <row r="52" spans="1:50">
      <c r="A52" s="99"/>
      <c r="B52" s="89"/>
      <c r="C52" s="89"/>
      <c r="D52" s="89" t="s">
        <v>140</v>
      </c>
      <c r="E52" s="89"/>
      <c r="F52" s="89"/>
      <c r="G52" s="89"/>
      <c r="H52" s="89"/>
      <c r="I52" s="89"/>
      <c r="J52" s="89"/>
      <c r="K52" s="89"/>
      <c r="L52" s="89"/>
      <c r="M52" s="89"/>
      <c r="N52" s="89"/>
      <c r="O52" s="89"/>
      <c r="P52" s="89"/>
      <c r="Q52" s="95"/>
      <c r="R52" s="95"/>
      <c r="S52" s="95"/>
      <c r="T52" s="95"/>
      <c r="U52" s="95"/>
      <c r="V52" s="95"/>
      <c r="W52" s="95"/>
      <c r="X52" s="95"/>
      <c r="Y52" s="95"/>
      <c r="Z52" s="95"/>
      <c r="AA52" s="95"/>
      <c r="AB52" s="95"/>
      <c r="AC52" s="95"/>
      <c r="AD52" s="95"/>
      <c r="AE52" s="95"/>
      <c r="AF52" s="95"/>
      <c r="AG52" s="95"/>
      <c r="AH52" s="95"/>
      <c r="AI52" s="95"/>
      <c r="AJ52" s="95"/>
      <c r="AK52" s="95"/>
      <c r="AL52" s="95"/>
      <c r="AM52" s="95"/>
      <c r="AN52" s="95"/>
      <c r="AO52" s="95"/>
      <c r="AP52" s="95"/>
      <c r="AQ52" s="95"/>
      <c r="AR52" s="95"/>
      <c r="AS52" s="95"/>
      <c r="AT52" s="95"/>
      <c r="AU52" s="95"/>
      <c r="AV52" s="95"/>
      <c r="AW52" s="95"/>
      <c r="AX52" s="100"/>
    </row>
    <row r="53" spans="1:50">
      <c r="A53" s="99"/>
      <c r="B53" s="95"/>
      <c r="C53" s="95"/>
      <c r="D53" s="95"/>
      <c r="E53" s="95"/>
      <c r="F53" s="95"/>
      <c r="G53" s="95"/>
      <c r="H53" s="95"/>
      <c r="I53" s="95"/>
      <c r="J53" s="95"/>
      <c r="K53" s="95"/>
      <c r="L53" s="95"/>
      <c r="M53" s="95"/>
      <c r="N53" s="95"/>
      <c r="O53" s="95"/>
      <c r="P53" s="95"/>
      <c r="Q53" s="95"/>
      <c r="R53" s="95"/>
      <c r="S53" s="95"/>
      <c r="T53" s="95"/>
      <c r="U53" s="95"/>
      <c r="V53" s="95"/>
      <c r="W53" s="95"/>
      <c r="X53" s="95"/>
      <c r="Y53" s="95"/>
      <c r="Z53" s="95"/>
      <c r="AA53" s="95"/>
      <c r="AB53" s="95"/>
      <c r="AC53" s="95"/>
      <c r="AD53" s="95"/>
      <c r="AE53" s="95"/>
      <c r="AF53" s="95"/>
      <c r="AG53" s="95"/>
      <c r="AH53" s="95"/>
      <c r="AI53" s="95"/>
      <c r="AJ53" s="95"/>
      <c r="AK53" s="95"/>
      <c r="AL53" s="95"/>
      <c r="AM53" s="95"/>
      <c r="AN53" s="95"/>
      <c r="AO53" s="95"/>
      <c r="AP53" s="95"/>
      <c r="AQ53" s="95"/>
      <c r="AR53" s="95"/>
      <c r="AS53" s="95"/>
      <c r="AT53" s="95"/>
      <c r="AU53" s="95"/>
      <c r="AV53" s="95"/>
      <c r="AW53" s="95"/>
      <c r="AX53" s="100"/>
    </row>
    <row r="54" spans="1:50">
      <c r="A54" s="99"/>
      <c r="B54" s="95"/>
      <c r="C54" s="95"/>
      <c r="D54" s="95" t="s">
        <v>141</v>
      </c>
      <c r="E54" s="95"/>
      <c r="F54" s="95"/>
      <c r="G54" s="95"/>
      <c r="H54" s="95"/>
      <c r="I54" s="95"/>
      <c r="J54" s="95"/>
      <c r="K54" s="95"/>
      <c r="L54" s="95"/>
      <c r="M54" s="95"/>
      <c r="N54" s="95"/>
      <c r="O54" s="95"/>
      <c r="P54" s="95"/>
      <c r="Q54" s="95"/>
      <c r="R54" s="95"/>
      <c r="S54" s="95"/>
      <c r="T54" s="95"/>
      <c r="U54" s="95"/>
      <c r="V54" s="95"/>
      <c r="W54" s="95"/>
      <c r="X54" s="95"/>
      <c r="Y54" s="95"/>
      <c r="Z54" s="95"/>
      <c r="AA54" s="95"/>
      <c r="AB54" s="95"/>
      <c r="AC54" s="95"/>
      <c r="AD54" s="95"/>
      <c r="AE54" s="95"/>
      <c r="AF54" s="95"/>
      <c r="AG54" s="95"/>
      <c r="AH54" s="95"/>
      <c r="AI54" s="95"/>
      <c r="AJ54" s="95"/>
      <c r="AK54" s="95"/>
      <c r="AL54" s="95"/>
      <c r="AM54" s="95"/>
      <c r="AN54" s="95"/>
      <c r="AO54" s="95"/>
      <c r="AP54" s="95"/>
      <c r="AQ54" s="95"/>
      <c r="AR54" s="95"/>
      <c r="AS54" s="95"/>
      <c r="AT54" s="95"/>
      <c r="AU54" s="95"/>
      <c r="AV54" s="95"/>
      <c r="AW54" s="95"/>
      <c r="AX54" s="100"/>
    </row>
    <row r="55" spans="1:50">
      <c r="A55" s="99"/>
      <c r="B55" s="95"/>
      <c r="C55" s="95" t="s">
        <v>120</v>
      </c>
      <c r="D55" s="95"/>
      <c r="E55" s="95"/>
      <c r="F55" s="95"/>
      <c r="G55" s="95"/>
      <c r="H55" s="95"/>
      <c r="I55" s="95"/>
      <c r="J55" s="95"/>
      <c r="K55" s="95"/>
      <c r="L55" s="95"/>
      <c r="M55" s="95"/>
      <c r="N55" s="95"/>
      <c r="O55" s="95"/>
      <c r="P55" s="95"/>
      <c r="Q55" s="95"/>
      <c r="R55" s="95"/>
      <c r="S55" s="95"/>
      <c r="T55" s="95"/>
      <c r="U55" s="95"/>
      <c r="V55" s="95"/>
      <c r="W55" s="95"/>
      <c r="X55" s="95"/>
      <c r="Y55" s="95"/>
      <c r="Z55" s="95"/>
      <c r="AA55" s="95"/>
      <c r="AB55" s="95"/>
      <c r="AC55" s="95"/>
      <c r="AD55" s="95"/>
      <c r="AE55" s="95"/>
      <c r="AF55" s="95"/>
      <c r="AG55" s="95"/>
      <c r="AH55" s="95"/>
      <c r="AI55" s="95"/>
      <c r="AJ55" s="95"/>
      <c r="AK55" s="95"/>
      <c r="AL55" s="95"/>
      <c r="AM55" s="95"/>
      <c r="AN55" s="95"/>
      <c r="AO55" s="95"/>
      <c r="AP55" s="95"/>
      <c r="AQ55" s="95"/>
      <c r="AR55" s="95"/>
      <c r="AS55" s="95"/>
      <c r="AT55" s="95"/>
      <c r="AU55" s="95"/>
      <c r="AV55" s="95"/>
      <c r="AW55" s="95"/>
      <c r="AX55" s="100"/>
    </row>
    <row r="56" spans="1:50">
      <c r="A56" s="99"/>
      <c r="B56" s="95"/>
      <c r="C56" s="95"/>
      <c r="D56" s="95"/>
      <c r="E56" s="95"/>
      <c r="F56" s="95"/>
      <c r="G56" s="95"/>
      <c r="H56" s="95"/>
      <c r="I56" s="95"/>
      <c r="J56" s="95"/>
      <c r="K56" s="95"/>
      <c r="L56" s="95"/>
      <c r="M56" s="95"/>
      <c r="N56" s="95"/>
      <c r="O56" s="95"/>
      <c r="P56" s="95"/>
      <c r="Q56" s="95"/>
      <c r="R56" s="95"/>
      <c r="S56" s="95"/>
      <c r="T56" s="95"/>
      <c r="U56" s="95"/>
      <c r="V56" s="95"/>
      <c r="W56" s="95"/>
      <c r="X56" s="95"/>
      <c r="Y56" s="95"/>
      <c r="Z56" s="95"/>
      <c r="AA56" s="95"/>
      <c r="AB56" s="95"/>
      <c r="AC56" s="95"/>
      <c r="AD56" s="95"/>
      <c r="AE56" s="95"/>
      <c r="AF56" s="95"/>
      <c r="AG56" s="95"/>
      <c r="AH56" s="95"/>
      <c r="AI56" s="95"/>
      <c r="AJ56" s="95"/>
      <c r="AK56" s="95"/>
      <c r="AL56" s="95"/>
      <c r="AM56" s="95"/>
      <c r="AN56" s="95"/>
      <c r="AO56" s="95"/>
      <c r="AP56" s="95"/>
      <c r="AQ56" s="95"/>
      <c r="AR56" s="95"/>
      <c r="AS56" s="95"/>
      <c r="AT56" s="95"/>
      <c r="AU56" s="95"/>
      <c r="AV56" s="95"/>
      <c r="AW56" s="95"/>
      <c r="AX56" s="100"/>
    </row>
    <row r="57" spans="1:50">
      <c r="A57" s="99"/>
      <c r="B57" s="95"/>
      <c r="C57" s="95" t="s">
        <v>142</v>
      </c>
      <c r="D57" s="95"/>
      <c r="E57" s="95"/>
      <c r="F57" s="95"/>
      <c r="G57" s="95"/>
      <c r="H57" s="95"/>
      <c r="I57" s="95"/>
      <c r="J57" s="95"/>
      <c r="K57" s="95"/>
      <c r="L57" s="95"/>
      <c r="M57" s="95"/>
      <c r="N57" s="95"/>
      <c r="O57" s="95"/>
      <c r="P57" s="95"/>
      <c r="Q57" s="95"/>
      <c r="R57" s="95"/>
      <c r="S57" s="95"/>
      <c r="T57" s="95"/>
      <c r="U57" s="95"/>
      <c r="V57" s="95"/>
      <c r="W57" s="95"/>
      <c r="X57" s="95"/>
      <c r="Y57" s="95"/>
      <c r="Z57" s="95"/>
      <c r="AA57" s="95"/>
      <c r="AB57" s="95"/>
      <c r="AC57" s="95"/>
      <c r="AD57" s="95"/>
      <c r="AE57" s="95"/>
      <c r="AF57" s="95"/>
      <c r="AG57" s="95"/>
      <c r="AH57" s="95"/>
      <c r="AI57" s="95"/>
      <c r="AJ57" s="95"/>
      <c r="AK57" s="95"/>
      <c r="AL57" s="95"/>
      <c r="AM57" s="95"/>
      <c r="AN57" s="95"/>
      <c r="AO57" s="95"/>
      <c r="AP57" s="95"/>
      <c r="AQ57" s="95"/>
      <c r="AR57" s="95"/>
      <c r="AS57" s="95"/>
      <c r="AT57" s="95"/>
      <c r="AU57" s="95"/>
      <c r="AV57" s="95"/>
      <c r="AW57" s="95"/>
      <c r="AX57" s="100"/>
    </row>
    <row r="58" spans="1:50">
      <c r="A58" s="99"/>
      <c r="B58" s="95"/>
      <c r="C58" s="95" t="s">
        <v>143</v>
      </c>
      <c r="D58" s="95"/>
      <c r="E58" s="95"/>
      <c r="F58" s="95"/>
      <c r="G58" s="95"/>
      <c r="H58" s="95"/>
      <c r="I58" s="95"/>
      <c r="J58" s="95"/>
      <c r="K58" s="95"/>
      <c r="L58" s="95"/>
      <c r="M58" s="95"/>
      <c r="N58" s="95"/>
      <c r="O58" s="95"/>
      <c r="P58" s="95"/>
      <c r="Q58" s="95"/>
      <c r="R58" s="95"/>
      <c r="S58" s="95"/>
      <c r="T58" s="95"/>
      <c r="U58" s="95"/>
      <c r="V58" s="95"/>
      <c r="W58" s="95"/>
      <c r="X58" s="95"/>
      <c r="Y58" s="95"/>
      <c r="Z58" s="95"/>
      <c r="AA58" s="95"/>
      <c r="AB58" s="95"/>
      <c r="AC58" s="95"/>
      <c r="AD58" s="95"/>
      <c r="AE58" s="95"/>
      <c r="AF58" s="95"/>
      <c r="AG58" s="95"/>
      <c r="AH58" s="95"/>
      <c r="AI58" s="95"/>
      <c r="AJ58" s="95"/>
      <c r="AK58" s="95"/>
      <c r="AL58" s="95"/>
      <c r="AM58" s="95"/>
      <c r="AN58" s="95"/>
      <c r="AO58" s="95"/>
      <c r="AP58" s="95"/>
      <c r="AQ58" s="95"/>
      <c r="AR58" s="95"/>
      <c r="AS58" s="95"/>
      <c r="AT58" s="95"/>
      <c r="AU58" s="95"/>
      <c r="AV58" s="95"/>
      <c r="AW58" s="95"/>
      <c r="AX58" s="100"/>
    </row>
    <row r="59" spans="1:50">
      <c r="A59" s="99"/>
      <c r="B59" s="95"/>
      <c r="C59" s="95"/>
      <c r="D59" s="95" t="s">
        <v>144</v>
      </c>
      <c r="E59" s="95"/>
      <c r="F59" s="95"/>
      <c r="G59" s="95"/>
      <c r="H59" s="95"/>
      <c r="I59" s="95"/>
      <c r="J59" s="95"/>
      <c r="K59" s="95"/>
      <c r="L59" s="95"/>
      <c r="M59" s="95"/>
      <c r="N59" s="95"/>
      <c r="O59" s="95"/>
      <c r="P59" s="95"/>
      <c r="Q59" s="95"/>
      <c r="R59" s="95"/>
      <c r="S59" s="95"/>
      <c r="T59" s="95"/>
      <c r="U59" s="95"/>
      <c r="V59" s="95"/>
      <c r="W59" s="95"/>
      <c r="X59" s="95"/>
      <c r="Y59" s="95"/>
      <c r="Z59" s="95"/>
      <c r="AA59" s="95"/>
      <c r="AB59" s="95"/>
      <c r="AC59" s="95"/>
      <c r="AD59" s="95"/>
      <c r="AE59" s="95"/>
      <c r="AF59" s="95"/>
      <c r="AG59" s="95"/>
      <c r="AH59" s="95"/>
      <c r="AI59" s="95"/>
      <c r="AJ59" s="95"/>
      <c r="AK59" s="95"/>
      <c r="AL59" s="95"/>
      <c r="AM59" s="95"/>
      <c r="AN59" s="95"/>
      <c r="AO59" s="95"/>
      <c r="AP59" s="95"/>
      <c r="AQ59" s="95"/>
      <c r="AR59" s="95"/>
      <c r="AS59" s="95"/>
      <c r="AT59" s="95"/>
      <c r="AU59" s="95"/>
      <c r="AV59" s="95"/>
      <c r="AW59" s="95"/>
      <c r="AX59" s="100"/>
    </row>
    <row r="60" spans="1:50">
      <c r="A60" s="99"/>
      <c r="B60" s="95"/>
      <c r="C60" s="95"/>
      <c r="D60" s="95"/>
      <c r="E60" s="95" t="s">
        <v>145</v>
      </c>
      <c r="F60" s="95"/>
      <c r="G60" s="95"/>
      <c r="H60" s="95"/>
      <c r="I60" s="95"/>
      <c r="J60" s="95"/>
      <c r="K60" s="95"/>
      <c r="L60" s="95"/>
      <c r="M60" s="95"/>
      <c r="N60" s="95"/>
      <c r="O60" s="95"/>
      <c r="P60" s="95"/>
      <c r="Q60" s="95"/>
      <c r="R60" s="95"/>
      <c r="S60" s="95"/>
      <c r="T60" s="95"/>
      <c r="U60" s="95"/>
      <c r="V60" s="95"/>
      <c r="W60" s="95"/>
      <c r="X60" s="95"/>
      <c r="Y60" s="95"/>
      <c r="Z60" s="95"/>
      <c r="AA60" s="95"/>
      <c r="AB60" s="95"/>
      <c r="AC60" s="95"/>
      <c r="AD60" s="95"/>
      <c r="AE60" s="95"/>
      <c r="AF60" s="95"/>
      <c r="AG60" s="95"/>
      <c r="AH60" s="95"/>
      <c r="AI60" s="95"/>
      <c r="AJ60" s="95"/>
      <c r="AK60" s="95"/>
      <c r="AL60" s="95"/>
      <c r="AM60" s="95"/>
      <c r="AN60" s="95"/>
      <c r="AO60" s="95"/>
      <c r="AP60" s="95"/>
      <c r="AQ60" s="95"/>
      <c r="AR60" s="95"/>
      <c r="AS60" s="95"/>
      <c r="AT60" s="95"/>
      <c r="AU60" s="95"/>
      <c r="AV60" s="95"/>
      <c r="AW60" s="95"/>
      <c r="AX60" s="100"/>
    </row>
    <row r="61" spans="1:50">
      <c r="A61" s="99"/>
      <c r="B61" s="95"/>
      <c r="C61" s="95"/>
      <c r="D61" s="95" t="s">
        <v>120</v>
      </c>
      <c r="E61" s="95"/>
      <c r="F61" s="95"/>
      <c r="G61" s="95"/>
      <c r="H61" s="95"/>
      <c r="I61" s="95"/>
      <c r="J61" s="95"/>
      <c r="K61" s="95"/>
      <c r="L61" s="95"/>
      <c r="M61" s="95"/>
      <c r="N61" s="95"/>
      <c r="O61" s="95"/>
      <c r="P61" s="95"/>
      <c r="Q61" s="95"/>
      <c r="R61" s="95"/>
      <c r="S61" s="95"/>
      <c r="T61" s="95"/>
      <c r="U61" s="95"/>
      <c r="V61" s="95"/>
      <c r="W61" s="95"/>
      <c r="X61" s="95"/>
      <c r="Y61" s="95"/>
      <c r="Z61" s="95"/>
      <c r="AA61" s="95"/>
      <c r="AB61" s="95"/>
      <c r="AC61" s="95"/>
      <c r="AD61" s="95"/>
      <c r="AE61" s="95"/>
      <c r="AF61" s="95"/>
      <c r="AG61" s="95"/>
      <c r="AH61" s="95"/>
      <c r="AI61" s="95"/>
      <c r="AJ61" s="95"/>
      <c r="AK61" s="95"/>
      <c r="AL61" s="95"/>
      <c r="AM61" s="95"/>
      <c r="AN61" s="95"/>
      <c r="AO61" s="95"/>
      <c r="AP61" s="95"/>
      <c r="AQ61" s="95"/>
      <c r="AR61" s="95"/>
      <c r="AS61" s="95"/>
      <c r="AT61" s="95"/>
      <c r="AU61" s="95"/>
      <c r="AV61" s="95"/>
      <c r="AW61" s="95"/>
      <c r="AX61" s="100"/>
    </row>
    <row r="62" spans="1:50">
      <c r="A62" s="99"/>
      <c r="B62" s="95"/>
      <c r="C62" s="95"/>
      <c r="D62" s="95"/>
      <c r="E62" s="95"/>
      <c r="F62" s="95"/>
      <c r="G62" s="95"/>
      <c r="H62" s="95"/>
      <c r="I62" s="95"/>
      <c r="J62" s="95"/>
      <c r="K62" s="95"/>
      <c r="L62" s="95"/>
      <c r="M62" s="95"/>
      <c r="N62" s="95"/>
      <c r="O62" s="95"/>
      <c r="P62" s="95"/>
      <c r="Q62" s="95"/>
      <c r="R62" s="95"/>
      <c r="S62" s="95"/>
      <c r="T62" s="95"/>
      <c r="U62" s="95"/>
      <c r="V62" s="95"/>
      <c r="W62" s="95"/>
      <c r="X62" s="95"/>
      <c r="Y62" s="95"/>
      <c r="Z62" s="95"/>
      <c r="AA62" s="95"/>
      <c r="AB62" s="95"/>
      <c r="AC62" s="95"/>
      <c r="AD62" s="95"/>
      <c r="AE62" s="95"/>
      <c r="AF62" s="95"/>
      <c r="AG62" s="95"/>
      <c r="AH62" s="95"/>
      <c r="AI62" s="95"/>
      <c r="AJ62" s="95"/>
      <c r="AK62" s="95"/>
      <c r="AL62" s="95"/>
      <c r="AM62" s="95"/>
      <c r="AN62" s="95"/>
      <c r="AO62" s="95"/>
      <c r="AP62" s="95"/>
      <c r="AQ62" s="95"/>
      <c r="AR62" s="95"/>
      <c r="AS62" s="95"/>
      <c r="AT62" s="95"/>
      <c r="AU62" s="95"/>
      <c r="AV62" s="95"/>
      <c r="AW62" s="95"/>
      <c r="AX62" s="100"/>
    </row>
    <row r="63" spans="1:50">
      <c r="A63" s="99"/>
      <c r="B63" s="95"/>
      <c r="C63" s="95"/>
      <c r="D63" s="95" t="s">
        <v>142</v>
      </c>
      <c r="E63" s="95"/>
      <c r="F63" s="95"/>
      <c r="G63" s="95"/>
      <c r="H63" s="95"/>
      <c r="I63" s="95"/>
      <c r="J63" s="95"/>
      <c r="K63" s="95"/>
      <c r="L63" s="95"/>
      <c r="M63" s="95"/>
      <c r="N63" s="95"/>
      <c r="O63" s="95"/>
      <c r="P63" s="95"/>
      <c r="Q63" s="95"/>
      <c r="R63" s="95"/>
      <c r="S63" s="95"/>
      <c r="T63" s="95"/>
      <c r="U63" s="95"/>
      <c r="V63" s="95"/>
      <c r="W63" s="95"/>
      <c r="X63" s="95"/>
      <c r="Y63" s="95"/>
      <c r="Z63" s="95"/>
      <c r="AA63" s="95"/>
      <c r="AB63" s="95"/>
      <c r="AC63" s="95"/>
      <c r="AD63" s="95"/>
      <c r="AE63" s="95"/>
      <c r="AF63" s="95"/>
      <c r="AG63" s="95"/>
      <c r="AH63" s="95"/>
      <c r="AI63" s="95"/>
      <c r="AJ63" s="95"/>
      <c r="AK63" s="95"/>
      <c r="AL63" s="95"/>
      <c r="AM63" s="95"/>
      <c r="AN63" s="95"/>
      <c r="AO63" s="95"/>
      <c r="AP63" s="95"/>
      <c r="AQ63" s="95"/>
      <c r="AR63" s="95"/>
      <c r="AS63" s="95"/>
      <c r="AT63" s="95"/>
      <c r="AU63" s="95"/>
      <c r="AV63" s="95"/>
      <c r="AW63" s="95"/>
      <c r="AX63" s="100"/>
    </row>
    <row r="64" spans="1:50">
      <c r="A64" s="99"/>
      <c r="B64" s="95"/>
      <c r="C64" s="95"/>
      <c r="D64" s="95" t="s">
        <v>146</v>
      </c>
      <c r="E64" s="95"/>
      <c r="F64" s="95"/>
      <c r="G64" s="95"/>
      <c r="H64" s="95"/>
      <c r="I64" s="95"/>
      <c r="J64" s="95"/>
      <c r="K64" s="95"/>
      <c r="L64" s="95"/>
      <c r="M64" s="95"/>
      <c r="N64" s="95"/>
      <c r="O64" s="95"/>
      <c r="P64" s="95"/>
      <c r="Q64" s="95"/>
      <c r="R64" s="95"/>
      <c r="S64" s="95"/>
      <c r="T64" s="95"/>
      <c r="U64" s="95"/>
      <c r="V64" s="95"/>
      <c r="W64" s="95"/>
      <c r="X64" s="95"/>
      <c r="Y64" s="95"/>
      <c r="Z64" s="95"/>
      <c r="AA64" s="95"/>
      <c r="AB64" s="95"/>
      <c r="AC64" s="95"/>
      <c r="AD64" s="95"/>
      <c r="AE64" s="95"/>
      <c r="AF64" s="95"/>
      <c r="AG64" s="95"/>
      <c r="AH64" s="95"/>
      <c r="AI64" s="95"/>
      <c r="AJ64" s="95"/>
      <c r="AK64" s="95"/>
      <c r="AL64" s="95"/>
      <c r="AM64" s="95"/>
      <c r="AN64" s="95"/>
      <c r="AO64" s="95"/>
      <c r="AP64" s="95"/>
      <c r="AQ64" s="95"/>
      <c r="AR64" s="95"/>
      <c r="AS64" s="95"/>
      <c r="AT64" s="95"/>
      <c r="AU64" s="95"/>
      <c r="AV64" s="95"/>
      <c r="AW64" s="95"/>
      <c r="AX64" s="100"/>
    </row>
    <row r="65" spans="1:50">
      <c r="A65" s="99"/>
      <c r="B65" s="95"/>
      <c r="C65" s="95"/>
      <c r="D65" s="95"/>
      <c r="E65" s="95"/>
      <c r="F65" s="95"/>
      <c r="G65" s="95"/>
      <c r="H65" s="95"/>
      <c r="I65" s="95"/>
      <c r="J65" s="95"/>
      <c r="K65" s="95"/>
      <c r="L65" s="95"/>
      <c r="M65" s="95"/>
      <c r="N65" s="95"/>
      <c r="O65" s="95"/>
      <c r="P65" s="95"/>
      <c r="Q65" s="95"/>
      <c r="R65" s="95"/>
      <c r="S65" s="95"/>
      <c r="T65" s="95"/>
      <c r="U65" s="95"/>
      <c r="V65" s="95"/>
      <c r="W65" s="95"/>
      <c r="X65" s="95"/>
      <c r="Y65" s="95"/>
      <c r="Z65" s="95"/>
      <c r="AA65" s="95"/>
      <c r="AB65" s="95"/>
      <c r="AC65" s="95"/>
      <c r="AD65" s="95"/>
      <c r="AE65" s="95"/>
      <c r="AF65" s="95"/>
      <c r="AG65" s="95"/>
      <c r="AH65" s="95"/>
      <c r="AI65" s="95"/>
      <c r="AJ65" s="95"/>
      <c r="AK65" s="95"/>
      <c r="AL65" s="95"/>
      <c r="AM65" s="95"/>
      <c r="AN65" s="95"/>
      <c r="AO65" s="95"/>
      <c r="AP65" s="95"/>
      <c r="AQ65" s="95"/>
      <c r="AR65" s="95"/>
      <c r="AS65" s="95"/>
      <c r="AT65" s="95"/>
      <c r="AU65" s="95"/>
      <c r="AV65" s="95"/>
      <c r="AW65" s="95"/>
      <c r="AX65" s="100"/>
    </row>
    <row r="66" spans="1:50">
      <c r="A66" s="99"/>
      <c r="B66" s="95"/>
      <c r="C66" s="95"/>
      <c r="D66" s="95" t="s">
        <v>147</v>
      </c>
      <c r="E66" s="95"/>
      <c r="F66" s="95"/>
      <c r="G66" s="95"/>
      <c r="H66" s="95"/>
      <c r="I66" s="95"/>
      <c r="J66" s="95"/>
      <c r="K66" s="95"/>
      <c r="L66" s="95"/>
      <c r="M66" s="95"/>
      <c r="N66" s="95"/>
      <c r="O66" s="95"/>
      <c r="P66" s="95"/>
      <c r="Q66" s="95"/>
      <c r="R66" s="95"/>
      <c r="S66" s="95"/>
      <c r="T66" s="95"/>
      <c r="U66" s="95"/>
      <c r="V66" s="95"/>
      <c r="W66" s="95"/>
      <c r="X66" s="95"/>
      <c r="Y66" s="95"/>
      <c r="Z66" s="95"/>
      <c r="AA66" s="95"/>
      <c r="AB66" s="95"/>
      <c r="AC66" s="95"/>
      <c r="AD66" s="95"/>
      <c r="AE66" s="95"/>
      <c r="AF66" s="95"/>
      <c r="AG66" s="95"/>
      <c r="AH66" s="95"/>
      <c r="AI66" s="95"/>
      <c r="AJ66" s="95"/>
      <c r="AK66" s="95"/>
      <c r="AL66" s="95"/>
      <c r="AM66" s="95"/>
      <c r="AN66" s="95"/>
      <c r="AO66" s="95"/>
      <c r="AP66" s="95"/>
      <c r="AQ66" s="95"/>
      <c r="AR66" s="95"/>
      <c r="AS66" s="95"/>
      <c r="AT66" s="95"/>
      <c r="AU66" s="95"/>
      <c r="AV66" s="95"/>
      <c r="AW66" s="95"/>
      <c r="AX66" s="100"/>
    </row>
    <row r="67" spans="1:50">
      <c r="A67" s="99"/>
      <c r="B67" s="95"/>
      <c r="C67" s="95"/>
      <c r="D67" s="95" t="s">
        <v>148</v>
      </c>
      <c r="E67" s="95"/>
      <c r="F67" s="95"/>
      <c r="G67" s="95"/>
      <c r="H67" s="95"/>
      <c r="I67" s="95"/>
      <c r="J67" s="95"/>
      <c r="K67" s="95"/>
      <c r="L67" s="95"/>
      <c r="M67" s="95"/>
      <c r="N67" s="95"/>
      <c r="O67" s="95"/>
      <c r="P67" s="95"/>
      <c r="Q67" s="95"/>
      <c r="R67" s="95"/>
      <c r="S67" s="95"/>
      <c r="T67" s="95"/>
      <c r="U67" s="95"/>
      <c r="V67" s="95"/>
      <c r="W67" s="95"/>
      <c r="X67" s="95"/>
      <c r="Y67" s="95"/>
      <c r="Z67" s="95"/>
      <c r="AA67" s="95"/>
      <c r="AB67" s="95"/>
      <c r="AC67" s="95"/>
      <c r="AD67" s="95"/>
      <c r="AE67" s="95"/>
      <c r="AF67" s="95"/>
      <c r="AG67" s="95"/>
      <c r="AH67" s="95"/>
      <c r="AI67" s="95"/>
      <c r="AJ67" s="95"/>
      <c r="AK67" s="95"/>
      <c r="AL67" s="95"/>
      <c r="AM67" s="95"/>
      <c r="AN67" s="95"/>
      <c r="AO67" s="95"/>
      <c r="AP67" s="95"/>
      <c r="AQ67" s="95"/>
      <c r="AR67" s="95"/>
      <c r="AS67" s="95"/>
      <c r="AT67" s="95"/>
      <c r="AU67" s="95"/>
      <c r="AV67" s="95"/>
      <c r="AW67" s="95"/>
      <c r="AX67" s="100"/>
    </row>
    <row r="68" spans="1:50">
      <c r="A68" s="99"/>
      <c r="B68" s="95"/>
      <c r="C68" s="95" t="s">
        <v>120</v>
      </c>
      <c r="D68" s="95"/>
      <c r="E68" s="95"/>
      <c r="F68" s="95"/>
      <c r="G68" s="95"/>
      <c r="H68" s="95"/>
      <c r="I68" s="95"/>
      <c r="J68" s="95"/>
      <c r="K68" s="95"/>
      <c r="L68" s="95"/>
      <c r="M68" s="95"/>
      <c r="N68" s="95"/>
      <c r="O68" s="95"/>
      <c r="P68" s="95"/>
      <c r="Q68" s="95"/>
      <c r="R68" s="95"/>
      <c r="S68" s="95"/>
      <c r="T68" s="95"/>
      <c r="U68" s="95"/>
      <c r="V68" s="95"/>
      <c r="W68" s="95"/>
      <c r="X68" s="95"/>
      <c r="Y68" s="95"/>
      <c r="Z68" s="95"/>
      <c r="AA68" s="95"/>
      <c r="AB68" s="95"/>
      <c r="AC68" s="95"/>
      <c r="AD68" s="95"/>
      <c r="AE68" s="95"/>
      <c r="AF68" s="95"/>
      <c r="AG68" s="95"/>
      <c r="AH68" s="95"/>
      <c r="AI68" s="95"/>
      <c r="AJ68" s="95"/>
      <c r="AK68" s="95"/>
      <c r="AL68" s="95"/>
      <c r="AM68" s="95"/>
      <c r="AN68" s="95"/>
      <c r="AO68" s="95"/>
      <c r="AP68" s="95"/>
      <c r="AQ68" s="95"/>
      <c r="AR68" s="95"/>
      <c r="AS68" s="95"/>
      <c r="AT68" s="95"/>
      <c r="AU68" s="95"/>
      <c r="AV68" s="95"/>
      <c r="AW68" s="95"/>
      <c r="AX68" s="100"/>
    </row>
    <row r="69" spans="1:50" ht="12" thickBot="1">
      <c r="A69" s="101"/>
      <c r="B69" s="102"/>
      <c r="C69" s="102"/>
      <c r="D69" s="102"/>
      <c r="E69" s="102"/>
      <c r="F69" s="102"/>
      <c r="G69" s="102"/>
      <c r="H69" s="102"/>
      <c r="I69" s="102"/>
      <c r="J69" s="102"/>
      <c r="K69" s="102"/>
      <c r="L69" s="102"/>
      <c r="M69" s="102"/>
      <c r="N69" s="102"/>
      <c r="O69" s="102"/>
      <c r="P69" s="102"/>
      <c r="Q69" s="102"/>
      <c r="R69" s="102"/>
      <c r="S69" s="102"/>
      <c r="T69" s="102"/>
      <c r="U69" s="102"/>
      <c r="V69" s="102"/>
      <c r="W69" s="102"/>
      <c r="X69" s="102"/>
      <c r="Y69" s="102"/>
      <c r="Z69" s="102"/>
      <c r="AA69" s="102"/>
      <c r="AB69" s="102"/>
      <c r="AC69" s="102"/>
      <c r="AD69" s="102"/>
      <c r="AE69" s="102"/>
      <c r="AF69" s="102"/>
      <c r="AG69" s="102"/>
      <c r="AH69" s="102"/>
      <c r="AI69" s="102"/>
      <c r="AJ69" s="102"/>
      <c r="AK69" s="102"/>
      <c r="AL69" s="102"/>
      <c r="AM69" s="102"/>
      <c r="AN69" s="102"/>
      <c r="AO69" s="102"/>
      <c r="AP69" s="102"/>
      <c r="AQ69" s="102"/>
      <c r="AR69" s="102"/>
      <c r="AS69" s="102"/>
      <c r="AT69" s="102"/>
      <c r="AU69" s="102"/>
      <c r="AV69" s="102"/>
      <c r="AW69" s="102"/>
      <c r="AX69" s="103"/>
    </row>
  </sheetData>
  <mergeCells count="25">
    <mergeCell ref="AM1:AP1"/>
    <mergeCell ref="AQ1:AT1"/>
    <mergeCell ref="A1:G3"/>
    <mergeCell ref="H1:K1"/>
    <mergeCell ref="L1:R1"/>
    <mergeCell ref="S1:V1"/>
    <mergeCell ref="W1:AC1"/>
    <mergeCell ref="S3:V3"/>
    <mergeCell ref="W3:AL3"/>
    <mergeCell ref="AU1:AX1"/>
    <mergeCell ref="H2:K2"/>
    <mergeCell ref="L2:R2"/>
    <mergeCell ref="S2:V2"/>
    <mergeCell ref="W2:AC2"/>
    <mergeCell ref="AD2:AG2"/>
    <mergeCell ref="AH2:AL2"/>
    <mergeCell ref="AD1:AG1"/>
    <mergeCell ref="AM2:AP2"/>
    <mergeCell ref="AQ2:AT2"/>
    <mergeCell ref="AU2:AX3"/>
    <mergeCell ref="H3:K3"/>
    <mergeCell ref="L3:R3"/>
    <mergeCell ref="AM3:AP3"/>
    <mergeCell ref="AQ3:AT3"/>
    <mergeCell ref="AH1:AL1"/>
  </mergeCells>
  <phoneticPr fontId="2"/>
  <pageMargins left="0.39370078740157483" right="0.39370078740157483" top="0.51181102362204722" bottom="0.51181102362204722" header="0.31496062992125984" footer="0.31496062992125984"/>
  <pageSetup paperSize="9" fitToHeight="0" orientation="landscape" horizontalDpi="200" verticalDpi="200" r:id="rId1"/>
  <headerFooter alignWithMargins="0">
    <oddFooter>&amp;L(C)Toyo Business Engineering Corp.&amp;C&amp;P/&amp;N&amp;R&amp;7&amp;F / &amp;A</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A9DDBD72CCDCB042BDF63871C064BF58" ma:contentTypeVersion="16" ma:contentTypeDescription="新しいドキュメントを作成します。" ma:contentTypeScope="" ma:versionID="55ecae9a3613a801fef51e36178657f4">
  <xsd:schema xmlns:xsd="http://www.w3.org/2001/XMLSchema" xmlns:xs="http://www.w3.org/2001/XMLSchema" xmlns:p="http://schemas.microsoft.com/office/2006/metadata/properties" xmlns:ns2="276bdb53-d102-4a67-8437-273e78fbb7dc" xmlns:ns3="761a324b-5d78-44cf-b9f7-03e8b2a8fda7" targetNamespace="http://schemas.microsoft.com/office/2006/metadata/properties" ma:root="true" ma:fieldsID="26567e7d53ebc34937c31979a3ce91ce" ns2:_="" ns3:_="">
    <xsd:import namespace="276bdb53-d102-4a67-8437-273e78fbb7dc"/>
    <xsd:import namespace="761a324b-5d78-44cf-b9f7-03e8b2a8fda7"/>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2:SharedWithUsers" minOccurs="0"/>
                <xsd:element ref="ns2:SharedWithDetail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lcf76f155ced4ddcb4097134ff3c332f" minOccurs="0"/>
                <xsd:element ref="ns2:TaxCatchAll"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6bdb53-d102-4a67-8437-273e78fbb7dc" elementFormDefault="qualified">
    <xsd:import namespace="http://schemas.microsoft.com/office/2006/documentManagement/types"/>
    <xsd:import namespace="http://schemas.microsoft.com/office/infopath/2007/PartnerControls"/>
    <xsd:element name="_dlc_DocId" ma:index="8" nillable="true" ma:displayName="ドキュメント ID 値" ma:description="このアイテムに割り当てられているドキュメント ID の値です。" ma:indexed="true" ma:internalName="_dlc_DocId" ma:readOnly="true">
      <xsd:simpleType>
        <xsd:restriction base="dms:Text"/>
      </xsd:simpleType>
    </xsd:element>
    <xsd:element name="_dlc_DocIdUrl" ma:index="9" nillable="true" ma:displayName="ドキュメントID:" ma:description="このドキュメントへの常時接続リンクです。"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ID を保持" ma:description="追加時に ID を保持します。" ma:hidden="true" ma:internalName="_dlc_DocIdPersistId" ma:readOnly="true">
      <xsd:simpleType>
        <xsd:restriction base="dms:Boolean"/>
      </xsd:simpleType>
    </xsd:element>
    <xsd:element name="SharedWithUsers" ma:index="13"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共有相手の詳細情報" ma:internalName="SharedWithDetails" ma:readOnly="true">
      <xsd:simpleType>
        <xsd:restriction base="dms:Note">
          <xsd:maxLength value="255"/>
        </xsd:restriction>
      </xsd:simpleType>
    </xsd:element>
    <xsd:element name="TaxCatchAll" ma:index="22" nillable="true" ma:displayName="Taxonomy Catch All Column" ma:hidden="true" ma:list="{895f5552-8c0b-4e11-8abb-5e4d6c753bad}" ma:internalName="TaxCatchAll" ma:showField="CatchAllData" ma:web="276bdb53-d102-4a67-8437-273e78fbb7d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61a324b-5d78-44cf-b9f7-03e8b2a8fda7"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画像タグ" ma:readOnly="false" ma:fieldId="{5cf76f15-5ced-4ddc-b409-7134ff3c332f}" ma:taxonomyMulti="true" ma:sspId="9e8076fe-bb0c-488f-ac76-058e9f0b257c"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761a324b-5d78-44cf-b9f7-03e8b2a8fda7">
      <Terms xmlns="http://schemas.microsoft.com/office/infopath/2007/PartnerControls"/>
    </lcf76f155ced4ddcb4097134ff3c332f>
    <TaxCatchAll xmlns="276bdb53-d102-4a67-8437-273e78fbb7dc" xsi:nil="true"/>
    <_dlc_DocId xmlns="276bdb53-d102-4a67-8437-273e78fbb7dc">EVCTUWYQZQYC-538864054-23879</_dlc_DocId>
    <_dlc_DocIdUrl xmlns="276bdb53-d102-4a67-8437-273e78fbb7dc">
      <Url>https://mitsubishielectricgroup.sharepoint.com/sites/009989/_layouts/15/DocIdRedir.aspx?ID=EVCTUWYQZQYC-538864054-23879</Url>
      <Description>EVCTUWYQZQYC-538864054-23879</Description>
    </_dlc_DocIdUrl>
  </documentManagement>
</p:properties>
</file>

<file path=customXml/itemProps1.xml><?xml version="1.0" encoding="utf-8"?>
<ds:datastoreItem xmlns:ds="http://schemas.openxmlformats.org/officeDocument/2006/customXml" ds:itemID="{A1E24CA1-6488-4997-A5D3-1AFA652E735A}"/>
</file>

<file path=customXml/itemProps2.xml><?xml version="1.0" encoding="utf-8"?>
<ds:datastoreItem xmlns:ds="http://schemas.openxmlformats.org/officeDocument/2006/customXml" ds:itemID="{810B7311-5F05-4FAA-AA77-C0D6CA12CA56}"/>
</file>

<file path=customXml/itemProps3.xml><?xml version="1.0" encoding="utf-8"?>
<ds:datastoreItem xmlns:ds="http://schemas.openxmlformats.org/officeDocument/2006/customXml" ds:itemID="{7628F6E2-8123-429E-B66A-3C88E3A064E7}"/>
</file>

<file path=customXml/itemProps4.xml><?xml version="1.0" encoding="utf-8"?>
<ds:datastoreItem xmlns:ds="http://schemas.openxmlformats.org/officeDocument/2006/customXml" ds:itemID="{99DA2775-0132-4627-AD7B-E334917DD31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14</vt:i4>
      </vt:variant>
      <vt:variant>
        <vt:lpstr>名前付き一覧</vt:lpstr>
      </vt:variant>
      <vt:variant>
        <vt:i4>38</vt:i4>
      </vt:variant>
    </vt:vector>
  </HeadingPairs>
  <TitlesOfParts>
    <vt:vector size="52" baseType="lpstr">
      <vt:lpstr>表紙</vt:lpstr>
      <vt:lpstr>来歴</vt:lpstr>
      <vt:lpstr>承認票</vt:lpstr>
      <vt:lpstr>レビュー記録</vt:lpstr>
      <vt:lpstr>機能概要</vt:lpstr>
      <vt:lpstr>処理・サービス関連図</vt:lpstr>
      <vt:lpstr>更新入出力仕様</vt:lpstr>
      <vt:lpstr>メッセージ一覧</vt:lpstr>
      <vt:lpstr>補助説明書</vt:lpstr>
      <vt:lpstr>処理フロー</vt:lpstr>
      <vt:lpstr>処理詳細</vt:lpstr>
      <vt:lpstr>サービス呼出仕様</vt:lpstr>
      <vt:lpstr>電文項目仕様</vt:lpstr>
      <vt:lpstr>補足_バッチログ実装</vt:lpstr>
      <vt:lpstr>サービス呼出仕様!Print_Area</vt:lpstr>
      <vt:lpstr>レビュー記録!Print_Area</vt:lpstr>
      <vt:lpstr>処理・サービス関連図!Print_Area</vt:lpstr>
      <vt:lpstr>処理フロー!Print_Area</vt:lpstr>
      <vt:lpstr>処理詳細!Print_Area</vt:lpstr>
      <vt:lpstr>承認票!Print_Area</vt:lpstr>
      <vt:lpstr>電文項目仕様!Print_Area</vt:lpstr>
      <vt:lpstr>表紙!Print_Area</vt:lpstr>
      <vt:lpstr>補足_バッチログ実装!Print_Area</vt:lpstr>
      <vt:lpstr>来歴!Print_Area</vt:lpstr>
      <vt:lpstr>サービス呼出仕様!Print_Titles</vt:lpstr>
      <vt:lpstr>メッセージ一覧!Print_Titles</vt:lpstr>
      <vt:lpstr>レビュー記録!Print_Titles</vt:lpstr>
      <vt:lpstr>機能概要!Print_Titles</vt:lpstr>
      <vt:lpstr>更新入出力仕様!Print_Titles</vt:lpstr>
      <vt:lpstr>処理・サービス関連図!Print_Titles</vt:lpstr>
      <vt:lpstr>処理フロー!Print_Titles</vt:lpstr>
      <vt:lpstr>処理詳細!Print_Titles</vt:lpstr>
      <vt:lpstr>承認票!Print_Titles</vt:lpstr>
      <vt:lpstr>電文項目仕様!Print_Titles</vt:lpstr>
      <vt:lpstr>補助説明書!Print_Titles</vt:lpstr>
      <vt:lpstr>補足_バッチログ実装!Print_Titles</vt:lpstr>
      <vt:lpstr>来歴!Print_Titles</vt:lpstr>
      <vt:lpstr>Rev</vt:lpstr>
      <vt:lpstr>Version</vt:lpstr>
      <vt:lpstr>サブシステム</vt:lpstr>
      <vt:lpstr>システム</vt:lpstr>
      <vt:lpstr>プロジェクト名</vt:lpstr>
      <vt:lpstr>機能ID</vt:lpstr>
      <vt:lpstr>機能名</vt:lpstr>
      <vt:lpstr>顧客名</vt:lpstr>
      <vt:lpstr>作成者</vt:lpstr>
      <vt:lpstr>作成日</vt:lpstr>
      <vt:lpstr>修正者</vt:lpstr>
      <vt:lpstr>修正日</vt:lpstr>
      <vt:lpstr>分類ID</vt:lpstr>
      <vt:lpstr>分類名</vt:lpstr>
      <vt:lpstr>文書番号</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Itou Keita</cp:lastModifiedBy>
  <cp:lastPrinted>2017-09-25T04:06:39Z</cp:lastPrinted>
  <dcterms:created xsi:type="dcterms:W3CDTF">1997-01-08T22:48:59Z</dcterms:created>
  <dcterms:modified xsi:type="dcterms:W3CDTF">2019-07-30T07:43:42Z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0x010100A9DDBD72CCDCB042BDF63871C064BF58</vt:lpwstr>
  </property>
  <property fmtid="{D5CDD505-2E9C-101B-9397-08002B2CF9AE}" pid="3" name="_dlc_DocIdItemGuid">
    <vt:lpwstr>fdfb0af0-90c2-4712-b90d-9bcfb3f093cc</vt:lpwstr>
  </property>
</Properties>
</file>