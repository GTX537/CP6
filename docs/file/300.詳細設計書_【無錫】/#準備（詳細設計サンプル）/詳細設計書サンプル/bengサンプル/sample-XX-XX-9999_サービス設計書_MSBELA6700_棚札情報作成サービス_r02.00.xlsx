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drawings/drawing6.xml" ContentType="application/vnd.openxmlformats-officedocument.drawing+xml"/>
  <Override PartName="/xl/drawings/drawing7.xml" ContentType="application/vnd.openxmlformats-officedocument.drawing+xml"/>
  <Override PartName="/xl/drawings/drawing5.xml" ContentType="application/vnd.openxmlformats-officedocument.drawing+xml"/>
  <Override PartName="/xl/worksheets/sheet1.xml" ContentType="application/vnd.openxmlformats-officedocument.spreadsheetml.worksheet+xml"/>
  <Override PartName="/xl/drawings/drawing3.xml" ContentType="application/vnd.openxmlformats-officedocument.drawing+xml"/>
  <Override PartName="/xl/drawings/drawing1.xml" ContentType="application/vnd.openxmlformats-officedocument.drawing+xml"/>
  <Override PartName="/xl/sharedStrings.xml" ContentType="application/vnd.openxmlformats-officedocument.spreadsheetml.sharedStrings+xml"/>
  <Override PartName="/xl/drawings/drawing2.xml" ContentType="application/vnd.openxmlformats-officedocument.drawing+xml"/>
  <Override PartName="/xl/styles.xml" ContentType="application/vnd.openxmlformats-officedocument.spreadsheetml.styles+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drawings/drawing4.xml" ContentType="application/vnd.openxmlformats-officedocument.drawing+xml"/>
  <Override PartName="/xl/externalLinks/externalLink1.xml" ContentType="application/vnd.openxmlformats-officedocument.spreadsheetml.externalLink+xml"/>
  <Override PartName="/xl/comments1.xml" ContentType="application/vnd.openxmlformats-officedocument.spreadsheetml.comments+xml"/>
  <Override PartName="/docProps/app.xml" ContentType="application/vnd.openxmlformats-officedocument.extended-propertie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keita-itou\Desktop\【共通T作業】\mDOC\svn\branches\V1.1\sample\"/>
    </mc:Choice>
  </mc:AlternateContent>
  <bookViews>
    <workbookView xWindow="37035" yWindow="660" windowWidth="14835" windowHeight="6870" tabRatio="782" activeTab="3"/>
  </bookViews>
  <sheets>
    <sheet name="表紙" sheetId="1" r:id="rId1"/>
    <sheet name="来歴" sheetId="26" r:id="rId2"/>
    <sheet name="承認票" sheetId="27" r:id="rId3"/>
    <sheet name="レビュー記録" sheetId="31" r:id="rId4"/>
    <sheet name="機能概要" sheetId="14" r:id="rId5"/>
    <sheet name="処理フロー" sheetId="29" r:id="rId6"/>
    <sheet name="処理詳細" sheetId="22" r:id="rId7"/>
    <sheet name="電文項目仕様" sheetId="30" r:id="rId8"/>
  </sheets>
  <externalReferences>
    <externalReference r:id="rId9"/>
  </externalReferences>
  <definedNames>
    <definedName name="_xlnm.Print_Area" localSheetId="3">レビュー記録!$A$1:$I$47</definedName>
    <definedName name="_xlnm.Print_Area" localSheetId="5">処理フロー!$A$1:$AX$49</definedName>
    <definedName name="_xlnm.Print_Area" localSheetId="6">処理詳細!$A$1:$AX$122</definedName>
    <definedName name="_xlnm.Print_Area" localSheetId="2">承認票!$A$1:$I$47</definedName>
    <definedName name="_xlnm.Print_Area" localSheetId="7">電文項目仕様!$A$1:$E$47</definedName>
    <definedName name="_xlnm.Print_Area" localSheetId="0">表紙!$A$1:$AX$40</definedName>
    <definedName name="_xlnm.Print_Area" localSheetId="1">来歴!$A$1:$F$46</definedName>
    <definedName name="_xlnm.Print_Titles" localSheetId="3">レビュー記録!$4:$6</definedName>
    <definedName name="_xlnm.Print_Titles" localSheetId="4">機能概要!$1:$5</definedName>
    <definedName name="_xlnm.Print_Titles" localSheetId="5">処理フロー!$1:$5</definedName>
    <definedName name="_xlnm.Print_Titles" localSheetId="6">処理詳細!$1:$5</definedName>
    <definedName name="_xlnm.Print_Titles" localSheetId="2">承認票!$4:$6</definedName>
    <definedName name="_xlnm.Print_Titles" localSheetId="7">電文項目仕様!$4:$5</definedName>
    <definedName name="_xlnm.Print_Titles" localSheetId="1">来歴!$4:$5</definedName>
    <definedName name="Rev">表紙!$G$60</definedName>
    <definedName name="Version">表紙!$G$50</definedName>
    <definedName name="サブシステム">表紙!$G$51</definedName>
    <definedName name="システム">表紙!$G$49</definedName>
    <definedName name="プロジェクト名">表紙!$G$48</definedName>
    <definedName name="機能ID">表紙!$G$53</definedName>
    <definedName name="機能名">表紙!$G$55</definedName>
    <definedName name="顧客名">表紙!$G$47</definedName>
    <definedName name="作成者">表紙!$G$56</definedName>
    <definedName name="作成日">表紙!$G$58</definedName>
    <definedName name="修正者">表紙!$G$57</definedName>
    <definedName name="修正日">表紙!$G$59</definedName>
    <definedName name="分類ID">表紙!$G$52</definedName>
    <definedName name="分類名">表紙!$G$54</definedName>
    <definedName name="文書番号">表紙!$G$61</definedName>
  </definedNames>
  <calcPr calcId="162913" concurrentCalc="0"/>
</workbook>
</file>

<file path=xl/calcChain.xml><?xml version="1.0" encoding="utf-8"?>
<calcChain xmlns="http://schemas.openxmlformats.org/spreadsheetml/2006/main">
  <c r="BI69" i="1" l="1"/>
  <c r="BE69" i="1"/>
  <c r="BC69" i="1"/>
  <c r="BJ68" i="1"/>
  <c r="BI68" i="1"/>
  <c r="BG68" i="1"/>
  <c r="BE68" i="1"/>
  <c r="BC68" i="1"/>
  <c r="BI67" i="1"/>
  <c r="BG67" i="1"/>
  <c r="BE67" i="1"/>
  <c r="BC67" i="1"/>
  <c r="BI65" i="1"/>
  <c r="BE65" i="1"/>
  <c r="BC65" i="1"/>
  <c r="BJ64" i="1"/>
  <c r="BI64" i="1"/>
  <c r="BG64" i="1"/>
  <c r="BE64" i="1"/>
  <c r="BC64" i="1"/>
  <c r="BI63" i="1"/>
  <c r="BG63" i="1"/>
  <c r="BE63" i="1"/>
  <c r="BC63" i="1"/>
  <c r="BI61" i="1"/>
  <c r="BE61" i="1"/>
  <c r="BC61" i="1"/>
  <c r="BJ60" i="1"/>
  <c r="BI60" i="1"/>
  <c r="BG60" i="1"/>
  <c r="BE60" i="1"/>
  <c r="BC60" i="1"/>
  <c r="BI59" i="1"/>
  <c r="BG59" i="1"/>
  <c r="BE59" i="1"/>
  <c r="BC59" i="1"/>
  <c r="AQ3" i="29"/>
  <c r="W3" i="29"/>
  <c r="L3" i="29"/>
  <c r="AU2" i="29"/>
  <c r="AQ2" i="29"/>
  <c r="AH2" i="29"/>
  <c r="W2" i="29"/>
  <c r="L2" i="29"/>
  <c r="AQ1" i="29"/>
  <c r="AH1" i="29"/>
  <c r="W1" i="29"/>
  <c r="L1" i="29"/>
  <c r="G60" i="1"/>
  <c r="BI53" i="1"/>
  <c r="G59" i="1"/>
  <c r="BI56" i="1"/>
  <c r="G58" i="1"/>
  <c r="BE57" i="1"/>
  <c r="BC57" i="1"/>
  <c r="BJ56" i="1"/>
  <c r="BG56" i="1"/>
  <c r="BE56" i="1"/>
  <c r="BC56" i="1"/>
  <c r="BI55" i="1"/>
  <c r="BG55" i="1"/>
  <c r="BE55" i="1"/>
  <c r="BC55" i="1"/>
  <c r="BE53" i="1"/>
  <c r="BC53" i="1"/>
  <c r="BJ52" i="1"/>
  <c r="BG52" i="1"/>
  <c r="BE52" i="1"/>
  <c r="BC52" i="1"/>
  <c r="BI51" i="1"/>
  <c r="BG51" i="1"/>
  <c r="BE51" i="1"/>
  <c r="BC51" i="1"/>
  <c r="BE49" i="1"/>
  <c r="BC49" i="1"/>
  <c r="BJ48" i="1"/>
  <c r="BG48" i="1"/>
  <c r="BE48" i="1"/>
  <c r="BC48" i="1"/>
  <c r="BI47" i="1"/>
  <c r="BG47" i="1"/>
  <c r="BE47" i="1"/>
  <c r="BC47" i="1"/>
  <c r="BI57" i="1"/>
  <c r="BI49" i="1"/>
  <c r="BI48" i="1"/>
  <c r="BI52" i="1"/>
  <c r="V31" i="1"/>
  <c r="W3" i="22"/>
  <c r="L3" i="22"/>
  <c r="AU2" i="22"/>
  <c r="W2" i="22"/>
  <c r="L2" i="22"/>
  <c r="AH1" i="22"/>
  <c r="W1" i="22"/>
  <c r="L1" i="22"/>
  <c r="W3" i="14"/>
  <c r="L3" i="14"/>
  <c r="AU2" i="14"/>
  <c r="W2" i="14"/>
  <c r="L2" i="14"/>
  <c r="W1" i="14"/>
  <c r="L1" i="14"/>
  <c r="V30" i="1"/>
  <c r="AB29" i="1"/>
  <c r="V29" i="1"/>
  <c r="V28" i="1"/>
  <c r="V27" i="1"/>
  <c r="AL5" i="1"/>
  <c r="AF5" i="1"/>
  <c r="AQ1" i="22"/>
  <c r="AQ2" i="22"/>
  <c r="AQ3" i="22"/>
  <c r="AH2" i="22"/>
  <c r="AH1" i="14"/>
  <c r="AQ1" i="14"/>
  <c r="AQ2" i="14"/>
  <c r="AQ3" i="14"/>
  <c r="AH2" i="14"/>
  <c r="AR5" i="1"/>
</calcChain>
</file>

<file path=xl/comments1.xml><?xml version="1.0" encoding="utf-8"?>
<comments xmlns="http://schemas.openxmlformats.org/spreadsheetml/2006/main">
  <authors>
    <author>itadministrator</author>
  </authors>
  <commentList>
    <comment ref="H21" authorId="0" shapeId="0">
      <text>
        <r>
          <rPr>
            <b/>
            <sz val="9"/>
            <color indexed="81"/>
            <rFont val="ＭＳ Ｐゴシック"/>
            <family val="3"/>
            <charset val="128"/>
          </rPr>
          <t>新業務機能展開表との
紐付けを行う</t>
        </r>
        <r>
          <rPr>
            <sz val="9"/>
            <color indexed="81"/>
            <rFont val="ＭＳ Ｐゴシック"/>
            <family val="3"/>
            <charset val="128"/>
          </rPr>
          <t xml:space="preserve">
</t>
        </r>
      </text>
    </comment>
  </commentList>
</comments>
</file>

<file path=xl/comments2.xml><?xml version="1.0" encoding="utf-8"?>
<comments xmlns="http://schemas.openxmlformats.org/spreadsheetml/2006/main">
  <authors>
    <author>itadministrator</author>
    <author>Nakanishi Kazunori</author>
  </authors>
  <commentList>
    <comment ref="B5" authorId="0" shapeId="0">
      <text>
        <r>
          <rPr>
            <sz val="9"/>
            <color indexed="81"/>
            <rFont val="ＭＳ Ｐゴシック"/>
            <family val="3"/>
            <charset val="128"/>
          </rPr>
          <t>C：クライアント処理
S：サーバ処理</t>
        </r>
      </text>
    </comment>
    <comment ref="K5" authorId="1" shapeId="0">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AX5" authorId="1" shapeId="0">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3.xml><?xml version="1.0" encoding="utf-8"?>
<comments xmlns="http://schemas.openxmlformats.org/spreadsheetml/2006/main">
  <authors>
    <author>作成者</author>
  </authors>
  <commentList>
    <comment ref="F6" authorId="0" shapeId="0">
      <text>
        <r>
          <rPr>
            <b/>
            <sz val="9"/>
            <color indexed="81"/>
            <rFont val="MS P ゴシック"/>
            <family val="3"/>
            <charset val="128"/>
          </rPr>
          <t>更新カウンタチェック時に必須の項目が指定されているかどうかをチェックします。
行ステータスが新規以外の行をチェックする場合は「E」を指定します。
特定の行ステータスの行をチェックする場合は以下の通りに指定します（カンマ区切りで複数指定できます）。
・新規をチェックする場合：I
・更新をチェックする場合：U
・削除をチェックする場合：D
・ステータスなしをチェックする場合：N</t>
        </r>
      </text>
    </comment>
    <comment ref="G6" authorId="0" shapeId="0">
      <text>
        <r>
          <rPr>
            <b/>
            <sz val="9"/>
            <color indexed="81"/>
            <rFont val="MS P ゴシック"/>
            <family val="3"/>
            <charset val="128"/>
          </rPr>
          <t>必須の項目が指定されているかどうかをチェックします。
行ステータスが削除以外の行をチェックする場合は「E」を指定します。
特定の行ステータスの行をチェックする場合は以下の通りに指定します（カンマ区切りで複数指定できます）。
・新規をチェックする場合：I
・更新をチェックする場合：U
・削除をチェックする場合：D
・ステータスなしをチェックする場合：N</t>
        </r>
      </text>
    </comment>
    <comment ref="H6" authorId="0" shapeId="0">
      <text>
        <r>
          <rPr>
            <b/>
            <sz val="9"/>
            <color indexed="81"/>
            <rFont val="MS P ゴシック"/>
            <family val="3"/>
            <charset val="128"/>
          </rPr>
          <t>数値項目の値が適切かどうかをチェックします。
正の数が指定されているかをチェックする場合は「positive」を指定します。
0以外の数が指定されているかをチェックする場合は「notZero」を指定します。</t>
        </r>
      </text>
    </comment>
    <comment ref="I6" authorId="0" shapeId="0">
      <text>
        <r>
          <rPr>
            <b/>
            <sz val="9"/>
            <color indexed="81"/>
            <rFont val="MS P ゴシック"/>
            <family val="3"/>
            <charset val="128"/>
          </rPr>
          <t>数値項目の値が適切かどうかをチェックします。
値が指定した範囲かどうかをチェックする場合は「{下限}:{上限}」と指定します。</t>
        </r>
      </text>
    </comment>
    <comment ref="J6" authorId="0" shapeId="0">
      <text>
        <r>
          <rPr>
            <b/>
            <sz val="9"/>
            <color indexed="81"/>
            <rFont val="MS P ゴシック"/>
            <family val="3"/>
            <charset val="128"/>
          </rPr>
          <t>日付項目の値が適切かどうかをチェックします。
以下の通り指定します。
・運用日付以前：bfToday
・運用日付以降：afToday
・会社マスタの日付切替時間を考慮した日付が運用日付以前：tmBfToday</t>
        </r>
      </text>
    </comment>
    <comment ref="K6" authorId="0" shapeId="0">
      <text>
        <r>
          <rPr>
            <b/>
            <sz val="9"/>
            <color indexed="81"/>
            <rFont val="MS P ゴシック"/>
            <family val="3"/>
            <charset val="128"/>
          </rPr>
          <t>日付項目の値が、同じ行の別の項目と比較して適切かどうかをチェックします。
以下の通り指定します。
・グループ名:BF（過去の方）
・グループ名:AF（未来の方）</t>
        </r>
      </text>
    </comment>
    <comment ref="L6" authorId="0" shapeId="0">
      <text>
        <r>
          <rPr>
            <b/>
            <sz val="9"/>
            <color indexed="81"/>
            <rFont val="MS P ゴシック"/>
            <family val="3"/>
            <charset val="128"/>
          </rPr>
          <t>値が電話番号またはFAX番号として適切かどうかをチェックする場合は「TEL」を指定します。
値が郵便番号として適切かチェックする場合は「ZIP」を指定します。</t>
        </r>
      </text>
    </comment>
    <comment ref="M6" authorId="0" shapeId="0">
      <text>
        <r>
          <rPr>
            <b/>
            <sz val="9"/>
            <color indexed="81"/>
            <rFont val="MS P ゴシック"/>
            <family val="3"/>
            <charset val="128"/>
          </rPr>
          <t>他の行と重複した値になっていないかどうかをチェックします。重複チェックしたい項目または項目の組み合わせに任意のグループ名を指定します。</t>
        </r>
      </text>
    </comment>
    <comment ref="N6" authorId="0" shapeId="0">
      <text>
        <r>
          <rPr>
            <b/>
            <sz val="9"/>
            <color indexed="81"/>
            <rFont val="MS P ゴシック"/>
            <family val="3"/>
            <charset val="128"/>
          </rPr>
          <t>複数の項目の内1つだけ指定されているかどうかをチェックします。対象の項目に任意のグループ名を指定します。</t>
        </r>
      </text>
    </comment>
    <comment ref="O6" authorId="0" shapeId="0">
      <text>
        <r>
          <rPr>
            <b/>
            <sz val="9"/>
            <color indexed="81"/>
            <rFont val="MS P ゴシック"/>
            <family val="3"/>
            <charset val="128"/>
          </rPr>
          <t>複数の項目の内1つ以上指定されているかどうかをチェックします。対象の項目に任意のグループ名を指定します。</t>
        </r>
      </text>
    </comment>
    <comment ref="P6" authorId="0" shapeId="0">
      <text>
        <r>
          <rPr>
            <b/>
            <sz val="9"/>
            <color indexed="81"/>
            <rFont val="MS P ゴシック"/>
            <family val="3"/>
            <charset val="128"/>
          </rPr>
          <t xml:space="preserve">リストロジックを利用して、マスタの存在チェックおよび必要に応じて補完します。利用するリストロジックＩＤ、LIST_IN、LIST_OUT、LIST_IN_BASE、LIST_OUT_BASEを指定します。
記載形式
 [リストロジックＩＤ]
 【入力】
  [LIST_IN_BASE] : [LIST_IN] 
 【出力】
  [LIST_OUT_BASE] : [LIST_OUT] </t>
        </r>
      </text>
    </comment>
    <comment ref="Q6" authorId="0" shapeId="0">
      <text>
        <r>
          <rPr>
            <b/>
            <sz val="9"/>
            <color indexed="81"/>
            <rFont val="MS P ゴシック"/>
            <family val="3"/>
            <charset val="128"/>
          </rPr>
          <t>定数の存在チェックをします。チェックする定数の定数グループＩＤを指定します。
定数名を補完する場合は、定数名の項目名を定数の項目名＋「_nm」にします。</t>
        </r>
      </text>
    </comment>
    <comment ref="R6" authorId="0" shapeId="0">
      <text>
        <r>
          <rPr>
            <b/>
            <sz val="9"/>
            <color indexed="81"/>
            <rFont val="MS P ゴシック"/>
            <family val="3"/>
            <charset val="128"/>
          </rPr>
          <t>値が指定されていない時にnull文字を補完する場合は「E」を指定します。</t>
        </r>
      </text>
    </comment>
    <comment ref="S6" authorId="0" shapeId="0">
      <text>
        <r>
          <rPr>
            <b/>
            <sz val="9"/>
            <color indexed="81"/>
            <rFont val="MS P ゴシック"/>
            <family val="3"/>
            <charset val="128"/>
          </rPr>
          <t xml:space="preserve">更新前のデータのDACチェックを行う場合「E」を指定します。
</t>
        </r>
      </text>
    </comment>
    <comment ref="T6" authorId="0" shapeId="0">
      <text>
        <r>
          <rPr>
            <b/>
            <sz val="9"/>
            <color indexed="81"/>
            <rFont val="MS P ゴシック"/>
            <family val="3"/>
            <charset val="128"/>
          </rPr>
          <t xml:space="preserve">更新前のデータのDACチェックを行う場合「E」を指定します。
</t>
        </r>
      </text>
    </comment>
    <comment ref="U6" authorId="0" shapeId="0">
      <text>
        <r>
          <rPr>
            <b/>
            <sz val="9"/>
            <color indexed="81"/>
            <rFont val="MS P ゴシック"/>
            <family val="3"/>
            <charset val="128"/>
          </rPr>
          <t>その他、固有チェック処理がある場合は、内容を記載します。
複数ある場合は、列を分けます</t>
        </r>
      </text>
    </comment>
    <comment ref="B9" authorId="0" shapeId="0">
      <text>
        <r>
          <rPr>
            <b/>
            <sz val="9"/>
            <color indexed="81"/>
            <rFont val="MS P ゴシック"/>
            <family val="3"/>
            <charset val="128"/>
          </rPr>
          <t xml:space="preserve">ブロック名称は、
１文字目大文字２文字目以降半角、
単語の区切りの先頭文字は大文字
を推奨
　　例） Search / ResultList
</t>
        </r>
      </text>
    </comment>
    <comment ref="C9" authorId="0" shapeId="0">
      <text>
        <r>
          <rPr>
            <b/>
            <sz val="9"/>
            <color indexed="81"/>
            <rFont val="MS P ゴシック"/>
            <family val="3"/>
            <charset val="128"/>
          </rPr>
          <t xml:space="preserve">R : Row
L : List （Listクラスを生成しない）
GL : List （Listクラスを生成する）
</t>
        </r>
      </text>
    </comment>
    <comment ref="D9" authorId="0" shapeId="0">
      <text>
        <r>
          <rPr>
            <sz val="9"/>
            <color indexed="81"/>
            <rFont val="MS P ゴシック"/>
            <family val="3"/>
            <charset val="128"/>
          </rPr>
          <t xml:space="preserve">&lt;share&gt;
　コンテナ共有ができる（クラス共有）。
　「super/share」に$share$と記述し
　「対象ブロック」にブロック名を指定する。
　　記述方法）
　　　 オペレーションのブロック指定の場合
　　 　　 OPE:[ModuleID].[LogicID].[OperationID].[BlockID]
       DBコンテナのブロック指定の場合
　　　 　 DBC:[ModuleID].[DBTable名]
　　 　帳票のブロック指定の場合
　　 　　 RPR:[ModuleID].[LogicID].[ReportID].[BlockID]
　※ 先頭の「機能種別」（OPE: / DBC: / RPR:）を省略した場合には
　　　"OPE:"が指定されたものとして自動生成を行う。
&lt;super&gt;
　継承を利用してコンテナを定義する。
　「super/share」に$super$と記述し
　「対象ブロック」に継承するブロック名を指定する。
　　記述方法１ （ID指定）
　　　[機能種別]:[ModuleID].[LogicID].[OperationID].[BlockID]
　　　※ [機能種別]については上の&lt;share&gt;と同様のルール
　　記述方法２ （クラス直接指定）
　　　"[RowのSuperクラスのFullPath]"
　　ブロックが"GL"の場合
　　　"[RowのSuperクラスのFullPath],[ListのSuperクラスのFullPath]"
</t>
        </r>
      </text>
    </comment>
    <comment ref="F21" authorId="0" shapeId="0">
      <text>
        <r>
          <rPr>
            <b/>
            <sz val="9"/>
            <color indexed="81"/>
            <rFont val="MS P ゴシック"/>
            <family val="3"/>
            <charset val="128"/>
          </rPr>
          <t>更新カウンタチェック時に必須の項目が指定されているかどうかをチェックします。
行ステータスが新規以外の行をチェックする場合は「E」を指定します。
特定の行ステータスの行をチェックする場合は以下の通りに指定します（カンマ区切りで複数指定できます）。
・新規をチェックする場合：I
・更新をチェックする場合：U
・削除をチェックする場合：D
・ステータスなしをチェックする場合：N</t>
        </r>
      </text>
    </comment>
    <comment ref="G21" authorId="0" shapeId="0">
      <text>
        <r>
          <rPr>
            <b/>
            <sz val="9"/>
            <color indexed="81"/>
            <rFont val="MS P ゴシック"/>
            <family val="3"/>
            <charset val="128"/>
          </rPr>
          <t>必須の項目が指定されているかどうかをチェックします。
行ステータスが削除以外の行をチェックする場合は「E」を指定します。
特定の行ステータスの行をチェックする場合は以下の通りに指定します（カンマ区切りで複数指定できます）。
・新規をチェックする場合：I
・更新をチェックする場合：U
・削除をチェックする場合：D
・ステータスなしをチェックする場合：N</t>
        </r>
      </text>
    </comment>
    <comment ref="H21" authorId="0" shapeId="0">
      <text>
        <r>
          <rPr>
            <b/>
            <sz val="9"/>
            <color indexed="81"/>
            <rFont val="MS P ゴシック"/>
            <family val="3"/>
            <charset val="128"/>
          </rPr>
          <t>数値項目の値が適切かどうかをチェックします。
正の数が指定されているかをチェックする場合は「positive」を指定します。
0以外の数が指定されているかをチェックする場合は「notZero」を指定します。</t>
        </r>
      </text>
    </comment>
    <comment ref="I21" authorId="0" shapeId="0">
      <text>
        <r>
          <rPr>
            <b/>
            <sz val="9"/>
            <color indexed="81"/>
            <rFont val="MS P ゴシック"/>
            <family val="3"/>
            <charset val="128"/>
          </rPr>
          <t>数値項目の値が適切かどうかをチェックします。
値が指定した範囲かどうかをチェックする場合は「{下限}:{上限}」と指定します。</t>
        </r>
      </text>
    </comment>
    <comment ref="J21" authorId="0" shapeId="0">
      <text>
        <r>
          <rPr>
            <b/>
            <sz val="9"/>
            <color indexed="81"/>
            <rFont val="MS P ゴシック"/>
            <family val="3"/>
            <charset val="128"/>
          </rPr>
          <t>日付項目の値が適切かどうかをチェックします。
以下の通り指定します。
・運用日付以前：bfToday
・運用日付以降：afToday
・会社マスタの日付切替時間を考慮した日付が運用日付以前：tmBfToday</t>
        </r>
      </text>
    </comment>
    <comment ref="K21" authorId="0" shapeId="0">
      <text>
        <r>
          <rPr>
            <b/>
            <sz val="9"/>
            <color indexed="81"/>
            <rFont val="MS P ゴシック"/>
            <family val="3"/>
            <charset val="128"/>
          </rPr>
          <t>日付項目の値が、同じ行の別の項目と比較して適切かどうかをチェックします。
以下の通り指定します。
・グループ名:BF（過去の方）
・グループ名:AF（未来の方）</t>
        </r>
      </text>
    </comment>
    <comment ref="L21" authorId="0" shapeId="0">
      <text>
        <r>
          <rPr>
            <b/>
            <sz val="9"/>
            <color indexed="81"/>
            <rFont val="MS P ゴシック"/>
            <family val="3"/>
            <charset val="128"/>
          </rPr>
          <t>値が電話番号またはFAX番号として適切かどうかをチェックする場合は「TEL」を指定します。
値が郵便番号として適切かチェックする場合は「ZIP」を指定します。</t>
        </r>
      </text>
    </comment>
    <comment ref="M21" authorId="0" shapeId="0">
      <text>
        <r>
          <rPr>
            <b/>
            <sz val="9"/>
            <color indexed="81"/>
            <rFont val="MS P ゴシック"/>
            <family val="3"/>
            <charset val="128"/>
          </rPr>
          <t>他の行と重複した値になっていないかどうかをチェックします。重複チェックしたい項目または項目の組み合わせに任意のグループ名を指定します。</t>
        </r>
      </text>
    </comment>
    <comment ref="N21" authorId="0" shapeId="0">
      <text>
        <r>
          <rPr>
            <b/>
            <sz val="9"/>
            <color indexed="81"/>
            <rFont val="MS P ゴシック"/>
            <family val="3"/>
            <charset val="128"/>
          </rPr>
          <t>複数の項目の内1つだけ指定されているかどうかをチェックします。対象の項目に任意のグループ名を指定します。</t>
        </r>
      </text>
    </comment>
    <comment ref="O21" authorId="0" shapeId="0">
      <text>
        <r>
          <rPr>
            <b/>
            <sz val="9"/>
            <color indexed="81"/>
            <rFont val="MS P ゴシック"/>
            <family val="3"/>
            <charset val="128"/>
          </rPr>
          <t>複数の項目の内1つ以上指定されているかどうかをチェックします。対象の項目に任意のグループ名を指定します。</t>
        </r>
      </text>
    </comment>
    <comment ref="P21" authorId="0" shapeId="0">
      <text>
        <r>
          <rPr>
            <b/>
            <sz val="9"/>
            <color indexed="81"/>
            <rFont val="MS P ゴシック"/>
            <family val="3"/>
            <charset val="128"/>
          </rPr>
          <t xml:space="preserve">リストロジックを利用して、マスタの存在チェックおよび必要に応じて補完します。利用するリストロジックＩＤ、LIST_IN、LIST_OUT、LIST_IN_BASE、LIST_OUT_BASEを指定します。
記載形式
 [リストロジックＩＤ]
 【入力】
  [LIST_IN_BASE] : [LIST_IN] 
 【出力】
  [LIST_OUT_BASE] : [LIST_OUT] </t>
        </r>
      </text>
    </comment>
    <comment ref="Q21" authorId="0" shapeId="0">
      <text>
        <r>
          <rPr>
            <b/>
            <sz val="9"/>
            <color indexed="81"/>
            <rFont val="MS P ゴシック"/>
            <family val="3"/>
            <charset val="128"/>
          </rPr>
          <t>定数の存在チェックをします。チェックする定数の定数グループＩＤを指定します。
定数名を補完する場合は、定数名の項目名を定数の項目名＋「_nm」にします。</t>
        </r>
      </text>
    </comment>
    <comment ref="R21" authorId="0" shapeId="0">
      <text>
        <r>
          <rPr>
            <b/>
            <sz val="9"/>
            <color indexed="81"/>
            <rFont val="MS P ゴシック"/>
            <family val="3"/>
            <charset val="128"/>
          </rPr>
          <t>値が指定されていない時にnull文字を補完する場合は「E」を指定します。</t>
        </r>
      </text>
    </comment>
    <comment ref="S21" authorId="0" shapeId="0">
      <text>
        <r>
          <rPr>
            <b/>
            <sz val="9"/>
            <color indexed="81"/>
            <rFont val="MS P ゴシック"/>
            <family val="3"/>
            <charset val="128"/>
          </rPr>
          <t xml:space="preserve">更新前のデータのDACチェックを行う場合「E」を指定します。
</t>
        </r>
      </text>
    </comment>
    <comment ref="T21" authorId="0" shapeId="0">
      <text>
        <r>
          <rPr>
            <b/>
            <sz val="9"/>
            <color indexed="81"/>
            <rFont val="MS P ゴシック"/>
            <family val="3"/>
            <charset val="128"/>
          </rPr>
          <t xml:space="preserve">更新前のデータのDACチェックを行う場合「E」を指定します。
</t>
        </r>
      </text>
    </comment>
    <comment ref="U21" authorId="0" shapeId="0">
      <text>
        <r>
          <rPr>
            <b/>
            <sz val="9"/>
            <color indexed="81"/>
            <rFont val="MS P ゴシック"/>
            <family val="3"/>
            <charset val="128"/>
          </rPr>
          <t>その他、固有チェック処理がある場合は、内容を記載します。
複数ある場合は、列を分けます</t>
        </r>
      </text>
    </comment>
  </commentList>
</comments>
</file>

<file path=xl/sharedStrings.xml><?xml version="1.0" encoding="utf-8"?>
<sst xmlns="http://schemas.openxmlformats.org/spreadsheetml/2006/main" count="541" uniqueCount="325">
  <si>
    <t>文書番号</t>
    <rPh sb="0" eb="2">
      <t>ブンショ</t>
    </rPh>
    <rPh sb="2" eb="4">
      <t>バンゴウ</t>
    </rPh>
    <phoneticPr fontId="1"/>
  </si>
  <si>
    <t>Revision</t>
    <phoneticPr fontId="1"/>
  </si>
  <si>
    <t>顧客名</t>
    <rPh sb="0" eb="2">
      <t>コキャク</t>
    </rPh>
    <rPh sb="2" eb="3">
      <t>メイ</t>
    </rPh>
    <phoneticPr fontId="1"/>
  </si>
  <si>
    <t>プロジェクト名</t>
    <rPh sb="6" eb="7">
      <t>メイ</t>
    </rPh>
    <phoneticPr fontId="1"/>
  </si>
  <si>
    <t>分類ID/機能ID</t>
    <rPh sb="0" eb="2">
      <t>ブンルイ</t>
    </rPh>
    <rPh sb="5" eb="7">
      <t>キノウ</t>
    </rPh>
    <phoneticPr fontId="1"/>
  </si>
  <si>
    <t>分類名</t>
    <rPh sb="0" eb="2">
      <t>ブンルイ</t>
    </rPh>
    <rPh sb="2" eb="3">
      <t>メイ</t>
    </rPh>
    <phoneticPr fontId="1"/>
  </si>
  <si>
    <t>機能名</t>
    <rPh sb="0" eb="3">
      <t>キノウメイ</t>
    </rPh>
    <phoneticPr fontId="1"/>
  </si>
  <si>
    <t>作成者</t>
    <rPh sb="0" eb="3">
      <t>サクセイシャ</t>
    </rPh>
    <phoneticPr fontId="2"/>
  </si>
  <si>
    <t>作成日</t>
    <rPh sb="0" eb="3">
      <t>サクセイビ</t>
    </rPh>
    <phoneticPr fontId="2"/>
  </si>
  <si>
    <t>修正者</t>
    <rPh sb="0" eb="2">
      <t>シュウセイ</t>
    </rPh>
    <rPh sb="2" eb="3">
      <t>シャ</t>
    </rPh>
    <phoneticPr fontId="1"/>
  </si>
  <si>
    <t>修正日</t>
    <rPh sb="0" eb="2">
      <t>シュウセイ</t>
    </rPh>
    <rPh sb="2" eb="3">
      <t>ビ</t>
    </rPh>
    <phoneticPr fontId="1"/>
  </si>
  <si>
    <t>Rev.</t>
  </si>
  <si>
    <t>機能ID</t>
    <rPh sb="0" eb="2">
      <t>キノウ</t>
    </rPh>
    <phoneticPr fontId="1"/>
  </si>
  <si>
    <t>機能名</t>
    <rPh sb="0" eb="2">
      <t>キノウ</t>
    </rPh>
    <rPh sb="2" eb="3">
      <t>メイ</t>
    </rPh>
    <phoneticPr fontId="1"/>
  </si>
  <si>
    <t>システム</t>
    <phoneticPr fontId="1"/>
  </si>
  <si>
    <t>サブシステム</t>
    <phoneticPr fontId="1"/>
  </si>
  <si>
    <t>作成者</t>
    <rPh sb="0" eb="3">
      <t>サクセイシャ</t>
    </rPh>
    <phoneticPr fontId="1"/>
  </si>
  <si>
    <t>作成日</t>
    <rPh sb="0" eb="3">
      <t>サクセイビ</t>
    </rPh>
    <phoneticPr fontId="1"/>
  </si>
  <si>
    <t>Rev</t>
    <phoneticPr fontId="1"/>
  </si>
  <si>
    <t>分類ID</t>
    <rPh sb="0" eb="2">
      <t>ブンルイ</t>
    </rPh>
    <phoneticPr fontId="1"/>
  </si>
  <si>
    <t>Version</t>
    <phoneticPr fontId="1"/>
  </si>
  <si>
    <t>※ここを変更してください</t>
    <rPh sb="4" eb="6">
      <t>ヘンコウ</t>
    </rPh>
    <phoneticPr fontId="1"/>
  </si>
  <si>
    <t>来歴</t>
    <rPh sb="0" eb="2">
      <t>ライレキ</t>
    </rPh>
    <phoneticPr fontId="1"/>
  </si>
  <si>
    <t>変更内容及び変更理由</t>
    <rPh sb="0" eb="2">
      <t>ヘンコウ</t>
    </rPh>
    <rPh sb="2" eb="4">
      <t>ナイヨウ</t>
    </rPh>
    <rPh sb="4" eb="5">
      <t>オヨ</t>
    </rPh>
    <rPh sb="6" eb="8">
      <t>ヘンコウ</t>
    </rPh>
    <rPh sb="8" eb="10">
      <t>リユウ</t>
    </rPh>
    <phoneticPr fontId="1"/>
  </si>
  <si>
    <t>最終更新者</t>
    <rPh sb="0" eb="2">
      <t>サイシュウ</t>
    </rPh>
    <rPh sb="2" eb="5">
      <t>コウシンシャ</t>
    </rPh>
    <phoneticPr fontId="1"/>
  </si>
  <si>
    <t>最終更新日</t>
    <rPh sb="0" eb="2">
      <t>サイシュウ</t>
    </rPh>
    <rPh sb="2" eb="5">
      <t>コウシンビ</t>
    </rPh>
    <phoneticPr fontId="1"/>
  </si>
  <si>
    <t>備考</t>
    <rPh sb="0" eb="2">
      <t>ビコウ</t>
    </rPh>
    <phoneticPr fontId="1"/>
  </si>
  <si>
    <t>項目名</t>
    <rPh sb="0" eb="2">
      <t>コウモク</t>
    </rPh>
    <rPh sb="2" eb="3">
      <t>メイ</t>
    </rPh>
    <phoneticPr fontId="1"/>
  </si>
  <si>
    <t>入力</t>
    <rPh sb="0" eb="2">
      <t>ニュウリョク</t>
    </rPh>
    <phoneticPr fontId="1"/>
  </si>
  <si>
    <t>機能概要</t>
    <rPh sb="2" eb="4">
      <t>ガイヨウ</t>
    </rPh>
    <phoneticPr fontId="1"/>
  </si>
  <si>
    <t>1. 機能概要</t>
    <rPh sb="3" eb="5">
      <t>キノウ</t>
    </rPh>
    <rPh sb="5" eb="7">
      <t>ガイヨウ</t>
    </rPh>
    <phoneticPr fontId="1"/>
  </si>
  <si>
    <t>処理</t>
    <rPh sb="0" eb="2">
      <t>ショリ</t>
    </rPh>
    <phoneticPr fontId="1"/>
  </si>
  <si>
    <t>出力</t>
    <rPh sb="0" eb="2">
      <t>シュツリョク</t>
    </rPh>
    <phoneticPr fontId="1"/>
  </si>
  <si>
    <t>確認者</t>
    <rPh sb="0" eb="2">
      <t>カクニン</t>
    </rPh>
    <rPh sb="2" eb="3">
      <t>シャ</t>
    </rPh>
    <phoneticPr fontId="1"/>
  </si>
  <si>
    <t>承認者</t>
    <rPh sb="0" eb="2">
      <t>ショウニン</t>
    </rPh>
    <rPh sb="2" eb="3">
      <t>シャ</t>
    </rPh>
    <phoneticPr fontId="1"/>
  </si>
  <si>
    <t>責任者</t>
    <rPh sb="0" eb="3">
      <t>セキニンシャ</t>
    </rPh>
    <phoneticPr fontId="1"/>
  </si>
  <si>
    <t>内容</t>
    <rPh sb="0" eb="2">
      <t>ナイヨウ</t>
    </rPh>
    <phoneticPr fontId="1"/>
  </si>
  <si>
    <t>承認票</t>
    <rPh sb="0" eb="2">
      <t>ショウニン</t>
    </rPh>
    <rPh sb="2" eb="3">
      <t>ヒョウ</t>
    </rPh>
    <phoneticPr fontId="1"/>
  </si>
  <si>
    <t>システム</t>
    <phoneticPr fontId="1"/>
  </si>
  <si>
    <t>システム</t>
    <phoneticPr fontId="1"/>
  </si>
  <si>
    <t>プロジェクト</t>
    <phoneticPr fontId="1"/>
  </si>
  <si>
    <t>ｻﾌﾞｼｽﾃﾑ</t>
    <phoneticPr fontId="1"/>
  </si>
  <si>
    <t>プロジェクト</t>
    <phoneticPr fontId="1"/>
  </si>
  <si>
    <t>計算値</t>
    <rPh sb="0" eb="3">
      <t>ケイサンチ</t>
    </rPh>
    <phoneticPr fontId="1"/>
  </si>
  <si>
    <t>No</t>
    <phoneticPr fontId="1"/>
  </si>
  <si>
    <t>Rev.</t>
    <phoneticPr fontId="1"/>
  </si>
  <si>
    <t>新規作成</t>
    <rPh sb="0" eb="4">
      <t>シンキサクセイ</t>
    </rPh>
    <phoneticPr fontId="1"/>
  </si>
  <si>
    <t>2. 前提条件</t>
    <rPh sb="3" eb="5">
      <t>ゼンテイ</t>
    </rPh>
    <rPh sb="5" eb="7">
      <t>ジョウケン</t>
    </rPh>
    <phoneticPr fontId="1"/>
  </si>
  <si>
    <t>3. カスタマイズ要件/アドオン要件</t>
    <rPh sb="9" eb="11">
      <t>ヨウケン</t>
    </rPh>
    <rPh sb="16" eb="18">
      <t>ヨウケン</t>
    </rPh>
    <phoneticPr fontId="1"/>
  </si>
  <si>
    <t>6. 起動タイミング</t>
    <phoneticPr fontId="1"/>
  </si>
  <si>
    <t>7. 想定データ件数</t>
    <rPh sb="3" eb="5">
      <t>ソウテイ</t>
    </rPh>
    <rPh sb="8" eb="10">
      <t>ケンスウ</t>
    </rPh>
    <phoneticPr fontId="1"/>
  </si>
  <si>
    <t>No</t>
    <phoneticPr fontId="1"/>
  </si>
  <si>
    <t>C/S</t>
    <phoneticPr fontId="1"/>
  </si>
  <si>
    <t>NO</t>
    <phoneticPr fontId="1"/>
  </si>
  <si>
    <t>東洋ﾋﾞｼﾞﾈｽｴﾝｼﾞﾆｱﾘﾝｸﾞ㈱</t>
    <rPh sb="0" eb="2">
      <t>トウヨウ</t>
    </rPh>
    <phoneticPr fontId="1"/>
  </si>
  <si>
    <t>新業務機能展開表</t>
    <rPh sb="0" eb="3">
      <t>シンギョウム</t>
    </rPh>
    <rPh sb="3" eb="5">
      <t>キノウ</t>
    </rPh>
    <rPh sb="5" eb="7">
      <t>テンカイ</t>
    </rPh>
    <rPh sb="7" eb="8">
      <t>ヒョウ</t>
    </rPh>
    <phoneticPr fontId="1"/>
  </si>
  <si>
    <t>分類</t>
    <rPh sb="0" eb="2">
      <t>ブンルイ</t>
    </rPh>
    <phoneticPr fontId="1"/>
  </si>
  <si>
    <t>項目番号</t>
    <rPh sb="0" eb="2">
      <t>コウモク</t>
    </rPh>
    <rPh sb="2" eb="4">
      <t>バンゴウ</t>
    </rPh>
    <phoneticPr fontId="1"/>
  </si>
  <si>
    <t>mcframe7</t>
    <phoneticPr fontId="1"/>
  </si>
  <si>
    <t>処理詳細</t>
    <rPh sb="2" eb="4">
      <t>ショウサイ</t>
    </rPh>
    <phoneticPr fontId="1"/>
  </si>
  <si>
    <t>システム</t>
    <phoneticPr fontId="1"/>
  </si>
  <si>
    <t>プロジェクト</t>
    <phoneticPr fontId="1"/>
  </si>
  <si>
    <t>ｻﾌﾞｼｽﾃﾑ</t>
    <phoneticPr fontId="1"/>
  </si>
  <si>
    <t>プロジェクト</t>
    <phoneticPr fontId="1"/>
  </si>
  <si>
    <t>ブロック名</t>
    <rPh sb="4" eb="5">
      <t>メイ</t>
    </rPh>
    <phoneticPr fontId="14"/>
  </si>
  <si>
    <t>株式会社XXXX殿</t>
    <phoneticPr fontId="1"/>
  </si>
  <si>
    <t>株式会社XXXX殿</t>
    <rPh sb="0" eb="4">
      <t>カブシキガイシャ</t>
    </rPh>
    <rPh sb="8" eb="9">
      <t>トノ</t>
    </rPh>
    <phoneticPr fontId="1"/>
  </si>
  <si>
    <t>Rev.</t>
    <phoneticPr fontId="1"/>
  </si>
  <si>
    <t>プロジェクト</t>
    <phoneticPr fontId="1"/>
  </si>
  <si>
    <t>サブシステム</t>
    <phoneticPr fontId="1"/>
  </si>
  <si>
    <t>システム</t>
    <phoneticPr fontId="1"/>
  </si>
  <si>
    <t>サブシステム</t>
    <phoneticPr fontId="1"/>
  </si>
  <si>
    <t>Rev.</t>
    <phoneticPr fontId="1"/>
  </si>
  <si>
    <t>サブシステム</t>
    <phoneticPr fontId="1"/>
  </si>
  <si>
    <t>メッセージ一覧</t>
    <rPh sb="5" eb="7">
      <t>イチラン</t>
    </rPh>
    <phoneticPr fontId="1"/>
  </si>
  <si>
    <t>7.0.1.1</t>
    <phoneticPr fontId="1"/>
  </si>
  <si>
    <t>SCM</t>
    <phoneticPr fontId="1"/>
  </si>
  <si>
    <t>MSBE</t>
    <phoneticPr fontId="1"/>
  </si>
  <si>
    <t>MSBELA6700</t>
    <phoneticPr fontId="1"/>
  </si>
  <si>
    <t>在庫物流管理</t>
    <rPh sb="0" eb="2">
      <t>ザイコ</t>
    </rPh>
    <rPh sb="2" eb="4">
      <t>ブツリュウ</t>
    </rPh>
    <rPh sb="4" eb="6">
      <t>カンリ</t>
    </rPh>
    <phoneticPr fontId="1"/>
  </si>
  <si>
    <t>棚札情報作成サービス</t>
    <rPh sb="0" eb="1">
      <t>タナ</t>
    </rPh>
    <rPh sb="1" eb="2">
      <t>フダ</t>
    </rPh>
    <rPh sb="2" eb="4">
      <t>ジョウホウ</t>
    </rPh>
    <rPh sb="4" eb="6">
      <t>サクセイ</t>
    </rPh>
    <phoneticPr fontId="1"/>
  </si>
  <si>
    <t>XX</t>
  </si>
  <si>
    <t>XX</t>
    <phoneticPr fontId="1"/>
  </si>
  <si>
    <t>r00.00</t>
  </si>
  <si>
    <t>r00.01</t>
  </si>
  <si>
    <t>ユーザレビュー時の指摘を反映</t>
    <rPh sb="7" eb="8">
      <t>ジ</t>
    </rPh>
    <rPh sb="9" eb="11">
      <t>シテキ</t>
    </rPh>
    <rPh sb="12" eb="14">
      <t>ハンエイ</t>
    </rPh>
    <phoneticPr fontId="1"/>
  </si>
  <si>
    <t>r01.00</t>
  </si>
  <si>
    <t>基本設計フェーズ成果物として納品</t>
    <rPh sb="0" eb="2">
      <t>キホン</t>
    </rPh>
    <rPh sb="2" eb="4">
      <t>セッケイ</t>
    </rPh>
    <phoneticPr fontId="1"/>
  </si>
  <si>
    <t>r01.01</t>
  </si>
  <si>
    <t>BR-SX-2310_バッチ設計書_PFBZBA020_工場間：ＷＧ間依頼調整→購買納期回答変換_r01.00を元に作成</t>
    <rPh sb="14" eb="17">
      <t>セッケイショ</t>
    </rPh>
    <rPh sb="28" eb="30">
      <t>コウジョウ</t>
    </rPh>
    <rPh sb="30" eb="31">
      <t>カン</t>
    </rPh>
    <rPh sb="34" eb="35">
      <t>カン</t>
    </rPh>
    <rPh sb="35" eb="37">
      <t>イライ</t>
    </rPh>
    <rPh sb="37" eb="39">
      <t>チョウセイ</t>
    </rPh>
    <rPh sb="40" eb="42">
      <t>コウバイ</t>
    </rPh>
    <rPh sb="42" eb="44">
      <t>ノウキ</t>
    </rPh>
    <rPh sb="44" eb="46">
      <t>カイトウ</t>
    </rPh>
    <rPh sb="46" eb="48">
      <t>ヘンカン</t>
    </rPh>
    <rPh sb="56" eb="57">
      <t>モト</t>
    </rPh>
    <rPh sb="58" eb="60">
      <t>サクセイ</t>
    </rPh>
    <phoneticPr fontId="1"/>
  </si>
  <si>
    <t>r02.00</t>
  </si>
  <si>
    <t>詳細設計フェーズ成果物として納品</t>
    <rPh sb="0" eb="2">
      <t>ショウサイ</t>
    </rPh>
    <rPh sb="2" eb="4">
      <t>セッケイ</t>
    </rPh>
    <phoneticPr fontId="1"/>
  </si>
  <si>
    <t>r01.00</t>
    <phoneticPr fontId="1"/>
  </si>
  <si>
    <t>基本設計フェーズ成果物として納品</t>
    <phoneticPr fontId="1"/>
  </si>
  <si>
    <t>XX</t>
    <phoneticPr fontId="1"/>
  </si>
  <si>
    <t>PM(XX)</t>
    <phoneticPr fontId="1"/>
  </si>
  <si>
    <t>【説明】</t>
    <rPh sb="1" eb="3">
      <t>セツメイ</t>
    </rPh>
    <phoneticPr fontId="1"/>
  </si>
  <si>
    <t>・</t>
  </si>
  <si>
    <t>・</t>
    <phoneticPr fontId="1"/>
  </si>
  <si>
    <t>X</t>
    <phoneticPr fontId="1"/>
  </si>
  <si>
    <t>X</t>
    <phoneticPr fontId="1"/>
  </si>
  <si>
    <t>X</t>
    <phoneticPr fontId="1"/>
  </si>
  <si>
    <t>SCM</t>
    <phoneticPr fontId="1"/>
  </si>
  <si>
    <t>4. データアクセスコントロール</t>
    <phoneticPr fontId="1"/>
  </si>
  <si>
    <t>データアクセスコントロールしない。</t>
    <phoneticPr fontId="1"/>
  </si>
  <si>
    <t>5. 起動方法</t>
    <phoneticPr fontId="1"/>
  </si>
  <si>
    <t>棚卸台帳及び棚札を出力するために必要な棚札情報を作成する。</t>
    <rPh sb="0" eb="2">
      <t>タナオロシ</t>
    </rPh>
    <rPh sb="2" eb="4">
      <t>ダイチョウ</t>
    </rPh>
    <rPh sb="4" eb="5">
      <t>オヨ</t>
    </rPh>
    <rPh sb="6" eb="8">
      <t>タナフダ</t>
    </rPh>
    <rPh sb="9" eb="11">
      <t>シュツリョク</t>
    </rPh>
    <rPh sb="16" eb="18">
      <t>ヒツヨウ</t>
    </rPh>
    <rPh sb="19" eb="21">
      <t>タナフダ</t>
    </rPh>
    <rPh sb="21" eb="23">
      <t>ジョウホウ</t>
    </rPh>
    <rPh sb="24" eb="26">
      <t>サクセイ</t>
    </rPh>
    <phoneticPr fontId="2"/>
  </si>
  <si>
    <t>エリア、サブエリアの初期値は、前回棚卸情報から導出する。</t>
    <rPh sb="10" eb="13">
      <t>ショキチ</t>
    </rPh>
    <rPh sb="15" eb="17">
      <t>ゼンカイ</t>
    </rPh>
    <rPh sb="17" eb="19">
      <t>タナオロシ</t>
    </rPh>
    <rPh sb="19" eb="21">
      <t>ジョウホウ</t>
    </rPh>
    <rPh sb="23" eb="25">
      <t>ドウシュツ</t>
    </rPh>
    <phoneticPr fontId="2"/>
  </si>
  <si>
    <t>理論在庫作成時に、作成された実棚情報及び、バラシ実棚情報を元に、棚札情報を作成する。</t>
  </si>
  <si>
    <t>実棚情報、バラシ実棚情報が事前に作成されていること</t>
    <rPh sb="0" eb="1">
      <t>ジツ</t>
    </rPh>
    <rPh sb="1" eb="2">
      <t>タナ</t>
    </rPh>
    <rPh sb="2" eb="4">
      <t>ジョウホウ</t>
    </rPh>
    <rPh sb="8" eb="9">
      <t>ジツ</t>
    </rPh>
    <rPh sb="9" eb="10">
      <t>タナ</t>
    </rPh>
    <rPh sb="10" eb="12">
      <t>ジョウホウ</t>
    </rPh>
    <rPh sb="13" eb="15">
      <t>ジゼン</t>
    </rPh>
    <rPh sb="16" eb="18">
      <t>サクセイ</t>
    </rPh>
    <phoneticPr fontId="2"/>
  </si>
  <si>
    <t>システムから、固定した在庫数の棚卸表を発行したい。</t>
  </si>
  <si>
    <t>棚札を発行し、棚卸時に現物に貼付したい。</t>
  </si>
  <si>
    <t>棚卸一覧画面より起動（サービス呼出による起動）</t>
    <rPh sb="0" eb="2">
      <t>タナオロシ</t>
    </rPh>
    <rPh sb="2" eb="4">
      <t>イチラン</t>
    </rPh>
    <rPh sb="4" eb="6">
      <t>ガメン</t>
    </rPh>
    <rPh sb="8" eb="10">
      <t>キドウ</t>
    </rPh>
    <rPh sb="15" eb="17">
      <t>ヨビダシ</t>
    </rPh>
    <rPh sb="20" eb="22">
      <t>キドウ</t>
    </rPh>
    <phoneticPr fontId="4"/>
  </si>
  <si>
    <t>随時</t>
    <rPh sb="0" eb="2">
      <t>ズイジ</t>
    </rPh>
    <phoneticPr fontId="4"/>
  </si>
  <si>
    <t>3,500件程度</t>
    <rPh sb="5" eb="6">
      <t>ケン</t>
    </rPh>
    <rPh sb="6" eb="8">
      <t>テイド</t>
    </rPh>
    <phoneticPr fontId="4"/>
  </si>
  <si>
    <t>8. 起動および実行結果の確認</t>
    <phoneticPr fontId="1"/>
  </si>
  <si>
    <t>標準に準ずる</t>
    <rPh sb="0" eb="2">
      <t>ヒョウジュン</t>
    </rPh>
    <rPh sb="3" eb="4">
      <t>ジュン</t>
    </rPh>
    <phoneticPr fontId="1"/>
  </si>
  <si>
    <t>9. コミット単位</t>
    <rPh sb="7" eb="9">
      <t>タンイ</t>
    </rPh>
    <phoneticPr fontId="1"/>
  </si>
  <si>
    <t>全件</t>
    <rPh sb="0" eb="2">
      <t>ゼンケン</t>
    </rPh>
    <phoneticPr fontId="1"/>
  </si>
  <si>
    <t>棚札情報作成 UpdA01</t>
    <rPh sb="0" eb="2">
      <t>タナフダ</t>
    </rPh>
    <rPh sb="2" eb="4">
      <t>ジョウホウ</t>
    </rPh>
    <rPh sb="4" eb="6">
      <t>サクセイ</t>
    </rPh>
    <phoneticPr fontId="1"/>
  </si>
  <si>
    <t>S</t>
    <phoneticPr fontId="1"/>
  </si>
  <si>
    <t>[上り電文]</t>
    <rPh sb="1" eb="2">
      <t>ノボ</t>
    </rPh>
    <rPh sb="3" eb="5">
      <t>デンブン</t>
    </rPh>
    <phoneticPr fontId="1"/>
  </si>
  <si>
    <t>1.</t>
    <phoneticPr fontId="1"/>
  </si>
  <si>
    <t>※棚卸一覧のサービス呼出編集</t>
    <rPh sb="1" eb="3">
      <t>タナオロシ</t>
    </rPh>
    <rPh sb="3" eb="5">
      <t>イチラン</t>
    </rPh>
    <rPh sb="10" eb="12">
      <t>ヨビダシ</t>
    </rPh>
    <rPh sb="12" eb="14">
      <t>ヘンシュウ</t>
    </rPh>
    <phoneticPr fontId="1"/>
  </si>
  <si>
    <t>ChkA01を呼び出し、上り電文に対するチェックを行う。</t>
    <rPh sb="7" eb="8">
      <t>ヨ</t>
    </rPh>
    <rPh sb="9" eb="10">
      <t>ダ</t>
    </rPh>
    <rPh sb="12" eb="13">
      <t>ノボ</t>
    </rPh>
    <rPh sb="14" eb="16">
      <t>デンブン</t>
    </rPh>
    <rPh sb="17" eb="18">
      <t>タイ</t>
    </rPh>
    <rPh sb="25" eb="26">
      <t>オコナ</t>
    </rPh>
    <phoneticPr fontId="1"/>
  </si>
  <si>
    <t>　 仕様参照</t>
    <rPh sb="2" eb="4">
      <t>シヨウ</t>
    </rPh>
    <rPh sb="4" eb="6">
      <t>サンショウ</t>
    </rPh>
    <phoneticPr fontId="1"/>
  </si>
  <si>
    <t>[ChkA01下り電文]</t>
    <rPh sb="7" eb="8">
      <t>クダ</t>
    </rPh>
    <rPh sb="9" eb="11">
      <t>デンブン</t>
    </rPh>
    <phoneticPr fontId="1"/>
  </si>
  <si>
    <t>1.1.</t>
    <phoneticPr fontId="1"/>
  </si>
  <si>
    <t>ChkA01の下り電文でエラーが有った場合</t>
    <rPh sb="7" eb="8">
      <t>クダ</t>
    </rPh>
    <rPh sb="9" eb="11">
      <t>デンブン</t>
    </rPh>
    <rPh sb="16" eb="17">
      <t>ア</t>
    </rPh>
    <rPh sb="19" eb="21">
      <t>バアイ</t>
    </rPh>
    <phoneticPr fontId="1"/>
  </si>
  <si>
    <t>異常終了ログメッセージを出力後、例外をスローする</t>
    <phoneticPr fontId="1"/>
  </si>
  <si>
    <t>1.2.</t>
    <phoneticPr fontId="1"/>
  </si>
  <si>
    <t>ChkA01の下り電文でエラーが無かった場合、後続の処理に進む</t>
    <rPh sb="7" eb="8">
      <t>クダ</t>
    </rPh>
    <rPh sb="9" eb="11">
      <t>デンブン</t>
    </rPh>
    <rPh sb="16" eb="17">
      <t>ナ</t>
    </rPh>
    <rPh sb="20" eb="22">
      <t>バアイ</t>
    </rPh>
    <rPh sb="23" eb="25">
      <t>コウゾク</t>
    </rPh>
    <rPh sb="26" eb="28">
      <t>ショリ</t>
    </rPh>
    <rPh sb="29" eb="30">
      <t>スス</t>
    </rPh>
    <phoneticPr fontId="1"/>
  </si>
  <si>
    <t>2.</t>
    <phoneticPr fontId="1"/>
  </si>
  <si>
    <t>＜ループ＞棚札情報作成処理 [上り電文]の行数分、処理を実施していく</t>
    <rPh sb="5" eb="11">
      <t>タナフダジョウホウサクセイ</t>
    </rPh>
    <rPh sb="11" eb="13">
      <t>ショリ</t>
    </rPh>
    <rPh sb="15" eb="16">
      <t>ノボ</t>
    </rPh>
    <rPh sb="17" eb="19">
      <t>デンブン</t>
    </rPh>
    <rPh sb="21" eb="23">
      <t>ギョウスウ</t>
    </rPh>
    <rPh sb="23" eb="24">
      <t>ブン</t>
    </rPh>
    <rPh sb="25" eb="27">
      <t>ショリ</t>
    </rPh>
    <rPh sb="28" eb="30">
      <t>ジッシ</t>
    </rPh>
    <phoneticPr fontId="1"/>
  </si>
  <si>
    <t>更新判断</t>
    <rPh sb="0" eb="2">
      <t>コウシン</t>
    </rPh>
    <rPh sb="2" eb="4">
      <t>ハンダン</t>
    </rPh>
    <phoneticPr fontId="1"/>
  </si>
  <si>
    <t>[上り電文]の、「制御対象日」、「場所ＣＤ」で、既に棚札情報が作成されているかどうか、確認する</t>
    <rPh sb="1" eb="2">
      <t>ノボ</t>
    </rPh>
    <rPh sb="3" eb="5">
      <t>デンブン</t>
    </rPh>
    <rPh sb="9" eb="11">
      <t>セイギョ</t>
    </rPh>
    <rPh sb="11" eb="13">
      <t>タイショウ</t>
    </rPh>
    <rPh sb="13" eb="14">
      <t>ビ</t>
    </rPh>
    <rPh sb="17" eb="19">
      <t>バショ</t>
    </rPh>
    <rPh sb="24" eb="25">
      <t>スデ</t>
    </rPh>
    <rPh sb="26" eb="28">
      <t>タナフダ</t>
    </rPh>
    <rPh sb="28" eb="30">
      <t>ジョウホウ</t>
    </rPh>
    <rPh sb="31" eb="33">
      <t>サクセイ</t>
    </rPh>
    <rPh sb="43" eb="45">
      <t>カクニン</t>
    </rPh>
    <phoneticPr fontId="1"/>
  </si>
  <si>
    <t>2.1.の結果、新規追加の場合</t>
    <rPh sb="5" eb="7">
      <t>ケッカ</t>
    </rPh>
    <rPh sb="8" eb="10">
      <t>シンキ</t>
    </rPh>
    <rPh sb="10" eb="12">
      <t>ツイカ</t>
    </rPh>
    <rPh sb="13" eb="15">
      <t>バアイ</t>
    </rPh>
    <phoneticPr fontId="1"/>
  </si>
  <si>
    <t>実棚情報</t>
    <rPh sb="0" eb="1">
      <t>ジツ</t>
    </rPh>
    <rPh sb="1" eb="2">
      <t>タナ</t>
    </rPh>
    <rPh sb="2" eb="4">
      <t>ジョウホウ</t>
    </rPh>
    <phoneticPr fontId="1"/>
  </si>
  <si>
    <t>棚卸基準日</t>
    <rPh sb="0" eb="2">
      <t>タナオロシ</t>
    </rPh>
    <rPh sb="2" eb="5">
      <t>キジュンビ</t>
    </rPh>
    <phoneticPr fontId="1"/>
  </si>
  <si>
    <t>場所ＣＤ</t>
    <rPh sb="0" eb="2">
      <t>バショ</t>
    </rPh>
    <phoneticPr fontId="1"/>
  </si>
  <si>
    <t>2.1.の結果、更新の場合</t>
    <rPh sb="5" eb="7">
      <t>ケッカ</t>
    </rPh>
    <rPh sb="8" eb="10">
      <t>コウシン</t>
    </rPh>
    <rPh sb="11" eb="13">
      <t>バアイ</t>
    </rPh>
    <phoneticPr fontId="1"/>
  </si>
  <si>
    <t>mcframe標準に準ずる。</t>
    <rPh sb="7" eb="9">
      <t>ヒョウジュン</t>
    </rPh>
    <rPh sb="10" eb="11">
      <t>ジュン</t>
    </rPh>
    <phoneticPr fontId="1"/>
  </si>
  <si>
    <t>棚札情報作成前処理 ChkA01</t>
    <rPh sb="0" eb="2">
      <t>タナフダ</t>
    </rPh>
    <rPh sb="2" eb="4">
      <t>ジョウホウ</t>
    </rPh>
    <rPh sb="4" eb="6">
      <t>サクセイ</t>
    </rPh>
    <rPh sb="6" eb="9">
      <t>マエショリ</t>
    </rPh>
    <phoneticPr fontId="1"/>
  </si>
  <si>
    <t>チェック処理</t>
    <rPh sb="4" eb="6">
      <t>ショリ</t>
    </rPh>
    <phoneticPr fontId="1"/>
  </si>
  <si>
    <t>※UpdA01の上り電文</t>
    <rPh sb="8" eb="9">
      <t>ノボ</t>
    </rPh>
    <rPh sb="10" eb="12">
      <t>デンブン</t>
    </rPh>
    <phoneticPr fontId="1"/>
  </si>
  <si>
    <t>-</t>
    <phoneticPr fontId="1"/>
  </si>
  <si>
    <t>品目ＣＤ</t>
    <rPh sb="0" eb="2">
      <t>ヒンモク</t>
    </rPh>
    <phoneticPr fontId="18"/>
  </si>
  <si>
    <t>枝番１</t>
    <rPh sb="0" eb="2">
      <t>エダバン</t>
    </rPh>
    <phoneticPr fontId="1"/>
  </si>
  <si>
    <t>枝番２</t>
    <rPh sb="0" eb="2">
      <t>エダバン</t>
    </rPh>
    <phoneticPr fontId="1"/>
  </si>
  <si>
    <t>枝番３</t>
    <rPh sb="0" eb="2">
      <t>エダバン</t>
    </rPh>
    <phoneticPr fontId="1"/>
  </si>
  <si>
    <t>手配ＮＯ１</t>
    <phoneticPr fontId="1"/>
  </si>
  <si>
    <t>手配ＮＯ２</t>
    <phoneticPr fontId="1"/>
  </si>
  <si>
    <t>手配ＮＯ３</t>
    <phoneticPr fontId="1"/>
  </si>
  <si>
    <t>手配ＮＯ４</t>
    <phoneticPr fontId="1"/>
  </si>
  <si>
    <t>ロットＮＯ</t>
    <phoneticPr fontId="1"/>
  </si>
  <si>
    <t>サブロットＮＯ</t>
    <phoneticPr fontId="18"/>
  </si>
  <si>
    <t>取引単位ＣＤ</t>
    <rPh sb="0" eb="2">
      <t>トリヒキ</t>
    </rPh>
    <rPh sb="2" eb="4">
      <t>タンイ</t>
    </rPh>
    <phoneticPr fontId="18"/>
  </si>
  <si>
    <t>理論在庫数量</t>
    <rPh sb="0" eb="2">
      <t>リロン</t>
    </rPh>
    <rPh sb="2" eb="4">
      <t>ザイコ</t>
    </rPh>
    <rPh sb="4" eb="5">
      <t>スウ</t>
    </rPh>
    <rPh sb="5" eb="6">
      <t>リョウ</t>
    </rPh>
    <phoneticPr fontId="1"/>
  </si>
  <si>
    <t>格付ＣＤ</t>
    <rPh sb="0" eb="1">
      <t>カク</t>
    </rPh>
    <rPh sb="1" eb="2">
      <t>ヅ</t>
    </rPh>
    <phoneticPr fontId="1"/>
  </si>
  <si>
    <t>積送品区分</t>
    <rPh sb="0" eb="3">
      <t>セキソウヒン</t>
    </rPh>
    <rPh sb="3" eb="5">
      <t>クブン</t>
    </rPh>
    <phoneticPr fontId="1"/>
  </si>
  <si>
    <t>良品区分</t>
    <rPh sb="0" eb="1">
      <t>リョウヒン</t>
    </rPh>
    <rPh sb="1" eb="3">
      <t>クブン</t>
    </rPh>
    <phoneticPr fontId="1"/>
  </si>
  <si>
    <t>在庫検査区分</t>
    <rPh sb="0" eb="1">
      <t>ザイコ</t>
    </rPh>
    <rPh sb="2" eb="4">
      <t>ケンサ</t>
    </rPh>
    <rPh sb="4" eb="6">
      <t>クブン</t>
    </rPh>
    <phoneticPr fontId="1"/>
  </si>
  <si>
    <t>在庫識別区分</t>
    <rPh sb="0" eb="2">
      <t>ザイコ</t>
    </rPh>
    <rPh sb="2" eb="4">
      <t>シキベツ</t>
    </rPh>
    <rPh sb="4" eb="6">
      <t>クブン</t>
    </rPh>
    <phoneticPr fontId="1"/>
  </si>
  <si>
    <t>在庫取引先ＣＤ</t>
    <rPh sb="0" eb="2">
      <t>ザイコ</t>
    </rPh>
    <rPh sb="2" eb="4">
      <t>トリヒキ</t>
    </rPh>
    <rPh sb="4" eb="5">
      <t>サキ</t>
    </rPh>
    <phoneticPr fontId="1"/>
  </si>
  <si>
    <t>ＷＧＣＤ</t>
    <phoneticPr fontId="1"/>
  </si>
  <si>
    <t>&lt;ループ&gt;END</t>
    <phoneticPr fontId="1"/>
  </si>
  <si>
    <t>3.</t>
    <phoneticPr fontId="1"/>
  </si>
  <si>
    <t>S</t>
    <phoneticPr fontId="1"/>
  </si>
  <si>
    <t>1.</t>
    <phoneticPr fontId="1"/>
  </si>
  <si>
    <t>■抽出項目</t>
    <rPh sb="1" eb="3">
      <t>チュウシュツ</t>
    </rPh>
    <rPh sb="3" eb="5">
      <t>コウモク</t>
    </rPh>
    <phoneticPr fontId="1"/>
  </si>
  <si>
    <t>設定値</t>
    <rPh sb="0" eb="2">
      <t>セッテイ</t>
    </rPh>
    <rPh sb="2" eb="3">
      <t>アタイ</t>
    </rPh>
    <phoneticPr fontId="1"/>
  </si>
  <si>
    <t>■取得対象テーブル</t>
    <rPh sb="1" eb="3">
      <t>シュトク</t>
    </rPh>
    <rPh sb="3" eb="5">
      <t>タイショウ</t>
    </rPh>
    <phoneticPr fontId="1"/>
  </si>
  <si>
    <t>T1</t>
  </si>
  <si>
    <t>X</t>
    <phoneticPr fontId="1"/>
  </si>
  <si>
    <t>棚札情報</t>
    <rPh sb="0" eb="1">
      <t>タナ</t>
    </rPh>
    <rPh sb="1" eb="2">
      <t>フダ</t>
    </rPh>
    <rPh sb="2" eb="4">
      <t>ジョウホウ</t>
    </rPh>
    <phoneticPr fontId="1"/>
  </si>
  <si>
    <t>■抽出条件</t>
    <rPh sb="1" eb="3">
      <t>チュウシュツ</t>
    </rPh>
    <rPh sb="3" eb="5">
      <t>ジョウケン</t>
    </rPh>
    <phoneticPr fontId="1"/>
  </si>
  <si>
    <t>T.制御対象日</t>
    <rPh sb="2" eb="4">
      <t>セイギョ</t>
    </rPh>
    <rPh sb="4" eb="6">
      <t>タイショウ</t>
    </rPh>
    <rPh sb="6" eb="7">
      <t>ビ</t>
    </rPh>
    <phoneticPr fontId="1"/>
  </si>
  <si>
    <t>=</t>
    <phoneticPr fontId="1"/>
  </si>
  <si>
    <t>[上り電文].制御対象日</t>
    <rPh sb="1" eb="2">
      <t>ノボ</t>
    </rPh>
    <rPh sb="3" eb="5">
      <t>デンブン</t>
    </rPh>
    <rPh sb="7" eb="9">
      <t>セイギョ</t>
    </rPh>
    <rPh sb="9" eb="11">
      <t>タイショウ</t>
    </rPh>
    <rPh sb="11" eb="12">
      <t>ビ</t>
    </rPh>
    <phoneticPr fontId="1"/>
  </si>
  <si>
    <t>AND</t>
    <phoneticPr fontId="1"/>
  </si>
  <si>
    <t>T.場所CD</t>
    <rPh sb="2" eb="4">
      <t>バショ</t>
    </rPh>
    <phoneticPr fontId="1"/>
  </si>
  <si>
    <t>[上り電文].場所CD</t>
    <rPh sb="1" eb="2">
      <t>ノボ</t>
    </rPh>
    <rPh sb="3" eb="5">
      <t>デンブン</t>
    </rPh>
    <rPh sb="7" eb="9">
      <t>バショ</t>
    </rPh>
    <phoneticPr fontId="1"/>
  </si>
  <si>
    <t>[上り電文]から実棚情報を取得する。</t>
    <rPh sb="1" eb="2">
      <t>ノボ</t>
    </rPh>
    <rPh sb="3" eb="5">
      <t>デンブン</t>
    </rPh>
    <rPh sb="8" eb="9">
      <t>ジツ</t>
    </rPh>
    <rPh sb="9" eb="10">
      <t>タナ</t>
    </rPh>
    <rPh sb="10" eb="12">
      <t>ジョウホウ</t>
    </rPh>
    <rPh sb="13" eb="15">
      <t>シュトク</t>
    </rPh>
    <phoneticPr fontId="1"/>
  </si>
  <si>
    <t>T.棚卸基準日</t>
    <rPh sb="2" eb="4">
      <t>タナオロシ</t>
    </rPh>
    <rPh sb="4" eb="7">
      <t>キジュンビ</t>
    </rPh>
    <phoneticPr fontId="1"/>
  </si>
  <si>
    <t>T.品目CD</t>
    <rPh sb="2" eb="4">
      <t>ヒンモク</t>
    </rPh>
    <phoneticPr fontId="1"/>
  </si>
  <si>
    <t>T.取引単位CD</t>
    <rPh sb="2" eb="4">
      <t>トリヒキ</t>
    </rPh>
    <rPh sb="4" eb="6">
      <t>タンイ</t>
    </rPh>
    <phoneticPr fontId="1"/>
  </si>
  <si>
    <t>T.格付CD</t>
    <rPh sb="2" eb="4">
      <t>カクヅ</t>
    </rPh>
    <phoneticPr fontId="1"/>
  </si>
  <si>
    <t>T.良品区分</t>
    <rPh sb="2" eb="4">
      <t>リョウヒン</t>
    </rPh>
    <rPh sb="4" eb="6">
      <t>クブン</t>
    </rPh>
    <phoneticPr fontId="1"/>
  </si>
  <si>
    <t>T.積送品区分</t>
    <rPh sb="2" eb="4">
      <t>セキソウ</t>
    </rPh>
    <rPh sb="4" eb="5">
      <t>ヒン</t>
    </rPh>
    <rPh sb="5" eb="7">
      <t>クブン</t>
    </rPh>
    <phoneticPr fontId="1"/>
  </si>
  <si>
    <t>T.在庫検査区分</t>
    <rPh sb="2" eb="4">
      <t>ザイコ</t>
    </rPh>
    <rPh sb="4" eb="6">
      <t>ケンサ</t>
    </rPh>
    <rPh sb="6" eb="8">
      <t>クブン</t>
    </rPh>
    <phoneticPr fontId="1"/>
  </si>
  <si>
    <t>T.在庫識別区分</t>
    <rPh sb="2" eb="4">
      <t>ザイコ</t>
    </rPh>
    <rPh sb="4" eb="6">
      <t>シキベツ</t>
    </rPh>
    <rPh sb="6" eb="8">
      <t>クブン</t>
    </rPh>
    <phoneticPr fontId="1"/>
  </si>
  <si>
    <t>T.在庫取引先CD</t>
    <rPh sb="2" eb="4">
      <t>ザイコ</t>
    </rPh>
    <rPh sb="4" eb="6">
      <t>トリヒキ</t>
    </rPh>
    <rPh sb="6" eb="7">
      <t>サキ</t>
    </rPh>
    <phoneticPr fontId="1"/>
  </si>
  <si>
    <t>[上り電文].場所CD</t>
    <rPh sb="7" eb="9">
      <t>バショ</t>
    </rPh>
    <phoneticPr fontId="1"/>
  </si>
  <si>
    <t>[上り電文].品目CD</t>
    <rPh sb="7" eb="9">
      <t>ヒンモク</t>
    </rPh>
    <phoneticPr fontId="1"/>
  </si>
  <si>
    <t>[上り電文].取引単位CD</t>
    <rPh sb="7" eb="9">
      <t>トリヒキ</t>
    </rPh>
    <rPh sb="9" eb="11">
      <t>タンイ</t>
    </rPh>
    <phoneticPr fontId="1"/>
  </si>
  <si>
    <t>[上り電文].格付CD</t>
    <rPh sb="7" eb="9">
      <t>カクヅ</t>
    </rPh>
    <phoneticPr fontId="1"/>
  </si>
  <si>
    <t>[上り電文].積送品区分</t>
    <rPh sb="7" eb="9">
      <t>セキソウ</t>
    </rPh>
    <rPh sb="9" eb="10">
      <t>ヒン</t>
    </rPh>
    <rPh sb="10" eb="12">
      <t>クブン</t>
    </rPh>
    <phoneticPr fontId="1"/>
  </si>
  <si>
    <t>[上り電文].良品区分</t>
    <rPh sb="7" eb="9">
      <t>リョウヒン</t>
    </rPh>
    <rPh sb="9" eb="11">
      <t>クブン</t>
    </rPh>
    <phoneticPr fontId="1"/>
  </si>
  <si>
    <t>[上り電文].在庫検査区分</t>
    <rPh sb="7" eb="9">
      <t>ザイコ</t>
    </rPh>
    <rPh sb="9" eb="11">
      <t>ケンサ</t>
    </rPh>
    <rPh sb="11" eb="13">
      <t>クブン</t>
    </rPh>
    <phoneticPr fontId="1"/>
  </si>
  <si>
    <t>[上り電文].在庫識別区分</t>
    <rPh sb="7" eb="9">
      <t>ザイコ</t>
    </rPh>
    <rPh sb="9" eb="11">
      <t>シキベツ</t>
    </rPh>
    <rPh sb="11" eb="13">
      <t>クブン</t>
    </rPh>
    <phoneticPr fontId="1"/>
  </si>
  <si>
    <t>[上り電文].在庫取引先CD</t>
    <rPh sb="7" eb="9">
      <t>ザイコ</t>
    </rPh>
    <rPh sb="9" eb="11">
      <t>トリヒキ</t>
    </rPh>
    <rPh sb="11" eb="12">
      <t>サキ</t>
    </rPh>
    <phoneticPr fontId="1"/>
  </si>
  <si>
    <t>T1.棚卸基準日</t>
  </si>
  <si>
    <t>T1.場所ＣＤ</t>
  </si>
  <si>
    <t>T1.品目ＣＤ</t>
  </si>
  <si>
    <t>T1.枝番１</t>
  </si>
  <si>
    <t>T1.枝番２</t>
  </si>
  <si>
    <t>T1.枝番３</t>
  </si>
  <si>
    <t>T1.手配ＮＯ１</t>
  </si>
  <si>
    <t>T1.手配ＮＯ２</t>
  </si>
  <si>
    <t>T1.手配ＮＯ３</t>
  </si>
  <si>
    <t>T1.手配ＮＯ４</t>
  </si>
  <si>
    <t>T1.ロットＮＯ</t>
  </si>
  <si>
    <t>T1.サブロットＮＯ</t>
  </si>
  <si>
    <t>T1.取引単位ＣＤ</t>
  </si>
  <si>
    <t>T1.理論在庫数量</t>
  </si>
  <si>
    <t>T1.格付ＣＤ</t>
  </si>
  <si>
    <t>T1.積送品区分</t>
  </si>
  <si>
    <t>T1.良品区分</t>
  </si>
  <si>
    <t>T1.在庫検査区分</t>
  </si>
  <si>
    <t>T1.在庫識別区分</t>
  </si>
  <si>
    <t>T1.在庫取引先ＣＤ</t>
  </si>
  <si>
    <t>T1.ＷＧＣＤ</t>
  </si>
  <si>
    <t>2.1.</t>
  </si>
  <si>
    <t>2.1.1.</t>
  </si>
  <si>
    <t>2.1.2.</t>
  </si>
  <si>
    <t>1.1.</t>
    <phoneticPr fontId="1"/>
  </si>
  <si>
    <t>1.1.1</t>
    <phoneticPr fontId="1"/>
  </si>
  <si>
    <t>実棚情報が取得できた場合。</t>
    <rPh sb="0" eb="2">
      <t>ジッタナ</t>
    </rPh>
    <rPh sb="2" eb="4">
      <t>ジョウホウ</t>
    </rPh>
    <rPh sb="5" eb="7">
      <t>シュトク</t>
    </rPh>
    <rPh sb="10" eb="12">
      <t>バアイ</t>
    </rPh>
    <phoneticPr fontId="1"/>
  </si>
  <si>
    <t>1.1.2</t>
    <phoneticPr fontId="1"/>
  </si>
  <si>
    <t>実棚情報が取得できなかった場合。</t>
    <rPh sb="0" eb="2">
      <t>ジッタナ</t>
    </rPh>
    <rPh sb="2" eb="4">
      <t>ジョウホウ</t>
    </rPh>
    <rPh sb="5" eb="7">
      <t>シュトク</t>
    </rPh>
    <rPh sb="13" eb="15">
      <t>バアイ</t>
    </rPh>
    <phoneticPr fontId="1"/>
  </si>
  <si>
    <t>取得した情報を[下り電文]に設定する。</t>
    <rPh sb="0" eb="2">
      <t>シュトク</t>
    </rPh>
    <rPh sb="4" eb="6">
      <t>ジョウホウ</t>
    </rPh>
    <rPh sb="8" eb="9">
      <t>クダ</t>
    </rPh>
    <rPh sb="10" eb="12">
      <t>デンブン</t>
    </rPh>
    <rPh sb="14" eb="16">
      <t>セッテイ</t>
    </rPh>
    <phoneticPr fontId="1"/>
  </si>
  <si>
    <t>[下り電文].エラーFLG</t>
    <rPh sb="1" eb="2">
      <t>クダ</t>
    </rPh>
    <rPh sb="3" eb="5">
      <t>デンブン</t>
    </rPh>
    <phoneticPr fontId="1"/>
  </si>
  <si>
    <t>true</t>
    <phoneticPr fontId="1"/>
  </si>
  <si>
    <t>[下り電文]に以下を設定する。</t>
    <rPh sb="1" eb="2">
      <t>クダ</t>
    </rPh>
    <rPh sb="3" eb="5">
      <t>デンブン</t>
    </rPh>
    <rPh sb="7" eb="9">
      <t>イカ</t>
    </rPh>
    <rPh sb="10" eb="12">
      <t>セッテイ</t>
    </rPh>
    <phoneticPr fontId="1"/>
  </si>
  <si>
    <t>制御対象日</t>
    <rPh sb="0" eb="2">
      <t>セイギョ</t>
    </rPh>
    <rPh sb="2" eb="4">
      <t>タイショウ</t>
    </rPh>
    <rPh sb="4" eb="5">
      <t>ビ</t>
    </rPh>
    <phoneticPr fontId="1"/>
  </si>
  <si>
    <t>場所CD</t>
    <rPh sb="0" eb="2">
      <t>バショ</t>
    </rPh>
    <phoneticPr fontId="1"/>
  </si>
  <si>
    <t>ＷＧＣＤ</t>
  </si>
  <si>
    <t>処理フロー</t>
    <rPh sb="0" eb="2">
      <t>ショリ</t>
    </rPh>
    <phoneticPr fontId="1"/>
  </si>
  <si>
    <t>棚卸情報作成（UpdA01）</t>
    <rPh sb="0" eb="2">
      <t>タナオロシ</t>
    </rPh>
    <rPh sb="2" eb="4">
      <t>ジョウホウ</t>
    </rPh>
    <rPh sb="4" eb="6">
      <t>サクセイ</t>
    </rPh>
    <phoneticPr fontId="1"/>
  </si>
  <si>
    <t>チェック処理（ChkA01）</t>
    <rPh sb="4" eb="6">
      <t>ショリ</t>
    </rPh>
    <phoneticPr fontId="1"/>
  </si>
  <si>
    <t>該当の制御対象日が、棚卸基準日になっている実棚情報が存在する事を確認する。</t>
    <rPh sb="0" eb="2">
      <t>ガイトウ</t>
    </rPh>
    <rPh sb="3" eb="5">
      <t>セイギョ</t>
    </rPh>
    <rPh sb="5" eb="7">
      <t>タイショウ</t>
    </rPh>
    <rPh sb="7" eb="8">
      <t>ビ</t>
    </rPh>
    <rPh sb="10" eb="12">
      <t>タナオロシ</t>
    </rPh>
    <rPh sb="12" eb="15">
      <t>キジュンビ</t>
    </rPh>
    <rPh sb="21" eb="22">
      <t>ジツ</t>
    </rPh>
    <rPh sb="22" eb="23">
      <t>タナ</t>
    </rPh>
    <rPh sb="23" eb="25">
      <t>ジョウホウ</t>
    </rPh>
    <rPh sb="26" eb="28">
      <t>ソンザイ</t>
    </rPh>
    <rPh sb="30" eb="31">
      <t>コト</t>
    </rPh>
    <rPh sb="32" eb="34">
      <t>カクニン</t>
    </rPh>
    <phoneticPr fontId="1"/>
  </si>
  <si>
    <t>オペレーションNo</t>
    <phoneticPr fontId="23"/>
  </si>
  <si>
    <t>ロジックID</t>
    <phoneticPr fontId="23"/>
  </si>
  <si>
    <t>オペレーションNoID</t>
    <phoneticPr fontId="23"/>
  </si>
  <si>
    <t>特記事項</t>
    <rPh sb="0" eb="2">
      <t>トッキ</t>
    </rPh>
    <rPh sb="2" eb="4">
      <t>ジコウ</t>
    </rPh>
    <phoneticPr fontId="23"/>
  </si>
  <si>
    <t>型</t>
    <rPh sb="0" eb="1">
      <t>カタ</t>
    </rPh>
    <phoneticPr fontId="14"/>
  </si>
  <si>
    <t>super/share</t>
    <phoneticPr fontId="14"/>
  </si>
  <si>
    <t>対象ブロック名</t>
    <rPh sb="0" eb="2">
      <t>タイショウ</t>
    </rPh>
    <rPh sb="6" eb="7">
      <t>メイ</t>
    </rPh>
    <phoneticPr fontId="14"/>
  </si>
  <si>
    <t>項目No</t>
    <rPh sb="0" eb="2">
      <t>コウモク</t>
    </rPh>
    <phoneticPr fontId="14"/>
  </si>
  <si>
    <t>上り項目</t>
    <rPh sb="0" eb="1">
      <t>ノボ</t>
    </rPh>
    <rPh sb="2" eb="4">
      <t>コウモク</t>
    </rPh>
    <phoneticPr fontId="23"/>
  </si>
  <si>
    <t>下り項目</t>
    <rPh sb="0" eb="1">
      <t>クダ</t>
    </rPh>
    <rPh sb="2" eb="4">
      <t>コウモク</t>
    </rPh>
    <phoneticPr fontId="23"/>
  </si>
  <si>
    <t>説明</t>
    <rPh sb="0" eb="2">
      <t>セツメイ</t>
    </rPh>
    <phoneticPr fontId="14"/>
  </si>
  <si>
    <t>super/share</t>
    <phoneticPr fontId="14"/>
  </si>
  <si>
    <t>日本語名</t>
    <rPh sb="0" eb="3">
      <t>ニホンゴ</t>
    </rPh>
    <rPh sb="3" eb="4">
      <t>メイ</t>
    </rPh>
    <phoneticPr fontId="23"/>
  </si>
  <si>
    <t>オペレーションNo</t>
    <phoneticPr fontId="23"/>
  </si>
  <si>
    <t>ロジックID</t>
    <phoneticPr fontId="23"/>
  </si>
  <si>
    <t>オペレーションNoID</t>
    <phoneticPr fontId="23"/>
  </si>
  <si>
    <t>電文項目仕様</t>
    <rPh sb="0" eb="2">
      <t>デンブン</t>
    </rPh>
    <rPh sb="2" eb="4">
      <t>コウモク</t>
    </rPh>
    <rPh sb="4" eb="6">
      <t>シヨウ</t>
    </rPh>
    <phoneticPr fontId="1"/>
  </si>
  <si>
    <t>MSBELA6700</t>
  </si>
  <si>
    <t>UpdA01</t>
  </si>
  <si>
    <t>UpdA01_Dtl</t>
  </si>
  <si>
    <t>List</t>
    <phoneticPr fontId="1"/>
  </si>
  <si>
    <t>E</t>
    <phoneticPr fontId="1"/>
  </si>
  <si>
    <t>E</t>
    <phoneticPr fontId="1"/>
  </si>
  <si>
    <t>E</t>
    <phoneticPr fontId="1"/>
  </si>
  <si>
    <t>ChkA01</t>
  </si>
  <si>
    <t>ChkA01_Dtl</t>
  </si>
  <si>
    <t>List</t>
    <phoneticPr fontId="1"/>
  </si>
  <si>
    <t>・</t>
    <phoneticPr fontId="1"/>
  </si>
  <si>
    <t>以下メッセージをメッセージリストに追加する</t>
    <rPh sb="0" eb="2">
      <t>イカ</t>
    </rPh>
    <rPh sb="17" eb="19">
      <t>ツイカ</t>
    </rPh>
    <phoneticPr fontId="1"/>
  </si>
  <si>
    <t>引数</t>
    <rPh sb="0" eb="2">
      <t>ヒキスウ</t>
    </rPh>
    <phoneticPr fontId="1"/>
  </si>
  <si>
    <t>（メッセージＩＤ：MSBEL5018）</t>
    <phoneticPr fontId="29"/>
  </si>
  <si>
    <t>[上り電文].制御対象日</t>
    <phoneticPr fontId="1"/>
  </si>
  <si>
    <t>・</t>
    <phoneticPr fontId="1"/>
  </si>
  <si>
    <t>更新入出力仕様</t>
    <rPh sb="0" eb="2">
      <t>コウシン</t>
    </rPh>
    <rPh sb="2" eb="5">
      <t>ニュウシュツリョク</t>
    </rPh>
    <rPh sb="5" eb="7">
      <t>シヨウ</t>
    </rPh>
    <phoneticPr fontId="1"/>
  </si>
  <si>
    <t>チェック処理</t>
    <rPh sb="4" eb="6">
      <t>ショリ</t>
    </rPh>
    <phoneticPr fontId="29"/>
  </si>
  <si>
    <t>更新カウンタチェック用必須チェック</t>
  </si>
  <si>
    <t>必須チェック</t>
  </si>
  <si>
    <t>数値チェック</t>
  </si>
  <si>
    <t>数値範囲チェック</t>
  </si>
  <si>
    <t>日付チェック</t>
  </si>
  <si>
    <t>日付範囲チェック</t>
  </si>
  <si>
    <t>文字列パタンチェック</t>
  </si>
  <si>
    <t>重複チェック</t>
  </si>
  <si>
    <t>一つだけ入力チェック</t>
    <rPh sb="0" eb="1">
      <t>ヒト</t>
    </rPh>
    <rPh sb="4" eb="6">
      <t>ニュウリョク</t>
    </rPh>
    <phoneticPr fontId="29"/>
  </si>
  <si>
    <t>一つ以上入力チェック</t>
    <rPh sb="0" eb="1">
      <t>ヒト</t>
    </rPh>
    <rPh sb="2" eb="4">
      <t>イジョウ</t>
    </rPh>
    <rPh sb="4" eb="6">
      <t>ニュウリョク</t>
    </rPh>
    <phoneticPr fontId="29"/>
  </si>
  <si>
    <t>リストロジックチェック</t>
    <phoneticPr fontId="29"/>
  </si>
  <si>
    <t>定数存在チェック</t>
    <rPh sb="0" eb="2">
      <t>テイスウ</t>
    </rPh>
    <rPh sb="2" eb="4">
      <t>ソンザイ</t>
    </rPh>
    <phoneticPr fontId="29"/>
  </si>
  <si>
    <t>NULL文字補完</t>
    <rPh sb="4" eb="6">
      <t>モジ</t>
    </rPh>
    <rPh sb="6" eb="8">
      <t>ホカン</t>
    </rPh>
    <phoneticPr fontId="29"/>
  </si>
  <si>
    <t>更新前データのDACチェック</t>
    <rPh sb="0" eb="2">
      <t>コウシン</t>
    </rPh>
    <rPh sb="2" eb="3">
      <t>マエ</t>
    </rPh>
    <phoneticPr fontId="29"/>
  </si>
  <si>
    <t>更新データのDACチェック</t>
    <rPh sb="0" eb="2">
      <t>コウシン</t>
    </rPh>
    <phoneticPr fontId="29"/>
  </si>
  <si>
    <t>固有チェック１</t>
    <rPh sb="0" eb="2">
      <t>コユウ</t>
    </rPh>
    <phoneticPr fontId="29"/>
  </si>
  <si>
    <t>E</t>
    <phoneticPr fontId="1"/>
  </si>
  <si>
    <t>データ紐づけＮＯ</t>
    <rPh sb="3" eb="4">
      <t>ヒモ</t>
    </rPh>
    <phoneticPr fontId="1"/>
  </si>
  <si>
    <t>前回棚卸基準日</t>
    <rPh sb="0" eb="2">
      <t>ゼンカイ</t>
    </rPh>
    <rPh sb="2" eb="4">
      <t>タナオロシ</t>
    </rPh>
    <rPh sb="4" eb="7">
      <t>キジュンビ</t>
    </rPh>
    <phoneticPr fontId="1"/>
  </si>
  <si>
    <t>$share$</t>
  </si>
  <si>
    <t>MS.MSBELA6700.ChkA01.ChkA01_Dtl</t>
  </si>
  <si>
    <t>エラーＦＬＧ</t>
    <phoneticPr fontId="1"/>
  </si>
  <si>
    <t>E</t>
    <phoneticPr fontId="1"/>
  </si>
  <si>
    <t>棚卸一覧登録の詳細設計書、更新入出力仕様シートに従い、棚札情報を新規登録する</t>
    <rPh sb="0" eb="2">
      <t>タナオロシ</t>
    </rPh>
    <rPh sb="2" eb="4">
      <t>イチラン</t>
    </rPh>
    <rPh sb="4" eb="6">
      <t>トウロク</t>
    </rPh>
    <rPh sb="7" eb="9">
      <t>ショウサイ</t>
    </rPh>
    <rPh sb="9" eb="12">
      <t>セッケイショ</t>
    </rPh>
    <rPh sb="13" eb="15">
      <t>コウシン</t>
    </rPh>
    <rPh sb="15" eb="18">
      <t>ニュウシュツリョク</t>
    </rPh>
    <rPh sb="18" eb="20">
      <t>シヨウ</t>
    </rPh>
    <rPh sb="24" eb="25">
      <t>シタガ</t>
    </rPh>
    <rPh sb="27" eb="29">
      <t>タナフダ</t>
    </rPh>
    <rPh sb="29" eb="31">
      <t>ジョウホウ</t>
    </rPh>
    <rPh sb="32" eb="34">
      <t>シンキ</t>
    </rPh>
    <rPh sb="34" eb="36">
      <t>トウロク</t>
    </rPh>
    <phoneticPr fontId="1"/>
  </si>
  <si>
    <t>棚卸一覧登録の詳細設計書、更新入出力仕様シートに従い、棚札情報を更新する</t>
    <rPh sb="0" eb="2">
      <t>タナオロシ</t>
    </rPh>
    <rPh sb="2" eb="4">
      <t>イチラン</t>
    </rPh>
    <rPh sb="4" eb="6">
      <t>トウロク</t>
    </rPh>
    <rPh sb="7" eb="9">
      <t>ショウサイ</t>
    </rPh>
    <rPh sb="9" eb="12">
      <t>セッケイショ</t>
    </rPh>
    <rPh sb="13" eb="15">
      <t>コウシン</t>
    </rPh>
    <rPh sb="15" eb="18">
      <t>ニュウシュツリョク</t>
    </rPh>
    <rPh sb="18" eb="20">
      <t>シヨウ</t>
    </rPh>
    <rPh sb="24" eb="25">
      <t>シタガ</t>
    </rPh>
    <rPh sb="27" eb="29">
      <t>タナフダ</t>
    </rPh>
    <rPh sb="29" eb="31">
      <t>ジョウホウ</t>
    </rPh>
    <rPh sb="32" eb="34">
      <t>コウシン</t>
    </rPh>
    <phoneticPr fontId="1"/>
  </si>
  <si>
    <t>前処理(callThisChk01)</t>
    <rPh sb="0" eb="3">
      <t>マエショリ</t>
    </rPh>
    <phoneticPr fontId="1"/>
  </si>
  <si>
    <t>棚札情報作成処理(updSlblInf)</t>
    <rPh sb="0" eb="6">
      <t>タナフダジョウホウサクセイ</t>
    </rPh>
    <rPh sb="6" eb="8">
      <t>ショリ</t>
    </rPh>
    <phoneticPr fontId="1"/>
  </si>
  <si>
    <t>棚札情報作成</t>
    <rPh sb="0" eb="1">
      <t>タナ</t>
    </rPh>
    <rPh sb="1" eb="2">
      <t>フダ</t>
    </rPh>
    <rPh sb="2" eb="4">
      <t>ジョウホウ</t>
    </rPh>
    <rPh sb="4" eb="6">
      <t>サクセイ</t>
    </rPh>
    <phoneticPr fontId="1"/>
  </si>
  <si>
    <t>更新後処理(setDown)</t>
    <rPh sb="0" eb="2">
      <t>コウシン</t>
    </rPh>
    <rPh sb="2" eb="5">
      <t>アトショリ</t>
    </rPh>
    <phoneticPr fontId="1"/>
  </si>
  <si>
    <t>実棚情報のチェック、値の補完(doServerCheckSub)</t>
    <rPh sb="0" eb="1">
      <t>ジツ</t>
    </rPh>
    <rPh sb="1" eb="2">
      <t>タナ</t>
    </rPh>
    <rPh sb="2" eb="4">
      <t>ジョウホウ</t>
    </rPh>
    <rPh sb="10" eb="11">
      <t>アタイ</t>
    </rPh>
    <rPh sb="12" eb="14">
      <t>ホカン</t>
    </rPh>
    <phoneticPr fontId="1"/>
  </si>
  <si>
    <t>リストロジックチェック</t>
    <phoneticPr fontId="29"/>
  </si>
  <si>
    <t>レビュー実施記録</t>
    <rPh sb="4" eb="6">
      <t>ジッシ</t>
    </rPh>
    <rPh sb="6" eb="8">
      <t>キロク</t>
    </rPh>
    <phoneticPr fontId="1"/>
  </si>
  <si>
    <t>レビュー日</t>
    <rPh sb="4" eb="5">
      <t>ビ</t>
    </rPh>
    <phoneticPr fontId="1"/>
  </si>
  <si>
    <t>開催場所</t>
    <rPh sb="0" eb="2">
      <t>カイサイ</t>
    </rPh>
    <rPh sb="2" eb="4">
      <t>バショ</t>
    </rPh>
    <phoneticPr fontId="1"/>
  </si>
  <si>
    <t>参加者</t>
    <rPh sb="0" eb="3">
      <t>サンカシャ</t>
    </rPh>
    <phoneticPr fontId="1"/>
  </si>
  <si>
    <t>本社</t>
    <rPh sb="0" eb="2">
      <t>ホンシャ</t>
    </rPh>
    <phoneticPr fontId="1"/>
  </si>
  <si>
    <t>EU：××、××</t>
    <phoneticPr fontId="1"/>
  </si>
  <si>
    <t>BP：××、××</t>
    <phoneticPr fontId="1"/>
  </si>
  <si>
    <t>B-ENG：××、××</t>
    <phoneticPr fontId="1"/>
  </si>
  <si>
    <t>レビュー指摘・確認対応記録</t>
    <rPh sb="4" eb="6">
      <t>シテキ</t>
    </rPh>
    <rPh sb="7" eb="9">
      <t>カクニン</t>
    </rPh>
    <rPh sb="9" eb="11">
      <t>タイオウ</t>
    </rPh>
    <rPh sb="11" eb="13">
      <t>キロク</t>
    </rPh>
    <phoneticPr fontId="1"/>
  </si>
  <si>
    <t>指摘・確認事項</t>
    <rPh sb="0" eb="2">
      <t>シテキ</t>
    </rPh>
    <rPh sb="3" eb="5">
      <t>カクニン</t>
    </rPh>
    <rPh sb="5" eb="7">
      <t>ジコウ</t>
    </rPh>
    <phoneticPr fontId="1"/>
  </si>
  <si>
    <t>回答</t>
    <rPh sb="0" eb="2">
      <t>カイトウ</t>
    </rPh>
    <phoneticPr fontId="1"/>
  </si>
  <si>
    <t>確認日</t>
    <rPh sb="0" eb="2">
      <t>カクニン</t>
    </rPh>
    <rPh sb="2" eb="3">
      <t>ビ</t>
    </rPh>
    <phoneticPr fontId="1"/>
  </si>
  <si>
    <t>担当者</t>
    <rPh sb="0" eb="3">
      <t>タントウシャ</t>
    </rPh>
    <phoneticPr fontId="1"/>
  </si>
  <si>
    <t>××</t>
    <phoneticPr fontId="1"/>
  </si>
  <si>
    <t>レビュー記録</t>
    <rPh sb="4" eb="6">
      <t>キロク</t>
    </rPh>
    <phoneticPr fontId="1"/>
  </si>
  <si>
    <t>NO</t>
    <phoneticPr fontId="1"/>
  </si>
  <si>
    <t>NO</t>
    <phoneticPr fontId="1"/>
  </si>
  <si>
    <t>××</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</si>
</sst>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
  </numFmts>
  <fonts count="30">
    <font>
      <sz val="9"/>
      <name val="ＭＳ Ｐゴシック"/>
      <family val="3"/>
      <charset val="128"/>
    </font>
    <font>
      <sz val="6"/>
      <name val="ＭＳ Ｐゴシック"/>
      <family val="3"/>
      <charset val="128"/>
    </font>
    <font>
      <b/>
      <sz val="12"/>
      <name val="ＭＳ Ｐゴシック"/>
      <family val="3"/>
      <charset val="128"/>
    </font>
    <font>
      <sz val="9"/>
      <color indexed="81"/>
      <name val="ＭＳ Ｐゴシック"/>
      <family val="3"/>
      <charset val="128"/>
    </font>
    <font>
      <b/>
      <sz val="9"/>
      <color indexed="81"/>
      <name val="ＭＳ Ｐゴシック"/>
      <family val="3"/>
      <charset val="128"/>
    </font>
    <font>
      <sz val="9"/>
      <color indexed="10"/>
      <name val="ＭＳ Ｐゴシック"/>
      <family val="3"/>
      <charset val="128"/>
    </font>
    <font>
      <b/>
      <sz val="11"/>
      <name val="Meiryo UI"/>
      <family val="3"/>
      <charset val="128"/>
    </font>
    <font>
      <sz val="9"/>
      <name val="Meiryo UI"/>
      <family val="3"/>
      <charset val="128"/>
    </font>
    <font>
      <sz val="11"/>
      <name val="Meiryo UI"/>
      <family val="3"/>
      <charset val="128"/>
    </font>
    <font>
      <b/>
      <sz val="20"/>
      <color indexed="10"/>
      <name val="Meiryo UI"/>
      <family val="3"/>
      <charset val="128"/>
    </font>
    <font>
      <b/>
      <sz val="12"/>
      <name val="Meiryo UI"/>
      <family val="3"/>
      <charset val="128"/>
    </font>
    <font>
      <b/>
      <sz val="10"/>
      <name val="Meiryo UI"/>
      <family val="3"/>
      <charset val="128"/>
    </font>
    <font>
      <sz val="10"/>
      <name val="Meiryo UI"/>
      <family val="3"/>
      <charset val="128"/>
    </font>
    <font>
      <b/>
      <sz val="9"/>
      <name val="Meiryo UI"/>
      <family val="3"/>
      <charset val="128"/>
    </font>
    <font>
      <sz val="11"/>
      <name val="ＭＳ Ｐゴシック"/>
      <family val="3"/>
      <charset val="128"/>
    </font>
    <font>
      <sz val="9"/>
      <color rgb="FF000000"/>
      <name val="Meiryo UI"/>
      <family val="3"/>
      <charset val="128"/>
    </font>
    <font>
      <sz val="9"/>
      <color rgb="FFFF0000"/>
      <name val="Meiryo UI"/>
      <family val="3"/>
      <charset val="128"/>
    </font>
    <font>
      <sz val="10"/>
      <color theme="1"/>
      <name val="Meiryo UI"/>
      <family val="3"/>
      <charset val="128"/>
    </font>
    <font>
      <sz val="6"/>
      <name val="ＭＳ ゴシック"/>
      <family val="3"/>
      <charset val="128"/>
    </font>
    <font>
      <sz val="11"/>
      <color theme="1"/>
      <name val="ＭＳ Ｐゴシック"/>
      <family val="2"/>
      <scheme val="minor"/>
    </font>
    <font>
      <sz val="11"/>
      <color theme="1"/>
      <name val="Meiryo UI"/>
      <family val="3"/>
      <charset val="128"/>
    </font>
    <font>
      <b/>
      <sz val="11"/>
      <color theme="1"/>
      <name val="Meiryo UI"/>
      <family val="3"/>
      <charset val="128"/>
    </font>
    <font>
      <sz val="9"/>
      <name val="ＭＳ Ｐゴシック"/>
      <family val="3"/>
      <charset val="128"/>
    </font>
    <font>
      <sz val="6"/>
      <name val="ＭＳ Ｐ明朝"/>
      <family val="1"/>
      <charset val="128"/>
    </font>
    <font>
      <sz val="9"/>
      <color indexed="8"/>
      <name val="Meiryo UI"/>
      <family val="3"/>
      <charset val="128"/>
    </font>
    <font>
      <b/>
      <sz val="9"/>
      <color theme="1"/>
      <name val="Meiryo UI"/>
      <family val="3"/>
      <charset val="128"/>
    </font>
    <font>
      <b/>
      <sz val="9"/>
      <color indexed="81"/>
      <name val="MS P ゴシック"/>
      <family val="3"/>
      <charset val="128"/>
    </font>
    <font>
      <sz val="9"/>
      <color indexed="81"/>
      <name val="MS P ゴシック"/>
      <family val="3"/>
      <charset val="128"/>
    </font>
    <font>
      <sz val="9"/>
      <color theme="1"/>
      <name val="Meiryo UI"/>
      <family val="3"/>
      <charset val="128"/>
    </font>
    <font>
      <sz val="6"/>
      <name val="ＭＳ Ｐゴシック"/>
      <family val="3"/>
      <charset val="128"/>
      <scheme val="minor"/>
    </font>
  </fonts>
  <fills count="13">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indexed="9"/>
        <bgColor indexed="64"/>
      </patternFill>
    </fill>
    <fill>
      <patternFill patternType="solid">
        <fgColor theme="0"/>
        <bgColor indexed="64"/>
      </patternFill>
    </fill>
    <fill>
      <patternFill patternType="solid">
        <fgColor rgb="FFFFFF99"/>
        <bgColor indexed="64"/>
      </patternFill>
    </fill>
    <fill>
      <patternFill patternType="solid">
        <fgColor rgb="FFCCFFCC"/>
        <bgColor indexed="64"/>
      </patternFill>
    </fill>
    <fill>
      <patternFill patternType="solid">
        <fgColor rgb="FFCCFFFF"/>
        <bgColor indexed="64"/>
      </patternFill>
    </fill>
    <fill>
      <patternFill patternType="solid">
        <fgColor theme="0" tint="-0.14999847407452621"/>
        <bgColor indexed="64"/>
      </patternFill>
    </fill>
    <fill>
      <patternFill patternType="solid">
        <fgColor theme="0" tint="-0.14996795556505021"/>
        <bgColor indexed="64"/>
      </patternFill>
    </fill>
    <fill>
      <patternFill patternType="solid">
        <fgColor theme="0" tint="-0.249977111117893"/>
        <bgColor indexed="64"/>
      </patternFill>
    </fill>
    <fill>
      <patternFill patternType="solid">
        <fgColor theme="1" tint="0.499984740745262"/>
        <bgColor indexed="64"/>
      </patternFill>
    </fill>
  </fills>
  <borders count="108">
    <border>
      <left/>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double">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double">
        <color indexed="64"/>
      </top>
      <bottom style="thin">
        <color indexed="64"/>
      </bottom>
      <diagonal/>
    </border>
    <border>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right style="thin">
        <color indexed="64"/>
      </right>
      <top/>
      <bottom/>
      <diagonal/>
    </border>
    <border>
      <left style="thin">
        <color indexed="64"/>
      </left>
      <right/>
      <top style="double">
        <color indexed="64"/>
      </top>
      <bottom style="thin">
        <color indexed="64"/>
      </bottom>
      <diagonal/>
    </border>
    <border>
      <left style="medium">
        <color indexed="64"/>
      </left>
      <right style="thin">
        <color indexed="64"/>
      </right>
      <top/>
      <bottom/>
      <diagonal/>
    </border>
    <border>
      <left style="thin">
        <color indexed="64"/>
      </left>
      <right/>
      <top/>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thin">
        <color indexed="64"/>
      </left>
      <right style="hair">
        <color indexed="64"/>
      </right>
      <top style="double">
        <color indexed="64"/>
      </top>
      <bottom style="thin">
        <color indexed="64"/>
      </bottom>
      <diagonal/>
    </border>
    <border>
      <left style="thin">
        <color indexed="64"/>
      </left>
      <right style="hair">
        <color indexed="64"/>
      </right>
      <top style="medium">
        <color indexed="64"/>
      </top>
      <bottom style="double">
        <color indexed="64"/>
      </bottom>
      <diagonal/>
    </border>
    <border>
      <left style="thin">
        <color indexed="64"/>
      </left>
      <right style="hair">
        <color indexed="64"/>
      </right>
      <top style="thin">
        <color indexed="64"/>
      </top>
      <bottom style="thin">
        <color indexed="64"/>
      </bottom>
      <diagonal/>
    </border>
    <border>
      <left style="thin">
        <color indexed="64"/>
      </left>
      <right style="hair">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hair">
        <color indexed="64"/>
      </right>
      <top style="thin">
        <color indexed="64"/>
      </top>
      <bottom style="double">
        <color indexed="64"/>
      </bottom>
      <diagonal/>
    </border>
    <border>
      <left style="thin">
        <color indexed="64"/>
      </left>
      <right/>
      <top style="medium">
        <color indexed="64"/>
      </top>
      <bottom/>
      <diagonal/>
    </border>
    <border>
      <left style="thin">
        <color indexed="64"/>
      </left>
      <right/>
      <top/>
      <bottom style="double">
        <color indexed="64"/>
      </bottom>
      <diagonal/>
    </border>
    <border>
      <left style="medium">
        <color indexed="64"/>
      </left>
      <right/>
      <top/>
      <bottom style="double">
        <color indexed="64"/>
      </bottom>
      <diagonal/>
    </border>
    <border>
      <left/>
      <right style="medium">
        <color indexed="64"/>
      </right>
      <top style="medium">
        <color indexed="64"/>
      </top>
      <bottom style="double">
        <color indexed="64"/>
      </bottom>
      <diagonal/>
    </border>
    <border>
      <left/>
      <right style="medium">
        <color indexed="64"/>
      </right>
      <top style="double">
        <color indexed="64"/>
      </top>
      <bottom/>
      <diagonal/>
    </border>
    <border>
      <left style="thin">
        <color indexed="64"/>
      </left>
      <right/>
      <top/>
      <bottom style="thin">
        <color indexed="64"/>
      </bottom>
      <diagonal/>
    </border>
    <border>
      <left style="thin">
        <color indexed="64"/>
      </left>
      <right/>
      <top style="thin">
        <color indexed="64"/>
      </top>
      <bottom style="double">
        <color indexed="64"/>
      </bottom>
      <diagonal/>
    </border>
    <border>
      <left style="medium">
        <color indexed="64"/>
      </left>
      <right/>
      <top style="thin">
        <color indexed="64"/>
      </top>
      <bottom style="medium">
        <color indexed="64"/>
      </bottom>
      <diagonal/>
    </border>
    <border>
      <left/>
      <right style="medium">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style="double">
        <color indexed="64"/>
      </top>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style="double">
        <color indexed="64"/>
      </top>
      <bottom style="thin">
        <color indexed="64"/>
      </bottom>
      <diagonal/>
    </border>
    <border>
      <left/>
      <right style="medium">
        <color indexed="64"/>
      </right>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double">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double">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double">
        <color indexed="64"/>
      </bottom>
      <diagonal/>
    </border>
    <border>
      <left style="thin">
        <color indexed="64"/>
      </left>
      <right style="medium">
        <color indexed="64"/>
      </right>
      <top style="double">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s>
  <cellStyleXfs count="5">
    <xf numFmtId="0" fontId="0" fillId="0" borderId="0">
      <alignment vertical="center"/>
    </xf>
    <xf numFmtId="0" fontId="14" fillId="0" borderId="0">
      <alignment vertical="center"/>
    </xf>
    <xf numFmtId="0" fontId="14" fillId="0" borderId="0"/>
    <xf numFmtId="0" fontId="19" fillId="0" borderId="0"/>
    <xf numFmtId="0" fontId="22" fillId="0" borderId="0">
      <alignment vertical="center"/>
    </xf>
  </cellStyleXfs>
  <cellXfs count="507">
    <xf numFmtId="0" fontId="0" fillId="0" borderId="0" xfId="0">
      <alignment vertical="center"/>
    </xf>
    <xf numFmtId="0" fontId="7" fillId="0" borderId="0" xfId="0" applyFont="1">
      <alignment vertical="center"/>
    </xf>
    <xf numFmtId="0" fontId="9" fillId="0" borderId="0" xfId="0" applyFont="1">
      <alignment vertical="center"/>
    </xf>
    <xf numFmtId="0" fontId="7" fillId="0" borderId="0" xfId="0" applyFont="1">
      <alignment vertical="center"/>
    </xf>
    <xf numFmtId="0" fontId="7" fillId="0" borderId="7" xfId="0" applyFont="1" applyBorder="1" applyAlignment="1">
      <alignment vertical="center"/>
    </xf>
    <xf numFmtId="0" fontId="7" fillId="0" borderId="17" xfId="0" applyFont="1" applyBorder="1" applyAlignment="1">
      <alignment vertical="center"/>
    </xf>
    <xf numFmtId="0" fontId="7" fillId="2" borderId="4" xfId="0" applyFont="1" applyFill="1" applyBorder="1">
      <alignment vertical="center"/>
    </xf>
    <xf numFmtId="0" fontId="7" fillId="2" borderId="5" xfId="0" applyFont="1" applyFill="1" applyBorder="1">
      <alignment vertical="center"/>
    </xf>
    <xf numFmtId="0" fontId="7" fillId="0" borderId="1" xfId="0" applyFont="1" applyBorder="1">
      <alignment vertical="center"/>
    </xf>
    <xf numFmtId="0" fontId="7" fillId="0" borderId="0" xfId="0" applyFont="1" applyBorder="1">
      <alignment vertical="center"/>
    </xf>
    <xf numFmtId="0" fontId="7" fillId="0" borderId="2" xfId="0" applyFont="1" applyBorder="1">
      <alignment vertical="center"/>
    </xf>
    <xf numFmtId="0" fontId="7" fillId="0" borderId="3" xfId="0" applyFont="1" applyBorder="1">
      <alignment vertical="center"/>
    </xf>
    <xf numFmtId="0" fontId="13" fillId="2" borderId="4" xfId="0" applyFont="1" applyFill="1" applyBorder="1">
      <alignment vertical="center"/>
    </xf>
    <xf numFmtId="0" fontId="13" fillId="2" borderId="5" xfId="0" applyFont="1" applyFill="1" applyBorder="1">
      <alignment vertical="center"/>
    </xf>
    <xf numFmtId="0" fontId="7" fillId="0" borderId="14" xfId="0" applyNumberFormat="1" applyFont="1" applyFill="1" applyBorder="1">
      <alignment vertical="center"/>
    </xf>
    <xf numFmtId="49" fontId="7" fillId="0" borderId="0" xfId="0" applyNumberFormat="1" applyFont="1" applyBorder="1">
      <alignment vertical="center"/>
    </xf>
    <xf numFmtId="49" fontId="7" fillId="0" borderId="15" xfId="0" applyNumberFormat="1" applyFont="1" applyBorder="1">
      <alignment vertical="center"/>
    </xf>
    <xf numFmtId="49" fontId="7" fillId="0" borderId="12" xfId="0" applyNumberFormat="1" applyFont="1" applyBorder="1">
      <alignment vertical="center"/>
    </xf>
    <xf numFmtId="49" fontId="7" fillId="0" borderId="25" xfId="0" applyNumberFormat="1" applyFont="1" applyBorder="1">
      <alignment vertical="center"/>
    </xf>
    <xf numFmtId="0" fontId="13" fillId="0" borderId="16" xfId="0" applyNumberFormat="1" applyFont="1" applyFill="1" applyBorder="1">
      <alignment vertical="center"/>
    </xf>
    <xf numFmtId="49" fontId="13" fillId="3" borderId="17" xfId="0" applyNumberFormat="1" applyFont="1" applyFill="1" applyBorder="1">
      <alignment vertical="center"/>
    </xf>
    <xf numFmtId="49" fontId="7" fillId="3" borderId="7" xfId="0" applyNumberFormat="1" applyFont="1" applyFill="1" applyBorder="1">
      <alignment vertical="center"/>
    </xf>
    <xf numFmtId="49" fontId="7" fillId="3" borderId="36" xfId="0" applyNumberFormat="1" applyFont="1" applyFill="1" applyBorder="1">
      <alignment vertical="center"/>
    </xf>
    <xf numFmtId="0" fontId="7" fillId="2" borderId="48" xfId="0" applyFont="1" applyFill="1" applyBorder="1">
      <alignment vertical="center"/>
    </xf>
    <xf numFmtId="0" fontId="13" fillId="3" borderId="9" xfId="0" applyFont="1" applyFill="1" applyBorder="1">
      <alignment vertical="center"/>
    </xf>
    <xf numFmtId="0" fontId="7" fillId="3" borderId="6" xfId="0" applyFont="1" applyFill="1" applyBorder="1">
      <alignment vertical="center"/>
    </xf>
    <xf numFmtId="0" fontId="7" fillId="3" borderId="59" xfId="0" applyFont="1" applyFill="1" applyBorder="1">
      <alignment vertical="center"/>
    </xf>
    <xf numFmtId="0" fontId="7" fillId="0" borderId="25" xfId="0" applyFont="1" applyBorder="1">
      <alignment vertical="center"/>
    </xf>
    <xf numFmtId="0" fontId="13" fillId="3" borderId="8" xfId="0" applyFont="1" applyFill="1" applyBorder="1">
      <alignment vertical="center"/>
    </xf>
    <xf numFmtId="0" fontId="7" fillId="3" borderId="7" xfId="0" applyFont="1" applyFill="1" applyBorder="1">
      <alignment vertical="center"/>
    </xf>
    <xf numFmtId="0" fontId="7" fillId="3" borderId="36" xfId="0" applyFont="1" applyFill="1" applyBorder="1">
      <alignment vertical="center"/>
    </xf>
    <xf numFmtId="0" fontId="13" fillId="2" borderId="57" xfId="0" applyFont="1" applyFill="1" applyBorder="1">
      <alignment vertical="center"/>
    </xf>
    <xf numFmtId="0" fontId="13" fillId="2" borderId="32" xfId="0" applyFont="1" applyFill="1" applyBorder="1">
      <alignment vertical="center"/>
    </xf>
    <xf numFmtId="0" fontId="13" fillId="7" borderId="30" xfId="0" applyFont="1" applyFill="1" applyBorder="1">
      <alignment vertical="center"/>
    </xf>
    <xf numFmtId="0" fontId="13" fillId="2" borderId="31" xfId="0" applyFont="1" applyFill="1" applyBorder="1">
      <alignment vertical="center"/>
    </xf>
    <xf numFmtId="0" fontId="13" fillId="2" borderId="53" xfId="0" applyFont="1" applyFill="1" applyBorder="1">
      <alignment vertical="center"/>
    </xf>
    <xf numFmtId="0" fontId="13" fillId="2" borderId="58" xfId="0" applyFont="1" applyFill="1" applyBorder="1">
      <alignment vertical="center"/>
    </xf>
    <xf numFmtId="0" fontId="13" fillId="2" borderId="55" xfId="0" applyFont="1" applyFill="1" applyBorder="1">
      <alignment vertical="center"/>
    </xf>
    <xf numFmtId="0" fontId="13" fillId="2" borderId="17" xfId="0" applyFont="1" applyFill="1" applyBorder="1">
      <alignment vertical="center"/>
    </xf>
    <xf numFmtId="0" fontId="13" fillId="2" borderId="7" xfId="0" applyFont="1" applyFill="1" applyBorder="1">
      <alignment vertical="center"/>
    </xf>
    <xf numFmtId="0" fontId="13" fillId="2" borderId="33" xfId="0" applyFont="1" applyFill="1" applyBorder="1">
      <alignment vertical="center"/>
    </xf>
    <xf numFmtId="0" fontId="13" fillId="7" borderId="33" xfId="0" applyFont="1" applyFill="1" applyBorder="1">
      <alignment vertical="center"/>
    </xf>
    <xf numFmtId="0" fontId="13" fillId="2" borderId="50" xfId="0" applyFont="1" applyFill="1" applyBorder="1">
      <alignment vertical="center"/>
    </xf>
    <xf numFmtId="0" fontId="13" fillId="2" borderId="54" xfId="0" applyFont="1" applyFill="1" applyBorder="1">
      <alignment vertical="center"/>
    </xf>
    <xf numFmtId="0" fontId="13" fillId="2" borderId="60" xfId="0" applyFont="1" applyFill="1" applyBorder="1">
      <alignment vertical="center"/>
    </xf>
    <xf numFmtId="0" fontId="7" fillId="0" borderId="58" xfId="0" applyFont="1" applyBorder="1" applyAlignment="1">
      <alignment vertical="center"/>
    </xf>
    <xf numFmtId="0" fontId="7" fillId="0" borderId="55" xfId="0" applyFont="1" applyBorder="1" applyAlignment="1">
      <alignment vertical="center"/>
    </xf>
    <xf numFmtId="0" fontId="7" fillId="0" borderId="54" xfId="0" applyFont="1" applyBorder="1" applyAlignment="1">
      <alignment vertical="center"/>
    </xf>
    <xf numFmtId="0" fontId="7" fillId="0" borderId="54" xfId="0" applyFont="1" applyBorder="1" applyAlignment="1">
      <alignment horizontal="left" vertical="center" wrapText="1"/>
    </xf>
    <xf numFmtId="0" fontId="7" fillId="0" borderId="61" xfId="0" applyFont="1" applyBorder="1" applyAlignment="1">
      <alignment horizontal="center" vertical="center" wrapText="1"/>
    </xf>
    <xf numFmtId="0" fontId="7" fillId="0" borderId="62" xfId="0" applyFont="1" applyBorder="1" applyAlignment="1">
      <alignment horizontal="center" vertical="center"/>
    </xf>
    <xf numFmtId="0" fontId="7" fillId="0" borderId="63" xfId="0" applyFont="1" applyBorder="1" applyAlignment="1">
      <alignment horizontal="center" vertical="center"/>
    </xf>
    <xf numFmtId="0" fontId="7" fillId="0" borderId="54" xfId="0" applyFont="1" applyBorder="1">
      <alignment vertical="center"/>
    </xf>
    <xf numFmtId="0" fontId="7" fillId="0" borderId="60" xfId="0" applyFont="1" applyBorder="1">
      <alignment vertical="center"/>
    </xf>
    <xf numFmtId="0" fontId="7" fillId="4" borderId="0" xfId="0" applyFont="1" applyFill="1" applyBorder="1">
      <alignment vertical="center"/>
    </xf>
    <xf numFmtId="0" fontId="7" fillId="0" borderId="26" xfId="0" applyFont="1" applyBorder="1">
      <alignment vertical="center"/>
    </xf>
    <xf numFmtId="0" fontId="7" fillId="0" borderId="20" xfId="0" applyNumberFormat="1" applyFont="1" applyBorder="1" applyAlignment="1">
      <alignment horizontal="center" vertical="top"/>
    </xf>
    <xf numFmtId="0" fontId="7" fillId="0" borderId="21" xfId="0" applyNumberFormat="1" applyFont="1" applyBorder="1" applyAlignment="1">
      <alignment horizontal="center" vertical="top"/>
    </xf>
    <xf numFmtId="0" fontId="7" fillId="0" borderId="0" xfId="0" applyFont="1" applyAlignment="1">
      <alignment vertical="center"/>
    </xf>
    <xf numFmtId="0" fontId="7" fillId="0" borderId="56" xfId="0" applyNumberFormat="1" applyFont="1" applyBorder="1" applyAlignment="1">
      <alignment vertical="center"/>
    </xf>
    <xf numFmtId="0" fontId="7" fillId="0" borderId="49" xfId="0" applyNumberFormat="1" applyFont="1" applyBorder="1" applyAlignment="1">
      <alignment vertical="center"/>
    </xf>
    <xf numFmtId="0" fontId="7" fillId="0" borderId="50" xfId="0" applyFont="1" applyBorder="1" applyAlignment="1">
      <alignment vertical="center"/>
    </xf>
    <xf numFmtId="0" fontId="0" fillId="0" borderId="0" xfId="0" applyFont="1">
      <alignment vertical="center"/>
    </xf>
    <xf numFmtId="0" fontId="0" fillId="0" borderId="1" xfId="0" applyFont="1" applyBorder="1">
      <alignment vertical="center"/>
    </xf>
    <xf numFmtId="0" fontId="0" fillId="0" borderId="0" xfId="0" applyFont="1" applyBorder="1">
      <alignment vertical="center"/>
    </xf>
    <xf numFmtId="0" fontId="0" fillId="0" borderId="25" xfId="0" applyFont="1" applyBorder="1">
      <alignment vertical="center"/>
    </xf>
    <xf numFmtId="49" fontId="13" fillId="2" borderId="4" xfId="0" applyNumberFormat="1" applyFont="1" applyFill="1" applyBorder="1">
      <alignment vertical="center"/>
    </xf>
    <xf numFmtId="49" fontId="13" fillId="2" borderId="5" xfId="0" applyNumberFormat="1" applyFont="1" applyFill="1" applyBorder="1">
      <alignment vertical="center"/>
    </xf>
    <xf numFmtId="49" fontId="13" fillId="2" borderId="10" xfId="0" applyNumberFormat="1" applyFont="1" applyFill="1" applyBorder="1">
      <alignment vertical="center"/>
    </xf>
    <xf numFmtId="49" fontId="13" fillId="2" borderId="48" xfId="0" applyNumberFormat="1" applyFont="1" applyFill="1" applyBorder="1">
      <alignment vertical="center"/>
    </xf>
    <xf numFmtId="49" fontId="7" fillId="0" borderId="0" xfId="0" applyNumberFormat="1" applyFont="1" applyBorder="1" applyAlignment="1">
      <alignment horizontal="left" vertical="center"/>
    </xf>
    <xf numFmtId="0" fontId="7" fillId="0" borderId="39" xfId="0" applyFont="1" applyBorder="1" applyAlignment="1">
      <alignment horizontal="center" vertical="top"/>
    </xf>
    <xf numFmtId="0" fontId="13" fillId="2" borderId="40" xfId="0" applyFont="1" applyFill="1" applyBorder="1" applyAlignment="1">
      <alignment horizontal="center"/>
    </xf>
    <xf numFmtId="0" fontId="7" fillId="0" borderId="41" xfId="0" applyFont="1" applyBorder="1" applyAlignment="1">
      <alignment horizontal="center" vertical="top"/>
    </xf>
    <xf numFmtId="14" fontId="7" fillId="0" borderId="41" xfId="0" applyNumberFormat="1" applyFont="1" applyBorder="1" applyAlignment="1">
      <alignment horizontal="center" vertical="top"/>
    </xf>
    <xf numFmtId="0" fontId="7" fillId="0" borderId="42" xfId="0" applyFont="1" applyBorder="1" applyAlignment="1">
      <alignment horizontal="center" vertical="top"/>
    </xf>
    <xf numFmtId="0" fontId="13" fillId="2" borderId="11" xfId="0" applyFont="1" applyFill="1" applyBorder="1" applyAlignment="1">
      <alignment horizontal="center"/>
    </xf>
    <xf numFmtId="177" fontId="7" fillId="0" borderId="17" xfId="0" applyNumberFormat="1" applyFont="1" applyBorder="1" applyAlignment="1">
      <alignment horizontal="center" vertical="top"/>
    </xf>
    <xf numFmtId="0" fontId="7" fillId="0" borderId="17" xfId="0" applyFont="1" applyBorder="1" applyAlignment="1">
      <alignment vertical="top" wrapText="1"/>
    </xf>
    <xf numFmtId="0" fontId="7" fillId="0" borderId="13" xfId="0" applyFont="1" applyBorder="1" applyAlignment="1">
      <alignment vertical="top" wrapText="1"/>
    </xf>
    <xf numFmtId="177" fontId="7" fillId="0" borderId="35" xfId="0" applyNumberFormat="1" applyFont="1" applyBorder="1" applyAlignment="1">
      <alignment horizontal="center" vertical="top"/>
    </xf>
    <xf numFmtId="0" fontId="7" fillId="0" borderId="35" xfId="0" applyFont="1" applyBorder="1" applyAlignment="1">
      <alignment vertical="top" wrapText="1"/>
    </xf>
    <xf numFmtId="177" fontId="7" fillId="0" borderId="8" xfId="0" applyNumberFormat="1" applyFont="1" applyBorder="1" applyAlignment="1">
      <alignment horizontal="center" vertical="top"/>
    </xf>
    <xf numFmtId="0" fontId="7" fillId="0" borderId="41" xfId="0" applyNumberFormat="1" applyFont="1" applyBorder="1" applyAlignment="1">
      <alignment horizontal="center" vertical="top"/>
    </xf>
    <xf numFmtId="0" fontId="7" fillId="0" borderId="17" xfId="0" applyNumberFormat="1" applyFont="1" applyBorder="1" applyAlignment="1">
      <alignment horizontal="center" vertical="top"/>
    </xf>
    <xf numFmtId="0" fontId="7" fillId="0" borderId="42" xfId="0" applyNumberFormat="1" applyFont="1" applyBorder="1" applyAlignment="1">
      <alignment horizontal="center" vertical="top"/>
    </xf>
    <xf numFmtId="0" fontId="13" fillId="2" borderId="44" xfId="0" applyFont="1" applyFill="1" applyBorder="1" applyAlignment="1">
      <alignment horizontal="center"/>
    </xf>
    <xf numFmtId="0" fontId="13" fillId="2" borderId="22" xfId="0" applyFont="1" applyFill="1" applyBorder="1" applyAlignment="1">
      <alignment horizontal="center"/>
    </xf>
    <xf numFmtId="0" fontId="7" fillId="7" borderId="47" xfId="0" applyFont="1" applyFill="1" applyBorder="1" applyAlignment="1">
      <alignment horizontal="center"/>
    </xf>
    <xf numFmtId="0" fontId="7" fillId="7" borderId="46" xfId="0" applyFont="1" applyFill="1" applyBorder="1" applyAlignment="1">
      <alignment horizontal="center"/>
    </xf>
    <xf numFmtId="177" fontId="7" fillId="0" borderId="52" xfId="0" applyNumberFormat="1" applyFont="1" applyBorder="1" applyAlignment="1">
      <alignment horizontal="center" vertical="top"/>
    </xf>
    <xf numFmtId="0" fontId="13" fillId="2" borderId="4" xfId="0" applyFont="1" applyFill="1" applyBorder="1" applyAlignment="1">
      <alignment horizontal="center"/>
    </xf>
    <xf numFmtId="0" fontId="13" fillId="2" borderId="64" xfId="0" applyFont="1" applyFill="1" applyBorder="1" applyAlignment="1">
      <alignment horizontal="center"/>
    </xf>
    <xf numFmtId="177" fontId="7" fillId="0" borderId="65" xfId="0" applyNumberFormat="1" applyFont="1" applyBorder="1" applyAlignment="1">
      <alignment horizontal="center" vertical="top"/>
    </xf>
    <xf numFmtId="0" fontId="7" fillId="0" borderId="17" xfId="0" applyFont="1" applyBorder="1" applyAlignment="1">
      <alignment horizontal="left" vertical="top" wrapText="1"/>
    </xf>
    <xf numFmtId="0" fontId="13" fillId="2" borderId="66" xfId="0" applyFont="1" applyFill="1" applyBorder="1" applyAlignment="1">
      <alignment horizontal="center"/>
    </xf>
    <xf numFmtId="0" fontId="7" fillId="7" borderId="67" xfId="0" applyFont="1" applyFill="1" applyBorder="1" applyAlignment="1">
      <alignment horizontal="center"/>
    </xf>
    <xf numFmtId="177" fontId="7" fillId="0" borderId="58" xfId="0" applyNumberFormat="1" applyFont="1" applyBorder="1" applyAlignment="1">
      <alignment horizontal="center" vertical="top"/>
    </xf>
    <xf numFmtId="14" fontId="7" fillId="0" borderId="68" xfId="0" applyNumberFormat="1" applyFont="1" applyBorder="1" applyAlignment="1">
      <alignment horizontal="center" vertical="top"/>
    </xf>
    <xf numFmtId="0" fontId="7" fillId="0" borderId="50" xfId="0" applyFont="1" applyBorder="1" applyAlignment="1">
      <alignment vertical="top" wrapText="1"/>
    </xf>
    <xf numFmtId="0" fontId="7" fillId="0" borderId="61" xfId="0" applyNumberFormat="1" applyFont="1" applyBorder="1" applyAlignment="1">
      <alignment horizontal="center" vertical="top"/>
    </xf>
    <xf numFmtId="0" fontId="7" fillId="0" borderId="33" xfId="0" applyFont="1" applyBorder="1" applyAlignment="1">
      <alignment horizontal="center" vertical="top"/>
    </xf>
    <xf numFmtId="0" fontId="7" fillId="0" borderId="43" xfId="0" applyFont="1" applyBorder="1" applyAlignment="1">
      <alignment horizontal="center" vertical="top"/>
    </xf>
    <xf numFmtId="0" fontId="13" fillId="6" borderId="28" xfId="0" applyFont="1" applyFill="1" applyBorder="1">
      <alignment vertical="center"/>
    </xf>
    <xf numFmtId="0" fontId="7" fillId="0" borderId="70" xfId="0" applyFont="1" applyBorder="1">
      <alignment vertical="center"/>
    </xf>
    <xf numFmtId="0" fontId="13" fillId="6" borderId="70" xfId="0" applyFont="1" applyFill="1" applyBorder="1">
      <alignment vertical="center"/>
    </xf>
    <xf numFmtId="14" fontId="7" fillId="0" borderId="70" xfId="0" applyNumberFormat="1" applyFont="1" applyFill="1" applyBorder="1" applyAlignment="1">
      <alignment horizontal="center" shrinkToFit="1"/>
    </xf>
    <xf numFmtId="0" fontId="13" fillId="6" borderId="71" xfId="0" applyFont="1" applyFill="1" applyBorder="1">
      <alignment vertical="center"/>
    </xf>
    <xf numFmtId="0" fontId="13" fillId="6" borderId="18" xfId="0" applyFont="1" applyFill="1" applyBorder="1">
      <alignment vertical="center"/>
    </xf>
    <xf numFmtId="0" fontId="7" fillId="0" borderId="33" xfId="0" applyFont="1" applyBorder="1">
      <alignment vertical="center"/>
    </xf>
    <xf numFmtId="0" fontId="13" fillId="6" borderId="33" xfId="0" applyFont="1" applyFill="1" applyBorder="1">
      <alignment vertical="center"/>
    </xf>
    <xf numFmtId="14" fontId="7" fillId="0" borderId="33" xfId="0" applyNumberFormat="1" applyFont="1" applyBorder="1" applyAlignment="1">
      <alignment horizontal="center" shrinkToFit="1"/>
    </xf>
    <xf numFmtId="0" fontId="13" fillId="6" borderId="34" xfId="0" applyFont="1" applyFill="1" applyBorder="1">
      <alignment vertical="center"/>
    </xf>
    <xf numFmtId="0" fontId="7" fillId="0" borderId="43" xfId="0" applyFont="1" applyBorder="1">
      <alignment vertical="center"/>
    </xf>
    <xf numFmtId="0" fontId="13" fillId="6" borderId="43" xfId="0" applyFont="1" applyFill="1" applyBorder="1">
      <alignment vertical="center"/>
    </xf>
    <xf numFmtId="177" fontId="7" fillId="0" borderId="43" xfId="0" applyNumberFormat="1" applyFont="1" applyFill="1" applyBorder="1" applyAlignment="1">
      <alignment horizontal="center" shrinkToFit="1"/>
    </xf>
    <xf numFmtId="0" fontId="13" fillId="0" borderId="0" xfId="0" applyFont="1" applyAlignment="1">
      <alignment horizontal="center" vertical="center"/>
    </xf>
    <xf numFmtId="49" fontId="7" fillId="0" borderId="15" xfId="0" applyNumberFormat="1" applyFont="1" applyBorder="1" applyAlignment="1">
      <alignment horizontal="center" vertical="center"/>
    </xf>
    <xf numFmtId="49" fontId="7" fillId="0" borderId="12" xfId="0" applyNumberFormat="1" applyFont="1" applyBorder="1" applyAlignment="1">
      <alignment horizontal="center" vertical="center"/>
    </xf>
    <xf numFmtId="0" fontId="7" fillId="0" borderId="74" xfId="0" applyNumberFormat="1" applyFont="1" applyBorder="1" applyAlignment="1">
      <alignment horizontal="center" vertical="top"/>
    </xf>
    <xf numFmtId="177" fontId="7" fillId="0" borderId="9" xfId="0" applyNumberFormat="1" applyFont="1" applyBorder="1" applyAlignment="1">
      <alignment horizontal="center" vertical="top"/>
    </xf>
    <xf numFmtId="14" fontId="7" fillId="0" borderId="65" xfId="0" applyNumberFormat="1" applyFont="1" applyBorder="1" applyAlignment="1">
      <alignment horizontal="center" vertical="top" shrinkToFit="1"/>
    </xf>
    <xf numFmtId="0" fontId="7" fillId="0" borderId="39" xfId="0" applyNumberFormat="1" applyFont="1" applyBorder="1" applyAlignment="1">
      <alignment horizontal="center"/>
    </xf>
    <xf numFmtId="0" fontId="7" fillId="0" borderId="1" xfId="0" applyFont="1" applyBorder="1" applyAlignment="1">
      <alignment horizontal="center" vertical="center"/>
    </xf>
    <xf numFmtId="0" fontId="7" fillId="0" borderId="7" xfId="0" applyFont="1" applyBorder="1" applyAlignment="1">
      <alignment horizontal="left" vertical="center" wrapText="1"/>
    </xf>
    <xf numFmtId="0" fontId="7" fillId="0" borderId="41" xfId="0" applyFont="1" applyBorder="1" applyAlignment="1">
      <alignment horizontal="center" vertical="center" wrapText="1"/>
    </xf>
    <xf numFmtId="0" fontId="7" fillId="0" borderId="75" xfId="0" applyFont="1" applyBorder="1" applyAlignment="1">
      <alignment horizontal="center" vertical="center"/>
    </xf>
    <xf numFmtId="0" fontId="7" fillId="0" borderId="76" xfId="0" applyFont="1" applyBorder="1" applyAlignment="1">
      <alignment horizontal="center" vertical="center"/>
    </xf>
    <xf numFmtId="49" fontId="7" fillId="0" borderId="7" xfId="0" applyNumberFormat="1" applyFont="1" applyBorder="1">
      <alignment vertical="center"/>
    </xf>
    <xf numFmtId="0" fontId="7" fillId="0" borderId="7" xfId="0" applyFont="1" applyBorder="1">
      <alignment vertical="center"/>
    </xf>
    <xf numFmtId="0" fontId="7" fillId="0" borderId="36" xfId="0" applyFont="1" applyBorder="1">
      <alignment vertical="center"/>
    </xf>
    <xf numFmtId="0" fontId="7" fillId="0" borderId="0" xfId="0" applyFont="1" applyFill="1">
      <alignment vertical="center"/>
    </xf>
    <xf numFmtId="49" fontId="7" fillId="0" borderId="15" xfId="0" applyNumberFormat="1" applyFont="1" applyFill="1" applyBorder="1">
      <alignment vertical="center"/>
    </xf>
    <xf numFmtId="49" fontId="15" fillId="0" borderId="0" xfId="0" applyNumberFormat="1" applyFont="1" applyFill="1" applyBorder="1">
      <alignment vertical="center"/>
    </xf>
    <xf numFmtId="49" fontId="7" fillId="0" borderId="0" xfId="0" applyNumberFormat="1" applyFont="1" applyFill="1" applyBorder="1">
      <alignment vertical="center"/>
    </xf>
    <xf numFmtId="49" fontId="7" fillId="0" borderId="12" xfId="0" applyNumberFormat="1" applyFont="1" applyFill="1" applyBorder="1">
      <alignment vertical="center"/>
    </xf>
    <xf numFmtId="49" fontId="16" fillId="0" borderId="0" xfId="0" applyNumberFormat="1" applyFont="1" applyBorder="1">
      <alignment vertical="center"/>
    </xf>
    <xf numFmtId="0" fontId="7" fillId="0" borderId="14" xfId="0" applyNumberFormat="1" applyFont="1" applyFill="1" applyBorder="1" applyAlignment="1">
      <alignment vertical="center"/>
    </xf>
    <xf numFmtId="49" fontId="16" fillId="0" borderId="0" xfId="0" applyNumberFormat="1" applyFont="1" applyBorder="1" applyAlignment="1">
      <alignment horizontal="left" vertical="center"/>
    </xf>
    <xf numFmtId="49" fontId="7" fillId="0" borderId="15" xfId="0" quotePrefix="1" applyNumberFormat="1" applyFont="1" applyFill="1" applyBorder="1" applyAlignment="1">
      <alignment horizontal="left" vertical="center"/>
    </xf>
    <xf numFmtId="0" fontId="7" fillId="0" borderId="0" xfId="0" quotePrefix="1" applyFont="1" applyFill="1" applyAlignment="1">
      <alignment vertical="center"/>
    </xf>
    <xf numFmtId="49" fontId="7" fillId="0" borderId="0" xfId="0" applyNumberFormat="1" applyFont="1" applyFill="1" applyBorder="1" applyAlignment="1">
      <alignment horizontal="left" vertical="center"/>
    </xf>
    <xf numFmtId="49" fontId="7" fillId="0" borderId="12" xfId="0" applyNumberFormat="1" applyFont="1" applyFill="1" applyBorder="1" applyAlignment="1">
      <alignment horizontal="left" vertical="center"/>
    </xf>
    <xf numFmtId="49" fontId="7" fillId="0" borderId="25" xfId="0" applyNumberFormat="1" applyFont="1" applyBorder="1" applyAlignment="1">
      <alignment horizontal="left" vertical="center"/>
    </xf>
    <xf numFmtId="49" fontId="15" fillId="0" borderId="0" xfId="0" applyNumberFormat="1" applyFont="1" applyBorder="1">
      <alignment vertical="center"/>
    </xf>
    <xf numFmtId="0" fontId="7" fillId="0" borderId="0" xfId="0" quotePrefix="1" applyFont="1" applyFill="1">
      <alignment vertical="center"/>
    </xf>
    <xf numFmtId="49" fontId="17" fillId="5" borderId="17" xfId="0" applyNumberFormat="1" applyFont="1" applyFill="1" applyBorder="1" applyAlignment="1">
      <alignment vertical="top"/>
    </xf>
    <xf numFmtId="49" fontId="17" fillId="5" borderId="17" xfId="0" quotePrefix="1" applyNumberFormat="1" applyFont="1" applyFill="1" applyBorder="1" applyAlignment="1">
      <alignment vertical="top"/>
    </xf>
    <xf numFmtId="49" fontId="7" fillId="0" borderId="0" xfId="0" applyNumberFormat="1" applyFont="1" applyBorder="1" applyAlignment="1">
      <alignment vertical="center"/>
    </xf>
    <xf numFmtId="0" fontId="7" fillId="0" borderId="0" xfId="0" applyFont="1" applyBorder="1" applyAlignment="1">
      <alignment vertical="center"/>
    </xf>
    <xf numFmtId="49" fontId="7" fillId="9" borderId="17" xfId="0" applyNumberFormat="1" applyFont="1" applyFill="1" applyBorder="1" applyAlignment="1">
      <alignment vertical="center"/>
    </xf>
    <xf numFmtId="49" fontId="7" fillId="9" borderId="18" xfId="0" applyNumberFormat="1" applyFont="1" applyFill="1" applyBorder="1" applyAlignment="1">
      <alignment vertical="center"/>
    </xf>
    <xf numFmtId="49" fontId="7" fillId="9" borderId="7" xfId="0" applyNumberFormat="1" applyFont="1" applyFill="1" applyBorder="1" applyAlignment="1">
      <alignment vertical="center"/>
    </xf>
    <xf numFmtId="49" fontId="7" fillId="10" borderId="17" xfId="0" applyNumberFormat="1" applyFont="1" applyFill="1" applyBorder="1" applyAlignment="1">
      <alignment vertical="center"/>
    </xf>
    <xf numFmtId="49" fontId="7" fillId="10" borderId="7" xfId="0" applyNumberFormat="1" applyFont="1" applyFill="1" applyBorder="1" applyAlignment="1">
      <alignment vertical="center"/>
    </xf>
    <xf numFmtId="49" fontId="7" fillId="0" borderId="17" xfId="0" applyNumberFormat="1" applyFont="1" applyBorder="1" applyAlignment="1">
      <alignment horizontal="left" vertical="center"/>
    </xf>
    <xf numFmtId="49" fontId="7" fillId="0" borderId="18" xfId="0" applyNumberFormat="1" applyFont="1" applyBorder="1" applyAlignment="1">
      <alignment horizontal="left" vertical="center"/>
    </xf>
    <xf numFmtId="49" fontId="7" fillId="0" borderId="7" xfId="0" applyNumberFormat="1" applyFont="1" applyBorder="1" applyAlignment="1">
      <alignment horizontal="left" vertical="center"/>
    </xf>
    <xf numFmtId="49" fontId="7" fillId="0" borderId="7" xfId="0" applyNumberFormat="1" applyFont="1" applyBorder="1" applyAlignment="1">
      <alignment vertical="top"/>
    </xf>
    <xf numFmtId="49" fontId="7" fillId="0" borderId="18" xfId="0" applyNumberFormat="1" applyFont="1" applyBorder="1" applyAlignment="1">
      <alignment vertical="top"/>
    </xf>
    <xf numFmtId="49" fontId="7" fillId="0" borderId="0" xfId="0" applyNumberFormat="1" applyFont="1" applyBorder="1" applyAlignment="1">
      <alignment vertical="center" shrinkToFit="1"/>
    </xf>
    <xf numFmtId="49" fontId="7" fillId="0" borderId="0" xfId="0" applyNumberFormat="1" applyFont="1" applyBorder="1" applyAlignment="1">
      <alignment vertical="top"/>
    </xf>
    <xf numFmtId="0" fontId="16" fillId="0" borderId="0" xfId="0" applyFont="1">
      <alignment vertical="center"/>
    </xf>
    <xf numFmtId="49" fontId="7" fillId="0" borderId="15" xfId="0" applyNumberFormat="1" applyFont="1" applyBorder="1" applyAlignment="1">
      <alignment horizontal="center" vertical="center"/>
    </xf>
    <xf numFmtId="49" fontId="7" fillId="0" borderId="12" xfId="0" applyNumberFormat="1" applyFont="1" applyBorder="1" applyAlignment="1">
      <alignment horizontal="center" vertical="center"/>
    </xf>
    <xf numFmtId="0" fontId="20" fillId="0" borderId="0" xfId="3" applyFont="1"/>
    <xf numFmtId="0" fontId="7" fillId="0" borderId="1" xfId="0" applyFont="1" applyBorder="1" applyAlignment="1">
      <alignment vertical="center"/>
    </xf>
    <xf numFmtId="0" fontId="7" fillId="0" borderId="3" xfId="4" applyFont="1" applyBorder="1">
      <alignment vertical="center"/>
    </xf>
    <xf numFmtId="0" fontId="13" fillId="7" borderId="22" xfId="4" applyFont="1" applyFill="1" applyBorder="1">
      <alignment vertical="center"/>
    </xf>
    <xf numFmtId="0" fontId="7" fillId="7" borderId="78" xfId="4" applyFont="1" applyFill="1" applyBorder="1">
      <alignment vertical="center"/>
    </xf>
    <xf numFmtId="0" fontId="7" fillId="0" borderId="70" xfId="4" applyFont="1" applyFill="1" applyBorder="1">
      <alignment vertical="center"/>
    </xf>
    <xf numFmtId="0" fontId="7" fillId="7" borderId="23" xfId="4" applyFont="1" applyFill="1" applyBorder="1">
      <alignment vertical="center"/>
    </xf>
    <xf numFmtId="0" fontId="7" fillId="7" borderId="24" xfId="4" applyFont="1" applyFill="1" applyBorder="1">
      <alignment vertical="center"/>
    </xf>
    <xf numFmtId="0" fontId="13" fillId="7" borderId="8" xfId="4" applyFont="1" applyFill="1" applyBorder="1">
      <alignment vertical="center"/>
    </xf>
    <xf numFmtId="0" fontId="7" fillId="7" borderId="18" xfId="4" applyFont="1" applyFill="1" applyBorder="1">
      <alignment vertical="center"/>
    </xf>
    <xf numFmtId="0" fontId="7" fillId="0" borderId="7" xfId="4" applyFont="1" applyFill="1" applyBorder="1">
      <alignment vertical="center"/>
    </xf>
    <xf numFmtId="0" fontId="7" fillId="0" borderId="36" xfId="4" applyFont="1" applyFill="1" applyBorder="1">
      <alignment vertical="center"/>
    </xf>
    <xf numFmtId="0" fontId="13" fillId="7" borderId="58" xfId="4" applyFont="1" applyFill="1" applyBorder="1">
      <alignment vertical="center"/>
    </xf>
    <xf numFmtId="0" fontId="7" fillId="7" borderId="55" xfId="4" applyFont="1" applyFill="1" applyBorder="1">
      <alignment vertical="center"/>
    </xf>
    <xf numFmtId="0" fontId="7" fillId="0" borderId="50" xfId="4" applyFont="1" applyFill="1" applyBorder="1">
      <alignment vertical="center"/>
    </xf>
    <xf numFmtId="0" fontId="7" fillId="0" borderId="54" xfId="4" applyFont="1" applyFill="1" applyBorder="1">
      <alignment vertical="center"/>
    </xf>
    <xf numFmtId="0" fontId="7" fillId="0" borderId="60" xfId="4" applyFont="1" applyFill="1" applyBorder="1">
      <alignment vertical="center"/>
    </xf>
    <xf numFmtId="0" fontId="13" fillId="6" borderId="20" xfId="4" applyFont="1" applyFill="1" applyBorder="1">
      <alignment vertical="center"/>
    </xf>
    <xf numFmtId="0" fontId="13" fillId="6" borderId="18" xfId="4" applyFont="1" applyFill="1" applyBorder="1">
      <alignment vertical="center"/>
    </xf>
    <xf numFmtId="0" fontId="13" fillId="6" borderId="79" xfId="4" applyFont="1" applyFill="1" applyBorder="1">
      <alignment vertical="center"/>
    </xf>
    <xf numFmtId="0" fontId="24" fillId="0" borderId="20" xfId="3" applyNumberFormat="1" applyFont="1" applyFill="1" applyBorder="1" applyAlignment="1">
      <alignment vertical="top"/>
    </xf>
    <xf numFmtId="0" fontId="7" fillId="0" borderId="33" xfId="3" applyNumberFormat="1" applyFont="1" applyFill="1" applyBorder="1" applyAlignment="1">
      <alignment vertical="center"/>
    </xf>
    <xf numFmtId="0" fontId="7" fillId="0" borderId="33" xfId="3" applyNumberFormat="1" applyFont="1" applyFill="1" applyBorder="1" applyAlignment="1">
      <alignment wrapText="1"/>
    </xf>
    <xf numFmtId="0" fontId="7" fillId="0" borderId="79" xfId="3" applyNumberFormat="1" applyFont="1" applyFill="1" applyBorder="1" applyAlignment="1">
      <alignment wrapText="1"/>
    </xf>
    <xf numFmtId="0" fontId="13" fillId="8" borderId="20" xfId="2" applyFont="1" applyFill="1" applyBorder="1" applyAlignment="1"/>
    <xf numFmtId="0" fontId="25" fillId="8" borderId="68" xfId="2" applyFont="1" applyFill="1" applyBorder="1"/>
    <xf numFmtId="0" fontId="25" fillId="8" borderId="36" xfId="2" applyFont="1" applyFill="1" applyBorder="1" applyAlignment="1"/>
    <xf numFmtId="0" fontId="7" fillId="0" borderId="33" xfId="3" applyNumberFormat="1" applyFont="1" applyFill="1" applyBorder="1" applyAlignment="1">
      <alignment vertical="top" wrapText="1"/>
    </xf>
    <xf numFmtId="0" fontId="7" fillId="0" borderId="60" xfId="3" applyNumberFormat="1" applyFont="1" applyFill="1" applyBorder="1" applyAlignment="1">
      <alignment wrapText="1"/>
    </xf>
    <xf numFmtId="0" fontId="25" fillId="8" borderId="33" xfId="2" applyFont="1" applyFill="1" applyBorder="1"/>
    <xf numFmtId="0" fontId="7" fillId="0" borderId="17" xfId="3" applyNumberFormat="1" applyFont="1" applyFill="1" applyBorder="1" applyAlignment="1">
      <alignment vertical="top" wrapText="1"/>
    </xf>
    <xf numFmtId="0" fontId="7" fillId="0" borderId="54" xfId="3" applyNumberFormat="1" applyFont="1" applyFill="1" applyBorder="1" applyAlignment="1">
      <alignment wrapText="1"/>
    </xf>
    <xf numFmtId="0" fontId="7" fillId="0" borderId="52" xfId="4" applyFont="1" applyBorder="1">
      <alignment vertical="center"/>
    </xf>
    <xf numFmtId="0" fontId="7" fillId="0" borderId="19" xfId="4" applyFont="1" applyBorder="1">
      <alignment vertical="center"/>
    </xf>
    <xf numFmtId="0" fontId="7" fillId="0" borderId="37" xfId="4" applyFont="1" applyBorder="1">
      <alignment vertical="center"/>
    </xf>
    <xf numFmtId="0" fontId="24" fillId="0" borderId="20" xfId="3" applyNumberFormat="1" applyFont="1" applyFill="1" applyBorder="1" applyAlignment="1">
      <alignment vertical="center"/>
    </xf>
    <xf numFmtId="0" fontId="24" fillId="0" borderId="21" xfId="3" applyNumberFormat="1" applyFont="1" applyFill="1" applyBorder="1" applyAlignment="1">
      <alignment vertical="top"/>
    </xf>
    <xf numFmtId="0" fontId="7" fillId="0" borderId="43" xfId="3" applyNumberFormat="1" applyFont="1" applyFill="1" applyBorder="1" applyAlignment="1">
      <alignment vertical="top"/>
    </xf>
    <xf numFmtId="0" fontId="7" fillId="0" borderId="80" xfId="3" applyNumberFormat="1" applyFont="1" applyFill="1" applyBorder="1" applyAlignment="1">
      <alignment vertical="top" wrapText="1"/>
    </xf>
    <xf numFmtId="0" fontId="7" fillId="0" borderId="43" xfId="3" applyNumberFormat="1" applyFont="1" applyFill="1" applyBorder="1" applyAlignment="1">
      <alignment vertical="top" wrapText="1"/>
    </xf>
    <xf numFmtId="0" fontId="7" fillId="0" borderId="26" xfId="3" applyNumberFormat="1" applyFont="1" applyFill="1" applyBorder="1" applyAlignment="1">
      <alignment wrapText="1"/>
    </xf>
    <xf numFmtId="0" fontId="7" fillId="0" borderId="0" xfId="4" applyFont="1">
      <alignment vertical="center"/>
    </xf>
    <xf numFmtId="49" fontId="7" fillId="0" borderId="15" xfId="0" applyNumberFormat="1" applyFont="1" applyBorder="1" applyAlignment="1">
      <alignment horizontal="center" vertical="center"/>
    </xf>
    <xf numFmtId="49" fontId="7" fillId="0" borderId="12" xfId="0" applyNumberFormat="1" applyFont="1" applyBorder="1" applyAlignment="1">
      <alignment horizontal="center" vertical="center"/>
    </xf>
    <xf numFmtId="14" fontId="7" fillId="0" borderId="13" xfId="0" applyNumberFormat="1" applyFont="1" applyBorder="1" applyAlignment="1">
      <alignment horizontal="center" vertical="top" shrinkToFit="1"/>
    </xf>
    <xf numFmtId="14" fontId="7" fillId="0" borderId="17" xfId="0" applyNumberFormat="1" applyFont="1" applyBorder="1" applyAlignment="1">
      <alignment horizontal="center" vertical="top"/>
    </xf>
    <xf numFmtId="0" fontId="7" fillId="0" borderId="17" xfId="0" applyFont="1" applyBorder="1" applyAlignment="1">
      <alignment horizontal="center" vertical="top"/>
    </xf>
    <xf numFmtId="0" fontId="7" fillId="0" borderId="35" xfId="0" applyFont="1" applyBorder="1" applyAlignment="1">
      <alignment horizontal="center" vertical="top"/>
    </xf>
    <xf numFmtId="0" fontId="7" fillId="0" borderId="39" xfId="0" applyFont="1" applyBorder="1" applyAlignment="1">
      <alignment horizontal="left" vertical="top"/>
    </xf>
    <xf numFmtId="0" fontId="7" fillId="0" borderId="41" xfId="0" applyFont="1" applyBorder="1" applyAlignment="1">
      <alignment horizontal="left" vertical="top"/>
    </xf>
    <xf numFmtId="0" fontId="7" fillId="0" borderId="42" xfId="0" applyFont="1" applyBorder="1" applyAlignment="1">
      <alignment horizontal="left" vertical="top"/>
    </xf>
    <xf numFmtId="0" fontId="13" fillId="2" borderId="51" xfId="0" applyFont="1" applyFill="1" applyBorder="1" applyAlignment="1">
      <alignment horizontal="center"/>
    </xf>
    <xf numFmtId="0" fontId="7" fillId="0" borderId="13" xfId="0" applyNumberFormat="1" applyFont="1" applyBorder="1" applyAlignment="1">
      <alignment horizontal="center" shrinkToFit="1"/>
    </xf>
    <xf numFmtId="0" fontId="7" fillId="0" borderId="50" xfId="0" applyNumberFormat="1" applyFont="1" applyBorder="1" applyAlignment="1">
      <alignment horizontal="center" vertical="top"/>
    </xf>
    <xf numFmtId="0" fontId="7" fillId="0" borderId="35" xfId="0" applyNumberFormat="1" applyFont="1" applyBorder="1" applyAlignment="1">
      <alignment horizontal="center" vertical="top"/>
    </xf>
    <xf numFmtId="0" fontId="28" fillId="0" borderId="0" xfId="0" applyFont="1" applyBorder="1" applyAlignment="1"/>
    <xf numFmtId="49" fontId="7" fillId="11" borderId="17" xfId="0" applyNumberFormat="1" applyFont="1" applyFill="1" applyBorder="1" applyAlignment="1">
      <alignment vertical="center"/>
    </xf>
    <xf numFmtId="49" fontId="7" fillId="11" borderId="7" xfId="0" applyNumberFormat="1" applyFont="1" applyFill="1" applyBorder="1" applyAlignment="1">
      <alignment vertical="center"/>
    </xf>
    <xf numFmtId="49" fontId="7" fillId="11" borderId="18" xfId="0" applyNumberFormat="1" applyFont="1" applyFill="1" applyBorder="1" applyAlignment="1">
      <alignment vertical="center"/>
    </xf>
    <xf numFmtId="0" fontId="7" fillId="0" borderId="17" xfId="0" applyNumberFormat="1" applyFont="1" applyFill="1" applyBorder="1" applyAlignment="1">
      <alignment horizontal="left" vertical="center"/>
    </xf>
    <xf numFmtId="49" fontId="7" fillId="0" borderId="7" xfId="0" applyNumberFormat="1" applyFont="1" applyBorder="1" applyAlignment="1">
      <alignment vertical="center"/>
    </xf>
    <xf numFmtId="49" fontId="7" fillId="0" borderId="17" xfId="0" quotePrefix="1" applyNumberFormat="1" applyFont="1" applyBorder="1" applyAlignment="1">
      <alignment vertical="center"/>
    </xf>
    <xf numFmtId="49" fontId="7" fillId="0" borderId="18" xfId="0" applyNumberFormat="1" applyFont="1" applyBorder="1" applyAlignment="1">
      <alignment vertical="center"/>
    </xf>
    <xf numFmtId="0" fontId="7" fillId="7" borderId="22" xfId="4" applyFont="1" applyFill="1" applyBorder="1">
      <alignment vertical="center"/>
    </xf>
    <xf numFmtId="0" fontId="7" fillId="7" borderId="57" xfId="4" applyFont="1" applyFill="1" applyBorder="1">
      <alignment vertical="center"/>
    </xf>
    <xf numFmtId="0" fontId="28" fillId="7" borderId="77" xfId="0" applyFont="1" applyFill="1" applyBorder="1" applyAlignment="1"/>
    <xf numFmtId="0" fontId="28" fillId="7" borderId="82" xfId="0" applyFont="1" applyFill="1" applyBorder="1" applyAlignment="1"/>
    <xf numFmtId="0" fontId="28" fillId="7" borderId="81" xfId="0" applyFont="1" applyFill="1" applyBorder="1" applyAlignment="1"/>
    <xf numFmtId="0" fontId="28" fillId="7" borderId="68" xfId="0" applyFont="1" applyFill="1" applyBorder="1" applyAlignment="1"/>
    <xf numFmtId="0" fontId="28" fillId="7" borderId="83" xfId="0" applyFont="1" applyFill="1" applyBorder="1" applyAlignment="1"/>
    <xf numFmtId="0" fontId="7" fillId="12" borderId="54" xfId="4" applyFont="1" applyFill="1" applyBorder="1">
      <alignment vertical="center"/>
    </xf>
    <xf numFmtId="0" fontId="7" fillId="12" borderId="33" xfId="4" applyFont="1" applyFill="1" applyBorder="1">
      <alignment vertical="center"/>
    </xf>
    <xf numFmtId="0" fontId="7" fillId="12" borderId="79" xfId="4" applyFont="1" applyFill="1" applyBorder="1">
      <alignment vertical="center"/>
    </xf>
    <xf numFmtId="0" fontId="13" fillId="6" borderId="17" xfId="4" applyFont="1" applyFill="1" applyBorder="1">
      <alignment vertical="center"/>
    </xf>
    <xf numFmtId="0" fontId="13" fillId="6" borderId="33" xfId="4" applyFont="1" applyFill="1" applyBorder="1">
      <alignment vertical="center"/>
    </xf>
    <xf numFmtId="0" fontId="7" fillId="0" borderId="17" xfId="3" applyNumberFormat="1" applyFont="1" applyFill="1" applyBorder="1" applyAlignment="1">
      <alignment wrapText="1"/>
    </xf>
    <xf numFmtId="0" fontId="25" fillId="8" borderId="7" xfId="2" applyFont="1" applyFill="1" applyBorder="1" applyAlignment="1"/>
    <xf numFmtId="0" fontId="25" fillId="8" borderId="33" xfId="2" applyFont="1" applyFill="1" applyBorder="1" applyAlignment="1"/>
    <xf numFmtId="0" fontId="25" fillId="8" borderId="79" xfId="2" applyFont="1" applyFill="1" applyBorder="1" applyAlignment="1"/>
    <xf numFmtId="0" fontId="7" fillId="0" borderId="68" xfId="3" applyNumberFormat="1" applyFont="1" applyFill="1" applyBorder="1" applyAlignment="1">
      <alignment wrapText="1"/>
    </xf>
    <xf numFmtId="0" fontId="7" fillId="0" borderId="83" xfId="3" applyNumberFormat="1" applyFont="1" applyFill="1" applyBorder="1" applyAlignment="1">
      <alignment wrapText="1"/>
    </xf>
    <xf numFmtId="0" fontId="7" fillId="0" borderId="3" xfId="3" applyNumberFormat="1" applyFont="1" applyFill="1" applyBorder="1" applyAlignment="1">
      <alignment wrapText="1"/>
    </xf>
    <xf numFmtId="0" fontId="7" fillId="0" borderId="84" xfId="3" applyNumberFormat="1" applyFont="1" applyFill="1" applyBorder="1" applyAlignment="1">
      <alignment wrapText="1"/>
    </xf>
    <xf numFmtId="0" fontId="7" fillId="0" borderId="85" xfId="3" applyNumberFormat="1" applyFont="1" applyFill="1" applyBorder="1" applyAlignment="1">
      <alignment wrapText="1"/>
    </xf>
    <xf numFmtId="0" fontId="20" fillId="0" borderId="1" xfId="3" applyFont="1" applyBorder="1"/>
    <xf numFmtId="0" fontId="20" fillId="0" borderId="0" xfId="3" applyFont="1" applyBorder="1"/>
    <xf numFmtId="0" fontId="20" fillId="0" borderId="25" xfId="3" applyFont="1" applyBorder="1"/>
    <xf numFmtId="0" fontId="7" fillId="0" borderId="0" xfId="0" applyFont="1" applyBorder="1" applyAlignment="1">
      <alignment vertical="center" wrapText="1"/>
    </xf>
    <xf numFmtId="0" fontId="7" fillId="0" borderId="25" xfId="0" applyFont="1" applyBorder="1" applyAlignment="1">
      <alignment vertical="center"/>
    </xf>
    <xf numFmtId="0" fontId="21" fillId="0" borderId="0" xfId="3" applyFont="1" applyBorder="1"/>
    <xf numFmtId="0" fontId="20" fillId="0" borderId="2" xfId="3" applyFont="1" applyBorder="1"/>
    <xf numFmtId="0" fontId="20" fillId="0" borderId="3" xfId="3" applyFont="1" applyBorder="1"/>
    <xf numFmtId="0" fontId="20" fillId="0" borderId="26" xfId="3" applyFont="1" applyBorder="1"/>
    <xf numFmtId="0" fontId="13" fillId="2" borderId="45" xfId="0" applyFont="1" applyFill="1" applyBorder="1" applyAlignment="1">
      <alignment horizontal="center"/>
    </xf>
    <xf numFmtId="14" fontId="6" fillId="3" borderId="17" xfId="0" applyNumberFormat="1" applyFont="1" applyFill="1" applyBorder="1" applyAlignment="1">
      <alignment horizontal="center" vertical="center" wrapText="1"/>
    </xf>
    <xf numFmtId="0" fontId="6" fillId="3" borderId="7" xfId="0" applyFont="1" applyFill="1" applyBorder="1" applyAlignment="1">
      <alignment horizontal="center" vertical="center" wrapText="1"/>
    </xf>
    <xf numFmtId="0" fontId="6" fillId="3" borderId="18" xfId="0" applyFont="1" applyFill="1" applyBorder="1" applyAlignment="1">
      <alignment horizontal="center" vertical="center" wrapText="1"/>
    </xf>
    <xf numFmtId="177" fontId="8" fillId="0" borderId="17" xfId="0" applyNumberFormat="1" applyFont="1" applyBorder="1" applyAlignment="1">
      <alignment horizontal="left" vertical="center"/>
    </xf>
    <xf numFmtId="177" fontId="8" fillId="0" borderId="7" xfId="0" applyNumberFormat="1" applyFont="1" applyBorder="1" applyAlignment="1">
      <alignment horizontal="left" vertical="center"/>
    </xf>
    <xf numFmtId="177" fontId="8" fillId="0" borderId="18" xfId="0" applyNumberFormat="1" applyFont="1" applyBorder="1" applyAlignment="1">
      <alignment horizontal="left" vertical="center"/>
    </xf>
    <xf numFmtId="0" fontId="8" fillId="0" borderId="17" xfId="0" applyFont="1" applyBorder="1" applyAlignment="1">
      <alignment horizontal="left" vertical="center"/>
    </xf>
    <xf numFmtId="0" fontId="8" fillId="0" borderId="7" xfId="0" applyFont="1" applyBorder="1" applyAlignment="1">
      <alignment horizontal="left" vertical="center"/>
    </xf>
    <xf numFmtId="0" fontId="8" fillId="0" borderId="18" xfId="0" applyFont="1" applyBorder="1" applyAlignment="1">
      <alignment horizontal="left" vertical="center"/>
    </xf>
    <xf numFmtId="14" fontId="8" fillId="0" borderId="17" xfId="0" applyNumberFormat="1" applyFont="1" applyBorder="1" applyAlignment="1">
      <alignment horizontal="left" vertical="center"/>
    </xf>
    <xf numFmtId="0" fontId="8" fillId="0" borderId="30" xfId="0" applyFont="1" applyBorder="1" applyAlignment="1">
      <alignment horizontal="left" vertical="center"/>
    </xf>
    <xf numFmtId="0" fontId="8" fillId="0" borderId="31" xfId="0" applyFont="1" applyBorder="1" applyAlignment="1">
      <alignment horizontal="left" vertical="center"/>
    </xf>
    <xf numFmtId="0" fontId="8" fillId="0" borderId="32" xfId="0" applyFont="1" applyBorder="1" applyAlignment="1">
      <alignment horizontal="left" vertical="center"/>
    </xf>
    <xf numFmtId="176" fontId="8" fillId="0" borderId="30" xfId="0" applyNumberFormat="1" applyFont="1" applyBorder="1" applyAlignment="1">
      <alignment horizontal="left" vertical="center"/>
    </xf>
    <xf numFmtId="176" fontId="8" fillId="0" borderId="31" xfId="0" applyNumberFormat="1" applyFont="1" applyBorder="1" applyAlignment="1">
      <alignment horizontal="left" vertical="center"/>
    </xf>
    <xf numFmtId="176" fontId="8" fillId="0" borderId="32" xfId="0" applyNumberFormat="1" applyFont="1" applyBorder="1" applyAlignment="1">
      <alignment horizontal="left" vertical="center"/>
    </xf>
    <xf numFmtId="0" fontId="6" fillId="3" borderId="30" xfId="0" applyFont="1" applyFill="1" applyBorder="1" applyAlignment="1">
      <alignment horizontal="center" vertical="center" wrapText="1"/>
    </xf>
    <xf numFmtId="0" fontId="8" fillId="3" borderId="31" xfId="0" applyFont="1" applyFill="1" applyBorder="1">
      <alignment vertical="center"/>
    </xf>
    <xf numFmtId="0" fontId="8" fillId="3" borderId="32" xfId="0" applyFont="1" applyFill="1" applyBorder="1">
      <alignment vertical="center"/>
    </xf>
    <xf numFmtId="0" fontId="8" fillId="0" borderId="17" xfId="0" applyFont="1" applyBorder="1" applyAlignment="1">
      <alignment horizontal="left" vertical="center" wrapText="1"/>
    </xf>
    <xf numFmtId="0" fontId="6" fillId="3" borderId="17" xfId="0" applyFont="1" applyFill="1" applyBorder="1" applyAlignment="1">
      <alignment horizontal="center" vertical="center"/>
    </xf>
    <xf numFmtId="0" fontId="6" fillId="3" borderId="7" xfId="0" applyFont="1" applyFill="1" applyBorder="1" applyAlignment="1">
      <alignment horizontal="center" vertical="center"/>
    </xf>
    <xf numFmtId="0" fontId="6" fillId="3" borderId="18" xfId="0" applyFont="1" applyFill="1" applyBorder="1" applyAlignment="1">
      <alignment horizontal="center" vertical="center"/>
    </xf>
    <xf numFmtId="14" fontId="8" fillId="0" borderId="17" xfId="0" applyNumberFormat="1" applyFont="1" applyBorder="1" applyAlignment="1">
      <alignment horizontal="center" vertical="center" wrapText="1"/>
    </xf>
    <xf numFmtId="0" fontId="7" fillId="0" borderId="7"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7" xfId="0" applyFont="1" applyBorder="1" applyAlignment="1">
      <alignment horizontal="center" vertical="center" wrapText="1"/>
    </xf>
    <xf numFmtId="0" fontId="8" fillId="0" borderId="33" xfId="0" applyFont="1" applyBorder="1" applyAlignment="1">
      <alignment horizontal="center" vertical="center"/>
    </xf>
    <xf numFmtId="177" fontId="8" fillId="0" borderId="17" xfId="0" applyNumberFormat="1" applyFont="1" applyBorder="1" applyAlignment="1">
      <alignment horizontal="center" vertical="center"/>
    </xf>
    <xf numFmtId="177" fontId="8" fillId="0" borderId="7" xfId="0" applyNumberFormat="1" applyFont="1" applyBorder="1" applyAlignment="1">
      <alignment horizontal="center" vertical="center"/>
    </xf>
    <xf numFmtId="177" fontId="8" fillId="0" borderId="18" xfId="0" applyNumberFormat="1" applyFont="1" applyBorder="1" applyAlignment="1">
      <alignment horizontal="center" vertical="center"/>
    </xf>
    <xf numFmtId="0" fontId="6" fillId="3" borderId="17" xfId="0" applyFont="1" applyFill="1" applyBorder="1" applyAlignment="1">
      <alignment horizontal="center" vertical="center" wrapText="1"/>
    </xf>
    <xf numFmtId="0" fontId="6" fillId="3" borderId="33" xfId="0" applyFont="1" applyFill="1" applyBorder="1" applyAlignment="1">
      <alignment horizontal="center" vertical="center" wrapText="1"/>
    </xf>
    <xf numFmtId="0" fontId="8" fillId="3" borderId="7" xfId="0" applyFont="1" applyFill="1" applyBorder="1">
      <alignment vertical="center"/>
    </xf>
    <xf numFmtId="0" fontId="8" fillId="3" borderId="18" xfId="0" applyFont="1" applyFill="1" applyBorder="1">
      <alignment vertical="center"/>
    </xf>
    <xf numFmtId="0" fontId="8" fillId="0" borderId="17" xfId="0" quotePrefix="1" applyFont="1" applyBorder="1" applyAlignment="1">
      <alignment horizontal="left" vertical="center"/>
    </xf>
    <xf numFmtId="0" fontId="10" fillId="7" borderId="69" xfId="0" applyFont="1" applyFill="1" applyBorder="1" applyAlignment="1">
      <alignment horizontal="center" vertical="center"/>
    </xf>
    <xf numFmtId="0" fontId="10" fillId="7" borderId="72" xfId="0" applyFont="1" applyFill="1" applyBorder="1" applyAlignment="1">
      <alignment horizontal="center" vertical="center"/>
    </xf>
    <xf numFmtId="0" fontId="10" fillId="7" borderId="73" xfId="0" applyFont="1" applyFill="1" applyBorder="1" applyAlignment="1">
      <alignment horizontal="center" vertical="center"/>
    </xf>
    <xf numFmtId="0" fontId="13" fillId="2" borderId="29" xfId="0" applyFont="1" applyFill="1" applyBorder="1" applyAlignment="1">
      <alignment horizontal="center" shrinkToFit="1"/>
    </xf>
    <xf numFmtId="0" fontId="7" fillId="0" borderId="27" xfId="0" applyFont="1" applyBorder="1" applyAlignment="1">
      <alignment horizontal="center" shrinkToFit="1"/>
    </xf>
    <xf numFmtId="0" fontId="13" fillId="2" borderId="29" xfId="0" applyFont="1" applyFill="1" applyBorder="1" applyAlignment="1">
      <alignment horizontal="center"/>
    </xf>
    <xf numFmtId="0" fontId="7" fillId="0" borderId="27" xfId="0" applyFont="1" applyBorder="1" applyAlignment="1">
      <alignment horizontal="center"/>
    </xf>
    <xf numFmtId="177" fontId="12" fillId="0" borderId="35" xfId="0" applyNumberFormat="1" applyFont="1" applyFill="1" applyBorder="1" applyAlignment="1">
      <alignment horizontal="center" shrinkToFit="1"/>
    </xf>
    <xf numFmtId="177" fontId="12" fillId="0" borderId="19" xfId="0" applyNumberFormat="1" applyFont="1" applyFill="1" applyBorder="1" applyAlignment="1">
      <alignment horizontal="center" shrinkToFit="1"/>
    </xf>
    <xf numFmtId="177" fontId="12" fillId="0" borderId="34" xfId="0" applyNumberFormat="1" applyFont="1" applyFill="1" applyBorder="1" applyAlignment="1">
      <alignment horizontal="center" shrinkToFit="1"/>
    </xf>
    <xf numFmtId="0" fontId="12" fillId="0" borderId="35" xfId="0" applyFont="1" applyFill="1" applyBorder="1" applyAlignment="1">
      <alignment horizontal="left" shrinkToFit="1"/>
    </xf>
    <xf numFmtId="0" fontId="12" fillId="0" borderId="19" xfId="0" applyFont="1" applyFill="1" applyBorder="1" applyAlignment="1">
      <alignment horizontal="left" shrinkToFit="1"/>
    </xf>
    <xf numFmtId="0" fontId="12" fillId="0" borderId="34" xfId="0" applyFont="1" applyFill="1" applyBorder="1" applyAlignment="1">
      <alignment horizontal="left" shrinkToFit="1"/>
    </xf>
    <xf numFmtId="14" fontId="11" fillId="3" borderId="35" xfId="0" applyNumberFormat="1" applyFont="1" applyFill="1" applyBorder="1" applyAlignment="1">
      <alignment horizontal="center"/>
    </xf>
    <xf numFmtId="14" fontId="11" fillId="3" borderId="19" xfId="0" applyNumberFormat="1" applyFont="1" applyFill="1" applyBorder="1" applyAlignment="1">
      <alignment horizontal="center"/>
    </xf>
    <xf numFmtId="14" fontId="11" fillId="3" borderId="34" xfId="0" applyNumberFormat="1" applyFont="1" applyFill="1" applyBorder="1" applyAlignment="1">
      <alignment horizontal="center"/>
    </xf>
    <xf numFmtId="0" fontId="10" fillId="2" borderId="22" xfId="0" applyFont="1" applyFill="1" applyBorder="1" applyAlignment="1">
      <alignment horizontal="center" vertical="center" wrapText="1"/>
    </xf>
    <xf numFmtId="0" fontId="10" fillId="2" borderId="23" xfId="0" applyFont="1" applyFill="1" applyBorder="1" applyAlignment="1">
      <alignment horizontal="center" vertical="center" wrapText="1"/>
    </xf>
    <xf numFmtId="0" fontId="10" fillId="2" borderId="24"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0" xfId="0" applyFont="1" applyFill="1" applyBorder="1" applyAlignment="1">
      <alignment horizontal="center" vertical="center" wrapText="1"/>
    </xf>
    <xf numFmtId="0" fontId="10" fillId="2" borderId="2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26" xfId="0" applyFont="1" applyFill="1" applyBorder="1" applyAlignment="1">
      <alignment horizontal="center" vertical="center" wrapText="1"/>
    </xf>
    <xf numFmtId="0" fontId="11" fillId="3" borderId="27" xfId="0" applyFont="1" applyFill="1" applyBorder="1" applyAlignment="1">
      <alignment horizontal="left"/>
    </xf>
    <xf numFmtId="0" fontId="7" fillId="0" borderId="27" xfId="0" applyFont="1" applyBorder="1" applyAlignment="1">
      <alignment horizontal="left"/>
    </xf>
    <xf numFmtId="0" fontId="7" fillId="0" borderId="28" xfId="0" applyFont="1" applyBorder="1" applyAlignment="1">
      <alignment horizontal="left"/>
    </xf>
    <xf numFmtId="0" fontId="12" fillId="0" borderId="29" xfId="0" applyFont="1" applyBorder="1" applyAlignment="1">
      <alignment horizontal="left" shrinkToFit="1"/>
    </xf>
    <xf numFmtId="0" fontId="7" fillId="0" borderId="27" xfId="0" applyFont="1" applyBorder="1" applyAlignment="1">
      <alignment horizontal="left" shrinkToFit="1"/>
    </xf>
    <xf numFmtId="0" fontId="7" fillId="0" borderId="28" xfId="0" applyFont="1" applyBorder="1" applyAlignment="1">
      <alignment horizontal="left" shrinkToFit="1"/>
    </xf>
    <xf numFmtId="0" fontId="11" fillId="3" borderId="29" xfId="0" applyFont="1" applyFill="1" applyBorder="1" applyAlignment="1">
      <alignment horizontal="left"/>
    </xf>
    <xf numFmtId="0" fontId="11" fillId="3" borderId="19" xfId="0" applyFont="1" applyFill="1" applyBorder="1" applyAlignment="1">
      <alignment horizontal="left"/>
    </xf>
    <xf numFmtId="0" fontId="11" fillId="3" borderId="34" xfId="0" applyFont="1" applyFill="1" applyBorder="1" applyAlignment="1">
      <alignment horizontal="left"/>
    </xf>
    <xf numFmtId="0" fontId="7" fillId="0" borderId="19" xfId="0" applyFont="1" applyBorder="1" applyAlignment="1">
      <alignment horizontal="left" shrinkToFit="1"/>
    </xf>
    <xf numFmtId="0" fontId="11" fillId="3" borderId="35" xfId="0" applyFont="1" applyFill="1" applyBorder="1" applyAlignment="1">
      <alignment horizontal="left"/>
    </xf>
    <xf numFmtId="0" fontId="7" fillId="0" borderId="8" xfId="0" applyFont="1" applyBorder="1" applyAlignment="1">
      <alignment vertical="center"/>
    </xf>
    <xf numFmtId="0" fontId="7" fillId="0" borderId="18" xfId="0" applyFont="1" applyBorder="1" applyAlignment="1">
      <alignment vertical="center"/>
    </xf>
    <xf numFmtId="0" fontId="11" fillId="3" borderId="29" xfId="0" applyFont="1" applyFill="1" applyBorder="1" applyAlignment="1">
      <alignment horizontal="center"/>
    </xf>
    <xf numFmtId="0" fontId="11" fillId="3" borderId="27" xfId="0" applyFont="1" applyFill="1" applyBorder="1" applyAlignment="1">
      <alignment horizontal="center"/>
    </xf>
    <xf numFmtId="0" fontId="11" fillId="3" borderId="38" xfId="0" applyFont="1" applyFill="1" applyBorder="1" applyAlignment="1">
      <alignment horizontal="center"/>
    </xf>
    <xf numFmtId="0" fontId="11" fillId="3" borderId="7" xfId="0" applyFont="1" applyFill="1" applyBorder="1" applyAlignment="1">
      <alignment horizontal="left"/>
    </xf>
    <xf numFmtId="0" fontId="7" fillId="0" borderId="7" xfId="0" applyFont="1" applyBorder="1" applyAlignment="1">
      <alignment horizontal="left"/>
    </xf>
    <xf numFmtId="0" fontId="7" fillId="0" borderId="18" xfId="0" applyFont="1" applyBorder="1" applyAlignment="1">
      <alignment horizontal="left"/>
    </xf>
    <xf numFmtId="0" fontId="12" fillId="0" borderId="17" xfId="0" applyFont="1" applyBorder="1" applyAlignment="1">
      <alignment horizontal="left" shrinkToFit="1"/>
    </xf>
    <xf numFmtId="0" fontId="7" fillId="0" borderId="7" xfId="0" applyFont="1" applyBorder="1" applyAlignment="1">
      <alignment horizontal="left" shrinkToFit="1"/>
    </xf>
    <xf numFmtId="0" fontId="7" fillId="0" borderId="18" xfId="0" applyFont="1" applyBorder="1" applyAlignment="1">
      <alignment horizontal="left" shrinkToFit="1"/>
    </xf>
    <xf numFmtId="0" fontId="11" fillId="3" borderId="17" xfId="0" applyFont="1" applyFill="1" applyBorder="1" applyAlignment="1">
      <alignment horizontal="left"/>
    </xf>
    <xf numFmtId="0" fontId="11" fillId="3" borderId="28" xfId="0" applyFont="1" applyFill="1" applyBorder="1" applyAlignment="1">
      <alignment horizontal="center"/>
    </xf>
    <xf numFmtId="0" fontId="12" fillId="0" borderId="29" xfId="0" applyFont="1" applyFill="1" applyBorder="1" applyAlignment="1">
      <alignment horizontal="center" shrinkToFit="1"/>
    </xf>
    <xf numFmtId="0" fontId="12" fillId="0" borderId="27" xfId="0" applyFont="1" applyFill="1" applyBorder="1" applyAlignment="1">
      <alignment horizontal="center" shrinkToFit="1"/>
    </xf>
    <xf numFmtId="0" fontId="12" fillId="0" borderId="28" xfId="0" applyFont="1" applyFill="1" applyBorder="1" applyAlignment="1">
      <alignment horizontal="center" shrinkToFit="1"/>
    </xf>
    <xf numFmtId="14" fontId="12" fillId="0" borderId="29" xfId="0" applyNumberFormat="1" applyFont="1" applyFill="1" applyBorder="1" applyAlignment="1">
      <alignment horizontal="center" shrinkToFit="1"/>
    </xf>
    <xf numFmtId="14" fontId="12" fillId="0" borderId="27" xfId="0" applyNumberFormat="1" applyFont="1" applyFill="1" applyBorder="1" applyAlignment="1">
      <alignment horizontal="center" shrinkToFit="1"/>
    </xf>
    <xf numFmtId="14" fontId="12" fillId="0" borderId="28" xfId="0" applyNumberFormat="1" applyFont="1" applyFill="1" applyBorder="1" applyAlignment="1">
      <alignment horizontal="center" shrinkToFit="1"/>
    </xf>
    <xf numFmtId="0" fontId="11" fillId="3" borderId="17" xfId="0" applyFont="1" applyFill="1" applyBorder="1" applyAlignment="1">
      <alignment horizontal="center"/>
    </xf>
    <xf numFmtId="0" fontId="11" fillId="3" borderId="7" xfId="0" applyFont="1" applyFill="1" applyBorder="1" applyAlignment="1">
      <alignment horizontal="center"/>
    </xf>
    <xf numFmtId="0" fontId="11" fillId="3" borderId="18" xfId="0" applyFont="1" applyFill="1" applyBorder="1" applyAlignment="1">
      <alignment horizontal="center"/>
    </xf>
    <xf numFmtId="0" fontId="12" fillId="0" borderId="17" xfId="0" applyFont="1" applyFill="1" applyBorder="1" applyAlignment="1">
      <alignment horizontal="center" shrinkToFit="1"/>
    </xf>
    <xf numFmtId="0" fontId="12" fillId="0" borderId="7" xfId="0" applyFont="1" applyFill="1" applyBorder="1" applyAlignment="1">
      <alignment horizontal="center" shrinkToFit="1"/>
    </xf>
    <xf numFmtId="0" fontId="12" fillId="0" borderId="18" xfId="0" applyFont="1" applyFill="1" applyBorder="1" applyAlignment="1">
      <alignment horizontal="center" shrinkToFit="1"/>
    </xf>
    <xf numFmtId="14" fontId="11" fillId="3" borderId="17" xfId="0" applyNumberFormat="1" applyFont="1" applyFill="1" applyBorder="1" applyAlignment="1">
      <alignment horizontal="center"/>
    </xf>
    <xf numFmtId="14" fontId="11" fillId="3" borderId="7" xfId="0" applyNumberFormat="1" applyFont="1" applyFill="1" applyBorder="1" applyAlignment="1">
      <alignment horizontal="center"/>
    </xf>
    <xf numFmtId="14" fontId="11" fillId="3" borderId="18" xfId="0" applyNumberFormat="1" applyFont="1" applyFill="1" applyBorder="1" applyAlignment="1">
      <alignment horizontal="center"/>
    </xf>
    <xf numFmtId="14" fontId="12" fillId="0" borderId="17" xfId="0" applyNumberFormat="1" applyFont="1" applyBorder="1" applyAlignment="1">
      <alignment horizontal="center" shrinkToFit="1"/>
    </xf>
    <xf numFmtId="14" fontId="12" fillId="0" borderId="7" xfId="0" applyNumberFormat="1" applyFont="1" applyBorder="1" applyAlignment="1">
      <alignment horizontal="center" shrinkToFit="1"/>
    </xf>
    <xf numFmtId="14" fontId="12" fillId="0" borderId="17" xfId="0" applyNumberFormat="1" applyFont="1" applyFill="1" applyBorder="1" applyAlignment="1">
      <alignment horizontal="center" vertical="center" shrinkToFit="1"/>
    </xf>
    <xf numFmtId="0" fontId="12" fillId="0" borderId="7" xfId="0" applyFont="1" applyFill="1" applyBorder="1" applyAlignment="1">
      <alignment horizontal="center" vertical="center" shrinkToFit="1"/>
    </xf>
    <xf numFmtId="0" fontId="12" fillId="0" borderId="36" xfId="0" applyFont="1" applyFill="1" applyBorder="1" applyAlignment="1">
      <alignment horizontal="center" vertical="center" shrinkToFit="1"/>
    </xf>
    <xf numFmtId="0" fontId="12" fillId="0" borderId="35" xfId="0" applyFont="1" applyFill="1" applyBorder="1" applyAlignment="1">
      <alignment horizontal="center" vertical="center" shrinkToFit="1"/>
    </xf>
    <xf numFmtId="0" fontId="12" fillId="0" borderId="19" xfId="0" applyFont="1" applyFill="1" applyBorder="1" applyAlignment="1">
      <alignment horizontal="center" vertical="center" shrinkToFit="1"/>
    </xf>
    <xf numFmtId="0" fontId="12" fillId="0" borderId="37" xfId="0" applyFont="1" applyFill="1" applyBorder="1" applyAlignment="1">
      <alignment horizontal="center" vertical="center" shrinkToFit="1"/>
    </xf>
    <xf numFmtId="0" fontId="13" fillId="3" borderId="27" xfId="0" applyFont="1" applyFill="1" applyBorder="1" applyAlignment="1">
      <alignment horizontal="left"/>
    </xf>
    <xf numFmtId="0" fontId="7" fillId="0" borderId="29" xfId="0" applyFont="1" applyBorder="1" applyAlignment="1">
      <alignment horizontal="left" shrinkToFit="1"/>
    </xf>
    <xf numFmtId="0" fontId="13" fillId="3" borderId="29" xfId="0" applyFont="1" applyFill="1" applyBorder="1" applyAlignment="1">
      <alignment horizontal="left"/>
    </xf>
    <xf numFmtId="0" fontId="7" fillId="0" borderId="29" xfId="0" applyFont="1" applyFill="1" applyBorder="1" applyAlignment="1">
      <alignment horizontal="center" shrinkToFit="1"/>
    </xf>
    <xf numFmtId="0" fontId="7" fillId="0" borderId="27" xfId="0" applyFont="1" applyFill="1" applyBorder="1" applyAlignment="1">
      <alignment horizontal="center" shrinkToFit="1"/>
    </xf>
    <xf numFmtId="0" fontId="7" fillId="0" borderId="28" xfId="0" applyFont="1" applyFill="1" applyBorder="1" applyAlignment="1">
      <alignment horizontal="center" shrinkToFit="1"/>
    </xf>
    <xf numFmtId="0" fontId="13" fillId="3" borderId="29" xfId="0" applyFont="1" applyFill="1" applyBorder="1" applyAlignment="1">
      <alignment horizontal="center"/>
    </xf>
    <xf numFmtId="0" fontId="13" fillId="3" borderId="27" xfId="0" applyFont="1" applyFill="1" applyBorder="1" applyAlignment="1">
      <alignment horizontal="center"/>
    </xf>
    <xf numFmtId="0" fontId="13" fillId="3" borderId="28" xfId="0" applyFont="1" applyFill="1" applyBorder="1" applyAlignment="1">
      <alignment horizontal="center"/>
    </xf>
    <xf numFmtId="14" fontId="7" fillId="0" borderId="29" xfId="0" applyNumberFormat="1" applyFont="1" applyFill="1" applyBorder="1" applyAlignment="1">
      <alignment horizontal="center" shrinkToFit="1"/>
    </xf>
    <xf numFmtId="14" fontId="7" fillId="0" borderId="27" xfId="0" applyNumberFormat="1" applyFont="1" applyFill="1" applyBorder="1" applyAlignment="1">
      <alignment horizontal="center" shrinkToFit="1"/>
    </xf>
    <xf numFmtId="14" fontId="7" fillId="0" borderId="28" xfId="0" applyNumberFormat="1" applyFont="1" applyFill="1" applyBorder="1" applyAlignment="1">
      <alignment horizontal="center" shrinkToFit="1"/>
    </xf>
    <xf numFmtId="0" fontId="13" fillId="3" borderId="38" xfId="0" applyFont="1" applyFill="1" applyBorder="1" applyAlignment="1">
      <alignment horizontal="center"/>
    </xf>
    <xf numFmtId="0" fontId="13" fillId="3" borderId="7" xfId="0" applyFont="1" applyFill="1" applyBorder="1" applyAlignment="1">
      <alignment horizontal="left"/>
    </xf>
    <xf numFmtId="0" fontId="7" fillId="0" borderId="17" xfId="0" applyFont="1" applyBorder="1" applyAlignment="1">
      <alignment horizontal="left" shrinkToFit="1"/>
    </xf>
    <xf numFmtId="0" fontId="13" fillId="3" borderId="17" xfId="0" applyFont="1" applyFill="1" applyBorder="1" applyAlignment="1">
      <alignment horizontal="left"/>
    </xf>
    <xf numFmtId="0" fontId="13" fillId="3" borderId="17" xfId="0" applyFont="1" applyFill="1" applyBorder="1" applyAlignment="1">
      <alignment horizontal="center"/>
    </xf>
    <xf numFmtId="0" fontId="13" fillId="3" borderId="7" xfId="0" applyFont="1" applyFill="1" applyBorder="1" applyAlignment="1">
      <alignment horizontal="center"/>
    </xf>
    <xf numFmtId="0" fontId="13" fillId="3" borderId="18" xfId="0" applyFont="1" applyFill="1" applyBorder="1" applyAlignment="1">
      <alignment horizontal="center"/>
    </xf>
    <xf numFmtId="0" fontId="7" fillId="0" borderId="17" xfId="0" applyFont="1" applyFill="1" applyBorder="1" applyAlignment="1">
      <alignment horizontal="center" shrinkToFit="1"/>
    </xf>
    <xf numFmtId="0" fontId="7" fillId="0" borderId="7" xfId="0" applyFont="1" applyFill="1" applyBorder="1" applyAlignment="1">
      <alignment horizontal="center" shrinkToFit="1"/>
    </xf>
    <xf numFmtId="0" fontId="7" fillId="0" borderId="18" xfId="0" applyFont="1" applyFill="1" applyBorder="1" applyAlignment="1">
      <alignment horizontal="center" shrinkToFit="1"/>
    </xf>
    <xf numFmtId="0" fontId="13" fillId="2" borderId="5" xfId="0" applyFont="1" applyFill="1" applyBorder="1" applyAlignment="1">
      <alignment horizontal="center"/>
    </xf>
    <xf numFmtId="0" fontId="13" fillId="0" borderId="48" xfId="0" applyFont="1" applyBorder="1" applyAlignment="1">
      <alignment horizontal="center"/>
    </xf>
    <xf numFmtId="14" fontId="13" fillId="3" borderId="17" xfId="0" applyNumberFormat="1" applyFont="1" applyFill="1" applyBorder="1" applyAlignment="1">
      <alignment horizontal="center"/>
    </xf>
    <xf numFmtId="14" fontId="13" fillId="3" borderId="7" xfId="0" applyNumberFormat="1" applyFont="1" applyFill="1" applyBorder="1" applyAlignment="1">
      <alignment horizontal="center"/>
    </xf>
    <xf numFmtId="14" fontId="13" fillId="3" borderId="18" xfId="0" applyNumberFormat="1" applyFont="1" applyFill="1" applyBorder="1" applyAlignment="1">
      <alignment horizontal="center"/>
    </xf>
    <xf numFmtId="14" fontId="7" fillId="0" borderId="17" xfId="0" applyNumberFormat="1" applyFont="1" applyBorder="1" applyAlignment="1">
      <alignment horizontal="center" shrinkToFit="1"/>
    </xf>
    <xf numFmtId="14" fontId="7" fillId="0" borderId="7" xfId="0" applyNumberFormat="1" applyFont="1" applyBorder="1" applyAlignment="1">
      <alignment horizontal="center" shrinkToFit="1"/>
    </xf>
    <xf numFmtId="14" fontId="7" fillId="0" borderId="17" xfId="0" applyNumberFormat="1" applyFont="1" applyFill="1" applyBorder="1" applyAlignment="1">
      <alignment horizontal="center" vertical="center" shrinkToFit="1"/>
    </xf>
    <xf numFmtId="0" fontId="7" fillId="0" borderId="7" xfId="0" applyFont="1" applyFill="1" applyBorder="1" applyAlignment="1">
      <alignment horizontal="center" vertical="center" shrinkToFit="1"/>
    </xf>
    <xf numFmtId="0" fontId="7" fillId="0" borderId="36" xfId="0" applyFont="1" applyFill="1" applyBorder="1" applyAlignment="1">
      <alignment horizontal="center" vertical="center" shrinkToFit="1"/>
    </xf>
    <xf numFmtId="0" fontId="7" fillId="0" borderId="35" xfId="0" applyFont="1" applyFill="1" applyBorder="1" applyAlignment="1">
      <alignment horizontal="center" vertical="center" shrinkToFit="1"/>
    </xf>
    <xf numFmtId="0" fontId="7" fillId="0" borderId="19" xfId="0" applyFont="1" applyFill="1" applyBorder="1" applyAlignment="1">
      <alignment horizontal="center" vertical="center" shrinkToFit="1"/>
    </xf>
    <xf numFmtId="0" fontId="7" fillId="0" borderId="37" xfId="0" applyFont="1" applyFill="1" applyBorder="1" applyAlignment="1">
      <alignment horizontal="center" vertical="center" shrinkToFit="1"/>
    </xf>
    <xf numFmtId="0" fontId="13" fillId="3" borderId="19" xfId="0" applyFont="1" applyFill="1" applyBorder="1" applyAlignment="1">
      <alignment horizontal="left"/>
    </xf>
    <xf numFmtId="0" fontId="13" fillId="3" borderId="34" xfId="0" applyFont="1" applyFill="1" applyBorder="1" applyAlignment="1">
      <alignment horizontal="left"/>
    </xf>
    <xf numFmtId="0" fontId="7" fillId="0" borderId="35" xfId="0" applyFont="1" applyFill="1" applyBorder="1" applyAlignment="1">
      <alignment horizontal="left" shrinkToFit="1"/>
    </xf>
    <xf numFmtId="0" fontId="13" fillId="3" borderId="35" xfId="0" applyFont="1" applyFill="1" applyBorder="1" applyAlignment="1">
      <alignment horizontal="left"/>
    </xf>
    <xf numFmtId="0" fontId="7" fillId="0" borderId="19" xfId="0" applyFont="1" applyFill="1" applyBorder="1" applyAlignment="1">
      <alignment horizontal="left" shrinkToFit="1"/>
    </xf>
    <xf numFmtId="0" fontId="7" fillId="0" borderId="34" xfId="0" applyFont="1" applyFill="1" applyBorder="1" applyAlignment="1">
      <alignment horizontal="left" shrinkToFit="1"/>
    </xf>
    <xf numFmtId="14" fontId="13" fillId="3" borderId="35" xfId="0" applyNumberFormat="1" applyFont="1" applyFill="1" applyBorder="1" applyAlignment="1">
      <alignment horizontal="center"/>
    </xf>
    <xf numFmtId="14" fontId="13" fillId="3" borderId="19" xfId="0" applyNumberFormat="1" applyFont="1" applyFill="1" applyBorder="1" applyAlignment="1">
      <alignment horizontal="center"/>
    </xf>
    <xf numFmtId="14" fontId="13" fillId="3" borderId="34" xfId="0" applyNumberFormat="1" applyFont="1" applyFill="1" applyBorder="1" applyAlignment="1">
      <alignment horizontal="center"/>
    </xf>
    <xf numFmtId="177" fontId="7" fillId="0" borderId="35" xfId="0" applyNumberFormat="1" applyFont="1" applyFill="1" applyBorder="1" applyAlignment="1">
      <alignment horizontal="center" shrinkToFit="1"/>
    </xf>
    <xf numFmtId="177" fontId="7" fillId="0" borderId="19" xfId="0" applyNumberFormat="1" applyFont="1" applyFill="1" applyBorder="1" applyAlignment="1">
      <alignment horizontal="center" shrinkToFit="1"/>
    </xf>
    <xf numFmtId="177" fontId="7" fillId="0" borderId="34" xfId="0" applyNumberFormat="1" applyFont="1" applyFill="1" applyBorder="1" applyAlignment="1">
      <alignment horizontal="center" shrinkToFit="1"/>
    </xf>
    <xf numFmtId="49" fontId="7" fillId="0" borderId="15" xfId="0" applyNumberFormat="1" applyFont="1" applyBorder="1" applyAlignment="1">
      <alignment horizontal="center" vertical="center"/>
    </xf>
    <xf numFmtId="49" fontId="7" fillId="0" borderId="12" xfId="0" applyNumberFormat="1" applyFont="1" applyBorder="1" applyAlignment="1">
      <alignment horizontal="center" vertical="center"/>
    </xf>
    <xf numFmtId="49" fontId="13" fillId="2" borderId="11" xfId="0" applyNumberFormat="1" applyFont="1" applyFill="1" applyBorder="1" applyAlignment="1">
      <alignment horizontal="center" vertical="center"/>
    </xf>
    <xf numFmtId="49" fontId="13" fillId="2" borderId="10" xfId="0" applyNumberFormat="1" applyFont="1" applyFill="1" applyBorder="1" applyAlignment="1">
      <alignment horizontal="center" vertical="center"/>
    </xf>
    <xf numFmtId="0" fontId="13" fillId="2" borderId="86" xfId="0" applyFont="1" applyFill="1" applyBorder="1" applyAlignment="1">
      <alignment horizontal="center"/>
    </xf>
    <xf numFmtId="0" fontId="7" fillId="0" borderId="87" xfId="0" applyFont="1" applyBorder="1" applyAlignment="1">
      <alignment horizontal="center"/>
    </xf>
    <xf numFmtId="0" fontId="7" fillId="0" borderId="88" xfId="0" applyFont="1" applyBorder="1" applyAlignment="1">
      <alignment horizontal="left" vertical="top"/>
    </xf>
    <xf numFmtId="0" fontId="7" fillId="0" borderId="83" xfId="0" applyFont="1" applyBorder="1" applyAlignment="1">
      <alignment horizontal="left" vertical="top"/>
    </xf>
    <xf numFmtId="0" fontId="7" fillId="0" borderId="79" xfId="0" applyFont="1" applyBorder="1" applyAlignment="1">
      <alignment horizontal="left" vertical="top"/>
    </xf>
    <xf numFmtId="0" fontId="7" fillId="0" borderId="89" xfId="0" applyFont="1" applyBorder="1" applyAlignment="1">
      <alignment horizontal="left" vertical="top"/>
    </xf>
    <xf numFmtId="0" fontId="13" fillId="0" borderId="0" xfId="0" applyFont="1" applyFill="1" applyBorder="1" applyAlignment="1">
      <alignment horizontal="left"/>
    </xf>
    <xf numFmtId="0" fontId="13" fillId="0" borderId="0" xfId="0" applyFont="1" applyFill="1" applyBorder="1" applyAlignment="1">
      <alignment horizontal="center"/>
    </xf>
    <xf numFmtId="0" fontId="13" fillId="0" borderId="0" xfId="0" applyFont="1" applyFill="1" applyBorder="1" applyAlignment="1">
      <alignment horizontal="center" shrinkToFit="1"/>
    </xf>
    <xf numFmtId="0" fontId="7" fillId="0" borderId="0" xfId="0" applyFont="1" applyFill="1" applyBorder="1" applyAlignment="1">
      <alignment horizontal="center" shrinkToFit="1"/>
    </xf>
    <xf numFmtId="0" fontId="7" fillId="0" borderId="0" xfId="0" applyFont="1" applyFill="1" applyBorder="1" applyAlignment="1">
      <alignment horizontal="center"/>
    </xf>
    <xf numFmtId="0" fontId="7" fillId="2" borderId="90" xfId="0" applyFont="1" applyFill="1" applyBorder="1" applyAlignment="1">
      <alignment horizontal="center" vertical="top"/>
    </xf>
    <xf numFmtId="0" fontId="22" fillId="0" borderId="64" xfId="0" applyFont="1" applyBorder="1" applyAlignment="1">
      <alignment horizontal="center" vertical="top"/>
    </xf>
    <xf numFmtId="0" fontId="7" fillId="2" borderId="64" xfId="0" applyFont="1" applyFill="1" applyBorder="1" applyAlignment="1">
      <alignment horizontal="center" vertical="top"/>
    </xf>
    <xf numFmtId="0" fontId="7" fillId="2" borderId="11" xfId="0" applyFont="1" applyFill="1" applyBorder="1" applyAlignment="1">
      <alignment horizontal="center" vertical="top"/>
    </xf>
    <xf numFmtId="0" fontId="7" fillId="2" borderId="5" xfId="0" applyFont="1" applyFill="1" applyBorder="1" applyAlignment="1">
      <alignment horizontal="center" vertical="top"/>
    </xf>
    <xf numFmtId="0" fontId="7" fillId="2" borderId="10" xfId="0" applyFont="1" applyFill="1" applyBorder="1" applyAlignment="1">
      <alignment horizontal="center" vertical="top"/>
    </xf>
    <xf numFmtId="0" fontId="7" fillId="2" borderId="45" xfId="0" applyFont="1" applyFill="1" applyBorder="1" applyAlignment="1">
      <alignment horizontal="center" vertical="top"/>
    </xf>
    <xf numFmtId="0" fontId="7" fillId="2" borderId="23" xfId="0" applyFont="1" applyFill="1" applyBorder="1" applyAlignment="1">
      <alignment horizontal="center" vertical="top"/>
    </xf>
    <xf numFmtId="0" fontId="7" fillId="2" borderId="24" xfId="0" applyFont="1" applyFill="1" applyBorder="1" applyAlignment="1">
      <alignment horizontal="center" vertical="top"/>
    </xf>
    <xf numFmtId="0" fontId="7" fillId="0" borderId="74" xfId="0" applyNumberFormat="1" applyFont="1" applyBorder="1" applyAlignment="1">
      <alignment horizontal="center" vertical="top"/>
    </xf>
    <xf numFmtId="0" fontId="7" fillId="0" borderId="65" xfId="0" applyNumberFormat="1" applyFont="1" applyBorder="1" applyAlignment="1">
      <alignment horizontal="center" vertical="top"/>
    </xf>
    <xf numFmtId="14" fontId="7" fillId="0" borderId="65" xfId="0" applyNumberFormat="1" applyFont="1" applyBorder="1" applyAlignment="1">
      <alignment horizontal="center" vertical="top"/>
    </xf>
    <xf numFmtId="0" fontId="7" fillId="0" borderId="65" xfId="0" applyFont="1" applyBorder="1" applyAlignment="1">
      <alignment horizontal="center" vertical="top"/>
    </xf>
    <xf numFmtId="0" fontId="7" fillId="0" borderId="91" xfId="0" applyFont="1" applyBorder="1" applyAlignment="1">
      <alignment horizontal="left" vertical="top"/>
    </xf>
    <xf numFmtId="0" fontId="7" fillId="0" borderId="56" xfId="0" applyFont="1" applyBorder="1" applyAlignment="1">
      <alignment horizontal="left" vertical="top"/>
    </xf>
    <xf numFmtId="0" fontId="7" fillId="0" borderId="92" xfId="0" applyFont="1" applyBorder="1" applyAlignment="1">
      <alignment horizontal="left" vertical="top"/>
    </xf>
    <xf numFmtId="0" fontId="7" fillId="0" borderId="13" xfId="0" applyNumberFormat="1" applyFont="1" applyBorder="1" applyAlignment="1">
      <alignment horizontal="center" vertical="top"/>
    </xf>
    <xf numFmtId="0" fontId="7" fillId="0" borderId="6" xfId="0" applyNumberFormat="1" applyFont="1" applyBorder="1" applyAlignment="1">
      <alignment horizontal="center" vertical="top"/>
    </xf>
    <xf numFmtId="0" fontId="7" fillId="0" borderId="59" xfId="0" applyNumberFormat="1" applyFont="1" applyBorder="1" applyAlignment="1">
      <alignment horizontal="center" vertical="top"/>
    </xf>
    <xf numFmtId="0" fontId="7" fillId="0" borderId="20" xfId="0" applyNumberFormat="1" applyFont="1" applyBorder="1" applyAlignment="1">
      <alignment horizontal="center" vertical="top"/>
    </xf>
    <xf numFmtId="0" fontId="7" fillId="0" borderId="33" xfId="0" applyNumberFormat="1" applyFont="1" applyBorder="1" applyAlignment="1">
      <alignment horizontal="center" vertical="top"/>
    </xf>
    <xf numFmtId="0" fontId="7" fillId="0" borderId="33" xfId="0" applyFont="1" applyBorder="1" applyAlignment="1">
      <alignment horizontal="center" vertical="top"/>
    </xf>
    <xf numFmtId="0" fontId="7" fillId="0" borderId="15" xfId="0" applyFont="1" applyBorder="1" applyAlignment="1">
      <alignment horizontal="left" vertical="top"/>
    </xf>
    <xf numFmtId="0" fontId="7" fillId="0" borderId="0" xfId="0" applyFont="1" applyBorder="1" applyAlignment="1">
      <alignment horizontal="left" vertical="top"/>
    </xf>
    <xf numFmtId="0" fontId="7" fillId="0" borderId="12" xfId="0" applyFont="1" applyBorder="1" applyAlignment="1">
      <alignment horizontal="left" vertical="top"/>
    </xf>
    <xf numFmtId="0" fontId="7" fillId="0" borderId="17" xfId="0" applyNumberFormat="1" applyFont="1" applyBorder="1" applyAlignment="1">
      <alignment horizontal="center" vertical="top"/>
    </xf>
    <xf numFmtId="0" fontId="7" fillId="0" borderId="7" xfId="0" applyNumberFormat="1" applyFont="1" applyBorder="1" applyAlignment="1">
      <alignment horizontal="center" vertical="top"/>
    </xf>
    <xf numFmtId="0" fontId="7" fillId="0" borderId="36" xfId="0" applyNumberFormat="1" applyFont="1" applyBorder="1" applyAlignment="1">
      <alignment horizontal="center" vertical="top"/>
    </xf>
    <xf numFmtId="14" fontId="7" fillId="0" borderId="33" xfId="0" applyNumberFormat="1" applyFont="1" applyBorder="1" applyAlignment="1">
      <alignment horizontal="center" vertical="top"/>
    </xf>
    <xf numFmtId="0" fontId="7" fillId="0" borderId="30" xfId="0" applyFont="1" applyBorder="1" applyAlignment="1">
      <alignment horizontal="left" vertical="top"/>
    </xf>
    <xf numFmtId="0" fontId="7" fillId="0" borderId="31" xfId="0" applyFont="1" applyBorder="1" applyAlignment="1">
      <alignment horizontal="left" vertical="top"/>
    </xf>
    <xf numFmtId="0" fontId="7" fillId="0" borderId="32" xfId="0" applyFont="1" applyBorder="1" applyAlignment="1">
      <alignment horizontal="left" vertical="top"/>
    </xf>
    <xf numFmtId="0" fontId="7" fillId="0" borderId="21" xfId="0" applyNumberFormat="1" applyFont="1" applyBorder="1" applyAlignment="1">
      <alignment horizontal="center" vertical="top"/>
    </xf>
    <xf numFmtId="0" fontId="7" fillId="0" borderId="43" xfId="0" applyNumberFormat="1" applyFont="1" applyBorder="1" applyAlignment="1">
      <alignment horizontal="center" vertical="top"/>
    </xf>
    <xf numFmtId="0" fontId="7" fillId="0" borderId="43" xfId="0" applyFont="1" applyBorder="1" applyAlignment="1">
      <alignment horizontal="center" vertical="top"/>
    </xf>
    <xf numFmtId="0" fontId="7" fillId="0" borderId="80" xfId="0" applyFont="1" applyBorder="1" applyAlignment="1">
      <alignment horizontal="left" vertical="top"/>
    </xf>
    <xf numFmtId="0" fontId="7" fillId="0" borderId="3" xfId="0" applyFont="1" applyBorder="1" applyAlignment="1">
      <alignment horizontal="left" vertical="top"/>
    </xf>
    <xf numFmtId="0" fontId="7" fillId="0" borderId="93" xfId="0" applyFont="1" applyBorder="1" applyAlignment="1">
      <alignment horizontal="left" vertical="top"/>
    </xf>
    <xf numFmtId="0" fontId="7" fillId="0" borderId="35" xfId="0" applyNumberFormat="1" applyFont="1" applyBorder="1" applyAlignment="1">
      <alignment horizontal="center" vertical="top"/>
    </xf>
    <xf numFmtId="0" fontId="7" fillId="0" borderId="19" xfId="0" applyNumberFormat="1" applyFont="1" applyBorder="1" applyAlignment="1">
      <alignment horizontal="center" vertical="top"/>
    </xf>
    <xf numFmtId="0" fontId="7" fillId="0" borderId="37" xfId="0" applyNumberFormat="1" applyFont="1" applyBorder="1" applyAlignment="1">
      <alignment horizontal="center" vertical="top"/>
    </xf>
    <xf numFmtId="177" fontId="7" fillId="0" borderId="0" xfId="0" applyNumberFormat="1" applyFont="1" applyBorder="1" applyAlignment="1">
      <alignment horizontal="center"/>
    </xf>
    <xf numFmtId="0" fontId="7" fillId="0" borderId="0" xfId="0" applyFont="1" applyBorder="1" applyAlignment="1">
      <alignment horizontal="center"/>
    </xf>
    <xf numFmtId="0" fontId="7" fillId="0" borderId="0" xfId="0" applyNumberFormat="1" applyFont="1" applyBorder="1" applyAlignment="1">
      <alignment horizontal="center"/>
    </xf>
    <xf numFmtId="0" fontId="7" fillId="7" borderId="94" xfId="0" applyFont="1" applyFill="1" applyBorder="1" applyAlignment="1">
      <alignment horizontal="center" vertical="top"/>
    </xf>
    <xf numFmtId="0" fontId="7" fillId="7" borderId="70" xfId="0" applyFont="1" applyFill="1" applyBorder="1" applyAlignment="1">
      <alignment horizontal="center" vertical="top"/>
    </xf>
    <xf numFmtId="0" fontId="7" fillId="2" borderId="70" xfId="0" applyFont="1" applyFill="1" applyBorder="1" applyAlignment="1">
      <alignment horizontal="center" vertical="top"/>
    </xf>
    <xf numFmtId="0" fontId="7" fillId="2" borderId="71" xfId="0" applyFont="1" applyFill="1" applyBorder="1" applyAlignment="1">
      <alignment horizontal="center" vertical="top"/>
    </xf>
    <xf numFmtId="0" fontId="7" fillId="7" borderId="95" xfId="0" applyFont="1" applyFill="1" applyBorder="1" applyAlignment="1">
      <alignment horizontal="center" vertical="top"/>
    </xf>
    <xf numFmtId="0" fontId="7" fillId="7" borderId="96" xfId="0" applyFont="1" applyFill="1" applyBorder="1" applyAlignment="1">
      <alignment horizontal="center" vertical="top"/>
    </xf>
    <xf numFmtId="0" fontId="7" fillId="2" borderId="96" xfId="0" applyFont="1" applyFill="1" applyBorder="1" applyAlignment="1">
      <alignment horizontal="center" vertical="top"/>
    </xf>
    <xf numFmtId="0" fontId="7" fillId="2" borderId="97" xfId="0" applyFont="1" applyFill="1" applyBorder="1" applyAlignment="1">
      <alignment horizontal="center" vertical="top"/>
    </xf>
    <xf numFmtId="0" fontId="7" fillId="0" borderId="98" xfId="0" applyNumberFormat="1" applyFont="1" applyBorder="1" applyAlignment="1">
      <alignment horizontal="center" vertical="top"/>
    </xf>
    <xf numFmtId="0" fontId="7" fillId="0" borderId="99" xfId="0" applyNumberFormat="1" applyFont="1" applyBorder="1" applyAlignment="1">
      <alignment horizontal="center" vertical="top"/>
    </xf>
    <xf numFmtId="177" fontId="7" fillId="0" borderId="100" xfId="0" applyNumberFormat="1" applyFont="1" applyBorder="1" applyAlignment="1">
      <alignment horizontal="center" vertical="top"/>
    </xf>
    <xf numFmtId="177" fontId="7" fillId="0" borderId="101" xfId="0" applyNumberFormat="1" applyFont="1" applyBorder="1" applyAlignment="1">
      <alignment horizontal="center" vertical="top"/>
    </xf>
    <xf numFmtId="177" fontId="7" fillId="0" borderId="99" xfId="0" applyNumberFormat="1" applyFont="1" applyBorder="1" applyAlignment="1">
      <alignment horizontal="center" vertical="top"/>
    </xf>
    <xf numFmtId="0" fontId="7" fillId="0" borderId="100" xfId="0" applyFont="1" applyBorder="1" applyAlignment="1">
      <alignment vertical="top" wrapText="1"/>
    </xf>
    <xf numFmtId="0" fontId="7" fillId="0" borderId="101" xfId="0" applyFont="1" applyBorder="1" applyAlignment="1">
      <alignment vertical="top"/>
    </xf>
    <xf numFmtId="0" fontId="7" fillId="0" borderId="99" xfId="0" applyFont="1" applyBorder="1" applyAlignment="1">
      <alignment vertical="top"/>
    </xf>
    <xf numFmtId="0" fontId="7" fillId="0" borderId="100" xfId="0" applyNumberFormat="1" applyFont="1" applyBorder="1" applyAlignment="1">
      <alignment horizontal="center" vertical="top"/>
    </xf>
    <xf numFmtId="0" fontId="7" fillId="0" borderId="101" xfId="0" applyNumberFormat="1" applyFont="1" applyBorder="1" applyAlignment="1">
      <alignment horizontal="center" vertical="top"/>
    </xf>
    <xf numFmtId="14" fontId="7" fillId="0" borderId="100" xfId="0" applyNumberFormat="1" applyFont="1" applyBorder="1" applyAlignment="1">
      <alignment horizontal="center" vertical="top"/>
    </xf>
    <xf numFmtId="14" fontId="7" fillId="0" borderId="101" xfId="0" applyNumberFormat="1" applyFont="1" applyBorder="1" applyAlignment="1">
      <alignment horizontal="center" vertical="top"/>
    </xf>
    <xf numFmtId="14" fontId="7" fillId="0" borderId="102" xfId="0" applyNumberFormat="1" applyFont="1" applyBorder="1" applyAlignment="1">
      <alignment horizontal="center" vertical="top"/>
    </xf>
    <xf numFmtId="0" fontId="7" fillId="0" borderId="103" xfId="0" applyNumberFormat="1" applyFont="1" applyBorder="1" applyAlignment="1">
      <alignment horizontal="center" vertical="top"/>
    </xf>
    <xf numFmtId="0" fontId="7" fillId="0" borderId="104" xfId="0" applyNumberFormat="1" applyFont="1" applyBorder="1" applyAlignment="1">
      <alignment horizontal="center" vertical="top"/>
    </xf>
    <xf numFmtId="177" fontId="7" fillId="0" borderId="105" xfId="0" applyNumberFormat="1" applyFont="1" applyBorder="1" applyAlignment="1">
      <alignment horizontal="center" vertical="top"/>
    </xf>
    <xf numFmtId="177" fontId="7" fillId="0" borderId="106" xfId="0" applyNumberFormat="1" applyFont="1" applyBorder="1" applyAlignment="1">
      <alignment horizontal="center" vertical="top"/>
    </xf>
    <xf numFmtId="177" fontId="7" fillId="0" borderId="104" xfId="0" applyNumberFormat="1" applyFont="1" applyBorder="1" applyAlignment="1">
      <alignment horizontal="center" vertical="top"/>
    </xf>
    <xf numFmtId="0" fontId="7" fillId="0" borderId="105" xfId="0" applyFont="1" applyBorder="1" applyAlignment="1">
      <alignment horizontal="left" vertical="top" wrapText="1"/>
    </xf>
    <xf numFmtId="0" fontId="7" fillId="0" borderId="106" xfId="0" applyFont="1" applyBorder="1" applyAlignment="1">
      <alignment horizontal="left" vertical="top" wrapText="1"/>
    </xf>
    <xf numFmtId="0" fontId="7" fillId="0" borderId="104" xfId="0" applyFont="1" applyBorder="1" applyAlignment="1">
      <alignment horizontal="left" vertical="top" wrapText="1"/>
    </xf>
    <xf numFmtId="0" fontId="7" fillId="0" borderId="105" xfId="0" applyNumberFormat="1" applyFont="1" applyBorder="1" applyAlignment="1">
      <alignment horizontal="center" vertical="top"/>
    </xf>
    <xf numFmtId="0" fontId="7" fillId="0" borderId="106" xfId="0" applyNumberFormat="1" applyFont="1" applyBorder="1" applyAlignment="1">
      <alignment horizontal="center" vertical="top"/>
    </xf>
    <xf numFmtId="14" fontId="7" fillId="0" borderId="105" xfId="0" applyNumberFormat="1" applyFont="1" applyBorder="1" applyAlignment="1">
      <alignment horizontal="center" vertical="top"/>
    </xf>
    <xf numFmtId="14" fontId="7" fillId="0" borderId="106" xfId="0" applyNumberFormat="1" applyFont="1" applyBorder="1" applyAlignment="1">
      <alignment horizontal="center" vertical="top"/>
    </xf>
    <xf numFmtId="14" fontId="7" fillId="0" borderId="107" xfId="0" applyNumberFormat="1" applyFont="1" applyBorder="1" applyAlignment="1">
      <alignment horizontal="center" vertical="top"/>
    </xf>
  </cellXfs>
  <cellStyles count="5">
    <cellStyle name="標準" xfId="0" builtinId="0"/>
    <cellStyle name="標準 2" xfId="1"/>
    <cellStyle name="標準 2 2" xfId="4"/>
    <cellStyle name="標準 4" xfId="2"/>
    <cellStyle name="標準 8" xfId="3"/>
  </cellStyles>
  <dxfs count="0"/>
  <tableStyles count="0" defaultTableStyle="TableStyleMedium9" defaultPivotStyle="PivotStyleLight16"/>
  <colors>
    <mruColors>
      <color rgb="FFFFCCFF"/>
      <color rgb="FFCCFFFF"/>
      <color rgb="FFFFFF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emf"/></Relationships>
</file>

<file path=xl/drawings/_rels/drawing3.xml.rels><?xml version="1.0" encoding="UTF-8" standalone="yes"?>
<Relationships xmlns="http://schemas.openxmlformats.org/package/2006/relationships"><Relationship Id="rId1" Type="http://schemas.openxmlformats.org/officeDocument/2006/relationships/image" Target="../media/image6.emf"/></Relationships>
</file>

<file path=xl/drawings/_rels/drawing4.xml.rels><?xml version="1.0" encoding="UTF-8" standalone="yes"?>
<Relationships xmlns="http://schemas.openxmlformats.org/package/2006/relationships"><Relationship Id="rId1" Type="http://schemas.openxmlformats.org/officeDocument/2006/relationships/image" Target="../media/image8.emf"/></Relationships>
</file>

<file path=xl/drawings/_rels/drawing5.xml.rels><?xml version="1.0" encoding="UTF-8" standalone="yes"?>
<Relationships xmlns="http://schemas.openxmlformats.org/package/2006/relationships"><Relationship Id="rId1" Type="http://schemas.openxmlformats.org/officeDocument/2006/relationships/image" Target="../media/image10.emf"/></Relationships>
</file>

<file path=xl/drawings/_rels/drawing7.xml.rels><?xml version="1.0" encoding="UTF-8" standalone="yes"?>
<Relationships xmlns="http://schemas.openxmlformats.org/package/2006/relationships"><Relationship Id="rId1" Type="http://schemas.openxmlformats.org/officeDocument/2006/relationships/image" Target="../media/image1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9.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xdr:from>
      <xdr:col>10</xdr:col>
      <xdr:colOff>104775</xdr:colOff>
      <xdr:row>37</xdr:row>
      <xdr:rowOff>9525</xdr:rowOff>
    </xdr:from>
    <xdr:to>
      <xdr:col>39</xdr:col>
      <xdr:colOff>66675</xdr:colOff>
      <xdr:row>39</xdr:row>
      <xdr:rowOff>19050</xdr:rowOff>
    </xdr:to>
    <xdr:grpSp>
      <xdr:nvGrpSpPr>
        <xdr:cNvPr id="1262" name="Group 2"/>
        <xdr:cNvGrpSpPr>
          <a:grpSpLocks/>
        </xdr:cNvGrpSpPr>
      </xdr:nvGrpSpPr>
      <xdr:grpSpPr bwMode="auto">
        <a:xfrm>
          <a:off x="2009775" y="6267450"/>
          <a:ext cx="5486400" cy="295275"/>
          <a:chOff x="288" y="656"/>
          <a:chExt cx="576" cy="31"/>
        </a:xfrm>
      </xdr:grpSpPr>
      <xdr:pic>
        <xdr:nvPicPr>
          <xdr:cNvPr id="1266" name="Picture 3" descr="BL-J_Bw"/>
          <xdr:cNvPicPr preferRelativeResize="0">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4" y="661"/>
            <a:ext cx="450" cy="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267" name="Picture 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8" y="656"/>
            <a:ext cx="107" cy="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grpSp>
    <xdr:clientData/>
  </xdr:twoCellAnchor>
  <xdr:twoCellAnchor editAs="oneCell">
    <xdr:from>
      <xdr:col>8</xdr:col>
      <xdr:colOff>142875</xdr:colOff>
      <xdr:row>10</xdr:row>
      <xdr:rowOff>85725</xdr:rowOff>
    </xdr:from>
    <xdr:to>
      <xdr:col>41</xdr:col>
      <xdr:colOff>38100</xdr:colOff>
      <xdr:row>19</xdr:row>
      <xdr:rowOff>17286</xdr:rowOff>
    </xdr:to>
    <xdr:sp macro="" textlink="">
      <xdr:nvSpPr>
        <xdr:cNvPr id="1033" name="AutoShape 5"/>
        <xdr:cNvSpPr>
          <a:spLocks noChangeArrowheads="1"/>
        </xdr:cNvSpPr>
      </xdr:nvSpPr>
      <xdr:spPr bwMode="auto">
        <a:xfrm>
          <a:off x="1666875" y="1514475"/>
          <a:ext cx="6181725" cy="1409700"/>
        </a:xfrm>
        <a:prstGeom prst="roundRect">
          <a:avLst>
            <a:gd name="adj" fmla="val 16667"/>
          </a:avLst>
        </a:prstGeom>
        <a:solidFill>
          <a:srgbClr val="FFFFFF"/>
        </a:solidFill>
        <a:ln w="25400">
          <a:solidFill>
            <a:srgbClr val="000000"/>
          </a:solidFill>
          <a:round/>
          <a:headEnd/>
          <a:tailEnd/>
        </a:ln>
        <a:effectLst>
          <a:outerShdw dist="107763" dir="2700000" algn="ctr" rotWithShape="0">
            <a:srgbClr val="333333"/>
          </a:outerShdw>
        </a:effectLst>
      </xdr:spPr>
      <xdr:txBody>
        <a:bodyPr vertOverflow="clip" wrap="square" lIns="64008" tIns="41148" rIns="64008" bIns="41148" anchor="ctr" upright="1"/>
        <a:lstStyle/>
        <a:p>
          <a:pPr algn="ctr" rtl="0">
            <a:defRPr sz="1000"/>
          </a:pPr>
          <a:r>
            <a:rPr lang="ja-JP" altLang="en-US" sz="3600" b="0" i="0" u="none" strike="noStrike" baseline="0">
              <a:solidFill>
                <a:srgbClr val="000000"/>
              </a:solidFill>
              <a:latin typeface="ＭＳ Ｐゴシック"/>
              <a:ea typeface="ＭＳ Ｐゴシック"/>
            </a:rPr>
            <a:t>サービス設計書</a:t>
          </a:r>
        </a:p>
      </xdr:txBody>
    </xdr:sp>
    <xdr:clientData/>
  </xdr:twoCellAnchor>
  <xdr:twoCellAnchor editAs="oneCell">
    <xdr:from>
      <xdr:col>44</xdr:col>
      <xdr:colOff>152400</xdr:colOff>
      <xdr:row>0</xdr:row>
      <xdr:rowOff>0</xdr:rowOff>
    </xdr:from>
    <xdr:to>
      <xdr:col>48</xdr:col>
      <xdr:colOff>9525</xdr:colOff>
      <xdr:row>1</xdr:row>
      <xdr:rowOff>45508</xdr:rowOff>
    </xdr:to>
    <xdr:sp macro="" textlink="">
      <xdr:nvSpPr>
        <xdr:cNvPr id="144391" name="Rectangle 7"/>
        <xdr:cNvSpPr>
          <a:spLocks noChangeArrowheads="1"/>
        </xdr:cNvSpPr>
      </xdr:nvSpPr>
      <xdr:spPr bwMode="auto">
        <a:xfrm>
          <a:off x="8067675" y="0"/>
          <a:ext cx="628650" cy="209550"/>
        </a:xfrm>
        <a:prstGeom prst="rect">
          <a:avLst/>
        </a:prstGeom>
        <a:noFill/>
        <a:ln w="6350">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取扱注意</a:t>
          </a:r>
        </a:p>
      </xdr:txBody>
    </xdr:sp>
    <xdr:clientData/>
  </xdr:twoCellAnchor>
  <xdr:twoCellAnchor>
    <xdr:from>
      <xdr:col>0</xdr:col>
      <xdr:colOff>0</xdr:colOff>
      <xdr:row>43</xdr:row>
      <xdr:rowOff>38100</xdr:rowOff>
    </xdr:from>
    <xdr:to>
      <xdr:col>50</xdr:col>
      <xdr:colOff>0</xdr:colOff>
      <xdr:row>43</xdr:row>
      <xdr:rowOff>38100</xdr:rowOff>
    </xdr:to>
    <xdr:sp macro="" textlink="">
      <xdr:nvSpPr>
        <xdr:cNvPr id="1265" name="Line 12"/>
        <xdr:cNvSpPr>
          <a:spLocks noChangeShapeType="1"/>
        </xdr:cNvSpPr>
      </xdr:nvSpPr>
      <xdr:spPr bwMode="auto">
        <a:xfrm>
          <a:off x="0" y="7467600"/>
          <a:ext cx="9525000"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2</xdr:col>
      <xdr:colOff>0</xdr:colOff>
      <xdr:row>2</xdr:row>
      <xdr:rowOff>0</xdr:rowOff>
    </xdr:from>
    <xdr:to>
      <xdr:col>13</xdr:col>
      <xdr:colOff>45463</xdr:colOff>
      <xdr:row>4</xdr:row>
      <xdr:rowOff>92055</xdr:rowOff>
    </xdr:to>
    <xdr:pic>
      <xdr:nvPicPr>
        <xdr:cNvPr id="10" name="図 9"/>
        <xdr:cNvPicPr>
          <a:picLocks noChangeAspect="1"/>
        </xdr:cNvPicPr>
      </xdr:nvPicPr>
      <xdr:blipFill>
        <a:blip xmlns:r="http://schemas.openxmlformats.org/officeDocument/2006/relationships" r:embed="rId3"/>
        <a:stretch>
          <a:fillRect/>
        </a:stretch>
      </xdr:blipFill>
      <xdr:spPr>
        <a:xfrm>
          <a:off x="406400" y="270933"/>
          <a:ext cx="2280663" cy="3629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6</xdr:col>
          <xdr:colOff>0</xdr:colOff>
          <xdr:row>2</xdr:row>
          <xdr:rowOff>123825</xdr:rowOff>
        </xdr:to>
        <xdr:pic>
          <xdr:nvPicPr>
            <xdr:cNvPr id="3" name="図 2"/>
            <xdr:cNvPicPr>
              <a:picLocks noChangeAspect="1" noChangeArrowheads="1"/>
              <a:extLst>
                <a:ext uri="{84589F7E-364E-4C9E-8A38-B11213B215E9}">
                  <a14:cameraTool cellRange="表紙!$BA$47:$BJ$49" spid="_x0000_s44077"/>
                </a:ext>
              </a:extLst>
            </xdr:cNvPicPr>
          </xdr:nvPicPr>
          <xdr:blipFill>
            <a:blip xmlns:r="http://schemas.openxmlformats.org/officeDocument/2006/relationships" r:embed="rId1"/>
            <a:srcRect/>
            <a:stretch>
              <a:fillRect/>
            </a:stretch>
          </xdr:blipFill>
          <xdr:spPr bwMode="auto">
            <a:xfrm>
              <a:off x="0" y="0"/>
              <a:ext cx="9525000" cy="4286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9</xdr:col>
          <xdr:colOff>0</xdr:colOff>
          <xdr:row>2</xdr:row>
          <xdr:rowOff>123825</xdr:rowOff>
        </xdr:to>
        <xdr:pic>
          <xdr:nvPicPr>
            <xdr:cNvPr id="3" name="図 2"/>
            <xdr:cNvPicPr>
              <a:picLocks noChangeAspect="1" noChangeArrowheads="1"/>
              <a:extLst>
                <a:ext uri="{84589F7E-364E-4C9E-8A38-B11213B215E9}">
                  <a14:cameraTool cellRange="表紙!$BA$51:$BJ$53" spid="_x0000_s45101"/>
                </a:ext>
              </a:extLst>
            </xdr:cNvPicPr>
          </xdr:nvPicPr>
          <xdr:blipFill>
            <a:blip xmlns:r="http://schemas.openxmlformats.org/officeDocument/2006/relationships" r:embed="rId1"/>
            <a:srcRect/>
            <a:stretch>
              <a:fillRect/>
            </a:stretch>
          </xdr:blipFill>
          <xdr:spPr bwMode="auto">
            <a:xfrm>
              <a:off x="0" y="0"/>
              <a:ext cx="9525000" cy="4286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50</xdr:col>
          <xdr:colOff>0</xdr:colOff>
          <xdr:row>3</xdr:row>
          <xdr:rowOff>0</xdr:rowOff>
        </xdr:to>
        <xdr:pic>
          <xdr:nvPicPr>
            <xdr:cNvPr id="4" name="図 3"/>
            <xdr:cNvPicPr>
              <a:picLocks noChangeAspect="1" noChangeArrowheads="1"/>
              <a:extLst>
                <a:ext uri="{84589F7E-364E-4C9E-8A38-B11213B215E9}">
                  <a14:cameraTool cellRange="表紙!$BA$67:$BJ$69" spid="_x0000_s54274"/>
                </a:ext>
              </a:extLst>
            </xdr:cNvPicPr>
          </xdr:nvPicPr>
          <xdr:blipFill>
            <a:blip xmlns:r="http://schemas.openxmlformats.org/officeDocument/2006/relationships" r:embed="rId1"/>
            <a:srcRect/>
            <a:stretch>
              <a:fillRect/>
            </a:stretch>
          </xdr:blipFill>
          <xdr:spPr bwMode="auto">
            <a:xfrm>
              <a:off x="0" y="0"/>
              <a:ext cx="9525000" cy="4667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20</xdr:col>
      <xdr:colOff>44824</xdr:colOff>
      <xdr:row>9</xdr:row>
      <xdr:rowOff>145676</xdr:rowOff>
    </xdr:from>
    <xdr:to>
      <xdr:col>27</xdr:col>
      <xdr:colOff>44824</xdr:colOff>
      <xdr:row>12</xdr:row>
      <xdr:rowOff>145676</xdr:rowOff>
    </xdr:to>
    <xdr:sp macro="" textlink="">
      <xdr:nvSpPr>
        <xdr:cNvPr id="38" name="角丸四角形 37"/>
        <xdr:cNvSpPr/>
      </xdr:nvSpPr>
      <xdr:spPr>
        <a:xfrm>
          <a:off x="4045324" y="1793501"/>
          <a:ext cx="1400175" cy="60007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処理開始</a:t>
          </a:r>
        </a:p>
      </xdr:txBody>
    </xdr:sp>
    <xdr:clientData/>
  </xdr:twoCellAnchor>
  <xdr:twoCellAnchor>
    <xdr:from>
      <xdr:col>18</xdr:col>
      <xdr:colOff>163607</xdr:colOff>
      <xdr:row>15</xdr:row>
      <xdr:rowOff>12947</xdr:rowOff>
    </xdr:from>
    <xdr:to>
      <xdr:col>28</xdr:col>
      <xdr:colOff>122103</xdr:colOff>
      <xdr:row>17</xdr:row>
      <xdr:rowOff>136627</xdr:rowOff>
    </xdr:to>
    <xdr:sp macro="" textlink="">
      <xdr:nvSpPr>
        <xdr:cNvPr id="40" name="AutoShape 6"/>
        <xdr:cNvSpPr>
          <a:spLocks noChangeArrowheads="1"/>
        </xdr:cNvSpPr>
      </xdr:nvSpPr>
      <xdr:spPr bwMode="auto">
        <a:xfrm>
          <a:off x="3592607" y="2320114"/>
          <a:ext cx="1863496" cy="420013"/>
        </a:xfrm>
        <a:prstGeom prst="flowChartPredefinedProcess">
          <a:avLst/>
        </a:prstGeom>
        <a:noFill/>
        <a:ln w="12700">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チェック処理呼出</a:t>
          </a:r>
        </a:p>
      </xdr:txBody>
    </xdr:sp>
    <xdr:clientData/>
  </xdr:twoCellAnchor>
  <xdr:twoCellAnchor>
    <xdr:from>
      <xdr:col>18</xdr:col>
      <xdr:colOff>159124</xdr:colOff>
      <xdr:row>20</xdr:row>
      <xdr:rowOff>12824</xdr:rowOff>
    </xdr:from>
    <xdr:to>
      <xdr:col>28</xdr:col>
      <xdr:colOff>117620</xdr:colOff>
      <xdr:row>23</xdr:row>
      <xdr:rowOff>8259</xdr:rowOff>
    </xdr:to>
    <xdr:sp macro="" textlink="">
      <xdr:nvSpPr>
        <xdr:cNvPr id="41" name="AutoShape 6"/>
        <xdr:cNvSpPr>
          <a:spLocks noChangeArrowheads="1"/>
        </xdr:cNvSpPr>
      </xdr:nvSpPr>
      <xdr:spPr bwMode="auto">
        <a:xfrm>
          <a:off x="3588124" y="3060824"/>
          <a:ext cx="1863496" cy="439935"/>
        </a:xfrm>
        <a:prstGeom prst="flowChartPredefinedProcess">
          <a:avLst/>
        </a:prstGeom>
        <a:noFill/>
        <a:ln w="12700">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棚札情報登録・更新</a:t>
          </a:r>
        </a:p>
      </xdr:txBody>
    </xdr:sp>
    <xdr:clientData/>
  </xdr:twoCellAnchor>
  <xdr:twoCellAnchor>
    <xdr:from>
      <xdr:col>20</xdr:col>
      <xdr:colOff>50302</xdr:colOff>
      <xdr:row>26</xdr:row>
      <xdr:rowOff>13571</xdr:rowOff>
    </xdr:from>
    <xdr:to>
      <xdr:col>27</xdr:col>
      <xdr:colOff>50302</xdr:colOff>
      <xdr:row>29</xdr:row>
      <xdr:rowOff>13571</xdr:rowOff>
    </xdr:to>
    <xdr:sp macro="" textlink="">
      <xdr:nvSpPr>
        <xdr:cNvPr id="44" name="角丸四角形 43"/>
        <xdr:cNvSpPr/>
      </xdr:nvSpPr>
      <xdr:spPr>
        <a:xfrm>
          <a:off x="3860302" y="3950571"/>
          <a:ext cx="1333500" cy="4445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処理終了</a:t>
          </a:r>
        </a:p>
      </xdr:txBody>
    </xdr:sp>
    <xdr:clientData/>
  </xdr:twoCellAnchor>
  <xdr:twoCellAnchor>
    <xdr:from>
      <xdr:col>23</xdr:col>
      <xdr:colOff>140074</xdr:colOff>
      <xdr:row>12</xdr:row>
      <xdr:rowOff>145676</xdr:rowOff>
    </xdr:from>
    <xdr:to>
      <xdr:col>23</xdr:col>
      <xdr:colOff>142855</xdr:colOff>
      <xdr:row>15</xdr:row>
      <xdr:rowOff>12947</xdr:rowOff>
    </xdr:to>
    <xdr:cxnSp macro="">
      <xdr:nvCxnSpPr>
        <xdr:cNvPr id="45" name="直線矢印コネクタ 44"/>
        <xdr:cNvCxnSpPr>
          <a:stCxn id="38" idx="2"/>
          <a:endCxn id="40" idx="0"/>
        </xdr:cNvCxnSpPr>
      </xdr:nvCxnSpPr>
      <xdr:spPr>
        <a:xfrm>
          <a:off x="4521574" y="2008343"/>
          <a:ext cx="2781" cy="31177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138372</xdr:colOff>
      <xdr:row>17</xdr:row>
      <xdr:rowOff>136627</xdr:rowOff>
    </xdr:from>
    <xdr:to>
      <xdr:col>23</xdr:col>
      <xdr:colOff>142855</xdr:colOff>
      <xdr:row>20</xdr:row>
      <xdr:rowOff>12824</xdr:rowOff>
    </xdr:to>
    <xdr:cxnSp macro="">
      <xdr:nvCxnSpPr>
        <xdr:cNvPr id="46" name="直線矢印コネクタ 45"/>
        <xdr:cNvCxnSpPr>
          <a:stCxn id="40" idx="2"/>
          <a:endCxn id="41" idx="0"/>
        </xdr:cNvCxnSpPr>
      </xdr:nvCxnSpPr>
      <xdr:spPr>
        <a:xfrm flipH="1">
          <a:off x="4519872" y="2740127"/>
          <a:ext cx="4483" cy="32069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138372</xdr:colOff>
      <xdr:row>23</xdr:row>
      <xdr:rowOff>8259</xdr:rowOff>
    </xdr:from>
    <xdr:to>
      <xdr:col>23</xdr:col>
      <xdr:colOff>145552</xdr:colOff>
      <xdr:row>26</xdr:row>
      <xdr:rowOff>13571</xdr:rowOff>
    </xdr:to>
    <xdr:cxnSp macro="">
      <xdr:nvCxnSpPr>
        <xdr:cNvPr id="47" name="直線矢印コネクタ 46"/>
        <xdr:cNvCxnSpPr>
          <a:stCxn id="41" idx="2"/>
          <a:endCxn id="44" idx="0"/>
        </xdr:cNvCxnSpPr>
      </xdr:nvCxnSpPr>
      <xdr:spPr>
        <a:xfrm>
          <a:off x="4519872" y="3500759"/>
          <a:ext cx="7180" cy="44981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21665</xdr:colOff>
      <xdr:row>20</xdr:row>
      <xdr:rowOff>53414</xdr:rowOff>
    </xdr:from>
    <xdr:to>
      <xdr:col>37</xdr:col>
      <xdr:colOff>95633</xdr:colOff>
      <xdr:row>22</xdr:row>
      <xdr:rowOff>121272</xdr:rowOff>
    </xdr:to>
    <xdr:sp macro="" textlink="">
      <xdr:nvSpPr>
        <xdr:cNvPr id="53" name="AutoShape 78"/>
        <xdr:cNvSpPr>
          <a:spLocks noChangeArrowheads="1"/>
        </xdr:cNvSpPr>
      </xdr:nvSpPr>
      <xdr:spPr bwMode="auto">
        <a:xfrm>
          <a:off x="6117665" y="3101414"/>
          <a:ext cx="1026468" cy="364191"/>
        </a:xfrm>
        <a:prstGeom prst="can">
          <a:avLst>
            <a:gd name="adj" fmla="val 25000"/>
          </a:avLst>
        </a:prstGeom>
        <a:solidFill>
          <a:schemeClr val="bg1"/>
        </a:solidFill>
        <a:ln w="12700">
          <a:solidFill>
            <a:srgbClr val="000000"/>
          </a:solidFill>
          <a:round/>
          <a:headEnd/>
          <a:tailEnd/>
        </a:ln>
        <a:effectLst/>
      </xdr:spPr>
      <xdr:txBody>
        <a:bodyPr vertOverflow="clip" wrap="squar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900">
              <a:effectLst/>
              <a:latin typeface="Meiryo UI" panose="020B0604030504040204" pitchFamily="50" charset="-128"/>
              <a:ea typeface="Meiryo UI" panose="020B0604030504040204" pitchFamily="50" charset="-128"/>
            </a:rPr>
            <a:t>棚札情報</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28</xdr:col>
      <xdr:colOff>117620</xdr:colOff>
      <xdr:row>21</xdr:row>
      <xdr:rowOff>84625</xdr:rowOff>
    </xdr:from>
    <xdr:to>
      <xdr:col>32</xdr:col>
      <xdr:colOff>21665</xdr:colOff>
      <xdr:row>21</xdr:row>
      <xdr:rowOff>87343</xdr:rowOff>
    </xdr:to>
    <xdr:cxnSp macro="">
      <xdr:nvCxnSpPr>
        <xdr:cNvPr id="54" name="直線矢印コネクタ 53"/>
        <xdr:cNvCxnSpPr>
          <a:stCxn id="41" idx="3"/>
          <a:endCxn id="53" idx="2"/>
        </xdr:cNvCxnSpPr>
      </xdr:nvCxnSpPr>
      <xdr:spPr>
        <a:xfrm>
          <a:off x="5451620" y="3280792"/>
          <a:ext cx="666045" cy="271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44824</xdr:colOff>
      <xdr:row>33</xdr:row>
      <xdr:rowOff>145676</xdr:rowOff>
    </xdr:from>
    <xdr:to>
      <xdr:col>27</xdr:col>
      <xdr:colOff>44824</xdr:colOff>
      <xdr:row>36</xdr:row>
      <xdr:rowOff>145676</xdr:rowOff>
    </xdr:to>
    <xdr:sp macro="" textlink="">
      <xdr:nvSpPr>
        <xdr:cNvPr id="62" name="角丸四角形 61"/>
        <xdr:cNvSpPr/>
      </xdr:nvSpPr>
      <xdr:spPr>
        <a:xfrm>
          <a:off x="3854824" y="1563843"/>
          <a:ext cx="1333500" cy="4445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処理開始</a:t>
          </a:r>
        </a:p>
      </xdr:txBody>
    </xdr:sp>
    <xdr:clientData/>
  </xdr:twoCellAnchor>
  <xdr:twoCellAnchor>
    <xdr:from>
      <xdr:col>18</xdr:col>
      <xdr:colOff>163607</xdr:colOff>
      <xdr:row>39</xdr:row>
      <xdr:rowOff>12947</xdr:rowOff>
    </xdr:from>
    <xdr:to>
      <xdr:col>28</xdr:col>
      <xdr:colOff>122103</xdr:colOff>
      <xdr:row>41</xdr:row>
      <xdr:rowOff>136627</xdr:rowOff>
    </xdr:to>
    <xdr:sp macro="" textlink="">
      <xdr:nvSpPr>
        <xdr:cNvPr id="63" name="AutoShape 6"/>
        <xdr:cNvSpPr>
          <a:spLocks noChangeArrowheads="1"/>
        </xdr:cNvSpPr>
      </xdr:nvSpPr>
      <xdr:spPr bwMode="auto">
        <a:xfrm>
          <a:off x="3592607" y="2320114"/>
          <a:ext cx="1863496" cy="420013"/>
        </a:xfrm>
        <a:prstGeom prst="flowChartPredefinedProcess">
          <a:avLst/>
        </a:prstGeom>
        <a:noFill/>
        <a:ln w="12700">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実棚情報チェック・値補完</a:t>
          </a:r>
        </a:p>
      </xdr:txBody>
    </xdr:sp>
    <xdr:clientData/>
  </xdr:twoCellAnchor>
  <xdr:twoCellAnchor>
    <xdr:from>
      <xdr:col>20</xdr:col>
      <xdr:colOff>50303</xdr:colOff>
      <xdr:row>44</xdr:row>
      <xdr:rowOff>34738</xdr:rowOff>
    </xdr:from>
    <xdr:to>
      <xdr:col>27</xdr:col>
      <xdr:colOff>50303</xdr:colOff>
      <xdr:row>47</xdr:row>
      <xdr:rowOff>34738</xdr:rowOff>
    </xdr:to>
    <xdr:sp macro="" textlink="">
      <xdr:nvSpPr>
        <xdr:cNvPr id="65" name="角丸四角形 64"/>
        <xdr:cNvSpPr/>
      </xdr:nvSpPr>
      <xdr:spPr>
        <a:xfrm>
          <a:off x="3860303" y="6691655"/>
          <a:ext cx="1333500" cy="4445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処理終了</a:t>
          </a:r>
        </a:p>
      </xdr:txBody>
    </xdr:sp>
    <xdr:clientData/>
  </xdr:twoCellAnchor>
  <xdr:twoCellAnchor>
    <xdr:from>
      <xdr:col>23</xdr:col>
      <xdr:colOff>140074</xdr:colOff>
      <xdr:row>36</xdr:row>
      <xdr:rowOff>145676</xdr:rowOff>
    </xdr:from>
    <xdr:to>
      <xdr:col>23</xdr:col>
      <xdr:colOff>142855</xdr:colOff>
      <xdr:row>39</xdr:row>
      <xdr:rowOff>12947</xdr:rowOff>
    </xdr:to>
    <xdr:cxnSp macro="">
      <xdr:nvCxnSpPr>
        <xdr:cNvPr id="66" name="直線矢印コネクタ 65"/>
        <xdr:cNvCxnSpPr>
          <a:stCxn id="62" idx="2"/>
          <a:endCxn id="63" idx="0"/>
        </xdr:cNvCxnSpPr>
      </xdr:nvCxnSpPr>
      <xdr:spPr>
        <a:xfrm>
          <a:off x="4521574" y="2008343"/>
          <a:ext cx="2781" cy="31177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142855</xdr:colOff>
      <xdr:row>41</xdr:row>
      <xdr:rowOff>136627</xdr:rowOff>
    </xdr:from>
    <xdr:to>
      <xdr:col>23</xdr:col>
      <xdr:colOff>145553</xdr:colOff>
      <xdr:row>44</xdr:row>
      <xdr:rowOff>34738</xdr:rowOff>
    </xdr:to>
    <xdr:cxnSp macro="">
      <xdr:nvCxnSpPr>
        <xdr:cNvPr id="67" name="直線矢印コネクタ 66"/>
        <xdr:cNvCxnSpPr>
          <a:stCxn id="63" idx="2"/>
          <a:endCxn id="65" idx="0"/>
        </xdr:cNvCxnSpPr>
      </xdr:nvCxnSpPr>
      <xdr:spPr>
        <a:xfrm>
          <a:off x="4524355" y="6349044"/>
          <a:ext cx="2698" cy="34261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53414</xdr:colOff>
      <xdr:row>39</xdr:row>
      <xdr:rowOff>21664</xdr:rowOff>
    </xdr:from>
    <xdr:to>
      <xdr:col>15</xdr:col>
      <xdr:colOff>127382</xdr:colOff>
      <xdr:row>41</xdr:row>
      <xdr:rowOff>89521</xdr:rowOff>
    </xdr:to>
    <xdr:sp macro="" textlink="">
      <xdr:nvSpPr>
        <xdr:cNvPr id="69" name="AutoShape 78"/>
        <xdr:cNvSpPr>
          <a:spLocks noChangeArrowheads="1"/>
        </xdr:cNvSpPr>
      </xdr:nvSpPr>
      <xdr:spPr bwMode="auto">
        <a:xfrm>
          <a:off x="1958414" y="5937747"/>
          <a:ext cx="1026468" cy="364191"/>
        </a:xfrm>
        <a:prstGeom prst="can">
          <a:avLst>
            <a:gd name="adj" fmla="val 25000"/>
          </a:avLst>
        </a:prstGeom>
        <a:solidFill>
          <a:schemeClr val="bg1"/>
        </a:solidFill>
        <a:ln w="12700">
          <a:solidFill>
            <a:srgbClr val="000000"/>
          </a:solidFill>
          <a:round/>
          <a:headEnd/>
          <a:tailEnd/>
        </a:ln>
        <a:effectLst/>
      </xdr:spPr>
      <xdr:txBody>
        <a:bodyPr vertOverflow="clip" wrap="squar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900">
              <a:effectLst/>
              <a:latin typeface="Meiryo UI" panose="020B0604030504040204" pitchFamily="50" charset="-128"/>
              <a:ea typeface="Meiryo UI" panose="020B0604030504040204" pitchFamily="50" charset="-128"/>
            </a:rPr>
            <a:t>実棚情報</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15</xdr:col>
      <xdr:colOff>127382</xdr:colOff>
      <xdr:row>40</xdr:row>
      <xdr:rowOff>55593</xdr:rowOff>
    </xdr:from>
    <xdr:to>
      <xdr:col>18</xdr:col>
      <xdr:colOff>163607</xdr:colOff>
      <xdr:row>40</xdr:row>
      <xdr:rowOff>74787</xdr:rowOff>
    </xdr:to>
    <xdr:cxnSp macro="">
      <xdr:nvCxnSpPr>
        <xdr:cNvPr id="70" name="直線矢印コネクタ 69"/>
        <xdr:cNvCxnSpPr>
          <a:stCxn id="69" idx="4"/>
          <a:endCxn id="63" idx="1"/>
        </xdr:cNvCxnSpPr>
      </xdr:nvCxnSpPr>
      <xdr:spPr>
        <a:xfrm>
          <a:off x="2984882" y="6119843"/>
          <a:ext cx="607725" cy="1919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0</xdr:colOff>
      <xdr:row>5</xdr:row>
      <xdr:rowOff>142875</xdr:rowOff>
    </xdr:from>
    <xdr:to>
      <xdr:col>49</xdr:col>
      <xdr:colOff>38100</xdr:colOff>
      <xdr:row>25</xdr:row>
      <xdr:rowOff>141527</xdr:rowOff>
    </xdr:to>
    <xdr:grpSp>
      <xdr:nvGrpSpPr>
        <xdr:cNvPr id="39" name="グループ化 38"/>
        <xdr:cNvGrpSpPr/>
      </xdr:nvGrpSpPr>
      <xdr:grpSpPr>
        <a:xfrm>
          <a:off x="7239000" y="923925"/>
          <a:ext cx="2133600" cy="2932352"/>
          <a:chOff x="7153275" y="1047750"/>
          <a:chExt cx="2133600" cy="2932352"/>
        </a:xfrm>
      </xdr:grpSpPr>
      <xdr:grpSp>
        <xdr:nvGrpSpPr>
          <xdr:cNvPr id="42" name="Group 15"/>
          <xdr:cNvGrpSpPr>
            <a:grpSpLocks/>
          </xdr:cNvGrpSpPr>
        </xdr:nvGrpSpPr>
        <xdr:grpSpPr bwMode="auto">
          <a:xfrm>
            <a:off x="7153275" y="1047750"/>
            <a:ext cx="2133600" cy="2932352"/>
            <a:chOff x="8" y="532"/>
            <a:chExt cx="224" cy="312"/>
          </a:xfrm>
          <a:noFill/>
        </xdr:grpSpPr>
        <xdr:sp macro="" textlink="">
          <xdr:nvSpPr>
            <xdr:cNvPr id="50" name="AutoShape 2"/>
            <xdr:cNvSpPr>
              <a:spLocks noChangeArrowheads="1"/>
            </xdr:cNvSpPr>
          </xdr:nvSpPr>
          <xdr:spPr bwMode="auto">
            <a:xfrm>
              <a:off x="8" y="532"/>
              <a:ext cx="224" cy="312"/>
            </a:xfrm>
            <a:prstGeom prst="roundRect">
              <a:avLst>
                <a:gd name="adj" fmla="val 3847"/>
              </a:avLst>
            </a:prstGeom>
            <a:grpFill/>
            <a:ln w="12700">
              <a:solidFill>
                <a:sysClr val="windowText" lastClr="000000"/>
              </a:solidFill>
              <a:round/>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凡例</a:t>
              </a:r>
            </a:p>
          </xdr:txBody>
        </xdr:sp>
        <xdr:pic>
          <xdr:nvPicPr>
            <xdr:cNvPr id="51" name="Picture 3" descr="コンピュータ"/>
            <xdr:cNvPicPr preferRelativeResize="0">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 y="556"/>
              <a:ext cx="45" cy="40"/>
            </a:xfrm>
            <a:prstGeom prst="rect">
              <a:avLst/>
            </a:prstGeom>
            <a:grpFill/>
            <a:ln w="9525">
              <a:noFill/>
              <a:miter lim="800000"/>
              <a:headEnd/>
              <a:tailEnd/>
            </a:ln>
            <a:extLst/>
          </xdr:spPr>
        </xdr:pic>
        <xdr:sp macro="" textlink="">
          <xdr:nvSpPr>
            <xdr:cNvPr id="52" name="AutoShape 6"/>
            <xdr:cNvSpPr>
              <a:spLocks noChangeArrowheads="1"/>
            </xdr:cNvSpPr>
          </xdr:nvSpPr>
          <xdr:spPr bwMode="auto">
            <a:xfrm>
              <a:off x="123" y="683"/>
              <a:ext cx="97" cy="34"/>
            </a:xfrm>
            <a:prstGeom prst="flowChartPredefinedProcess">
              <a:avLst/>
            </a:prstGeom>
            <a:grpFill/>
            <a:ln w="12700">
              <a:solidFill>
                <a:sysClr val="windowText" lastClr="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処理名</a:t>
              </a:r>
            </a:p>
          </xdr:txBody>
        </xdr:sp>
        <xdr:sp macro="" textlink="">
          <xdr:nvSpPr>
            <xdr:cNvPr id="55" name="Text Box 7"/>
            <xdr:cNvSpPr txBox="1">
              <a:spLocks noChangeArrowheads="1"/>
            </xdr:cNvSpPr>
          </xdr:nvSpPr>
          <xdr:spPr bwMode="auto">
            <a:xfrm>
              <a:off x="50" y="596"/>
              <a:ext cx="43" cy="19"/>
            </a:xfrm>
            <a:prstGeom prst="rect">
              <a:avLst/>
            </a:prstGeom>
            <a:grpFill/>
            <a:ln w="12700">
              <a:noFill/>
              <a:miter lim="800000"/>
              <a:headEnd/>
              <a:tailEnd/>
            </a:ln>
            <a:effectLst/>
          </xdr:spPr>
          <xdr:txBody>
            <a:bodyPr wrap="none" lIns="18288" tIns="18288" rIns="0" bIns="0" anchor="t" upright="1">
              <a:noAutofit/>
            </a:bodyPr>
            <a:lstStyle/>
            <a:p>
              <a:pPr algn="l" rtl="0">
                <a:defRPr sz="1000"/>
              </a:pPr>
              <a:r>
                <a:rPr lang="ja-JP" altLang="en-US" sz="1000" b="0" i="0" u="none" strike="noStrike" baseline="0">
                  <a:solidFill>
                    <a:srgbClr val="000000"/>
                  </a:solidFill>
                  <a:latin typeface="Meiryo UI" panose="020B0604030504040204" pitchFamily="50" charset="-128"/>
                  <a:ea typeface="Meiryo UI" panose="020B0604030504040204" pitchFamily="50" charset="-128"/>
                </a:rPr>
                <a:t>画面名</a:t>
              </a:r>
            </a:p>
          </xdr:txBody>
        </xdr:sp>
        <xdr:sp macro="" textlink="">
          <xdr:nvSpPr>
            <xdr:cNvPr id="56" name="Text Box 8"/>
            <xdr:cNvSpPr txBox="1">
              <a:spLocks noChangeArrowheads="1"/>
            </xdr:cNvSpPr>
          </xdr:nvSpPr>
          <xdr:spPr bwMode="auto">
            <a:xfrm>
              <a:off x="27" y="681"/>
              <a:ext cx="80" cy="36"/>
            </a:xfrm>
            <a:prstGeom prst="rect">
              <a:avLst/>
            </a:prstGeom>
            <a:grpFill/>
            <a:ln w="9525">
              <a:solidFill>
                <a:sysClr val="windowText" lastClr="000000"/>
              </a:solidFill>
              <a:miter lim="800000"/>
              <a:headEnd/>
              <a:tailEnd/>
            </a:ln>
          </xdr:spPr>
          <xdr:txBody>
            <a:bodyPr vertOverflow="clip" wrap="square" lIns="0" tIns="46800" rIns="0" bIns="46800"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補足説明</a:t>
              </a:r>
            </a:p>
          </xdr:txBody>
        </xdr:sp>
        <xdr:sp macro="" textlink="">
          <xdr:nvSpPr>
            <xdr:cNvPr id="57" name="AutoShape 49"/>
            <xdr:cNvSpPr>
              <a:spLocks noChangeArrowheads="1"/>
            </xdr:cNvSpPr>
          </xdr:nvSpPr>
          <xdr:spPr bwMode="auto">
            <a:xfrm>
              <a:off x="136" y="556"/>
              <a:ext cx="71" cy="43"/>
            </a:xfrm>
            <a:prstGeom prst="flowChartDocument">
              <a:avLst/>
            </a:prstGeom>
            <a:grpFill/>
            <a:ln w="9525">
              <a:solidFill>
                <a:sysClr val="windowText" lastClr="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帳票名</a:t>
              </a:r>
            </a:p>
          </xdr:txBody>
        </xdr:sp>
        <xdr:sp macro="" textlink="">
          <xdr:nvSpPr>
            <xdr:cNvPr id="58" name="AutoShape 78"/>
            <xdr:cNvSpPr>
              <a:spLocks noChangeArrowheads="1"/>
            </xdr:cNvSpPr>
          </xdr:nvSpPr>
          <xdr:spPr bwMode="auto">
            <a:xfrm>
              <a:off x="133" y="622"/>
              <a:ext cx="76" cy="38"/>
            </a:xfrm>
            <a:prstGeom prst="can">
              <a:avLst>
                <a:gd name="adj" fmla="val 25000"/>
              </a:avLst>
            </a:prstGeom>
            <a:grpFill/>
            <a:ln w="12700">
              <a:solidFill>
                <a:sysClr val="windowText" lastClr="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テーブル名</a:t>
              </a:r>
            </a:p>
          </xdr:txBody>
        </xdr:sp>
        <xdr:sp macro="" textlink="">
          <xdr:nvSpPr>
            <xdr:cNvPr id="59" name="フローチャート: データ 50"/>
            <xdr:cNvSpPr>
              <a:spLocks noChangeArrowheads="1"/>
            </xdr:cNvSpPr>
          </xdr:nvSpPr>
          <xdr:spPr bwMode="auto">
            <a:xfrm>
              <a:off x="18" y="624"/>
              <a:ext cx="102" cy="35"/>
            </a:xfrm>
            <a:prstGeom prst="flowChartInputOutput">
              <a:avLst/>
            </a:prstGeom>
            <a:grpFill/>
            <a:ln w="9525" algn="ctr">
              <a:solidFill>
                <a:sysClr val="windowText" lastClr="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ファイル名</a:t>
              </a:r>
            </a:p>
          </xdr:txBody>
        </xdr:sp>
        <xdr:sp macro="" textlink="">
          <xdr:nvSpPr>
            <xdr:cNvPr id="60" name="Text Box 24"/>
            <xdr:cNvSpPr txBox="1">
              <a:spLocks noChangeArrowheads="1"/>
            </xdr:cNvSpPr>
          </xdr:nvSpPr>
          <xdr:spPr bwMode="auto">
            <a:xfrm>
              <a:off x="43" y="805"/>
              <a:ext cx="143" cy="19"/>
            </a:xfrm>
            <a:prstGeom prst="rect">
              <a:avLst/>
            </a:prstGeom>
            <a:grpFill/>
            <a:ln w="9525">
              <a:noFill/>
              <a:miter lim="800000"/>
              <a:headEnd/>
              <a:tailEnd/>
            </a:ln>
          </xdr:spPr>
          <xdr:txBody>
            <a:bodyPr wrap="none" lIns="18288" tIns="18288" rIns="0" bIns="0" anchor="t" upright="1">
              <a:spAutoFit/>
            </a:bodyPr>
            <a:lstStyle/>
            <a:p>
              <a:pPr algn="l"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rPr>
                <a:t>※</a:t>
              </a:r>
              <a:r>
                <a:rPr lang="ja-JP" altLang="en-US" sz="900" b="0" i="0" u="none" strike="noStrike" baseline="0">
                  <a:solidFill>
                    <a:srgbClr val="000000"/>
                  </a:solidFill>
                  <a:latin typeface="Meiryo UI" panose="020B0604030504040204" pitchFamily="50" charset="-128"/>
                  <a:ea typeface="Meiryo UI" panose="020B0604030504040204" pitchFamily="50" charset="-128"/>
                </a:rPr>
                <a:t>橙背景は本設計書の対象</a:t>
              </a:r>
            </a:p>
          </xdr:txBody>
        </xdr:sp>
      </xdr:grpSp>
      <xdr:sp macro="" textlink="">
        <xdr:nvSpPr>
          <xdr:cNvPr id="43" name="片側の 2 つの角を切り取った四角形 42"/>
          <xdr:cNvSpPr/>
        </xdr:nvSpPr>
        <xdr:spPr>
          <a:xfrm>
            <a:off x="7372350" y="3067050"/>
            <a:ext cx="742950" cy="189820"/>
          </a:xfrm>
          <a:prstGeom prst="snip2SameRect">
            <a:avLst/>
          </a:prstGeom>
          <a:noFill/>
          <a:ln>
            <a:solidFill>
              <a:sysClr val="windowText" lastClr="000000"/>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ループ</a:t>
            </a:r>
          </a:p>
        </xdr:txBody>
      </xdr:sp>
      <xdr:sp macro="" textlink="">
        <xdr:nvSpPr>
          <xdr:cNvPr id="48" name="片側の 2 つの角を切り取った四角形 47"/>
          <xdr:cNvSpPr/>
        </xdr:nvSpPr>
        <xdr:spPr>
          <a:xfrm flipV="1">
            <a:off x="7372350" y="3286125"/>
            <a:ext cx="742950" cy="171450"/>
          </a:xfrm>
          <a:prstGeom prst="snip2SameRect">
            <a:avLst/>
          </a:prstGeom>
          <a:noFill/>
          <a:ln>
            <a:solidFill>
              <a:sysClr val="windowText" lastClr="000000"/>
            </a:solidFill>
          </a:ln>
        </xdr:spPr>
        <xdr:style>
          <a:lnRef idx="1">
            <a:schemeClr val="accent5"/>
          </a:lnRef>
          <a:fillRef idx="2">
            <a:schemeClr val="accent5"/>
          </a:fillRef>
          <a:effectRef idx="1">
            <a:schemeClr val="accent5"/>
          </a:effectRef>
          <a:fontRef idx="minor">
            <a:schemeClr val="dk1"/>
          </a:fontRef>
        </xdr:style>
        <xdr:txBody>
          <a:bodyPr vertOverflow="clip" horzOverflow="clip" vert="horz" rtlCol="0" anchor="t"/>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49" name="フローチャート: 判断 48"/>
          <xdr:cNvSpPr/>
        </xdr:nvSpPr>
        <xdr:spPr>
          <a:xfrm>
            <a:off x="8258174" y="2952749"/>
            <a:ext cx="942975" cy="561975"/>
          </a:xfrm>
          <a:prstGeom prst="flowChartDecision">
            <a:avLst/>
          </a:prstGeom>
          <a:noFill/>
          <a:ln>
            <a:solidFill>
              <a:sysClr val="windowText" lastClr="000000"/>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分岐</a:t>
            </a: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114300</xdr:colOff>
      <xdr:row>6</xdr:row>
      <xdr:rowOff>104775</xdr:rowOff>
    </xdr:from>
    <xdr:to>
      <xdr:col>48</xdr:col>
      <xdr:colOff>29633</xdr:colOff>
      <xdr:row>10</xdr:row>
      <xdr:rowOff>87841</xdr:rowOff>
    </xdr:to>
    <xdr:sp macro="" textlink="">
      <xdr:nvSpPr>
        <xdr:cNvPr id="2" name="正方形/長方形 1"/>
        <xdr:cNvSpPr/>
      </xdr:nvSpPr>
      <xdr:spPr>
        <a:xfrm>
          <a:off x="304800" y="1133475"/>
          <a:ext cx="8868833" cy="592666"/>
        </a:xfrm>
        <a:prstGeom prst="rect">
          <a:avLst/>
        </a:prstGeom>
        <a:solidFill>
          <a:schemeClr val="bg1">
            <a:lumMod val="75000"/>
            <a:alpha val="50000"/>
          </a:schemeClr>
        </a:solidFill>
        <a:ln w="127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当記述は</a:t>
          </a: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sample</a:t>
          </a:r>
          <a:r>
            <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のため、処理の整合性を保証するものではありません。</a:t>
          </a:r>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5</xdr:col>
          <xdr:colOff>28575</xdr:colOff>
          <xdr:row>2</xdr:row>
          <xdr:rowOff>133350</xdr:rowOff>
        </xdr:to>
        <xdr:pic>
          <xdr:nvPicPr>
            <xdr:cNvPr id="3" name="図 2"/>
            <xdr:cNvPicPr>
              <a:picLocks noChangeAspect="1" noChangeArrowheads="1"/>
              <a:extLst>
                <a:ext uri="{84589F7E-364E-4C9E-8A38-B11213B215E9}">
                  <a14:cameraTool cellRange="表紙!$BA$59:$BJ$61" spid="_x0000_s53309"/>
                </a:ext>
              </a:extLst>
            </xdr:cNvPicPr>
          </xdr:nvPicPr>
          <xdr:blipFill>
            <a:blip xmlns:r="http://schemas.openxmlformats.org/officeDocument/2006/relationships" r:embed="rId1"/>
            <a:srcRect/>
            <a:stretch>
              <a:fillRect/>
            </a:stretch>
          </xdr:blipFill>
          <xdr:spPr bwMode="auto">
            <a:xfrm>
              <a:off x="0" y="0"/>
              <a:ext cx="9534525" cy="4381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ample_XX-XX-9999_&#12452;&#12531;&#12479;&#12501;&#12455;&#12540;&#12473;&#22522;&#26412;&#35373;&#35336;&#26360;&#65288;&#21463;&#20449;&#65289;&#21463;&#27880;&#21463;&#20449;&#65321;&#65295;&#65318;_r02.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来歴"/>
      <sheetName val="承認票"/>
      <sheetName val="レビュー記録"/>
      <sheetName val="機能概要"/>
      <sheetName val="処理・サービス関連図"/>
      <sheetName val="更新入出力仕様"/>
      <sheetName val="メッセージ一覧"/>
      <sheetName val="処理フロー"/>
      <sheetName val="処理詳細"/>
      <sheetName val="サービス呼出仕様"/>
      <sheetName val="補足_バッチログ実装"/>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99"/>
  </sheetPr>
  <dimension ref="A3:BJ69"/>
  <sheetViews>
    <sheetView showGridLines="0" topLeftCell="S34" zoomScaleNormal="100" zoomScaleSheetLayoutView="90" workbookViewId="0">
      <selection activeCell="BA67" sqref="BA67:BA69"/>
    </sheetView>
  </sheetViews>
  <sheetFormatPr defaultColWidth="8.83203125" defaultRowHeight="12"/>
  <cols>
    <col min="1" max="50" width="3.33203125" style="1" customWidth="1"/>
    <col min="51" max="52" width="8.83203125" style="1"/>
    <col min="53" max="53" width="23.33203125" style="3" customWidth="1"/>
    <col min="54" max="54" width="13.33203125" style="3" customWidth="1"/>
    <col min="55" max="55" width="23.33203125" style="3" customWidth="1"/>
    <col min="56" max="56" width="13.33203125" style="3" customWidth="1"/>
    <col min="57" max="57" width="23.33203125" style="3" customWidth="1"/>
    <col min="58" max="58" width="13.33203125" style="3" customWidth="1"/>
    <col min="59" max="59" width="16.6640625" style="3" customWidth="1"/>
    <col min="60" max="62" width="13.33203125" style="3" customWidth="1"/>
    <col min="63" max="16384" width="8.83203125" style="1"/>
  </cols>
  <sheetData>
    <row r="3" spans="32:49" ht="11.25" customHeight="1">
      <c r="AF3" s="290" t="s">
        <v>0</v>
      </c>
      <c r="AG3" s="283"/>
      <c r="AH3" s="283"/>
      <c r="AI3" s="283"/>
      <c r="AJ3" s="283"/>
      <c r="AK3" s="284"/>
      <c r="AL3" s="291" t="s">
        <v>20</v>
      </c>
      <c r="AM3" s="291"/>
      <c r="AN3" s="291"/>
      <c r="AO3" s="291"/>
      <c r="AP3" s="291"/>
      <c r="AQ3" s="291"/>
      <c r="AR3" s="279" t="s">
        <v>1</v>
      </c>
      <c r="AS3" s="280"/>
      <c r="AT3" s="280"/>
      <c r="AU3" s="280"/>
      <c r="AV3" s="280"/>
      <c r="AW3" s="281"/>
    </row>
    <row r="4" spans="32:49" ht="11.25" customHeight="1">
      <c r="AF4" s="285"/>
      <c r="AG4" s="283"/>
      <c r="AH4" s="283"/>
      <c r="AI4" s="283"/>
      <c r="AJ4" s="283"/>
      <c r="AK4" s="284"/>
      <c r="AL4" s="291"/>
      <c r="AM4" s="291"/>
      <c r="AN4" s="291"/>
      <c r="AO4" s="291"/>
      <c r="AP4" s="291"/>
      <c r="AQ4" s="291"/>
      <c r="AR4" s="279"/>
      <c r="AS4" s="280"/>
      <c r="AT4" s="280"/>
      <c r="AU4" s="280"/>
      <c r="AV4" s="280"/>
      <c r="AW4" s="281"/>
    </row>
    <row r="5" spans="32:49" ht="11.25" customHeight="1">
      <c r="AF5" s="282" t="str">
        <f>IF(文書番号="","",文書番号)</f>
        <v/>
      </c>
      <c r="AG5" s="283"/>
      <c r="AH5" s="283"/>
      <c r="AI5" s="283"/>
      <c r="AJ5" s="283"/>
      <c r="AK5" s="284"/>
      <c r="AL5" s="286" t="str">
        <f>IF(Version="","",Version)</f>
        <v>7.0.1.1</v>
      </c>
      <c r="AM5" s="286"/>
      <c r="AN5" s="286"/>
      <c r="AO5" s="286"/>
      <c r="AP5" s="286"/>
      <c r="AQ5" s="286"/>
      <c r="AR5" s="287" t="str">
        <f>IF(Rev="","",Rev)</f>
        <v>r02.00</v>
      </c>
      <c r="AS5" s="288"/>
      <c r="AT5" s="288"/>
      <c r="AU5" s="288"/>
      <c r="AV5" s="288"/>
      <c r="AW5" s="289"/>
    </row>
    <row r="6" spans="32:49" ht="11.25" customHeight="1">
      <c r="AF6" s="285"/>
      <c r="AG6" s="283"/>
      <c r="AH6" s="283"/>
      <c r="AI6" s="283"/>
      <c r="AJ6" s="283"/>
      <c r="AK6" s="284"/>
      <c r="AL6" s="286"/>
      <c r="AM6" s="286"/>
      <c r="AN6" s="286"/>
      <c r="AO6" s="286"/>
      <c r="AP6" s="286"/>
      <c r="AQ6" s="286"/>
      <c r="AR6" s="287"/>
      <c r="AS6" s="288"/>
      <c r="AT6" s="288"/>
      <c r="AU6" s="288"/>
      <c r="AV6" s="288"/>
      <c r="AW6" s="289"/>
    </row>
    <row r="27" spans="16:33" ht="22.5" customHeight="1">
      <c r="P27" s="259" t="s">
        <v>2</v>
      </c>
      <c r="Q27" s="260"/>
      <c r="R27" s="260"/>
      <c r="S27" s="260"/>
      <c r="T27" s="260"/>
      <c r="U27" s="261"/>
      <c r="V27" s="269" t="str">
        <f>IF(顧客名="","",顧客名)</f>
        <v>株式会社XXXX殿</v>
      </c>
      <c r="W27" s="270"/>
      <c r="X27" s="270"/>
      <c r="Y27" s="270"/>
      <c r="Z27" s="270"/>
      <c r="AA27" s="270"/>
      <c r="AB27" s="270"/>
      <c r="AC27" s="270"/>
      <c r="AD27" s="270"/>
      <c r="AE27" s="270"/>
      <c r="AF27" s="270"/>
      <c r="AG27" s="271"/>
    </row>
    <row r="28" spans="16:33" ht="22.5" customHeight="1">
      <c r="P28" s="259" t="s">
        <v>3</v>
      </c>
      <c r="Q28" s="260"/>
      <c r="R28" s="260"/>
      <c r="S28" s="260"/>
      <c r="T28" s="260"/>
      <c r="U28" s="261"/>
      <c r="V28" s="269" t="str">
        <f>IF(プロジェクト名="","",プロジェクト名)</f>
        <v/>
      </c>
      <c r="W28" s="270"/>
      <c r="X28" s="270"/>
      <c r="Y28" s="270"/>
      <c r="Z28" s="270"/>
      <c r="AA28" s="270"/>
      <c r="AB28" s="270"/>
      <c r="AC28" s="270"/>
      <c r="AD28" s="270"/>
      <c r="AE28" s="270"/>
      <c r="AF28" s="270"/>
      <c r="AG28" s="271"/>
    </row>
    <row r="29" spans="16:33" ht="22.5" customHeight="1">
      <c r="P29" s="259" t="s">
        <v>4</v>
      </c>
      <c r="Q29" s="260"/>
      <c r="R29" s="260"/>
      <c r="S29" s="260"/>
      <c r="T29" s="260"/>
      <c r="U29" s="261"/>
      <c r="V29" s="269" t="str">
        <f>IF(分類ID="","",分類ID)</f>
        <v>MSBE</v>
      </c>
      <c r="W29" s="270"/>
      <c r="X29" s="270"/>
      <c r="Y29" s="270"/>
      <c r="Z29" s="270"/>
      <c r="AA29" s="271"/>
      <c r="AB29" s="272" t="str">
        <f>IF(機能ID="","",機能ID)</f>
        <v>MSBELA6700</v>
      </c>
      <c r="AC29" s="273"/>
      <c r="AD29" s="273"/>
      <c r="AE29" s="273"/>
      <c r="AF29" s="273"/>
      <c r="AG29" s="274"/>
    </row>
    <row r="30" spans="16:33" ht="22.5" customHeight="1">
      <c r="P30" s="275" t="s">
        <v>5</v>
      </c>
      <c r="Q30" s="276"/>
      <c r="R30" s="276"/>
      <c r="S30" s="276"/>
      <c r="T30" s="276"/>
      <c r="U30" s="277"/>
      <c r="V30" s="269" t="str">
        <f>IF(分類名="","",分類名)</f>
        <v>在庫物流管理</v>
      </c>
      <c r="W30" s="270"/>
      <c r="X30" s="270"/>
      <c r="Y30" s="270"/>
      <c r="Z30" s="270"/>
      <c r="AA30" s="270"/>
      <c r="AB30" s="270"/>
      <c r="AC30" s="270"/>
      <c r="AD30" s="270"/>
      <c r="AE30" s="270"/>
      <c r="AF30" s="270"/>
      <c r="AG30" s="271"/>
    </row>
    <row r="31" spans="16:33" ht="22.5" customHeight="1">
      <c r="P31" s="290" t="s">
        <v>6</v>
      </c>
      <c r="Q31" s="292"/>
      <c r="R31" s="292"/>
      <c r="S31" s="292"/>
      <c r="T31" s="292"/>
      <c r="U31" s="293"/>
      <c r="V31" s="265" t="str">
        <f>IF(機能名="","",機能名)</f>
        <v>棚札情報作成サービス</v>
      </c>
      <c r="W31" s="266"/>
      <c r="X31" s="266"/>
      <c r="Y31" s="266"/>
      <c r="Z31" s="266"/>
      <c r="AA31" s="266"/>
      <c r="AB31" s="266"/>
      <c r="AC31" s="266"/>
      <c r="AD31" s="266"/>
      <c r="AE31" s="266"/>
      <c r="AF31" s="266"/>
      <c r="AG31" s="267"/>
    </row>
    <row r="37" spans="1:62" ht="11.25" customHeight="1"/>
    <row r="38" spans="1:62" ht="11.25" customHeight="1"/>
    <row r="39" spans="1:62" ht="11.25" customHeight="1"/>
    <row r="40" spans="1:62" ht="11.25" customHeight="1"/>
    <row r="46" spans="1:62" ht="29.25" thickBot="1">
      <c r="A46" s="2" t="s">
        <v>21</v>
      </c>
    </row>
    <row r="47" spans="1:62" ht="11.25" customHeight="1">
      <c r="A47" s="259" t="s">
        <v>2</v>
      </c>
      <c r="B47" s="260"/>
      <c r="C47" s="260"/>
      <c r="D47" s="260"/>
      <c r="E47" s="260"/>
      <c r="F47" s="261"/>
      <c r="G47" s="278" t="s">
        <v>65</v>
      </c>
      <c r="H47" s="266"/>
      <c r="I47" s="266"/>
      <c r="J47" s="266"/>
      <c r="K47" s="266"/>
      <c r="L47" s="266"/>
      <c r="M47" s="266"/>
      <c r="N47" s="266"/>
      <c r="O47" s="266"/>
      <c r="P47" s="266"/>
      <c r="Q47" s="266"/>
      <c r="R47" s="267"/>
      <c r="BA47" s="295" t="s">
        <v>22</v>
      </c>
      <c r="BB47" s="103" t="s">
        <v>2</v>
      </c>
      <c r="BC47" s="104" t="str">
        <f>IF(顧客名="","",顧客名)</f>
        <v>株式会社XXXX殿</v>
      </c>
      <c r="BD47" s="105" t="s">
        <v>38</v>
      </c>
      <c r="BE47" s="104" t="str">
        <f>IF(システム="","",システム)</f>
        <v>mcframe7</v>
      </c>
      <c r="BF47" s="105" t="s">
        <v>16</v>
      </c>
      <c r="BG47" s="104" t="str">
        <f>IF(作成者="","",作成者)</f>
        <v>XX</v>
      </c>
      <c r="BH47" s="105" t="s">
        <v>17</v>
      </c>
      <c r="BI47" s="106">
        <f>IF(作成日="","",作成日)</f>
        <v>42902</v>
      </c>
      <c r="BJ47" s="107" t="s">
        <v>0</v>
      </c>
    </row>
    <row r="48" spans="1:62" ht="11.25" customHeight="1">
      <c r="A48" s="259" t="s">
        <v>3</v>
      </c>
      <c r="B48" s="260"/>
      <c r="C48" s="260"/>
      <c r="D48" s="260"/>
      <c r="E48" s="260"/>
      <c r="F48" s="261"/>
      <c r="G48" s="265"/>
      <c r="H48" s="266"/>
      <c r="I48" s="266"/>
      <c r="J48" s="266"/>
      <c r="K48" s="266"/>
      <c r="L48" s="266"/>
      <c r="M48" s="266"/>
      <c r="N48" s="266"/>
      <c r="O48" s="266"/>
      <c r="P48" s="266"/>
      <c r="Q48" s="266"/>
      <c r="R48" s="267"/>
      <c r="BA48" s="296"/>
      <c r="BB48" s="108" t="s">
        <v>68</v>
      </c>
      <c r="BC48" s="109" t="str">
        <f>IF(プロジェクト名="","",プロジェクト名)</f>
        <v/>
      </c>
      <c r="BD48" s="110" t="s">
        <v>69</v>
      </c>
      <c r="BE48" s="109" t="str">
        <f>IF(サブシステム="","",サブシステム)</f>
        <v>SCM</v>
      </c>
      <c r="BF48" s="110" t="s">
        <v>9</v>
      </c>
      <c r="BG48" s="109" t="str">
        <f>IF(修正者="","",修正者)</f>
        <v>XX</v>
      </c>
      <c r="BH48" s="110" t="s">
        <v>10</v>
      </c>
      <c r="BI48" s="111">
        <f>IF(修正日="","",修正日)</f>
        <v>43007</v>
      </c>
      <c r="BJ48" s="27" t="str">
        <f>IF(文書番号="","",文書番号)</f>
        <v/>
      </c>
    </row>
    <row r="49" spans="1:62" ht="11.25" customHeight="1" thickBot="1">
      <c r="A49" s="259" t="s">
        <v>14</v>
      </c>
      <c r="B49" s="260"/>
      <c r="C49" s="260"/>
      <c r="D49" s="260"/>
      <c r="E49" s="260"/>
      <c r="F49" s="261"/>
      <c r="G49" s="265" t="s">
        <v>58</v>
      </c>
      <c r="H49" s="266"/>
      <c r="I49" s="266"/>
      <c r="J49" s="266"/>
      <c r="K49" s="266"/>
      <c r="L49" s="266"/>
      <c r="M49" s="266"/>
      <c r="N49" s="266"/>
      <c r="O49" s="266"/>
      <c r="P49" s="266"/>
      <c r="Q49" s="266"/>
      <c r="R49" s="267"/>
      <c r="BA49" s="297"/>
      <c r="BB49" s="112" t="s">
        <v>12</v>
      </c>
      <c r="BC49" s="113" t="str">
        <f>IF(機能ID="","",機能ID)</f>
        <v>MSBELA6700</v>
      </c>
      <c r="BD49" s="114" t="s">
        <v>6</v>
      </c>
      <c r="BE49" s="11" t="str">
        <f>IF(機能名="","",機能名)</f>
        <v>棚札情報作成サービス</v>
      </c>
      <c r="BF49" s="11"/>
      <c r="BG49" s="11"/>
      <c r="BH49" s="114" t="s">
        <v>45</v>
      </c>
      <c r="BI49" s="115" t="str">
        <f>IF(Rev="","",Rev)</f>
        <v>r02.00</v>
      </c>
      <c r="BJ49" s="55"/>
    </row>
    <row r="50" spans="1:62" ht="11.25" customHeight="1" thickBot="1">
      <c r="A50" s="259" t="s">
        <v>20</v>
      </c>
      <c r="B50" s="260"/>
      <c r="C50" s="260"/>
      <c r="D50" s="260"/>
      <c r="E50" s="260"/>
      <c r="F50" s="261"/>
      <c r="G50" s="294" t="s">
        <v>75</v>
      </c>
      <c r="H50" s="266"/>
      <c r="I50" s="266"/>
      <c r="J50" s="266"/>
      <c r="K50" s="266"/>
      <c r="L50" s="266"/>
      <c r="M50" s="266"/>
      <c r="N50" s="266"/>
      <c r="O50" s="266"/>
      <c r="P50" s="266"/>
      <c r="Q50" s="266"/>
      <c r="R50" s="267"/>
      <c r="BA50" s="116"/>
    </row>
    <row r="51" spans="1:62" ht="11.25" customHeight="1">
      <c r="A51" s="259" t="s">
        <v>15</v>
      </c>
      <c r="B51" s="260"/>
      <c r="C51" s="260"/>
      <c r="D51" s="260"/>
      <c r="E51" s="260"/>
      <c r="F51" s="261"/>
      <c r="G51" s="265" t="s">
        <v>76</v>
      </c>
      <c r="H51" s="266"/>
      <c r="I51" s="266"/>
      <c r="J51" s="266"/>
      <c r="K51" s="266"/>
      <c r="L51" s="266"/>
      <c r="M51" s="266"/>
      <c r="N51" s="266"/>
      <c r="O51" s="266"/>
      <c r="P51" s="266"/>
      <c r="Q51" s="266"/>
      <c r="R51" s="267"/>
      <c r="BA51" s="295" t="s">
        <v>37</v>
      </c>
      <c r="BB51" s="103" t="s">
        <v>2</v>
      </c>
      <c r="BC51" s="104" t="str">
        <f>IF(顧客名="","",顧客名)</f>
        <v>株式会社XXXX殿</v>
      </c>
      <c r="BD51" s="105" t="s">
        <v>70</v>
      </c>
      <c r="BE51" s="104" t="str">
        <f>IF(システム="","",システム)</f>
        <v>mcframe7</v>
      </c>
      <c r="BF51" s="105" t="s">
        <v>16</v>
      </c>
      <c r="BG51" s="104" t="str">
        <f>IF(作成者="","",作成者)</f>
        <v>XX</v>
      </c>
      <c r="BH51" s="105" t="s">
        <v>17</v>
      </c>
      <c r="BI51" s="106">
        <f>IF(作成日="","",作成日)</f>
        <v>42902</v>
      </c>
      <c r="BJ51" s="107" t="s">
        <v>0</v>
      </c>
    </row>
    <row r="52" spans="1:62" ht="11.25" customHeight="1">
      <c r="A52" s="259" t="s">
        <v>19</v>
      </c>
      <c r="B52" s="260"/>
      <c r="C52" s="260"/>
      <c r="D52" s="260"/>
      <c r="E52" s="260"/>
      <c r="F52" s="261"/>
      <c r="G52" s="265" t="s">
        <v>77</v>
      </c>
      <c r="H52" s="266"/>
      <c r="I52" s="266"/>
      <c r="J52" s="266"/>
      <c r="K52" s="266"/>
      <c r="L52" s="266"/>
      <c r="M52" s="266"/>
      <c r="N52" s="266"/>
      <c r="O52" s="266"/>
      <c r="P52" s="266"/>
      <c r="Q52" s="266"/>
      <c r="R52" s="267"/>
      <c r="BA52" s="296"/>
      <c r="BB52" s="108" t="s">
        <v>42</v>
      </c>
      <c r="BC52" s="109" t="str">
        <f>IF(プロジェクト名="","",プロジェクト名)</f>
        <v/>
      </c>
      <c r="BD52" s="110" t="s">
        <v>71</v>
      </c>
      <c r="BE52" s="109" t="str">
        <f>IF(サブシステム="","",サブシステム)</f>
        <v>SCM</v>
      </c>
      <c r="BF52" s="110" t="s">
        <v>9</v>
      </c>
      <c r="BG52" s="109" t="str">
        <f>IF(修正者="","",修正者)</f>
        <v>XX</v>
      </c>
      <c r="BH52" s="110" t="s">
        <v>10</v>
      </c>
      <c r="BI52" s="111">
        <f>IF(修正日="","",修正日)</f>
        <v>43007</v>
      </c>
      <c r="BJ52" s="27" t="str">
        <f>IF(文書番号="","",文書番号)</f>
        <v/>
      </c>
    </row>
    <row r="53" spans="1:62" ht="11.25" customHeight="1" thickBot="1">
      <c r="A53" s="259" t="s">
        <v>12</v>
      </c>
      <c r="B53" s="260"/>
      <c r="C53" s="260"/>
      <c r="D53" s="260"/>
      <c r="E53" s="260"/>
      <c r="F53" s="261"/>
      <c r="G53" s="265" t="s">
        <v>78</v>
      </c>
      <c r="H53" s="266"/>
      <c r="I53" s="266"/>
      <c r="J53" s="266"/>
      <c r="K53" s="266"/>
      <c r="L53" s="266"/>
      <c r="M53" s="266"/>
      <c r="N53" s="266"/>
      <c r="O53" s="266"/>
      <c r="P53" s="266"/>
      <c r="Q53" s="266"/>
      <c r="R53" s="267"/>
      <c r="BA53" s="297"/>
      <c r="BB53" s="112" t="s">
        <v>12</v>
      </c>
      <c r="BC53" s="113" t="str">
        <f>IF(機能ID="","",機能ID)</f>
        <v>MSBELA6700</v>
      </c>
      <c r="BD53" s="114" t="s">
        <v>6</v>
      </c>
      <c r="BE53" s="11" t="str">
        <f>IF(機能名="","",機能名)</f>
        <v>棚札情報作成サービス</v>
      </c>
      <c r="BF53" s="11"/>
      <c r="BG53" s="11"/>
      <c r="BH53" s="114" t="s">
        <v>72</v>
      </c>
      <c r="BI53" s="115" t="str">
        <f>IF(Rev="","",Rev)</f>
        <v>r02.00</v>
      </c>
      <c r="BJ53" s="55"/>
    </row>
    <row r="54" spans="1:62" ht="11.25" customHeight="1" thickBot="1">
      <c r="A54" s="290" t="s">
        <v>5</v>
      </c>
      <c r="B54" s="292"/>
      <c r="C54" s="292"/>
      <c r="D54" s="292"/>
      <c r="E54" s="292"/>
      <c r="F54" s="293"/>
      <c r="G54" s="265" t="s">
        <v>79</v>
      </c>
      <c r="H54" s="266"/>
      <c r="I54" s="266"/>
      <c r="J54" s="266"/>
      <c r="K54" s="266"/>
      <c r="L54" s="266"/>
      <c r="M54" s="266"/>
      <c r="N54" s="266"/>
      <c r="O54" s="266"/>
      <c r="P54" s="266"/>
      <c r="Q54" s="266"/>
      <c r="R54" s="267"/>
      <c r="BA54" s="116"/>
    </row>
    <row r="55" spans="1:62" ht="11.25" customHeight="1">
      <c r="A55" s="290" t="s">
        <v>6</v>
      </c>
      <c r="B55" s="292"/>
      <c r="C55" s="292"/>
      <c r="D55" s="292"/>
      <c r="E55" s="292"/>
      <c r="F55" s="293"/>
      <c r="G55" s="265" t="s">
        <v>80</v>
      </c>
      <c r="H55" s="266"/>
      <c r="I55" s="266"/>
      <c r="J55" s="266"/>
      <c r="K55" s="266"/>
      <c r="L55" s="266"/>
      <c r="M55" s="266"/>
      <c r="N55" s="266"/>
      <c r="O55" s="266"/>
      <c r="P55" s="266"/>
      <c r="Q55" s="266"/>
      <c r="R55" s="267"/>
      <c r="BA55" s="295" t="s">
        <v>74</v>
      </c>
      <c r="BB55" s="103" t="s">
        <v>2</v>
      </c>
      <c r="BC55" s="104" t="str">
        <f>IF(顧客名="","",顧客名)</f>
        <v>株式会社XXXX殿</v>
      </c>
      <c r="BD55" s="105" t="s">
        <v>70</v>
      </c>
      <c r="BE55" s="104" t="str">
        <f>IF(システム="","",システム)</f>
        <v>mcframe7</v>
      </c>
      <c r="BF55" s="105" t="s">
        <v>16</v>
      </c>
      <c r="BG55" s="104" t="str">
        <f>IF(作成者="","",作成者)</f>
        <v>XX</v>
      </c>
      <c r="BH55" s="105" t="s">
        <v>17</v>
      </c>
      <c r="BI55" s="106">
        <f>IF(作成日="","",作成日)</f>
        <v>42902</v>
      </c>
      <c r="BJ55" s="107" t="s">
        <v>0</v>
      </c>
    </row>
    <row r="56" spans="1:62" ht="11.25" customHeight="1">
      <c r="A56" s="259" t="s">
        <v>16</v>
      </c>
      <c r="B56" s="260"/>
      <c r="C56" s="260"/>
      <c r="D56" s="260"/>
      <c r="E56" s="260"/>
      <c r="F56" s="261"/>
      <c r="G56" s="265" t="s">
        <v>82</v>
      </c>
      <c r="H56" s="266"/>
      <c r="I56" s="266"/>
      <c r="J56" s="266"/>
      <c r="K56" s="266"/>
      <c r="L56" s="266"/>
      <c r="M56" s="266"/>
      <c r="N56" s="266"/>
      <c r="O56" s="266"/>
      <c r="P56" s="266"/>
      <c r="Q56" s="266"/>
      <c r="R56" s="267"/>
      <c r="S56" s="1" t="s">
        <v>43</v>
      </c>
      <c r="BA56" s="296"/>
      <c r="BB56" s="108" t="s">
        <v>68</v>
      </c>
      <c r="BC56" s="109" t="str">
        <f>IF(プロジェクト名="","",プロジェクト名)</f>
        <v/>
      </c>
      <c r="BD56" s="110" t="s">
        <v>73</v>
      </c>
      <c r="BE56" s="109" t="str">
        <f>IF(サブシステム="","",サブシステム)</f>
        <v>SCM</v>
      </c>
      <c r="BF56" s="110" t="s">
        <v>9</v>
      </c>
      <c r="BG56" s="109" t="str">
        <f>IF(修正者="","",修正者)</f>
        <v>XX</v>
      </c>
      <c r="BH56" s="110" t="s">
        <v>10</v>
      </c>
      <c r="BI56" s="111">
        <f>IF(修正日="","",修正日)</f>
        <v>43007</v>
      </c>
      <c r="BJ56" s="27" t="str">
        <f>IF(文書番号="","",文書番号)</f>
        <v/>
      </c>
    </row>
    <row r="57" spans="1:62" ht="11.25" customHeight="1" thickBot="1">
      <c r="A57" s="259" t="s">
        <v>9</v>
      </c>
      <c r="B57" s="260"/>
      <c r="C57" s="260"/>
      <c r="D57" s="260"/>
      <c r="E57" s="260"/>
      <c r="F57" s="261"/>
      <c r="G57" s="265" t="s">
        <v>82</v>
      </c>
      <c r="H57" s="266"/>
      <c r="I57" s="266"/>
      <c r="J57" s="266"/>
      <c r="K57" s="266"/>
      <c r="L57" s="266"/>
      <c r="M57" s="266"/>
      <c r="N57" s="266"/>
      <c r="O57" s="266"/>
      <c r="P57" s="266"/>
      <c r="Q57" s="266"/>
      <c r="R57" s="267"/>
      <c r="S57" s="1" t="s">
        <v>43</v>
      </c>
      <c r="BA57" s="297"/>
      <c r="BB57" s="112" t="s">
        <v>12</v>
      </c>
      <c r="BC57" s="113" t="str">
        <f>IF(機能ID="","",機能ID)</f>
        <v>MSBELA6700</v>
      </c>
      <c r="BD57" s="114" t="s">
        <v>6</v>
      </c>
      <c r="BE57" s="11" t="str">
        <f>IF(機能名="","",機能名)</f>
        <v>棚札情報作成サービス</v>
      </c>
      <c r="BF57" s="11"/>
      <c r="BG57" s="11"/>
      <c r="BH57" s="114" t="s">
        <v>72</v>
      </c>
      <c r="BI57" s="115" t="str">
        <f>IF(Rev="","",Rev)</f>
        <v>r02.00</v>
      </c>
      <c r="BJ57" s="55"/>
    </row>
    <row r="58" spans="1:62" ht="11.25" customHeight="1" thickBot="1">
      <c r="A58" s="259" t="s">
        <v>17</v>
      </c>
      <c r="B58" s="260"/>
      <c r="C58" s="260"/>
      <c r="D58" s="260"/>
      <c r="E58" s="260"/>
      <c r="F58" s="261"/>
      <c r="G58" s="268">
        <f>来歴!E6</f>
        <v>42902</v>
      </c>
      <c r="H58" s="266"/>
      <c r="I58" s="266"/>
      <c r="J58" s="266"/>
      <c r="K58" s="266"/>
      <c r="L58" s="266"/>
      <c r="M58" s="266"/>
      <c r="N58" s="266"/>
      <c r="O58" s="266"/>
      <c r="P58" s="266"/>
      <c r="Q58" s="266"/>
      <c r="R58" s="267"/>
      <c r="S58" s="1" t="s">
        <v>43</v>
      </c>
      <c r="BA58" s="116"/>
    </row>
    <row r="59" spans="1:62" ht="11.25" customHeight="1">
      <c r="A59" s="259" t="s">
        <v>10</v>
      </c>
      <c r="B59" s="260"/>
      <c r="C59" s="260"/>
      <c r="D59" s="260"/>
      <c r="E59" s="260"/>
      <c r="F59" s="261"/>
      <c r="G59" s="268">
        <f>IF(VLOOKUP(MAXA(来歴!A6:A46),来歴!A6:F46,5)="","",VLOOKUP(MAXA(来歴!A6:A46),来歴!A6:F46,5))</f>
        <v>43007</v>
      </c>
      <c r="H59" s="266"/>
      <c r="I59" s="266"/>
      <c r="J59" s="266"/>
      <c r="K59" s="266"/>
      <c r="L59" s="266"/>
      <c r="M59" s="266"/>
      <c r="N59" s="266"/>
      <c r="O59" s="266"/>
      <c r="P59" s="266"/>
      <c r="Q59" s="266"/>
      <c r="R59" s="267"/>
      <c r="S59" s="1" t="s">
        <v>43</v>
      </c>
      <c r="BA59" s="295" t="s">
        <v>257</v>
      </c>
      <c r="BB59" s="103" t="s">
        <v>2</v>
      </c>
      <c r="BC59" s="104" t="str">
        <f>IF(顧客名="","",顧客名)</f>
        <v>株式会社XXXX殿</v>
      </c>
      <c r="BD59" s="105" t="s">
        <v>60</v>
      </c>
      <c r="BE59" s="104" t="str">
        <f>IF(システム="","",システム)</f>
        <v>mcframe7</v>
      </c>
      <c r="BF59" s="105" t="s">
        <v>16</v>
      </c>
      <c r="BG59" s="104" t="str">
        <f>IF(作成者="","",作成者)</f>
        <v>XX</v>
      </c>
      <c r="BH59" s="105" t="s">
        <v>17</v>
      </c>
      <c r="BI59" s="106">
        <f>IF(作成日="","",作成日)</f>
        <v>42902</v>
      </c>
      <c r="BJ59" s="107" t="s">
        <v>0</v>
      </c>
    </row>
    <row r="60" spans="1:62" ht="11.25" customHeight="1">
      <c r="A60" s="259" t="s">
        <v>18</v>
      </c>
      <c r="B60" s="260"/>
      <c r="C60" s="260"/>
      <c r="D60" s="260"/>
      <c r="E60" s="260"/>
      <c r="F60" s="261"/>
      <c r="G60" s="262" t="str">
        <f>IF(VLOOKUP(MAXA(来歴!A6:A46),来歴!A6:F46,2)="","",VLOOKUP(MAXA(来歴!A6:A46),来歴!A6:F46,2))</f>
        <v>r02.00</v>
      </c>
      <c r="H60" s="263"/>
      <c r="I60" s="263"/>
      <c r="J60" s="263"/>
      <c r="K60" s="263"/>
      <c r="L60" s="263"/>
      <c r="M60" s="263"/>
      <c r="N60" s="263"/>
      <c r="O60" s="263"/>
      <c r="P60" s="263"/>
      <c r="Q60" s="263"/>
      <c r="R60" s="264"/>
      <c r="S60" s="1" t="s">
        <v>43</v>
      </c>
      <c r="BA60" s="296"/>
      <c r="BB60" s="108" t="s">
        <v>63</v>
      </c>
      <c r="BC60" s="109" t="str">
        <f>IF(プロジェクト名="","",プロジェクト名)</f>
        <v/>
      </c>
      <c r="BD60" s="110" t="s">
        <v>69</v>
      </c>
      <c r="BE60" s="109" t="str">
        <f>IF(サブシステム="","",サブシステム)</f>
        <v>SCM</v>
      </c>
      <c r="BF60" s="110" t="s">
        <v>9</v>
      </c>
      <c r="BG60" s="109" t="str">
        <f>IF(修正者="","",修正者)</f>
        <v>XX</v>
      </c>
      <c r="BH60" s="110" t="s">
        <v>10</v>
      </c>
      <c r="BI60" s="111">
        <f>IF(修正日="","",修正日)</f>
        <v>43007</v>
      </c>
      <c r="BJ60" s="27" t="str">
        <f>IF(文書番号="","",文書番号)</f>
        <v/>
      </c>
    </row>
    <row r="61" spans="1:62" ht="11.25" customHeight="1" thickBot="1">
      <c r="A61" s="259" t="s">
        <v>0</v>
      </c>
      <c r="B61" s="260"/>
      <c r="C61" s="260"/>
      <c r="D61" s="260"/>
      <c r="E61" s="260"/>
      <c r="F61" s="261"/>
      <c r="G61" s="265"/>
      <c r="H61" s="266"/>
      <c r="I61" s="266"/>
      <c r="J61" s="266"/>
      <c r="K61" s="266"/>
      <c r="L61" s="266"/>
      <c r="M61" s="266"/>
      <c r="N61" s="266"/>
      <c r="O61" s="266"/>
      <c r="P61" s="266"/>
      <c r="Q61" s="266"/>
      <c r="R61" s="267"/>
      <c r="BA61" s="297"/>
      <c r="BB61" s="112" t="s">
        <v>12</v>
      </c>
      <c r="BC61" s="113" t="str">
        <f>IF(機能ID="","",機能ID)</f>
        <v>MSBELA6700</v>
      </c>
      <c r="BD61" s="114" t="s">
        <v>6</v>
      </c>
      <c r="BE61" s="11" t="str">
        <f>IF(機能名="","",機能名)</f>
        <v>棚札情報作成サービス</v>
      </c>
      <c r="BF61" s="11"/>
      <c r="BG61" s="11"/>
      <c r="BH61" s="114" t="s">
        <v>72</v>
      </c>
      <c r="BI61" s="115" t="str">
        <f>IF(Rev="","",Rev)</f>
        <v>r02.00</v>
      </c>
      <c r="BJ61" s="55"/>
    </row>
    <row r="62" spans="1:62" ht="12.75" thickBot="1"/>
    <row r="63" spans="1:62">
      <c r="BA63" s="295" t="s">
        <v>274</v>
      </c>
      <c r="BB63" s="103" t="s">
        <v>2</v>
      </c>
      <c r="BC63" s="104" t="str">
        <f>IF(顧客名="","",顧客名)</f>
        <v>株式会社XXXX殿</v>
      </c>
      <c r="BD63" s="105" t="s">
        <v>60</v>
      </c>
      <c r="BE63" s="104" t="str">
        <f>IF(システム="","",システム)</f>
        <v>mcframe7</v>
      </c>
      <c r="BF63" s="105" t="s">
        <v>16</v>
      </c>
      <c r="BG63" s="104" t="str">
        <f>IF(作成者="","",作成者)</f>
        <v>XX</v>
      </c>
      <c r="BH63" s="105" t="s">
        <v>17</v>
      </c>
      <c r="BI63" s="106">
        <f>IF(作成日="","",作成日)</f>
        <v>42902</v>
      </c>
      <c r="BJ63" s="107" t="s">
        <v>0</v>
      </c>
    </row>
    <row r="64" spans="1:62">
      <c r="BA64" s="296"/>
      <c r="BB64" s="108" t="s">
        <v>63</v>
      </c>
      <c r="BC64" s="109" t="str">
        <f>IF(プロジェクト名="","",プロジェクト名)</f>
        <v/>
      </c>
      <c r="BD64" s="110" t="s">
        <v>69</v>
      </c>
      <c r="BE64" s="109" t="str">
        <f>IF(サブシステム="","",サブシステム)</f>
        <v>SCM</v>
      </c>
      <c r="BF64" s="110" t="s">
        <v>9</v>
      </c>
      <c r="BG64" s="109" t="str">
        <f>IF(修正者="","",修正者)</f>
        <v>XX</v>
      </c>
      <c r="BH64" s="110" t="s">
        <v>10</v>
      </c>
      <c r="BI64" s="111">
        <f>IF(修正日="","",修正日)</f>
        <v>43007</v>
      </c>
      <c r="BJ64" s="27" t="str">
        <f>IF(文書番号="","",文書番号)</f>
        <v/>
      </c>
    </row>
    <row r="65" spans="53:62" ht="12.75" thickBot="1">
      <c r="BA65" s="297"/>
      <c r="BB65" s="112" t="s">
        <v>12</v>
      </c>
      <c r="BC65" s="113" t="str">
        <f>IF(機能ID="","",機能ID)</f>
        <v>MSBELA6700</v>
      </c>
      <c r="BD65" s="114" t="s">
        <v>6</v>
      </c>
      <c r="BE65" s="11" t="str">
        <f>IF(機能名="","",機能名)</f>
        <v>棚札情報作成サービス</v>
      </c>
      <c r="BF65" s="11"/>
      <c r="BG65" s="11"/>
      <c r="BH65" s="114" t="s">
        <v>72</v>
      </c>
      <c r="BI65" s="115" t="str">
        <f>IF(Rev="","",Rev)</f>
        <v>r02.00</v>
      </c>
      <c r="BJ65" s="55"/>
    </row>
    <row r="66" spans="53:62" ht="12.75" thickBot="1"/>
    <row r="67" spans="53:62">
      <c r="BA67" s="295" t="s">
        <v>321</v>
      </c>
      <c r="BB67" s="103" t="s">
        <v>2</v>
      </c>
      <c r="BC67" s="104" t="str">
        <f>IF(顧客名="","",顧客名)</f>
        <v>株式会社XXXX殿</v>
      </c>
      <c r="BD67" s="105" t="s">
        <v>70</v>
      </c>
      <c r="BE67" s="104" t="str">
        <f>IF(システム="","",システム)</f>
        <v>mcframe7</v>
      </c>
      <c r="BF67" s="105" t="s">
        <v>16</v>
      </c>
      <c r="BG67" s="104" t="str">
        <f>IF(作成者="","",作成者)</f>
        <v>XX</v>
      </c>
      <c r="BH67" s="105" t="s">
        <v>17</v>
      </c>
      <c r="BI67" s="106">
        <f>IF(作成日="","",作成日)</f>
        <v>42902</v>
      </c>
      <c r="BJ67" s="107" t="s">
        <v>0</v>
      </c>
    </row>
    <row r="68" spans="53:62">
      <c r="BA68" s="296"/>
      <c r="BB68" s="108" t="s">
        <v>42</v>
      </c>
      <c r="BC68" s="109" t="str">
        <f>IF(プロジェクト名="","",プロジェクト名)</f>
        <v/>
      </c>
      <c r="BD68" s="110" t="s">
        <v>71</v>
      </c>
      <c r="BE68" s="109" t="str">
        <f>IF(サブシステム="","",サブシステム)</f>
        <v>SCM</v>
      </c>
      <c r="BF68" s="110" t="s">
        <v>9</v>
      </c>
      <c r="BG68" s="109" t="str">
        <f>IF(修正者="","",修正者)</f>
        <v>XX</v>
      </c>
      <c r="BH68" s="110" t="s">
        <v>10</v>
      </c>
      <c r="BI68" s="111">
        <f>IF(修正日="","",修正日)</f>
        <v>43007</v>
      </c>
      <c r="BJ68" s="27" t="str">
        <f>IF(文書番号="","",文書番号)</f>
        <v/>
      </c>
    </row>
    <row r="69" spans="53:62" ht="12.75" thickBot="1">
      <c r="BA69" s="297"/>
      <c r="BB69" s="112" t="s">
        <v>12</v>
      </c>
      <c r="BC69" s="113" t="str">
        <f>IF(機能ID="","",機能ID)</f>
        <v>MSBELA6700</v>
      </c>
      <c r="BD69" s="114" t="s">
        <v>6</v>
      </c>
      <c r="BE69" s="11" t="str">
        <f>IF(機能名="","",機能名)</f>
        <v>棚札情報作成サービス</v>
      </c>
      <c r="BF69" s="11"/>
      <c r="BG69" s="11"/>
      <c r="BH69" s="114" t="s">
        <v>72</v>
      </c>
      <c r="BI69" s="115" t="str">
        <f>IF(Rev="","",Rev)</f>
        <v>r02.00</v>
      </c>
      <c r="BJ69" s="55"/>
    </row>
  </sheetData>
  <mergeCells count="53">
    <mergeCell ref="BA67:BA69"/>
    <mergeCell ref="BA63:BA65"/>
    <mergeCell ref="BA59:BA61"/>
    <mergeCell ref="BA47:BA49"/>
    <mergeCell ref="BA51:BA53"/>
    <mergeCell ref="BA55:BA57"/>
    <mergeCell ref="A49:F49"/>
    <mergeCell ref="G49:R49"/>
    <mergeCell ref="A51:F51"/>
    <mergeCell ref="G51:R51"/>
    <mergeCell ref="A50:F50"/>
    <mergeCell ref="G50:R50"/>
    <mergeCell ref="A55:F55"/>
    <mergeCell ref="G55:R55"/>
    <mergeCell ref="A52:F52"/>
    <mergeCell ref="A54:F54"/>
    <mergeCell ref="G54:R54"/>
    <mergeCell ref="G52:R52"/>
    <mergeCell ref="A53:F53"/>
    <mergeCell ref="G53:R53"/>
    <mergeCell ref="A47:F47"/>
    <mergeCell ref="G47:R47"/>
    <mergeCell ref="A48:F48"/>
    <mergeCell ref="G48:R48"/>
    <mergeCell ref="AR3:AW4"/>
    <mergeCell ref="AF5:AK6"/>
    <mergeCell ref="AL5:AQ6"/>
    <mergeCell ref="AR5:AW6"/>
    <mergeCell ref="AF3:AK4"/>
    <mergeCell ref="AL3:AQ4"/>
    <mergeCell ref="P27:U27"/>
    <mergeCell ref="V27:AG27"/>
    <mergeCell ref="P28:U28"/>
    <mergeCell ref="V28:AG28"/>
    <mergeCell ref="P31:U31"/>
    <mergeCell ref="V31:AG31"/>
    <mergeCell ref="P29:U29"/>
    <mergeCell ref="V29:AA29"/>
    <mergeCell ref="AB29:AG29"/>
    <mergeCell ref="P30:U30"/>
    <mergeCell ref="V30:AG30"/>
    <mergeCell ref="A60:F60"/>
    <mergeCell ref="G60:R60"/>
    <mergeCell ref="A61:F61"/>
    <mergeCell ref="G61:R61"/>
    <mergeCell ref="G56:R56"/>
    <mergeCell ref="A56:F56"/>
    <mergeCell ref="G59:R59"/>
    <mergeCell ref="A57:F57"/>
    <mergeCell ref="G57:R57"/>
    <mergeCell ref="A58:F58"/>
    <mergeCell ref="G58:R58"/>
    <mergeCell ref="A59:F59"/>
  </mergeCells>
  <phoneticPr fontId="1"/>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99"/>
    <pageSetUpPr fitToPage="1"/>
  </sheetPr>
  <dimension ref="A1:F46"/>
  <sheetViews>
    <sheetView showGridLines="0" zoomScaleNormal="100" zoomScaleSheetLayoutView="90" workbookViewId="0">
      <selection activeCell="E15" sqref="E15"/>
    </sheetView>
  </sheetViews>
  <sheetFormatPr defaultColWidth="9.33203125" defaultRowHeight="12"/>
  <cols>
    <col min="1" max="1" width="3.33203125" style="3" customWidth="1"/>
    <col min="2" max="2" width="10" style="3" customWidth="1"/>
    <col min="3" max="3" width="103.33203125" style="3" customWidth="1"/>
    <col min="4" max="5" width="13.33203125" style="3" customWidth="1"/>
    <col min="6" max="6" width="23.33203125" style="3" customWidth="1"/>
    <col min="7" max="7" width="1.83203125" style="3" customWidth="1"/>
    <col min="8" max="16384" width="9.33203125" style="3"/>
  </cols>
  <sheetData>
    <row r="1" spans="1:6" ht="12" customHeight="1"/>
    <row r="2" spans="1:6" ht="12" customHeight="1"/>
    <row r="3" spans="1:6" ht="12.75" customHeight="1"/>
    <row r="4" spans="1:6" ht="12.75" thickBot="1"/>
    <row r="5" spans="1:6" ht="12.75" thickBot="1">
      <c r="A5" s="91" t="s">
        <v>51</v>
      </c>
      <c r="B5" s="92" t="s">
        <v>45</v>
      </c>
      <c r="C5" s="76" t="s">
        <v>23</v>
      </c>
      <c r="D5" s="72" t="s">
        <v>24</v>
      </c>
      <c r="E5" s="76" t="s">
        <v>25</v>
      </c>
      <c r="F5" s="72" t="s">
        <v>26</v>
      </c>
    </row>
    <row r="6" spans="1:6" ht="12.75" thickTop="1">
      <c r="A6" s="119">
        <v>1</v>
      </c>
      <c r="B6" s="93" t="s">
        <v>83</v>
      </c>
      <c r="C6" s="79" t="s">
        <v>46</v>
      </c>
      <c r="D6" s="71" t="s">
        <v>81</v>
      </c>
      <c r="E6" s="209">
        <v>42902</v>
      </c>
      <c r="F6" s="213"/>
    </row>
    <row r="7" spans="1:6">
      <c r="A7" s="56">
        <v>2</v>
      </c>
      <c r="B7" s="77" t="s">
        <v>84</v>
      </c>
      <c r="C7" s="78" t="s">
        <v>85</v>
      </c>
      <c r="D7" s="74" t="s">
        <v>81</v>
      </c>
      <c r="E7" s="210">
        <v>42950</v>
      </c>
      <c r="F7" s="214"/>
    </row>
    <row r="8" spans="1:6">
      <c r="A8" s="56">
        <v>3</v>
      </c>
      <c r="B8" s="77" t="s">
        <v>86</v>
      </c>
      <c r="C8" s="94" t="s">
        <v>87</v>
      </c>
      <c r="D8" s="74" t="s">
        <v>81</v>
      </c>
      <c r="E8" s="210">
        <v>42978</v>
      </c>
      <c r="F8" s="214"/>
    </row>
    <row r="9" spans="1:6">
      <c r="A9" s="56">
        <v>4</v>
      </c>
      <c r="B9" s="77" t="s">
        <v>88</v>
      </c>
      <c r="C9" s="94" t="s">
        <v>89</v>
      </c>
      <c r="D9" s="74" t="s">
        <v>81</v>
      </c>
      <c r="E9" s="210">
        <v>43000</v>
      </c>
      <c r="F9" s="214"/>
    </row>
    <row r="10" spans="1:6" ht="12.75" customHeight="1">
      <c r="A10" s="56">
        <v>5</v>
      </c>
      <c r="B10" s="77" t="s">
        <v>90</v>
      </c>
      <c r="C10" s="78" t="s">
        <v>91</v>
      </c>
      <c r="D10" s="74" t="s">
        <v>81</v>
      </c>
      <c r="E10" s="210">
        <v>43007</v>
      </c>
      <c r="F10" s="214"/>
    </row>
    <row r="11" spans="1:6">
      <c r="A11" s="56"/>
      <c r="B11" s="77"/>
      <c r="C11" s="78"/>
      <c r="D11" s="73"/>
      <c r="E11" s="210"/>
      <c r="F11" s="214"/>
    </row>
    <row r="12" spans="1:6">
      <c r="A12" s="56"/>
      <c r="B12" s="77"/>
      <c r="C12" s="78"/>
      <c r="D12" s="73"/>
      <c r="E12" s="210"/>
      <c r="F12" s="214"/>
    </row>
    <row r="13" spans="1:6">
      <c r="A13" s="56"/>
      <c r="B13" s="77"/>
      <c r="C13" s="78"/>
      <c r="D13" s="73"/>
      <c r="E13" s="210"/>
      <c r="F13" s="214"/>
    </row>
    <row r="14" spans="1:6" ht="12.75" customHeight="1">
      <c r="A14" s="56"/>
      <c r="B14" s="77"/>
      <c r="C14" s="78"/>
      <c r="D14" s="73"/>
      <c r="E14" s="210"/>
      <c r="F14" s="214"/>
    </row>
    <row r="15" spans="1:6">
      <c r="A15" s="56"/>
      <c r="B15" s="77"/>
      <c r="C15" s="78"/>
      <c r="D15" s="73"/>
      <c r="E15" s="210"/>
      <c r="F15" s="214"/>
    </row>
    <row r="16" spans="1:6">
      <c r="A16" s="56"/>
      <c r="B16" s="77"/>
      <c r="C16" s="78"/>
      <c r="D16" s="73"/>
      <c r="E16" s="210"/>
      <c r="F16" s="214"/>
    </row>
    <row r="17" spans="1:6">
      <c r="A17" s="56"/>
      <c r="B17" s="77"/>
      <c r="C17" s="78"/>
      <c r="D17" s="73"/>
      <c r="E17" s="211"/>
      <c r="F17" s="214"/>
    </row>
    <row r="18" spans="1:6">
      <c r="A18" s="56"/>
      <c r="B18" s="77"/>
      <c r="C18" s="78"/>
      <c r="D18" s="73"/>
      <c r="E18" s="211"/>
      <c r="F18" s="214"/>
    </row>
    <row r="19" spans="1:6">
      <c r="A19" s="56"/>
      <c r="B19" s="77"/>
      <c r="C19" s="78"/>
      <c r="D19" s="73"/>
      <c r="E19" s="211"/>
      <c r="F19" s="214"/>
    </row>
    <row r="20" spans="1:6">
      <c r="A20" s="56"/>
      <c r="B20" s="77"/>
      <c r="C20" s="78"/>
      <c r="D20" s="73"/>
      <c r="E20" s="211"/>
      <c r="F20" s="214"/>
    </row>
    <row r="21" spans="1:6">
      <c r="A21" s="56"/>
      <c r="B21" s="77"/>
      <c r="C21" s="78"/>
      <c r="D21" s="73"/>
      <c r="E21" s="211"/>
      <c r="F21" s="214"/>
    </row>
    <row r="22" spans="1:6">
      <c r="A22" s="56"/>
      <c r="B22" s="77"/>
      <c r="C22" s="78"/>
      <c r="D22" s="73"/>
      <c r="E22" s="211"/>
      <c r="F22" s="214"/>
    </row>
    <row r="23" spans="1:6">
      <c r="A23" s="56"/>
      <c r="B23" s="77"/>
      <c r="C23" s="78"/>
      <c r="D23" s="73"/>
      <c r="E23" s="211"/>
      <c r="F23" s="214"/>
    </row>
    <row r="24" spans="1:6">
      <c r="A24" s="56"/>
      <c r="B24" s="77"/>
      <c r="C24" s="78"/>
      <c r="D24" s="73"/>
      <c r="E24" s="211"/>
      <c r="F24" s="214"/>
    </row>
    <row r="25" spans="1:6">
      <c r="A25" s="56"/>
      <c r="B25" s="77"/>
      <c r="C25" s="78"/>
      <c r="D25" s="73"/>
      <c r="E25" s="211"/>
      <c r="F25" s="214"/>
    </row>
    <row r="26" spans="1:6">
      <c r="A26" s="56"/>
      <c r="B26" s="77"/>
      <c r="C26" s="78"/>
      <c r="D26" s="73"/>
      <c r="E26" s="211"/>
      <c r="F26" s="214"/>
    </row>
    <row r="27" spans="1:6">
      <c r="A27" s="56"/>
      <c r="B27" s="77"/>
      <c r="C27" s="78"/>
      <c r="D27" s="73"/>
      <c r="E27" s="211"/>
      <c r="F27" s="214"/>
    </row>
    <row r="28" spans="1:6">
      <c r="A28" s="56"/>
      <c r="B28" s="77"/>
      <c r="C28" s="78"/>
      <c r="D28" s="73"/>
      <c r="E28" s="211"/>
      <c r="F28" s="214"/>
    </row>
    <row r="29" spans="1:6">
      <c r="A29" s="56"/>
      <c r="B29" s="77"/>
      <c r="C29" s="78"/>
      <c r="D29" s="73"/>
      <c r="E29" s="211"/>
      <c r="F29" s="214"/>
    </row>
    <row r="30" spans="1:6">
      <c r="A30" s="56"/>
      <c r="B30" s="77"/>
      <c r="C30" s="78"/>
      <c r="D30" s="73"/>
      <c r="E30" s="211"/>
      <c r="F30" s="214"/>
    </row>
    <row r="31" spans="1:6">
      <c r="A31" s="56"/>
      <c r="B31" s="77"/>
      <c r="C31" s="78"/>
      <c r="D31" s="73"/>
      <c r="E31" s="211"/>
      <c r="F31" s="214"/>
    </row>
    <row r="32" spans="1:6">
      <c r="A32" s="56"/>
      <c r="B32" s="77"/>
      <c r="C32" s="78"/>
      <c r="D32" s="73"/>
      <c r="E32" s="211"/>
      <c r="F32" s="214"/>
    </row>
    <row r="33" spans="1:6">
      <c r="A33" s="56"/>
      <c r="B33" s="77"/>
      <c r="C33" s="78"/>
      <c r="D33" s="73"/>
      <c r="E33" s="211"/>
      <c r="F33" s="214"/>
    </row>
    <row r="34" spans="1:6">
      <c r="A34" s="56"/>
      <c r="B34" s="77"/>
      <c r="C34" s="78"/>
      <c r="D34" s="73"/>
      <c r="E34" s="211"/>
      <c r="F34" s="214"/>
    </row>
    <row r="35" spans="1:6">
      <c r="A35" s="56"/>
      <c r="B35" s="77"/>
      <c r="C35" s="78"/>
      <c r="D35" s="73"/>
      <c r="E35" s="211"/>
      <c r="F35" s="214"/>
    </row>
    <row r="36" spans="1:6">
      <c r="A36" s="56"/>
      <c r="B36" s="77"/>
      <c r="C36" s="78"/>
      <c r="D36" s="73"/>
      <c r="E36" s="211"/>
      <c r="F36" s="214"/>
    </row>
    <row r="37" spans="1:6">
      <c r="A37" s="56"/>
      <c r="B37" s="77"/>
      <c r="C37" s="78"/>
      <c r="D37" s="73"/>
      <c r="E37" s="211"/>
      <c r="F37" s="214"/>
    </row>
    <row r="38" spans="1:6">
      <c r="A38" s="56"/>
      <c r="B38" s="77"/>
      <c r="C38" s="78"/>
      <c r="D38" s="73"/>
      <c r="E38" s="211"/>
      <c r="F38" s="214"/>
    </row>
    <row r="39" spans="1:6">
      <c r="A39" s="56"/>
      <c r="B39" s="77"/>
      <c r="C39" s="78"/>
      <c r="D39" s="73"/>
      <c r="E39" s="211"/>
      <c r="F39" s="214"/>
    </row>
    <row r="40" spans="1:6">
      <c r="A40" s="56"/>
      <c r="B40" s="77"/>
      <c r="C40" s="78"/>
      <c r="D40" s="73"/>
      <c r="E40" s="211"/>
      <c r="F40" s="214"/>
    </row>
    <row r="41" spans="1:6">
      <c r="A41" s="56"/>
      <c r="B41" s="77"/>
      <c r="C41" s="78"/>
      <c r="D41" s="73"/>
      <c r="E41" s="211"/>
      <c r="F41" s="214"/>
    </row>
    <row r="42" spans="1:6">
      <c r="A42" s="56"/>
      <c r="B42" s="77"/>
      <c r="C42" s="78"/>
      <c r="D42" s="73"/>
      <c r="E42" s="211"/>
      <c r="F42" s="214"/>
    </row>
    <row r="43" spans="1:6">
      <c r="A43" s="56"/>
      <c r="B43" s="77"/>
      <c r="C43" s="78"/>
      <c r="D43" s="73"/>
      <c r="E43" s="211"/>
      <c r="F43" s="214"/>
    </row>
    <row r="44" spans="1:6">
      <c r="A44" s="56"/>
      <c r="B44" s="77"/>
      <c r="C44" s="78"/>
      <c r="D44" s="73"/>
      <c r="E44" s="211"/>
      <c r="F44" s="214"/>
    </row>
    <row r="45" spans="1:6">
      <c r="A45" s="56"/>
      <c r="B45" s="77"/>
      <c r="C45" s="78"/>
      <c r="D45" s="73"/>
      <c r="E45" s="211"/>
      <c r="F45" s="214"/>
    </row>
    <row r="46" spans="1:6" ht="12.75" thickBot="1">
      <c r="A46" s="57"/>
      <c r="B46" s="80"/>
      <c r="C46" s="81"/>
      <c r="D46" s="75"/>
      <c r="E46" s="212"/>
      <c r="F46" s="215"/>
    </row>
  </sheetData>
  <phoneticPr fontId="1"/>
  <dataValidations count="1">
    <dataValidation imeMode="off" allowBlank="1" showInputMessage="1" showErrorMessage="1" sqref="E6:E46 A6:B46"/>
  </dataValidations>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99"/>
    <pageSetUpPr fitToPage="1"/>
  </sheetPr>
  <dimension ref="A1:I47"/>
  <sheetViews>
    <sheetView showGridLines="0" zoomScaleNormal="100" zoomScaleSheetLayoutView="90" workbookViewId="0">
      <selection activeCell="C28" sqref="C27:C28"/>
    </sheetView>
  </sheetViews>
  <sheetFormatPr defaultColWidth="9.33203125" defaultRowHeight="12"/>
  <cols>
    <col min="1" max="1" width="10" style="3" customWidth="1"/>
    <col min="2" max="2" width="13.33203125" style="3" customWidth="1"/>
    <col min="3" max="3" width="53.33203125" style="3" customWidth="1"/>
    <col min="4" max="8" width="13.33203125" style="3" customWidth="1"/>
    <col min="9" max="9" width="23.33203125" style="3" customWidth="1"/>
    <col min="10" max="16384" width="9.33203125" style="3"/>
  </cols>
  <sheetData>
    <row r="1" spans="1:9" ht="12" customHeight="1"/>
    <row r="2" spans="1:9" ht="12" customHeight="1"/>
    <row r="3" spans="1:9" ht="12.75" customHeight="1"/>
    <row r="4" spans="1:9" ht="12.75" thickBot="1"/>
    <row r="5" spans="1:9">
      <c r="A5" s="87" t="s">
        <v>67</v>
      </c>
      <c r="B5" s="95" t="s">
        <v>17</v>
      </c>
      <c r="C5" s="258" t="s">
        <v>23</v>
      </c>
      <c r="D5" s="298" t="s">
        <v>54</v>
      </c>
      <c r="E5" s="299"/>
      <c r="F5" s="299"/>
      <c r="G5" s="300" t="s">
        <v>66</v>
      </c>
      <c r="H5" s="301"/>
      <c r="I5" s="418" t="s">
        <v>26</v>
      </c>
    </row>
    <row r="6" spans="1:9" ht="12.75" thickBot="1">
      <c r="A6" s="88"/>
      <c r="B6" s="96"/>
      <c r="C6" s="89"/>
      <c r="D6" s="86" t="s">
        <v>16</v>
      </c>
      <c r="E6" s="86" t="s">
        <v>33</v>
      </c>
      <c r="F6" s="86" t="s">
        <v>34</v>
      </c>
      <c r="G6" s="86" t="s">
        <v>33</v>
      </c>
      <c r="H6" s="216" t="s">
        <v>35</v>
      </c>
      <c r="I6" s="419"/>
    </row>
    <row r="7" spans="1:9" ht="12.75" customHeight="1" thickTop="1">
      <c r="A7" s="120" t="s">
        <v>92</v>
      </c>
      <c r="B7" s="121">
        <v>42978</v>
      </c>
      <c r="C7" s="79" t="s">
        <v>93</v>
      </c>
      <c r="D7" s="122" t="s">
        <v>94</v>
      </c>
      <c r="E7" s="122" t="s">
        <v>94</v>
      </c>
      <c r="F7" s="122" t="s">
        <v>95</v>
      </c>
      <c r="G7" s="122" t="s">
        <v>94</v>
      </c>
      <c r="H7" s="217" t="s">
        <v>94</v>
      </c>
      <c r="I7" s="420"/>
    </row>
    <row r="8" spans="1:9" ht="12.75" customHeight="1">
      <c r="A8" s="97"/>
      <c r="B8" s="98"/>
      <c r="C8" s="99"/>
      <c r="D8" s="100"/>
      <c r="E8" s="100"/>
      <c r="F8" s="100"/>
      <c r="G8" s="100"/>
      <c r="H8" s="218"/>
      <c r="I8" s="421"/>
    </row>
    <row r="9" spans="1:9">
      <c r="A9" s="82"/>
      <c r="B9" s="101"/>
      <c r="C9" s="78"/>
      <c r="D9" s="83"/>
      <c r="E9" s="83"/>
      <c r="F9" s="83"/>
      <c r="G9" s="83"/>
      <c r="H9" s="84"/>
      <c r="I9" s="422"/>
    </row>
    <row r="10" spans="1:9">
      <c r="A10" s="82"/>
      <c r="B10" s="101"/>
      <c r="C10" s="78"/>
      <c r="D10" s="83"/>
      <c r="E10" s="83"/>
      <c r="F10" s="83"/>
      <c r="G10" s="83"/>
      <c r="H10" s="84"/>
      <c r="I10" s="422"/>
    </row>
    <row r="11" spans="1:9">
      <c r="A11" s="82"/>
      <c r="B11" s="101"/>
      <c r="C11" s="78"/>
      <c r="D11" s="83"/>
      <c r="E11" s="83"/>
      <c r="F11" s="83"/>
      <c r="G11" s="83"/>
      <c r="H11" s="84"/>
      <c r="I11" s="422"/>
    </row>
    <row r="12" spans="1:9">
      <c r="A12" s="82"/>
      <c r="B12" s="101"/>
      <c r="C12" s="78"/>
      <c r="D12" s="83"/>
      <c r="E12" s="83"/>
      <c r="F12" s="83"/>
      <c r="G12" s="83"/>
      <c r="H12" s="84"/>
      <c r="I12" s="422"/>
    </row>
    <row r="13" spans="1:9">
      <c r="A13" s="82"/>
      <c r="B13" s="101"/>
      <c r="C13" s="78"/>
      <c r="D13" s="83"/>
      <c r="E13" s="83"/>
      <c r="F13" s="83"/>
      <c r="G13" s="83"/>
      <c r="H13" s="84"/>
      <c r="I13" s="422"/>
    </row>
    <row r="14" spans="1:9">
      <c r="A14" s="82"/>
      <c r="B14" s="101"/>
      <c r="C14" s="78"/>
      <c r="D14" s="83"/>
      <c r="E14" s="83"/>
      <c r="F14" s="83"/>
      <c r="G14" s="83"/>
      <c r="H14" s="84"/>
      <c r="I14" s="422"/>
    </row>
    <row r="15" spans="1:9">
      <c r="A15" s="82"/>
      <c r="B15" s="101"/>
      <c r="C15" s="78"/>
      <c r="D15" s="83"/>
      <c r="E15" s="83"/>
      <c r="F15" s="83"/>
      <c r="G15" s="83"/>
      <c r="H15" s="84"/>
      <c r="I15" s="422"/>
    </row>
    <row r="16" spans="1:9">
      <c r="A16" s="82"/>
      <c r="B16" s="101"/>
      <c r="C16" s="78"/>
      <c r="D16" s="83"/>
      <c r="E16" s="83"/>
      <c r="F16" s="83"/>
      <c r="G16" s="83"/>
      <c r="H16" s="84"/>
      <c r="I16" s="422"/>
    </row>
    <row r="17" spans="1:9">
      <c r="A17" s="82"/>
      <c r="B17" s="101"/>
      <c r="C17" s="78"/>
      <c r="D17" s="83"/>
      <c r="E17" s="83"/>
      <c r="F17" s="83"/>
      <c r="G17" s="83"/>
      <c r="H17" s="84"/>
      <c r="I17" s="422"/>
    </row>
    <row r="18" spans="1:9">
      <c r="A18" s="82"/>
      <c r="B18" s="101"/>
      <c r="C18" s="78"/>
      <c r="D18" s="83"/>
      <c r="E18" s="83"/>
      <c r="F18" s="83"/>
      <c r="G18" s="83"/>
      <c r="H18" s="84"/>
      <c r="I18" s="422"/>
    </row>
    <row r="19" spans="1:9">
      <c r="A19" s="82"/>
      <c r="B19" s="101"/>
      <c r="C19" s="78"/>
      <c r="D19" s="83"/>
      <c r="E19" s="83"/>
      <c r="F19" s="83"/>
      <c r="G19" s="83"/>
      <c r="H19" s="84"/>
      <c r="I19" s="422"/>
    </row>
    <row r="20" spans="1:9">
      <c r="A20" s="82"/>
      <c r="B20" s="101"/>
      <c r="C20" s="78"/>
      <c r="D20" s="83"/>
      <c r="E20" s="83"/>
      <c r="F20" s="83"/>
      <c r="G20" s="83"/>
      <c r="H20" s="84"/>
      <c r="I20" s="422"/>
    </row>
    <row r="21" spans="1:9">
      <c r="A21" s="82"/>
      <c r="B21" s="101"/>
      <c r="C21" s="78"/>
      <c r="D21" s="83"/>
      <c r="E21" s="83"/>
      <c r="F21" s="83"/>
      <c r="G21" s="83"/>
      <c r="H21" s="84"/>
      <c r="I21" s="422"/>
    </row>
    <row r="22" spans="1:9">
      <c r="A22" s="82"/>
      <c r="B22" s="101"/>
      <c r="C22" s="78"/>
      <c r="D22" s="83"/>
      <c r="E22" s="83"/>
      <c r="F22" s="83"/>
      <c r="G22" s="83"/>
      <c r="H22" s="84"/>
      <c r="I22" s="422"/>
    </row>
    <row r="23" spans="1:9">
      <c r="A23" s="82"/>
      <c r="B23" s="101"/>
      <c r="C23" s="78"/>
      <c r="D23" s="83"/>
      <c r="E23" s="83"/>
      <c r="F23" s="83"/>
      <c r="G23" s="83"/>
      <c r="H23" s="84"/>
      <c r="I23" s="422"/>
    </row>
    <row r="24" spans="1:9">
      <c r="A24" s="82"/>
      <c r="B24" s="101"/>
      <c r="C24" s="78"/>
      <c r="D24" s="83"/>
      <c r="E24" s="83"/>
      <c r="F24" s="83"/>
      <c r="G24" s="83"/>
      <c r="H24" s="84"/>
      <c r="I24" s="422"/>
    </row>
    <row r="25" spans="1:9">
      <c r="A25" s="82"/>
      <c r="B25" s="101"/>
      <c r="C25" s="78"/>
      <c r="D25" s="83"/>
      <c r="E25" s="83"/>
      <c r="F25" s="83"/>
      <c r="G25" s="83"/>
      <c r="H25" s="84"/>
      <c r="I25" s="422"/>
    </row>
    <row r="26" spans="1:9">
      <c r="A26" s="82"/>
      <c r="B26" s="101"/>
      <c r="C26" s="78"/>
      <c r="D26" s="83"/>
      <c r="E26" s="83"/>
      <c r="F26" s="83"/>
      <c r="G26" s="83"/>
      <c r="H26" s="84"/>
      <c r="I26" s="422"/>
    </row>
    <row r="27" spans="1:9">
      <c r="A27" s="82"/>
      <c r="B27" s="101"/>
      <c r="C27" s="78"/>
      <c r="D27" s="83"/>
      <c r="E27" s="83"/>
      <c r="F27" s="83"/>
      <c r="G27" s="83"/>
      <c r="H27" s="84"/>
      <c r="I27" s="422"/>
    </row>
    <row r="28" spans="1:9">
      <c r="A28" s="82"/>
      <c r="B28" s="101"/>
      <c r="C28" s="78"/>
      <c r="D28" s="84"/>
      <c r="E28" s="84"/>
      <c r="F28" s="84"/>
      <c r="G28" s="84"/>
      <c r="H28" s="84"/>
      <c r="I28" s="422"/>
    </row>
    <row r="29" spans="1:9">
      <c r="A29" s="82"/>
      <c r="B29" s="101"/>
      <c r="C29" s="78"/>
      <c r="D29" s="83"/>
      <c r="E29" s="83"/>
      <c r="F29" s="83"/>
      <c r="G29" s="83"/>
      <c r="H29" s="84"/>
      <c r="I29" s="422"/>
    </row>
    <row r="30" spans="1:9">
      <c r="A30" s="82"/>
      <c r="B30" s="101"/>
      <c r="C30" s="78"/>
      <c r="D30" s="83"/>
      <c r="E30" s="83"/>
      <c r="F30" s="83"/>
      <c r="G30" s="83"/>
      <c r="H30" s="84"/>
      <c r="I30" s="422"/>
    </row>
    <row r="31" spans="1:9">
      <c r="A31" s="82"/>
      <c r="B31" s="101"/>
      <c r="C31" s="78"/>
      <c r="D31" s="83"/>
      <c r="E31" s="83"/>
      <c r="F31" s="83"/>
      <c r="G31" s="83"/>
      <c r="H31" s="84"/>
      <c r="I31" s="422"/>
    </row>
    <row r="32" spans="1:9">
      <c r="A32" s="82"/>
      <c r="B32" s="101"/>
      <c r="C32" s="78"/>
      <c r="D32" s="83"/>
      <c r="E32" s="83"/>
      <c r="F32" s="83"/>
      <c r="G32" s="83"/>
      <c r="H32" s="84"/>
      <c r="I32" s="422"/>
    </row>
    <row r="33" spans="1:9">
      <c r="A33" s="82"/>
      <c r="B33" s="101"/>
      <c r="C33" s="78"/>
      <c r="D33" s="83"/>
      <c r="E33" s="83"/>
      <c r="F33" s="83"/>
      <c r="G33" s="83"/>
      <c r="H33" s="84"/>
      <c r="I33" s="422"/>
    </row>
    <row r="34" spans="1:9">
      <c r="A34" s="82"/>
      <c r="B34" s="101"/>
      <c r="C34" s="78"/>
      <c r="D34" s="83"/>
      <c r="E34" s="83"/>
      <c r="F34" s="83"/>
      <c r="G34" s="83"/>
      <c r="H34" s="84"/>
      <c r="I34" s="422"/>
    </row>
    <row r="35" spans="1:9">
      <c r="A35" s="82"/>
      <c r="B35" s="101"/>
      <c r="C35" s="78"/>
      <c r="D35" s="83"/>
      <c r="E35" s="83"/>
      <c r="F35" s="83"/>
      <c r="G35" s="83"/>
      <c r="H35" s="84"/>
      <c r="I35" s="422"/>
    </row>
    <row r="36" spans="1:9">
      <c r="A36" s="82"/>
      <c r="B36" s="101"/>
      <c r="C36" s="78"/>
      <c r="D36" s="83"/>
      <c r="E36" s="83"/>
      <c r="F36" s="83"/>
      <c r="G36" s="83"/>
      <c r="H36" s="84"/>
      <c r="I36" s="422"/>
    </row>
    <row r="37" spans="1:9">
      <c r="A37" s="82"/>
      <c r="B37" s="101"/>
      <c r="C37" s="78"/>
      <c r="D37" s="83"/>
      <c r="E37" s="83"/>
      <c r="F37" s="83"/>
      <c r="G37" s="83"/>
      <c r="H37" s="84"/>
      <c r="I37" s="422"/>
    </row>
    <row r="38" spans="1:9">
      <c r="A38" s="82"/>
      <c r="B38" s="101"/>
      <c r="C38" s="78"/>
      <c r="D38" s="83"/>
      <c r="E38" s="83"/>
      <c r="F38" s="83"/>
      <c r="G38" s="83"/>
      <c r="H38" s="84"/>
      <c r="I38" s="422"/>
    </row>
    <row r="39" spans="1:9">
      <c r="A39" s="82"/>
      <c r="B39" s="101"/>
      <c r="C39" s="78"/>
      <c r="D39" s="83"/>
      <c r="E39" s="83"/>
      <c r="F39" s="83"/>
      <c r="G39" s="83"/>
      <c r="H39" s="84"/>
      <c r="I39" s="422"/>
    </row>
    <row r="40" spans="1:9">
      <c r="A40" s="82"/>
      <c r="B40" s="101"/>
      <c r="C40" s="78"/>
      <c r="D40" s="83"/>
      <c r="E40" s="83"/>
      <c r="F40" s="83"/>
      <c r="G40" s="83"/>
      <c r="H40" s="84"/>
      <c r="I40" s="422"/>
    </row>
    <row r="41" spans="1:9">
      <c r="A41" s="82"/>
      <c r="B41" s="101"/>
      <c r="C41" s="78"/>
      <c r="D41" s="83"/>
      <c r="E41" s="83"/>
      <c r="F41" s="83"/>
      <c r="G41" s="83"/>
      <c r="H41" s="84"/>
      <c r="I41" s="422"/>
    </row>
    <row r="42" spans="1:9">
      <c r="A42" s="82"/>
      <c r="B42" s="101"/>
      <c r="C42" s="78"/>
      <c r="D42" s="83"/>
      <c r="E42" s="83"/>
      <c r="F42" s="83"/>
      <c r="G42" s="83"/>
      <c r="H42" s="84"/>
      <c r="I42" s="422"/>
    </row>
    <row r="43" spans="1:9">
      <c r="A43" s="82"/>
      <c r="B43" s="101"/>
      <c r="C43" s="78"/>
      <c r="D43" s="83"/>
      <c r="E43" s="83"/>
      <c r="F43" s="83"/>
      <c r="G43" s="83"/>
      <c r="H43" s="84"/>
      <c r="I43" s="422"/>
    </row>
    <row r="44" spans="1:9">
      <c r="A44" s="82"/>
      <c r="B44" s="101"/>
      <c r="C44" s="78"/>
      <c r="D44" s="83"/>
      <c r="E44" s="83"/>
      <c r="F44" s="83"/>
      <c r="G44" s="83"/>
      <c r="H44" s="84"/>
      <c r="I44" s="422"/>
    </row>
    <row r="45" spans="1:9">
      <c r="A45" s="82"/>
      <c r="B45" s="101"/>
      <c r="C45" s="78"/>
      <c r="D45" s="83"/>
      <c r="E45" s="83"/>
      <c r="F45" s="83"/>
      <c r="G45" s="83"/>
      <c r="H45" s="84"/>
      <c r="I45" s="422"/>
    </row>
    <row r="46" spans="1:9">
      <c r="A46" s="82"/>
      <c r="B46" s="101"/>
      <c r="C46" s="78"/>
      <c r="D46" s="83"/>
      <c r="E46" s="83"/>
      <c r="F46" s="83"/>
      <c r="G46" s="83"/>
      <c r="H46" s="84"/>
      <c r="I46" s="422"/>
    </row>
    <row r="47" spans="1:9" ht="12.75" thickBot="1">
      <c r="A47" s="90"/>
      <c r="B47" s="102"/>
      <c r="C47" s="81"/>
      <c r="D47" s="85"/>
      <c r="E47" s="85"/>
      <c r="F47" s="85"/>
      <c r="G47" s="85"/>
      <c r="H47" s="219"/>
      <c r="I47" s="423"/>
    </row>
  </sheetData>
  <mergeCells count="3">
    <mergeCell ref="D5:F5"/>
    <mergeCell ref="G5:H5"/>
    <mergeCell ref="I5:I6"/>
  </mergeCells>
  <phoneticPr fontId="1"/>
  <dataValidations count="1">
    <dataValidation imeMode="off" allowBlank="1" showInputMessage="1" showErrorMessage="1" sqref="A7:B47"/>
  </dataValidations>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99"/>
    <pageSetUpPr fitToPage="1"/>
  </sheetPr>
  <dimension ref="A3:AX26"/>
  <sheetViews>
    <sheetView showGridLines="0" tabSelected="1" zoomScaleNormal="100" zoomScaleSheetLayoutView="90" workbookViewId="0">
      <selection activeCell="I10" sqref="I10:V12"/>
    </sheetView>
  </sheetViews>
  <sheetFormatPr defaultColWidth="9.33203125" defaultRowHeight="12"/>
  <cols>
    <col min="1" max="50" width="3.33203125" style="3" customWidth="1"/>
    <col min="51" max="51" width="1.5" style="3" customWidth="1"/>
    <col min="52" max="16384" width="9.33203125" style="3"/>
  </cols>
  <sheetData>
    <row r="3" spans="1:50" ht="12.75" customHeight="1"/>
    <row r="5" spans="1:50" ht="12.75" thickBot="1">
      <c r="A5" s="424" t="s">
        <v>307</v>
      </c>
      <c r="B5" s="425"/>
      <c r="C5" s="425"/>
      <c r="D5" s="425"/>
      <c r="E5" s="425"/>
      <c r="F5" s="425"/>
      <c r="G5" s="425"/>
      <c r="H5" s="425"/>
      <c r="I5" s="425"/>
      <c r="J5" s="425"/>
      <c r="K5" s="425"/>
      <c r="L5" s="425"/>
      <c r="M5" s="425"/>
      <c r="N5" s="425"/>
      <c r="O5" s="425"/>
      <c r="P5" s="425"/>
      <c r="Q5" s="425"/>
      <c r="R5" s="425"/>
      <c r="S5" s="425"/>
      <c r="T5" s="425"/>
      <c r="U5" s="425"/>
      <c r="V5" s="425"/>
      <c r="W5" s="425"/>
      <c r="X5" s="426"/>
      <c r="Y5" s="426"/>
      <c r="Z5" s="426"/>
      <c r="AA5" s="426"/>
      <c r="AB5" s="427"/>
      <c r="AC5" s="427"/>
      <c r="AD5" s="427"/>
      <c r="AE5" s="427"/>
      <c r="AF5" s="427"/>
      <c r="AG5" s="427"/>
      <c r="AH5" s="427"/>
      <c r="AI5" s="427"/>
      <c r="AJ5" s="425"/>
      <c r="AK5" s="425"/>
      <c r="AL5" s="425"/>
      <c r="AM5" s="425"/>
      <c r="AN5" s="428"/>
      <c r="AO5" s="428"/>
      <c r="AP5" s="428"/>
      <c r="AQ5" s="428"/>
      <c r="AR5" s="425"/>
      <c r="AS5" s="425"/>
      <c r="AT5" s="425"/>
      <c r="AU5" s="425"/>
      <c r="AV5" s="425"/>
      <c r="AW5" s="425"/>
      <c r="AX5" s="425"/>
    </row>
    <row r="6" spans="1:50" ht="12.75" thickBot="1">
      <c r="A6" s="429" t="s">
        <v>322</v>
      </c>
      <c r="B6" s="430"/>
      <c r="C6" s="431" t="s">
        <v>308</v>
      </c>
      <c r="D6" s="431"/>
      <c r="E6" s="431"/>
      <c r="F6" s="431"/>
      <c r="G6" s="431"/>
      <c r="H6" s="431"/>
      <c r="I6" s="431" t="s">
        <v>309</v>
      </c>
      <c r="J6" s="431"/>
      <c r="K6" s="431"/>
      <c r="L6" s="431"/>
      <c r="M6" s="431"/>
      <c r="N6" s="431"/>
      <c r="O6" s="431"/>
      <c r="P6" s="431"/>
      <c r="Q6" s="431"/>
      <c r="R6" s="431"/>
      <c r="S6" s="431"/>
      <c r="T6" s="431"/>
      <c r="U6" s="431"/>
      <c r="V6" s="431"/>
      <c r="W6" s="432" t="s">
        <v>310</v>
      </c>
      <c r="X6" s="433"/>
      <c r="Y6" s="433"/>
      <c r="Z6" s="433"/>
      <c r="AA6" s="433"/>
      <c r="AB6" s="433"/>
      <c r="AC6" s="433"/>
      <c r="AD6" s="433"/>
      <c r="AE6" s="433"/>
      <c r="AF6" s="433"/>
      <c r="AG6" s="433"/>
      <c r="AH6" s="433"/>
      <c r="AI6" s="433"/>
      <c r="AJ6" s="433"/>
      <c r="AK6" s="433"/>
      <c r="AL6" s="434"/>
      <c r="AM6" s="435" t="s">
        <v>26</v>
      </c>
      <c r="AN6" s="436"/>
      <c r="AO6" s="436"/>
      <c r="AP6" s="436"/>
      <c r="AQ6" s="436"/>
      <c r="AR6" s="436"/>
      <c r="AS6" s="436"/>
      <c r="AT6" s="436"/>
      <c r="AU6" s="436"/>
      <c r="AV6" s="436"/>
      <c r="AW6" s="436"/>
      <c r="AX6" s="437"/>
    </row>
    <row r="7" spans="1:50" ht="12.75" customHeight="1" thickTop="1">
      <c r="A7" s="438">
        <v>1</v>
      </c>
      <c r="B7" s="439"/>
      <c r="C7" s="440">
        <v>42988</v>
      </c>
      <c r="D7" s="439"/>
      <c r="E7" s="439"/>
      <c r="F7" s="439"/>
      <c r="G7" s="439"/>
      <c r="H7" s="439"/>
      <c r="I7" s="441" t="s">
        <v>311</v>
      </c>
      <c r="J7" s="441"/>
      <c r="K7" s="441"/>
      <c r="L7" s="441"/>
      <c r="M7" s="441"/>
      <c r="N7" s="441"/>
      <c r="O7" s="441"/>
      <c r="P7" s="441"/>
      <c r="Q7" s="441"/>
      <c r="R7" s="441"/>
      <c r="S7" s="441"/>
      <c r="T7" s="441"/>
      <c r="U7" s="441"/>
      <c r="V7" s="441"/>
      <c r="W7" s="442" t="s">
        <v>312</v>
      </c>
      <c r="X7" s="443"/>
      <c r="Y7" s="443"/>
      <c r="Z7" s="443"/>
      <c r="AA7" s="443"/>
      <c r="AB7" s="443"/>
      <c r="AC7" s="443"/>
      <c r="AD7" s="443"/>
      <c r="AE7" s="443"/>
      <c r="AF7" s="443"/>
      <c r="AG7" s="443"/>
      <c r="AH7" s="443"/>
      <c r="AI7" s="443"/>
      <c r="AJ7" s="443"/>
      <c r="AK7" s="443"/>
      <c r="AL7" s="444"/>
      <c r="AM7" s="445"/>
      <c r="AN7" s="446"/>
      <c r="AO7" s="446"/>
      <c r="AP7" s="446"/>
      <c r="AQ7" s="446"/>
      <c r="AR7" s="446"/>
      <c r="AS7" s="446"/>
      <c r="AT7" s="446"/>
      <c r="AU7" s="446"/>
      <c r="AV7" s="446"/>
      <c r="AW7" s="446"/>
      <c r="AX7" s="447"/>
    </row>
    <row r="8" spans="1:50">
      <c r="A8" s="448"/>
      <c r="B8" s="449"/>
      <c r="C8" s="449"/>
      <c r="D8" s="449"/>
      <c r="E8" s="449"/>
      <c r="F8" s="449"/>
      <c r="G8" s="449"/>
      <c r="H8" s="449"/>
      <c r="I8" s="450"/>
      <c r="J8" s="450"/>
      <c r="K8" s="450"/>
      <c r="L8" s="450"/>
      <c r="M8" s="450"/>
      <c r="N8" s="450"/>
      <c r="O8" s="450"/>
      <c r="P8" s="450"/>
      <c r="Q8" s="450"/>
      <c r="R8" s="450"/>
      <c r="S8" s="450"/>
      <c r="T8" s="450"/>
      <c r="U8" s="450"/>
      <c r="V8" s="450"/>
      <c r="W8" s="451" t="s">
        <v>313</v>
      </c>
      <c r="X8" s="452"/>
      <c r="Y8" s="452"/>
      <c r="Z8" s="452"/>
      <c r="AA8" s="452"/>
      <c r="AB8" s="452"/>
      <c r="AC8" s="452"/>
      <c r="AD8" s="452"/>
      <c r="AE8" s="452"/>
      <c r="AF8" s="452"/>
      <c r="AG8" s="452"/>
      <c r="AH8" s="452"/>
      <c r="AI8" s="452"/>
      <c r="AJ8" s="452"/>
      <c r="AK8" s="452"/>
      <c r="AL8" s="453"/>
      <c r="AM8" s="454"/>
      <c r="AN8" s="455"/>
      <c r="AO8" s="455"/>
      <c r="AP8" s="455"/>
      <c r="AQ8" s="455"/>
      <c r="AR8" s="455"/>
      <c r="AS8" s="455"/>
      <c r="AT8" s="455"/>
      <c r="AU8" s="455"/>
      <c r="AV8" s="455"/>
      <c r="AW8" s="455"/>
      <c r="AX8" s="456"/>
    </row>
    <row r="9" spans="1:50">
      <c r="A9" s="448"/>
      <c r="B9" s="449"/>
      <c r="C9" s="449"/>
      <c r="D9" s="449"/>
      <c r="E9" s="449"/>
      <c r="F9" s="449"/>
      <c r="G9" s="449"/>
      <c r="H9" s="449"/>
      <c r="I9" s="450"/>
      <c r="J9" s="450"/>
      <c r="K9" s="450"/>
      <c r="L9" s="450"/>
      <c r="M9" s="450"/>
      <c r="N9" s="450"/>
      <c r="O9" s="450"/>
      <c r="P9" s="450"/>
      <c r="Q9" s="450"/>
      <c r="R9" s="450"/>
      <c r="S9" s="450"/>
      <c r="T9" s="450"/>
      <c r="U9" s="450"/>
      <c r="V9" s="450"/>
      <c r="W9" s="451" t="s">
        <v>314</v>
      </c>
      <c r="X9" s="452"/>
      <c r="Y9" s="452"/>
      <c r="Z9" s="452"/>
      <c r="AA9" s="452"/>
      <c r="AB9" s="452"/>
      <c r="AC9" s="452"/>
      <c r="AD9" s="452"/>
      <c r="AE9" s="452"/>
      <c r="AF9" s="452"/>
      <c r="AG9" s="452"/>
      <c r="AH9" s="452"/>
      <c r="AI9" s="452"/>
      <c r="AJ9" s="452"/>
      <c r="AK9" s="452"/>
      <c r="AL9" s="453"/>
      <c r="AM9" s="454"/>
      <c r="AN9" s="455"/>
      <c r="AO9" s="455"/>
      <c r="AP9" s="455"/>
      <c r="AQ9" s="455"/>
      <c r="AR9" s="455"/>
      <c r="AS9" s="455"/>
      <c r="AT9" s="455"/>
      <c r="AU9" s="455"/>
      <c r="AV9" s="455"/>
      <c r="AW9" s="455"/>
      <c r="AX9" s="456"/>
    </row>
    <row r="10" spans="1:50">
      <c r="A10" s="448"/>
      <c r="B10" s="449"/>
      <c r="C10" s="457"/>
      <c r="D10" s="449"/>
      <c r="E10" s="449"/>
      <c r="F10" s="449"/>
      <c r="G10" s="449"/>
      <c r="H10" s="449"/>
      <c r="I10" s="450"/>
      <c r="J10" s="450"/>
      <c r="K10" s="450"/>
      <c r="L10" s="450"/>
      <c r="M10" s="450"/>
      <c r="N10" s="450"/>
      <c r="O10" s="450"/>
      <c r="P10" s="450"/>
      <c r="Q10" s="450"/>
      <c r="R10" s="450"/>
      <c r="S10" s="450"/>
      <c r="T10" s="450"/>
      <c r="U10" s="450"/>
      <c r="V10" s="450"/>
      <c r="W10" s="458"/>
      <c r="X10" s="459"/>
      <c r="Y10" s="459"/>
      <c r="Z10" s="459"/>
      <c r="AA10" s="459"/>
      <c r="AB10" s="459"/>
      <c r="AC10" s="459"/>
      <c r="AD10" s="459"/>
      <c r="AE10" s="459"/>
      <c r="AF10" s="459"/>
      <c r="AG10" s="459"/>
      <c r="AH10" s="459"/>
      <c r="AI10" s="459"/>
      <c r="AJ10" s="459"/>
      <c r="AK10" s="459"/>
      <c r="AL10" s="460"/>
      <c r="AM10" s="454"/>
      <c r="AN10" s="455"/>
      <c r="AO10" s="455"/>
      <c r="AP10" s="455"/>
      <c r="AQ10" s="455"/>
      <c r="AR10" s="455"/>
      <c r="AS10" s="455"/>
      <c r="AT10" s="455"/>
      <c r="AU10" s="455"/>
      <c r="AV10" s="455"/>
      <c r="AW10" s="455"/>
      <c r="AX10" s="456"/>
    </row>
    <row r="11" spans="1:50">
      <c r="A11" s="448"/>
      <c r="B11" s="449"/>
      <c r="C11" s="449"/>
      <c r="D11" s="449"/>
      <c r="E11" s="449"/>
      <c r="F11" s="449"/>
      <c r="G11" s="449"/>
      <c r="H11" s="449"/>
      <c r="I11" s="450"/>
      <c r="J11" s="450"/>
      <c r="K11" s="450"/>
      <c r="L11" s="450"/>
      <c r="M11" s="450"/>
      <c r="N11" s="450"/>
      <c r="O11" s="450"/>
      <c r="P11" s="450"/>
      <c r="Q11" s="450"/>
      <c r="R11" s="450"/>
      <c r="S11" s="450"/>
      <c r="T11" s="450"/>
      <c r="U11" s="450"/>
      <c r="V11" s="450"/>
      <c r="W11" s="451"/>
      <c r="X11" s="452"/>
      <c r="Y11" s="452"/>
      <c r="Z11" s="452"/>
      <c r="AA11" s="452"/>
      <c r="AB11" s="452"/>
      <c r="AC11" s="452"/>
      <c r="AD11" s="452"/>
      <c r="AE11" s="452"/>
      <c r="AF11" s="452"/>
      <c r="AG11" s="452"/>
      <c r="AH11" s="452"/>
      <c r="AI11" s="452"/>
      <c r="AJ11" s="452"/>
      <c r="AK11" s="452"/>
      <c r="AL11" s="453"/>
      <c r="AM11" s="454"/>
      <c r="AN11" s="455"/>
      <c r="AO11" s="455"/>
      <c r="AP11" s="455"/>
      <c r="AQ11" s="455"/>
      <c r="AR11" s="455"/>
      <c r="AS11" s="455"/>
      <c r="AT11" s="455"/>
      <c r="AU11" s="455"/>
      <c r="AV11" s="455"/>
      <c r="AW11" s="455"/>
      <c r="AX11" s="456"/>
    </row>
    <row r="12" spans="1:50" ht="12.75" thickBot="1">
      <c r="A12" s="461"/>
      <c r="B12" s="462"/>
      <c r="C12" s="462"/>
      <c r="D12" s="462"/>
      <c r="E12" s="462"/>
      <c r="F12" s="462"/>
      <c r="G12" s="462"/>
      <c r="H12" s="462"/>
      <c r="I12" s="463"/>
      <c r="J12" s="463"/>
      <c r="K12" s="463"/>
      <c r="L12" s="463"/>
      <c r="M12" s="463"/>
      <c r="N12" s="463"/>
      <c r="O12" s="463"/>
      <c r="P12" s="463"/>
      <c r="Q12" s="463"/>
      <c r="R12" s="463"/>
      <c r="S12" s="463"/>
      <c r="T12" s="463"/>
      <c r="U12" s="463"/>
      <c r="V12" s="463"/>
      <c r="W12" s="464"/>
      <c r="X12" s="465"/>
      <c r="Y12" s="465"/>
      <c r="Z12" s="465"/>
      <c r="AA12" s="465"/>
      <c r="AB12" s="465"/>
      <c r="AC12" s="465"/>
      <c r="AD12" s="465"/>
      <c r="AE12" s="465"/>
      <c r="AF12" s="465"/>
      <c r="AG12" s="465"/>
      <c r="AH12" s="465"/>
      <c r="AI12" s="465"/>
      <c r="AJ12" s="465"/>
      <c r="AK12" s="465"/>
      <c r="AL12" s="466"/>
      <c r="AM12" s="467"/>
      <c r="AN12" s="468"/>
      <c r="AO12" s="468"/>
      <c r="AP12" s="468"/>
      <c r="AQ12" s="468"/>
      <c r="AR12" s="468"/>
      <c r="AS12" s="468"/>
      <c r="AT12" s="468"/>
      <c r="AU12" s="468"/>
      <c r="AV12" s="468"/>
      <c r="AW12" s="468"/>
      <c r="AX12" s="469"/>
    </row>
    <row r="13" spans="1:50">
      <c r="A13" s="470"/>
      <c r="B13" s="470"/>
      <c r="C13" s="470"/>
      <c r="D13" s="471"/>
      <c r="E13" s="471"/>
      <c r="F13" s="471"/>
      <c r="G13" s="471"/>
      <c r="H13" s="471"/>
      <c r="I13" s="471"/>
      <c r="J13" s="471"/>
      <c r="K13" s="471"/>
      <c r="L13" s="471"/>
      <c r="M13" s="471"/>
      <c r="N13" s="471"/>
      <c r="O13" s="471"/>
      <c r="P13" s="471"/>
      <c r="Q13" s="471"/>
      <c r="R13" s="471"/>
      <c r="S13" s="471"/>
      <c r="T13" s="471"/>
      <c r="U13" s="471"/>
      <c r="V13" s="471"/>
      <c r="W13" s="471"/>
      <c r="X13" s="472"/>
      <c r="Y13" s="472"/>
      <c r="Z13" s="472"/>
      <c r="AA13" s="472"/>
      <c r="AB13" s="472"/>
      <c r="AC13" s="472"/>
      <c r="AD13" s="472"/>
      <c r="AE13" s="472"/>
      <c r="AF13" s="472"/>
      <c r="AG13" s="472"/>
      <c r="AH13" s="472"/>
      <c r="AI13" s="472"/>
      <c r="AJ13" s="472"/>
      <c r="AK13" s="472"/>
      <c r="AL13" s="472"/>
      <c r="AM13" s="472"/>
      <c r="AN13" s="472"/>
      <c r="AO13" s="472"/>
      <c r="AP13" s="472"/>
      <c r="AQ13" s="472"/>
      <c r="AR13" s="471"/>
      <c r="AS13" s="471"/>
      <c r="AT13" s="471"/>
      <c r="AU13" s="471"/>
      <c r="AV13" s="471"/>
      <c r="AW13" s="471"/>
      <c r="AX13" s="471"/>
    </row>
    <row r="14" spans="1:50" ht="12.75" thickBot="1">
      <c r="A14" s="424" t="s">
        <v>315</v>
      </c>
      <c r="B14" s="470"/>
      <c r="C14" s="470"/>
      <c r="D14" s="471"/>
      <c r="E14" s="471"/>
      <c r="F14" s="471"/>
      <c r="G14" s="471"/>
      <c r="H14" s="471"/>
      <c r="I14" s="471"/>
      <c r="J14" s="471"/>
      <c r="K14" s="471"/>
      <c r="L14" s="471"/>
      <c r="M14" s="471"/>
      <c r="N14" s="471"/>
      <c r="O14" s="471"/>
      <c r="P14" s="471"/>
      <c r="Q14" s="471"/>
      <c r="R14" s="471"/>
      <c r="S14" s="471"/>
      <c r="T14" s="471"/>
      <c r="U14" s="471"/>
      <c r="V14" s="471"/>
      <c r="W14" s="471"/>
      <c r="X14" s="472"/>
      <c r="Y14" s="472"/>
      <c r="Z14" s="472"/>
      <c r="AA14" s="472"/>
      <c r="AB14" s="472"/>
      <c r="AC14" s="472"/>
      <c r="AD14" s="472"/>
      <c r="AE14" s="472"/>
      <c r="AF14" s="472"/>
      <c r="AG14" s="472"/>
      <c r="AH14" s="472"/>
      <c r="AI14" s="472"/>
      <c r="AJ14" s="472"/>
      <c r="AK14" s="472"/>
      <c r="AL14" s="472"/>
      <c r="AM14" s="472"/>
      <c r="AN14" s="472"/>
      <c r="AO14" s="472"/>
      <c r="AP14" s="472"/>
      <c r="AQ14" s="472"/>
      <c r="AR14" s="471"/>
      <c r="AS14" s="471"/>
      <c r="AT14" s="471"/>
      <c r="AU14" s="471"/>
      <c r="AV14" s="471"/>
      <c r="AW14" s="471"/>
      <c r="AX14" s="471"/>
    </row>
    <row r="15" spans="1:50">
      <c r="A15" s="473" t="s">
        <v>323</v>
      </c>
      <c r="B15" s="474"/>
      <c r="C15" s="474" t="s">
        <v>316</v>
      </c>
      <c r="D15" s="474"/>
      <c r="E15" s="474"/>
      <c r="F15" s="474"/>
      <c r="G15" s="474"/>
      <c r="H15" s="474"/>
      <c r="I15" s="474"/>
      <c r="J15" s="474"/>
      <c r="K15" s="474"/>
      <c r="L15" s="474"/>
      <c r="M15" s="474"/>
      <c r="N15" s="474"/>
      <c r="O15" s="474"/>
      <c r="P15" s="474"/>
      <c r="Q15" s="474"/>
      <c r="R15" s="474"/>
      <c r="S15" s="474"/>
      <c r="T15" s="474"/>
      <c r="U15" s="474"/>
      <c r="V15" s="474"/>
      <c r="W15" s="474"/>
      <c r="X15" s="474" t="s">
        <v>317</v>
      </c>
      <c r="Y15" s="474"/>
      <c r="Z15" s="474"/>
      <c r="AA15" s="474"/>
      <c r="AB15" s="474"/>
      <c r="AC15" s="474"/>
      <c r="AD15" s="474"/>
      <c r="AE15" s="474"/>
      <c r="AF15" s="474"/>
      <c r="AG15" s="474"/>
      <c r="AH15" s="474"/>
      <c r="AI15" s="474"/>
      <c r="AJ15" s="474"/>
      <c r="AK15" s="474"/>
      <c r="AL15" s="474"/>
      <c r="AM15" s="474"/>
      <c r="AN15" s="474"/>
      <c r="AO15" s="474"/>
      <c r="AP15" s="474"/>
      <c r="AQ15" s="474"/>
      <c r="AR15" s="474"/>
      <c r="AS15" s="475" t="s">
        <v>318</v>
      </c>
      <c r="AT15" s="475"/>
      <c r="AU15" s="475"/>
      <c r="AV15" s="475"/>
      <c r="AW15" s="475"/>
      <c r="AX15" s="476"/>
    </row>
    <row r="16" spans="1:50" ht="12.75" thickBot="1">
      <c r="A16" s="477"/>
      <c r="B16" s="478"/>
      <c r="C16" s="478" t="s">
        <v>319</v>
      </c>
      <c r="D16" s="478"/>
      <c r="E16" s="478"/>
      <c r="F16" s="478"/>
      <c r="G16" s="478" t="s">
        <v>36</v>
      </c>
      <c r="H16" s="478"/>
      <c r="I16" s="478"/>
      <c r="J16" s="478"/>
      <c r="K16" s="478"/>
      <c r="L16" s="478"/>
      <c r="M16" s="478"/>
      <c r="N16" s="478"/>
      <c r="O16" s="478"/>
      <c r="P16" s="478"/>
      <c r="Q16" s="478"/>
      <c r="R16" s="478"/>
      <c r="S16" s="478"/>
      <c r="T16" s="478"/>
      <c r="U16" s="478"/>
      <c r="V16" s="478"/>
      <c r="W16" s="478"/>
      <c r="X16" s="478" t="s">
        <v>319</v>
      </c>
      <c r="Y16" s="478"/>
      <c r="Z16" s="478"/>
      <c r="AA16" s="478"/>
      <c r="AB16" s="478" t="s">
        <v>36</v>
      </c>
      <c r="AC16" s="478"/>
      <c r="AD16" s="478"/>
      <c r="AE16" s="478"/>
      <c r="AF16" s="478"/>
      <c r="AG16" s="478"/>
      <c r="AH16" s="478"/>
      <c r="AI16" s="478"/>
      <c r="AJ16" s="478"/>
      <c r="AK16" s="478"/>
      <c r="AL16" s="478"/>
      <c r="AM16" s="478"/>
      <c r="AN16" s="478"/>
      <c r="AO16" s="478"/>
      <c r="AP16" s="478"/>
      <c r="AQ16" s="478"/>
      <c r="AR16" s="478"/>
      <c r="AS16" s="479"/>
      <c r="AT16" s="479"/>
      <c r="AU16" s="479"/>
      <c r="AV16" s="479"/>
      <c r="AW16" s="479"/>
      <c r="AX16" s="480"/>
    </row>
    <row r="17" spans="1:50" ht="24" customHeight="1" thickTop="1">
      <c r="A17" s="481">
        <v>1</v>
      </c>
      <c r="B17" s="482"/>
      <c r="C17" s="483" t="s">
        <v>324</v>
      </c>
      <c r="D17" s="484"/>
      <c r="E17" s="484"/>
      <c r="F17" s="485"/>
      <c r="G17" s="486"/>
      <c r="H17" s="487"/>
      <c r="I17" s="487"/>
      <c r="J17" s="487"/>
      <c r="K17" s="487"/>
      <c r="L17" s="487"/>
      <c r="M17" s="487"/>
      <c r="N17" s="487"/>
      <c r="O17" s="487"/>
      <c r="P17" s="487"/>
      <c r="Q17" s="487"/>
      <c r="R17" s="487"/>
      <c r="S17" s="487"/>
      <c r="T17" s="487"/>
      <c r="U17" s="487"/>
      <c r="V17" s="487"/>
      <c r="W17" s="488"/>
      <c r="X17" s="489" t="s">
        <v>320</v>
      </c>
      <c r="Y17" s="490"/>
      <c r="Z17" s="490"/>
      <c r="AA17" s="482"/>
      <c r="AB17" s="486"/>
      <c r="AC17" s="487"/>
      <c r="AD17" s="487"/>
      <c r="AE17" s="487"/>
      <c r="AF17" s="487"/>
      <c r="AG17" s="487"/>
      <c r="AH17" s="487"/>
      <c r="AI17" s="487"/>
      <c r="AJ17" s="487"/>
      <c r="AK17" s="487"/>
      <c r="AL17" s="487"/>
      <c r="AM17" s="487"/>
      <c r="AN17" s="487"/>
      <c r="AO17" s="487"/>
      <c r="AP17" s="487"/>
      <c r="AQ17" s="487"/>
      <c r="AR17" s="488"/>
      <c r="AS17" s="491">
        <v>42998</v>
      </c>
      <c r="AT17" s="492"/>
      <c r="AU17" s="492"/>
      <c r="AV17" s="492"/>
      <c r="AW17" s="492"/>
      <c r="AX17" s="493"/>
    </row>
    <row r="18" spans="1:50" ht="24" customHeight="1">
      <c r="A18" s="481"/>
      <c r="B18" s="482"/>
      <c r="C18" s="483"/>
      <c r="D18" s="484"/>
      <c r="E18" s="484"/>
      <c r="F18" s="485"/>
      <c r="G18" s="486"/>
      <c r="H18" s="487"/>
      <c r="I18" s="487"/>
      <c r="J18" s="487"/>
      <c r="K18" s="487"/>
      <c r="L18" s="487"/>
      <c r="M18" s="487"/>
      <c r="N18" s="487"/>
      <c r="O18" s="487"/>
      <c r="P18" s="487"/>
      <c r="Q18" s="487"/>
      <c r="R18" s="487"/>
      <c r="S18" s="487"/>
      <c r="T18" s="487"/>
      <c r="U18" s="487"/>
      <c r="V18" s="487"/>
      <c r="W18" s="488"/>
      <c r="X18" s="489"/>
      <c r="Y18" s="490"/>
      <c r="Z18" s="490"/>
      <c r="AA18" s="482"/>
      <c r="AB18" s="486"/>
      <c r="AC18" s="487"/>
      <c r="AD18" s="487"/>
      <c r="AE18" s="487"/>
      <c r="AF18" s="487"/>
      <c r="AG18" s="487"/>
      <c r="AH18" s="487"/>
      <c r="AI18" s="487"/>
      <c r="AJ18" s="487"/>
      <c r="AK18" s="487"/>
      <c r="AL18" s="487"/>
      <c r="AM18" s="487"/>
      <c r="AN18" s="487"/>
      <c r="AO18" s="487"/>
      <c r="AP18" s="487"/>
      <c r="AQ18" s="487"/>
      <c r="AR18" s="488"/>
      <c r="AS18" s="491"/>
      <c r="AT18" s="492"/>
      <c r="AU18" s="492"/>
      <c r="AV18" s="492"/>
      <c r="AW18" s="492"/>
      <c r="AX18" s="493"/>
    </row>
    <row r="19" spans="1:50" ht="24" customHeight="1">
      <c r="A19" s="481"/>
      <c r="B19" s="482"/>
      <c r="C19" s="483"/>
      <c r="D19" s="484"/>
      <c r="E19" s="484"/>
      <c r="F19" s="485"/>
      <c r="G19" s="486"/>
      <c r="H19" s="487"/>
      <c r="I19" s="487"/>
      <c r="J19" s="487"/>
      <c r="K19" s="487"/>
      <c r="L19" s="487"/>
      <c r="M19" s="487"/>
      <c r="N19" s="487"/>
      <c r="O19" s="487"/>
      <c r="P19" s="487"/>
      <c r="Q19" s="487"/>
      <c r="R19" s="487"/>
      <c r="S19" s="487"/>
      <c r="T19" s="487"/>
      <c r="U19" s="487"/>
      <c r="V19" s="487"/>
      <c r="W19" s="488"/>
      <c r="X19" s="489"/>
      <c r="Y19" s="490"/>
      <c r="Z19" s="490"/>
      <c r="AA19" s="482"/>
      <c r="AB19" s="486"/>
      <c r="AC19" s="487"/>
      <c r="AD19" s="487"/>
      <c r="AE19" s="487"/>
      <c r="AF19" s="487"/>
      <c r="AG19" s="487"/>
      <c r="AH19" s="487"/>
      <c r="AI19" s="487"/>
      <c r="AJ19" s="487"/>
      <c r="AK19" s="487"/>
      <c r="AL19" s="487"/>
      <c r="AM19" s="487"/>
      <c r="AN19" s="487"/>
      <c r="AO19" s="487"/>
      <c r="AP19" s="487"/>
      <c r="AQ19" s="487"/>
      <c r="AR19" s="488"/>
      <c r="AS19" s="491"/>
      <c r="AT19" s="492"/>
      <c r="AU19" s="492"/>
      <c r="AV19" s="492"/>
      <c r="AW19" s="492"/>
      <c r="AX19" s="493"/>
    </row>
    <row r="20" spans="1:50" ht="24" customHeight="1">
      <c r="A20" s="481"/>
      <c r="B20" s="482"/>
      <c r="C20" s="483"/>
      <c r="D20" s="484"/>
      <c r="E20" s="484"/>
      <c r="F20" s="485"/>
      <c r="G20" s="486"/>
      <c r="H20" s="487"/>
      <c r="I20" s="487"/>
      <c r="J20" s="487"/>
      <c r="K20" s="487"/>
      <c r="L20" s="487"/>
      <c r="M20" s="487"/>
      <c r="N20" s="487"/>
      <c r="O20" s="487"/>
      <c r="P20" s="487"/>
      <c r="Q20" s="487"/>
      <c r="R20" s="487"/>
      <c r="S20" s="487"/>
      <c r="T20" s="487"/>
      <c r="U20" s="487"/>
      <c r="V20" s="487"/>
      <c r="W20" s="488"/>
      <c r="X20" s="489"/>
      <c r="Y20" s="490"/>
      <c r="Z20" s="490"/>
      <c r="AA20" s="482"/>
      <c r="AB20" s="486"/>
      <c r="AC20" s="487"/>
      <c r="AD20" s="487"/>
      <c r="AE20" s="487"/>
      <c r="AF20" s="487"/>
      <c r="AG20" s="487"/>
      <c r="AH20" s="487"/>
      <c r="AI20" s="487"/>
      <c r="AJ20" s="487"/>
      <c r="AK20" s="487"/>
      <c r="AL20" s="487"/>
      <c r="AM20" s="487"/>
      <c r="AN20" s="487"/>
      <c r="AO20" s="487"/>
      <c r="AP20" s="487"/>
      <c r="AQ20" s="487"/>
      <c r="AR20" s="488"/>
      <c r="AS20" s="491"/>
      <c r="AT20" s="492"/>
      <c r="AU20" s="492"/>
      <c r="AV20" s="492"/>
      <c r="AW20" s="492"/>
      <c r="AX20" s="493"/>
    </row>
    <row r="21" spans="1:50" ht="24" customHeight="1">
      <c r="A21" s="481"/>
      <c r="B21" s="482"/>
      <c r="C21" s="483"/>
      <c r="D21" s="484"/>
      <c r="E21" s="484"/>
      <c r="F21" s="485"/>
      <c r="G21" s="486"/>
      <c r="H21" s="487"/>
      <c r="I21" s="487"/>
      <c r="J21" s="487"/>
      <c r="K21" s="487"/>
      <c r="L21" s="487"/>
      <c r="M21" s="487"/>
      <c r="N21" s="487"/>
      <c r="O21" s="487"/>
      <c r="P21" s="487"/>
      <c r="Q21" s="487"/>
      <c r="R21" s="487"/>
      <c r="S21" s="487"/>
      <c r="T21" s="487"/>
      <c r="U21" s="487"/>
      <c r="V21" s="487"/>
      <c r="W21" s="488"/>
      <c r="X21" s="489"/>
      <c r="Y21" s="490"/>
      <c r="Z21" s="490"/>
      <c r="AA21" s="482"/>
      <c r="AB21" s="486"/>
      <c r="AC21" s="487"/>
      <c r="AD21" s="487"/>
      <c r="AE21" s="487"/>
      <c r="AF21" s="487"/>
      <c r="AG21" s="487"/>
      <c r="AH21" s="487"/>
      <c r="AI21" s="487"/>
      <c r="AJ21" s="487"/>
      <c r="AK21" s="487"/>
      <c r="AL21" s="487"/>
      <c r="AM21" s="487"/>
      <c r="AN21" s="487"/>
      <c r="AO21" s="487"/>
      <c r="AP21" s="487"/>
      <c r="AQ21" s="487"/>
      <c r="AR21" s="488"/>
      <c r="AS21" s="491"/>
      <c r="AT21" s="492"/>
      <c r="AU21" s="492"/>
      <c r="AV21" s="492"/>
      <c r="AW21" s="492"/>
      <c r="AX21" s="493"/>
    </row>
    <row r="22" spans="1:50" ht="24" customHeight="1">
      <c r="A22" s="481"/>
      <c r="B22" s="482"/>
      <c r="C22" s="483"/>
      <c r="D22" s="484"/>
      <c r="E22" s="484"/>
      <c r="F22" s="485"/>
      <c r="G22" s="486"/>
      <c r="H22" s="487"/>
      <c r="I22" s="487"/>
      <c r="J22" s="487"/>
      <c r="K22" s="487"/>
      <c r="L22" s="487"/>
      <c r="M22" s="487"/>
      <c r="N22" s="487"/>
      <c r="O22" s="487"/>
      <c r="P22" s="487"/>
      <c r="Q22" s="487"/>
      <c r="R22" s="487"/>
      <c r="S22" s="487"/>
      <c r="T22" s="487"/>
      <c r="U22" s="487"/>
      <c r="V22" s="487"/>
      <c r="W22" s="488"/>
      <c r="X22" s="489"/>
      <c r="Y22" s="490"/>
      <c r="Z22" s="490"/>
      <c r="AA22" s="482"/>
      <c r="AB22" s="486"/>
      <c r="AC22" s="487"/>
      <c r="AD22" s="487"/>
      <c r="AE22" s="487"/>
      <c r="AF22" s="487"/>
      <c r="AG22" s="487"/>
      <c r="AH22" s="487"/>
      <c r="AI22" s="487"/>
      <c r="AJ22" s="487"/>
      <c r="AK22" s="487"/>
      <c r="AL22" s="487"/>
      <c r="AM22" s="487"/>
      <c r="AN22" s="487"/>
      <c r="AO22" s="487"/>
      <c r="AP22" s="487"/>
      <c r="AQ22" s="487"/>
      <c r="AR22" s="488"/>
      <c r="AS22" s="491"/>
      <c r="AT22" s="492"/>
      <c r="AU22" s="492"/>
      <c r="AV22" s="492"/>
      <c r="AW22" s="492"/>
      <c r="AX22" s="493"/>
    </row>
    <row r="23" spans="1:50" ht="24" customHeight="1">
      <c r="A23" s="481"/>
      <c r="B23" s="482"/>
      <c r="C23" s="483"/>
      <c r="D23" s="484"/>
      <c r="E23" s="484"/>
      <c r="F23" s="485"/>
      <c r="G23" s="486"/>
      <c r="H23" s="487"/>
      <c r="I23" s="487"/>
      <c r="J23" s="487"/>
      <c r="K23" s="487"/>
      <c r="L23" s="487"/>
      <c r="M23" s="487"/>
      <c r="N23" s="487"/>
      <c r="O23" s="487"/>
      <c r="P23" s="487"/>
      <c r="Q23" s="487"/>
      <c r="R23" s="487"/>
      <c r="S23" s="487"/>
      <c r="T23" s="487"/>
      <c r="U23" s="487"/>
      <c r="V23" s="487"/>
      <c r="W23" s="488"/>
      <c r="X23" s="489"/>
      <c r="Y23" s="490"/>
      <c r="Z23" s="490"/>
      <c r="AA23" s="482"/>
      <c r="AB23" s="486"/>
      <c r="AC23" s="487"/>
      <c r="AD23" s="487"/>
      <c r="AE23" s="487"/>
      <c r="AF23" s="487"/>
      <c r="AG23" s="487"/>
      <c r="AH23" s="487"/>
      <c r="AI23" s="487"/>
      <c r="AJ23" s="487"/>
      <c r="AK23" s="487"/>
      <c r="AL23" s="487"/>
      <c r="AM23" s="487"/>
      <c r="AN23" s="487"/>
      <c r="AO23" s="487"/>
      <c r="AP23" s="487"/>
      <c r="AQ23" s="487"/>
      <c r="AR23" s="488"/>
      <c r="AS23" s="491"/>
      <c r="AT23" s="492"/>
      <c r="AU23" s="492"/>
      <c r="AV23" s="492"/>
      <c r="AW23" s="492"/>
      <c r="AX23" s="493"/>
    </row>
    <row r="24" spans="1:50" ht="24" customHeight="1">
      <c r="A24" s="481"/>
      <c r="B24" s="482"/>
      <c r="C24" s="483"/>
      <c r="D24" s="484"/>
      <c r="E24" s="484"/>
      <c r="F24" s="485"/>
      <c r="G24" s="486"/>
      <c r="H24" s="487"/>
      <c r="I24" s="487"/>
      <c r="J24" s="487"/>
      <c r="K24" s="487"/>
      <c r="L24" s="487"/>
      <c r="M24" s="487"/>
      <c r="N24" s="487"/>
      <c r="O24" s="487"/>
      <c r="P24" s="487"/>
      <c r="Q24" s="487"/>
      <c r="R24" s="487"/>
      <c r="S24" s="487"/>
      <c r="T24" s="487"/>
      <c r="U24" s="487"/>
      <c r="V24" s="487"/>
      <c r="W24" s="488"/>
      <c r="X24" s="489"/>
      <c r="Y24" s="490"/>
      <c r="Z24" s="490"/>
      <c r="AA24" s="482"/>
      <c r="AB24" s="486"/>
      <c r="AC24" s="487"/>
      <c r="AD24" s="487"/>
      <c r="AE24" s="487"/>
      <c r="AF24" s="487"/>
      <c r="AG24" s="487"/>
      <c r="AH24" s="487"/>
      <c r="AI24" s="487"/>
      <c r="AJ24" s="487"/>
      <c r="AK24" s="487"/>
      <c r="AL24" s="487"/>
      <c r="AM24" s="487"/>
      <c r="AN24" s="487"/>
      <c r="AO24" s="487"/>
      <c r="AP24" s="487"/>
      <c r="AQ24" s="487"/>
      <c r="AR24" s="488"/>
      <c r="AS24" s="491"/>
      <c r="AT24" s="492"/>
      <c r="AU24" s="492"/>
      <c r="AV24" s="492"/>
      <c r="AW24" s="492"/>
      <c r="AX24" s="493"/>
    </row>
    <row r="25" spans="1:50" ht="24" customHeight="1">
      <c r="A25" s="481"/>
      <c r="B25" s="482"/>
      <c r="C25" s="483"/>
      <c r="D25" s="484"/>
      <c r="E25" s="484"/>
      <c r="F25" s="485"/>
      <c r="G25" s="486"/>
      <c r="H25" s="487"/>
      <c r="I25" s="487"/>
      <c r="J25" s="487"/>
      <c r="K25" s="487"/>
      <c r="L25" s="487"/>
      <c r="M25" s="487"/>
      <c r="N25" s="487"/>
      <c r="O25" s="487"/>
      <c r="P25" s="487"/>
      <c r="Q25" s="487"/>
      <c r="R25" s="487"/>
      <c r="S25" s="487"/>
      <c r="T25" s="487"/>
      <c r="U25" s="487"/>
      <c r="V25" s="487"/>
      <c r="W25" s="488"/>
      <c r="X25" s="489"/>
      <c r="Y25" s="490"/>
      <c r="Z25" s="490"/>
      <c r="AA25" s="482"/>
      <c r="AB25" s="486"/>
      <c r="AC25" s="487"/>
      <c r="AD25" s="487"/>
      <c r="AE25" s="487"/>
      <c r="AF25" s="487"/>
      <c r="AG25" s="487"/>
      <c r="AH25" s="487"/>
      <c r="AI25" s="487"/>
      <c r="AJ25" s="487"/>
      <c r="AK25" s="487"/>
      <c r="AL25" s="487"/>
      <c r="AM25" s="487"/>
      <c r="AN25" s="487"/>
      <c r="AO25" s="487"/>
      <c r="AP25" s="487"/>
      <c r="AQ25" s="487"/>
      <c r="AR25" s="488"/>
      <c r="AS25" s="491"/>
      <c r="AT25" s="492"/>
      <c r="AU25" s="492"/>
      <c r="AV25" s="492"/>
      <c r="AW25" s="492"/>
      <c r="AX25" s="493"/>
    </row>
    <row r="26" spans="1:50" ht="24" customHeight="1" thickBot="1">
      <c r="A26" s="494"/>
      <c r="B26" s="495"/>
      <c r="C26" s="496"/>
      <c r="D26" s="497"/>
      <c r="E26" s="497"/>
      <c r="F26" s="498"/>
      <c r="G26" s="499"/>
      <c r="H26" s="500"/>
      <c r="I26" s="500"/>
      <c r="J26" s="500"/>
      <c r="K26" s="500"/>
      <c r="L26" s="500"/>
      <c r="M26" s="500"/>
      <c r="N26" s="500"/>
      <c r="O26" s="500"/>
      <c r="P26" s="500"/>
      <c r="Q26" s="500"/>
      <c r="R26" s="500"/>
      <c r="S26" s="500"/>
      <c r="T26" s="500"/>
      <c r="U26" s="500"/>
      <c r="V26" s="500"/>
      <c r="W26" s="501"/>
      <c r="X26" s="502"/>
      <c r="Y26" s="503"/>
      <c r="Z26" s="503"/>
      <c r="AA26" s="495"/>
      <c r="AB26" s="499"/>
      <c r="AC26" s="500"/>
      <c r="AD26" s="500"/>
      <c r="AE26" s="500"/>
      <c r="AF26" s="500"/>
      <c r="AG26" s="500"/>
      <c r="AH26" s="500"/>
      <c r="AI26" s="500"/>
      <c r="AJ26" s="500"/>
      <c r="AK26" s="500"/>
      <c r="AL26" s="500"/>
      <c r="AM26" s="500"/>
      <c r="AN26" s="500"/>
      <c r="AO26" s="500"/>
      <c r="AP26" s="500"/>
      <c r="AQ26" s="500"/>
      <c r="AR26" s="501"/>
      <c r="AS26" s="504"/>
      <c r="AT26" s="505"/>
      <c r="AU26" s="505"/>
      <c r="AV26" s="505"/>
      <c r="AW26" s="505"/>
      <c r="AX26" s="506"/>
    </row>
  </sheetData>
  <mergeCells count="87">
    <mergeCell ref="A26:B26"/>
    <mergeCell ref="C26:F26"/>
    <mergeCell ref="G26:W26"/>
    <mergeCell ref="X26:AA26"/>
    <mergeCell ref="AB26:AR26"/>
    <mergeCell ref="AS26:AX26"/>
    <mergeCell ref="A25:B25"/>
    <mergeCell ref="C25:F25"/>
    <mergeCell ref="G25:W25"/>
    <mergeCell ref="X25:AA25"/>
    <mergeCell ref="AB25:AR25"/>
    <mergeCell ref="AS25:AX25"/>
    <mergeCell ref="A24:B24"/>
    <mergeCell ref="C24:F24"/>
    <mergeCell ref="G24:W24"/>
    <mergeCell ref="X24:AA24"/>
    <mergeCell ref="AB24:AR24"/>
    <mergeCell ref="AS24:AX24"/>
    <mergeCell ref="A23:B23"/>
    <mergeCell ref="C23:F23"/>
    <mergeCell ref="G23:W23"/>
    <mergeCell ref="X23:AA23"/>
    <mergeCell ref="AB23:AR23"/>
    <mergeCell ref="AS23:AX23"/>
    <mergeCell ref="A22:B22"/>
    <mergeCell ref="C22:F22"/>
    <mergeCell ref="G22:W22"/>
    <mergeCell ref="X22:AA22"/>
    <mergeCell ref="AB22:AR22"/>
    <mergeCell ref="AS22:AX22"/>
    <mergeCell ref="A21:B21"/>
    <mergeCell ref="C21:F21"/>
    <mergeCell ref="G21:W21"/>
    <mergeCell ref="X21:AA21"/>
    <mergeCell ref="AB21:AR21"/>
    <mergeCell ref="AS21:AX21"/>
    <mergeCell ref="A20:B20"/>
    <mergeCell ref="C20:F20"/>
    <mergeCell ref="G20:W20"/>
    <mergeCell ref="X20:AA20"/>
    <mergeCell ref="AB20:AR20"/>
    <mergeCell ref="AS20:AX20"/>
    <mergeCell ref="A19:B19"/>
    <mergeCell ref="C19:F19"/>
    <mergeCell ref="G19:W19"/>
    <mergeCell ref="X19:AA19"/>
    <mergeCell ref="AB19:AR19"/>
    <mergeCell ref="AS19:AX19"/>
    <mergeCell ref="A18:B18"/>
    <mergeCell ref="C18:F18"/>
    <mergeCell ref="G18:W18"/>
    <mergeCell ref="X18:AA18"/>
    <mergeCell ref="AB18:AR18"/>
    <mergeCell ref="AS18:AX18"/>
    <mergeCell ref="A17:B17"/>
    <mergeCell ref="C17:F17"/>
    <mergeCell ref="G17:W17"/>
    <mergeCell ref="X17:AA17"/>
    <mergeCell ref="AB17:AR17"/>
    <mergeCell ref="AS17:AX17"/>
    <mergeCell ref="A15:B16"/>
    <mergeCell ref="C15:W15"/>
    <mergeCell ref="X15:AR15"/>
    <mergeCell ref="AS15:AX16"/>
    <mergeCell ref="C16:F16"/>
    <mergeCell ref="G16:W16"/>
    <mergeCell ref="X16:AA16"/>
    <mergeCell ref="AB16:AR16"/>
    <mergeCell ref="A10:B12"/>
    <mergeCell ref="C10:H12"/>
    <mergeCell ref="I10:V12"/>
    <mergeCell ref="W10:AL10"/>
    <mergeCell ref="AM10:AX12"/>
    <mergeCell ref="W11:AL11"/>
    <mergeCell ref="W12:AL12"/>
    <mergeCell ref="W6:AL6"/>
    <mergeCell ref="AM6:AX6"/>
    <mergeCell ref="A7:B9"/>
    <mergeCell ref="C7:H9"/>
    <mergeCell ref="I7:V9"/>
    <mergeCell ref="W7:AL7"/>
    <mergeCell ref="AM7:AX9"/>
    <mergeCell ref="W8:AL8"/>
    <mergeCell ref="W9:AL9"/>
    <mergeCell ref="A6:B6"/>
    <mergeCell ref="C6:H6"/>
    <mergeCell ref="I6:V6"/>
  </mergeCells>
  <phoneticPr fontId="1"/>
  <dataValidations count="1">
    <dataValidation imeMode="off" allowBlank="1" showInputMessage="1" showErrorMessage="1" sqref="A27:B47 D13:D14 A7 A10 A13 A17:A26"/>
  </dataValidations>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99"/>
  </sheetPr>
  <dimension ref="A1:AX43"/>
  <sheetViews>
    <sheetView showGridLines="0" zoomScaleNormal="100" zoomScaleSheetLayoutView="90" workbookViewId="0">
      <selection activeCell="E15" sqref="E15"/>
    </sheetView>
  </sheetViews>
  <sheetFormatPr defaultColWidth="8.83203125" defaultRowHeight="12"/>
  <cols>
    <col min="1" max="50" width="3.33203125" style="1" customWidth="1"/>
    <col min="51" max="51" width="1.5" style="1" customWidth="1"/>
    <col min="52" max="16384" width="8.83203125" style="1"/>
  </cols>
  <sheetData>
    <row r="1" spans="1:50" s="58" customFormat="1" ht="12.6" customHeight="1">
      <c r="A1" s="311" t="s">
        <v>29</v>
      </c>
      <c r="B1" s="312"/>
      <c r="C1" s="312"/>
      <c r="D1" s="312"/>
      <c r="E1" s="312"/>
      <c r="F1" s="312"/>
      <c r="G1" s="313"/>
      <c r="H1" s="320" t="s">
        <v>2</v>
      </c>
      <c r="I1" s="321"/>
      <c r="J1" s="321"/>
      <c r="K1" s="322"/>
      <c r="L1" s="323" t="str">
        <f>IF(顧客名="","",顧客名)</f>
        <v>株式会社XXXX殿</v>
      </c>
      <c r="M1" s="324"/>
      <c r="N1" s="324"/>
      <c r="O1" s="324"/>
      <c r="P1" s="324"/>
      <c r="Q1" s="324"/>
      <c r="R1" s="325"/>
      <c r="S1" s="326" t="s">
        <v>39</v>
      </c>
      <c r="T1" s="321"/>
      <c r="U1" s="321"/>
      <c r="V1" s="322"/>
      <c r="W1" s="323" t="str">
        <f>IF(システム="","",システム)</f>
        <v>mcframe7</v>
      </c>
      <c r="X1" s="324"/>
      <c r="Y1" s="324"/>
      <c r="Z1" s="324"/>
      <c r="AA1" s="324"/>
      <c r="AB1" s="324"/>
      <c r="AC1" s="325"/>
      <c r="AD1" s="333" t="s">
        <v>7</v>
      </c>
      <c r="AE1" s="334"/>
      <c r="AF1" s="334"/>
      <c r="AG1" s="343"/>
      <c r="AH1" s="344" t="str">
        <f>IF(作成者="","",作成者)</f>
        <v>XX</v>
      </c>
      <c r="AI1" s="345"/>
      <c r="AJ1" s="345"/>
      <c r="AK1" s="345"/>
      <c r="AL1" s="346"/>
      <c r="AM1" s="333" t="s">
        <v>8</v>
      </c>
      <c r="AN1" s="334"/>
      <c r="AO1" s="334"/>
      <c r="AP1" s="343"/>
      <c r="AQ1" s="347">
        <f>IF(作成日="","",作成日)</f>
        <v>42902</v>
      </c>
      <c r="AR1" s="348"/>
      <c r="AS1" s="348"/>
      <c r="AT1" s="349"/>
      <c r="AU1" s="333" t="s">
        <v>0</v>
      </c>
      <c r="AV1" s="334"/>
      <c r="AW1" s="334"/>
      <c r="AX1" s="335"/>
    </row>
    <row r="2" spans="1:50" s="58" customFormat="1" ht="12.6" customHeight="1">
      <c r="A2" s="314"/>
      <c r="B2" s="315"/>
      <c r="C2" s="315"/>
      <c r="D2" s="315"/>
      <c r="E2" s="315"/>
      <c r="F2" s="315"/>
      <c r="G2" s="316"/>
      <c r="H2" s="336" t="s">
        <v>40</v>
      </c>
      <c r="I2" s="337"/>
      <c r="J2" s="337"/>
      <c r="K2" s="338"/>
      <c r="L2" s="339" t="str">
        <f>IF(プロジェクト名="","",プロジェクト名)</f>
        <v/>
      </c>
      <c r="M2" s="340"/>
      <c r="N2" s="340"/>
      <c r="O2" s="340"/>
      <c r="P2" s="340"/>
      <c r="Q2" s="340"/>
      <c r="R2" s="341"/>
      <c r="S2" s="342" t="s">
        <v>41</v>
      </c>
      <c r="T2" s="337"/>
      <c r="U2" s="337"/>
      <c r="V2" s="338"/>
      <c r="W2" s="339" t="str">
        <f>IF(サブシステム="","",サブシステム)</f>
        <v>SCM</v>
      </c>
      <c r="X2" s="340"/>
      <c r="Y2" s="340"/>
      <c r="Z2" s="340"/>
      <c r="AA2" s="340"/>
      <c r="AB2" s="340"/>
      <c r="AC2" s="341"/>
      <c r="AD2" s="350" t="s">
        <v>9</v>
      </c>
      <c r="AE2" s="351"/>
      <c r="AF2" s="351"/>
      <c r="AG2" s="352"/>
      <c r="AH2" s="353" t="str">
        <f>IF(修正者="","",修正者)</f>
        <v>XX</v>
      </c>
      <c r="AI2" s="354"/>
      <c r="AJ2" s="354"/>
      <c r="AK2" s="354"/>
      <c r="AL2" s="355"/>
      <c r="AM2" s="356" t="s">
        <v>10</v>
      </c>
      <c r="AN2" s="357"/>
      <c r="AO2" s="357"/>
      <c r="AP2" s="358"/>
      <c r="AQ2" s="359">
        <f>IF(修正日="","",修正日)</f>
        <v>43007</v>
      </c>
      <c r="AR2" s="360"/>
      <c r="AS2" s="360"/>
      <c r="AT2" s="360"/>
      <c r="AU2" s="361" t="str">
        <f>IF(文書番号="","",文書番号)</f>
        <v/>
      </c>
      <c r="AV2" s="362"/>
      <c r="AW2" s="362"/>
      <c r="AX2" s="363"/>
    </row>
    <row r="3" spans="1:50" s="58" customFormat="1" ht="12.6" customHeight="1" thickBot="1">
      <c r="A3" s="317"/>
      <c r="B3" s="318"/>
      <c r="C3" s="318"/>
      <c r="D3" s="318"/>
      <c r="E3" s="318"/>
      <c r="F3" s="318"/>
      <c r="G3" s="319"/>
      <c r="H3" s="327" t="s">
        <v>12</v>
      </c>
      <c r="I3" s="327"/>
      <c r="J3" s="327"/>
      <c r="K3" s="328"/>
      <c r="L3" s="305" t="str">
        <f>IF(機能ID="","",機能ID)</f>
        <v>MSBELA6700</v>
      </c>
      <c r="M3" s="329"/>
      <c r="N3" s="329"/>
      <c r="O3" s="329"/>
      <c r="P3" s="329"/>
      <c r="Q3" s="329"/>
      <c r="R3" s="329"/>
      <c r="S3" s="330" t="s">
        <v>13</v>
      </c>
      <c r="T3" s="327"/>
      <c r="U3" s="327"/>
      <c r="V3" s="328"/>
      <c r="W3" s="305" t="str">
        <f>IF(機能名="","",機能名)</f>
        <v>棚札情報作成サービス</v>
      </c>
      <c r="X3" s="306"/>
      <c r="Y3" s="306"/>
      <c r="Z3" s="306"/>
      <c r="AA3" s="306"/>
      <c r="AB3" s="306"/>
      <c r="AC3" s="306"/>
      <c r="AD3" s="306"/>
      <c r="AE3" s="306"/>
      <c r="AF3" s="306"/>
      <c r="AG3" s="306"/>
      <c r="AH3" s="306"/>
      <c r="AI3" s="306"/>
      <c r="AJ3" s="306"/>
      <c r="AK3" s="306"/>
      <c r="AL3" s="307"/>
      <c r="AM3" s="308" t="s">
        <v>11</v>
      </c>
      <c r="AN3" s="309"/>
      <c r="AO3" s="309"/>
      <c r="AP3" s="310"/>
      <c r="AQ3" s="302" t="str">
        <f>IF(Rev="","",Rev)</f>
        <v>r02.00</v>
      </c>
      <c r="AR3" s="303"/>
      <c r="AS3" s="303"/>
      <c r="AT3" s="304"/>
      <c r="AU3" s="364"/>
      <c r="AV3" s="365"/>
      <c r="AW3" s="365"/>
      <c r="AX3" s="366"/>
    </row>
    <row r="4" spans="1:50" ht="12.75" thickBot="1"/>
    <row r="5" spans="1:50" ht="12.75" thickBot="1">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23"/>
    </row>
    <row r="6" spans="1:50" ht="12.75" thickTop="1">
      <c r="A6" s="24" t="s">
        <v>30</v>
      </c>
      <c r="B6" s="25"/>
      <c r="C6" s="25"/>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6"/>
    </row>
    <row r="7" spans="1:50" s="3" customFormat="1">
      <c r="A7" s="8"/>
      <c r="B7" s="9" t="s">
        <v>96</v>
      </c>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27"/>
    </row>
    <row r="8" spans="1:50" s="3" customFormat="1">
      <c r="A8" s="8"/>
      <c r="B8" s="15"/>
      <c r="C8" s="9" t="s">
        <v>97</v>
      </c>
      <c r="D8" s="9" t="s">
        <v>106</v>
      </c>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27"/>
    </row>
    <row r="9" spans="1:50" s="3" customFormat="1">
      <c r="A9" s="8"/>
      <c r="B9" s="15"/>
      <c r="C9" s="9"/>
      <c r="D9" s="9" t="s">
        <v>108</v>
      </c>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27"/>
    </row>
    <row r="10" spans="1:50" s="3" customFormat="1">
      <c r="A10" s="8"/>
      <c r="B10" s="15"/>
      <c r="C10" s="9" t="s">
        <v>97</v>
      </c>
      <c r="D10" s="9" t="s">
        <v>107</v>
      </c>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27"/>
    </row>
    <row r="11" spans="1:50" s="3" customFormat="1">
      <c r="A11" s="8"/>
      <c r="B11" s="1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27"/>
    </row>
    <row r="12" spans="1:50" s="3" customFormat="1">
      <c r="A12" s="8"/>
      <c r="B12" s="15"/>
      <c r="C12" s="15"/>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27"/>
    </row>
    <row r="13" spans="1:50" s="3" customFormat="1">
      <c r="A13" s="8"/>
      <c r="B13" s="15"/>
      <c r="C13" s="15"/>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27"/>
    </row>
    <row r="14" spans="1:50" s="3" customFormat="1">
      <c r="A14" s="8"/>
      <c r="B14" s="15"/>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27"/>
    </row>
    <row r="15" spans="1:50">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27"/>
    </row>
    <row r="16" spans="1:50">
      <c r="A16" s="28" t="s">
        <v>47</v>
      </c>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30"/>
    </row>
    <row r="17" spans="1:50" s="3" customFormat="1">
      <c r="A17" s="8"/>
      <c r="B17" s="9"/>
      <c r="C17" s="9" t="s">
        <v>97</v>
      </c>
      <c r="D17" s="9" t="s">
        <v>109</v>
      </c>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27"/>
    </row>
    <row r="18" spans="1:50" s="3" customFormat="1">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27"/>
    </row>
    <row r="19" spans="1:50">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27"/>
    </row>
    <row r="20" spans="1:50">
      <c r="A20" s="28" t="s">
        <v>48</v>
      </c>
      <c r="B20" s="29"/>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30"/>
    </row>
    <row r="21" spans="1:50">
      <c r="A21" s="31" t="s">
        <v>53</v>
      </c>
      <c r="B21" s="32"/>
      <c r="C21" s="33" t="s">
        <v>55</v>
      </c>
      <c r="D21" s="34"/>
      <c r="E21" s="34"/>
      <c r="F21" s="34"/>
      <c r="G21" s="34"/>
      <c r="H21" s="32"/>
      <c r="I21" s="33" t="s">
        <v>36</v>
      </c>
      <c r="J21" s="34"/>
      <c r="K21" s="34"/>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5"/>
    </row>
    <row r="22" spans="1:50">
      <c r="A22" s="36"/>
      <c r="B22" s="37"/>
      <c r="C22" s="38" t="s">
        <v>56</v>
      </c>
      <c r="D22" s="39"/>
      <c r="E22" s="39"/>
      <c r="F22" s="40" t="s">
        <v>57</v>
      </c>
      <c r="G22" s="41"/>
      <c r="H22" s="40"/>
      <c r="I22" s="42"/>
      <c r="J22" s="43"/>
      <c r="K22" s="43"/>
      <c r="L22" s="43"/>
      <c r="M22" s="43"/>
      <c r="N22" s="43"/>
      <c r="O22" s="43"/>
      <c r="P22" s="43"/>
      <c r="Q22" s="43"/>
      <c r="R22" s="43"/>
      <c r="S22" s="43"/>
      <c r="T22" s="43"/>
      <c r="U22" s="43"/>
      <c r="V22" s="43"/>
      <c r="W22" s="43"/>
      <c r="X22" s="43"/>
      <c r="Y22" s="43"/>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4"/>
    </row>
    <row r="23" spans="1:50" s="3" customFormat="1">
      <c r="A23" s="331">
        <v>1</v>
      </c>
      <c r="B23" s="332"/>
      <c r="C23" s="5" t="s">
        <v>102</v>
      </c>
      <c r="D23" s="4"/>
      <c r="E23" s="124"/>
      <c r="F23" s="125" t="s">
        <v>99</v>
      </c>
      <c r="G23" s="126" t="s">
        <v>100</v>
      </c>
      <c r="H23" s="127" t="s">
        <v>101</v>
      </c>
      <c r="I23" s="128" t="s">
        <v>110</v>
      </c>
      <c r="J23" s="129"/>
      <c r="K23" s="129"/>
      <c r="L23" s="129"/>
      <c r="M23" s="129"/>
      <c r="N23" s="129"/>
      <c r="O23" s="129"/>
      <c r="P23" s="129"/>
      <c r="Q23" s="129"/>
      <c r="R23" s="129"/>
      <c r="S23" s="129"/>
      <c r="T23" s="129"/>
      <c r="U23" s="129"/>
      <c r="V23" s="129"/>
      <c r="W23" s="129"/>
      <c r="X23" s="129"/>
      <c r="Y23" s="129"/>
      <c r="Z23" s="129"/>
      <c r="AA23" s="129"/>
      <c r="AB23" s="129"/>
      <c r="AC23" s="129"/>
      <c r="AD23" s="129"/>
      <c r="AE23" s="129"/>
      <c r="AF23" s="129"/>
      <c r="AG23" s="129"/>
      <c r="AH23" s="129"/>
      <c r="AI23" s="129"/>
      <c r="AJ23" s="129"/>
      <c r="AK23" s="129"/>
      <c r="AL23" s="129"/>
      <c r="AM23" s="129"/>
      <c r="AN23" s="129"/>
      <c r="AO23" s="129"/>
      <c r="AP23" s="129"/>
      <c r="AQ23" s="129"/>
      <c r="AR23" s="129"/>
      <c r="AS23" s="129"/>
      <c r="AT23" s="129"/>
      <c r="AU23" s="129"/>
      <c r="AV23" s="129"/>
      <c r="AW23" s="129"/>
      <c r="AX23" s="130"/>
    </row>
    <row r="24" spans="1:50" s="3" customFormat="1">
      <c r="A24" s="45"/>
      <c r="B24" s="46">
        <v>2</v>
      </c>
      <c r="C24" s="5" t="s">
        <v>102</v>
      </c>
      <c r="D24" s="47"/>
      <c r="E24" s="48"/>
      <c r="F24" s="125" t="s">
        <v>99</v>
      </c>
      <c r="G24" s="126" t="s">
        <v>100</v>
      </c>
      <c r="H24" s="127" t="s">
        <v>101</v>
      </c>
      <c r="I24" s="52" t="s">
        <v>111</v>
      </c>
      <c r="J24" s="52"/>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3"/>
    </row>
    <row r="25" spans="1:50" s="3" customFormat="1">
      <c r="A25" s="45"/>
      <c r="B25" s="46"/>
      <c r="C25" s="61"/>
      <c r="D25" s="47"/>
      <c r="E25" s="48"/>
      <c r="F25" s="49"/>
      <c r="G25" s="50"/>
      <c r="H25" s="51"/>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3"/>
    </row>
    <row r="26" spans="1:50" s="3" customFormat="1">
      <c r="A26" s="28" t="s">
        <v>103</v>
      </c>
      <c r="B26" s="29"/>
      <c r="C26" s="29"/>
      <c r="D26" s="29"/>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30"/>
    </row>
    <row r="27" spans="1:50" s="3" customFormat="1">
      <c r="A27" s="8"/>
      <c r="B27" s="9" t="s">
        <v>98</v>
      </c>
      <c r="C27" s="9" t="s">
        <v>104</v>
      </c>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27"/>
    </row>
    <row r="28" spans="1:50" s="3" customFormat="1">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27"/>
    </row>
    <row r="29" spans="1:50" s="3" customFormat="1">
      <c r="A29" s="28" t="s">
        <v>105</v>
      </c>
      <c r="B29" s="29"/>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30"/>
    </row>
    <row r="30" spans="1:50" s="3" customFormat="1">
      <c r="A30" s="8"/>
      <c r="B30" s="9" t="s">
        <v>97</v>
      </c>
      <c r="C30" s="9" t="s">
        <v>112</v>
      </c>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27"/>
    </row>
    <row r="31" spans="1:50" s="3" customFormat="1">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27"/>
    </row>
    <row r="32" spans="1:50" s="3" customFormat="1">
      <c r="A32" s="28" t="s">
        <v>49</v>
      </c>
      <c r="B32" s="29"/>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30"/>
    </row>
    <row r="33" spans="1:50" s="3" customFormat="1">
      <c r="A33" s="8"/>
      <c r="B33" s="9" t="s">
        <v>97</v>
      </c>
      <c r="C33" s="9" t="s">
        <v>113</v>
      </c>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27"/>
    </row>
    <row r="34" spans="1:50" s="3" customFormat="1">
      <c r="A34" s="8"/>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27"/>
    </row>
    <row r="35" spans="1:50" s="3" customFormat="1">
      <c r="A35" s="28" t="s">
        <v>50</v>
      </c>
      <c r="B35" s="29"/>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30"/>
    </row>
    <row r="36" spans="1:50" s="3" customFormat="1">
      <c r="A36" s="8"/>
      <c r="B36" s="9" t="s">
        <v>97</v>
      </c>
      <c r="C36" s="9" t="s">
        <v>114</v>
      </c>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27"/>
    </row>
    <row r="37" spans="1:50" s="3" customFormat="1">
      <c r="A37" s="8"/>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27"/>
    </row>
    <row r="38" spans="1:50" s="3" customFormat="1" ht="12.75" customHeight="1">
      <c r="A38" s="28" t="s">
        <v>115</v>
      </c>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30"/>
    </row>
    <row r="39" spans="1:50" s="3" customFormat="1" ht="12.75" customHeight="1">
      <c r="A39" s="8"/>
      <c r="B39" s="54" t="s">
        <v>97</v>
      </c>
      <c r="C39" s="9" t="s">
        <v>116</v>
      </c>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27"/>
    </row>
    <row r="40" spans="1:50" s="3" customFormat="1" ht="12.75" customHeight="1">
      <c r="A40" s="8"/>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27"/>
    </row>
    <row r="41" spans="1:50" s="131" customFormat="1" ht="12.75" customHeight="1">
      <c r="A41" s="28" t="s">
        <v>117</v>
      </c>
      <c r="B41" s="29"/>
      <c r="C41" s="29"/>
      <c r="D41" s="29"/>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30"/>
    </row>
    <row r="42" spans="1:50" s="131" customFormat="1" ht="12.75" customHeight="1">
      <c r="A42" s="123"/>
      <c r="B42" s="9" t="s">
        <v>97</v>
      </c>
      <c r="C42" s="9" t="s">
        <v>118</v>
      </c>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27"/>
    </row>
    <row r="43" spans="1:50" s="131" customFormat="1" ht="12.75" customHeight="1" thickBot="1">
      <c r="A43" s="10"/>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55"/>
    </row>
  </sheetData>
  <mergeCells count="26">
    <mergeCell ref="A23:B23"/>
    <mergeCell ref="AU1:AX1"/>
    <mergeCell ref="H2:K2"/>
    <mergeCell ref="L2:R2"/>
    <mergeCell ref="S2:V2"/>
    <mergeCell ref="W2:AC2"/>
    <mergeCell ref="W1:AC1"/>
    <mergeCell ref="AD1:AG1"/>
    <mergeCell ref="AH1:AL1"/>
    <mergeCell ref="AM1:AP1"/>
    <mergeCell ref="AQ1:AT1"/>
    <mergeCell ref="AD2:AG2"/>
    <mergeCell ref="AH2:AL2"/>
    <mergeCell ref="AM2:AP2"/>
    <mergeCell ref="AQ2:AT2"/>
    <mergeCell ref="AU2:AX3"/>
    <mergeCell ref="AQ3:AT3"/>
    <mergeCell ref="W3:AL3"/>
    <mergeCell ref="AM3:AP3"/>
    <mergeCell ref="A1:G3"/>
    <mergeCell ref="H1:K1"/>
    <mergeCell ref="L1:R1"/>
    <mergeCell ref="S1:V1"/>
    <mergeCell ref="H3:K3"/>
    <mergeCell ref="L3:R3"/>
    <mergeCell ref="S3:V3"/>
  </mergeCells>
  <phoneticPr fontId="1"/>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FF"/>
  </sheetPr>
  <dimension ref="A1:CJ54"/>
  <sheetViews>
    <sheetView showGridLines="0" topLeftCell="A4" zoomScaleNormal="100" zoomScaleSheetLayoutView="90" workbookViewId="0">
      <selection activeCell="BC14" sqref="BC14"/>
    </sheetView>
  </sheetViews>
  <sheetFormatPr defaultColWidth="8.83203125" defaultRowHeight="12"/>
  <cols>
    <col min="1" max="50" width="3.33203125" style="3" customWidth="1"/>
    <col min="51" max="51" width="1.5" style="3" customWidth="1"/>
    <col min="52" max="16384" width="8.83203125" style="3"/>
  </cols>
  <sheetData>
    <row r="1" spans="1:88" s="58" customFormat="1" ht="12.6" customHeight="1">
      <c r="A1" s="311" t="s">
        <v>237</v>
      </c>
      <c r="B1" s="312"/>
      <c r="C1" s="312"/>
      <c r="D1" s="312"/>
      <c r="E1" s="312"/>
      <c r="F1" s="312"/>
      <c r="G1" s="313"/>
      <c r="H1" s="367" t="s">
        <v>2</v>
      </c>
      <c r="I1" s="321"/>
      <c r="J1" s="321"/>
      <c r="K1" s="322"/>
      <c r="L1" s="368" t="str">
        <f>IF(顧客名="","",顧客名)</f>
        <v>株式会社XXXX殿</v>
      </c>
      <c r="M1" s="324"/>
      <c r="N1" s="324"/>
      <c r="O1" s="324"/>
      <c r="P1" s="324"/>
      <c r="Q1" s="324"/>
      <c r="R1" s="325"/>
      <c r="S1" s="369" t="s">
        <v>39</v>
      </c>
      <c r="T1" s="321"/>
      <c r="U1" s="321"/>
      <c r="V1" s="322"/>
      <c r="W1" s="368" t="str">
        <f>IF(システム="","",システム)</f>
        <v>mcframe7</v>
      </c>
      <c r="X1" s="324"/>
      <c r="Y1" s="324"/>
      <c r="Z1" s="324"/>
      <c r="AA1" s="324"/>
      <c r="AB1" s="324"/>
      <c r="AC1" s="325"/>
      <c r="AD1" s="373" t="s">
        <v>7</v>
      </c>
      <c r="AE1" s="374"/>
      <c r="AF1" s="374"/>
      <c r="AG1" s="375"/>
      <c r="AH1" s="370" t="str">
        <f>IF(作成者="","",作成者)</f>
        <v>XX</v>
      </c>
      <c r="AI1" s="371"/>
      <c r="AJ1" s="371"/>
      <c r="AK1" s="371"/>
      <c r="AL1" s="372"/>
      <c r="AM1" s="373" t="s">
        <v>8</v>
      </c>
      <c r="AN1" s="374"/>
      <c r="AO1" s="374"/>
      <c r="AP1" s="375"/>
      <c r="AQ1" s="376">
        <f>IF(作成日="","",作成日)</f>
        <v>42902</v>
      </c>
      <c r="AR1" s="377"/>
      <c r="AS1" s="377"/>
      <c r="AT1" s="378"/>
      <c r="AU1" s="373" t="s">
        <v>0</v>
      </c>
      <c r="AV1" s="374"/>
      <c r="AW1" s="374"/>
      <c r="AX1" s="379"/>
    </row>
    <row r="2" spans="1:88" s="58" customFormat="1" ht="12.6" customHeight="1">
      <c r="A2" s="314"/>
      <c r="B2" s="315"/>
      <c r="C2" s="315"/>
      <c r="D2" s="315"/>
      <c r="E2" s="315"/>
      <c r="F2" s="315"/>
      <c r="G2" s="316"/>
      <c r="H2" s="380" t="s">
        <v>40</v>
      </c>
      <c r="I2" s="337"/>
      <c r="J2" s="337"/>
      <c r="K2" s="338"/>
      <c r="L2" s="381" t="str">
        <f>IF(プロジェクト名="","",プロジェクト名)</f>
        <v/>
      </c>
      <c r="M2" s="340"/>
      <c r="N2" s="340"/>
      <c r="O2" s="340"/>
      <c r="P2" s="340"/>
      <c r="Q2" s="340"/>
      <c r="R2" s="341"/>
      <c r="S2" s="382" t="s">
        <v>41</v>
      </c>
      <c r="T2" s="337"/>
      <c r="U2" s="337"/>
      <c r="V2" s="338"/>
      <c r="W2" s="381" t="str">
        <f>IF(サブシステム="","",サブシステム)</f>
        <v>SCM</v>
      </c>
      <c r="X2" s="340"/>
      <c r="Y2" s="340"/>
      <c r="Z2" s="340"/>
      <c r="AA2" s="340"/>
      <c r="AB2" s="340"/>
      <c r="AC2" s="341"/>
      <c r="AD2" s="383" t="s">
        <v>9</v>
      </c>
      <c r="AE2" s="384"/>
      <c r="AF2" s="384"/>
      <c r="AG2" s="385"/>
      <c r="AH2" s="386" t="str">
        <f>IF(修正者="","",修正者)</f>
        <v>XX</v>
      </c>
      <c r="AI2" s="387"/>
      <c r="AJ2" s="387"/>
      <c r="AK2" s="387"/>
      <c r="AL2" s="388"/>
      <c r="AM2" s="391" t="s">
        <v>10</v>
      </c>
      <c r="AN2" s="392"/>
      <c r="AO2" s="392"/>
      <c r="AP2" s="393"/>
      <c r="AQ2" s="394">
        <f>IF(修正日="","",修正日)</f>
        <v>43007</v>
      </c>
      <c r="AR2" s="395"/>
      <c r="AS2" s="395"/>
      <c r="AT2" s="395"/>
      <c r="AU2" s="396" t="str">
        <f>IF(文書番号="","",文書番号)</f>
        <v/>
      </c>
      <c r="AV2" s="397"/>
      <c r="AW2" s="397"/>
      <c r="AX2" s="398"/>
    </row>
    <row r="3" spans="1:88" s="58" customFormat="1" ht="12.6" customHeight="1" thickBot="1">
      <c r="A3" s="317"/>
      <c r="B3" s="318"/>
      <c r="C3" s="318"/>
      <c r="D3" s="318"/>
      <c r="E3" s="318"/>
      <c r="F3" s="318"/>
      <c r="G3" s="319"/>
      <c r="H3" s="402" t="s">
        <v>12</v>
      </c>
      <c r="I3" s="402"/>
      <c r="J3" s="402"/>
      <c r="K3" s="403"/>
      <c r="L3" s="404" t="str">
        <f>IF(機能ID="","",機能ID)</f>
        <v>MSBELA6700</v>
      </c>
      <c r="M3" s="329"/>
      <c r="N3" s="329"/>
      <c r="O3" s="329"/>
      <c r="P3" s="329"/>
      <c r="Q3" s="329"/>
      <c r="R3" s="329"/>
      <c r="S3" s="405" t="s">
        <v>13</v>
      </c>
      <c r="T3" s="402"/>
      <c r="U3" s="402"/>
      <c r="V3" s="403"/>
      <c r="W3" s="404" t="str">
        <f>IF(機能名="","",機能名)</f>
        <v>棚札情報作成サービス</v>
      </c>
      <c r="X3" s="406"/>
      <c r="Y3" s="406"/>
      <c r="Z3" s="406"/>
      <c r="AA3" s="406"/>
      <c r="AB3" s="406"/>
      <c r="AC3" s="406"/>
      <c r="AD3" s="406"/>
      <c r="AE3" s="406"/>
      <c r="AF3" s="406"/>
      <c r="AG3" s="406"/>
      <c r="AH3" s="406"/>
      <c r="AI3" s="406"/>
      <c r="AJ3" s="406"/>
      <c r="AK3" s="406"/>
      <c r="AL3" s="407"/>
      <c r="AM3" s="408" t="s">
        <v>11</v>
      </c>
      <c r="AN3" s="409"/>
      <c r="AO3" s="409"/>
      <c r="AP3" s="410"/>
      <c r="AQ3" s="411" t="str">
        <f>IF(Rev="","",Rev)</f>
        <v>r02.00</v>
      </c>
      <c r="AR3" s="412"/>
      <c r="AS3" s="412"/>
      <c r="AT3" s="413"/>
      <c r="AU3" s="399"/>
      <c r="AV3" s="400"/>
      <c r="AW3" s="400"/>
      <c r="AX3" s="401"/>
    </row>
    <row r="4" spans="1:88" ht="12.75" thickBot="1"/>
    <row r="5" spans="1:88" ht="12.75" thickBot="1">
      <c r="A5" s="12" t="s">
        <v>237</v>
      </c>
      <c r="B5" s="7"/>
      <c r="C5" s="7"/>
      <c r="D5" s="7"/>
      <c r="E5" s="7"/>
      <c r="F5" s="7"/>
      <c r="G5" s="7"/>
      <c r="H5" s="7"/>
      <c r="I5" s="7"/>
      <c r="J5" s="7"/>
      <c r="K5" s="7"/>
      <c r="L5" s="7"/>
      <c r="M5" s="7"/>
      <c r="N5" s="7"/>
      <c r="O5" s="7"/>
      <c r="P5" s="7"/>
      <c r="Q5" s="7"/>
      <c r="R5" s="7"/>
      <c r="S5" s="7"/>
      <c r="T5" s="7"/>
      <c r="U5" s="7"/>
      <c r="V5" s="7"/>
      <c r="W5" s="7"/>
      <c r="X5" s="7"/>
      <c r="Y5" s="13"/>
      <c r="Z5" s="7"/>
      <c r="AA5" s="7"/>
      <c r="AB5" s="7"/>
      <c r="AC5" s="7"/>
      <c r="AD5" s="7"/>
      <c r="AE5" s="7"/>
      <c r="AF5" s="7"/>
      <c r="AG5" s="7"/>
      <c r="AH5" s="7"/>
      <c r="AI5" s="7"/>
      <c r="AJ5" s="7"/>
      <c r="AK5" s="7"/>
      <c r="AL5" s="7"/>
      <c r="AM5" s="7"/>
      <c r="AN5" s="7"/>
      <c r="AO5" s="7"/>
      <c r="AP5" s="7"/>
      <c r="AQ5" s="7"/>
      <c r="AR5" s="7"/>
      <c r="AS5" s="7"/>
      <c r="AT5" s="7"/>
      <c r="AU5" s="7"/>
      <c r="AV5" s="7"/>
      <c r="AW5" s="389"/>
      <c r="AX5" s="390"/>
    </row>
    <row r="6" spans="1:88" ht="12.75" customHeight="1" thickTop="1">
      <c r="A6" s="8"/>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59"/>
      <c r="AX6" s="60"/>
    </row>
    <row r="7" spans="1:88" s="165" customFormat="1" ht="11.25" customHeight="1">
      <c r="A7" s="249"/>
      <c r="B7" s="250"/>
      <c r="C7" s="250"/>
      <c r="D7" s="250"/>
      <c r="E7" s="250"/>
      <c r="F7" s="250"/>
      <c r="G7" s="250"/>
      <c r="H7" s="250"/>
      <c r="I7" s="250"/>
      <c r="J7" s="250"/>
      <c r="K7" s="250"/>
      <c r="L7" s="250"/>
      <c r="M7" s="250"/>
      <c r="N7" s="250"/>
      <c r="O7" s="250"/>
      <c r="P7" s="250"/>
      <c r="Q7" s="250"/>
      <c r="R7" s="250"/>
      <c r="S7" s="250"/>
      <c r="T7" s="250"/>
      <c r="U7" s="250"/>
      <c r="V7" s="250"/>
      <c r="W7" s="250"/>
      <c r="X7" s="250"/>
      <c r="Y7" s="250"/>
      <c r="Z7" s="250"/>
      <c r="AA7" s="250"/>
      <c r="AB7" s="250"/>
      <c r="AC7" s="250"/>
      <c r="AD7" s="250"/>
      <c r="AE7" s="250"/>
      <c r="AF7" s="250"/>
      <c r="AG7" s="250"/>
      <c r="AH7" s="250"/>
      <c r="AI7" s="250"/>
      <c r="AJ7" s="250"/>
      <c r="AK7" s="250"/>
      <c r="AL7" s="250"/>
      <c r="AM7" s="250"/>
      <c r="AN7" s="250"/>
      <c r="AO7" s="250"/>
      <c r="AP7" s="250"/>
      <c r="AQ7" s="250"/>
      <c r="AR7" s="250"/>
      <c r="AS7" s="250"/>
      <c r="AT7" s="250"/>
      <c r="AU7" s="250"/>
      <c r="AV7" s="250"/>
      <c r="AW7" s="250"/>
      <c r="AX7" s="251"/>
    </row>
    <row r="8" spans="1:88" s="58" customFormat="1" ht="11.25" customHeight="1">
      <c r="A8" s="166"/>
      <c r="B8" s="149"/>
      <c r="C8" s="149"/>
      <c r="D8" s="149"/>
      <c r="E8" s="149"/>
      <c r="F8" s="149"/>
      <c r="G8" s="149"/>
      <c r="H8" s="149"/>
      <c r="I8" s="149"/>
      <c r="J8" s="149"/>
      <c r="K8" s="149"/>
      <c r="L8" s="149"/>
      <c r="M8" s="149"/>
      <c r="N8" s="149"/>
      <c r="O8" s="149"/>
      <c r="P8" s="149"/>
      <c r="Q8" s="252"/>
      <c r="R8" s="149"/>
      <c r="S8" s="149"/>
      <c r="T8" s="149"/>
      <c r="U8" s="149"/>
      <c r="V8" s="149"/>
      <c r="W8" s="149"/>
      <c r="X8" s="149"/>
      <c r="Y8" s="149"/>
      <c r="Z8" s="149"/>
      <c r="AA8" s="149"/>
      <c r="AB8" s="149"/>
      <c r="AC8" s="149"/>
      <c r="AD8" s="149"/>
      <c r="AE8" s="149"/>
      <c r="AF8" s="149"/>
      <c r="AG8" s="149"/>
      <c r="AH8" s="149"/>
      <c r="AI8" s="149"/>
      <c r="AJ8" s="149"/>
      <c r="AK8" s="149"/>
      <c r="AL8" s="149"/>
      <c r="AM8" s="149"/>
      <c r="AN8" s="149"/>
      <c r="AO8" s="149"/>
      <c r="AP8" s="149"/>
      <c r="AQ8" s="149"/>
      <c r="AR8" s="149"/>
      <c r="AS8" s="149"/>
      <c r="AT8" s="149"/>
      <c r="AU8" s="149"/>
      <c r="AV8" s="149"/>
      <c r="AW8" s="149"/>
      <c r="AX8" s="253"/>
      <c r="BC8" s="149"/>
      <c r="BD8" s="149"/>
      <c r="BE8" s="149"/>
      <c r="BF8" s="149"/>
      <c r="BG8" s="149"/>
      <c r="BH8" s="149"/>
      <c r="BI8" s="149"/>
      <c r="BJ8" s="149"/>
      <c r="BK8" s="149"/>
      <c r="BL8" s="149"/>
      <c r="BM8" s="149"/>
      <c r="BN8" s="149"/>
      <c r="BO8" s="149"/>
      <c r="BP8" s="149"/>
      <c r="BQ8" s="149"/>
      <c r="BR8" s="149"/>
      <c r="BS8" s="149"/>
      <c r="BT8" s="149"/>
      <c r="BU8" s="149"/>
      <c r="BV8" s="149"/>
      <c r="BW8" s="149"/>
      <c r="BX8" s="149"/>
      <c r="BY8" s="149"/>
      <c r="BZ8" s="149"/>
      <c r="CA8" s="149"/>
      <c r="CB8" s="149"/>
      <c r="CC8" s="149"/>
      <c r="CD8" s="149"/>
      <c r="CE8" s="149"/>
      <c r="CF8" s="149"/>
      <c r="CG8" s="165"/>
      <c r="CH8" s="165"/>
      <c r="CI8" s="165"/>
    </row>
    <row r="9" spans="1:88" s="165" customFormat="1" ht="15.75">
      <c r="A9" s="249"/>
      <c r="B9" s="250"/>
      <c r="C9" s="250"/>
      <c r="D9" s="254" t="s">
        <v>98</v>
      </c>
      <c r="E9" s="254" t="s">
        <v>238</v>
      </c>
      <c r="F9" s="254"/>
      <c r="G9" s="250"/>
      <c r="H9" s="250"/>
      <c r="I9" s="250"/>
      <c r="J9" s="250"/>
      <c r="K9" s="250"/>
      <c r="L9" s="250"/>
      <c r="M9" s="250"/>
      <c r="N9" s="250"/>
      <c r="O9" s="250"/>
      <c r="P9" s="250"/>
      <c r="Q9" s="250"/>
      <c r="R9" s="250"/>
      <c r="S9" s="250"/>
      <c r="T9" s="250"/>
      <c r="U9" s="250"/>
      <c r="V9" s="250"/>
      <c r="W9" s="250"/>
      <c r="X9" s="250"/>
      <c r="Y9" s="250"/>
      <c r="Z9" s="250"/>
      <c r="AA9" s="250"/>
      <c r="AB9" s="250"/>
      <c r="AC9" s="250"/>
      <c r="AD9" s="250"/>
      <c r="AE9" s="250"/>
      <c r="AF9" s="250"/>
      <c r="AG9" s="250"/>
      <c r="AH9" s="250"/>
      <c r="AI9" s="250"/>
      <c r="AJ9" s="250"/>
      <c r="AK9" s="250"/>
      <c r="AL9" s="250"/>
      <c r="AM9" s="250"/>
      <c r="AN9" s="250"/>
      <c r="AO9" s="250"/>
      <c r="AP9" s="250"/>
      <c r="AQ9" s="250"/>
      <c r="AR9" s="250"/>
      <c r="AS9" s="250"/>
      <c r="AT9" s="250"/>
      <c r="AU9" s="250"/>
      <c r="AV9" s="250"/>
      <c r="AW9" s="250"/>
      <c r="AX9" s="251"/>
      <c r="CJ9" s="58"/>
    </row>
    <row r="10" spans="1:88" s="165" customFormat="1" ht="11.25" customHeight="1">
      <c r="A10" s="249"/>
      <c r="B10" s="250"/>
      <c r="C10" s="250"/>
      <c r="D10" s="250"/>
      <c r="E10" s="250"/>
      <c r="F10" s="250"/>
      <c r="G10" s="250"/>
      <c r="H10" s="250"/>
      <c r="I10" s="250"/>
      <c r="J10" s="250"/>
      <c r="K10" s="250"/>
      <c r="L10" s="250"/>
      <c r="M10" s="250"/>
      <c r="N10" s="250"/>
      <c r="O10" s="250"/>
      <c r="P10" s="250"/>
      <c r="Q10" s="250"/>
      <c r="R10" s="250"/>
      <c r="S10" s="250"/>
      <c r="T10" s="250"/>
      <c r="U10" s="250"/>
      <c r="V10" s="250"/>
      <c r="W10" s="250"/>
      <c r="X10" s="250"/>
      <c r="Y10" s="250"/>
      <c r="Z10" s="250"/>
      <c r="AA10" s="250"/>
      <c r="AB10" s="250"/>
      <c r="AC10" s="250"/>
      <c r="AD10" s="250"/>
      <c r="AE10" s="250"/>
      <c r="AF10" s="250"/>
      <c r="AG10" s="250"/>
      <c r="AH10" s="250"/>
      <c r="AI10" s="250"/>
      <c r="AJ10" s="250"/>
      <c r="AK10" s="250"/>
      <c r="AL10" s="250"/>
      <c r="AM10" s="250"/>
      <c r="AN10" s="250"/>
      <c r="AO10" s="250"/>
      <c r="AP10" s="250"/>
      <c r="AQ10" s="250"/>
      <c r="AR10" s="250"/>
      <c r="AS10" s="250"/>
      <c r="AT10" s="250"/>
      <c r="AU10" s="250"/>
      <c r="AV10" s="250"/>
      <c r="AW10" s="250"/>
      <c r="AX10" s="251"/>
    </row>
    <row r="11" spans="1:88" s="165" customFormat="1" ht="11.25" customHeight="1">
      <c r="A11" s="249"/>
      <c r="B11" s="250"/>
      <c r="C11" s="250"/>
      <c r="D11" s="250"/>
      <c r="E11" s="250"/>
      <c r="F11" s="250"/>
      <c r="G11" s="250"/>
      <c r="H11" s="250"/>
      <c r="I11" s="250"/>
      <c r="J11" s="250"/>
      <c r="K11" s="250"/>
      <c r="L11" s="250"/>
      <c r="M11" s="250"/>
      <c r="N11" s="250"/>
      <c r="O11" s="250"/>
      <c r="P11" s="250"/>
      <c r="Q11" s="250"/>
      <c r="R11" s="250"/>
      <c r="S11" s="250"/>
      <c r="T11" s="250"/>
      <c r="U11" s="250"/>
      <c r="V11" s="250"/>
      <c r="W11" s="250"/>
      <c r="X11" s="250"/>
      <c r="Y11" s="250"/>
      <c r="Z11" s="250"/>
      <c r="AA11" s="250"/>
      <c r="AB11" s="250"/>
      <c r="AC11" s="250"/>
      <c r="AD11" s="250"/>
      <c r="AE11" s="250"/>
      <c r="AF11" s="250"/>
      <c r="AG11" s="250"/>
      <c r="AH11" s="250"/>
      <c r="AI11" s="250"/>
      <c r="AJ11" s="250"/>
      <c r="AK11" s="250"/>
      <c r="AL11" s="250"/>
      <c r="AM11" s="250"/>
      <c r="AN11" s="250"/>
      <c r="AO11" s="250"/>
      <c r="AP11" s="250"/>
      <c r="AQ11" s="250"/>
      <c r="AR11" s="250"/>
      <c r="AS11" s="250"/>
      <c r="AT11" s="250"/>
      <c r="AU11" s="250"/>
      <c r="AV11" s="250"/>
      <c r="AW11" s="250"/>
      <c r="AX11" s="251"/>
    </row>
    <row r="12" spans="1:88" s="165" customFormat="1" ht="11.25" customHeight="1">
      <c r="A12" s="249"/>
      <c r="B12" s="250"/>
      <c r="C12" s="250"/>
      <c r="D12" s="250"/>
      <c r="E12" s="250"/>
      <c r="F12" s="250"/>
      <c r="G12" s="250"/>
      <c r="H12" s="250"/>
      <c r="I12" s="250"/>
      <c r="J12" s="250"/>
      <c r="K12" s="250"/>
      <c r="L12" s="250"/>
      <c r="M12" s="250"/>
      <c r="N12" s="250"/>
      <c r="O12" s="250"/>
      <c r="P12" s="250"/>
      <c r="Q12" s="250"/>
      <c r="R12" s="250"/>
      <c r="S12" s="250"/>
      <c r="T12" s="250"/>
      <c r="U12" s="250"/>
      <c r="V12" s="250"/>
      <c r="W12" s="250"/>
      <c r="X12" s="250"/>
      <c r="Y12" s="250"/>
      <c r="Z12" s="250"/>
      <c r="AA12" s="250"/>
      <c r="AB12" s="250"/>
      <c r="AC12" s="250"/>
      <c r="AD12" s="250"/>
      <c r="AE12" s="250"/>
      <c r="AF12" s="250"/>
      <c r="AG12" s="250"/>
      <c r="AH12" s="250"/>
      <c r="AI12" s="250"/>
      <c r="AJ12" s="250"/>
      <c r="AK12" s="250"/>
      <c r="AL12" s="250"/>
      <c r="AM12" s="250"/>
      <c r="AN12" s="250"/>
      <c r="AO12" s="250"/>
      <c r="AP12" s="250"/>
      <c r="AQ12" s="250"/>
      <c r="AR12" s="250"/>
      <c r="AS12" s="250"/>
      <c r="AT12" s="250"/>
      <c r="AU12" s="250"/>
      <c r="AV12" s="250"/>
      <c r="AW12" s="250"/>
      <c r="AX12" s="251"/>
    </row>
    <row r="13" spans="1:88" s="165" customFormat="1" ht="11.25" customHeight="1">
      <c r="A13" s="249"/>
      <c r="B13" s="250"/>
      <c r="C13" s="250"/>
      <c r="D13" s="250"/>
      <c r="E13" s="250"/>
      <c r="F13" s="250"/>
      <c r="G13" s="250"/>
      <c r="H13" s="250"/>
      <c r="I13" s="250"/>
      <c r="J13" s="250"/>
      <c r="K13" s="250"/>
      <c r="L13" s="250"/>
      <c r="M13" s="250"/>
      <c r="N13" s="250"/>
      <c r="O13" s="250"/>
      <c r="P13" s="250"/>
      <c r="Q13" s="250"/>
      <c r="R13" s="250"/>
      <c r="S13" s="250"/>
      <c r="T13" s="250"/>
      <c r="U13" s="250"/>
      <c r="V13" s="250"/>
      <c r="W13" s="250"/>
      <c r="X13" s="250"/>
      <c r="Y13" s="250"/>
      <c r="Z13" s="250"/>
      <c r="AA13" s="250"/>
      <c r="AB13" s="250"/>
      <c r="AC13" s="250"/>
      <c r="AD13" s="250"/>
      <c r="AE13" s="250"/>
      <c r="AF13" s="250"/>
      <c r="AG13" s="250"/>
      <c r="AH13" s="250"/>
      <c r="AI13" s="250"/>
      <c r="AJ13" s="250"/>
      <c r="AK13" s="250"/>
      <c r="AL13" s="250"/>
      <c r="AM13" s="250"/>
      <c r="AN13" s="250"/>
      <c r="AO13" s="250"/>
      <c r="AP13" s="250"/>
      <c r="AQ13" s="250"/>
      <c r="AR13" s="250"/>
      <c r="AS13" s="250"/>
      <c r="AT13" s="250"/>
      <c r="AU13" s="250"/>
      <c r="AV13" s="250"/>
      <c r="AW13" s="250"/>
      <c r="AX13" s="251"/>
    </row>
    <row r="14" spans="1:88" s="165" customFormat="1" ht="11.25" customHeight="1">
      <c r="A14" s="249"/>
      <c r="B14" s="250"/>
      <c r="C14" s="250"/>
      <c r="D14" s="250"/>
      <c r="E14" s="250"/>
      <c r="F14" s="250"/>
      <c r="G14" s="250"/>
      <c r="H14" s="250"/>
      <c r="I14" s="250"/>
      <c r="J14" s="250"/>
      <c r="K14" s="250"/>
      <c r="L14" s="250"/>
      <c r="M14" s="250"/>
      <c r="N14" s="250"/>
      <c r="O14" s="250"/>
      <c r="P14" s="250"/>
      <c r="Q14" s="250"/>
      <c r="R14" s="250"/>
      <c r="S14" s="250"/>
      <c r="T14" s="250"/>
      <c r="U14" s="250"/>
      <c r="V14" s="250"/>
      <c r="W14" s="250"/>
      <c r="X14" s="250"/>
      <c r="Y14" s="250"/>
      <c r="Z14" s="250"/>
      <c r="AA14" s="250"/>
      <c r="AB14" s="250"/>
      <c r="AC14" s="250"/>
      <c r="AD14" s="250"/>
      <c r="AE14" s="250"/>
      <c r="AF14" s="250"/>
      <c r="AG14" s="250"/>
      <c r="AH14" s="250"/>
      <c r="AI14" s="250"/>
      <c r="AJ14" s="250"/>
      <c r="AK14" s="250"/>
      <c r="AL14" s="250"/>
      <c r="AM14" s="250"/>
      <c r="AN14" s="250"/>
      <c r="AO14" s="250"/>
      <c r="AP14" s="250"/>
      <c r="AQ14" s="250"/>
      <c r="AR14" s="250"/>
      <c r="AS14" s="250"/>
      <c r="AT14" s="250"/>
      <c r="AU14" s="250"/>
      <c r="AV14" s="250"/>
      <c r="AW14" s="250"/>
      <c r="AX14" s="251"/>
    </row>
    <row r="15" spans="1:88" s="165" customFormat="1" ht="11.25" customHeight="1">
      <c r="A15" s="249"/>
      <c r="B15" s="250"/>
      <c r="C15" s="250"/>
      <c r="D15" s="250"/>
      <c r="E15" s="250"/>
      <c r="F15" s="250"/>
      <c r="G15" s="250"/>
      <c r="H15" s="250"/>
      <c r="I15" s="250"/>
      <c r="J15" s="250"/>
      <c r="K15" s="250"/>
      <c r="L15" s="250"/>
      <c r="M15" s="250"/>
      <c r="N15" s="250"/>
      <c r="O15" s="250"/>
      <c r="P15" s="250"/>
      <c r="Q15" s="250"/>
      <c r="R15" s="250"/>
      <c r="S15" s="250"/>
      <c r="T15" s="250"/>
      <c r="U15" s="250"/>
      <c r="V15" s="250"/>
      <c r="W15" s="250"/>
      <c r="X15" s="250"/>
      <c r="Y15" s="250"/>
      <c r="Z15" s="250"/>
      <c r="AA15" s="250"/>
      <c r="AB15" s="250"/>
      <c r="AC15" s="250"/>
      <c r="AD15" s="250"/>
      <c r="AE15" s="250"/>
      <c r="AF15" s="250"/>
      <c r="AG15" s="250"/>
      <c r="AH15" s="250"/>
      <c r="AI15" s="250"/>
      <c r="AJ15" s="250"/>
      <c r="AK15" s="250"/>
      <c r="AL15" s="250"/>
      <c r="AM15" s="250"/>
      <c r="AN15" s="250"/>
      <c r="AO15" s="250"/>
      <c r="AP15" s="250"/>
      <c r="AQ15" s="250"/>
      <c r="AR15" s="250"/>
      <c r="AS15" s="250"/>
      <c r="AT15" s="250"/>
      <c r="AU15" s="250"/>
      <c r="AV15" s="250"/>
      <c r="AW15" s="250"/>
      <c r="AX15" s="251"/>
    </row>
    <row r="16" spans="1:88" s="165" customFormat="1" ht="11.25" customHeight="1">
      <c r="A16" s="249"/>
      <c r="B16" s="250"/>
      <c r="C16" s="250"/>
      <c r="D16" s="250"/>
      <c r="E16" s="250"/>
      <c r="F16" s="250"/>
      <c r="G16" s="250"/>
      <c r="H16" s="250"/>
      <c r="I16" s="250"/>
      <c r="J16" s="250"/>
      <c r="K16" s="250"/>
      <c r="L16" s="250"/>
      <c r="M16" s="250"/>
      <c r="N16" s="250"/>
      <c r="O16" s="250"/>
      <c r="P16" s="250"/>
      <c r="Q16" s="250"/>
      <c r="R16" s="250"/>
      <c r="S16" s="250"/>
      <c r="T16" s="250"/>
      <c r="U16" s="250"/>
      <c r="V16" s="250"/>
      <c r="W16" s="250"/>
      <c r="X16" s="250"/>
      <c r="Y16" s="250"/>
      <c r="Z16" s="250"/>
      <c r="AA16" s="250"/>
      <c r="AB16" s="250"/>
      <c r="AC16" s="250"/>
      <c r="AD16" s="250"/>
      <c r="AE16" s="250"/>
      <c r="AF16" s="250"/>
      <c r="AG16" s="250"/>
      <c r="AH16" s="250"/>
      <c r="AI16" s="250"/>
      <c r="AJ16" s="250"/>
      <c r="AK16" s="250"/>
      <c r="AL16" s="250"/>
      <c r="AM16" s="250"/>
      <c r="AN16" s="250"/>
      <c r="AO16" s="250"/>
      <c r="AP16" s="250"/>
      <c r="AQ16" s="250"/>
      <c r="AR16" s="250"/>
      <c r="AS16" s="250"/>
      <c r="AT16" s="250"/>
      <c r="AU16" s="250"/>
      <c r="AV16" s="250"/>
      <c r="AW16" s="250"/>
      <c r="AX16" s="251"/>
    </row>
    <row r="17" spans="1:50" s="165" customFormat="1" ht="11.25" customHeight="1">
      <c r="A17" s="249"/>
      <c r="B17" s="250"/>
      <c r="C17" s="250"/>
      <c r="D17" s="250"/>
      <c r="E17" s="250"/>
      <c r="F17" s="250"/>
      <c r="G17" s="250"/>
      <c r="H17" s="250"/>
      <c r="I17" s="250"/>
      <c r="J17" s="250"/>
      <c r="K17" s="250"/>
      <c r="L17" s="250"/>
      <c r="M17" s="250"/>
      <c r="N17" s="250"/>
      <c r="O17" s="250"/>
      <c r="P17" s="250"/>
      <c r="Q17" s="250"/>
      <c r="R17" s="250"/>
      <c r="S17" s="250"/>
      <c r="T17" s="250"/>
      <c r="U17" s="250"/>
      <c r="V17" s="250"/>
      <c r="W17" s="250"/>
      <c r="X17" s="250"/>
      <c r="Y17" s="250"/>
      <c r="Z17" s="250"/>
      <c r="AA17" s="250"/>
      <c r="AB17" s="250"/>
      <c r="AC17" s="250"/>
      <c r="AD17" s="250"/>
      <c r="AE17" s="250"/>
      <c r="AF17" s="250"/>
      <c r="AG17" s="250"/>
      <c r="AH17" s="250"/>
      <c r="AI17" s="250"/>
      <c r="AJ17" s="250"/>
      <c r="AK17" s="250"/>
      <c r="AL17" s="250"/>
      <c r="AM17" s="250"/>
      <c r="AN17" s="250"/>
      <c r="AO17" s="250"/>
      <c r="AP17" s="250"/>
      <c r="AQ17" s="250"/>
      <c r="AR17" s="250"/>
      <c r="AS17" s="250"/>
      <c r="AT17" s="250"/>
      <c r="AU17" s="250"/>
      <c r="AV17" s="250"/>
      <c r="AW17" s="250"/>
      <c r="AX17" s="251"/>
    </row>
    <row r="18" spans="1:50" s="165" customFormat="1" ht="11.25" customHeight="1">
      <c r="A18" s="249"/>
      <c r="B18" s="250"/>
      <c r="C18" s="250"/>
      <c r="D18" s="250"/>
      <c r="E18" s="250"/>
      <c r="F18" s="250"/>
      <c r="G18" s="250"/>
      <c r="H18" s="250"/>
      <c r="I18" s="250"/>
      <c r="J18" s="250"/>
      <c r="K18" s="250"/>
      <c r="L18" s="250"/>
      <c r="M18" s="250"/>
      <c r="N18" s="250"/>
      <c r="O18" s="250"/>
      <c r="P18" s="250"/>
      <c r="Q18" s="250"/>
      <c r="R18" s="250"/>
      <c r="S18" s="250"/>
      <c r="T18" s="250"/>
      <c r="U18" s="250"/>
      <c r="V18" s="250"/>
      <c r="W18" s="250"/>
      <c r="X18" s="250"/>
      <c r="Y18" s="250"/>
      <c r="Z18" s="250"/>
      <c r="AA18" s="250"/>
      <c r="AB18" s="250"/>
      <c r="AC18" s="250"/>
      <c r="AD18" s="250"/>
      <c r="AE18" s="250"/>
      <c r="AF18" s="250"/>
      <c r="AG18" s="250"/>
      <c r="AH18" s="250"/>
      <c r="AI18" s="250"/>
      <c r="AJ18" s="250"/>
      <c r="AK18" s="250"/>
      <c r="AL18" s="250"/>
      <c r="AM18" s="250"/>
      <c r="AN18" s="250"/>
      <c r="AO18" s="250"/>
      <c r="AP18" s="250"/>
      <c r="AQ18" s="250"/>
      <c r="AR18" s="250"/>
      <c r="AS18" s="250"/>
      <c r="AT18" s="250"/>
      <c r="AU18" s="250"/>
      <c r="AV18" s="250"/>
      <c r="AW18" s="250"/>
      <c r="AX18" s="251"/>
    </row>
    <row r="19" spans="1:50" s="165" customFormat="1" ht="11.25" customHeight="1">
      <c r="A19" s="249"/>
      <c r="B19" s="250"/>
      <c r="C19" s="250"/>
      <c r="D19" s="250"/>
      <c r="E19" s="250"/>
      <c r="F19" s="250"/>
      <c r="G19" s="250"/>
      <c r="H19" s="250"/>
      <c r="I19" s="250"/>
      <c r="J19" s="250"/>
      <c r="K19" s="250"/>
      <c r="L19" s="250"/>
      <c r="M19" s="250"/>
      <c r="N19" s="250"/>
      <c r="O19" s="250"/>
      <c r="P19" s="250"/>
      <c r="Q19" s="250"/>
      <c r="R19" s="250"/>
      <c r="S19" s="250"/>
      <c r="T19" s="250"/>
      <c r="U19" s="250"/>
      <c r="V19" s="250"/>
      <c r="W19" s="250"/>
      <c r="X19" s="250"/>
      <c r="Y19" s="250"/>
      <c r="Z19" s="250"/>
      <c r="AA19" s="250"/>
      <c r="AB19" s="250"/>
      <c r="AC19" s="250"/>
      <c r="AD19" s="250"/>
      <c r="AE19" s="250"/>
      <c r="AF19" s="250"/>
      <c r="AG19" s="250"/>
      <c r="AH19" s="250"/>
      <c r="AI19" s="250"/>
      <c r="AJ19" s="250"/>
      <c r="AK19" s="250"/>
      <c r="AL19" s="250"/>
      <c r="AM19" s="250"/>
      <c r="AN19" s="250"/>
      <c r="AO19" s="250"/>
      <c r="AP19" s="250"/>
      <c r="AQ19" s="250"/>
      <c r="AR19" s="250"/>
      <c r="AS19" s="250"/>
      <c r="AT19" s="250"/>
      <c r="AU19" s="250"/>
      <c r="AV19" s="250"/>
      <c r="AW19" s="250"/>
      <c r="AX19" s="251"/>
    </row>
    <row r="20" spans="1:50" s="165" customFormat="1" ht="11.25" customHeight="1">
      <c r="A20" s="249"/>
      <c r="B20" s="250"/>
      <c r="C20" s="250"/>
      <c r="D20" s="250"/>
      <c r="E20" s="250"/>
      <c r="F20" s="250"/>
      <c r="G20" s="250"/>
      <c r="H20" s="250"/>
      <c r="I20" s="250"/>
      <c r="J20" s="250"/>
      <c r="K20" s="250"/>
      <c r="L20" s="250"/>
      <c r="M20" s="250"/>
      <c r="N20" s="250"/>
      <c r="O20" s="250"/>
      <c r="P20" s="250"/>
      <c r="Q20" s="250"/>
      <c r="R20" s="250"/>
      <c r="S20" s="250"/>
      <c r="T20" s="250"/>
      <c r="U20" s="250"/>
      <c r="V20" s="250"/>
      <c r="W20" s="250"/>
      <c r="X20" s="250"/>
      <c r="Y20" s="250"/>
      <c r="Z20" s="250"/>
      <c r="AA20" s="250"/>
      <c r="AB20" s="250"/>
      <c r="AC20" s="250"/>
      <c r="AD20" s="250"/>
      <c r="AE20" s="250"/>
      <c r="AF20" s="250"/>
      <c r="AG20" s="250"/>
      <c r="AH20" s="250"/>
      <c r="AI20" s="250"/>
      <c r="AJ20" s="250"/>
      <c r="AK20" s="250"/>
      <c r="AL20" s="250"/>
      <c r="AM20" s="250"/>
      <c r="AN20" s="250"/>
      <c r="AO20" s="250"/>
      <c r="AP20" s="250"/>
      <c r="AQ20" s="250"/>
      <c r="AR20" s="250"/>
      <c r="AS20" s="250"/>
      <c r="AT20" s="250"/>
      <c r="AU20" s="250"/>
      <c r="AV20" s="250"/>
      <c r="AW20" s="250"/>
      <c r="AX20" s="251"/>
    </row>
    <row r="21" spans="1:50" s="165" customFormat="1" ht="11.25" customHeight="1">
      <c r="A21" s="249"/>
      <c r="B21" s="250"/>
      <c r="C21" s="250"/>
      <c r="D21" s="250"/>
      <c r="E21" s="250"/>
      <c r="F21" s="250"/>
      <c r="G21" s="250"/>
      <c r="H21" s="250"/>
      <c r="I21" s="250"/>
      <c r="J21" s="250"/>
      <c r="K21" s="250"/>
      <c r="L21" s="250"/>
      <c r="M21" s="250"/>
      <c r="N21" s="250"/>
      <c r="O21" s="250"/>
      <c r="P21" s="250"/>
      <c r="Q21" s="250"/>
      <c r="R21" s="250"/>
      <c r="S21" s="250"/>
      <c r="T21" s="250"/>
      <c r="U21" s="250"/>
      <c r="V21" s="250"/>
      <c r="W21" s="250"/>
      <c r="X21" s="250"/>
      <c r="Y21" s="250"/>
      <c r="Z21" s="250"/>
      <c r="AA21" s="250"/>
      <c r="AB21" s="250"/>
      <c r="AC21" s="250"/>
      <c r="AD21" s="250"/>
      <c r="AE21" s="250"/>
      <c r="AF21" s="250"/>
      <c r="AG21" s="250"/>
      <c r="AH21" s="250"/>
      <c r="AI21" s="250"/>
      <c r="AJ21" s="250"/>
      <c r="AK21" s="250"/>
      <c r="AL21" s="250"/>
      <c r="AM21" s="250"/>
      <c r="AN21" s="250"/>
      <c r="AO21" s="250"/>
      <c r="AP21" s="250"/>
      <c r="AQ21" s="250"/>
      <c r="AR21" s="250"/>
      <c r="AS21" s="250"/>
      <c r="AT21" s="250"/>
      <c r="AU21" s="250"/>
      <c r="AV21" s="250"/>
      <c r="AW21" s="250"/>
      <c r="AX21" s="251"/>
    </row>
    <row r="22" spans="1:50" s="165" customFormat="1" ht="11.25" customHeight="1">
      <c r="A22" s="249"/>
      <c r="B22" s="250"/>
      <c r="C22" s="250"/>
      <c r="D22" s="250"/>
      <c r="E22" s="250"/>
      <c r="F22" s="250"/>
      <c r="G22" s="250"/>
      <c r="H22" s="250"/>
      <c r="I22" s="250"/>
      <c r="J22" s="250"/>
      <c r="K22" s="250"/>
      <c r="L22" s="250"/>
      <c r="M22" s="250"/>
      <c r="N22" s="250"/>
      <c r="O22" s="250"/>
      <c r="P22" s="250"/>
      <c r="Q22" s="250"/>
      <c r="R22" s="250"/>
      <c r="S22" s="250"/>
      <c r="T22" s="250"/>
      <c r="U22" s="250"/>
      <c r="V22" s="250"/>
      <c r="W22" s="250"/>
      <c r="X22" s="250"/>
      <c r="Y22" s="250"/>
      <c r="Z22" s="250"/>
      <c r="AA22" s="250"/>
      <c r="AB22" s="250"/>
      <c r="AC22" s="250"/>
      <c r="AD22" s="250"/>
      <c r="AE22" s="250"/>
      <c r="AF22" s="250"/>
      <c r="AG22" s="250"/>
      <c r="AH22" s="250"/>
      <c r="AI22" s="250"/>
      <c r="AJ22" s="250"/>
      <c r="AK22" s="250"/>
      <c r="AL22" s="250"/>
      <c r="AM22" s="250"/>
      <c r="AN22" s="250"/>
      <c r="AO22" s="250"/>
      <c r="AP22" s="250"/>
      <c r="AQ22" s="250"/>
      <c r="AR22" s="250"/>
      <c r="AS22" s="250"/>
      <c r="AT22" s="250"/>
      <c r="AU22" s="250"/>
      <c r="AV22" s="250"/>
      <c r="AW22" s="250"/>
      <c r="AX22" s="251"/>
    </row>
    <row r="23" spans="1:50" s="165" customFormat="1" ht="11.25" customHeight="1">
      <c r="A23" s="249"/>
      <c r="B23" s="250"/>
      <c r="C23" s="250"/>
      <c r="D23" s="250"/>
      <c r="E23" s="250"/>
      <c r="F23" s="250"/>
      <c r="G23" s="250"/>
      <c r="H23" s="250"/>
      <c r="I23" s="250"/>
      <c r="J23" s="250"/>
      <c r="K23" s="250"/>
      <c r="L23" s="250"/>
      <c r="M23" s="250"/>
      <c r="N23" s="250"/>
      <c r="O23" s="250"/>
      <c r="P23" s="250"/>
      <c r="Q23" s="250"/>
      <c r="R23" s="250"/>
      <c r="S23" s="250"/>
      <c r="T23" s="250"/>
      <c r="U23" s="250"/>
      <c r="V23" s="250"/>
      <c r="W23" s="250"/>
      <c r="X23" s="250"/>
      <c r="Y23" s="250"/>
      <c r="Z23" s="250"/>
      <c r="AA23" s="250"/>
      <c r="AB23" s="250"/>
      <c r="AC23" s="250"/>
      <c r="AD23" s="250"/>
      <c r="AE23" s="250"/>
      <c r="AF23" s="250"/>
      <c r="AG23" s="250"/>
      <c r="AH23" s="250"/>
      <c r="AI23" s="250"/>
      <c r="AJ23" s="250"/>
      <c r="AK23" s="250"/>
      <c r="AL23" s="250"/>
      <c r="AM23" s="250"/>
      <c r="AN23" s="250"/>
      <c r="AO23" s="250"/>
      <c r="AP23" s="250"/>
      <c r="AQ23" s="250"/>
      <c r="AR23" s="250"/>
      <c r="AS23" s="250"/>
      <c r="AT23" s="250"/>
      <c r="AU23" s="250"/>
      <c r="AV23" s="250"/>
      <c r="AW23" s="250"/>
      <c r="AX23" s="251"/>
    </row>
    <row r="24" spans="1:50" s="165" customFormat="1" ht="11.25" customHeight="1">
      <c r="A24" s="249"/>
      <c r="B24" s="250"/>
      <c r="C24" s="250"/>
      <c r="D24" s="250"/>
      <c r="E24" s="250"/>
      <c r="F24" s="250"/>
      <c r="G24" s="250"/>
      <c r="H24" s="250"/>
      <c r="I24" s="250"/>
      <c r="J24" s="250"/>
      <c r="K24" s="250"/>
      <c r="L24" s="250"/>
      <c r="M24" s="250"/>
      <c r="N24" s="250"/>
      <c r="O24" s="250"/>
      <c r="P24" s="250"/>
      <c r="Q24" s="250"/>
      <c r="R24" s="250"/>
      <c r="S24" s="250"/>
      <c r="T24" s="250"/>
      <c r="U24" s="250"/>
      <c r="V24" s="250"/>
      <c r="W24" s="250"/>
      <c r="X24" s="250"/>
      <c r="Y24" s="250"/>
      <c r="Z24" s="250"/>
      <c r="AA24" s="250"/>
      <c r="AB24" s="250"/>
      <c r="AC24" s="250"/>
      <c r="AD24" s="250"/>
      <c r="AE24" s="250"/>
      <c r="AF24" s="250"/>
      <c r="AG24" s="250"/>
      <c r="AH24" s="250"/>
      <c r="AI24" s="250"/>
      <c r="AJ24" s="250"/>
      <c r="AK24" s="250"/>
      <c r="AL24" s="250"/>
      <c r="AM24" s="250"/>
      <c r="AN24" s="250"/>
      <c r="AO24" s="250"/>
      <c r="AP24" s="250"/>
      <c r="AQ24" s="250"/>
      <c r="AR24" s="250"/>
      <c r="AS24" s="250"/>
      <c r="AT24" s="250"/>
      <c r="AU24" s="250"/>
      <c r="AV24" s="250"/>
      <c r="AW24" s="250"/>
      <c r="AX24" s="251"/>
    </row>
    <row r="25" spans="1:50" s="165" customFormat="1" ht="11.25" customHeight="1">
      <c r="A25" s="249"/>
      <c r="B25" s="250"/>
      <c r="C25" s="250"/>
      <c r="D25" s="250"/>
      <c r="E25" s="250"/>
      <c r="F25" s="250"/>
      <c r="G25" s="250"/>
      <c r="H25" s="250"/>
      <c r="I25" s="250"/>
      <c r="J25" s="250"/>
      <c r="K25" s="250"/>
      <c r="L25" s="250"/>
      <c r="M25" s="250"/>
      <c r="N25" s="250"/>
      <c r="O25" s="250"/>
      <c r="P25" s="250"/>
      <c r="Q25" s="250"/>
      <c r="R25" s="250"/>
      <c r="S25" s="250"/>
      <c r="T25" s="250"/>
      <c r="U25" s="250"/>
      <c r="V25" s="250"/>
      <c r="W25" s="250"/>
      <c r="X25" s="250"/>
      <c r="Y25" s="250"/>
      <c r="Z25" s="250"/>
      <c r="AA25" s="250"/>
      <c r="AB25" s="250"/>
      <c r="AC25" s="250"/>
      <c r="AD25" s="250"/>
      <c r="AE25" s="250"/>
      <c r="AF25" s="250"/>
      <c r="AG25" s="250"/>
      <c r="AH25" s="250"/>
      <c r="AI25" s="250"/>
      <c r="AJ25" s="250"/>
      <c r="AK25" s="250"/>
      <c r="AL25" s="250"/>
      <c r="AM25" s="250"/>
      <c r="AN25" s="250"/>
      <c r="AO25" s="250"/>
      <c r="AP25" s="250"/>
      <c r="AQ25" s="250"/>
      <c r="AR25" s="250"/>
      <c r="AS25" s="250"/>
      <c r="AT25" s="250"/>
      <c r="AU25" s="250"/>
      <c r="AV25" s="250"/>
      <c r="AW25" s="250"/>
      <c r="AX25" s="251"/>
    </row>
    <row r="26" spans="1:50" s="165" customFormat="1" ht="11.25" customHeight="1">
      <c r="A26" s="249"/>
      <c r="B26" s="250"/>
      <c r="C26" s="250"/>
      <c r="D26" s="250"/>
      <c r="E26" s="250"/>
      <c r="F26" s="250"/>
      <c r="G26" s="250"/>
      <c r="H26" s="250"/>
      <c r="I26" s="250"/>
      <c r="J26" s="250"/>
      <c r="K26" s="250"/>
      <c r="L26" s="250"/>
      <c r="M26" s="250"/>
      <c r="N26" s="250"/>
      <c r="O26" s="250"/>
      <c r="P26" s="250"/>
      <c r="Q26" s="250"/>
      <c r="R26" s="250"/>
      <c r="S26" s="250"/>
      <c r="T26" s="250"/>
      <c r="U26" s="250"/>
      <c r="V26" s="250"/>
      <c r="W26" s="250"/>
      <c r="X26" s="250"/>
      <c r="Y26" s="250"/>
      <c r="Z26" s="250"/>
      <c r="AA26" s="250"/>
      <c r="AB26" s="250"/>
      <c r="AC26" s="250"/>
      <c r="AD26" s="250"/>
      <c r="AE26" s="250"/>
      <c r="AF26" s="250"/>
      <c r="AG26" s="250"/>
      <c r="AH26" s="250"/>
      <c r="AI26" s="250"/>
      <c r="AJ26" s="250"/>
      <c r="AK26" s="250"/>
      <c r="AL26" s="250"/>
      <c r="AM26" s="250"/>
      <c r="AN26" s="250"/>
      <c r="AO26" s="250"/>
      <c r="AP26" s="250"/>
      <c r="AQ26" s="250"/>
      <c r="AR26" s="250"/>
      <c r="AS26" s="250"/>
      <c r="AT26" s="250"/>
      <c r="AU26" s="250"/>
      <c r="AV26" s="250"/>
      <c r="AW26" s="250"/>
      <c r="AX26" s="251"/>
    </row>
    <row r="27" spans="1:50" s="165" customFormat="1" ht="11.25" customHeight="1">
      <c r="A27" s="249"/>
      <c r="B27" s="250"/>
      <c r="C27" s="250"/>
      <c r="D27" s="250"/>
      <c r="E27" s="250"/>
      <c r="F27" s="250"/>
      <c r="G27" s="250"/>
      <c r="H27" s="250"/>
      <c r="I27" s="250"/>
      <c r="J27" s="250"/>
      <c r="K27" s="250"/>
      <c r="L27" s="250"/>
      <c r="M27" s="250"/>
      <c r="N27" s="250"/>
      <c r="O27" s="250"/>
      <c r="P27" s="250"/>
      <c r="Q27" s="250"/>
      <c r="R27" s="250"/>
      <c r="S27" s="250"/>
      <c r="T27" s="250"/>
      <c r="U27" s="250"/>
      <c r="V27" s="250"/>
      <c r="W27" s="250"/>
      <c r="X27" s="250"/>
      <c r="Y27" s="250"/>
      <c r="Z27" s="250"/>
      <c r="AA27" s="250"/>
      <c r="AB27" s="250"/>
      <c r="AC27" s="250"/>
      <c r="AD27" s="250"/>
      <c r="AE27" s="250"/>
      <c r="AF27" s="250"/>
      <c r="AG27" s="250"/>
      <c r="AH27" s="250"/>
      <c r="AI27" s="250"/>
      <c r="AJ27" s="250"/>
      <c r="AK27" s="250"/>
      <c r="AL27" s="250"/>
      <c r="AM27" s="250"/>
      <c r="AN27" s="250"/>
      <c r="AO27" s="250"/>
      <c r="AP27" s="250"/>
      <c r="AQ27" s="250"/>
      <c r="AR27" s="250"/>
      <c r="AS27" s="250"/>
      <c r="AT27" s="250"/>
      <c r="AU27" s="250"/>
      <c r="AV27" s="250"/>
      <c r="AW27" s="250"/>
      <c r="AX27" s="251"/>
    </row>
    <row r="28" spans="1:50" s="165" customFormat="1" ht="11.25" customHeight="1">
      <c r="A28" s="249"/>
      <c r="B28" s="250"/>
      <c r="C28" s="250"/>
      <c r="D28" s="250"/>
      <c r="E28" s="250"/>
      <c r="F28" s="250"/>
      <c r="G28" s="250"/>
      <c r="H28" s="250"/>
      <c r="I28" s="250"/>
      <c r="J28" s="250"/>
      <c r="K28" s="250"/>
      <c r="L28" s="250"/>
      <c r="M28" s="250"/>
      <c r="N28" s="250"/>
      <c r="O28" s="250"/>
      <c r="P28" s="250"/>
      <c r="Q28" s="250"/>
      <c r="R28" s="250"/>
      <c r="S28" s="250"/>
      <c r="T28" s="250"/>
      <c r="U28" s="250"/>
      <c r="V28" s="250"/>
      <c r="W28" s="250"/>
      <c r="X28" s="250"/>
      <c r="Y28" s="250"/>
      <c r="Z28" s="250"/>
      <c r="AA28" s="250"/>
      <c r="AB28" s="250"/>
      <c r="AC28" s="250"/>
      <c r="AD28" s="250"/>
      <c r="AE28" s="250"/>
      <c r="AF28" s="250"/>
      <c r="AG28" s="250"/>
      <c r="AH28" s="250"/>
      <c r="AI28" s="250"/>
      <c r="AJ28" s="250"/>
      <c r="AK28" s="250"/>
      <c r="AL28" s="250"/>
      <c r="AM28" s="250"/>
      <c r="AN28" s="250"/>
      <c r="AO28" s="250"/>
      <c r="AP28" s="250"/>
      <c r="AQ28" s="250"/>
      <c r="AR28" s="250"/>
      <c r="AS28" s="250"/>
      <c r="AT28" s="250"/>
      <c r="AU28" s="250"/>
      <c r="AV28" s="250"/>
      <c r="AW28" s="250"/>
      <c r="AX28" s="251"/>
    </row>
    <row r="29" spans="1:50" s="165" customFormat="1" ht="11.25" customHeight="1">
      <c r="A29" s="249"/>
      <c r="B29" s="250"/>
      <c r="C29" s="250"/>
      <c r="D29" s="250"/>
      <c r="E29" s="250"/>
      <c r="F29" s="250"/>
      <c r="G29" s="250"/>
      <c r="H29" s="250"/>
      <c r="I29" s="250"/>
      <c r="J29" s="250"/>
      <c r="K29" s="250"/>
      <c r="L29" s="250"/>
      <c r="M29" s="250"/>
      <c r="N29" s="250"/>
      <c r="O29" s="250"/>
      <c r="P29" s="250"/>
      <c r="Q29" s="250"/>
      <c r="R29" s="250"/>
      <c r="S29" s="250"/>
      <c r="T29" s="250"/>
      <c r="U29" s="250"/>
      <c r="V29" s="250"/>
      <c r="W29" s="250"/>
      <c r="X29" s="250"/>
      <c r="Y29" s="250"/>
      <c r="Z29" s="250"/>
      <c r="AA29" s="250"/>
      <c r="AB29" s="250"/>
      <c r="AC29" s="250"/>
      <c r="AD29" s="250"/>
      <c r="AE29" s="250"/>
      <c r="AF29" s="250"/>
      <c r="AG29" s="250"/>
      <c r="AH29" s="250"/>
      <c r="AI29" s="250"/>
      <c r="AJ29" s="250"/>
      <c r="AK29" s="250"/>
      <c r="AL29" s="250"/>
      <c r="AM29" s="250"/>
      <c r="AN29" s="250"/>
      <c r="AO29" s="250"/>
      <c r="AP29" s="250"/>
      <c r="AQ29" s="250"/>
      <c r="AR29" s="250"/>
      <c r="AS29" s="250"/>
      <c r="AT29" s="250"/>
      <c r="AU29" s="250"/>
      <c r="AV29" s="250"/>
      <c r="AW29" s="250"/>
      <c r="AX29" s="251"/>
    </row>
    <row r="30" spans="1:50" s="165" customFormat="1" ht="11.25" customHeight="1">
      <c r="A30" s="249"/>
      <c r="B30" s="250"/>
      <c r="C30" s="250"/>
      <c r="D30" s="250"/>
      <c r="E30" s="250"/>
      <c r="F30" s="250"/>
      <c r="G30" s="250"/>
      <c r="H30" s="250"/>
      <c r="I30" s="250"/>
      <c r="J30" s="250"/>
      <c r="K30" s="250"/>
      <c r="L30" s="250"/>
      <c r="M30" s="250"/>
      <c r="N30" s="250"/>
      <c r="O30" s="250"/>
      <c r="P30" s="250"/>
      <c r="Q30" s="250"/>
      <c r="R30" s="250"/>
      <c r="S30" s="250"/>
      <c r="T30" s="250"/>
      <c r="U30" s="250"/>
      <c r="V30" s="250"/>
      <c r="W30" s="250"/>
      <c r="X30" s="250"/>
      <c r="Y30" s="250"/>
      <c r="Z30" s="250"/>
      <c r="AA30" s="250"/>
      <c r="AB30" s="250"/>
      <c r="AC30" s="250"/>
      <c r="AD30" s="250"/>
      <c r="AE30" s="250"/>
      <c r="AF30" s="250"/>
      <c r="AG30" s="250"/>
      <c r="AH30" s="250"/>
      <c r="AI30" s="250"/>
      <c r="AJ30" s="250"/>
      <c r="AK30" s="250"/>
      <c r="AL30" s="250"/>
      <c r="AM30" s="250"/>
      <c r="AN30" s="250"/>
      <c r="AO30" s="250"/>
      <c r="AP30" s="250"/>
      <c r="AQ30" s="250"/>
      <c r="AR30" s="250"/>
      <c r="AS30" s="250"/>
      <c r="AT30" s="250"/>
      <c r="AU30" s="250"/>
      <c r="AV30" s="250"/>
      <c r="AW30" s="250"/>
      <c r="AX30" s="251"/>
    </row>
    <row r="31" spans="1:50" s="165" customFormat="1" ht="11.25" customHeight="1">
      <c r="A31" s="249"/>
      <c r="B31" s="250"/>
      <c r="C31" s="250"/>
      <c r="D31" s="250"/>
      <c r="E31" s="250"/>
      <c r="F31" s="250"/>
      <c r="G31" s="250"/>
      <c r="H31" s="250"/>
      <c r="I31" s="250"/>
      <c r="J31" s="250"/>
      <c r="K31" s="250"/>
      <c r="L31" s="250"/>
      <c r="M31" s="250"/>
      <c r="N31" s="250"/>
      <c r="O31" s="250"/>
      <c r="P31" s="250"/>
      <c r="Q31" s="250"/>
      <c r="R31" s="250"/>
      <c r="S31" s="250"/>
      <c r="T31" s="250"/>
      <c r="U31" s="250"/>
      <c r="V31" s="250"/>
      <c r="W31" s="250"/>
      <c r="X31" s="250"/>
      <c r="Y31" s="250"/>
      <c r="Z31" s="250"/>
      <c r="AA31" s="250"/>
      <c r="AB31" s="250"/>
      <c r="AC31" s="250"/>
      <c r="AD31" s="250"/>
      <c r="AE31" s="250"/>
      <c r="AF31" s="250"/>
      <c r="AG31" s="250"/>
      <c r="AH31" s="250"/>
      <c r="AI31" s="250"/>
      <c r="AJ31" s="250"/>
      <c r="AK31" s="250"/>
      <c r="AL31" s="250"/>
      <c r="AM31" s="250"/>
      <c r="AN31" s="250"/>
      <c r="AO31" s="250"/>
      <c r="AP31" s="250"/>
      <c r="AQ31" s="250"/>
      <c r="AR31" s="250"/>
      <c r="AS31" s="250"/>
      <c r="AT31" s="250"/>
      <c r="AU31" s="250"/>
      <c r="AV31" s="250"/>
      <c r="AW31" s="250"/>
      <c r="AX31" s="251"/>
    </row>
    <row r="32" spans="1:50" s="165" customFormat="1" ht="11.25" customHeight="1">
      <c r="A32" s="249"/>
      <c r="B32" s="250"/>
      <c r="C32" s="250"/>
      <c r="D32" s="250"/>
      <c r="E32" s="250"/>
      <c r="F32" s="250"/>
      <c r="G32" s="250"/>
      <c r="H32" s="250"/>
      <c r="I32" s="250"/>
      <c r="J32" s="250"/>
      <c r="K32" s="250"/>
      <c r="L32" s="250"/>
      <c r="M32" s="250"/>
      <c r="N32" s="250"/>
      <c r="O32" s="250"/>
      <c r="P32" s="250"/>
      <c r="Q32" s="250"/>
      <c r="R32" s="250"/>
      <c r="S32" s="250"/>
      <c r="T32" s="250"/>
      <c r="U32" s="250"/>
      <c r="V32" s="250"/>
      <c r="W32" s="250"/>
      <c r="X32" s="250"/>
      <c r="Y32" s="250"/>
      <c r="Z32" s="250"/>
      <c r="AA32" s="250"/>
      <c r="AB32" s="250"/>
      <c r="AC32" s="250"/>
      <c r="AD32" s="250"/>
      <c r="AE32" s="250"/>
      <c r="AF32" s="250"/>
      <c r="AG32" s="250"/>
      <c r="AH32" s="250"/>
      <c r="AI32" s="250"/>
      <c r="AJ32" s="250"/>
      <c r="AK32" s="250"/>
      <c r="AL32" s="250"/>
      <c r="AM32" s="250"/>
      <c r="AN32" s="250"/>
      <c r="AO32" s="250"/>
      <c r="AP32" s="250"/>
      <c r="AQ32" s="250"/>
      <c r="AR32" s="250"/>
      <c r="AS32" s="250"/>
      <c r="AT32" s="250"/>
      <c r="AU32" s="250"/>
      <c r="AV32" s="250"/>
      <c r="AW32" s="250"/>
      <c r="AX32" s="251"/>
    </row>
    <row r="33" spans="1:88" s="165" customFormat="1" ht="15.75">
      <c r="A33" s="249"/>
      <c r="B33" s="250"/>
      <c r="C33" s="250"/>
      <c r="D33" s="254" t="s">
        <v>98</v>
      </c>
      <c r="E33" s="254" t="s">
        <v>239</v>
      </c>
      <c r="F33" s="254"/>
      <c r="G33" s="250"/>
      <c r="H33" s="250"/>
      <c r="I33" s="250"/>
      <c r="J33" s="250"/>
      <c r="K33" s="250"/>
      <c r="L33" s="250"/>
      <c r="M33" s="250"/>
      <c r="N33" s="250"/>
      <c r="O33" s="250"/>
      <c r="P33" s="250"/>
      <c r="Q33" s="250"/>
      <c r="R33" s="250"/>
      <c r="S33" s="250"/>
      <c r="T33" s="250"/>
      <c r="U33" s="250"/>
      <c r="V33" s="250"/>
      <c r="W33" s="250"/>
      <c r="X33" s="250"/>
      <c r="Y33" s="250"/>
      <c r="Z33" s="250"/>
      <c r="AA33" s="250"/>
      <c r="AB33" s="250"/>
      <c r="AC33" s="250"/>
      <c r="AD33" s="250"/>
      <c r="AE33" s="250"/>
      <c r="AF33" s="250"/>
      <c r="AG33" s="250"/>
      <c r="AH33" s="250"/>
      <c r="AI33" s="250"/>
      <c r="AJ33" s="250"/>
      <c r="AK33" s="250"/>
      <c r="AL33" s="250"/>
      <c r="AM33" s="250"/>
      <c r="AN33" s="250"/>
      <c r="AO33" s="250"/>
      <c r="AP33" s="250"/>
      <c r="AQ33" s="250"/>
      <c r="AR33" s="250"/>
      <c r="AS33" s="250"/>
      <c r="AT33" s="250"/>
      <c r="AU33" s="250"/>
      <c r="AV33" s="250"/>
      <c r="AW33" s="250"/>
      <c r="AX33" s="251"/>
      <c r="CJ33" s="58"/>
    </row>
    <row r="34" spans="1:88" s="165" customFormat="1" ht="11.25" customHeight="1">
      <c r="A34" s="249"/>
      <c r="B34" s="250"/>
      <c r="C34" s="250"/>
      <c r="D34" s="250"/>
      <c r="E34" s="250"/>
      <c r="F34" s="250"/>
      <c r="G34" s="250"/>
      <c r="H34" s="250"/>
      <c r="I34" s="250"/>
      <c r="J34" s="250"/>
      <c r="K34" s="250"/>
      <c r="L34" s="250"/>
      <c r="M34" s="250"/>
      <c r="N34" s="250"/>
      <c r="O34" s="250"/>
      <c r="P34" s="250"/>
      <c r="Q34" s="250"/>
      <c r="R34" s="250"/>
      <c r="S34" s="250"/>
      <c r="T34" s="250"/>
      <c r="U34" s="250"/>
      <c r="V34" s="250"/>
      <c r="W34" s="250"/>
      <c r="X34" s="250"/>
      <c r="Y34" s="250"/>
      <c r="Z34" s="250"/>
      <c r="AA34" s="250"/>
      <c r="AB34" s="250"/>
      <c r="AC34" s="250"/>
      <c r="AD34" s="250"/>
      <c r="AE34" s="250"/>
      <c r="AF34" s="250"/>
      <c r="AG34" s="250"/>
      <c r="AH34" s="250"/>
      <c r="AI34" s="250"/>
      <c r="AJ34" s="250"/>
      <c r="AK34" s="250"/>
      <c r="AL34" s="250"/>
      <c r="AM34" s="250"/>
      <c r="AN34" s="250"/>
      <c r="AO34" s="250"/>
      <c r="AP34" s="250"/>
      <c r="AQ34" s="250"/>
      <c r="AR34" s="250"/>
      <c r="AS34" s="250"/>
      <c r="AT34" s="250"/>
      <c r="AU34" s="250"/>
      <c r="AV34" s="250"/>
      <c r="AW34" s="250"/>
      <c r="AX34" s="251"/>
    </row>
    <row r="35" spans="1:88" s="165" customFormat="1" ht="11.25" customHeight="1">
      <c r="A35" s="249"/>
      <c r="B35" s="250"/>
      <c r="C35" s="250"/>
      <c r="D35" s="250"/>
      <c r="E35" s="250"/>
      <c r="F35" s="250"/>
      <c r="G35" s="250"/>
      <c r="H35" s="250"/>
      <c r="I35" s="250"/>
      <c r="J35" s="250"/>
      <c r="K35" s="250"/>
      <c r="L35" s="250"/>
      <c r="M35" s="250"/>
      <c r="N35" s="250"/>
      <c r="O35" s="250"/>
      <c r="P35" s="250"/>
      <c r="Q35" s="250"/>
      <c r="R35" s="250"/>
      <c r="S35" s="250"/>
      <c r="T35" s="250"/>
      <c r="U35" s="250"/>
      <c r="V35" s="250"/>
      <c r="W35" s="250"/>
      <c r="X35" s="250"/>
      <c r="Y35" s="250"/>
      <c r="Z35" s="250"/>
      <c r="AA35" s="250"/>
      <c r="AB35" s="250"/>
      <c r="AC35" s="250"/>
      <c r="AD35" s="250"/>
      <c r="AE35" s="250"/>
      <c r="AF35" s="250"/>
      <c r="AG35" s="250"/>
      <c r="AH35" s="250"/>
      <c r="AI35" s="250"/>
      <c r="AJ35" s="250"/>
      <c r="AK35" s="250"/>
      <c r="AL35" s="250"/>
      <c r="AM35" s="250"/>
      <c r="AN35" s="250"/>
      <c r="AO35" s="250"/>
      <c r="AP35" s="250"/>
      <c r="AQ35" s="250"/>
      <c r="AR35" s="250"/>
      <c r="AS35" s="250"/>
      <c r="AT35" s="250"/>
      <c r="AU35" s="250"/>
      <c r="AV35" s="250"/>
      <c r="AW35" s="250"/>
      <c r="AX35" s="251"/>
    </row>
    <row r="36" spans="1:88" s="165" customFormat="1" ht="11.25" customHeight="1">
      <c r="A36" s="249"/>
      <c r="B36" s="250"/>
      <c r="C36" s="250"/>
      <c r="D36" s="250"/>
      <c r="E36" s="250"/>
      <c r="F36" s="250"/>
      <c r="G36" s="250"/>
      <c r="H36" s="250"/>
      <c r="I36" s="250"/>
      <c r="J36" s="250"/>
      <c r="K36" s="250"/>
      <c r="L36" s="250"/>
      <c r="M36" s="250"/>
      <c r="N36" s="250"/>
      <c r="O36" s="250"/>
      <c r="P36" s="250"/>
      <c r="Q36" s="250"/>
      <c r="R36" s="250"/>
      <c r="S36" s="250"/>
      <c r="T36" s="250"/>
      <c r="U36" s="250"/>
      <c r="V36" s="250"/>
      <c r="W36" s="250"/>
      <c r="X36" s="250"/>
      <c r="Y36" s="250"/>
      <c r="Z36" s="250"/>
      <c r="AA36" s="250"/>
      <c r="AB36" s="250"/>
      <c r="AC36" s="250"/>
      <c r="AD36" s="250"/>
      <c r="AE36" s="250"/>
      <c r="AF36" s="250"/>
      <c r="AG36" s="250"/>
      <c r="AH36" s="250"/>
      <c r="AI36" s="250"/>
      <c r="AJ36" s="250"/>
      <c r="AK36" s="250"/>
      <c r="AL36" s="250"/>
      <c r="AM36" s="250"/>
      <c r="AN36" s="250"/>
      <c r="AO36" s="250"/>
      <c r="AP36" s="250"/>
      <c r="AQ36" s="250"/>
      <c r="AR36" s="250"/>
      <c r="AS36" s="250"/>
      <c r="AT36" s="250"/>
      <c r="AU36" s="250"/>
      <c r="AV36" s="250"/>
      <c r="AW36" s="250"/>
      <c r="AX36" s="251"/>
    </row>
    <row r="37" spans="1:88" s="165" customFormat="1" ht="11.25" customHeight="1">
      <c r="A37" s="249"/>
      <c r="B37" s="250"/>
      <c r="C37" s="250"/>
      <c r="D37" s="250"/>
      <c r="E37" s="250"/>
      <c r="F37" s="250"/>
      <c r="G37" s="250"/>
      <c r="H37" s="250"/>
      <c r="I37" s="250"/>
      <c r="J37" s="250"/>
      <c r="K37" s="250"/>
      <c r="L37" s="250"/>
      <c r="M37" s="250"/>
      <c r="N37" s="250"/>
      <c r="O37" s="250"/>
      <c r="P37" s="250"/>
      <c r="Q37" s="250"/>
      <c r="R37" s="250"/>
      <c r="S37" s="250"/>
      <c r="T37" s="250"/>
      <c r="U37" s="250"/>
      <c r="V37" s="250"/>
      <c r="W37" s="250"/>
      <c r="X37" s="250"/>
      <c r="Y37" s="250"/>
      <c r="Z37" s="250"/>
      <c r="AA37" s="250"/>
      <c r="AB37" s="250"/>
      <c r="AC37" s="250"/>
      <c r="AD37" s="250"/>
      <c r="AE37" s="250"/>
      <c r="AF37" s="250"/>
      <c r="AG37" s="250"/>
      <c r="AH37" s="250"/>
      <c r="AI37" s="250"/>
      <c r="AJ37" s="250"/>
      <c r="AK37" s="250"/>
      <c r="AL37" s="250"/>
      <c r="AM37" s="250"/>
      <c r="AN37" s="250"/>
      <c r="AO37" s="250"/>
      <c r="AP37" s="250"/>
      <c r="AQ37" s="250"/>
      <c r="AR37" s="250"/>
      <c r="AS37" s="250"/>
      <c r="AT37" s="250"/>
      <c r="AU37" s="250"/>
      <c r="AV37" s="250"/>
      <c r="AW37" s="250"/>
      <c r="AX37" s="251"/>
    </row>
    <row r="38" spans="1:88" s="165" customFormat="1" ht="11.25" customHeight="1">
      <c r="A38" s="249"/>
      <c r="B38" s="250"/>
      <c r="C38" s="250"/>
      <c r="D38" s="250"/>
      <c r="E38" s="250"/>
      <c r="F38" s="250"/>
      <c r="G38" s="250"/>
      <c r="H38" s="250"/>
      <c r="I38" s="250"/>
      <c r="J38" s="250"/>
      <c r="K38" s="250"/>
      <c r="L38" s="250"/>
      <c r="M38" s="250"/>
      <c r="N38" s="250"/>
      <c r="O38" s="250"/>
      <c r="P38" s="250"/>
      <c r="Q38" s="250"/>
      <c r="R38" s="250"/>
      <c r="S38" s="250"/>
      <c r="T38" s="250"/>
      <c r="U38" s="250"/>
      <c r="V38" s="250"/>
      <c r="W38" s="250"/>
      <c r="X38" s="250"/>
      <c r="Y38" s="250"/>
      <c r="Z38" s="250"/>
      <c r="AA38" s="250"/>
      <c r="AB38" s="250"/>
      <c r="AC38" s="250"/>
      <c r="AD38" s="250"/>
      <c r="AE38" s="250"/>
      <c r="AF38" s="250"/>
      <c r="AG38" s="250"/>
      <c r="AH38" s="250"/>
      <c r="AI38" s="250"/>
      <c r="AJ38" s="250"/>
      <c r="AK38" s="250"/>
      <c r="AL38" s="250"/>
      <c r="AM38" s="250"/>
      <c r="AN38" s="250"/>
      <c r="AO38" s="250"/>
      <c r="AP38" s="250"/>
      <c r="AQ38" s="250"/>
      <c r="AR38" s="250"/>
      <c r="AS38" s="250"/>
      <c r="AT38" s="250"/>
      <c r="AU38" s="250"/>
      <c r="AV38" s="250"/>
      <c r="AW38" s="250"/>
      <c r="AX38" s="251"/>
    </row>
    <row r="39" spans="1:88" s="165" customFormat="1" ht="11.25" customHeight="1">
      <c r="A39" s="249"/>
      <c r="B39" s="250"/>
      <c r="C39" s="250"/>
      <c r="D39" s="250"/>
      <c r="E39" s="250"/>
      <c r="F39" s="250"/>
      <c r="G39" s="250"/>
      <c r="H39" s="250"/>
      <c r="I39" s="250"/>
      <c r="J39" s="250"/>
      <c r="K39" s="250"/>
      <c r="L39" s="250"/>
      <c r="M39" s="250"/>
      <c r="N39" s="250"/>
      <c r="O39" s="250"/>
      <c r="P39" s="250"/>
      <c r="Q39" s="250"/>
      <c r="R39" s="250"/>
      <c r="S39" s="250"/>
      <c r="T39" s="250"/>
      <c r="U39" s="250"/>
      <c r="V39" s="250"/>
      <c r="W39" s="250"/>
      <c r="X39" s="250"/>
      <c r="Y39" s="250"/>
      <c r="Z39" s="250"/>
      <c r="AA39" s="250"/>
      <c r="AB39" s="250"/>
      <c r="AC39" s="250"/>
      <c r="AD39" s="250"/>
      <c r="AE39" s="250"/>
      <c r="AF39" s="250"/>
      <c r="AG39" s="250"/>
      <c r="AH39" s="250"/>
      <c r="AI39" s="250"/>
      <c r="AJ39" s="250"/>
      <c r="AK39" s="250"/>
      <c r="AL39" s="250"/>
      <c r="AM39" s="250"/>
      <c r="AN39" s="250"/>
      <c r="AO39" s="250"/>
      <c r="AP39" s="250"/>
      <c r="AQ39" s="250"/>
      <c r="AR39" s="250"/>
      <c r="AS39" s="250"/>
      <c r="AT39" s="250"/>
      <c r="AU39" s="250"/>
      <c r="AV39" s="250"/>
      <c r="AW39" s="250"/>
      <c r="AX39" s="251"/>
    </row>
    <row r="40" spans="1:88" s="165" customFormat="1" ht="11.25" customHeight="1">
      <c r="A40" s="249"/>
      <c r="B40" s="250"/>
      <c r="C40" s="250"/>
      <c r="D40" s="250"/>
      <c r="E40" s="250"/>
      <c r="F40" s="250"/>
      <c r="G40" s="250"/>
      <c r="H40" s="250"/>
      <c r="I40" s="250"/>
      <c r="J40" s="250"/>
      <c r="K40" s="250"/>
      <c r="L40" s="250"/>
      <c r="M40" s="250"/>
      <c r="N40" s="250"/>
      <c r="O40" s="250"/>
      <c r="P40" s="250"/>
      <c r="Q40" s="250"/>
      <c r="R40" s="250"/>
      <c r="S40" s="250"/>
      <c r="T40" s="250"/>
      <c r="U40" s="250"/>
      <c r="V40" s="250"/>
      <c r="W40" s="250"/>
      <c r="X40" s="250"/>
      <c r="Y40" s="250"/>
      <c r="Z40" s="250"/>
      <c r="AA40" s="250"/>
      <c r="AB40" s="250"/>
      <c r="AC40" s="250"/>
      <c r="AD40" s="250"/>
      <c r="AE40" s="250"/>
      <c r="AF40" s="250"/>
      <c r="AG40" s="250"/>
      <c r="AH40" s="250"/>
      <c r="AI40" s="250"/>
      <c r="AJ40" s="250"/>
      <c r="AK40" s="250"/>
      <c r="AL40" s="250"/>
      <c r="AM40" s="250"/>
      <c r="AN40" s="250"/>
      <c r="AO40" s="250"/>
      <c r="AP40" s="250"/>
      <c r="AQ40" s="250"/>
      <c r="AR40" s="250"/>
      <c r="AS40" s="250"/>
      <c r="AT40" s="250"/>
      <c r="AU40" s="250"/>
      <c r="AV40" s="250"/>
      <c r="AW40" s="250"/>
      <c r="AX40" s="251"/>
    </row>
    <row r="41" spans="1:88" s="165" customFormat="1" ht="11.25" customHeight="1">
      <c r="A41" s="249"/>
      <c r="B41" s="250"/>
      <c r="C41" s="250"/>
      <c r="D41" s="250"/>
      <c r="E41" s="250"/>
      <c r="F41" s="250"/>
      <c r="G41" s="250"/>
      <c r="H41" s="250"/>
      <c r="I41" s="250"/>
      <c r="J41" s="250"/>
      <c r="K41" s="250"/>
      <c r="L41" s="250"/>
      <c r="M41" s="250"/>
      <c r="N41" s="250"/>
      <c r="O41" s="250"/>
      <c r="P41" s="250"/>
      <c r="Q41" s="250"/>
      <c r="R41" s="250"/>
      <c r="S41" s="250"/>
      <c r="T41" s="250"/>
      <c r="U41" s="250"/>
      <c r="V41" s="250"/>
      <c r="W41" s="250"/>
      <c r="X41" s="250"/>
      <c r="Y41" s="250"/>
      <c r="Z41" s="250"/>
      <c r="AA41" s="250"/>
      <c r="AB41" s="250"/>
      <c r="AC41" s="250"/>
      <c r="AD41" s="250"/>
      <c r="AE41" s="250"/>
      <c r="AF41" s="250"/>
      <c r="AG41" s="250"/>
      <c r="AH41" s="250"/>
      <c r="AI41" s="250"/>
      <c r="AJ41" s="250"/>
      <c r="AK41" s="250"/>
      <c r="AL41" s="250"/>
      <c r="AM41" s="250"/>
      <c r="AN41" s="250"/>
      <c r="AO41" s="250"/>
      <c r="AP41" s="250"/>
      <c r="AQ41" s="250"/>
      <c r="AR41" s="250"/>
      <c r="AS41" s="250"/>
      <c r="AT41" s="250"/>
      <c r="AU41" s="250"/>
      <c r="AV41" s="250"/>
      <c r="AW41" s="250"/>
      <c r="AX41" s="251"/>
    </row>
    <row r="42" spans="1:88" s="165" customFormat="1" ht="11.25" customHeight="1">
      <c r="A42" s="249"/>
      <c r="B42" s="250"/>
      <c r="C42" s="250"/>
      <c r="D42" s="250"/>
      <c r="E42" s="250"/>
      <c r="F42" s="250"/>
      <c r="G42" s="250"/>
      <c r="H42" s="250"/>
      <c r="I42" s="250"/>
      <c r="J42" s="250"/>
      <c r="K42" s="250"/>
      <c r="L42" s="250"/>
      <c r="M42" s="250"/>
      <c r="N42" s="250"/>
      <c r="O42" s="250"/>
      <c r="P42" s="250"/>
      <c r="Q42" s="250"/>
      <c r="R42" s="250"/>
      <c r="S42" s="250"/>
      <c r="T42" s="250"/>
      <c r="U42" s="250"/>
      <c r="V42" s="250"/>
      <c r="W42" s="250"/>
      <c r="X42" s="250"/>
      <c r="Y42" s="250"/>
      <c r="Z42" s="250"/>
      <c r="AA42" s="250"/>
      <c r="AB42" s="250"/>
      <c r="AC42" s="250"/>
      <c r="AD42" s="250"/>
      <c r="AE42" s="250"/>
      <c r="AF42" s="250"/>
      <c r="AG42" s="250"/>
      <c r="AH42" s="250"/>
      <c r="AI42" s="250"/>
      <c r="AJ42" s="250"/>
      <c r="AK42" s="250"/>
      <c r="AL42" s="250"/>
      <c r="AM42" s="250"/>
      <c r="AN42" s="250"/>
      <c r="AO42" s="250"/>
      <c r="AP42" s="250"/>
      <c r="AQ42" s="250"/>
      <c r="AR42" s="250"/>
      <c r="AS42" s="250"/>
      <c r="AT42" s="250"/>
      <c r="AU42" s="250"/>
      <c r="AV42" s="250"/>
      <c r="AW42" s="250"/>
      <c r="AX42" s="251"/>
    </row>
    <row r="43" spans="1:88" s="165" customFormat="1" ht="11.25" customHeight="1">
      <c r="A43" s="249"/>
      <c r="B43" s="250"/>
      <c r="C43" s="250"/>
      <c r="D43" s="250"/>
      <c r="E43" s="250"/>
      <c r="F43" s="250"/>
      <c r="G43" s="250"/>
      <c r="H43" s="250"/>
      <c r="I43" s="250"/>
      <c r="J43" s="250"/>
      <c r="K43" s="250"/>
      <c r="L43" s="250"/>
      <c r="M43" s="250"/>
      <c r="N43" s="250"/>
      <c r="O43" s="250"/>
      <c r="P43" s="250"/>
      <c r="Q43" s="250"/>
      <c r="R43" s="250"/>
      <c r="S43" s="250"/>
      <c r="T43" s="250"/>
      <c r="U43" s="250"/>
      <c r="V43" s="250"/>
      <c r="W43" s="250"/>
      <c r="X43" s="250"/>
      <c r="Y43" s="250"/>
      <c r="Z43" s="250"/>
      <c r="AA43" s="250"/>
      <c r="AB43" s="250"/>
      <c r="AC43" s="250"/>
      <c r="AD43" s="250"/>
      <c r="AE43" s="250"/>
      <c r="AF43" s="250"/>
      <c r="AG43" s="250"/>
      <c r="AH43" s="250"/>
      <c r="AI43" s="250"/>
      <c r="AJ43" s="250"/>
      <c r="AK43" s="250"/>
      <c r="AL43" s="250"/>
      <c r="AM43" s="250"/>
      <c r="AN43" s="250"/>
      <c r="AO43" s="250"/>
      <c r="AP43" s="250"/>
      <c r="AQ43" s="250"/>
      <c r="AR43" s="250"/>
      <c r="AS43" s="250"/>
      <c r="AT43" s="250"/>
      <c r="AU43" s="250"/>
      <c r="AV43" s="250"/>
      <c r="AW43" s="250"/>
      <c r="AX43" s="251"/>
    </row>
    <row r="44" spans="1:88" s="165" customFormat="1" ht="11.25" customHeight="1">
      <c r="A44" s="249"/>
      <c r="B44" s="250"/>
      <c r="C44" s="250"/>
      <c r="D44" s="250"/>
      <c r="E44" s="250"/>
      <c r="F44" s="250"/>
      <c r="G44" s="250"/>
      <c r="H44" s="250"/>
      <c r="I44" s="250"/>
      <c r="J44" s="250"/>
      <c r="K44" s="250"/>
      <c r="L44" s="250"/>
      <c r="M44" s="250"/>
      <c r="N44" s="250"/>
      <c r="O44" s="250"/>
      <c r="P44" s="250"/>
      <c r="Q44" s="250"/>
      <c r="R44" s="250"/>
      <c r="S44" s="250"/>
      <c r="T44" s="250"/>
      <c r="U44" s="250"/>
      <c r="V44" s="250"/>
      <c r="W44" s="250"/>
      <c r="X44" s="250"/>
      <c r="Y44" s="250"/>
      <c r="Z44" s="250"/>
      <c r="AA44" s="250"/>
      <c r="AB44" s="250"/>
      <c r="AC44" s="250"/>
      <c r="AD44" s="250"/>
      <c r="AE44" s="250"/>
      <c r="AF44" s="250"/>
      <c r="AG44" s="250"/>
      <c r="AH44" s="250"/>
      <c r="AI44" s="250"/>
      <c r="AJ44" s="250"/>
      <c r="AK44" s="250"/>
      <c r="AL44" s="250"/>
      <c r="AM44" s="250"/>
      <c r="AN44" s="250"/>
      <c r="AO44" s="250"/>
      <c r="AP44" s="250"/>
      <c r="AQ44" s="250"/>
      <c r="AR44" s="250"/>
      <c r="AS44" s="250"/>
      <c r="AT44" s="250"/>
      <c r="AU44" s="250"/>
      <c r="AV44" s="250"/>
      <c r="AW44" s="250"/>
      <c r="AX44" s="251"/>
    </row>
    <row r="45" spans="1:88" s="165" customFormat="1" ht="11.25" customHeight="1">
      <c r="A45" s="249"/>
      <c r="B45" s="250"/>
      <c r="C45" s="250"/>
      <c r="D45" s="250"/>
      <c r="E45" s="250"/>
      <c r="F45" s="250"/>
      <c r="G45" s="250"/>
      <c r="H45" s="250"/>
      <c r="I45" s="250"/>
      <c r="J45" s="250"/>
      <c r="K45" s="250"/>
      <c r="L45" s="250"/>
      <c r="M45" s="250"/>
      <c r="N45" s="250"/>
      <c r="O45" s="250"/>
      <c r="P45" s="250"/>
      <c r="Q45" s="250"/>
      <c r="R45" s="250"/>
      <c r="S45" s="250"/>
      <c r="T45" s="250"/>
      <c r="U45" s="250"/>
      <c r="V45" s="250"/>
      <c r="W45" s="250"/>
      <c r="X45" s="250"/>
      <c r="Y45" s="250"/>
      <c r="Z45" s="250"/>
      <c r="AA45" s="250"/>
      <c r="AB45" s="250"/>
      <c r="AC45" s="250"/>
      <c r="AD45" s="250"/>
      <c r="AE45" s="250"/>
      <c r="AF45" s="250"/>
      <c r="AG45" s="250"/>
      <c r="AH45" s="250"/>
      <c r="AI45" s="250"/>
      <c r="AJ45" s="250"/>
      <c r="AK45" s="250"/>
      <c r="AL45" s="250"/>
      <c r="AM45" s="250"/>
      <c r="AN45" s="250"/>
      <c r="AO45" s="250"/>
      <c r="AP45" s="250"/>
      <c r="AQ45" s="250"/>
      <c r="AR45" s="250"/>
      <c r="AS45" s="250"/>
      <c r="AT45" s="250"/>
      <c r="AU45" s="250"/>
      <c r="AV45" s="250"/>
      <c r="AW45" s="250"/>
      <c r="AX45" s="251"/>
    </row>
    <row r="46" spans="1:88" s="165" customFormat="1" ht="11.25" customHeight="1">
      <c r="A46" s="249"/>
      <c r="B46" s="250"/>
      <c r="C46" s="250"/>
      <c r="D46" s="250"/>
      <c r="E46" s="250"/>
      <c r="F46" s="250"/>
      <c r="G46" s="250"/>
      <c r="H46" s="250"/>
      <c r="I46" s="250"/>
      <c r="J46" s="250"/>
      <c r="K46" s="250"/>
      <c r="L46" s="250"/>
      <c r="M46" s="250"/>
      <c r="N46" s="250"/>
      <c r="O46" s="250"/>
      <c r="P46" s="250"/>
      <c r="Q46" s="250"/>
      <c r="R46" s="250"/>
      <c r="S46" s="250"/>
      <c r="T46" s="250"/>
      <c r="U46" s="250"/>
      <c r="V46" s="250"/>
      <c r="W46" s="250"/>
      <c r="X46" s="250"/>
      <c r="Y46" s="250"/>
      <c r="Z46" s="250"/>
      <c r="AA46" s="250"/>
      <c r="AB46" s="250"/>
      <c r="AC46" s="250"/>
      <c r="AD46" s="250"/>
      <c r="AE46" s="250"/>
      <c r="AF46" s="250"/>
      <c r="AG46" s="250"/>
      <c r="AH46" s="250"/>
      <c r="AI46" s="250"/>
      <c r="AJ46" s="250"/>
      <c r="AK46" s="250"/>
      <c r="AL46" s="250"/>
      <c r="AM46" s="250"/>
      <c r="AN46" s="250"/>
      <c r="AO46" s="250"/>
      <c r="AP46" s="250"/>
      <c r="AQ46" s="250"/>
      <c r="AR46" s="250"/>
      <c r="AS46" s="250"/>
      <c r="AT46" s="250"/>
      <c r="AU46" s="250"/>
      <c r="AV46" s="250"/>
      <c r="AW46" s="250"/>
      <c r="AX46" s="251"/>
    </row>
    <row r="47" spans="1:88" s="165" customFormat="1" ht="11.25" customHeight="1">
      <c r="A47" s="249"/>
      <c r="B47" s="250"/>
      <c r="C47" s="250"/>
      <c r="D47" s="250"/>
      <c r="E47" s="250"/>
      <c r="F47" s="250"/>
      <c r="G47" s="250"/>
      <c r="H47" s="250"/>
      <c r="I47" s="250"/>
      <c r="J47" s="250"/>
      <c r="K47" s="250"/>
      <c r="L47" s="250"/>
      <c r="M47" s="250"/>
      <c r="N47" s="250"/>
      <c r="O47" s="250"/>
      <c r="P47" s="250"/>
      <c r="Q47" s="250"/>
      <c r="R47" s="250"/>
      <c r="S47" s="250"/>
      <c r="T47" s="250"/>
      <c r="U47" s="250"/>
      <c r="V47" s="250"/>
      <c r="W47" s="250"/>
      <c r="X47" s="250"/>
      <c r="Y47" s="250"/>
      <c r="Z47" s="250"/>
      <c r="AA47" s="250"/>
      <c r="AB47" s="250"/>
      <c r="AC47" s="250"/>
      <c r="AD47" s="250"/>
      <c r="AE47" s="250"/>
      <c r="AF47" s="250"/>
      <c r="AG47" s="250"/>
      <c r="AH47" s="250"/>
      <c r="AI47" s="250"/>
      <c r="AJ47" s="250"/>
      <c r="AK47" s="250"/>
      <c r="AL47" s="250"/>
      <c r="AM47" s="250"/>
      <c r="AN47" s="250"/>
      <c r="AO47" s="250"/>
      <c r="AP47" s="250"/>
      <c r="AQ47" s="250"/>
      <c r="AR47" s="250"/>
      <c r="AS47" s="250"/>
      <c r="AT47" s="250"/>
      <c r="AU47" s="250"/>
      <c r="AV47" s="250"/>
      <c r="AW47" s="250"/>
      <c r="AX47" s="251"/>
    </row>
    <row r="48" spans="1:88" s="165" customFormat="1" ht="11.25" customHeight="1">
      <c r="A48" s="249"/>
      <c r="B48" s="250"/>
      <c r="C48" s="250"/>
      <c r="D48" s="250"/>
      <c r="E48" s="250"/>
      <c r="F48" s="250"/>
      <c r="G48" s="250"/>
      <c r="H48" s="250"/>
      <c r="I48" s="250"/>
      <c r="J48" s="250"/>
      <c r="K48" s="250"/>
      <c r="L48" s="250"/>
      <c r="M48" s="250"/>
      <c r="N48" s="250"/>
      <c r="O48" s="250"/>
      <c r="P48" s="250"/>
      <c r="Q48" s="250"/>
      <c r="R48" s="250"/>
      <c r="S48" s="250"/>
      <c r="T48" s="250"/>
      <c r="U48" s="250"/>
      <c r="V48" s="250"/>
      <c r="W48" s="250"/>
      <c r="X48" s="250"/>
      <c r="Y48" s="250"/>
      <c r="Z48" s="250"/>
      <c r="AA48" s="250"/>
      <c r="AB48" s="250"/>
      <c r="AC48" s="250"/>
      <c r="AD48" s="250"/>
      <c r="AE48" s="250"/>
      <c r="AF48" s="250"/>
      <c r="AG48" s="250"/>
      <c r="AH48" s="250"/>
      <c r="AI48" s="250"/>
      <c r="AJ48" s="250"/>
      <c r="AK48" s="250"/>
      <c r="AL48" s="250"/>
      <c r="AM48" s="250"/>
      <c r="AN48" s="250"/>
      <c r="AO48" s="250"/>
      <c r="AP48" s="250"/>
      <c r="AQ48" s="250"/>
      <c r="AR48" s="250"/>
      <c r="AS48" s="250"/>
      <c r="AT48" s="250"/>
      <c r="AU48" s="250"/>
      <c r="AV48" s="250"/>
      <c r="AW48" s="250"/>
      <c r="AX48" s="251"/>
    </row>
    <row r="49" spans="1:50" s="165" customFormat="1" ht="11.25" customHeight="1">
      <c r="A49" s="249"/>
      <c r="B49" s="250"/>
      <c r="C49" s="250"/>
      <c r="D49" s="250"/>
      <c r="E49" s="250"/>
      <c r="F49" s="250"/>
      <c r="G49" s="250"/>
      <c r="H49" s="250"/>
      <c r="I49" s="250"/>
      <c r="J49" s="250"/>
      <c r="K49" s="250"/>
      <c r="L49" s="250"/>
      <c r="M49" s="250"/>
      <c r="N49" s="250"/>
      <c r="O49" s="250"/>
      <c r="P49" s="250"/>
      <c r="Q49" s="250"/>
      <c r="R49" s="250"/>
      <c r="S49" s="250"/>
      <c r="T49" s="250"/>
      <c r="U49" s="250"/>
      <c r="V49" s="250"/>
      <c r="W49" s="250"/>
      <c r="X49" s="250"/>
      <c r="Y49" s="250"/>
      <c r="Z49" s="250"/>
      <c r="AA49" s="250"/>
      <c r="AB49" s="250"/>
      <c r="AC49" s="250"/>
      <c r="AD49" s="250"/>
      <c r="AE49" s="250"/>
      <c r="AF49" s="250"/>
      <c r="AG49" s="250"/>
      <c r="AH49" s="250"/>
      <c r="AI49" s="250"/>
      <c r="AJ49" s="250"/>
      <c r="AK49" s="250"/>
      <c r="AL49" s="250"/>
      <c r="AM49" s="250"/>
      <c r="AN49" s="250"/>
      <c r="AO49" s="250"/>
      <c r="AP49" s="250"/>
      <c r="AQ49" s="250"/>
      <c r="AR49" s="250"/>
      <c r="AS49" s="250"/>
      <c r="AT49" s="250"/>
      <c r="AU49" s="250"/>
      <c r="AV49" s="250"/>
      <c r="AW49" s="250"/>
      <c r="AX49" s="251"/>
    </row>
    <row r="50" spans="1:50" s="165" customFormat="1" ht="11.25" customHeight="1">
      <c r="A50" s="249"/>
      <c r="B50" s="250"/>
      <c r="C50" s="250"/>
      <c r="D50" s="250"/>
      <c r="E50" s="250"/>
      <c r="F50" s="250"/>
      <c r="G50" s="250"/>
      <c r="H50" s="250"/>
      <c r="I50" s="250"/>
      <c r="J50" s="250"/>
      <c r="K50" s="250"/>
      <c r="L50" s="250"/>
      <c r="M50" s="250"/>
      <c r="N50" s="250"/>
      <c r="O50" s="250"/>
      <c r="P50" s="250"/>
      <c r="Q50" s="250"/>
      <c r="R50" s="250"/>
      <c r="S50" s="250"/>
      <c r="T50" s="250"/>
      <c r="U50" s="250"/>
      <c r="V50" s="250"/>
      <c r="W50" s="250"/>
      <c r="X50" s="250"/>
      <c r="Y50" s="250"/>
      <c r="Z50" s="250"/>
      <c r="AA50" s="250"/>
      <c r="AB50" s="250"/>
      <c r="AC50" s="250"/>
      <c r="AD50" s="250"/>
      <c r="AE50" s="250"/>
      <c r="AF50" s="250"/>
      <c r="AG50" s="250"/>
      <c r="AH50" s="250"/>
      <c r="AI50" s="250"/>
      <c r="AJ50" s="250"/>
      <c r="AK50" s="250"/>
      <c r="AL50" s="250"/>
      <c r="AM50" s="250"/>
      <c r="AN50" s="250"/>
      <c r="AO50" s="250"/>
      <c r="AP50" s="250"/>
      <c r="AQ50" s="250"/>
      <c r="AR50" s="250"/>
      <c r="AS50" s="250"/>
      <c r="AT50" s="250"/>
      <c r="AU50" s="250"/>
      <c r="AV50" s="250"/>
      <c r="AW50" s="250"/>
      <c r="AX50" s="251"/>
    </row>
    <row r="51" spans="1:50" s="165" customFormat="1" ht="11.25" customHeight="1">
      <c r="A51" s="249"/>
      <c r="B51" s="250"/>
      <c r="C51" s="250"/>
      <c r="D51" s="250"/>
      <c r="E51" s="250"/>
      <c r="F51" s="250"/>
      <c r="G51" s="250"/>
      <c r="H51" s="250"/>
      <c r="I51" s="250"/>
      <c r="J51" s="250"/>
      <c r="K51" s="250"/>
      <c r="L51" s="250"/>
      <c r="M51" s="250"/>
      <c r="N51" s="250"/>
      <c r="O51" s="250"/>
      <c r="P51" s="250"/>
      <c r="Q51" s="250"/>
      <c r="R51" s="250"/>
      <c r="S51" s="250"/>
      <c r="T51" s="250"/>
      <c r="U51" s="250"/>
      <c r="V51" s="250"/>
      <c r="W51" s="250"/>
      <c r="X51" s="250"/>
      <c r="Y51" s="250"/>
      <c r="Z51" s="250"/>
      <c r="AA51" s="250"/>
      <c r="AB51" s="250"/>
      <c r="AC51" s="250"/>
      <c r="AD51" s="250"/>
      <c r="AE51" s="250"/>
      <c r="AF51" s="250"/>
      <c r="AG51" s="250"/>
      <c r="AH51" s="250"/>
      <c r="AI51" s="250"/>
      <c r="AJ51" s="250"/>
      <c r="AK51" s="250"/>
      <c r="AL51" s="250"/>
      <c r="AM51" s="250"/>
      <c r="AN51" s="250"/>
      <c r="AO51" s="250"/>
      <c r="AP51" s="250"/>
      <c r="AQ51" s="250"/>
      <c r="AR51" s="250"/>
      <c r="AS51" s="250"/>
      <c r="AT51" s="250"/>
      <c r="AU51" s="250"/>
      <c r="AV51" s="250"/>
      <c r="AW51" s="250"/>
      <c r="AX51" s="251"/>
    </row>
    <row r="52" spans="1:50" s="165" customFormat="1" ht="11.25" customHeight="1" thickBot="1">
      <c r="A52" s="255"/>
      <c r="B52" s="256"/>
      <c r="C52" s="256"/>
      <c r="D52" s="256"/>
      <c r="E52" s="256"/>
      <c r="F52" s="256"/>
      <c r="G52" s="256"/>
      <c r="H52" s="256"/>
      <c r="I52" s="256"/>
      <c r="J52" s="256"/>
      <c r="K52" s="256"/>
      <c r="L52" s="256"/>
      <c r="M52" s="256"/>
      <c r="N52" s="256"/>
      <c r="O52" s="256"/>
      <c r="P52" s="256"/>
      <c r="Q52" s="256"/>
      <c r="R52" s="256"/>
      <c r="S52" s="256"/>
      <c r="T52" s="256"/>
      <c r="U52" s="256"/>
      <c r="V52" s="256"/>
      <c r="W52" s="256"/>
      <c r="X52" s="256"/>
      <c r="Y52" s="256"/>
      <c r="Z52" s="256"/>
      <c r="AA52" s="256"/>
      <c r="AB52" s="256"/>
      <c r="AC52" s="256"/>
      <c r="AD52" s="256"/>
      <c r="AE52" s="256"/>
      <c r="AF52" s="256"/>
      <c r="AG52" s="256"/>
      <c r="AH52" s="256"/>
      <c r="AI52" s="256"/>
      <c r="AJ52" s="256"/>
      <c r="AK52" s="256"/>
      <c r="AL52" s="256"/>
      <c r="AM52" s="256"/>
      <c r="AN52" s="256"/>
      <c r="AO52" s="256"/>
      <c r="AP52" s="256"/>
      <c r="AQ52" s="256"/>
      <c r="AR52" s="256"/>
      <c r="AS52" s="256"/>
      <c r="AT52" s="256"/>
      <c r="AU52" s="256"/>
      <c r="AV52" s="256"/>
      <c r="AW52" s="256"/>
      <c r="AX52" s="257"/>
    </row>
    <row r="53" spans="1:50" s="165" customFormat="1" ht="11.25" customHeight="1"/>
    <row r="54" spans="1:50" s="165" customFormat="1" ht="11.25" customHeight="1"/>
  </sheetData>
  <mergeCells count="26">
    <mergeCell ref="AW5:AX5"/>
    <mergeCell ref="AM2:AP2"/>
    <mergeCell ref="AQ2:AT2"/>
    <mergeCell ref="AU2:AX3"/>
    <mergeCell ref="H3:K3"/>
    <mergeCell ref="L3:R3"/>
    <mergeCell ref="S3:V3"/>
    <mergeCell ref="W3:AL3"/>
    <mergeCell ref="AM3:AP3"/>
    <mergeCell ref="AQ3:AT3"/>
    <mergeCell ref="AH1:AL1"/>
    <mergeCell ref="AM1:AP1"/>
    <mergeCell ref="AQ1:AT1"/>
    <mergeCell ref="AU1:AX1"/>
    <mergeCell ref="H2:K2"/>
    <mergeCell ref="L2:R2"/>
    <mergeCell ref="S2:V2"/>
    <mergeCell ref="W2:AC2"/>
    <mergeCell ref="AD2:AG2"/>
    <mergeCell ref="AH2:AL2"/>
    <mergeCell ref="AD1:AG1"/>
    <mergeCell ref="A1:G3"/>
    <mergeCell ref="H1:K1"/>
    <mergeCell ref="L1:R1"/>
    <mergeCell ref="S1:V1"/>
    <mergeCell ref="W1:AC1"/>
  </mergeCells>
  <phoneticPr fontId="1"/>
  <dataValidations count="1">
    <dataValidation imeMode="off" allowBlank="1" showInputMessage="1" showErrorMessage="1" sqref="AW6:AX6"/>
  </dataValidations>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CFF"/>
    <pageSetUpPr fitToPage="1"/>
  </sheetPr>
  <dimension ref="A1:AX122"/>
  <sheetViews>
    <sheetView showGridLines="0" topLeftCell="A73" zoomScaleNormal="100" zoomScaleSheetLayoutView="100" workbookViewId="0">
      <selection activeCell="E15" sqref="E15"/>
    </sheetView>
  </sheetViews>
  <sheetFormatPr defaultRowHeight="11.25"/>
  <cols>
    <col min="1" max="50" width="3.33203125" style="62" customWidth="1"/>
    <col min="51" max="51" width="1.5" style="62" customWidth="1"/>
    <col min="52" max="246" width="9.33203125" style="62"/>
    <col min="247" max="296" width="3.33203125" style="62" customWidth="1"/>
    <col min="297" max="297" width="1.5" style="62" customWidth="1"/>
    <col min="298" max="502" width="9.33203125" style="62"/>
    <col min="503" max="552" width="3.33203125" style="62" customWidth="1"/>
    <col min="553" max="553" width="1.5" style="62" customWidth="1"/>
    <col min="554" max="758" width="9.33203125" style="62"/>
    <col min="759" max="808" width="3.33203125" style="62" customWidth="1"/>
    <col min="809" max="809" width="1.5" style="62" customWidth="1"/>
    <col min="810" max="1014" width="9.33203125" style="62"/>
    <col min="1015" max="1064" width="3.33203125" style="62" customWidth="1"/>
    <col min="1065" max="1065" width="1.5" style="62" customWidth="1"/>
    <col min="1066" max="1270" width="9.33203125" style="62"/>
    <col min="1271" max="1320" width="3.33203125" style="62" customWidth="1"/>
    <col min="1321" max="1321" width="1.5" style="62" customWidth="1"/>
    <col min="1322" max="1526" width="9.33203125" style="62"/>
    <col min="1527" max="1576" width="3.33203125" style="62" customWidth="1"/>
    <col min="1577" max="1577" width="1.5" style="62" customWidth="1"/>
    <col min="1578" max="1782" width="9.33203125" style="62"/>
    <col min="1783" max="1832" width="3.33203125" style="62" customWidth="1"/>
    <col min="1833" max="1833" width="1.5" style="62" customWidth="1"/>
    <col min="1834" max="2038" width="9.33203125" style="62"/>
    <col min="2039" max="2088" width="3.33203125" style="62" customWidth="1"/>
    <col min="2089" max="2089" width="1.5" style="62" customWidth="1"/>
    <col min="2090" max="2294" width="9.33203125" style="62"/>
    <col min="2295" max="2344" width="3.33203125" style="62" customWidth="1"/>
    <col min="2345" max="2345" width="1.5" style="62" customWidth="1"/>
    <col min="2346" max="2550" width="9.33203125" style="62"/>
    <col min="2551" max="2600" width="3.33203125" style="62" customWidth="1"/>
    <col min="2601" max="2601" width="1.5" style="62" customWidth="1"/>
    <col min="2602" max="2806" width="9.33203125" style="62"/>
    <col min="2807" max="2856" width="3.33203125" style="62" customWidth="1"/>
    <col min="2857" max="2857" width="1.5" style="62" customWidth="1"/>
    <col min="2858" max="3062" width="9.33203125" style="62"/>
    <col min="3063" max="3112" width="3.33203125" style="62" customWidth="1"/>
    <col min="3113" max="3113" width="1.5" style="62" customWidth="1"/>
    <col min="3114" max="3318" width="9.33203125" style="62"/>
    <col min="3319" max="3368" width="3.33203125" style="62" customWidth="1"/>
    <col min="3369" max="3369" width="1.5" style="62" customWidth="1"/>
    <col min="3370" max="3574" width="9.33203125" style="62"/>
    <col min="3575" max="3624" width="3.33203125" style="62" customWidth="1"/>
    <col min="3625" max="3625" width="1.5" style="62" customWidth="1"/>
    <col min="3626" max="3830" width="9.33203125" style="62"/>
    <col min="3831" max="3880" width="3.33203125" style="62" customWidth="1"/>
    <col min="3881" max="3881" width="1.5" style="62" customWidth="1"/>
    <col min="3882" max="4086" width="9.33203125" style="62"/>
    <col min="4087" max="4136" width="3.33203125" style="62" customWidth="1"/>
    <col min="4137" max="4137" width="1.5" style="62" customWidth="1"/>
    <col min="4138" max="4342" width="9.33203125" style="62"/>
    <col min="4343" max="4392" width="3.33203125" style="62" customWidth="1"/>
    <col min="4393" max="4393" width="1.5" style="62" customWidth="1"/>
    <col min="4394" max="4598" width="9.33203125" style="62"/>
    <col min="4599" max="4648" width="3.33203125" style="62" customWidth="1"/>
    <col min="4649" max="4649" width="1.5" style="62" customWidth="1"/>
    <col min="4650" max="4854" width="9.33203125" style="62"/>
    <col min="4855" max="4904" width="3.33203125" style="62" customWidth="1"/>
    <col min="4905" max="4905" width="1.5" style="62" customWidth="1"/>
    <col min="4906" max="5110" width="9.33203125" style="62"/>
    <col min="5111" max="5160" width="3.33203125" style="62" customWidth="1"/>
    <col min="5161" max="5161" width="1.5" style="62" customWidth="1"/>
    <col min="5162" max="5366" width="9.33203125" style="62"/>
    <col min="5367" max="5416" width="3.33203125" style="62" customWidth="1"/>
    <col min="5417" max="5417" width="1.5" style="62" customWidth="1"/>
    <col min="5418" max="5622" width="9.33203125" style="62"/>
    <col min="5623" max="5672" width="3.33203125" style="62" customWidth="1"/>
    <col min="5673" max="5673" width="1.5" style="62" customWidth="1"/>
    <col min="5674" max="5878" width="9.33203125" style="62"/>
    <col min="5879" max="5928" width="3.33203125" style="62" customWidth="1"/>
    <col min="5929" max="5929" width="1.5" style="62" customWidth="1"/>
    <col min="5930" max="6134" width="9.33203125" style="62"/>
    <col min="6135" max="6184" width="3.33203125" style="62" customWidth="1"/>
    <col min="6185" max="6185" width="1.5" style="62" customWidth="1"/>
    <col min="6186" max="6390" width="9.33203125" style="62"/>
    <col min="6391" max="6440" width="3.33203125" style="62" customWidth="1"/>
    <col min="6441" max="6441" width="1.5" style="62" customWidth="1"/>
    <col min="6442" max="6646" width="9.33203125" style="62"/>
    <col min="6647" max="6696" width="3.33203125" style="62" customWidth="1"/>
    <col min="6697" max="6697" width="1.5" style="62" customWidth="1"/>
    <col min="6698" max="6902" width="9.33203125" style="62"/>
    <col min="6903" max="6952" width="3.33203125" style="62" customWidth="1"/>
    <col min="6953" max="6953" width="1.5" style="62" customWidth="1"/>
    <col min="6954" max="7158" width="9.33203125" style="62"/>
    <col min="7159" max="7208" width="3.33203125" style="62" customWidth="1"/>
    <col min="7209" max="7209" width="1.5" style="62" customWidth="1"/>
    <col min="7210" max="7414" width="9.33203125" style="62"/>
    <col min="7415" max="7464" width="3.33203125" style="62" customWidth="1"/>
    <col min="7465" max="7465" width="1.5" style="62" customWidth="1"/>
    <col min="7466" max="7670" width="9.33203125" style="62"/>
    <col min="7671" max="7720" width="3.33203125" style="62" customWidth="1"/>
    <col min="7721" max="7721" width="1.5" style="62" customWidth="1"/>
    <col min="7722" max="7926" width="9.33203125" style="62"/>
    <col min="7927" max="7976" width="3.33203125" style="62" customWidth="1"/>
    <col min="7977" max="7977" width="1.5" style="62" customWidth="1"/>
    <col min="7978" max="8182" width="9.33203125" style="62"/>
    <col min="8183" max="8232" width="3.33203125" style="62" customWidth="1"/>
    <col min="8233" max="8233" width="1.5" style="62" customWidth="1"/>
    <col min="8234" max="8438" width="9.33203125" style="62"/>
    <col min="8439" max="8488" width="3.33203125" style="62" customWidth="1"/>
    <col min="8489" max="8489" width="1.5" style="62" customWidth="1"/>
    <col min="8490" max="8694" width="9.33203125" style="62"/>
    <col min="8695" max="8744" width="3.33203125" style="62" customWidth="1"/>
    <col min="8745" max="8745" width="1.5" style="62" customWidth="1"/>
    <col min="8746" max="8950" width="9.33203125" style="62"/>
    <col min="8951" max="9000" width="3.33203125" style="62" customWidth="1"/>
    <col min="9001" max="9001" width="1.5" style="62" customWidth="1"/>
    <col min="9002" max="9206" width="9.33203125" style="62"/>
    <col min="9207" max="9256" width="3.33203125" style="62" customWidth="1"/>
    <col min="9257" max="9257" width="1.5" style="62" customWidth="1"/>
    <col min="9258" max="9462" width="9.33203125" style="62"/>
    <col min="9463" max="9512" width="3.33203125" style="62" customWidth="1"/>
    <col min="9513" max="9513" width="1.5" style="62" customWidth="1"/>
    <col min="9514" max="9718" width="9.33203125" style="62"/>
    <col min="9719" max="9768" width="3.33203125" style="62" customWidth="1"/>
    <col min="9769" max="9769" width="1.5" style="62" customWidth="1"/>
    <col min="9770" max="9974" width="9.33203125" style="62"/>
    <col min="9975" max="10024" width="3.33203125" style="62" customWidth="1"/>
    <col min="10025" max="10025" width="1.5" style="62" customWidth="1"/>
    <col min="10026" max="10230" width="9.33203125" style="62"/>
    <col min="10231" max="10280" width="3.33203125" style="62" customWidth="1"/>
    <col min="10281" max="10281" width="1.5" style="62" customWidth="1"/>
    <col min="10282" max="10486" width="9.33203125" style="62"/>
    <col min="10487" max="10536" width="3.33203125" style="62" customWidth="1"/>
    <col min="10537" max="10537" width="1.5" style="62" customWidth="1"/>
    <col min="10538" max="10742" width="9.33203125" style="62"/>
    <col min="10743" max="10792" width="3.33203125" style="62" customWidth="1"/>
    <col min="10793" max="10793" width="1.5" style="62" customWidth="1"/>
    <col min="10794" max="10998" width="9.33203125" style="62"/>
    <col min="10999" max="11048" width="3.33203125" style="62" customWidth="1"/>
    <col min="11049" max="11049" width="1.5" style="62" customWidth="1"/>
    <col min="11050" max="11254" width="9.33203125" style="62"/>
    <col min="11255" max="11304" width="3.33203125" style="62" customWidth="1"/>
    <col min="11305" max="11305" width="1.5" style="62" customWidth="1"/>
    <col min="11306" max="11510" width="9.33203125" style="62"/>
    <col min="11511" max="11560" width="3.33203125" style="62" customWidth="1"/>
    <col min="11561" max="11561" width="1.5" style="62" customWidth="1"/>
    <col min="11562" max="11766" width="9.33203125" style="62"/>
    <col min="11767" max="11816" width="3.33203125" style="62" customWidth="1"/>
    <col min="11817" max="11817" width="1.5" style="62" customWidth="1"/>
    <col min="11818" max="12022" width="9.33203125" style="62"/>
    <col min="12023" max="12072" width="3.33203125" style="62" customWidth="1"/>
    <col min="12073" max="12073" width="1.5" style="62" customWidth="1"/>
    <col min="12074" max="12278" width="9.33203125" style="62"/>
    <col min="12279" max="12328" width="3.33203125" style="62" customWidth="1"/>
    <col min="12329" max="12329" width="1.5" style="62" customWidth="1"/>
    <col min="12330" max="12534" width="9.33203125" style="62"/>
    <col min="12535" max="12584" width="3.33203125" style="62" customWidth="1"/>
    <col min="12585" max="12585" width="1.5" style="62" customWidth="1"/>
    <col min="12586" max="12790" width="9.33203125" style="62"/>
    <col min="12791" max="12840" width="3.33203125" style="62" customWidth="1"/>
    <col min="12841" max="12841" width="1.5" style="62" customWidth="1"/>
    <col min="12842" max="13046" width="9.33203125" style="62"/>
    <col min="13047" max="13096" width="3.33203125" style="62" customWidth="1"/>
    <col min="13097" max="13097" width="1.5" style="62" customWidth="1"/>
    <col min="13098" max="13302" width="9.33203125" style="62"/>
    <col min="13303" max="13352" width="3.33203125" style="62" customWidth="1"/>
    <col min="13353" max="13353" width="1.5" style="62" customWidth="1"/>
    <col min="13354" max="13558" width="9.33203125" style="62"/>
    <col min="13559" max="13608" width="3.33203125" style="62" customWidth="1"/>
    <col min="13609" max="13609" width="1.5" style="62" customWidth="1"/>
    <col min="13610" max="13814" width="9.33203125" style="62"/>
    <col min="13815" max="13864" width="3.33203125" style="62" customWidth="1"/>
    <col min="13865" max="13865" width="1.5" style="62" customWidth="1"/>
    <col min="13866" max="14070" width="9.33203125" style="62"/>
    <col min="14071" max="14120" width="3.33203125" style="62" customWidth="1"/>
    <col min="14121" max="14121" width="1.5" style="62" customWidth="1"/>
    <col min="14122" max="14326" width="9.33203125" style="62"/>
    <col min="14327" max="14376" width="3.33203125" style="62" customWidth="1"/>
    <col min="14377" max="14377" width="1.5" style="62" customWidth="1"/>
    <col min="14378" max="14582" width="9.33203125" style="62"/>
    <col min="14583" max="14632" width="3.33203125" style="62" customWidth="1"/>
    <col min="14633" max="14633" width="1.5" style="62" customWidth="1"/>
    <col min="14634" max="14838" width="9.33203125" style="62"/>
    <col min="14839" max="14888" width="3.33203125" style="62" customWidth="1"/>
    <col min="14889" max="14889" width="1.5" style="62" customWidth="1"/>
    <col min="14890" max="15094" width="9.33203125" style="62"/>
    <col min="15095" max="15144" width="3.33203125" style="62" customWidth="1"/>
    <col min="15145" max="15145" width="1.5" style="62" customWidth="1"/>
    <col min="15146" max="15350" width="9.33203125" style="62"/>
    <col min="15351" max="15400" width="3.33203125" style="62" customWidth="1"/>
    <col min="15401" max="15401" width="1.5" style="62" customWidth="1"/>
    <col min="15402" max="15606" width="9.33203125" style="62"/>
    <col min="15607" max="15656" width="3.33203125" style="62" customWidth="1"/>
    <col min="15657" max="15657" width="1.5" style="62" customWidth="1"/>
    <col min="15658" max="15862" width="9.33203125" style="62"/>
    <col min="15863" max="15912" width="3.33203125" style="62" customWidth="1"/>
    <col min="15913" max="15913" width="1.5" style="62" customWidth="1"/>
    <col min="15914" max="16118" width="9.33203125" style="62"/>
    <col min="16119" max="16168" width="3.33203125" style="62" customWidth="1"/>
    <col min="16169" max="16169" width="1.5" style="62" customWidth="1"/>
    <col min="16170" max="16384" width="9.33203125" style="62"/>
  </cols>
  <sheetData>
    <row r="1" spans="1:50" ht="14.25">
      <c r="A1" s="311" t="s">
        <v>59</v>
      </c>
      <c r="B1" s="312"/>
      <c r="C1" s="312"/>
      <c r="D1" s="312"/>
      <c r="E1" s="312"/>
      <c r="F1" s="312"/>
      <c r="G1" s="313"/>
      <c r="H1" s="320" t="s">
        <v>2</v>
      </c>
      <c r="I1" s="321"/>
      <c r="J1" s="321"/>
      <c r="K1" s="322"/>
      <c r="L1" s="323" t="str">
        <f>IF(顧客名="","",顧客名)</f>
        <v>株式会社XXXX殿</v>
      </c>
      <c r="M1" s="324"/>
      <c r="N1" s="324"/>
      <c r="O1" s="324"/>
      <c r="P1" s="324"/>
      <c r="Q1" s="324"/>
      <c r="R1" s="325"/>
      <c r="S1" s="326" t="s">
        <v>60</v>
      </c>
      <c r="T1" s="321"/>
      <c r="U1" s="321"/>
      <c r="V1" s="322"/>
      <c r="W1" s="323" t="str">
        <f>IF(システム="","",システム)</f>
        <v>mcframe7</v>
      </c>
      <c r="X1" s="324"/>
      <c r="Y1" s="324"/>
      <c r="Z1" s="324"/>
      <c r="AA1" s="324"/>
      <c r="AB1" s="324"/>
      <c r="AC1" s="325"/>
      <c r="AD1" s="333" t="s">
        <v>7</v>
      </c>
      <c r="AE1" s="334"/>
      <c r="AF1" s="334"/>
      <c r="AG1" s="343"/>
      <c r="AH1" s="344" t="str">
        <f>IF(作成者="","",作成者)</f>
        <v>XX</v>
      </c>
      <c r="AI1" s="345"/>
      <c r="AJ1" s="345"/>
      <c r="AK1" s="345"/>
      <c r="AL1" s="346"/>
      <c r="AM1" s="333" t="s">
        <v>8</v>
      </c>
      <c r="AN1" s="334"/>
      <c r="AO1" s="334"/>
      <c r="AP1" s="343"/>
      <c r="AQ1" s="347">
        <f>IF(作成日="","",作成日)</f>
        <v>42902</v>
      </c>
      <c r="AR1" s="348"/>
      <c r="AS1" s="348"/>
      <c r="AT1" s="349"/>
      <c r="AU1" s="333" t="s">
        <v>0</v>
      </c>
      <c r="AV1" s="334"/>
      <c r="AW1" s="334"/>
      <c r="AX1" s="335"/>
    </row>
    <row r="2" spans="1:50" ht="14.25">
      <c r="A2" s="314"/>
      <c r="B2" s="315"/>
      <c r="C2" s="315"/>
      <c r="D2" s="315"/>
      <c r="E2" s="315"/>
      <c r="F2" s="315"/>
      <c r="G2" s="316"/>
      <c r="H2" s="336" t="s">
        <v>61</v>
      </c>
      <c r="I2" s="337"/>
      <c r="J2" s="337"/>
      <c r="K2" s="338"/>
      <c r="L2" s="339" t="str">
        <f>IF(プロジェクト名="","",プロジェクト名)</f>
        <v/>
      </c>
      <c r="M2" s="340"/>
      <c r="N2" s="340"/>
      <c r="O2" s="340"/>
      <c r="P2" s="340"/>
      <c r="Q2" s="340"/>
      <c r="R2" s="341"/>
      <c r="S2" s="342" t="s">
        <v>62</v>
      </c>
      <c r="T2" s="337"/>
      <c r="U2" s="337"/>
      <c r="V2" s="338"/>
      <c r="W2" s="339" t="str">
        <f>IF(サブシステム="","",サブシステム)</f>
        <v>SCM</v>
      </c>
      <c r="X2" s="340"/>
      <c r="Y2" s="340"/>
      <c r="Z2" s="340"/>
      <c r="AA2" s="340"/>
      <c r="AB2" s="340"/>
      <c r="AC2" s="341"/>
      <c r="AD2" s="350" t="s">
        <v>9</v>
      </c>
      <c r="AE2" s="351"/>
      <c r="AF2" s="351"/>
      <c r="AG2" s="352"/>
      <c r="AH2" s="353" t="str">
        <f>IF(修正者="","",修正者)</f>
        <v>XX</v>
      </c>
      <c r="AI2" s="354"/>
      <c r="AJ2" s="354"/>
      <c r="AK2" s="354"/>
      <c r="AL2" s="355"/>
      <c r="AM2" s="356" t="s">
        <v>10</v>
      </c>
      <c r="AN2" s="357"/>
      <c r="AO2" s="357"/>
      <c r="AP2" s="358"/>
      <c r="AQ2" s="359">
        <f>IF(修正日="","",修正日)</f>
        <v>43007</v>
      </c>
      <c r="AR2" s="360"/>
      <c r="AS2" s="360"/>
      <c r="AT2" s="360"/>
      <c r="AU2" s="361" t="str">
        <f>IF(文書番号="","",文書番号)</f>
        <v/>
      </c>
      <c r="AV2" s="362"/>
      <c r="AW2" s="362"/>
      <c r="AX2" s="363"/>
    </row>
    <row r="3" spans="1:50" ht="15" thickBot="1">
      <c r="A3" s="317"/>
      <c r="B3" s="318"/>
      <c r="C3" s="318"/>
      <c r="D3" s="318"/>
      <c r="E3" s="318"/>
      <c r="F3" s="318"/>
      <c r="G3" s="319"/>
      <c r="H3" s="327" t="s">
        <v>12</v>
      </c>
      <c r="I3" s="327"/>
      <c r="J3" s="327"/>
      <c r="K3" s="328"/>
      <c r="L3" s="305" t="str">
        <f>IF(機能ID="","",機能ID)</f>
        <v>MSBELA6700</v>
      </c>
      <c r="M3" s="329"/>
      <c r="N3" s="329"/>
      <c r="O3" s="329"/>
      <c r="P3" s="329"/>
      <c r="Q3" s="329"/>
      <c r="R3" s="329"/>
      <c r="S3" s="330" t="s">
        <v>13</v>
      </c>
      <c r="T3" s="327"/>
      <c r="U3" s="327"/>
      <c r="V3" s="328"/>
      <c r="W3" s="305" t="str">
        <f>IF(機能名="","",機能名)</f>
        <v>棚札情報作成サービス</v>
      </c>
      <c r="X3" s="306"/>
      <c r="Y3" s="306"/>
      <c r="Z3" s="306"/>
      <c r="AA3" s="306"/>
      <c r="AB3" s="306"/>
      <c r="AC3" s="306"/>
      <c r="AD3" s="306"/>
      <c r="AE3" s="306"/>
      <c r="AF3" s="306"/>
      <c r="AG3" s="306"/>
      <c r="AH3" s="306"/>
      <c r="AI3" s="306"/>
      <c r="AJ3" s="306"/>
      <c r="AK3" s="306"/>
      <c r="AL3" s="307"/>
      <c r="AM3" s="308" t="s">
        <v>11</v>
      </c>
      <c r="AN3" s="309"/>
      <c r="AO3" s="309"/>
      <c r="AP3" s="310"/>
      <c r="AQ3" s="302" t="str">
        <f>IF(Rev="","",Rev)</f>
        <v>r02.00</v>
      </c>
      <c r="AR3" s="303"/>
      <c r="AS3" s="303"/>
      <c r="AT3" s="304"/>
      <c r="AU3" s="364"/>
      <c r="AV3" s="365"/>
      <c r="AW3" s="365"/>
      <c r="AX3" s="366"/>
    </row>
    <row r="4" spans="1:50" ht="12" thickBot="1">
      <c r="A4" s="63"/>
      <c r="B4" s="64"/>
      <c r="C4" s="64"/>
      <c r="D4" s="64"/>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c r="AT4" s="64"/>
      <c r="AU4" s="64"/>
      <c r="AV4" s="64"/>
      <c r="AW4" s="64"/>
      <c r="AX4" s="65"/>
    </row>
    <row r="5" spans="1:50" s="3" customFormat="1" ht="12.75" thickBot="1">
      <c r="A5" s="66" t="s">
        <v>44</v>
      </c>
      <c r="B5" s="416" t="s">
        <v>52</v>
      </c>
      <c r="C5" s="417"/>
      <c r="D5" s="67" t="s">
        <v>28</v>
      </c>
      <c r="E5" s="67"/>
      <c r="F5" s="67"/>
      <c r="G5" s="67"/>
      <c r="H5" s="67"/>
      <c r="I5" s="67"/>
      <c r="J5" s="67"/>
      <c r="K5" s="68"/>
      <c r="L5" s="67" t="s">
        <v>31</v>
      </c>
      <c r="M5" s="67"/>
      <c r="N5" s="67"/>
      <c r="O5" s="67"/>
      <c r="P5" s="67"/>
      <c r="Q5" s="67"/>
      <c r="R5" s="67"/>
      <c r="S5" s="67"/>
      <c r="T5" s="67"/>
      <c r="U5" s="67"/>
      <c r="V5" s="67"/>
      <c r="W5" s="67"/>
      <c r="X5" s="67"/>
      <c r="Y5" s="67"/>
      <c r="Z5" s="67"/>
      <c r="AA5" s="67"/>
      <c r="AB5" s="67"/>
      <c r="AC5" s="67"/>
      <c r="AD5" s="67"/>
      <c r="AE5" s="67"/>
      <c r="AF5" s="67"/>
      <c r="AG5" s="67"/>
      <c r="AH5" s="67"/>
      <c r="AI5" s="67"/>
      <c r="AJ5" s="67"/>
      <c r="AK5" s="67"/>
      <c r="AL5" s="67"/>
      <c r="AM5" s="67"/>
      <c r="AN5" s="67"/>
      <c r="AO5" s="67"/>
      <c r="AP5" s="68"/>
      <c r="AQ5" s="67" t="s">
        <v>32</v>
      </c>
      <c r="AR5" s="67"/>
      <c r="AS5" s="67"/>
      <c r="AT5" s="67"/>
      <c r="AU5" s="67"/>
      <c r="AV5" s="67"/>
      <c r="AW5" s="67"/>
      <c r="AX5" s="69"/>
    </row>
    <row r="6" spans="1:50" s="3" customFormat="1" ht="12.75" thickTop="1">
      <c r="A6" s="19">
        <v>1</v>
      </c>
      <c r="B6" s="20" t="s">
        <v>119</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2"/>
    </row>
    <row r="7" spans="1:50" s="3" customFormat="1" ht="12">
      <c r="A7" s="14"/>
      <c r="B7" s="163"/>
      <c r="C7" s="164"/>
      <c r="D7" s="15"/>
      <c r="E7" s="15"/>
      <c r="F7" s="15"/>
      <c r="G7" s="15"/>
      <c r="H7" s="15"/>
      <c r="I7" s="15"/>
      <c r="J7" s="15"/>
      <c r="K7" s="15"/>
      <c r="L7" s="132"/>
      <c r="M7" s="131"/>
      <c r="N7" s="133"/>
      <c r="O7" s="134"/>
      <c r="P7" s="134"/>
      <c r="Q7" s="134"/>
      <c r="R7" s="134"/>
      <c r="S7" s="134"/>
      <c r="T7" s="134"/>
      <c r="U7" s="134"/>
      <c r="V7" s="134"/>
      <c r="W7" s="134"/>
      <c r="X7" s="134"/>
      <c r="Y7" s="134"/>
      <c r="Z7" s="134"/>
      <c r="AA7" s="134"/>
      <c r="AB7" s="134"/>
      <c r="AC7" s="134"/>
      <c r="AD7" s="134"/>
      <c r="AE7" s="134"/>
      <c r="AF7" s="134"/>
      <c r="AG7" s="134"/>
      <c r="AH7" s="134"/>
      <c r="AI7" s="134"/>
      <c r="AJ7" s="134"/>
      <c r="AK7" s="134"/>
      <c r="AL7" s="134"/>
      <c r="AM7" s="134"/>
      <c r="AN7" s="134"/>
      <c r="AO7" s="134"/>
      <c r="AP7" s="135"/>
      <c r="AQ7" s="144"/>
      <c r="AR7" s="15"/>
      <c r="AS7" s="15"/>
      <c r="AT7" s="15"/>
      <c r="AU7" s="15"/>
      <c r="AV7" s="15"/>
      <c r="AW7" s="15"/>
      <c r="AX7" s="18"/>
    </row>
    <row r="8" spans="1:50" s="3" customFormat="1" ht="12">
      <c r="A8" s="14"/>
      <c r="B8" s="163"/>
      <c r="C8" s="164"/>
      <c r="D8" s="15"/>
      <c r="E8" s="15"/>
      <c r="F8" s="15"/>
      <c r="G8" s="15"/>
      <c r="H8" s="15"/>
      <c r="I8" s="15"/>
      <c r="J8" s="15"/>
      <c r="K8" s="15"/>
      <c r="L8" s="132"/>
      <c r="M8" s="131"/>
      <c r="N8" s="133"/>
      <c r="O8" s="134"/>
      <c r="P8" s="134"/>
      <c r="Q8" s="134"/>
      <c r="R8" s="134"/>
      <c r="S8" s="134"/>
      <c r="T8" s="134"/>
      <c r="U8" s="134"/>
      <c r="V8" s="134"/>
      <c r="W8" s="134"/>
      <c r="X8" s="134"/>
      <c r="Y8" s="134"/>
      <c r="Z8" s="134"/>
      <c r="AA8" s="134"/>
      <c r="AB8" s="134"/>
      <c r="AC8" s="134"/>
      <c r="AD8" s="134"/>
      <c r="AE8" s="134"/>
      <c r="AF8" s="134"/>
      <c r="AG8" s="134"/>
      <c r="AH8" s="134"/>
      <c r="AI8" s="134"/>
      <c r="AJ8" s="134"/>
      <c r="AK8" s="134"/>
      <c r="AL8" s="134"/>
      <c r="AM8" s="134"/>
      <c r="AN8" s="134"/>
      <c r="AO8" s="134"/>
      <c r="AP8" s="135"/>
      <c r="AQ8" s="144"/>
      <c r="AR8" s="15"/>
      <c r="AS8" s="15"/>
      <c r="AT8" s="15"/>
      <c r="AU8" s="15"/>
      <c r="AV8" s="15"/>
      <c r="AW8" s="15"/>
      <c r="AX8" s="18"/>
    </row>
    <row r="9" spans="1:50" s="3" customFormat="1" ht="12">
      <c r="A9" s="14"/>
      <c r="B9" s="163"/>
      <c r="C9" s="164"/>
      <c r="D9" s="15"/>
      <c r="E9" s="15"/>
      <c r="F9" s="15"/>
      <c r="G9" s="15"/>
      <c r="H9" s="15"/>
      <c r="I9" s="15"/>
      <c r="J9" s="15"/>
      <c r="K9" s="15"/>
      <c r="L9" s="132"/>
      <c r="M9" s="131"/>
      <c r="N9" s="133"/>
      <c r="O9" s="134"/>
      <c r="P9" s="134"/>
      <c r="Q9" s="134"/>
      <c r="R9" s="134"/>
      <c r="S9" s="134"/>
      <c r="T9" s="134"/>
      <c r="U9" s="134"/>
      <c r="V9" s="134"/>
      <c r="W9" s="134"/>
      <c r="X9" s="134"/>
      <c r="Y9" s="134"/>
      <c r="Z9" s="134"/>
      <c r="AA9" s="134"/>
      <c r="AB9" s="134"/>
      <c r="AC9" s="134"/>
      <c r="AD9" s="134"/>
      <c r="AE9" s="134"/>
      <c r="AF9" s="134"/>
      <c r="AG9" s="134"/>
      <c r="AH9" s="134"/>
      <c r="AI9" s="134"/>
      <c r="AJ9" s="134"/>
      <c r="AK9" s="134"/>
      <c r="AL9" s="134"/>
      <c r="AM9" s="134"/>
      <c r="AN9" s="134"/>
      <c r="AO9" s="134"/>
      <c r="AP9" s="135"/>
      <c r="AQ9" s="144"/>
      <c r="AR9" s="15"/>
      <c r="AS9" s="15"/>
      <c r="AT9" s="15"/>
      <c r="AU9" s="15"/>
      <c r="AV9" s="15"/>
      <c r="AW9" s="15"/>
      <c r="AX9" s="18"/>
    </row>
    <row r="10" spans="1:50" s="3" customFormat="1" ht="12">
      <c r="A10" s="14"/>
      <c r="B10" s="163"/>
      <c r="C10" s="164"/>
      <c r="D10" s="15"/>
      <c r="E10" s="15"/>
      <c r="F10" s="15"/>
      <c r="G10" s="15"/>
      <c r="H10" s="15"/>
      <c r="I10" s="15"/>
      <c r="J10" s="15"/>
      <c r="K10" s="15"/>
      <c r="L10" s="132"/>
      <c r="M10" s="131"/>
      <c r="N10" s="133"/>
      <c r="O10" s="134"/>
      <c r="P10" s="134"/>
      <c r="Q10" s="134"/>
      <c r="R10" s="134"/>
      <c r="S10" s="134"/>
      <c r="T10" s="134"/>
      <c r="U10" s="134"/>
      <c r="V10" s="134"/>
      <c r="W10" s="134"/>
      <c r="X10" s="134"/>
      <c r="Y10" s="134"/>
      <c r="Z10" s="134"/>
      <c r="AA10" s="134"/>
      <c r="AB10" s="134"/>
      <c r="AC10" s="134"/>
      <c r="AD10" s="134"/>
      <c r="AE10" s="134"/>
      <c r="AF10" s="134"/>
      <c r="AG10" s="134"/>
      <c r="AH10" s="134"/>
      <c r="AI10" s="134"/>
      <c r="AJ10" s="134"/>
      <c r="AK10" s="134"/>
      <c r="AL10" s="134"/>
      <c r="AM10" s="134"/>
      <c r="AN10" s="134"/>
      <c r="AO10" s="134"/>
      <c r="AP10" s="135"/>
      <c r="AQ10" s="144"/>
      <c r="AR10" s="15"/>
      <c r="AS10" s="15"/>
      <c r="AT10" s="15"/>
      <c r="AU10" s="15"/>
      <c r="AV10" s="15"/>
      <c r="AW10" s="15"/>
      <c r="AX10" s="18"/>
    </row>
    <row r="11" spans="1:50" s="3" customFormat="1" ht="12">
      <c r="A11" s="14"/>
      <c r="B11" s="163"/>
      <c r="C11" s="164"/>
      <c r="D11" s="15"/>
      <c r="E11" s="15"/>
      <c r="F11" s="15"/>
      <c r="G11" s="15"/>
      <c r="H11" s="15"/>
      <c r="I11" s="15"/>
      <c r="J11" s="15"/>
      <c r="K11" s="15"/>
      <c r="L11" s="132"/>
      <c r="M11" s="131"/>
      <c r="N11" s="133"/>
      <c r="O11" s="134"/>
      <c r="P11" s="134"/>
      <c r="Q11" s="134"/>
      <c r="R11" s="134"/>
      <c r="S11" s="134"/>
      <c r="T11" s="134"/>
      <c r="U11" s="134"/>
      <c r="V11" s="134"/>
      <c r="W11" s="134"/>
      <c r="X11" s="134"/>
      <c r="Y11" s="134"/>
      <c r="Z11" s="134"/>
      <c r="AA11" s="134"/>
      <c r="AB11" s="134"/>
      <c r="AC11" s="134"/>
      <c r="AD11" s="134"/>
      <c r="AE11" s="134"/>
      <c r="AF11" s="134"/>
      <c r="AG11" s="134"/>
      <c r="AH11" s="134"/>
      <c r="AI11" s="134"/>
      <c r="AJ11" s="134"/>
      <c r="AK11" s="134"/>
      <c r="AL11" s="134"/>
      <c r="AM11" s="134"/>
      <c r="AN11" s="134"/>
      <c r="AO11" s="134"/>
      <c r="AP11" s="135"/>
      <c r="AQ11" s="144"/>
      <c r="AR11" s="15"/>
      <c r="AS11" s="15"/>
      <c r="AT11" s="15"/>
      <c r="AU11" s="15"/>
      <c r="AV11" s="15"/>
      <c r="AW11" s="15"/>
      <c r="AX11" s="18"/>
    </row>
    <row r="12" spans="1:50" s="3" customFormat="1" ht="12">
      <c r="A12" s="14"/>
      <c r="B12" s="163"/>
      <c r="C12" s="164"/>
      <c r="D12" s="15"/>
      <c r="E12" s="15"/>
      <c r="F12" s="15"/>
      <c r="G12" s="15"/>
      <c r="H12" s="15"/>
      <c r="I12" s="15"/>
      <c r="J12" s="15"/>
      <c r="K12" s="15"/>
      <c r="L12" s="132"/>
      <c r="M12" s="131"/>
      <c r="N12" s="133"/>
      <c r="O12" s="134"/>
      <c r="P12" s="134"/>
      <c r="Q12" s="134"/>
      <c r="R12" s="134"/>
      <c r="S12" s="134"/>
      <c r="T12" s="134"/>
      <c r="U12" s="134"/>
      <c r="V12" s="134"/>
      <c r="W12" s="134"/>
      <c r="X12" s="134"/>
      <c r="Y12" s="134"/>
      <c r="Z12" s="134"/>
      <c r="AA12" s="134"/>
      <c r="AB12" s="134"/>
      <c r="AC12" s="134"/>
      <c r="AD12" s="134"/>
      <c r="AE12" s="134"/>
      <c r="AF12" s="134"/>
      <c r="AG12" s="134"/>
      <c r="AH12" s="134"/>
      <c r="AI12" s="134"/>
      <c r="AJ12" s="134"/>
      <c r="AK12" s="134"/>
      <c r="AL12" s="134"/>
      <c r="AM12" s="134"/>
      <c r="AN12" s="134"/>
      <c r="AO12" s="134"/>
      <c r="AP12" s="135"/>
      <c r="AQ12" s="144"/>
      <c r="AR12" s="15"/>
      <c r="AS12" s="15"/>
      <c r="AT12" s="15"/>
      <c r="AU12" s="15"/>
      <c r="AV12" s="15"/>
      <c r="AW12" s="15"/>
      <c r="AX12" s="18"/>
    </row>
    <row r="13" spans="1:50" s="3" customFormat="1" ht="12">
      <c r="A13" s="14"/>
      <c r="B13" s="163"/>
      <c r="C13" s="164"/>
      <c r="D13" s="15"/>
      <c r="E13" s="15"/>
      <c r="F13" s="15"/>
      <c r="G13" s="15"/>
      <c r="H13" s="15"/>
      <c r="I13" s="15"/>
      <c r="J13" s="15"/>
      <c r="K13" s="15"/>
      <c r="L13" s="132"/>
      <c r="M13" s="131"/>
      <c r="N13" s="133"/>
      <c r="O13" s="134"/>
      <c r="P13" s="134"/>
      <c r="Q13" s="134"/>
      <c r="R13" s="134"/>
      <c r="S13" s="134"/>
      <c r="T13" s="134"/>
      <c r="U13" s="134"/>
      <c r="V13" s="134"/>
      <c r="W13" s="134"/>
      <c r="X13" s="134"/>
      <c r="Y13" s="134"/>
      <c r="Z13" s="134"/>
      <c r="AA13" s="134"/>
      <c r="AB13" s="134"/>
      <c r="AC13" s="134"/>
      <c r="AD13" s="134"/>
      <c r="AE13" s="134"/>
      <c r="AF13" s="134"/>
      <c r="AG13" s="134"/>
      <c r="AH13" s="134"/>
      <c r="AI13" s="134"/>
      <c r="AJ13" s="134"/>
      <c r="AK13" s="134"/>
      <c r="AL13" s="134"/>
      <c r="AM13" s="134"/>
      <c r="AN13" s="134"/>
      <c r="AO13" s="134"/>
      <c r="AP13" s="135"/>
      <c r="AQ13" s="144"/>
      <c r="AR13" s="15"/>
      <c r="AS13" s="15"/>
      <c r="AT13" s="15"/>
      <c r="AU13" s="15"/>
      <c r="AV13" s="15"/>
      <c r="AW13" s="15"/>
      <c r="AX13" s="18"/>
    </row>
    <row r="14" spans="1:50" s="3" customFormat="1" ht="12">
      <c r="A14" s="14"/>
      <c r="B14" s="163"/>
      <c r="C14" s="164"/>
      <c r="D14" s="15"/>
      <c r="E14" s="15"/>
      <c r="F14" s="15"/>
      <c r="G14" s="15"/>
      <c r="H14" s="15"/>
      <c r="I14" s="15"/>
      <c r="J14" s="15"/>
      <c r="K14" s="15"/>
      <c r="L14" s="132"/>
      <c r="M14" s="131"/>
      <c r="N14" s="133"/>
      <c r="O14" s="134"/>
      <c r="P14" s="134"/>
      <c r="Q14" s="134"/>
      <c r="R14" s="134"/>
      <c r="S14" s="134"/>
      <c r="T14" s="134"/>
      <c r="U14" s="134"/>
      <c r="V14" s="134"/>
      <c r="W14" s="134"/>
      <c r="X14" s="134"/>
      <c r="Y14" s="134"/>
      <c r="Z14" s="134"/>
      <c r="AA14" s="134"/>
      <c r="AB14" s="134"/>
      <c r="AC14" s="134"/>
      <c r="AD14" s="134"/>
      <c r="AE14" s="134"/>
      <c r="AF14" s="134"/>
      <c r="AG14" s="134"/>
      <c r="AH14" s="134"/>
      <c r="AI14" s="134"/>
      <c r="AJ14" s="134"/>
      <c r="AK14" s="134"/>
      <c r="AL14" s="134"/>
      <c r="AM14" s="134"/>
      <c r="AN14" s="134"/>
      <c r="AO14" s="134"/>
      <c r="AP14" s="135"/>
      <c r="AQ14" s="144"/>
      <c r="AR14" s="15"/>
      <c r="AS14" s="15"/>
      <c r="AT14" s="15"/>
      <c r="AU14" s="15"/>
      <c r="AV14" s="15"/>
      <c r="AW14" s="15"/>
      <c r="AX14" s="18"/>
    </row>
    <row r="15" spans="1:50" s="3" customFormat="1" ht="12">
      <c r="A15" s="14"/>
      <c r="B15" s="163"/>
      <c r="C15" s="164"/>
      <c r="D15" s="15"/>
      <c r="E15" s="15"/>
      <c r="F15" s="15"/>
      <c r="G15" s="15"/>
      <c r="H15" s="15"/>
      <c r="I15" s="15"/>
      <c r="J15" s="15"/>
      <c r="K15" s="15"/>
      <c r="L15" s="132"/>
      <c r="M15" s="131"/>
      <c r="N15" s="133"/>
      <c r="O15" s="134"/>
      <c r="P15" s="134"/>
      <c r="Q15" s="134"/>
      <c r="R15" s="134"/>
      <c r="S15" s="134"/>
      <c r="T15" s="134"/>
      <c r="U15" s="134"/>
      <c r="V15" s="134"/>
      <c r="W15" s="134"/>
      <c r="X15" s="134"/>
      <c r="Y15" s="134"/>
      <c r="Z15" s="134"/>
      <c r="AA15" s="134"/>
      <c r="AB15" s="134"/>
      <c r="AC15" s="134"/>
      <c r="AD15" s="134"/>
      <c r="AE15" s="134"/>
      <c r="AF15" s="134"/>
      <c r="AG15" s="134"/>
      <c r="AH15" s="134"/>
      <c r="AI15" s="134"/>
      <c r="AJ15" s="134"/>
      <c r="AK15" s="134"/>
      <c r="AL15" s="134"/>
      <c r="AM15" s="134"/>
      <c r="AN15" s="134"/>
      <c r="AO15" s="134"/>
      <c r="AP15" s="135"/>
      <c r="AQ15" s="144"/>
      <c r="AR15" s="15"/>
      <c r="AS15" s="15"/>
      <c r="AT15" s="15"/>
      <c r="AU15" s="15"/>
      <c r="AV15" s="15"/>
      <c r="AW15" s="15"/>
      <c r="AX15" s="18"/>
    </row>
    <row r="16" spans="1:50" s="3" customFormat="1" ht="12">
      <c r="A16" s="14"/>
      <c r="B16" s="414" t="s">
        <v>120</v>
      </c>
      <c r="C16" s="415"/>
      <c r="D16" s="15" t="s">
        <v>121</v>
      </c>
      <c r="E16" s="15"/>
      <c r="F16" s="15"/>
      <c r="G16" s="15"/>
      <c r="H16" s="15"/>
      <c r="I16" s="15"/>
      <c r="J16" s="15"/>
      <c r="K16" s="15"/>
      <c r="L16" s="132" t="s">
        <v>122</v>
      </c>
      <c r="M16" s="133" t="s">
        <v>301</v>
      </c>
      <c r="N16" s="134"/>
      <c r="O16" s="134"/>
      <c r="P16" s="134"/>
      <c r="Q16" s="134"/>
      <c r="R16" s="134"/>
      <c r="S16" s="134"/>
      <c r="T16" s="134"/>
      <c r="U16" s="134"/>
      <c r="V16" s="134"/>
      <c r="W16" s="134"/>
      <c r="X16" s="134"/>
      <c r="Y16" s="134"/>
      <c r="Z16" s="134"/>
      <c r="AA16" s="134"/>
      <c r="AB16" s="134"/>
      <c r="AC16" s="134"/>
      <c r="AD16" s="134"/>
      <c r="AE16" s="134"/>
      <c r="AF16" s="134"/>
      <c r="AG16" s="134"/>
      <c r="AH16" s="134"/>
      <c r="AI16" s="134"/>
      <c r="AJ16" s="134"/>
      <c r="AK16" s="134"/>
      <c r="AL16" s="134"/>
      <c r="AM16" s="134"/>
      <c r="AN16" s="134"/>
      <c r="AO16" s="134"/>
      <c r="AP16" s="135"/>
      <c r="AQ16" s="15"/>
      <c r="AR16" s="15"/>
      <c r="AS16" s="15"/>
      <c r="AT16" s="15"/>
      <c r="AU16" s="15"/>
      <c r="AV16" s="15"/>
      <c r="AW16" s="15"/>
      <c r="AX16" s="18"/>
    </row>
    <row r="17" spans="1:50" s="3" customFormat="1" ht="12">
      <c r="A17" s="14"/>
      <c r="B17" s="117"/>
      <c r="C17" s="118"/>
      <c r="D17" s="136" t="s">
        <v>123</v>
      </c>
      <c r="E17" s="15"/>
      <c r="F17" s="15"/>
      <c r="G17" s="15"/>
      <c r="H17" s="15"/>
      <c r="I17" s="15"/>
      <c r="J17" s="15"/>
      <c r="K17" s="15"/>
      <c r="L17" s="132"/>
      <c r="M17" s="134" t="s">
        <v>124</v>
      </c>
      <c r="N17" s="134"/>
      <c r="O17" s="134"/>
      <c r="P17" s="134"/>
      <c r="Q17" s="134"/>
      <c r="R17" s="134"/>
      <c r="S17" s="134"/>
      <c r="T17" s="134"/>
      <c r="U17" s="134"/>
      <c r="V17" s="134"/>
      <c r="W17" s="134"/>
      <c r="X17" s="134"/>
      <c r="Y17" s="134"/>
      <c r="Z17" s="134"/>
      <c r="AA17" s="134"/>
      <c r="AB17" s="134"/>
      <c r="AC17" s="134"/>
      <c r="AD17" s="134"/>
      <c r="AE17" s="134"/>
      <c r="AF17" s="134"/>
      <c r="AG17" s="134"/>
      <c r="AH17" s="134"/>
      <c r="AI17" s="134"/>
      <c r="AJ17" s="134"/>
      <c r="AK17" s="134"/>
      <c r="AL17" s="134"/>
      <c r="AM17" s="134"/>
      <c r="AN17" s="134"/>
      <c r="AO17" s="134"/>
      <c r="AP17" s="135"/>
      <c r="AQ17" s="15" t="s">
        <v>121</v>
      </c>
      <c r="AR17" s="15"/>
      <c r="AS17" s="15"/>
      <c r="AT17" s="15"/>
      <c r="AU17" s="15"/>
      <c r="AV17" s="15"/>
      <c r="AW17" s="15"/>
      <c r="AX17" s="18"/>
    </row>
    <row r="18" spans="1:50" s="58" customFormat="1" ht="12.75" customHeight="1">
      <c r="A18" s="137"/>
      <c r="B18" s="414"/>
      <c r="C18" s="415"/>
      <c r="D18" s="138" t="s">
        <v>125</v>
      </c>
      <c r="E18" s="70"/>
      <c r="F18" s="70"/>
      <c r="G18" s="70"/>
      <c r="H18" s="70"/>
      <c r="I18" s="70"/>
      <c r="J18" s="70"/>
      <c r="K18" s="70"/>
      <c r="L18" s="139"/>
      <c r="M18" s="140"/>
      <c r="N18" s="141"/>
      <c r="O18" s="141"/>
      <c r="P18" s="141"/>
      <c r="Q18" s="141"/>
      <c r="R18" s="141"/>
      <c r="S18" s="141"/>
      <c r="T18" s="141"/>
      <c r="U18" s="141"/>
      <c r="V18" s="141"/>
      <c r="W18" s="141"/>
      <c r="X18" s="141"/>
      <c r="Y18" s="141"/>
      <c r="Z18" s="141"/>
      <c r="AA18" s="141"/>
      <c r="AB18" s="141"/>
      <c r="AC18" s="141"/>
      <c r="AD18" s="141"/>
      <c r="AE18" s="141"/>
      <c r="AF18" s="141"/>
      <c r="AG18" s="141"/>
      <c r="AH18" s="141"/>
      <c r="AI18" s="141"/>
      <c r="AJ18" s="141"/>
      <c r="AK18" s="141"/>
      <c r="AL18" s="141"/>
      <c r="AM18" s="141"/>
      <c r="AN18" s="141"/>
      <c r="AO18" s="141"/>
      <c r="AP18" s="142"/>
      <c r="AQ18" s="70"/>
      <c r="AR18" s="70"/>
      <c r="AS18" s="70"/>
      <c r="AT18" s="70"/>
      <c r="AU18" s="70"/>
      <c r="AV18" s="70"/>
      <c r="AW18" s="70"/>
      <c r="AX18" s="143"/>
    </row>
    <row r="19" spans="1:50" s="3" customFormat="1" ht="12">
      <c r="A19" s="14"/>
      <c r="B19" s="117"/>
      <c r="C19" s="118"/>
      <c r="D19" s="15" t="s">
        <v>126</v>
      </c>
      <c r="E19" s="15"/>
      <c r="F19" s="15"/>
      <c r="G19" s="15"/>
      <c r="H19" s="15"/>
      <c r="I19" s="15"/>
      <c r="J19" s="15"/>
      <c r="K19" s="15"/>
      <c r="L19" s="132"/>
      <c r="M19" s="131" t="s">
        <v>127</v>
      </c>
      <c r="N19" s="133"/>
      <c r="O19" s="134" t="s">
        <v>128</v>
      </c>
      <c r="P19" s="134"/>
      <c r="Q19" s="134"/>
      <c r="R19" s="134"/>
      <c r="S19" s="134"/>
      <c r="T19" s="134"/>
      <c r="U19" s="134"/>
      <c r="V19" s="134"/>
      <c r="W19" s="134"/>
      <c r="X19" s="134"/>
      <c r="Y19" s="134"/>
      <c r="Z19" s="134"/>
      <c r="AA19" s="134"/>
      <c r="AB19" s="134"/>
      <c r="AC19" s="134"/>
      <c r="AD19" s="134"/>
      <c r="AE19" s="134"/>
      <c r="AF19" s="134"/>
      <c r="AG19" s="134"/>
      <c r="AH19" s="134"/>
      <c r="AI19" s="134"/>
      <c r="AJ19" s="134"/>
      <c r="AK19" s="134"/>
      <c r="AL19" s="134"/>
      <c r="AM19" s="134"/>
      <c r="AN19" s="134"/>
      <c r="AO19" s="134"/>
      <c r="AP19" s="135"/>
      <c r="AQ19" s="144"/>
      <c r="AR19" s="15"/>
      <c r="AS19" s="15"/>
      <c r="AT19" s="15"/>
      <c r="AU19" s="15"/>
      <c r="AV19" s="15"/>
      <c r="AW19" s="15"/>
      <c r="AX19" s="18"/>
    </row>
    <row r="20" spans="1:50" s="3" customFormat="1" ht="12">
      <c r="A20" s="14"/>
      <c r="B20" s="117"/>
      <c r="C20" s="118"/>
      <c r="D20" s="15"/>
      <c r="E20" s="15"/>
      <c r="F20" s="15"/>
      <c r="G20" s="15"/>
      <c r="H20" s="15"/>
      <c r="I20" s="15"/>
      <c r="J20" s="15"/>
      <c r="K20" s="15"/>
      <c r="L20" s="132"/>
      <c r="M20" s="131"/>
      <c r="N20" s="133"/>
      <c r="O20" s="134" t="s">
        <v>129</v>
      </c>
      <c r="P20" s="134"/>
      <c r="Q20" s="134"/>
      <c r="R20" s="134"/>
      <c r="S20" s="134"/>
      <c r="T20" s="134"/>
      <c r="U20" s="134"/>
      <c r="V20" s="134"/>
      <c r="W20" s="134"/>
      <c r="X20" s="134"/>
      <c r="Y20" s="134"/>
      <c r="Z20" s="134"/>
      <c r="AA20" s="134"/>
      <c r="AB20" s="134"/>
      <c r="AC20" s="134"/>
      <c r="AD20" s="134"/>
      <c r="AE20" s="134"/>
      <c r="AF20" s="134"/>
      <c r="AG20" s="134"/>
      <c r="AH20" s="134"/>
      <c r="AI20" s="134"/>
      <c r="AJ20" s="134"/>
      <c r="AK20" s="134"/>
      <c r="AL20" s="134"/>
      <c r="AM20" s="134"/>
      <c r="AN20" s="134"/>
      <c r="AO20" s="134"/>
      <c r="AP20" s="135"/>
      <c r="AQ20" s="144"/>
      <c r="AR20" s="15"/>
      <c r="AS20" s="15"/>
      <c r="AT20" s="15"/>
      <c r="AU20" s="15"/>
      <c r="AV20" s="15"/>
      <c r="AW20" s="15"/>
      <c r="AX20" s="18"/>
    </row>
    <row r="21" spans="1:50" s="3" customFormat="1" ht="12">
      <c r="A21" s="14"/>
      <c r="B21" s="117"/>
      <c r="C21" s="118"/>
      <c r="D21" s="15"/>
      <c r="E21" s="15"/>
      <c r="F21" s="15"/>
      <c r="G21" s="15"/>
      <c r="H21" s="15"/>
      <c r="I21" s="15"/>
      <c r="J21" s="15"/>
      <c r="K21" s="15"/>
      <c r="L21" s="132"/>
      <c r="M21" s="131"/>
      <c r="N21" s="133"/>
      <c r="O21" s="134"/>
      <c r="P21" s="134"/>
      <c r="Q21" s="134"/>
      <c r="R21" s="134"/>
      <c r="S21" s="134"/>
      <c r="T21" s="134"/>
      <c r="U21" s="134"/>
      <c r="V21" s="134"/>
      <c r="W21" s="134"/>
      <c r="X21" s="134"/>
      <c r="Y21" s="134"/>
      <c r="Z21" s="134"/>
      <c r="AA21" s="134"/>
      <c r="AB21" s="134"/>
      <c r="AC21" s="134"/>
      <c r="AD21" s="134"/>
      <c r="AE21" s="134"/>
      <c r="AF21" s="134"/>
      <c r="AG21" s="134"/>
      <c r="AH21" s="134"/>
      <c r="AI21" s="134"/>
      <c r="AJ21" s="134"/>
      <c r="AK21" s="134"/>
      <c r="AL21" s="134"/>
      <c r="AM21" s="134"/>
      <c r="AN21" s="134"/>
      <c r="AO21" s="134"/>
      <c r="AP21" s="135"/>
      <c r="AQ21" s="144"/>
      <c r="AR21" s="15"/>
      <c r="AS21" s="15"/>
      <c r="AT21" s="15"/>
      <c r="AU21" s="15"/>
      <c r="AV21" s="15"/>
      <c r="AW21" s="15"/>
      <c r="AX21" s="18"/>
    </row>
    <row r="22" spans="1:50" s="3" customFormat="1" ht="12">
      <c r="A22" s="14"/>
      <c r="B22" s="117"/>
      <c r="C22" s="118"/>
      <c r="D22" s="15"/>
      <c r="E22" s="15"/>
      <c r="F22" s="15"/>
      <c r="G22" s="15"/>
      <c r="H22" s="15"/>
      <c r="I22" s="15"/>
      <c r="J22" s="15"/>
      <c r="K22" s="15"/>
      <c r="L22" s="132"/>
      <c r="M22" s="131" t="s">
        <v>130</v>
      </c>
      <c r="N22" s="133"/>
      <c r="O22" s="134" t="s">
        <v>131</v>
      </c>
      <c r="P22" s="134"/>
      <c r="Q22" s="134"/>
      <c r="R22" s="134"/>
      <c r="S22" s="134"/>
      <c r="T22" s="134"/>
      <c r="U22" s="134"/>
      <c r="V22" s="134"/>
      <c r="W22" s="134"/>
      <c r="X22" s="134"/>
      <c r="Y22" s="134"/>
      <c r="Z22" s="134"/>
      <c r="AA22" s="134"/>
      <c r="AB22" s="134"/>
      <c r="AC22" s="134"/>
      <c r="AD22" s="134"/>
      <c r="AE22" s="134"/>
      <c r="AF22" s="134"/>
      <c r="AG22" s="134"/>
      <c r="AH22" s="134"/>
      <c r="AI22" s="134"/>
      <c r="AJ22" s="134"/>
      <c r="AK22" s="134"/>
      <c r="AL22" s="134"/>
      <c r="AM22" s="134"/>
      <c r="AN22" s="134"/>
      <c r="AO22" s="134"/>
      <c r="AP22" s="135"/>
      <c r="AQ22" s="144"/>
      <c r="AR22" s="15"/>
      <c r="AS22" s="15"/>
      <c r="AT22" s="15"/>
      <c r="AU22" s="15"/>
      <c r="AV22" s="15"/>
      <c r="AW22" s="15"/>
      <c r="AX22" s="18"/>
    </row>
    <row r="23" spans="1:50" s="3" customFormat="1" ht="12">
      <c r="A23" s="14"/>
      <c r="B23" s="117"/>
      <c r="C23" s="118"/>
      <c r="D23" s="15"/>
      <c r="E23" s="15"/>
      <c r="F23" s="15"/>
      <c r="G23" s="15"/>
      <c r="H23" s="15"/>
      <c r="I23" s="15"/>
      <c r="J23" s="15"/>
      <c r="K23" s="15"/>
      <c r="L23" s="132"/>
      <c r="M23" s="131"/>
      <c r="N23" s="133"/>
      <c r="O23" s="134"/>
      <c r="P23" s="134"/>
      <c r="Q23" s="134"/>
      <c r="R23" s="134"/>
      <c r="S23" s="134"/>
      <c r="T23" s="134"/>
      <c r="U23" s="134"/>
      <c r="V23" s="134"/>
      <c r="W23" s="134"/>
      <c r="X23" s="134"/>
      <c r="Y23" s="134"/>
      <c r="Z23" s="134"/>
      <c r="AA23" s="134"/>
      <c r="AB23" s="134"/>
      <c r="AC23" s="134"/>
      <c r="AD23" s="134"/>
      <c r="AE23" s="134"/>
      <c r="AF23" s="134"/>
      <c r="AG23" s="134"/>
      <c r="AH23" s="134"/>
      <c r="AI23" s="134"/>
      <c r="AJ23" s="134"/>
      <c r="AK23" s="134"/>
      <c r="AL23" s="134"/>
      <c r="AM23" s="134"/>
      <c r="AN23" s="134"/>
      <c r="AO23" s="134"/>
      <c r="AP23" s="135"/>
      <c r="AQ23" s="144"/>
      <c r="AR23" s="15"/>
      <c r="AS23" s="15"/>
      <c r="AT23" s="15"/>
      <c r="AU23" s="15"/>
      <c r="AV23" s="15"/>
      <c r="AW23" s="15"/>
      <c r="AX23" s="18"/>
    </row>
    <row r="24" spans="1:50" s="3" customFormat="1" ht="12">
      <c r="A24" s="14"/>
      <c r="B24" s="117"/>
      <c r="C24" s="118"/>
      <c r="D24" s="15"/>
      <c r="E24" s="15"/>
      <c r="F24" s="15"/>
      <c r="G24" s="15"/>
      <c r="H24" s="15"/>
      <c r="I24" s="15"/>
      <c r="J24" s="15"/>
      <c r="K24" s="15"/>
      <c r="L24" s="132" t="s">
        <v>132</v>
      </c>
      <c r="M24" s="131" t="s">
        <v>302</v>
      </c>
      <c r="N24" s="133"/>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5"/>
      <c r="AQ24" s="144"/>
      <c r="AR24" s="15"/>
      <c r="AS24" s="15"/>
      <c r="AT24" s="15"/>
      <c r="AU24" s="15"/>
      <c r="AV24" s="15"/>
      <c r="AW24" s="15"/>
      <c r="AX24" s="18"/>
    </row>
    <row r="25" spans="1:50" s="3" customFormat="1" ht="12">
      <c r="A25" s="14"/>
      <c r="B25" s="207"/>
      <c r="C25" s="208"/>
      <c r="D25" s="15"/>
      <c r="E25" s="15"/>
      <c r="F25" s="15"/>
      <c r="G25" s="15"/>
      <c r="H25" s="15"/>
      <c r="I25" s="15"/>
      <c r="J25" s="15"/>
      <c r="K25" s="15"/>
      <c r="L25" s="132"/>
      <c r="M25" s="131"/>
      <c r="N25" s="133"/>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5"/>
      <c r="AQ25" s="144"/>
      <c r="AR25" s="15"/>
      <c r="AS25" s="15"/>
      <c r="AT25" s="15"/>
      <c r="AU25" s="15"/>
      <c r="AV25" s="15"/>
      <c r="AW25" s="15"/>
      <c r="AX25" s="18"/>
    </row>
    <row r="26" spans="1:50" s="3" customFormat="1" ht="12">
      <c r="A26" s="14"/>
      <c r="B26" s="117"/>
      <c r="C26" s="118"/>
      <c r="D26" s="15"/>
      <c r="E26" s="15"/>
      <c r="F26" s="15"/>
      <c r="G26" s="15"/>
      <c r="H26" s="15"/>
      <c r="I26" s="15"/>
      <c r="J26" s="15"/>
      <c r="K26" s="15"/>
      <c r="L26" s="132"/>
      <c r="M26" s="131" t="s">
        <v>133</v>
      </c>
      <c r="N26" s="133"/>
      <c r="O26" s="134"/>
      <c r="P26" s="134"/>
      <c r="Q26" s="134"/>
      <c r="R26" s="134"/>
      <c r="S26" s="134"/>
      <c r="T26" s="134"/>
      <c r="U26" s="134"/>
      <c r="V26" s="134"/>
      <c r="W26" s="134"/>
      <c r="X26" s="134"/>
      <c r="Y26" s="134"/>
      <c r="Z26" s="134"/>
      <c r="AA26" s="134"/>
      <c r="AB26" s="134"/>
      <c r="AC26" s="134"/>
      <c r="AD26" s="134"/>
      <c r="AE26" s="134"/>
      <c r="AF26" s="134"/>
      <c r="AG26" s="134"/>
      <c r="AH26" s="134"/>
      <c r="AI26" s="134"/>
      <c r="AJ26" s="134"/>
      <c r="AK26" s="134"/>
      <c r="AL26" s="134"/>
      <c r="AM26" s="134"/>
      <c r="AN26" s="134"/>
      <c r="AO26" s="134"/>
      <c r="AP26" s="135"/>
      <c r="AQ26" s="144"/>
      <c r="AR26" s="15"/>
      <c r="AS26" s="15"/>
      <c r="AT26" s="15"/>
      <c r="AU26" s="15"/>
      <c r="AV26" s="15"/>
      <c r="AW26" s="15"/>
      <c r="AX26" s="18"/>
    </row>
    <row r="27" spans="1:50" s="3" customFormat="1" ht="12">
      <c r="A27" s="14"/>
      <c r="B27" s="117"/>
      <c r="C27" s="118"/>
      <c r="D27" s="15"/>
      <c r="E27" s="15"/>
      <c r="F27" s="15"/>
      <c r="G27" s="15"/>
      <c r="H27" s="15"/>
      <c r="I27" s="15"/>
      <c r="J27" s="15"/>
      <c r="K27" s="15"/>
      <c r="L27" s="132"/>
      <c r="M27" s="131"/>
      <c r="N27" s="133"/>
      <c r="O27" s="134"/>
      <c r="P27" s="134"/>
      <c r="Q27" s="134"/>
      <c r="R27" s="134"/>
      <c r="S27" s="134"/>
      <c r="T27" s="134"/>
      <c r="U27" s="134"/>
      <c r="V27" s="134"/>
      <c r="W27" s="134"/>
      <c r="X27" s="134"/>
      <c r="Y27" s="134"/>
      <c r="Z27" s="134"/>
      <c r="AA27" s="134"/>
      <c r="AB27" s="134"/>
      <c r="AC27" s="134"/>
      <c r="AD27" s="134"/>
      <c r="AE27" s="134"/>
      <c r="AF27" s="134"/>
      <c r="AG27" s="134"/>
      <c r="AH27" s="134"/>
      <c r="AI27" s="134"/>
      <c r="AJ27" s="134"/>
      <c r="AK27" s="134"/>
      <c r="AL27" s="134"/>
      <c r="AM27" s="134"/>
      <c r="AN27" s="134"/>
      <c r="AO27" s="134"/>
      <c r="AP27" s="135"/>
      <c r="AQ27" s="144"/>
      <c r="AR27" s="15"/>
      <c r="AS27" s="15"/>
      <c r="AT27" s="15"/>
      <c r="AU27" s="15"/>
      <c r="AV27" s="15"/>
      <c r="AW27" s="15"/>
      <c r="AX27" s="18"/>
    </row>
    <row r="28" spans="1:50" s="3" customFormat="1" ht="12">
      <c r="A28" s="14"/>
      <c r="B28" s="117"/>
      <c r="C28" s="118"/>
      <c r="D28" s="15"/>
      <c r="E28" s="15"/>
      <c r="F28" s="15"/>
      <c r="G28" s="15"/>
      <c r="H28" s="15"/>
      <c r="I28" s="15"/>
      <c r="J28" s="15"/>
      <c r="K28" s="15"/>
      <c r="L28" s="132"/>
      <c r="M28" s="131" t="s">
        <v>222</v>
      </c>
      <c r="N28" s="133"/>
      <c r="O28" s="134" t="s">
        <v>134</v>
      </c>
      <c r="P28" s="134"/>
      <c r="Q28" s="134"/>
      <c r="R28" s="134"/>
      <c r="S28" s="134"/>
      <c r="T28" s="134"/>
      <c r="U28" s="134"/>
      <c r="V28" s="134"/>
      <c r="W28" s="134"/>
      <c r="X28" s="134"/>
      <c r="Y28" s="134"/>
      <c r="Z28" s="134"/>
      <c r="AA28" s="134"/>
      <c r="AB28" s="134"/>
      <c r="AC28" s="134"/>
      <c r="AD28" s="134"/>
      <c r="AE28" s="134"/>
      <c r="AF28" s="134"/>
      <c r="AG28" s="134"/>
      <c r="AH28" s="134"/>
      <c r="AI28" s="134"/>
      <c r="AJ28" s="134"/>
      <c r="AK28" s="134"/>
      <c r="AL28" s="134"/>
      <c r="AM28" s="134"/>
      <c r="AN28" s="134"/>
      <c r="AO28" s="134"/>
      <c r="AP28" s="135"/>
      <c r="AQ28" s="144"/>
      <c r="AR28" s="15"/>
      <c r="AS28" s="15"/>
      <c r="AT28" s="15"/>
      <c r="AU28" s="15"/>
      <c r="AV28" s="15"/>
      <c r="AW28" s="15"/>
      <c r="AX28" s="18"/>
    </row>
    <row r="29" spans="1:50" s="3" customFormat="1" ht="12">
      <c r="A29" s="14"/>
      <c r="B29" s="117"/>
      <c r="C29" s="118"/>
      <c r="D29" s="15"/>
      <c r="E29" s="15"/>
      <c r="F29" s="15"/>
      <c r="G29" s="15"/>
      <c r="H29" s="15"/>
      <c r="I29" s="15"/>
      <c r="J29" s="15"/>
      <c r="K29" s="15"/>
      <c r="L29" s="132"/>
      <c r="M29" s="131"/>
      <c r="N29" s="133"/>
      <c r="O29" s="134" t="s">
        <v>135</v>
      </c>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5"/>
      <c r="AQ29" s="144"/>
      <c r="AR29" s="15"/>
      <c r="AS29" s="15"/>
      <c r="AT29" s="15"/>
      <c r="AU29" s="15"/>
      <c r="AV29" s="15"/>
      <c r="AW29" s="15"/>
      <c r="AX29" s="18"/>
    </row>
    <row r="30" spans="1:50" s="3" customFormat="1" ht="12">
      <c r="A30" s="14"/>
      <c r="B30" s="117"/>
      <c r="C30" s="118"/>
      <c r="D30" s="15"/>
      <c r="E30" s="15"/>
      <c r="F30" s="15"/>
      <c r="G30" s="15"/>
      <c r="H30" s="15"/>
      <c r="I30" s="15"/>
      <c r="J30" s="15"/>
      <c r="K30" s="15"/>
      <c r="L30" s="132"/>
      <c r="M30" s="131"/>
      <c r="N30" s="133"/>
      <c r="O30" s="134"/>
      <c r="P30" s="134"/>
      <c r="Q30" s="134"/>
      <c r="R30" s="134"/>
      <c r="S30" s="134"/>
      <c r="T30" s="134"/>
      <c r="U30" s="134"/>
      <c r="V30" s="134"/>
      <c r="W30" s="134"/>
      <c r="X30" s="134"/>
      <c r="Y30" s="134"/>
      <c r="Z30" s="134"/>
      <c r="AA30" s="134"/>
      <c r="AB30" s="134"/>
      <c r="AC30" s="134"/>
      <c r="AD30" s="134"/>
      <c r="AE30" s="134"/>
      <c r="AF30" s="134"/>
      <c r="AG30" s="134"/>
      <c r="AH30" s="134"/>
      <c r="AI30" s="134"/>
      <c r="AJ30" s="134"/>
      <c r="AK30" s="134"/>
      <c r="AL30" s="134"/>
      <c r="AM30" s="134"/>
      <c r="AN30" s="134"/>
      <c r="AO30" s="134"/>
      <c r="AP30" s="135"/>
      <c r="AQ30" s="144"/>
      <c r="AR30" s="15"/>
      <c r="AS30" s="15"/>
      <c r="AT30" s="15"/>
      <c r="AU30" s="15"/>
      <c r="AV30" s="15"/>
      <c r="AW30" s="15"/>
      <c r="AX30" s="18"/>
    </row>
    <row r="31" spans="1:50" s="3" customFormat="1" ht="12">
      <c r="A31" s="14"/>
      <c r="B31" s="117"/>
      <c r="C31" s="118"/>
      <c r="D31" s="15"/>
      <c r="E31" s="15"/>
      <c r="F31" s="15"/>
      <c r="G31" s="15"/>
      <c r="H31" s="15"/>
      <c r="I31" s="15"/>
      <c r="J31" s="15"/>
      <c r="K31" s="15"/>
      <c r="L31" s="132"/>
      <c r="M31" s="131"/>
      <c r="O31" s="148" t="s">
        <v>169</v>
      </c>
      <c r="P31" s="148"/>
      <c r="Q31" s="148"/>
      <c r="R31" s="148"/>
      <c r="S31" s="148"/>
      <c r="T31" s="148"/>
      <c r="U31" s="148"/>
      <c r="V31" s="148"/>
      <c r="W31" s="148"/>
      <c r="X31" s="148"/>
      <c r="Y31" s="148"/>
      <c r="Z31" s="148"/>
      <c r="AA31" s="148"/>
      <c r="AB31" s="148"/>
      <c r="AC31" s="148"/>
      <c r="AD31" s="148"/>
      <c r="AE31" s="148"/>
      <c r="AF31" s="148"/>
      <c r="AG31" s="148"/>
      <c r="AH31" s="148"/>
      <c r="AI31" s="148"/>
      <c r="AJ31" s="148"/>
      <c r="AK31" s="148"/>
      <c r="AL31" s="148"/>
      <c r="AM31" s="148"/>
      <c r="AN31" s="134"/>
      <c r="AO31" s="134"/>
      <c r="AP31" s="135"/>
      <c r="AQ31" s="144"/>
      <c r="AR31" s="15"/>
      <c r="AS31" s="15"/>
      <c r="AT31" s="15"/>
      <c r="AU31" s="15"/>
      <c r="AV31" s="15"/>
      <c r="AW31" s="15"/>
      <c r="AX31" s="18"/>
    </row>
    <row r="32" spans="1:50" s="3" customFormat="1" ht="12">
      <c r="A32" s="14"/>
      <c r="B32" s="117"/>
      <c r="C32" s="118"/>
      <c r="D32" s="15"/>
      <c r="E32" s="15"/>
      <c r="F32" s="15"/>
      <c r="G32" s="15"/>
      <c r="H32" s="15"/>
      <c r="I32" s="15"/>
      <c r="J32" s="15"/>
      <c r="K32" s="15"/>
      <c r="L32" s="132"/>
      <c r="M32" s="131"/>
      <c r="O32" s="150" t="s">
        <v>27</v>
      </c>
      <c r="P32" s="152"/>
      <c r="Q32" s="152"/>
      <c r="R32" s="152"/>
      <c r="S32" s="152"/>
      <c r="T32" s="152"/>
      <c r="U32" s="152"/>
      <c r="V32" s="152"/>
      <c r="W32" s="152"/>
      <c r="X32" s="153" t="s">
        <v>170</v>
      </c>
      <c r="Y32" s="154"/>
      <c r="Z32" s="154"/>
      <c r="AA32" s="152"/>
      <c r="AB32" s="152"/>
      <c r="AC32" s="152"/>
      <c r="AD32" s="152"/>
      <c r="AE32" s="152"/>
      <c r="AF32" s="152"/>
      <c r="AG32" s="152"/>
      <c r="AH32" s="152"/>
      <c r="AI32" s="152"/>
      <c r="AJ32" s="151"/>
      <c r="AM32" s="134"/>
      <c r="AN32" s="134"/>
      <c r="AO32" s="134"/>
      <c r="AP32" s="135"/>
      <c r="AQ32" s="144"/>
      <c r="AR32" s="15"/>
      <c r="AS32" s="15"/>
      <c r="AT32" s="15"/>
      <c r="AU32" s="15"/>
      <c r="AV32" s="15"/>
      <c r="AW32" s="15"/>
      <c r="AX32" s="18"/>
    </row>
    <row r="33" spans="1:50" s="3" customFormat="1" ht="12">
      <c r="A33" s="14"/>
      <c r="B33" s="117"/>
      <c r="C33" s="118"/>
      <c r="D33" s="15"/>
      <c r="E33" s="15"/>
      <c r="F33" s="15" t="s">
        <v>303</v>
      </c>
      <c r="G33" s="15"/>
      <c r="H33" s="15"/>
      <c r="I33" s="15"/>
      <c r="J33" s="15"/>
      <c r="K33" s="15"/>
      <c r="L33" s="132"/>
      <c r="M33" s="131"/>
      <c r="O33" s="155" t="s">
        <v>173</v>
      </c>
      <c r="P33" s="157"/>
      <c r="Q33" s="157"/>
      <c r="R33" s="157"/>
      <c r="S33" s="4"/>
      <c r="T33" s="4"/>
      <c r="U33" s="4"/>
      <c r="V33" s="4"/>
      <c r="W33" s="156"/>
      <c r="X33" s="155"/>
      <c r="Y33" s="158"/>
      <c r="Z33" s="158"/>
      <c r="AA33" s="158"/>
      <c r="AB33" s="158"/>
      <c r="AC33" s="158"/>
      <c r="AD33" s="158"/>
      <c r="AE33" s="158"/>
      <c r="AF33" s="158"/>
      <c r="AG33" s="158"/>
      <c r="AH33" s="158"/>
      <c r="AI33" s="158"/>
      <c r="AJ33" s="159"/>
      <c r="AM33" s="134"/>
      <c r="AN33" s="134"/>
      <c r="AO33" s="134"/>
      <c r="AP33" s="135"/>
      <c r="AQ33" s="144"/>
      <c r="AR33" s="15"/>
      <c r="AS33" s="15"/>
      <c r="AT33" s="15"/>
      <c r="AU33" s="15"/>
      <c r="AV33" s="15"/>
      <c r="AW33" s="15"/>
      <c r="AX33" s="18"/>
    </row>
    <row r="34" spans="1:50" s="3" customFormat="1" ht="12">
      <c r="A34" s="14"/>
      <c r="B34" s="117"/>
      <c r="C34" s="118"/>
      <c r="D34" s="15"/>
      <c r="E34" s="15"/>
      <c r="F34" s="15"/>
      <c r="G34" s="15"/>
      <c r="H34" s="15"/>
      <c r="I34" s="15"/>
      <c r="J34" s="15"/>
      <c r="K34" s="15"/>
      <c r="L34" s="132"/>
      <c r="M34" s="131"/>
      <c r="O34" s="70"/>
      <c r="P34" s="70"/>
      <c r="Q34" s="148"/>
      <c r="R34" s="160"/>
      <c r="S34" s="160"/>
      <c r="T34" s="160"/>
      <c r="U34" s="149"/>
      <c r="V34" s="149"/>
      <c r="W34" s="149"/>
      <c r="X34" s="149"/>
      <c r="Y34" s="160"/>
      <c r="Z34" s="148"/>
      <c r="AA34" s="161"/>
      <c r="AB34" s="161"/>
      <c r="AC34" s="161"/>
      <c r="AD34" s="161"/>
      <c r="AE34" s="161"/>
      <c r="AF34" s="161"/>
      <c r="AG34" s="161"/>
      <c r="AH34" s="161"/>
      <c r="AI34" s="161"/>
      <c r="AJ34" s="161"/>
      <c r="AK34" s="161"/>
      <c r="AL34" s="161"/>
      <c r="AM34" s="161"/>
      <c r="AN34" s="134"/>
      <c r="AO34" s="134"/>
      <c r="AP34" s="135"/>
      <c r="AQ34" s="144"/>
      <c r="AR34" s="15"/>
      <c r="AS34" s="15"/>
      <c r="AT34" s="15"/>
      <c r="AU34" s="15"/>
      <c r="AV34" s="15"/>
      <c r="AW34" s="15"/>
      <c r="AX34" s="18"/>
    </row>
    <row r="35" spans="1:50" s="3" customFormat="1" ht="12">
      <c r="A35" s="14"/>
      <c r="B35" s="117"/>
      <c r="C35" s="118"/>
      <c r="D35" s="15"/>
      <c r="E35" s="15"/>
      <c r="F35" s="15"/>
      <c r="G35" s="15"/>
      <c r="H35" s="15"/>
      <c r="I35" s="15"/>
      <c r="J35" s="15"/>
      <c r="K35" s="15"/>
      <c r="L35" s="132"/>
      <c r="M35" s="131"/>
      <c r="O35" s="15" t="s">
        <v>171</v>
      </c>
      <c r="P35" s="15"/>
      <c r="Q35" s="15"/>
      <c r="R35" s="15"/>
      <c r="S35" s="15"/>
      <c r="T35" s="15"/>
      <c r="U35" s="15"/>
      <c r="V35" s="15"/>
      <c r="W35" s="15"/>
      <c r="X35" s="15"/>
      <c r="Y35" s="15"/>
      <c r="Z35" s="9"/>
      <c r="AA35" s="15"/>
      <c r="AB35" s="15"/>
      <c r="AC35" s="15"/>
      <c r="AD35" s="15"/>
      <c r="AE35" s="15"/>
      <c r="AF35" s="15"/>
      <c r="AG35" s="15"/>
      <c r="AH35" s="15"/>
      <c r="AI35" s="15"/>
      <c r="AJ35" s="15"/>
      <c r="AK35" s="15"/>
      <c r="AL35" s="15"/>
      <c r="AM35" s="15"/>
      <c r="AN35" s="134"/>
      <c r="AO35" s="134"/>
      <c r="AP35" s="135"/>
      <c r="AQ35" s="144"/>
      <c r="AR35" s="15"/>
      <c r="AS35" s="15"/>
      <c r="AT35" s="15"/>
      <c r="AU35" s="15"/>
      <c r="AV35" s="15"/>
      <c r="AW35" s="15"/>
      <c r="AX35" s="18"/>
    </row>
    <row r="36" spans="1:50" s="3" customFormat="1" ht="12">
      <c r="A36" s="14"/>
      <c r="B36" s="117"/>
      <c r="C36" s="118"/>
      <c r="D36" s="15"/>
      <c r="E36" s="15"/>
      <c r="F36" s="15"/>
      <c r="G36" s="15"/>
      <c r="H36" s="15"/>
      <c r="I36" s="15"/>
      <c r="J36" s="15"/>
      <c r="K36" s="15"/>
      <c r="L36" s="132"/>
      <c r="M36" s="131"/>
      <c r="Q36" s="3" t="s">
        <v>174</v>
      </c>
      <c r="S36" s="15"/>
      <c r="W36" s="3" t="s">
        <v>172</v>
      </c>
      <c r="X36" s="15"/>
      <c r="Z36" s="15"/>
      <c r="AH36" s="162"/>
      <c r="AL36" s="15"/>
      <c r="AM36" s="15"/>
      <c r="AN36" s="134"/>
      <c r="AO36" s="134"/>
      <c r="AP36" s="135"/>
      <c r="AQ36" s="144"/>
      <c r="AR36" s="15"/>
      <c r="AS36" s="15"/>
      <c r="AT36" s="15"/>
      <c r="AU36" s="15"/>
      <c r="AV36" s="15"/>
      <c r="AW36" s="15"/>
      <c r="AX36" s="18"/>
    </row>
    <row r="37" spans="1:50" s="3" customFormat="1" ht="12">
      <c r="A37" s="14"/>
      <c r="B37" s="117"/>
      <c r="C37" s="118"/>
      <c r="D37" s="15"/>
      <c r="E37" s="15"/>
      <c r="F37" s="15"/>
      <c r="G37" s="15"/>
      <c r="H37" s="15"/>
      <c r="I37" s="15"/>
      <c r="J37" s="15"/>
      <c r="K37" s="15"/>
      <c r="L37" s="132"/>
      <c r="M37" s="131"/>
      <c r="O37" s="133"/>
      <c r="P37" s="134"/>
      <c r="Q37" s="134"/>
      <c r="R37" s="134"/>
      <c r="S37" s="134"/>
      <c r="T37" s="134"/>
      <c r="U37" s="134"/>
      <c r="V37" s="134"/>
      <c r="W37" s="134"/>
      <c r="X37" s="134"/>
      <c r="Y37" s="134"/>
      <c r="Z37" s="134"/>
      <c r="AA37" s="134"/>
      <c r="AB37" s="134"/>
      <c r="AC37" s="134"/>
      <c r="AD37" s="134"/>
      <c r="AE37" s="134"/>
      <c r="AF37" s="134"/>
      <c r="AG37" s="134"/>
      <c r="AH37" s="134"/>
      <c r="AI37" s="134"/>
      <c r="AJ37" s="134"/>
      <c r="AK37" s="134"/>
      <c r="AL37" s="134"/>
      <c r="AM37" s="134"/>
      <c r="AN37" s="134"/>
      <c r="AO37" s="134"/>
      <c r="AP37" s="135"/>
      <c r="AQ37" s="144"/>
      <c r="AR37" s="15"/>
      <c r="AS37" s="15"/>
      <c r="AT37" s="15"/>
      <c r="AU37" s="15"/>
      <c r="AV37" s="15"/>
      <c r="AW37" s="15"/>
      <c r="AX37" s="18"/>
    </row>
    <row r="38" spans="1:50" s="3" customFormat="1" ht="12">
      <c r="A38" s="14"/>
      <c r="B38" s="117"/>
      <c r="C38" s="118"/>
      <c r="D38" s="15"/>
      <c r="E38" s="15"/>
      <c r="F38" s="15"/>
      <c r="G38" s="15"/>
      <c r="H38" s="15"/>
      <c r="I38" s="15"/>
      <c r="J38" s="15"/>
      <c r="K38" s="15"/>
      <c r="L38" s="132"/>
      <c r="M38" s="131"/>
      <c r="O38" s="15" t="s">
        <v>175</v>
      </c>
      <c r="P38" s="15"/>
      <c r="Q38" s="15"/>
      <c r="R38" s="15"/>
      <c r="S38" s="15"/>
      <c r="T38" s="15"/>
      <c r="U38" s="15"/>
      <c r="V38" s="15"/>
      <c r="W38" s="15"/>
      <c r="X38" s="134"/>
      <c r="Y38" s="134"/>
      <c r="Z38" s="134"/>
      <c r="AA38" s="134"/>
      <c r="AB38" s="134"/>
      <c r="AC38" s="134"/>
      <c r="AD38" s="134"/>
      <c r="AE38" s="134"/>
      <c r="AF38" s="134"/>
      <c r="AG38" s="134"/>
      <c r="AH38" s="134"/>
      <c r="AI38" s="134"/>
      <c r="AJ38" s="134"/>
      <c r="AK38" s="134"/>
      <c r="AL38" s="134"/>
      <c r="AM38" s="134"/>
      <c r="AN38" s="134"/>
      <c r="AO38" s="134"/>
      <c r="AP38" s="135"/>
      <c r="AQ38" s="144"/>
      <c r="AR38" s="15"/>
      <c r="AS38" s="15"/>
      <c r="AT38" s="15"/>
      <c r="AU38" s="15"/>
      <c r="AV38" s="15"/>
      <c r="AW38" s="15"/>
      <c r="AX38" s="18"/>
    </row>
    <row r="39" spans="1:50" s="3" customFormat="1" ht="12">
      <c r="A39" s="14"/>
      <c r="B39" s="117"/>
      <c r="C39" s="118"/>
      <c r="D39" s="15"/>
      <c r="E39" s="15"/>
      <c r="F39" s="15"/>
      <c r="G39" s="15"/>
      <c r="H39" s="15"/>
      <c r="I39" s="15"/>
      <c r="J39" s="15"/>
      <c r="K39" s="15"/>
      <c r="L39" s="132"/>
      <c r="M39" s="131"/>
      <c r="S39" s="3" t="s">
        <v>176</v>
      </c>
      <c r="U39" s="15"/>
      <c r="X39" s="3" t="s">
        <v>177</v>
      </c>
      <c r="Z39" s="3" t="s">
        <v>178</v>
      </c>
      <c r="AA39" s="134"/>
      <c r="AB39" s="134"/>
      <c r="AC39" s="134"/>
      <c r="AD39" s="134"/>
      <c r="AE39" s="134"/>
      <c r="AF39" s="134"/>
      <c r="AG39" s="134"/>
      <c r="AH39" s="134"/>
      <c r="AI39" s="134"/>
      <c r="AJ39" s="134"/>
      <c r="AK39" s="134"/>
      <c r="AL39" s="134"/>
      <c r="AM39" s="134"/>
      <c r="AN39" s="134"/>
      <c r="AO39" s="134"/>
      <c r="AP39" s="135"/>
      <c r="AQ39" s="144"/>
      <c r="AR39" s="15"/>
      <c r="AS39" s="15"/>
      <c r="AT39" s="15"/>
      <c r="AU39" s="15"/>
      <c r="AV39" s="15"/>
      <c r="AW39" s="15"/>
      <c r="AX39" s="18"/>
    </row>
    <row r="40" spans="1:50" s="3" customFormat="1" ht="12">
      <c r="A40" s="14"/>
      <c r="B40" s="117"/>
      <c r="C40" s="118"/>
      <c r="D40" s="15"/>
      <c r="E40" s="15"/>
      <c r="F40" s="15"/>
      <c r="G40" s="15"/>
      <c r="H40" s="15"/>
      <c r="I40" s="15"/>
      <c r="J40" s="15"/>
      <c r="K40" s="15"/>
      <c r="L40" s="132"/>
      <c r="M40" s="131"/>
      <c r="O40" s="133"/>
      <c r="P40" s="134"/>
      <c r="Q40" s="3" t="s">
        <v>179</v>
      </c>
      <c r="S40" s="3" t="s">
        <v>180</v>
      </c>
      <c r="U40" s="15"/>
      <c r="X40" s="3" t="s">
        <v>177</v>
      </c>
      <c r="Z40" s="3" t="s">
        <v>181</v>
      </c>
      <c r="AA40" s="134"/>
      <c r="AB40" s="134"/>
      <c r="AC40" s="134"/>
      <c r="AD40" s="134"/>
      <c r="AE40" s="134"/>
      <c r="AF40" s="134"/>
      <c r="AG40" s="134"/>
      <c r="AH40" s="134"/>
      <c r="AI40" s="134"/>
      <c r="AJ40" s="134"/>
      <c r="AK40" s="134"/>
      <c r="AL40" s="134"/>
      <c r="AM40" s="134"/>
      <c r="AN40" s="134"/>
      <c r="AO40" s="134"/>
      <c r="AP40" s="135"/>
      <c r="AQ40" s="144"/>
      <c r="AR40" s="15"/>
      <c r="AS40" s="15"/>
      <c r="AT40" s="15"/>
      <c r="AU40" s="15"/>
      <c r="AV40" s="15"/>
      <c r="AW40" s="15"/>
      <c r="AX40" s="18"/>
    </row>
    <row r="41" spans="1:50" s="3" customFormat="1" ht="12">
      <c r="A41" s="14"/>
      <c r="B41" s="117"/>
      <c r="C41" s="118"/>
      <c r="D41" s="15"/>
      <c r="E41" s="15"/>
      <c r="F41" s="15"/>
      <c r="G41" s="15"/>
      <c r="H41" s="15"/>
      <c r="I41" s="15"/>
      <c r="J41" s="15"/>
      <c r="K41" s="15"/>
      <c r="L41" s="132"/>
      <c r="M41" s="131"/>
      <c r="N41" s="133"/>
      <c r="O41" s="134"/>
      <c r="P41" s="134"/>
      <c r="Q41" s="134"/>
      <c r="R41" s="134"/>
      <c r="S41" s="134"/>
      <c r="T41" s="134"/>
      <c r="U41" s="134"/>
      <c r="V41" s="134"/>
      <c r="W41" s="134"/>
      <c r="X41" s="134"/>
      <c r="Y41" s="134"/>
      <c r="Z41" s="134"/>
      <c r="AA41" s="134"/>
      <c r="AB41" s="134"/>
      <c r="AC41" s="134"/>
      <c r="AD41" s="134"/>
      <c r="AE41" s="134"/>
      <c r="AF41" s="134"/>
      <c r="AG41" s="134"/>
      <c r="AH41" s="134"/>
      <c r="AI41" s="134"/>
      <c r="AJ41" s="134"/>
      <c r="AK41" s="134"/>
      <c r="AL41" s="134"/>
      <c r="AM41" s="134"/>
      <c r="AN41" s="134"/>
      <c r="AO41" s="134"/>
      <c r="AP41" s="135"/>
      <c r="AQ41" s="144"/>
      <c r="AR41" s="15"/>
      <c r="AS41" s="15"/>
      <c r="AT41" s="15"/>
      <c r="AU41" s="15"/>
      <c r="AV41" s="15"/>
      <c r="AW41" s="15"/>
      <c r="AX41" s="18"/>
    </row>
    <row r="42" spans="1:50" s="3" customFormat="1" ht="12">
      <c r="A42" s="14"/>
      <c r="B42" s="117"/>
      <c r="C42" s="118"/>
      <c r="D42" s="15"/>
      <c r="E42" s="15"/>
      <c r="F42" s="15"/>
      <c r="G42" s="15"/>
      <c r="H42" s="15"/>
      <c r="I42" s="15"/>
      <c r="J42" s="15"/>
      <c r="K42" s="15"/>
      <c r="L42" s="132"/>
      <c r="M42" s="131"/>
      <c r="N42" s="133"/>
      <c r="O42" s="134"/>
      <c r="P42" s="134"/>
      <c r="Q42" s="134"/>
      <c r="R42" s="134"/>
      <c r="S42" s="134"/>
      <c r="T42" s="134"/>
      <c r="U42" s="134"/>
      <c r="V42" s="134"/>
      <c r="W42" s="134"/>
      <c r="X42" s="134"/>
      <c r="Y42" s="134"/>
      <c r="Z42" s="134"/>
      <c r="AA42" s="134"/>
      <c r="AB42" s="134"/>
      <c r="AC42" s="134"/>
      <c r="AD42" s="134"/>
      <c r="AE42" s="134"/>
      <c r="AF42" s="134"/>
      <c r="AG42" s="134"/>
      <c r="AH42" s="134"/>
      <c r="AI42" s="134"/>
      <c r="AJ42" s="134"/>
      <c r="AK42" s="134"/>
      <c r="AL42" s="134"/>
      <c r="AM42" s="134"/>
      <c r="AN42" s="134"/>
      <c r="AO42" s="134"/>
      <c r="AP42" s="135"/>
      <c r="AQ42" s="144"/>
      <c r="AR42" s="15"/>
      <c r="AS42" s="15"/>
      <c r="AT42" s="15"/>
      <c r="AU42" s="15"/>
      <c r="AV42" s="15"/>
      <c r="AW42" s="15"/>
      <c r="AX42" s="18"/>
    </row>
    <row r="43" spans="1:50" s="3" customFormat="1" ht="12">
      <c r="A43" s="14"/>
      <c r="B43" s="117"/>
      <c r="C43" s="118"/>
      <c r="D43" s="15"/>
      <c r="E43" s="15"/>
      <c r="F43" s="15"/>
      <c r="G43" s="15"/>
      <c r="H43" s="15"/>
      <c r="I43" s="15"/>
      <c r="J43" s="15"/>
      <c r="K43" s="15"/>
      <c r="L43" s="132"/>
      <c r="M43" s="131"/>
      <c r="N43" s="133" t="s">
        <v>223</v>
      </c>
      <c r="O43" s="134"/>
      <c r="P43" s="134" t="s">
        <v>136</v>
      </c>
      <c r="Q43" s="134"/>
      <c r="R43" s="134"/>
      <c r="S43" s="134"/>
      <c r="T43" s="134"/>
      <c r="U43" s="134"/>
      <c r="V43" s="134"/>
      <c r="W43" s="134"/>
      <c r="X43" s="134"/>
      <c r="Y43" s="134"/>
      <c r="Z43" s="134"/>
      <c r="AA43" s="134"/>
      <c r="AB43" s="134"/>
      <c r="AC43" s="134"/>
      <c r="AD43" s="134"/>
      <c r="AE43" s="134"/>
      <c r="AF43" s="134"/>
      <c r="AG43" s="134"/>
      <c r="AH43" s="134"/>
      <c r="AI43" s="134"/>
      <c r="AJ43" s="134"/>
      <c r="AK43" s="134"/>
      <c r="AL43" s="134"/>
      <c r="AM43" s="134"/>
      <c r="AN43" s="134"/>
      <c r="AO43" s="134"/>
      <c r="AP43" s="135"/>
      <c r="AQ43" s="144"/>
      <c r="AR43" s="15"/>
      <c r="AS43" s="15"/>
      <c r="AT43" s="15"/>
      <c r="AU43" s="15"/>
      <c r="AV43" s="15"/>
      <c r="AW43" s="15"/>
      <c r="AX43" s="18"/>
    </row>
    <row r="44" spans="1:50" s="3" customFormat="1" ht="12">
      <c r="A44" s="14"/>
      <c r="B44" s="117"/>
      <c r="C44" s="118"/>
      <c r="D44" s="15"/>
      <c r="E44" s="15"/>
      <c r="F44" s="15"/>
      <c r="G44" s="15"/>
      <c r="H44" s="15"/>
      <c r="I44" s="15"/>
      <c r="J44" s="15"/>
      <c r="K44" s="15"/>
      <c r="L44" s="132"/>
      <c r="M44" s="131"/>
      <c r="N44" s="133"/>
      <c r="O44" s="134"/>
      <c r="P44" s="134" t="s">
        <v>299</v>
      </c>
      <c r="Q44" s="134"/>
      <c r="R44" s="134"/>
      <c r="S44" s="134"/>
      <c r="T44" s="134"/>
      <c r="U44" s="134"/>
      <c r="V44" s="134"/>
      <c r="W44" s="134"/>
      <c r="X44" s="134"/>
      <c r="Y44" s="134"/>
      <c r="Z44" s="134"/>
      <c r="AA44" s="134"/>
      <c r="AB44" s="134"/>
      <c r="AC44" s="134"/>
      <c r="AD44" s="134"/>
      <c r="AE44" s="134"/>
      <c r="AF44" s="134"/>
      <c r="AG44" s="134"/>
      <c r="AH44" s="134"/>
      <c r="AI44" s="134"/>
      <c r="AJ44" s="134"/>
      <c r="AK44" s="134"/>
      <c r="AL44" s="134"/>
      <c r="AM44" s="134"/>
      <c r="AN44" s="134"/>
      <c r="AO44" s="134"/>
      <c r="AP44" s="135"/>
      <c r="AQ44" s="144"/>
      <c r="AR44" s="15"/>
      <c r="AS44" s="15"/>
      <c r="AT44" s="15"/>
      <c r="AU44" s="15"/>
      <c r="AV44" s="15"/>
      <c r="AW44" s="15"/>
      <c r="AX44" s="18"/>
    </row>
    <row r="45" spans="1:50" s="3" customFormat="1" ht="12">
      <c r="A45" s="14"/>
      <c r="B45" s="117"/>
      <c r="C45" s="118"/>
      <c r="D45" s="15"/>
      <c r="E45" s="15"/>
      <c r="F45" s="15"/>
      <c r="G45" s="15"/>
      <c r="H45" s="15"/>
      <c r="I45" s="15"/>
      <c r="J45" s="15"/>
      <c r="K45" s="15"/>
      <c r="L45" s="132"/>
      <c r="M45" s="131"/>
      <c r="N45" s="133"/>
      <c r="O45" s="134"/>
      <c r="P45" s="134"/>
      <c r="Q45" s="134"/>
      <c r="R45" s="134"/>
      <c r="S45" s="134"/>
      <c r="T45" s="134"/>
      <c r="U45" s="134"/>
      <c r="V45" s="134"/>
      <c r="W45" s="134"/>
      <c r="X45" s="134"/>
      <c r="Y45" s="134"/>
      <c r="Z45" s="134"/>
      <c r="AA45" s="134"/>
      <c r="AB45" s="134"/>
      <c r="AC45" s="134"/>
      <c r="AD45" s="134"/>
      <c r="AE45" s="134"/>
      <c r="AF45" s="134"/>
      <c r="AG45" s="134"/>
      <c r="AH45" s="134"/>
      <c r="AI45" s="134"/>
      <c r="AJ45" s="134"/>
      <c r="AK45" s="134"/>
      <c r="AL45" s="134"/>
      <c r="AM45" s="134"/>
      <c r="AN45" s="134"/>
      <c r="AO45" s="134"/>
      <c r="AP45" s="135"/>
      <c r="AQ45" s="144"/>
      <c r="AR45" s="15"/>
      <c r="AS45" s="15"/>
      <c r="AT45" s="15"/>
      <c r="AU45" s="15"/>
      <c r="AV45" s="15"/>
      <c r="AW45" s="15"/>
      <c r="AX45" s="18"/>
    </row>
    <row r="46" spans="1:50" s="3" customFormat="1" ht="12">
      <c r="A46" s="14"/>
      <c r="B46" s="117"/>
      <c r="C46" s="118"/>
      <c r="D46" s="15"/>
      <c r="E46" s="15"/>
      <c r="F46" s="15"/>
      <c r="G46" s="15"/>
      <c r="H46" s="15"/>
      <c r="I46" s="15"/>
      <c r="J46" s="15"/>
      <c r="K46" s="15"/>
      <c r="L46" s="132"/>
      <c r="M46" s="131"/>
      <c r="N46" s="133"/>
      <c r="O46" s="134"/>
      <c r="P46" s="134"/>
      <c r="Q46" s="134"/>
      <c r="R46" s="134"/>
      <c r="S46" s="134"/>
      <c r="T46" s="134"/>
      <c r="U46" s="134"/>
      <c r="V46" s="134"/>
      <c r="W46" s="134"/>
      <c r="X46" s="134"/>
      <c r="Y46" s="134"/>
      <c r="Z46" s="134"/>
      <c r="AA46" s="134"/>
      <c r="AB46" s="134"/>
      <c r="AC46" s="134"/>
      <c r="AD46" s="134"/>
      <c r="AE46" s="134"/>
      <c r="AF46" s="134"/>
      <c r="AG46" s="134"/>
      <c r="AH46" s="134"/>
      <c r="AI46" s="134"/>
      <c r="AJ46" s="134"/>
      <c r="AK46" s="134"/>
      <c r="AL46" s="134"/>
      <c r="AM46" s="134"/>
      <c r="AN46" s="134"/>
      <c r="AO46" s="134"/>
      <c r="AP46" s="135"/>
      <c r="AQ46" s="144"/>
      <c r="AR46" s="15"/>
      <c r="AS46" s="15"/>
      <c r="AT46" s="15"/>
      <c r="AU46" s="15"/>
      <c r="AV46" s="15"/>
      <c r="AW46" s="15"/>
      <c r="AX46" s="18"/>
    </row>
    <row r="47" spans="1:50" s="3" customFormat="1" ht="12">
      <c r="A47" s="14"/>
      <c r="B47" s="117"/>
      <c r="C47" s="118"/>
      <c r="D47" s="15"/>
      <c r="E47" s="15"/>
      <c r="F47" s="15"/>
      <c r="G47" s="15"/>
      <c r="H47" s="15"/>
      <c r="I47" s="15"/>
      <c r="J47" s="15"/>
      <c r="K47" s="15"/>
      <c r="L47" s="132"/>
      <c r="M47" s="131"/>
      <c r="N47" s="133"/>
      <c r="O47" s="134"/>
      <c r="P47" s="134"/>
      <c r="Q47" s="134"/>
      <c r="R47" s="134"/>
      <c r="S47" s="134"/>
      <c r="T47" s="134"/>
      <c r="U47" s="134"/>
      <c r="V47" s="134"/>
      <c r="W47" s="134"/>
      <c r="X47" s="134"/>
      <c r="Y47" s="134"/>
      <c r="Z47" s="134"/>
      <c r="AA47" s="134"/>
      <c r="AB47" s="134"/>
      <c r="AC47" s="134"/>
      <c r="AD47" s="134"/>
      <c r="AE47" s="134"/>
      <c r="AF47" s="134"/>
      <c r="AG47" s="134"/>
      <c r="AH47" s="134"/>
      <c r="AI47" s="134"/>
      <c r="AJ47" s="134"/>
      <c r="AK47" s="134"/>
      <c r="AL47" s="134"/>
      <c r="AM47" s="134"/>
      <c r="AN47" s="134"/>
      <c r="AO47" s="134"/>
      <c r="AP47" s="135"/>
      <c r="AQ47" s="144"/>
      <c r="AR47" s="15"/>
      <c r="AS47" s="15"/>
      <c r="AT47" s="15"/>
      <c r="AU47" s="15"/>
      <c r="AV47" s="15"/>
      <c r="AW47" s="15"/>
      <c r="AX47" s="18"/>
    </row>
    <row r="48" spans="1:50" s="3" customFormat="1" ht="12">
      <c r="A48" s="14"/>
      <c r="B48" s="117"/>
      <c r="C48" s="118"/>
      <c r="D48" s="15"/>
      <c r="E48" s="15"/>
      <c r="F48" s="15"/>
      <c r="G48" s="15"/>
      <c r="H48" s="15"/>
      <c r="I48" s="15"/>
      <c r="J48" s="15"/>
      <c r="K48" s="15"/>
      <c r="L48" s="132"/>
      <c r="M48" s="131"/>
      <c r="N48" s="133" t="s">
        <v>224</v>
      </c>
      <c r="O48" s="134"/>
      <c r="P48" s="134" t="s">
        <v>140</v>
      </c>
      <c r="Q48" s="134"/>
      <c r="R48" s="134"/>
      <c r="S48" s="134"/>
      <c r="T48" s="134"/>
      <c r="U48" s="134"/>
      <c r="V48" s="134"/>
      <c r="W48" s="134"/>
      <c r="X48" s="134"/>
      <c r="Y48" s="134"/>
      <c r="Z48" s="134"/>
      <c r="AA48" s="134"/>
      <c r="AB48" s="134"/>
      <c r="AC48" s="134"/>
      <c r="AD48" s="134"/>
      <c r="AE48" s="134"/>
      <c r="AF48" s="134"/>
      <c r="AG48" s="134"/>
      <c r="AH48" s="134"/>
      <c r="AI48" s="134"/>
      <c r="AJ48" s="134"/>
      <c r="AK48" s="134"/>
      <c r="AL48" s="134"/>
      <c r="AM48" s="134"/>
      <c r="AN48" s="134"/>
      <c r="AO48" s="134"/>
      <c r="AP48" s="135"/>
      <c r="AQ48" s="144"/>
      <c r="AR48" s="15"/>
      <c r="AS48" s="15"/>
      <c r="AT48" s="15"/>
      <c r="AU48" s="15"/>
      <c r="AV48" s="15"/>
      <c r="AW48" s="15"/>
      <c r="AX48" s="18"/>
    </row>
    <row r="49" spans="1:50" s="3" customFormat="1" ht="12">
      <c r="A49" s="14"/>
      <c r="B49" s="117"/>
      <c r="C49" s="118"/>
      <c r="D49" s="15"/>
      <c r="E49" s="15"/>
      <c r="F49" s="15"/>
      <c r="G49" s="15"/>
      <c r="H49" s="15"/>
      <c r="I49" s="15"/>
      <c r="J49" s="15"/>
      <c r="K49" s="15"/>
      <c r="L49" s="132"/>
      <c r="M49" s="131"/>
      <c r="N49" s="133"/>
      <c r="O49" s="134"/>
      <c r="P49" s="134" t="s">
        <v>300</v>
      </c>
      <c r="Q49" s="134"/>
      <c r="R49" s="134"/>
      <c r="S49" s="134"/>
      <c r="T49" s="134"/>
      <c r="U49" s="134"/>
      <c r="V49" s="134"/>
      <c r="W49" s="134"/>
      <c r="X49" s="134"/>
      <c r="Y49" s="134"/>
      <c r="Z49" s="134"/>
      <c r="AA49" s="134"/>
      <c r="AB49" s="134"/>
      <c r="AC49" s="134"/>
      <c r="AD49" s="134"/>
      <c r="AE49" s="134"/>
      <c r="AF49" s="134"/>
      <c r="AG49" s="134"/>
      <c r="AH49" s="134"/>
      <c r="AI49" s="134"/>
      <c r="AJ49" s="134"/>
      <c r="AK49" s="134"/>
      <c r="AL49" s="134"/>
      <c r="AM49" s="134"/>
      <c r="AN49" s="134"/>
      <c r="AO49" s="134"/>
      <c r="AP49" s="135"/>
      <c r="AQ49" s="144"/>
      <c r="AR49" s="15"/>
      <c r="AS49" s="15"/>
      <c r="AT49" s="15"/>
      <c r="AU49" s="15"/>
      <c r="AV49" s="15"/>
      <c r="AW49" s="15"/>
      <c r="AX49" s="18"/>
    </row>
    <row r="50" spans="1:50" s="3" customFormat="1" ht="12">
      <c r="A50" s="14"/>
      <c r="B50" s="117"/>
      <c r="C50" s="118"/>
      <c r="D50" s="15"/>
      <c r="E50" s="15"/>
      <c r="F50" s="15"/>
      <c r="G50" s="15"/>
      <c r="H50" s="15"/>
      <c r="I50" s="15"/>
      <c r="J50" s="15"/>
      <c r="K50" s="15"/>
      <c r="L50" s="132"/>
      <c r="M50" s="131"/>
      <c r="N50" s="133"/>
      <c r="O50" s="134"/>
      <c r="P50" s="134"/>
      <c r="Q50" s="134"/>
      <c r="R50" s="134"/>
      <c r="S50" s="134"/>
      <c r="T50" s="134"/>
      <c r="U50" s="134"/>
      <c r="V50" s="134"/>
      <c r="W50" s="134"/>
      <c r="X50" s="134"/>
      <c r="Y50" s="134"/>
      <c r="Z50" s="134"/>
      <c r="AA50" s="134"/>
      <c r="AB50" s="134"/>
      <c r="AC50" s="134"/>
      <c r="AD50" s="134"/>
      <c r="AE50" s="134"/>
      <c r="AF50" s="134"/>
      <c r="AG50" s="134"/>
      <c r="AH50" s="134"/>
      <c r="AI50" s="134"/>
      <c r="AJ50" s="134"/>
      <c r="AK50" s="134"/>
      <c r="AL50" s="134"/>
      <c r="AM50" s="134"/>
      <c r="AN50" s="134"/>
      <c r="AO50" s="134"/>
      <c r="AP50" s="135"/>
      <c r="AQ50" s="144"/>
      <c r="AR50" s="15"/>
      <c r="AS50" s="15"/>
      <c r="AT50" s="15"/>
      <c r="AU50" s="15"/>
      <c r="AV50" s="15"/>
      <c r="AW50" s="15"/>
      <c r="AX50" s="18"/>
    </row>
    <row r="51" spans="1:50" s="3" customFormat="1" ht="12">
      <c r="A51" s="14"/>
      <c r="B51" s="117"/>
      <c r="C51" s="118"/>
      <c r="D51" s="15"/>
      <c r="E51" s="15"/>
      <c r="F51" s="15"/>
      <c r="G51" s="15"/>
      <c r="H51" s="15"/>
      <c r="I51" s="15"/>
      <c r="J51" s="15"/>
      <c r="K51" s="15"/>
      <c r="L51" s="132"/>
      <c r="M51" s="131"/>
      <c r="N51" s="133"/>
      <c r="O51" s="134"/>
      <c r="P51" s="134"/>
      <c r="Q51" s="134"/>
      <c r="R51" s="134"/>
      <c r="S51" s="134"/>
      <c r="T51" s="134"/>
      <c r="U51" s="134"/>
      <c r="V51" s="134"/>
      <c r="W51" s="134"/>
      <c r="X51" s="134"/>
      <c r="Y51" s="134"/>
      <c r="Z51" s="134"/>
      <c r="AA51" s="134"/>
      <c r="AB51" s="134"/>
      <c r="AC51" s="134"/>
      <c r="AD51" s="134"/>
      <c r="AE51" s="134"/>
      <c r="AF51" s="134"/>
      <c r="AG51" s="134"/>
      <c r="AH51" s="134"/>
      <c r="AI51" s="134"/>
      <c r="AJ51" s="134"/>
      <c r="AK51" s="134"/>
      <c r="AL51" s="134"/>
      <c r="AM51" s="134"/>
      <c r="AN51" s="134"/>
      <c r="AO51" s="134"/>
      <c r="AP51" s="135"/>
      <c r="AQ51" s="144"/>
      <c r="AR51" s="15"/>
      <c r="AS51" s="15"/>
      <c r="AT51" s="15"/>
      <c r="AU51" s="15"/>
      <c r="AV51" s="15"/>
      <c r="AW51" s="15"/>
      <c r="AX51" s="18"/>
    </row>
    <row r="52" spans="1:50" s="3" customFormat="1" ht="12">
      <c r="A52" s="14"/>
      <c r="B52" s="117"/>
      <c r="C52" s="118"/>
      <c r="D52" s="15"/>
      <c r="E52" s="15"/>
      <c r="F52" s="15"/>
      <c r="G52" s="15"/>
      <c r="H52" s="15"/>
      <c r="I52" s="15"/>
      <c r="J52" s="15"/>
      <c r="K52" s="15"/>
      <c r="L52" s="132"/>
      <c r="M52" s="134" t="s">
        <v>165</v>
      </c>
      <c r="N52" s="133"/>
      <c r="O52" s="134"/>
      <c r="P52" s="134"/>
      <c r="Q52" s="134"/>
      <c r="R52" s="134"/>
      <c r="S52" s="134"/>
      <c r="T52" s="134"/>
      <c r="U52" s="134"/>
      <c r="V52" s="134"/>
      <c r="W52" s="134"/>
      <c r="X52" s="134"/>
      <c r="Y52" s="134"/>
      <c r="Z52" s="134"/>
      <c r="AA52" s="134"/>
      <c r="AB52" s="134"/>
      <c r="AC52" s="134"/>
      <c r="AD52" s="134"/>
      <c r="AE52" s="134"/>
      <c r="AF52" s="134"/>
      <c r="AG52" s="134"/>
      <c r="AH52" s="134"/>
      <c r="AI52" s="134"/>
      <c r="AJ52" s="134"/>
      <c r="AK52" s="134"/>
      <c r="AL52" s="134"/>
      <c r="AM52" s="134"/>
      <c r="AN52" s="134"/>
      <c r="AO52" s="134"/>
      <c r="AP52" s="135"/>
      <c r="AQ52" s="144"/>
      <c r="AR52" s="15"/>
      <c r="AS52" s="15"/>
      <c r="AT52" s="15"/>
      <c r="AU52" s="15"/>
      <c r="AV52" s="15"/>
      <c r="AW52" s="15"/>
      <c r="AX52" s="18"/>
    </row>
    <row r="53" spans="1:50" s="3" customFormat="1" ht="12">
      <c r="A53" s="14"/>
      <c r="B53" s="117"/>
      <c r="C53" s="118"/>
      <c r="D53" s="15"/>
      <c r="E53" s="15"/>
      <c r="F53" s="15"/>
      <c r="G53" s="15"/>
      <c r="H53" s="15"/>
      <c r="I53" s="15"/>
      <c r="J53" s="15"/>
      <c r="K53" s="15"/>
      <c r="L53" s="132"/>
      <c r="M53" s="131"/>
      <c r="N53" s="133"/>
      <c r="O53" s="134"/>
      <c r="P53" s="134"/>
      <c r="Q53" s="134"/>
      <c r="R53" s="134"/>
      <c r="S53" s="134"/>
      <c r="T53" s="134"/>
      <c r="U53" s="134"/>
      <c r="V53" s="134"/>
      <c r="W53" s="134"/>
      <c r="X53" s="134"/>
      <c r="Y53" s="134"/>
      <c r="Z53" s="134"/>
      <c r="AA53" s="134"/>
      <c r="AB53" s="134"/>
      <c r="AC53" s="134"/>
      <c r="AD53" s="134"/>
      <c r="AE53" s="134"/>
      <c r="AF53" s="134"/>
      <c r="AG53" s="134"/>
      <c r="AH53" s="134"/>
      <c r="AI53" s="134"/>
      <c r="AJ53" s="134"/>
      <c r="AK53" s="134"/>
      <c r="AL53" s="134"/>
      <c r="AM53" s="134"/>
      <c r="AN53" s="134"/>
      <c r="AO53" s="134"/>
      <c r="AP53" s="135"/>
      <c r="AQ53" s="144"/>
      <c r="AR53" s="15"/>
      <c r="AS53" s="15"/>
      <c r="AT53" s="15"/>
      <c r="AU53" s="15"/>
      <c r="AV53" s="15"/>
      <c r="AW53" s="15"/>
      <c r="AX53" s="18"/>
    </row>
    <row r="54" spans="1:50" s="3" customFormat="1" ht="12">
      <c r="A54" s="14"/>
      <c r="B54" s="117"/>
      <c r="C54" s="118"/>
      <c r="D54" s="15"/>
      <c r="E54" s="15"/>
      <c r="F54" s="15"/>
      <c r="G54" s="15"/>
      <c r="H54" s="15"/>
      <c r="I54" s="15"/>
      <c r="J54" s="15"/>
      <c r="K54" s="15"/>
      <c r="L54" s="132" t="s">
        <v>166</v>
      </c>
      <c r="M54" s="131" t="s">
        <v>304</v>
      </c>
      <c r="N54" s="133"/>
      <c r="O54" s="134"/>
      <c r="P54" s="134"/>
      <c r="Q54" s="134"/>
      <c r="R54" s="134"/>
      <c r="S54" s="134"/>
      <c r="T54" s="134"/>
      <c r="U54" s="134"/>
      <c r="V54" s="134"/>
      <c r="W54" s="134"/>
      <c r="X54" s="134"/>
      <c r="Y54" s="134"/>
      <c r="Z54" s="134"/>
      <c r="AA54" s="134"/>
      <c r="AB54" s="134"/>
      <c r="AC54" s="134"/>
      <c r="AD54" s="134"/>
      <c r="AE54" s="134"/>
      <c r="AF54" s="134"/>
      <c r="AG54" s="134"/>
      <c r="AH54" s="134"/>
      <c r="AI54" s="134"/>
      <c r="AJ54" s="134"/>
      <c r="AK54" s="134"/>
      <c r="AL54" s="134"/>
      <c r="AM54" s="134"/>
      <c r="AN54" s="134"/>
      <c r="AO54" s="134"/>
      <c r="AP54" s="135"/>
      <c r="AQ54" s="144"/>
      <c r="AR54" s="15"/>
      <c r="AS54" s="15"/>
      <c r="AT54" s="15"/>
      <c r="AU54" s="15"/>
      <c r="AV54" s="15"/>
      <c r="AW54" s="15"/>
      <c r="AX54" s="18"/>
    </row>
    <row r="55" spans="1:50" s="3" customFormat="1" ht="12">
      <c r="A55" s="14"/>
      <c r="B55" s="117"/>
      <c r="C55" s="118"/>
      <c r="D55" s="15"/>
      <c r="E55" s="15"/>
      <c r="F55" s="15"/>
      <c r="G55" s="15"/>
      <c r="H55" s="15"/>
      <c r="I55" s="15"/>
      <c r="J55" s="15"/>
      <c r="K55" s="15"/>
      <c r="L55" s="132"/>
      <c r="M55" s="131" t="s">
        <v>141</v>
      </c>
      <c r="N55" s="133"/>
      <c r="O55" s="134"/>
      <c r="P55" s="134"/>
      <c r="Q55" s="134"/>
      <c r="R55" s="134"/>
      <c r="S55" s="134"/>
      <c r="T55" s="134"/>
      <c r="U55" s="134"/>
      <c r="V55" s="134"/>
      <c r="W55" s="134"/>
      <c r="X55" s="134"/>
      <c r="Y55" s="134"/>
      <c r="Z55" s="134"/>
      <c r="AA55" s="134"/>
      <c r="AB55" s="134"/>
      <c r="AC55" s="134"/>
      <c r="AD55" s="134"/>
      <c r="AE55" s="134"/>
      <c r="AF55" s="134"/>
      <c r="AG55" s="134"/>
      <c r="AH55" s="134"/>
      <c r="AI55" s="134"/>
      <c r="AJ55" s="134"/>
      <c r="AK55" s="134"/>
      <c r="AL55" s="134"/>
      <c r="AM55" s="134"/>
      <c r="AN55" s="134"/>
      <c r="AO55" s="134"/>
      <c r="AP55" s="135"/>
      <c r="AQ55" s="144"/>
      <c r="AR55" s="15"/>
      <c r="AS55" s="15"/>
      <c r="AT55" s="15"/>
      <c r="AU55" s="15"/>
      <c r="AV55" s="15"/>
      <c r="AW55" s="15"/>
      <c r="AX55" s="18"/>
    </row>
    <row r="56" spans="1:50" s="3" customFormat="1" ht="12">
      <c r="A56" s="14"/>
      <c r="B56" s="117"/>
      <c r="C56" s="118"/>
      <c r="D56" s="15"/>
      <c r="E56" s="15"/>
      <c r="F56" s="15"/>
      <c r="G56" s="15"/>
      <c r="H56" s="15"/>
      <c r="I56" s="15"/>
      <c r="J56" s="15"/>
      <c r="K56" s="15"/>
      <c r="L56" s="132"/>
      <c r="M56" s="131"/>
      <c r="N56" s="134"/>
      <c r="O56" s="134"/>
      <c r="P56" s="134"/>
      <c r="Q56" s="134"/>
      <c r="R56" s="134"/>
      <c r="S56" s="134"/>
      <c r="T56" s="134"/>
      <c r="U56" s="134"/>
      <c r="V56" s="134"/>
      <c r="W56" s="134"/>
      <c r="X56" s="134"/>
      <c r="Y56" s="134"/>
      <c r="Z56" s="134"/>
      <c r="AA56" s="134"/>
      <c r="AB56" s="134"/>
      <c r="AC56" s="134"/>
      <c r="AD56" s="134"/>
      <c r="AE56" s="134"/>
      <c r="AF56" s="134"/>
      <c r="AG56" s="134"/>
      <c r="AH56" s="134"/>
      <c r="AI56" s="134"/>
      <c r="AJ56" s="134"/>
      <c r="AK56" s="134"/>
      <c r="AL56" s="134"/>
      <c r="AM56" s="134"/>
      <c r="AN56" s="134"/>
      <c r="AO56" s="134"/>
      <c r="AP56" s="135"/>
      <c r="AQ56" s="15"/>
      <c r="AR56" s="15"/>
      <c r="AS56" s="15"/>
      <c r="AT56" s="15"/>
      <c r="AU56" s="15"/>
      <c r="AV56" s="15"/>
      <c r="AW56" s="15"/>
      <c r="AX56" s="18"/>
    </row>
    <row r="57" spans="1:50" s="3" customFormat="1" ht="12">
      <c r="A57" s="19">
        <v>2</v>
      </c>
      <c r="B57" s="20" t="s">
        <v>142</v>
      </c>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2"/>
    </row>
    <row r="58" spans="1:50" s="3" customFormat="1" ht="12">
      <c r="A58" s="14"/>
      <c r="B58" s="414" t="s">
        <v>167</v>
      </c>
      <c r="C58" s="415"/>
      <c r="D58" s="15" t="s">
        <v>121</v>
      </c>
      <c r="E58" s="15"/>
      <c r="F58" s="15"/>
      <c r="G58" s="15"/>
      <c r="H58" s="15"/>
      <c r="I58" s="15"/>
      <c r="J58" s="15"/>
      <c r="K58" s="15"/>
      <c r="L58" s="132" t="s">
        <v>168</v>
      </c>
      <c r="M58" s="131" t="s">
        <v>143</v>
      </c>
      <c r="N58" s="134"/>
      <c r="O58" s="134"/>
      <c r="P58" s="134"/>
      <c r="Q58" s="134"/>
      <c r="R58" s="134"/>
      <c r="S58" s="134"/>
      <c r="T58" s="134"/>
      <c r="U58" s="134"/>
      <c r="V58" s="134"/>
      <c r="W58" s="134"/>
      <c r="X58" s="134"/>
      <c r="Y58" s="134"/>
      <c r="Z58" s="134"/>
      <c r="AA58" s="134"/>
      <c r="AB58" s="134"/>
      <c r="AC58" s="134"/>
      <c r="AD58" s="134"/>
      <c r="AE58" s="134"/>
      <c r="AF58" s="134"/>
      <c r="AG58" s="134"/>
      <c r="AH58" s="134"/>
      <c r="AI58" s="134"/>
      <c r="AJ58" s="134"/>
      <c r="AK58" s="134"/>
      <c r="AL58" s="134"/>
      <c r="AM58" s="134"/>
      <c r="AN58" s="134"/>
      <c r="AO58" s="134"/>
      <c r="AP58" s="135"/>
      <c r="AQ58" s="15" t="s">
        <v>126</v>
      </c>
      <c r="AR58" s="15"/>
      <c r="AS58" s="15"/>
      <c r="AT58" s="15"/>
      <c r="AU58" s="15"/>
      <c r="AV58" s="15"/>
      <c r="AW58" s="15"/>
      <c r="AX58" s="18"/>
    </row>
    <row r="59" spans="1:50" s="3" customFormat="1" ht="12">
      <c r="A59" s="14"/>
      <c r="B59" s="117"/>
      <c r="C59" s="118"/>
      <c r="D59" s="136" t="s">
        <v>144</v>
      </c>
      <c r="E59" s="15"/>
      <c r="F59" s="15"/>
      <c r="G59" s="15"/>
      <c r="H59" s="15"/>
      <c r="I59" s="15"/>
      <c r="J59" s="15"/>
      <c r="K59" s="15"/>
      <c r="L59" s="132"/>
      <c r="M59" s="145"/>
      <c r="N59" s="133"/>
      <c r="O59" s="134"/>
      <c r="P59" s="134"/>
      <c r="Q59" s="134"/>
      <c r="R59" s="134"/>
      <c r="S59" s="134"/>
      <c r="T59" s="134"/>
      <c r="U59" s="134"/>
      <c r="V59" s="134"/>
      <c r="W59" s="134"/>
      <c r="X59" s="134"/>
      <c r="Y59" s="134"/>
      <c r="Z59" s="134"/>
      <c r="AA59" s="134"/>
      <c r="AB59" s="134"/>
      <c r="AC59" s="134"/>
      <c r="AD59" s="134"/>
      <c r="AE59" s="134"/>
      <c r="AF59" s="134"/>
      <c r="AG59" s="134"/>
      <c r="AH59" s="134"/>
      <c r="AI59" s="134"/>
      <c r="AJ59" s="134"/>
      <c r="AK59" s="134"/>
      <c r="AL59" s="134"/>
      <c r="AM59" s="134"/>
      <c r="AN59" s="134"/>
      <c r="AO59" s="134"/>
      <c r="AP59" s="135"/>
      <c r="AQ59" s="144"/>
      <c r="AR59" s="15"/>
      <c r="AS59" s="15"/>
      <c r="AT59" s="15"/>
      <c r="AU59" s="15"/>
      <c r="AV59" s="15"/>
      <c r="AW59" s="15"/>
      <c r="AX59" s="18"/>
    </row>
    <row r="60" spans="1:50" s="3" customFormat="1" ht="12">
      <c r="A60" s="14"/>
      <c r="B60" s="117"/>
      <c r="C60" s="118"/>
      <c r="D60" s="15"/>
      <c r="E60" s="15"/>
      <c r="F60" s="15"/>
      <c r="G60" s="15"/>
      <c r="H60" s="15"/>
      <c r="I60" s="15"/>
      <c r="J60" s="15"/>
      <c r="K60" s="15"/>
      <c r="L60" s="132"/>
      <c r="M60" s="134"/>
      <c r="N60" s="134"/>
      <c r="O60" s="134"/>
      <c r="P60" s="134"/>
      <c r="Q60" s="134"/>
      <c r="R60" s="134"/>
      <c r="S60" s="134"/>
      <c r="T60" s="134"/>
      <c r="U60" s="134"/>
      <c r="V60" s="134"/>
      <c r="W60" s="134"/>
      <c r="X60" s="134"/>
      <c r="Y60" s="134"/>
      <c r="Z60" s="134"/>
      <c r="AA60" s="134"/>
      <c r="AB60" s="134"/>
      <c r="AC60" s="134"/>
      <c r="AD60" s="134"/>
      <c r="AE60" s="134"/>
      <c r="AF60" s="134"/>
      <c r="AG60" s="134"/>
      <c r="AH60" s="134"/>
      <c r="AI60" s="134"/>
      <c r="AJ60" s="134"/>
      <c r="AK60" s="134"/>
      <c r="AL60" s="134"/>
      <c r="AM60" s="134"/>
      <c r="AN60" s="134"/>
      <c r="AO60" s="134"/>
      <c r="AP60" s="135"/>
      <c r="AQ60" s="15"/>
      <c r="AR60" s="15"/>
      <c r="AS60" s="15"/>
      <c r="AT60" s="15"/>
      <c r="AU60" s="15"/>
      <c r="AV60" s="15"/>
      <c r="AW60" s="15"/>
      <c r="AX60" s="18"/>
    </row>
    <row r="61" spans="1:50" s="3" customFormat="1" ht="12">
      <c r="A61" s="14"/>
      <c r="B61" s="117"/>
      <c r="C61" s="118"/>
      <c r="D61" s="15"/>
      <c r="E61" s="15"/>
      <c r="F61" s="15"/>
      <c r="G61" s="15"/>
      <c r="H61" s="15"/>
      <c r="I61" s="15"/>
      <c r="J61" s="15"/>
      <c r="K61" s="15"/>
      <c r="L61" s="132"/>
      <c r="M61" s="134"/>
      <c r="N61" s="134"/>
      <c r="O61" s="134"/>
      <c r="P61" s="134"/>
      <c r="Q61" s="134"/>
      <c r="R61" s="134"/>
      <c r="S61" s="134"/>
      <c r="T61" s="134"/>
      <c r="U61" s="134"/>
      <c r="V61" s="134"/>
      <c r="W61" s="134"/>
      <c r="X61" s="134"/>
      <c r="Y61" s="134"/>
      <c r="Z61" s="134"/>
      <c r="AA61" s="134"/>
      <c r="AB61" s="134"/>
      <c r="AC61" s="134"/>
      <c r="AD61" s="134"/>
      <c r="AE61" s="134"/>
      <c r="AF61" s="134"/>
      <c r="AG61" s="134"/>
      <c r="AH61" s="134"/>
      <c r="AI61" s="134"/>
      <c r="AJ61" s="134"/>
      <c r="AK61" s="134"/>
      <c r="AL61" s="134"/>
      <c r="AM61" s="134"/>
      <c r="AN61" s="134"/>
      <c r="AO61" s="134"/>
      <c r="AP61" s="135"/>
      <c r="AQ61" s="15"/>
      <c r="AR61" s="15"/>
      <c r="AS61" s="15"/>
      <c r="AT61" s="15"/>
      <c r="AU61" s="15"/>
      <c r="AV61" s="15"/>
      <c r="AW61" s="15"/>
      <c r="AX61" s="18"/>
    </row>
    <row r="62" spans="1:50" s="3" customFormat="1" ht="12">
      <c r="A62" s="14"/>
      <c r="B62" s="117"/>
      <c r="C62" s="118"/>
      <c r="D62" s="15"/>
      <c r="E62" s="15"/>
      <c r="F62" s="15"/>
      <c r="G62" s="15"/>
      <c r="H62" s="15"/>
      <c r="I62" s="15"/>
      <c r="J62" s="15"/>
      <c r="K62" s="15"/>
      <c r="L62" s="132"/>
      <c r="M62" s="131" t="s">
        <v>225</v>
      </c>
      <c r="N62" s="133"/>
      <c r="O62" s="134" t="s">
        <v>305</v>
      </c>
      <c r="P62" s="134"/>
      <c r="Q62" s="134"/>
      <c r="R62" s="134"/>
      <c r="S62" s="134"/>
      <c r="T62" s="134"/>
      <c r="U62" s="134"/>
      <c r="V62" s="134"/>
      <c r="W62" s="134"/>
      <c r="X62" s="134"/>
      <c r="Y62" s="134"/>
      <c r="Z62" s="134"/>
      <c r="AA62" s="134"/>
      <c r="AB62" s="134"/>
      <c r="AC62" s="134"/>
      <c r="AD62" s="134"/>
      <c r="AE62" s="134"/>
      <c r="AF62" s="134"/>
      <c r="AG62" s="134"/>
      <c r="AH62" s="134"/>
      <c r="AI62" s="134"/>
      <c r="AJ62" s="134"/>
      <c r="AK62" s="134"/>
      <c r="AL62" s="134"/>
      <c r="AM62" s="134"/>
      <c r="AN62" s="134"/>
      <c r="AO62" s="134"/>
      <c r="AP62" s="135"/>
      <c r="AQ62" s="144"/>
      <c r="AR62" s="15"/>
      <c r="AS62" s="15"/>
      <c r="AT62" s="15"/>
      <c r="AU62" s="15"/>
      <c r="AV62" s="15"/>
      <c r="AW62" s="15"/>
      <c r="AX62" s="18"/>
    </row>
    <row r="63" spans="1:50" s="3" customFormat="1" ht="12">
      <c r="A63" s="14"/>
      <c r="B63" s="117"/>
      <c r="C63" s="118"/>
      <c r="D63" s="15"/>
      <c r="E63" s="15"/>
      <c r="F63" s="15"/>
      <c r="G63" s="15"/>
      <c r="H63" s="15"/>
      <c r="I63" s="15"/>
      <c r="J63" s="15"/>
      <c r="K63" s="15"/>
      <c r="L63" s="132"/>
      <c r="M63" s="131"/>
      <c r="N63" s="133"/>
      <c r="O63" s="134" t="s">
        <v>240</v>
      </c>
      <c r="P63" s="134"/>
      <c r="Q63" s="134"/>
      <c r="R63" s="134"/>
      <c r="S63" s="134"/>
      <c r="T63" s="134"/>
      <c r="U63" s="134"/>
      <c r="V63" s="134"/>
      <c r="W63" s="134"/>
      <c r="X63" s="134"/>
      <c r="Y63" s="134"/>
      <c r="Z63" s="134"/>
      <c r="AA63" s="134"/>
      <c r="AB63" s="134"/>
      <c r="AC63" s="134"/>
      <c r="AD63" s="134"/>
      <c r="AE63" s="134"/>
      <c r="AF63" s="134"/>
      <c r="AG63" s="134"/>
      <c r="AH63" s="134"/>
      <c r="AI63" s="134"/>
      <c r="AJ63" s="134"/>
      <c r="AK63" s="134"/>
      <c r="AL63" s="134"/>
      <c r="AM63" s="134"/>
      <c r="AN63" s="134"/>
      <c r="AO63" s="134"/>
      <c r="AP63" s="135"/>
      <c r="AQ63" s="144"/>
      <c r="AR63" s="15"/>
      <c r="AS63" s="15"/>
      <c r="AT63" s="15"/>
      <c r="AU63" s="15"/>
      <c r="AV63" s="15"/>
      <c r="AW63" s="15"/>
      <c r="AX63" s="18"/>
    </row>
    <row r="64" spans="1:50" s="3" customFormat="1" ht="12">
      <c r="A64" s="14"/>
      <c r="B64" s="117"/>
      <c r="C64" s="118"/>
      <c r="D64" s="15"/>
      <c r="E64" s="15"/>
      <c r="F64" s="15"/>
      <c r="G64" s="15"/>
      <c r="H64" s="15"/>
      <c r="I64" s="15"/>
      <c r="J64" s="15"/>
      <c r="K64" s="15"/>
      <c r="L64" s="132"/>
      <c r="M64" s="131"/>
      <c r="N64" s="133"/>
      <c r="O64" s="134" t="s">
        <v>182</v>
      </c>
      <c r="P64" s="134"/>
      <c r="Q64" s="134"/>
      <c r="R64" s="134"/>
      <c r="S64" s="134"/>
      <c r="T64" s="134"/>
      <c r="U64" s="134"/>
      <c r="V64" s="134"/>
      <c r="W64" s="134"/>
      <c r="X64" s="134"/>
      <c r="Y64" s="134"/>
      <c r="Z64" s="134"/>
      <c r="AA64" s="134"/>
      <c r="AB64" s="134"/>
      <c r="AC64" s="134"/>
      <c r="AD64" s="134"/>
      <c r="AE64" s="134"/>
      <c r="AF64" s="134"/>
      <c r="AG64" s="134"/>
      <c r="AH64" s="134"/>
      <c r="AI64" s="134"/>
      <c r="AJ64" s="134"/>
      <c r="AK64" s="134"/>
      <c r="AL64" s="134"/>
      <c r="AM64" s="134"/>
      <c r="AN64" s="134"/>
      <c r="AO64" s="134"/>
      <c r="AP64" s="135"/>
      <c r="AQ64" s="144"/>
      <c r="AR64" s="15"/>
      <c r="AS64" s="15"/>
      <c r="AT64" s="15"/>
      <c r="AU64" s="15"/>
      <c r="AV64" s="15"/>
      <c r="AW64" s="15"/>
      <c r="AX64" s="18"/>
    </row>
    <row r="65" spans="1:50" s="3" customFormat="1" ht="12">
      <c r="A65" s="14"/>
      <c r="B65" s="117"/>
      <c r="C65" s="118"/>
      <c r="D65" s="15"/>
      <c r="E65" s="15"/>
      <c r="F65" s="15"/>
      <c r="G65" s="15"/>
      <c r="H65" s="15"/>
      <c r="I65" s="15"/>
      <c r="J65" s="15"/>
      <c r="K65" s="15"/>
      <c r="L65" s="132"/>
      <c r="M65" s="131"/>
      <c r="N65" s="133"/>
      <c r="O65" s="134"/>
      <c r="P65" s="134"/>
      <c r="Q65" s="134"/>
      <c r="R65" s="134"/>
      <c r="S65" s="134"/>
      <c r="T65" s="134"/>
      <c r="U65" s="134"/>
      <c r="V65" s="134"/>
      <c r="W65" s="134"/>
      <c r="X65" s="134"/>
      <c r="Y65" s="134"/>
      <c r="Z65" s="134"/>
      <c r="AA65" s="134"/>
      <c r="AB65" s="134"/>
      <c r="AC65" s="134"/>
      <c r="AD65" s="134"/>
      <c r="AE65" s="134"/>
      <c r="AF65" s="134"/>
      <c r="AG65" s="134"/>
      <c r="AH65" s="134"/>
      <c r="AI65" s="134"/>
      <c r="AJ65" s="134"/>
      <c r="AK65" s="134"/>
      <c r="AL65" s="134"/>
      <c r="AM65" s="134"/>
      <c r="AN65" s="134"/>
      <c r="AO65" s="134"/>
      <c r="AP65" s="135"/>
      <c r="AQ65" s="144"/>
      <c r="AR65" s="15"/>
      <c r="AS65" s="15"/>
      <c r="AT65" s="15"/>
      <c r="AU65" s="15"/>
      <c r="AV65" s="15"/>
      <c r="AW65" s="15"/>
      <c r="AX65" s="18"/>
    </row>
    <row r="66" spans="1:50" s="3" customFormat="1" ht="12">
      <c r="A66" s="14"/>
      <c r="B66" s="117"/>
      <c r="C66" s="118"/>
      <c r="D66" s="15"/>
      <c r="E66" s="15"/>
      <c r="F66" s="15"/>
      <c r="G66" s="15"/>
      <c r="H66" s="15"/>
      <c r="I66" s="15"/>
      <c r="J66" s="15"/>
      <c r="K66" s="15"/>
      <c r="L66" s="132"/>
      <c r="M66" s="131"/>
      <c r="O66" s="148" t="s">
        <v>169</v>
      </c>
      <c r="P66" s="148"/>
      <c r="Q66" s="148"/>
      <c r="R66" s="148"/>
      <c r="S66" s="148"/>
      <c r="T66" s="148"/>
      <c r="U66" s="148"/>
      <c r="V66" s="148"/>
      <c r="W66" s="148"/>
      <c r="X66" s="148"/>
      <c r="Y66" s="148"/>
      <c r="Z66" s="148"/>
      <c r="AA66" s="148"/>
      <c r="AB66" s="148"/>
      <c r="AC66" s="148"/>
      <c r="AD66" s="148"/>
      <c r="AE66" s="148"/>
      <c r="AF66" s="148"/>
      <c r="AG66" s="148"/>
      <c r="AH66" s="148"/>
      <c r="AI66" s="148"/>
      <c r="AJ66" s="148"/>
      <c r="AK66" s="148"/>
      <c r="AL66" s="148"/>
      <c r="AM66" s="134"/>
      <c r="AN66" s="134"/>
      <c r="AO66" s="134"/>
      <c r="AP66" s="135"/>
      <c r="AQ66" s="144"/>
      <c r="AR66" s="15"/>
      <c r="AS66" s="15"/>
      <c r="AT66" s="15"/>
      <c r="AU66" s="15"/>
      <c r="AV66" s="15"/>
      <c r="AW66" s="15"/>
      <c r="AX66" s="18"/>
    </row>
    <row r="67" spans="1:50" s="3" customFormat="1" ht="12">
      <c r="A67" s="14"/>
      <c r="B67" s="117"/>
      <c r="C67" s="118"/>
      <c r="D67" s="15"/>
      <c r="E67" s="15"/>
      <c r="F67" s="15"/>
      <c r="G67" s="15"/>
      <c r="H67" s="15"/>
      <c r="I67" s="15"/>
      <c r="J67" s="15"/>
      <c r="K67" s="15"/>
      <c r="L67" s="132"/>
      <c r="M67" s="131"/>
      <c r="O67" s="150" t="s">
        <v>27</v>
      </c>
      <c r="P67" s="152"/>
      <c r="Q67" s="152"/>
      <c r="R67" s="152"/>
      <c r="S67" s="152"/>
      <c r="T67" s="152"/>
      <c r="U67" s="152"/>
      <c r="V67" s="152"/>
      <c r="W67" s="152"/>
      <c r="X67" s="153" t="s">
        <v>170</v>
      </c>
      <c r="Y67" s="154"/>
      <c r="Z67" s="154"/>
      <c r="AA67" s="152"/>
      <c r="AB67" s="152"/>
      <c r="AC67" s="152"/>
      <c r="AD67" s="152"/>
      <c r="AE67" s="152"/>
      <c r="AF67" s="152"/>
      <c r="AG67" s="152"/>
      <c r="AH67" s="152"/>
      <c r="AI67" s="152"/>
      <c r="AJ67" s="151"/>
      <c r="AM67" s="134"/>
      <c r="AN67" s="134"/>
      <c r="AO67" s="134"/>
      <c r="AP67" s="135"/>
      <c r="AQ67" s="144"/>
      <c r="AR67" s="15"/>
      <c r="AS67" s="15"/>
      <c r="AT67" s="15"/>
      <c r="AU67" s="15"/>
      <c r="AV67" s="15"/>
      <c r="AW67" s="15"/>
      <c r="AX67" s="18"/>
    </row>
    <row r="68" spans="1:50" s="3" customFormat="1" ht="14.25">
      <c r="A68" s="14"/>
      <c r="B68" s="117"/>
      <c r="C68" s="118"/>
      <c r="D68" s="15"/>
      <c r="E68" s="15"/>
      <c r="F68" s="15"/>
      <c r="G68" s="15"/>
      <c r="H68" s="15"/>
      <c r="I68" s="15"/>
      <c r="J68" s="15"/>
      <c r="K68" s="15"/>
      <c r="L68" s="132"/>
      <c r="M68" s="131"/>
      <c r="O68" s="146" t="s">
        <v>138</v>
      </c>
      <c r="P68" s="157"/>
      <c r="Q68" s="157"/>
      <c r="R68" s="157"/>
      <c r="S68" s="4"/>
      <c r="T68" s="4"/>
      <c r="U68" s="4"/>
      <c r="V68" s="4"/>
      <c r="W68" s="156"/>
      <c r="X68" s="146" t="s">
        <v>201</v>
      </c>
      <c r="Y68" s="158"/>
      <c r="Z68" s="158"/>
      <c r="AA68" s="158"/>
      <c r="AB68" s="158"/>
      <c r="AC68" s="158"/>
      <c r="AD68" s="158"/>
      <c r="AE68" s="158"/>
      <c r="AF68" s="158"/>
      <c r="AG68" s="158"/>
      <c r="AH68" s="158"/>
      <c r="AI68" s="158"/>
      <c r="AJ68" s="159"/>
      <c r="AM68" s="134"/>
      <c r="AN68" s="134"/>
      <c r="AO68" s="134"/>
      <c r="AP68" s="135"/>
      <c r="AQ68" s="144"/>
      <c r="AR68" s="15"/>
      <c r="AS68" s="15"/>
      <c r="AT68" s="15"/>
      <c r="AU68" s="15"/>
      <c r="AV68" s="15"/>
      <c r="AW68" s="15"/>
      <c r="AX68" s="18"/>
    </row>
    <row r="69" spans="1:50" s="3" customFormat="1" ht="14.25">
      <c r="A69" s="14"/>
      <c r="B69" s="117"/>
      <c r="C69" s="118"/>
      <c r="D69" s="15"/>
      <c r="E69" s="15"/>
      <c r="F69" s="15"/>
      <c r="G69" s="15"/>
      <c r="H69" s="15"/>
      <c r="I69" s="15"/>
      <c r="J69" s="15"/>
      <c r="K69" s="15"/>
      <c r="L69" s="132"/>
      <c r="M69" s="131"/>
      <c r="O69" s="146" t="s">
        <v>139</v>
      </c>
      <c r="P69" s="157"/>
      <c r="Q69" s="157"/>
      <c r="R69" s="157"/>
      <c r="S69" s="4"/>
      <c r="T69" s="4"/>
      <c r="U69" s="4"/>
      <c r="V69" s="4"/>
      <c r="W69" s="156"/>
      <c r="X69" s="146" t="s">
        <v>202</v>
      </c>
      <c r="Y69" s="158"/>
      <c r="Z69" s="158"/>
      <c r="AA69" s="158"/>
      <c r="AB69" s="158"/>
      <c r="AC69" s="158"/>
      <c r="AD69" s="158"/>
      <c r="AE69" s="158"/>
      <c r="AF69" s="158"/>
      <c r="AG69" s="158"/>
      <c r="AH69" s="158"/>
      <c r="AI69" s="158"/>
      <c r="AJ69" s="159"/>
      <c r="AM69" s="134"/>
      <c r="AN69" s="134"/>
      <c r="AO69" s="134"/>
      <c r="AP69" s="135"/>
      <c r="AQ69" s="144"/>
      <c r="AR69" s="15"/>
      <c r="AS69" s="15"/>
      <c r="AT69" s="15"/>
      <c r="AU69" s="15"/>
      <c r="AV69" s="15"/>
      <c r="AW69" s="15"/>
      <c r="AX69" s="18"/>
    </row>
    <row r="70" spans="1:50" s="3" customFormat="1" ht="14.25">
      <c r="A70" s="14"/>
      <c r="B70" s="117"/>
      <c r="C70" s="118"/>
      <c r="D70" s="15"/>
      <c r="E70" s="15"/>
      <c r="F70" s="15"/>
      <c r="G70" s="15"/>
      <c r="H70" s="15"/>
      <c r="I70" s="15"/>
      <c r="J70" s="15"/>
      <c r="K70" s="15"/>
      <c r="L70" s="132"/>
      <c r="M70" s="131"/>
      <c r="O70" s="146" t="s">
        <v>146</v>
      </c>
      <c r="P70" s="157"/>
      <c r="Q70" s="157"/>
      <c r="R70" s="157"/>
      <c r="S70" s="4"/>
      <c r="T70" s="4"/>
      <c r="U70" s="4"/>
      <c r="V70" s="4"/>
      <c r="W70" s="156"/>
      <c r="X70" s="146" t="s">
        <v>203</v>
      </c>
      <c r="Y70" s="158"/>
      <c r="Z70" s="158"/>
      <c r="AA70" s="158"/>
      <c r="AB70" s="158"/>
      <c r="AC70" s="158"/>
      <c r="AD70" s="158"/>
      <c r="AE70" s="158"/>
      <c r="AF70" s="158"/>
      <c r="AG70" s="158"/>
      <c r="AH70" s="158"/>
      <c r="AI70" s="158"/>
      <c r="AJ70" s="159"/>
      <c r="AM70" s="134"/>
      <c r="AN70" s="134"/>
      <c r="AO70" s="134"/>
      <c r="AP70" s="135"/>
      <c r="AQ70" s="144"/>
      <c r="AR70" s="15"/>
      <c r="AS70" s="15"/>
      <c r="AT70" s="15"/>
      <c r="AU70" s="15"/>
      <c r="AV70" s="15"/>
      <c r="AW70" s="15"/>
      <c r="AX70" s="18"/>
    </row>
    <row r="71" spans="1:50" s="3" customFormat="1" ht="14.25">
      <c r="A71" s="14"/>
      <c r="B71" s="117"/>
      <c r="C71" s="118"/>
      <c r="D71" s="15"/>
      <c r="E71" s="15"/>
      <c r="F71" s="15"/>
      <c r="G71" s="15"/>
      <c r="H71" s="15"/>
      <c r="I71" s="15"/>
      <c r="J71" s="15"/>
      <c r="K71" s="15"/>
      <c r="L71" s="132"/>
      <c r="M71" s="131"/>
      <c r="O71" s="146" t="s">
        <v>147</v>
      </c>
      <c r="P71" s="157"/>
      <c r="Q71" s="157"/>
      <c r="R71" s="157"/>
      <c r="S71" s="4"/>
      <c r="T71" s="4"/>
      <c r="U71" s="4"/>
      <c r="V71" s="4"/>
      <c r="W71" s="156"/>
      <c r="X71" s="146" t="s">
        <v>204</v>
      </c>
      <c r="Y71" s="158"/>
      <c r="Z71" s="158"/>
      <c r="AA71" s="158"/>
      <c r="AB71" s="158"/>
      <c r="AC71" s="158"/>
      <c r="AD71" s="158"/>
      <c r="AE71" s="158"/>
      <c r="AF71" s="158"/>
      <c r="AG71" s="158"/>
      <c r="AH71" s="158"/>
      <c r="AI71" s="158"/>
      <c r="AJ71" s="159"/>
      <c r="AM71" s="134"/>
      <c r="AN71" s="134"/>
      <c r="AO71" s="134"/>
      <c r="AP71" s="135"/>
      <c r="AQ71" s="144"/>
      <c r="AR71" s="15"/>
      <c r="AS71" s="15"/>
      <c r="AT71" s="15"/>
      <c r="AU71" s="15"/>
      <c r="AV71" s="15"/>
      <c r="AW71" s="15"/>
      <c r="AX71" s="18"/>
    </row>
    <row r="72" spans="1:50" s="3" customFormat="1" ht="14.25">
      <c r="A72" s="14"/>
      <c r="B72" s="117"/>
      <c r="C72" s="118"/>
      <c r="D72" s="15"/>
      <c r="E72" s="15"/>
      <c r="F72" s="15"/>
      <c r="G72" s="15"/>
      <c r="H72" s="15"/>
      <c r="I72" s="15"/>
      <c r="J72" s="15"/>
      <c r="K72" s="15"/>
      <c r="L72" s="132"/>
      <c r="M72" s="131"/>
      <c r="O72" s="146" t="s">
        <v>148</v>
      </c>
      <c r="P72" s="157"/>
      <c r="Q72" s="157"/>
      <c r="R72" s="157"/>
      <c r="S72" s="4"/>
      <c r="T72" s="4"/>
      <c r="U72" s="4"/>
      <c r="V72" s="4"/>
      <c r="W72" s="156"/>
      <c r="X72" s="146" t="s">
        <v>205</v>
      </c>
      <c r="Y72" s="158"/>
      <c r="Z72" s="158"/>
      <c r="AA72" s="158"/>
      <c r="AB72" s="158"/>
      <c r="AC72" s="158"/>
      <c r="AD72" s="158"/>
      <c r="AE72" s="158"/>
      <c r="AF72" s="158"/>
      <c r="AG72" s="158"/>
      <c r="AH72" s="158"/>
      <c r="AI72" s="158"/>
      <c r="AJ72" s="159"/>
      <c r="AM72" s="134"/>
      <c r="AN72" s="134"/>
      <c r="AO72" s="134"/>
      <c r="AP72" s="135"/>
      <c r="AQ72" s="144"/>
      <c r="AR72" s="15"/>
      <c r="AS72" s="15"/>
      <c r="AT72" s="15"/>
      <c r="AU72" s="15"/>
      <c r="AV72" s="15"/>
      <c r="AW72" s="15"/>
      <c r="AX72" s="18"/>
    </row>
    <row r="73" spans="1:50" s="3" customFormat="1" ht="14.25">
      <c r="A73" s="14"/>
      <c r="B73" s="117"/>
      <c r="C73" s="118"/>
      <c r="D73" s="15"/>
      <c r="E73" s="15"/>
      <c r="F73" s="15"/>
      <c r="G73" s="15"/>
      <c r="H73" s="15"/>
      <c r="I73" s="15"/>
      <c r="J73" s="15"/>
      <c r="K73" s="15"/>
      <c r="L73" s="132"/>
      <c r="M73" s="131"/>
      <c r="O73" s="146" t="s">
        <v>149</v>
      </c>
      <c r="P73" s="157"/>
      <c r="Q73" s="157"/>
      <c r="R73" s="157"/>
      <c r="S73" s="4"/>
      <c r="T73" s="4"/>
      <c r="U73" s="4"/>
      <c r="V73" s="4"/>
      <c r="W73" s="156"/>
      <c r="X73" s="146" t="s">
        <v>206</v>
      </c>
      <c r="Y73" s="158"/>
      <c r="Z73" s="158"/>
      <c r="AA73" s="158"/>
      <c r="AB73" s="158"/>
      <c r="AC73" s="158"/>
      <c r="AD73" s="158"/>
      <c r="AE73" s="158"/>
      <c r="AF73" s="158"/>
      <c r="AG73" s="158"/>
      <c r="AH73" s="158"/>
      <c r="AI73" s="158"/>
      <c r="AJ73" s="159"/>
      <c r="AM73" s="134"/>
      <c r="AN73" s="134"/>
      <c r="AO73" s="134"/>
      <c r="AP73" s="135"/>
      <c r="AQ73" s="144"/>
      <c r="AR73" s="15"/>
      <c r="AS73" s="15"/>
      <c r="AT73" s="15"/>
      <c r="AU73" s="15"/>
      <c r="AV73" s="15"/>
      <c r="AW73" s="15"/>
      <c r="AX73" s="18"/>
    </row>
    <row r="74" spans="1:50" s="3" customFormat="1" ht="14.25">
      <c r="A74" s="14"/>
      <c r="B74" s="117"/>
      <c r="C74" s="118"/>
      <c r="D74" s="15"/>
      <c r="E74" s="15"/>
      <c r="F74" s="15"/>
      <c r="G74" s="15"/>
      <c r="H74" s="15"/>
      <c r="I74" s="15"/>
      <c r="J74" s="15"/>
      <c r="K74" s="15"/>
      <c r="L74" s="132"/>
      <c r="M74" s="131"/>
      <c r="O74" s="146" t="s">
        <v>150</v>
      </c>
      <c r="P74" s="157"/>
      <c r="Q74" s="157"/>
      <c r="R74" s="157"/>
      <c r="S74" s="4"/>
      <c r="T74" s="4"/>
      <c r="U74" s="4"/>
      <c r="V74" s="4"/>
      <c r="W74" s="156"/>
      <c r="X74" s="146" t="s">
        <v>207</v>
      </c>
      <c r="Y74" s="158"/>
      <c r="Z74" s="158"/>
      <c r="AA74" s="158"/>
      <c r="AB74" s="158"/>
      <c r="AC74" s="158"/>
      <c r="AD74" s="158"/>
      <c r="AE74" s="158"/>
      <c r="AF74" s="158"/>
      <c r="AG74" s="158"/>
      <c r="AH74" s="158"/>
      <c r="AI74" s="158"/>
      <c r="AJ74" s="159"/>
      <c r="AM74" s="134"/>
      <c r="AN74" s="134"/>
      <c r="AO74" s="134"/>
      <c r="AP74" s="135"/>
      <c r="AQ74" s="144"/>
      <c r="AR74" s="15"/>
      <c r="AS74" s="15"/>
      <c r="AT74" s="15"/>
      <c r="AU74" s="15"/>
      <c r="AV74" s="15"/>
      <c r="AW74" s="15"/>
      <c r="AX74" s="18"/>
    </row>
    <row r="75" spans="1:50" s="3" customFormat="1" ht="14.25">
      <c r="A75" s="14"/>
      <c r="B75" s="117"/>
      <c r="C75" s="118"/>
      <c r="D75" s="15"/>
      <c r="E75" s="15"/>
      <c r="F75" s="15"/>
      <c r="G75" s="15"/>
      <c r="H75" s="15"/>
      <c r="I75" s="15"/>
      <c r="J75" s="15"/>
      <c r="K75" s="15"/>
      <c r="L75" s="132"/>
      <c r="M75" s="131"/>
      <c r="O75" s="146" t="s">
        <v>151</v>
      </c>
      <c r="P75" s="157"/>
      <c r="Q75" s="157"/>
      <c r="R75" s="157"/>
      <c r="S75" s="4"/>
      <c r="T75" s="4"/>
      <c r="U75" s="4"/>
      <c r="V75" s="4"/>
      <c r="W75" s="156"/>
      <c r="X75" s="146" t="s">
        <v>208</v>
      </c>
      <c r="Y75" s="158"/>
      <c r="Z75" s="158"/>
      <c r="AA75" s="158"/>
      <c r="AB75" s="158"/>
      <c r="AC75" s="158"/>
      <c r="AD75" s="158"/>
      <c r="AE75" s="158"/>
      <c r="AF75" s="158"/>
      <c r="AG75" s="158"/>
      <c r="AH75" s="158"/>
      <c r="AI75" s="158"/>
      <c r="AJ75" s="159"/>
      <c r="AM75" s="134"/>
      <c r="AN75" s="134"/>
      <c r="AO75" s="134"/>
      <c r="AP75" s="135"/>
      <c r="AQ75" s="144"/>
      <c r="AR75" s="15"/>
      <c r="AS75" s="15"/>
      <c r="AT75" s="15"/>
      <c r="AU75" s="15"/>
      <c r="AV75" s="15"/>
      <c r="AW75" s="15"/>
      <c r="AX75" s="18"/>
    </row>
    <row r="76" spans="1:50" s="3" customFormat="1" ht="14.25">
      <c r="A76" s="14"/>
      <c r="B76" s="117"/>
      <c r="C76" s="118"/>
      <c r="D76" s="15"/>
      <c r="E76" s="15"/>
      <c r="F76" s="15"/>
      <c r="G76" s="15"/>
      <c r="H76" s="15"/>
      <c r="I76" s="15"/>
      <c r="J76" s="15"/>
      <c r="K76" s="15"/>
      <c r="L76" s="132"/>
      <c r="M76" s="131"/>
      <c r="O76" s="146" t="s">
        <v>152</v>
      </c>
      <c r="P76" s="157"/>
      <c r="Q76" s="157"/>
      <c r="R76" s="157"/>
      <c r="S76" s="4"/>
      <c r="T76" s="4"/>
      <c r="U76" s="4"/>
      <c r="V76" s="4"/>
      <c r="W76" s="156"/>
      <c r="X76" s="146" t="s">
        <v>209</v>
      </c>
      <c r="Y76" s="158"/>
      <c r="Z76" s="158"/>
      <c r="AA76" s="158"/>
      <c r="AB76" s="158"/>
      <c r="AC76" s="158"/>
      <c r="AD76" s="158"/>
      <c r="AE76" s="158"/>
      <c r="AF76" s="158"/>
      <c r="AG76" s="158"/>
      <c r="AH76" s="158"/>
      <c r="AI76" s="158"/>
      <c r="AJ76" s="159"/>
      <c r="AM76" s="134"/>
      <c r="AN76" s="134"/>
      <c r="AO76" s="134"/>
      <c r="AP76" s="135"/>
      <c r="AQ76" s="144"/>
      <c r="AR76" s="15"/>
      <c r="AS76" s="15"/>
      <c r="AT76" s="15"/>
      <c r="AU76" s="15"/>
      <c r="AV76" s="15"/>
      <c r="AW76" s="15"/>
      <c r="AX76" s="18"/>
    </row>
    <row r="77" spans="1:50" s="3" customFormat="1" ht="14.25">
      <c r="A77" s="14"/>
      <c r="B77" s="117"/>
      <c r="C77" s="118"/>
      <c r="D77" s="15"/>
      <c r="E77" s="15"/>
      <c r="F77" s="15"/>
      <c r="G77" s="15"/>
      <c r="H77" s="15"/>
      <c r="I77" s="15"/>
      <c r="J77" s="15"/>
      <c r="K77" s="15"/>
      <c r="L77" s="132"/>
      <c r="M77" s="131"/>
      <c r="O77" s="146" t="s">
        <v>153</v>
      </c>
      <c r="P77" s="157"/>
      <c r="Q77" s="157"/>
      <c r="R77" s="157"/>
      <c r="S77" s="4"/>
      <c r="T77" s="4"/>
      <c r="U77" s="4"/>
      <c r="V77" s="4"/>
      <c r="W77" s="156"/>
      <c r="X77" s="146" t="s">
        <v>210</v>
      </c>
      <c r="Y77" s="158"/>
      <c r="Z77" s="158"/>
      <c r="AA77" s="158"/>
      <c r="AB77" s="158"/>
      <c r="AC77" s="158"/>
      <c r="AD77" s="158"/>
      <c r="AE77" s="158"/>
      <c r="AF77" s="158"/>
      <c r="AG77" s="158"/>
      <c r="AH77" s="158"/>
      <c r="AI77" s="158"/>
      <c r="AJ77" s="159"/>
      <c r="AM77" s="134"/>
      <c r="AN77" s="134"/>
      <c r="AO77" s="134"/>
      <c r="AP77" s="135"/>
      <c r="AQ77" s="144"/>
      <c r="AR77" s="15"/>
      <c r="AS77" s="15"/>
      <c r="AT77" s="15"/>
      <c r="AU77" s="15"/>
      <c r="AV77" s="15"/>
      <c r="AW77" s="15"/>
      <c r="AX77" s="18"/>
    </row>
    <row r="78" spans="1:50" s="3" customFormat="1" ht="14.25">
      <c r="A78" s="14"/>
      <c r="B78" s="117"/>
      <c r="C78" s="118"/>
      <c r="D78" s="15"/>
      <c r="E78" s="15"/>
      <c r="F78" s="15"/>
      <c r="G78" s="15"/>
      <c r="H78" s="15"/>
      <c r="I78" s="15"/>
      <c r="J78" s="15"/>
      <c r="K78" s="15"/>
      <c r="L78" s="132"/>
      <c r="M78" s="131"/>
      <c r="O78" s="146" t="s">
        <v>154</v>
      </c>
      <c r="P78" s="157"/>
      <c r="Q78" s="157"/>
      <c r="R78" s="157"/>
      <c r="S78" s="4"/>
      <c r="T78" s="4"/>
      <c r="U78" s="4"/>
      <c r="V78" s="4"/>
      <c r="W78" s="156"/>
      <c r="X78" s="146" t="s">
        <v>211</v>
      </c>
      <c r="Y78" s="158"/>
      <c r="Z78" s="158"/>
      <c r="AA78" s="158"/>
      <c r="AB78" s="158"/>
      <c r="AC78" s="158"/>
      <c r="AD78" s="158"/>
      <c r="AE78" s="158"/>
      <c r="AF78" s="158"/>
      <c r="AG78" s="158"/>
      <c r="AH78" s="158"/>
      <c r="AI78" s="158"/>
      <c r="AJ78" s="159"/>
      <c r="AM78" s="134"/>
      <c r="AN78" s="134"/>
      <c r="AO78" s="134"/>
      <c r="AP78" s="135"/>
      <c r="AQ78" s="144"/>
      <c r="AR78" s="15"/>
      <c r="AS78" s="15"/>
      <c r="AT78" s="15"/>
      <c r="AU78" s="15"/>
      <c r="AV78" s="15"/>
      <c r="AW78" s="15"/>
      <c r="AX78" s="18"/>
    </row>
    <row r="79" spans="1:50" s="3" customFormat="1" ht="14.25">
      <c r="A79" s="14"/>
      <c r="B79" s="117"/>
      <c r="C79" s="118"/>
      <c r="D79" s="15"/>
      <c r="E79" s="15"/>
      <c r="F79" s="15"/>
      <c r="G79" s="15"/>
      <c r="H79" s="15"/>
      <c r="I79" s="15"/>
      <c r="J79" s="15"/>
      <c r="K79" s="15"/>
      <c r="L79" s="132"/>
      <c r="M79" s="131"/>
      <c r="O79" s="146" t="s">
        <v>155</v>
      </c>
      <c r="P79" s="157"/>
      <c r="Q79" s="157"/>
      <c r="R79" s="157"/>
      <c r="S79" s="4"/>
      <c r="T79" s="4"/>
      <c r="U79" s="4"/>
      <c r="V79" s="4"/>
      <c r="W79" s="156"/>
      <c r="X79" s="146" t="s">
        <v>212</v>
      </c>
      <c r="Y79" s="158"/>
      <c r="Z79" s="158"/>
      <c r="AA79" s="158"/>
      <c r="AB79" s="158"/>
      <c r="AC79" s="158"/>
      <c r="AD79" s="158"/>
      <c r="AE79" s="158"/>
      <c r="AF79" s="158"/>
      <c r="AG79" s="158"/>
      <c r="AH79" s="158"/>
      <c r="AI79" s="158"/>
      <c r="AJ79" s="159"/>
      <c r="AM79" s="134"/>
      <c r="AN79" s="134"/>
      <c r="AO79" s="134"/>
      <c r="AP79" s="135"/>
      <c r="AQ79" s="144"/>
      <c r="AR79" s="15"/>
      <c r="AS79" s="15"/>
      <c r="AT79" s="15"/>
      <c r="AU79" s="15"/>
      <c r="AV79" s="15"/>
      <c r="AW79" s="15"/>
      <c r="AX79" s="18"/>
    </row>
    <row r="80" spans="1:50" s="3" customFormat="1" ht="14.25">
      <c r="A80" s="14"/>
      <c r="B80" s="117"/>
      <c r="C80" s="118"/>
      <c r="D80" s="15"/>
      <c r="E80" s="15"/>
      <c r="F80" s="15"/>
      <c r="G80" s="15"/>
      <c r="H80" s="15"/>
      <c r="I80" s="15"/>
      <c r="J80" s="15"/>
      <c r="K80" s="15"/>
      <c r="L80" s="132"/>
      <c r="M80" s="131"/>
      <c r="O80" s="146" t="s">
        <v>156</v>
      </c>
      <c r="P80" s="157"/>
      <c r="Q80" s="157"/>
      <c r="R80" s="157"/>
      <c r="S80" s="4"/>
      <c r="T80" s="4"/>
      <c r="U80" s="4"/>
      <c r="V80" s="4"/>
      <c r="W80" s="156"/>
      <c r="X80" s="146" t="s">
        <v>213</v>
      </c>
      <c r="Y80" s="158"/>
      <c r="Z80" s="158"/>
      <c r="AA80" s="158"/>
      <c r="AB80" s="158"/>
      <c r="AC80" s="158"/>
      <c r="AD80" s="158"/>
      <c r="AE80" s="158"/>
      <c r="AF80" s="158"/>
      <c r="AG80" s="158"/>
      <c r="AH80" s="158"/>
      <c r="AI80" s="158"/>
      <c r="AJ80" s="159"/>
      <c r="AM80" s="134"/>
      <c r="AN80" s="134"/>
      <c r="AO80" s="134"/>
      <c r="AP80" s="135"/>
      <c r="AQ80" s="144"/>
      <c r="AR80" s="15"/>
      <c r="AS80" s="15"/>
      <c r="AT80" s="15"/>
      <c r="AU80" s="15"/>
      <c r="AV80" s="15"/>
      <c r="AW80" s="15"/>
      <c r="AX80" s="18"/>
    </row>
    <row r="81" spans="1:50" s="3" customFormat="1" ht="14.25">
      <c r="A81" s="14"/>
      <c r="B81" s="117"/>
      <c r="C81" s="118"/>
      <c r="D81" s="15"/>
      <c r="E81" s="15"/>
      <c r="F81" s="15"/>
      <c r="G81" s="15"/>
      <c r="H81" s="15"/>
      <c r="I81" s="15"/>
      <c r="J81" s="15"/>
      <c r="K81" s="15"/>
      <c r="L81" s="132"/>
      <c r="M81" s="131"/>
      <c r="O81" s="146" t="s">
        <v>157</v>
      </c>
      <c r="P81" s="157"/>
      <c r="Q81" s="157"/>
      <c r="R81" s="157"/>
      <c r="S81" s="4"/>
      <c r="T81" s="4"/>
      <c r="U81" s="4"/>
      <c r="V81" s="4"/>
      <c r="W81" s="156"/>
      <c r="X81" s="146" t="s">
        <v>214</v>
      </c>
      <c r="Y81" s="158"/>
      <c r="Z81" s="158"/>
      <c r="AA81" s="158"/>
      <c r="AB81" s="158"/>
      <c r="AC81" s="158"/>
      <c r="AD81" s="158"/>
      <c r="AE81" s="158"/>
      <c r="AF81" s="158"/>
      <c r="AG81" s="158"/>
      <c r="AH81" s="158"/>
      <c r="AI81" s="158"/>
      <c r="AJ81" s="159"/>
      <c r="AM81" s="134"/>
      <c r="AN81" s="134"/>
      <c r="AO81" s="134"/>
      <c r="AP81" s="135"/>
      <c r="AQ81" s="144"/>
      <c r="AR81" s="15"/>
      <c r="AS81" s="15"/>
      <c r="AT81" s="15"/>
      <c r="AU81" s="15"/>
      <c r="AV81" s="15"/>
      <c r="AW81" s="15"/>
      <c r="AX81" s="18"/>
    </row>
    <row r="82" spans="1:50" s="3" customFormat="1" ht="14.25">
      <c r="A82" s="14"/>
      <c r="B82" s="117"/>
      <c r="C82" s="118"/>
      <c r="D82" s="15"/>
      <c r="E82" s="15"/>
      <c r="F82" s="15"/>
      <c r="G82" s="15"/>
      <c r="H82" s="15"/>
      <c r="I82" s="15"/>
      <c r="J82" s="15"/>
      <c r="K82" s="15"/>
      <c r="L82" s="132"/>
      <c r="M82" s="131"/>
      <c r="O82" s="146" t="s">
        <v>158</v>
      </c>
      <c r="P82" s="157"/>
      <c r="Q82" s="157"/>
      <c r="R82" s="157"/>
      <c r="S82" s="4"/>
      <c r="T82" s="4"/>
      <c r="U82" s="4"/>
      <c r="V82" s="4"/>
      <c r="W82" s="156"/>
      <c r="X82" s="146" t="s">
        <v>215</v>
      </c>
      <c r="Y82" s="158"/>
      <c r="Z82" s="158"/>
      <c r="AA82" s="158"/>
      <c r="AB82" s="158"/>
      <c r="AC82" s="158"/>
      <c r="AD82" s="158"/>
      <c r="AE82" s="158"/>
      <c r="AF82" s="158"/>
      <c r="AG82" s="158"/>
      <c r="AH82" s="158"/>
      <c r="AI82" s="158"/>
      <c r="AJ82" s="159"/>
      <c r="AM82" s="134"/>
      <c r="AN82" s="134"/>
      <c r="AO82" s="134"/>
      <c r="AP82" s="135"/>
      <c r="AQ82" s="144"/>
      <c r="AR82" s="15"/>
      <c r="AS82" s="15"/>
      <c r="AT82" s="15"/>
      <c r="AU82" s="15"/>
      <c r="AV82" s="15"/>
      <c r="AW82" s="15"/>
      <c r="AX82" s="18"/>
    </row>
    <row r="83" spans="1:50" s="3" customFormat="1" ht="14.25">
      <c r="A83" s="14"/>
      <c r="B83" s="117"/>
      <c r="C83" s="118"/>
      <c r="D83" s="15"/>
      <c r="E83" s="15"/>
      <c r="F83" s="15"/>
      <c r="G83" s="15"/>
      <c r="H83" s="15"/>
      <c r="I83" s="15"/>
      <c r="J83" s="15"/>
      <c r="K83" s="15"/>
      <c r="L83" s="132"/>
      <c r="M83" s="131"/>
      <c r="O83" s="146" t="s">
        <v>159</v>
      </c>
      <c r="P83" s="157"/>
      <c r="Q83" s="157"/>
      <c r="R83" s="157"/>
      <c r="S83" s="4"/>
      <c r="T83" s="4"/>
      <c r="U83" s="4"/>
      <c r="V83" s="4"/>
      <c r="W83" s="156"/>
      <c r="X83" s="146" t="s">
        <v>216</v>
      </c>
      <c r="Y83" s="158"/>
      <c r="Z83" s="158"/>
      <c r="AA83" s="158"/>
      <c r="AB83" s="158"/>
      <c r="AC83" s="158"/>
      <c r="AD83" s="158"/>
      <c r="AE83" s="158"/>
      <c r="AF83" s="158"/>
      <c r="AG83" s="158"/>
      <c r="AH83" s="158"/>
      <c r="AI83" s="158"/>
      <c r="AJ83" s="159"/>
      <c r="AM83" s="134"/>
      <c r="AN83" s="134"/>
      <c r="AO83" s="134"/>
      <c r="AP83" s="135"/>
      <c r="AQ83" s="144"/>
      <c r="AR83" s="15"/>
      <c r="AS83" s="15"/>
      <c r="AT83" s="15"/>
      <c r="AU83" s="15"/>
      <c r="AV83" s="15"/>
      <c r="AW83" s="15"/>
      <c r="AX83" s="18"/>
    </row>
    <row r="84" spans="1:50" s="3" customFormat="1" ht="14.25">
      <c r="A84" s="14"/>
      <c r="B84" s="117"/>
      <c r="C84" s="118"/>
      <c r="D84" s="15"/>
      <c r="E84" s="15"/>
      <c r="F84" s="15"/>
      <c r="G84" s="15"/>
      <c r="H84" s="15"/>
      <c r="I84" s="15"/>
      <c r="J84" s="15"/>
      <c r="K84" s="15"/>
      <c r="L84" s="132"/>
      <c r="M84" s="131"/>
      <c r="O84" s="147" t="s">
        <v>160</v>
      </c>
      <c r="P84" s="157"/>
      <c r="Q84" s="157"/>
      <c r="R84" s="157"/>
      <c r="S84" s="4"/>
      <c r="T84" s="4"/>
      <c r="U84" s="4"/>
      <c r="V84" s="4"/>
      <c r="W84" s="156"/>
      <c r="X84" s="147" t="s">
        <v>217</v>
      </c>
      <c r="Y84" s="158"/>
      <c r="Z84" s="158"/>
      <c r="AA84" s="158"/>
      <c r="AB84" s="158"/>
      <c r="AC84" s="158"/>
      <c r="AD84" s="158"/>
      <c r="AE84" s="158"/>
      <c r="AF84" s="158"/>
      <c r="AG84" s="158"/>
      <c r="AH84" s="158"/>
      <c r="AI84" s="158"/>
      <c r="AJ84" s="159"/>
      <c r="AM84" s="134"/>
      <c r="AN84" s="134"/>
      <c r="AO84" s="134"/>
      <c r="AP84" s="135"/>
      <c r="AQ84" s="144"/>
      <c r="AR84" s="15"/>
      <c r="AS84" s="15"/>
      <c r="AT84" s="15"/>
      <c r="AU84" s="15"/>
      <c r="AV84" s="15"/>
      <c r="AW84" s="15"/>
      <c r="AX84" s="18"/>
    </row>
    <row r="85" spans="1:50" s="3" customFormat="1" ht="14.25">
      <c r="A85" s="14"/>
      <c r="B85" s="117"/>
      <c r="C85" s="118"/>
      <c r="D85" s="15"/>
      <c r="E85" s="15"/>
      <c r="F85" s="15"/>
      <c r="G85" s="15"/>
      <c r="H85" s="15"/>
      <c r="I85" s="15"/>
      <c r="J85" s="15"/>
      <c r="K85" s="15"/>
      <c r="L85" s="132"/>
      <c r="M85" s="131"/>
      <c r="O85" s="147" t="s">
        <v>161</v>
      </c>
      <c r="P85" s="157"/>
      <c r="Q85" s="157"/>
      <c r="R85" s="157"/>
      <c r="S85" s="4"/>
      <c r="T85" s="4"/>
      <c r="U85" s="4"/>
      <c r="V85" s="4"/>
      <c r="W85" s="156"/>
      <c r="X85" s="147" t="s">
        <v>218</v>
      </c>
      <c r="Y85" s="158"/>
      <c r="Z85" s="158"/>
      <c r="AA85" s="158"/>
      <c r="AB85" s="158"/>
      <c r="AC85" s="158"/>
      <c r="AD85" s="158"/>
      <c r="AE85" s="158"/>
      <c r="AF85" s="158"/>
      <c r="AG85" s="158"/>
      <c r="AH85" s="158"/>
      <c r="AI85" s="158"/>
      <c r="AJ85" s="159"/>
      <c r="AM85" s="134"/>
      <c r="AN85" s="134"/>
      <c r="AO85" s="134"/>
      <c r="AP85" s="135"/>
      <c r="AQ85" s="144"/>
      <c r="AR85" s="15"/>
      <c r="AS85" s="15"/>
      <c r="AT85" s="15"/>
      <c r="AU85" s="15"/>
      <c r="AV85" s="15"/>
      <c r="AW85" s="15"/>
      <c r="AX85" s="18"/>
    </row>
    <row r="86" spans="1:50" s="3" customFormat="1" ht="14.25">
      <c r="A86" s="14"/>
      <c r="B86" s="117"/>
      <c r="C86" s="118"/>
      <c r="D86" s="15"/>
      <c r="E86" s="15"/>
      <c r="F86" s="15"/>
      <c r="G86" s="15"/>
      <c r="H86" s="15"/>
      <c r="I86" s="15"/>
      <c r="J86" s="15"/>
      <c r="K86" s="15"/>
      <c r="L86" s="132"/>
      <c r="M86" s="131"/>
      <c r="O86" s="146" t="s">
        <v>162</v>
      </c>
      <c r="P86" s="157"/>
      <c r="Q86" s="157"/>
      <c r="R86" s="157"/>
      <c r="S86" s="4"/>
      <c r="T86" s="4"/>
      <c r="U86" s="4"/>
      <c r="V86" s="4"/>
      <c r="W86" s="156"/>
      <c r="X86" s="146" t="s">
        <v>219</v>
      </c>
      <c r="Y86" s="158"/>
      <c r="Z86" s="158"/>
      <c r="AA86" s="158"/>
      <c r="AB86" s="158"/>
      <c r="AC86" s="158"/>
      <c r="AD86" s="158"/>
      <c r="AE86" s="158"/>
      <c r="AF86" s="158"/>
      <c r="AG86" s="158"/>
      <c r="AH86" s="158"/>
      <c r="AI86" s="158"/>
      <c r="AJ86" s="159"/>
      <c r="AM86" s="134"/>
      <c r="AN86" s="134"/>
      <c r="AO86" s="134"/>
      <c r="AP86" s="135"/>
      <c r="AQ86" s="144"/>
      <c r="AR86" s="15"/>
      <c r="AS86" s="15"/>
      <c r="AT86" s="15"/>
      <c r="AU86" s="15"/>
      <c r="AV86" s="15"/>
      <c r="AW86" s="15"/>
      <c r="AX86" s="18"/>
    </row>
    <row r="87" spans="1:50" s="3" customFormat="1" ht="14.25">
      <c r="A87" s="14"/>
      <c r="B87" s="117"/>
      <c r="C87" s="118"/>
      <c r="D87" s="15"/>
      <c r="E87" s="15"/>
      <c r="F87" s="15"/>
      <c r="G87" s="15"/>
      <c r="H87" s="15"/>
      <c r="I87" s="15"/>
      <c r="J87" s="15"/>
      <c r="K87" s="15"/>
      <c r="L87" s="132"/>
      <c r="M87" s="131"/>
      <c r="O87" s="146" t="s">
        <v>163</v>
      </c>
      <c r="P87" s="157"/>
      <c r="Q87" s="157"/>
      <c r="R87" s="157"/>
      <c r="S87" s="4"/>
      <c r="T87" s="4"/>
      <c r="U87" s="4"/>
      <c r="V87" s="4"/>
      <c r="W87" s="156"/>
      <c r="X87" s="146" t="s">
        <v>220</v>
      </c>
      <c r="Y87" s="158"/>
      <c r="Z87" s="158"/>
      <c r="AA87" s="158"/>
      <c r="AB87" s="158"/>
      <c r="AC87" s="158"/>
      <c r="AD87" s="158"/>
      <c r="AE87" s="158"/>
      <c r="AF87" s="158"/>
      <c r="AG87" s="158"/>
      <c r="AH87" s="158"/>
      <c r="AI87" s="158"/>
      <c r="AJ87" s="159"/>
      <c r="AM87" s="134"/>
      <c r="AN87" s="134"/>
      <c r="AO87" s="134"/>
      <c r="AP87" s="135"/>
      <c r="AQ87" s="144"/>
      <c r="AR87" s="15"/>
      <c r="AS87" s="15"/>
      <c r="AT87" s="15"/>
      <c r="AU87" s="15"/>
      <c r="AV87" s="15"/>
      <c r="AW87" s="15"/>
      <c r="AX87" s="18"/>
    </row>
    <row r="88" spans="1:50" s="3" customFormat="1" ht="14.25">
      <c r="A88" s="14"/>
      <c r="B88" s="117"/>
      <c r="C88" s="118"/>
      <c r="D88" s="15"/>
      <c r="E88" s="15"/>
      <c r="F88" s="15"/>
      <c r="G88" s="15"/>
      <c r="H88" s="15"/>
      <c r="I88" s="15"/>
      <c r="J88" s="15"/>
      <c r="K88" s="15"/>
      <c r="L88" s="132"/>
      <c r="M88" s="131"/>
      <c r="O88" s="146" t="s">
        <v>164</v>
      </c>
      <c r="P88" s="157"/>
      <c r="Q88" s="157"/>
      <c r="R88" s="157"/>
      <c r="S88" s="4"/>
      <c r="T88" s="4"/>
      <c r="U88" s="4"/>
      <c r="V88" s="4"/>
      <c r="W88" s="156"/>
      <c r="X88" s="146" t="s">
        <v>221</v>
      </c>
      <c r="Y88" s="158"/>
      <c r="Z88" s="158"/>
      <c r="AA88" s="158"/>
      <c r="AB88" s="158"/>
      <c r="AC88" s="158"/>
      <c r="AD88" s="158"/>
      <c r="AE88" s="158"/>
      <c r="AF88" s="158"/>
      <c r="AG88" s="158"/>
      <c r="AH88" s="158"/>
      <c r="AI88" s="158"/>
      <c r="AJ88" s="159"/>
      <c r="AM88" s="134"/>
      <c r="AN88" s="134"/>
      <c r="AO88" s="134"/>
      <c r="AP88" s="135"/>
      <c r="AQ88" s="144"/>
      <c r="AR88" s="15"/>
      <c r="AS88" s="15"/>
      <c r="AT88" s="15"/>
      <c r="AU88" s="15"/>
      <c r="AV88" s="15"/>
      <c r="AW88" s="15"/>
      <c r="AX88" s="18"/>
    </row>
    <row r="89" spans="1:50" s="3" customFormat="1" ht="12">
      <c r="A89" s="14"/>
      <c r="B89" s="117"/>
      <c r="C89" s="118"/>
      <c r="D89" s="15"/>
      <c r="E89" s="15"/>
      <c r="F89" s="15"/>
      <c r="G89" s="15"/>
      <c r="H89" s="15"/>
      <c r="I89" s="15"/>
      <c r="J89" s="15"/>
      <c r="K89" s="15"/>
      <c r="L89" s="132"/>
      <c r="M89" s="131"/>
      <c r="O89" s="70"/>
      <c r="P89" s="70"/>
      <c r="Q89" s="70"/>
      <c r="R89" s="70"/>
      <c r="S89" s="70"/>
      <c r="T89" s="70"/>
      <c r="U89" s="149"/>
      <c r="V89" s="149"/>
      <c r="W89" s="149"/>
      <c r="X89" s="149"/>
      <c r="Y89" s="70"/>
      <c r="Z89" s="70"/>
      <c r="AA89" s="161"/>
      <c r="AB89" s="161"/>
      <c r="AC89" s="161"/>
      <c r="AD89" s="161"/>
      <c r="AE89" s="161"/>
      <c r="AF89" s="161"/>
      <c r="AG89" s="161"/>
      <c r="AH89" s="161"/>
      <c r="AI89" s="161"/>
      <c r="AJ89" s="161"/>
      <c r="AK89" s="161"/>
      <c r="AL89" s="161"/>
      <c r="AM89" s="134"/>
      <c r="AN89" s="134"/>
      <c r="AO89" s="134"/>
      <c r="AP89" s="135"/>
      <c r="AQ89" s="144"/>
      <c r="AR89" s="15"/>
      <c r="AS89" s="15"/>
      <c r="AT89" s="15"/>
      <c r="AU89" s="15"/>
      <c r="AV89" s="15"/>
      <c r="AW89" s="15"/>
      <c r="AX89" s="18"/>
    </row>
    <row r="90" spans="1:50" s="3" customFormat="1" ht="12">
      <c r="A90" s="14"/>
      <c r="B90" s="117"/>
      <c r="C90" s="118"/>
      <c r="D90" s="15"/>
      <c r="E90" s="15"/>
      <c r="F90" s="15"/>
      <c r="G90" s="15"/>
      <c r="H90" s="15"/>
      <c r="I90" s="15"/>
      <c r="J90" s="15"/>
      <c r="K90" s="15"/>
      <c r="L90" s="132"/>
      <c r="M90" s="131"/>
      <c r="O90" s="70"/>
      <c r="P90" s="70"/>
      <c r="Q90" s="148"/>
      <c r="R90" s="160"/>
      <c r="S90" s="160"/>
      <c r="T90" s="160"/>
      <c r="U90" s="149"/>
      <c r="V90" s="149"/>
      <c r="W90" s="149"/>
      <c r="X90" s="149"/>
      <c r="Y90" s="160"/>
      <c r="Z90" s="148"/>
      <c r="AA90" s="161"/>
      <c r="AB90" s="161"/>
      <c r="AC90" s="161"/>
      <c r="AD90" s="161"/>
      <c r="AE90" s="161"/>
      <c r="AF90" s="161"/>
      <c r="AG90" s="161"/>
      <c r="AH90" s="161"/>
      <c r="AI90" s="161"/>
      <c r="AJ90" s="161"/>
      <c r="AK90" s="161"/>
      <c r="AL90" s="161"/>
      <c r="AM90" s="134"/>
      <c r="AN90" s="134"/>
      <c r="AO90" s="134"/>
      <c r="AP90" s="135"/>
      <c r="AQ90" s="144"/>
      <c r="AR90" s="15"/>
      <c r="AS90" s="15"/>
      <c r="AT90" s="15"/>
      <c r="AU90" s="15"/>
      <c r="AV90" s="15"/>
      <c r="AW90" s="15"/>
      <c r="AX90" s="18"/>
    </row>
    <row r="91" spans="1:50" s="3" customFormat="1" ht="12">
      <c r="A91" s="14"/>
      <c r="B91" s="117"/>
      <c r="C91" s="118"/>
      <c r="D91" s="15"/>
      <c r="E91" s="15"/>
      <c r="F91" s="15"/>
      <c r="G91" s="15"/>
      <c r="H91" s="15"/>
      <c r="I91" s="15"/>
      <c r="J91" s="15"/>
      <c r="K91" s="15"/>
      <c r="L91" s="132"/>
      <c r="M91" s="131"/>
      <c r="O91" s="15" t="s">
        <v>171</v>
      </c>
      <c r="P91" s="15"/>
      <c r="Q91" s="15"/>
      <c r="R91" s="15"/>
      <c r="S91" s="15"/>
      <c r="T91" s="15"/>
      <c r="U91" s="15"/>
      <c r="V91" s="15"/>
      <c r="W91" s="15"/>
      <c r="X91" s="15"/>
      <c r="Y91" s="15"/>
      <c r="Z91" s="9"/>
      <c r="AA91" s="15"/>
      <c r="AB91" s="15"/>
      <c r="AC91" s="15"/>
      <c r="AD91" s="15"/>
      <c r="AE91" s="15"/>
      <c r="AF91" s="15"/>
      <c r="AG91" s="15"/>
      <c r="AH91" s="15"/>
      <c r="AI91" s="15"/>
      <c r="AJ91" s="15"/>
      <c r="AK91" s="15"/>
      <c r="AL91" s="15"/>
      <c r="AM91" s="15"/>
      <c r="AN91" s="15"/>
      <c r="AO91" s="15"/>
      <c r="AP91" s="135"/>
      <c r="AQ91" s="144"/>
      <c r="AR91" s="15"/>
      <c r="AS91" s="15"/>
      <c r="AT91" s="15"/>
      <c r="AU91" s="15"/>
      <c r="AV91" s="15"/>
      <c r="AW91" s="15"/>
      <c r="AX91" s="18"/>
    </row>
    <row r="92" spans="1:50" s="3" customFormat="1" ht="12">
      <c r="A92" s="14"/>
      <c r="B92" s="117"/>
      <c r="C92" s="118"/>
      <c r="D92" s="15"/>
      <c r="E92" s="15"/>
      <c r="F92" s="15"/>
      <c r="G92" s="15"/>
      <c r="H92" s="15"/>
      <c r="I92" s="15"/>
      <c r="J92" s="15"/>
      <c r="K92" s="15"/>
      <c r="L92" s="132"/>
      <c r="M92" s="131"/>
      <c r="Q92" s="3" t="s">
        <v>137</v>
      </c>
      <c r="S92" s="15"/>
      <c r="W92" s="3" t="s">
        <v>172</v>
      </c>
      <c r="X92" s="15"/>
      <c r="Z92" s="15"/>
      <c r="AH92" s="162"/>
      <c r="AL92" s="15"/>
      <c r="AM92" s="15"/>
      <c r="AN92" s="15"/>
      <c r="AO92" s="15"/>
      <c r="AP92" s="135"/>
      <c r="AQ92" s="144"/>
      <c r="AR92" s="15"/>
      <c r="AS92" s="15"/>
      <c r="AT92" s="15"/>
      <c r="AU92" s="15"/>
      <c r="AV92" s="15"/>
      <c r="AW92" s="15"/>
      <c r="AX92" s="18"/>
    </row>
    <row r="93" spans="1:50" s="3" customFormat="1" ht="12">
      <c r="A93" s="14"/>
      <c r="B93" s="117"/>
      <c r="C93" s="118"/>
      <c r="D93" s="15"/>
      <c r="E93" s="15"/>
      <c r="F93" s="15"/>
      <c r="G93" s="15"/>
      <c r="H93" s="15"/>
      <c r="I93" s="15"/>
      <c r="J93" s="15"/>
      <c r="K93" s="15"/>
      <c r="L93" s="132"/>
      <c r="M93" s="131"/>
      <c r="O93" s="133"/>
      <c r="P93" s="134"/>
      <c r="Q93" s="134"/>
      <c r="R93" s="134"/>
      <c r="S93" s="134"/>
      <c r="T93" s="134"/>
      <c r="U93" s="134"/>
      <c r="V93" s="134"/>
      <c r="W93" s="134"/>
      <c r="X93" s="134"/>
      <c r="Y93" s="134"/>
      <c r="Z93" s="134"/>
      <c r="AA93" s="134"/>
      <c r="AB93" s="134"/>
      <c r="AC93" s="134"/>
      <c r="AD93" s="134"/>
      <c r="AE93" s="134"/>
      <c r="AF93" s="134"/>
      <c r="AG93" s="134"/>
      <c r="AH93" s="134"/>
      <c r="AI93" s="134"/>
      <c r="AJ93" s="134"/>
      <c r="AK93" s="134"/>
      <c r="AL93" s="134"/>
      <c r="AM93" s="134"/>
      <c r="AN93" s="134"/>
      <c r="AO93" s="134"/>
      <c r="AP93" s="135"/>
      <c r="AQ93" s="144"/>
      <c r="AR93" s="15"/>
      <c r="AS93" s="15"/>
      <c r="AT93" s="15"/>
      <c r="AU93" s="15"/>
      <c r="AV93" s="15"/>
      <c r="AW93" s="15"/>
      <c r="AX93" s="18"/>
    </row>
    <row r="94" spans="1:50" s="3" customFormat="1" ht="12">
      <c r="A94" s="14"/>
      <c r="B94" s="117"/>
      <c r="C94" s="118"/>
      <c r="D94" s="15"/>
      <c r="E94" s="15"/>
      <c r="F94" s="15"/>
      <c r="G94" s="15"/>
      <c r="H94" s="15"/>
      <c r="I94" s="15"/>
      <c r="J94" s="15"/>
      <c r="K94" s="15"/>
      <c r="L94" s="132"/>
      <c r="M94" s="131"/>
      <c r="O94" s="15" t="s">
        <v>175</v>
      </c>
      <c r="P94" s="15"/>
      <c r="Q94" s="15"/>
      <c r="R94" s="15"/>
      <c r="S94" s="15"/>
      <c r="T94" s="15"/>
      <c r="U94" s="15"/>
      <c r="V94" s="15"/>
      <c r="W94" s="15"/>
      <c r="X94" s="134"/>
      <c r="Y94" s="134"/>
      <c r="Z94" s="134"/>
      <c r="AA94" s="134"/>
      <c r="AB94" s="134"/>
      <c r="AC94" s="134"/>
      <c r="AD94" s="134"/>
      <c r="AE94" s="134"/>
      <c r="AF94" s="134"/>
      <c r="AG94" s="134"/>
      <c r="AH94" s="134"/>
      <c r="AI94" s="134"/>
      <c r="AJ94" s="134"/>
      <c r="AK94" s="134"/>
      <c r="AL94" s="134"/>
      <c r="AM94" s="134"/>
      <c r="AN94" s="134"/>
      <c r="AO94" s="134"/>
      <c r="AP94" s="135"/>
      <c r="AQ94" s="144"/>
      <c r="AR94" s="15"/>
      <c r="AS94" s="15"/>
      <c r="AT94" s="15"/>
      <c r="AU94" s="15"/>
      <c r="AV94" s="15"/>
      <c r="AW94" s="15"/>
      <c r="AX94" s="18"/>
    </row>
    <row r="95" spans="1:50" s="3" customFormat="1" ht="12">
      <c r="A95" s="14"/>
      <c r="B95" s="117"/>
      <c r="C95" s="118"/>
      <c r="D95" s="15"/>
      <c r="E95" s="15"/>
      <c r="F95" s="15"/>
      <c r="G95" s="15"/>
      <c r="H95" s="15"/>
      <c r="I95" s="15"/>
      <c r="J95" s="15"/>
      <c r="K95" s="15"/>
      <c r="L95" s="132"/>
      <c r="M95" s="131"/>
      <c r="S95" s="3" t="s">
        <v>183</v>
      </c>
      <c r="U95" s="15"/>
      <c r="X95" s="3" t="s">
        <v>177</v>
      </c>
      <c r="Z95" s="3" t="s">
        <v>178</v>
      </c>
      <c r="AA95" s="134"/>
      <c r="AB95" s="134"/>
      <c r="AC95" s="134"/>
      <c r="AD95" s="134"/>
      <c r="AE95" s="134"/>
      <c r="AF95" s="134"/>
      <c r="AG95" s="134"/>
      <c r="AH95" s="134"/>
      <c r="AI95" s="134"/>
      <c r="AJ95" s="134"/>
      <c r="AK95" s="134"/>
      <c r="AL95" s="134"/>
      <c r="AM95" s="134"/>
      <c r="AN95" s="134"/>
      <c r="AO95" s="134"/>
      <c r="AP95" s="135"/>
      <c r="AQ95" s="144"/>
      <c r="AR95" s="15"/>
      <c r="AS95" s="15"/>
      <c r="AT95" s="15"/>
      <c r="AU95" s="15"/>
      <c r="AV95" s="15"/>
      <c r="AW95" s="15"/>
      <c r="AX95" s="18"/>
    </row>
    <row r="96" spans="1:50" s="3" customFormat="1" ht="12">
      <c r="A96" s="14"/>
      <c r="B96" s="117"/>
      <c r="C96" s="118"/>
      <c r="D96" s="15"/>
      <c r="E96" s="15"/>
      <c r="F96" s="15"/>
      <c r="G96" s="15"/>
      <c r="H96" s="15"/>
      <c r="I96" s="15"/>
      <c r="J96" s="15"/>
      <c r="K96" s="15"/>
      <c r="L96" s="132"/>
      <c r="M96" s="131"/>
      <c r="O96" s="133"/>
      <c r="P96" s="134"/>
      <c r="Q96" s="3" t="s">
        <v>179</v>
      </c>
      <c r="S96" s="3" t="s">
        <v>180</v>
      </c>
      <c r="U96" s="15"/>
      <c r="X96" s="3" t="s">
        <v>177</v>
      </c>
      <c r="Z96" s="3" t="s">
        <v>192</v>
      </c>
      <c r="AA96" s="134"/>
      <c r="AB96" s="134"/>
      <c r="AC96" s="134"/>
      <c r="AD96" s="134"/>
      <c r="AE96" s="134"/>
      <c r="AF96" s="134"/>
      <c r="AG96" s="134"/>
      <c r="AH96" s="134"/>
      <c r="AI96" s="134"/>
      <c r="AJ96" s="134"/>
      <c r="AK96" s="134"/>
      <c r="AL96" s="134"/>
      <c r="AM96" s="134"/>
      <c r="AN96" s="134"/>
      <c r="AO96" s="134"/>
      <c r="AP96" s="135"/>
      <c r="AQ96" s="144"/>
      <c r="AR96" s="15"/>
      <c r="AS96" s="15"/>
      <c r="AT96" s="15"/>
      <c r="AU96" s="15"/>
      <c r="AV96" s="15"/>
      <c r="AW96" s="15"/>
      <c r="AX96" s="18"/>
    </row>
    <row r="97" spans="1:50" s="3" customFormat="1" ht="12">
      <c r="A97" s="14"/>
      <c r="B97" s="117"/>
      <c r="C97" s="118"/>
      <c r="D97" s="15"/>
      <c r="E97" s="15"/>
      <c r="F97" s="15"/>
      <c r="G97" s="15"/>
      <c r="H97" s="15"/>
      <c r="I97" s="15"/>
      <c r="J97" s="15"/>
      <c r="K97" s="15"/>
      <c r="L97" s="132"/>
      <c r="M97" s="131"/>
      <c r="O97" s="133"/>
      <c r="P97" s="134"/>
      <c r="Q97" s="3" t="s">
        <v>179</v>
      </c>
      <c r="S97" s="3" t="s">
        <v>184</v>
      </c>
      <c r="U97" s="15"/>
      <c r="X97" s="3" t="s">
        <v>177</v>
      </c>
      <c r="Z97" s="3" t="s">
        <v>193</v>
      </c>
      <c r="AA97" s="134"/>
      <c r="AB97" s="134"/>
      <c r="AC97" s="134"/>
      <c r="AD97" s="134"/>
      <c r="AE97" s="134"/>
      <c r="AF97" s="134"/>
      <c r="AG97" s="134"/>
      <c r="AH97" s="134"/>
      <c r="AI97" s="134"/>
      <c r="AJ97" s="134"/>
      <c r="AK97" s="134"/>
      <c r="AL97" s="134"/>
      <c r="AM97" s="134"/>
      <c r="AN97" s="134"/>
      <c r="AO97" s="134"/>
      <c r="AP97" s="135"/>
      <c r="AQ97" s="144"/>
      <c r="AR97" s="15"/>
      <c r="AS97" s="15"/>
      <c r="AT97" s="15"/>
      <c r="AU97" s="15"/>
      <c r="AV97" s="15"/>
      <c r="AW97" s="15"/>
      <c r="AX97" s="18"/>
    </row>
    <row r="98" spans="1:50" s="3" customFormat="1" ht="12">
      <c r="A98" s="14"/>
      <c r="B98" s="117"/>
      <c r="C98" s="118"/>
      <c r="D98" s="15"/>
      <c r="E98" s="15"/>
      <c r="F98" s="15"/>
      <c r="G98" s="15"/>
      <c r="H98" s="15"/>
      <c r="I98" s="15"/>
      <c r="J98" s="15"/>
      <c r="K98" s="15"/>
      <c r="L98" s="132"/>
      <c r="M98" s="131"/>
      <c r="N98" s="133"/>
      <c r="O98" s="134"/>
      <c r="P98" s="134"/>
      <c r="Q98" s="3" t="s">
        <v>179</v>
      </c>
      <c r="S98" s="3" t="s">
        <v>185</v>
      </c>
      <c r="U98" s="15"/>
      <c r="X98" s="3" t="s">
        <v>177</v>
      </c>
      <c r="Z98" s="3" t="s">
        <v>194</v>
      </c>
      <c r="AA98" s="134"/>
      <c r="AB98" s="134"/>
      <c r="AC98" s="134"/>
      <c r="AD98" s="134"/>
      <c r="AE98" s="134"/>
      <c r="AF98" s="134"/>
      <c r="AG98" s="134"/>
      <c r="AH98" s="134"/>
      <c r="AI98" s="134"/>
      <c r="AJ98" s="134"/>
      <c r="AK98" s="134"/>
      <c r="AL98" s="134"/>
      <c r="AM98" s="134"/>
      <c r="AN98" s="134"/>
      <c r="AO98" s="134"/>
      <c r="AP98" s="135"/>
      <c r="AQ98" s="144"/>
      <c r="AR98" s="15"/>
      <c r="AS98" s="15"/>
      <c r="AT98" s="15"/>
      <c r="AU98" s="15"/>
      <c r="AV98" s="15"/>
      <c r="AW98" s="15"/>
      <c r="AX98" s="18"/>
    </row>
    <row r="99" spans="1:50" s="3" customFormat="1" ht="12">
      <c r="A99" s="14"/>
      <c r="B99" s="117"/>
      <c r="C99" s="118"/>
      <c r="D99" s="15"/>
      <c r="E99" s="15"/>
      <c r="F99" s="15"/>
      <c r="G99" s="15"/>
      <c r="H99" s="15"/>
      <c r="I99" s="15"/>
      <c r="J99" s="15"/>
      <c r="K99" s="15"/>
      <c r="L99" s="132"/>
      <c r="M99" s="131"/>
      <c r="N99" s="133"/>
      <c r="O99" s="134"/>
      <c r="P99" s="134"/>
      <c r="Q99" s="3" t="s">
        <v>179</v>
      </c>
      <c r="S99" s="3" t="s">
        <v>186</v>
      </c>
      <c r="U99" s="15"/>
      <c r="X99" s="3" t="s">
        <v>177</v>
      </c>
      <c r="Z99" s="3" t="s">
        <v>195</v>
      </c>
      <c r="AA99" s="134"/>
      <c r="AB99" s="134"/>
      <c r="AC99" s="134"/>
      <c r="AD99" s="134"/>
      <c r="AE99" s="134"/>
      <c r="AF99" s="134"/>
      <c r="AG99" s="134"/>
      <c r="AH99" s="134"/>
      <c r="AI99" s="134"/>
      <c r="AJ99" s="134"/>
      <c r="AK99" s="134"/>
      <c r="AL99" s="134"/>
      <c r="AM99" s="134"/>
      <c r="AN99" s="134"/>
      <c r="AO99" s="134"/>
      <c r="AP99" s="135"/>
      <c r="AQ99" s="144"/>
      <c r="AR99" s="15"/>
      <c r="AS99" s="15"/>
      <c r="AT99" s="15"/>
      <c r="AU99" s="15"/>
      <c r="AV99" s="15"/>
      <c r="AW99" s="15"/>
      <c r="AX99" s="18"/>
    </row>
    <row r="100" spans="1:50" s="3" customFormat="1" ht="12">
      <c r="A100" s="14"/>
      <c r="B100" s="117"/>
      <c r="C100" s="118"/>
      <c r="D100" s="15"/>
      <c r="E100" s="15"/>
      <c r="F100" s="15"/>
      <c r="G100" s="15"/>
      <c r="H100" s="15"/>
      <c r="I100" s="15"/>
      <c r="J100" s="15"/>
      <c r="K100" s="15"/>
      <c r="L100" s="132"/>
      <c r="M100" s="131"/>
      <c r="N100" s="133"/>
      <c r="O100" s="134"/>
      <c r="P100" s="134"/>
      <c r="Q100" s="3" t="s">
        <v>179</v>
      </c>
      <c r="S100" s="3" t="s">
        <v>188</v>
      </c>
      <c r="U100" s="15"/>
      <c r="X100" s="3" t="s">
        <v>177</v>
      </c>
      <c r="Z100" s="3" t="s">
        <v>196</v>
      </c>
      <c r="AA100" s="134"/>
      <c r="AB100" s="134"/>
      <c r="AC100" s="134"/>
      <c r="AD100" s="134"/>
      <c r="AE100" s="134"/>
      <c r="AF100" s="134"/>
      <c r="AG100" s="134"/>
      <c r="AH100" s="134"/>
      <c r="AI100" s="134"/>
      <c r="AJ100" s="134"/>
      <c r="AK100" s="134"/>
      <c r="AL100" s="134"/>
      <c r="AM100" s="134"/>
      <c r="AN100" s="134"/>
      <c r="AO100" s="134"/>
      <c r="AP100" s="135"/>
      <c r="AQ100" s="144"/>
      <c r="AR100" s="15"/>
      <c r="AS100" s="15"/>
      <c r="AT100" s="15"/>
      <c r="AU100" s="15"/>
      <c r="AV100" s="15"/>
      <c r="AW100" s="15"/>
      <c r="AX100" s="18"/>
    </row>
    <row r="101" spans="1:50" s="3" customFormat="1" ht="12">
      <c r="A101" s="14"/>
      <c r="B101" s="117"/>
      <c r="C101" s="118"/>
      <c r="D101" s="15"/>
      <c r="E101" s="15"/>
      <c r="F101" s="15"/>
      <c r="G101" s="15"/>
      <c r="H101" s="15"/>
      <c r="I101" s="15"/>
      <c r="J101" s="15"/>
      <c r="K101" s="15"/>
      <c r="L101" s="132"/>
      <c r="M101" s="131"/>
      <c r="N101" s="133"/>
      <c r="O101" s="134"/>
      <c r="P101" s="134"/>
      <c r="Q101" s="3" t="s">
        <v>179</v>
      </c>
      <c r="S101" s="3" t="s">
        <v>187</v>
      </c>
      <c r="U101" s="15"/>
      <c r="X101" s="3" t="s">
        <v>177</v>
      </c>
      <c r="Z101" s="3" t="s">
        <v>197</v>
      </c>
      <c r="AA101" s="134"/>
      <c r="AB101" s="134"/>
      <c r="AC101" s="134"/>
      <c r="AD101" s="134"/>
      <c r="AE101" s="134"/>
      <c r="AF101" s="134"/>
      <c r="AG101" s="134"/>
      <c r="AH101" s="134"/>
      <c r="AI101" s="134"/>
      <c r="AJ101" s="134"/>
      <c r="AK101" s="134"/>
      <c r="AL101" s="134"/>
      <c r="AM101" s="134"/>
      <c r="AN101" s="134"/>
      <c r="AO101" s="134"/>
      <c r="AP101" s="135"/>
      <c r="AQ101" s="144"/>
      <c r="AR101" s="15"/>
      <c r="AS101" s="15"/>
      <c r="AT101" s="15"/>
      <c r="AU101" s="15"/>
      <c r="AV101" s="15"/>
      <c r="AW101" s="15"/>
      <c r="AX101" s="18"/>
    </row>
    <row r="102" spans="1:50" s="3" customFormat="1" ht="12">
      <c r="A102" s="14"/>
      <c r="B102" s="117"/>
      <c r="C102" s="118"/>
      <c r="D102" s="15"/>
      <c r="E102" s="15"/>
      <c r="F102" s="15"/>
      <c r="G102" s="15"/>
      <c r="H102" s="15"/>
      <c r="I102" s="15"/>
      <c r="J102" s="15"/>
      <c r="K102" s="15"/>
      <c r="L102" s="132"/>
      <c r="M102" s="131"/>
      <c r="N102" s="133"/>
      <c r="O102" s="134"/>
      <c r="P102" s="134"/>
      <c r="Q102" s="3" t="s">
        <v>179</v>
      </c>
      <c r="S102" s="3" t="s">
        <v>189</v>
      </c>
      <c r="U102" s="15"/>
      <c r="X102" s="3" t="s">
        <v>177</v>
      </c>
      <c r="Z102" s="3" t="s">
        <v>198</v>
      </c>
      <c r="AA102" s="134"/>
      <c r="AB102" s="134"/>
      <c r="AC102" s="134"/>
      <c r="AD102" s="134"/>
      <c r="AE102" s="134"/>
      <c r="AF102" s="134"/>
      <c r="AG102" s="134"/>
      <c r="AH102" s="134"/>
      <c r="AI102" s="134"/>
      <c r="AJ102" s="134"/>
      <c r="AK102" s="134"/>
      <c r="AL102" s="134"/>
      <c r="AM102" s="134"/>
      <c r="AN102" s="134"/>
      <c r="AO102" s="134"/>
      <c r="AP102" s="135"/>
      <c r="AQ102" s="144"/>
      <c r="AR102" s="15"/>
      <c r="AS102" s="15"/>
      <c r="AT102" s="15"/>
      <c r="AU102" s="15"/>
      <c r="AV102" s="15"/>
      <c r="AW102" s="15"/>
      <c r="AX102" s="18"/>
    </row>
    <row r="103" spans="1:50" s="3" customFormat="1" ht="12">
      <c r="A103" s="14"/>
      <c r="B103" s="117"/>
      <c r="C103" s="118"/>
      <c r="D103" s="15"/>
      <c r="E103" s="15"/>
      <c r="F103" s="15"/>
      <c r="G103" s="15"/>
      <c r="H103" s="15"/>
      <c r="I103" s="15"/>
      <c r="J103" s="15"/>
      <c r="K103" s="15"/>
      <c r="L103" s="132"/>
      <c r="M103" s="131"/>
      <c r="N103" s="133"/>
      <c r="O103" s="134"/>
      <c r="P103" s="134"/>
      <c r="Q103" s="3" t="s">
        <v>179</v>
      </c>
      <c r="S103" s="3" t="s">
        <v>190</v>
      </c>
      <c r="U103" s="15"/>
      <c r="X103" s="3" t="s">
        <v>177</v>
      </c>
      <c r="Z103" s="3" t="s">
        <v>199</v>
      </c>
      <c r="AA103" s="134"/>
      <c r="AB103" s="134"/>
      <c r="AC103" s="134"/>
      <c r="AD103" s="134"/>
      <c r="AE103" s="134"/>
      <c r="AF103" s="134"/>
      <c r="AG103" s="134"/>
      <c r="AH103" s="134"/>
      <c r="AI103" s="134"/>
      <c r="AJ103" s="134"/>
      <c r="AK103" s="134"/>
      <c r="AL103" s="134"/>
      <c r="AM103" s="134"/>
      <c r="AN103" s="134"/>
      <c r="AO103" s="134"/>
      <c r="AP103" s="135"/>
      <c r="AQ103" s="144"/>
      <c r="AR103" s="15"/>
      <c r="AS103" s="15"/>
      <c r="AT103" s="15"/>
      <c r="AU103" s="15"/>
      <c r="AV103" s="15"/>
      <c r="AW103" s="15"/>
      <c r="AX103" s="18"/>
    </row>
    <row r="104" spans="1:50" s="3" customFormat="1" ht="12">
      <c r="A104" s="14"/>
      <c r="B104" s="117"/>
      <c r="C104" s="118"/>
      <c r="D104" s="15"/>
      <c r="E104" s="15"/>
      <c r="F104" s="15"/>
      <c r="G104" s="15"/>
      <c r="H104" s="15"/>
      <c r="I104" s="15"/>
      <c r="J104" s="15"/>
      <c r="K104" s="15"/>
      <c r="L104" s="132"/>
      <c r="M104" s="131"/>
      <c r="N104" s="133"/>
      <c r="O104" s="134"/>
      <c r="P104" s="134"/>
      <c r="Q104" s="3" t="s">
        <v>179</v>
      </c>
      <c r="S104" s="3" t="s">
        <v>191</v>
      </c>
      <c r="U104" s="15"/>
      <c r="X104" s="3" t="s">
        <v>177</v>
      </c>
      <c r="Z104" s="3" t="s">
        <v>200</v>
      </c>
      <c r="AA104" s="134"/>
      <c r="AB104" s="134"/>
      <c r="AC104" s="134"/>
      <c r="AD104" s="134"/>
      <c r="AE104" s="134"/>
      <c r="AF104" s="134"/>
      <c r="AG104" s="134"/>
      <c r="AH104" s="134"/>
      <c r="AI104" s="134"/>
      <c r="AJ104" s="134"/>
      <c r="AK104" s="134"/>
      <c r="AL104" s="134"/>
      <c r="AM104" s="134"/>
      <c r="AN104" s="134"/>
      <c r="AO104" s="134"/>
      <c r="AP104" s="135"/>
      <c r="AQ104" s="144"/>
      <c r="AR104" s="15"/>
      <c r="AS104" s="15"/>
      <c r="AT104" s="15"/>
      <c r="AU104" s="15"/>
      <c r="AV104" s="15"/>
      <c r="AW104" s="15"/>
      <c r="AX104" s="18"/>
    </row>
    <row r="105" spans="1:50" s="3" customFormat="1" ht="12">
      <c r="A105" s="14"/>
      <c r="B105" s="117"/>
      <c r="C105" s="118"/>
      <c r="D105" s="15"/>
      <c r="E105" s="15"/>
      <c r="F105" s="15"/>
      <c r="G105" s="15"/>
      <c r="H105" s="15"/>
      <c r="I105" s="15"/>
      <c r="J105" s="15"/>
      <c r="K105" s="15"/>
      <c r="L105" s="132"/>
      <c r="M105" s="131"/>
      <c r="N105" s="133"/>
      <c r="O105" s="134"/>
      <c r="P105" s="134"/>
      <c r="U105" s="15"/>
      <c r="AA105" s="134"/>
      <c r="AB105" s="134"/>
      <c r="AC105" s="134"/>
      <c r="AD105" s="134"/>
      <c r="AE105" s="134"/>
      <c r="AF105" s="134"/>
      <c r="AG105" s="134"/>
      <c r="AH105" s="134"/>
      <c r="AI105" s="134"/>
      <c r="AJ105" s="134"/>
      <c r="AK105" s="134"/>
      <c r="AL105" s="134"/>
      <c r="AM105" s="134"/>
      <c r="AN105" s="134"/>
      <c r="AO105" s="134"/>
      <c r="AP105" s="135"/>
      <c r="AQ105" s="144"/>
      <c r="AR105" s="15"/>
      <c r="AS105" s="15"/>
      <c r="AT105" s="15"/>
      <c r="AU105" s="15"/>
      <c r="AV105" s="15"/>
      <c r="AW105" s="15"/>
      <c r="AX105" s="18"/>
    </row>
    <row r="106" spans="1:50" s="3" customFormat="1" ht="12">
      <c r="A106" s="14"/>
      <c r="B106" s="117"/>
      <c r="C106" s="118"/>
      <c r="D106" s="15"/>
      <c r="E106" s="15"/>
      <c r="F106" s="15"/>
      <c r="G106" s="15"/>
      <c r="H106" s="15"/>
      <c r="I106" s="15"/>
      <c r="J106" s="15"/>
      <c r="K106" s="15"/>
      <c r="L106" s="132"/>
      <c r="M106" s="131"/>
      <c r="N106" s="133"/>
      <c r="O106" s="134"/>
      <c r="P106" s="134"/>
      <c r="U106" s="15"/>
      <c r="AA106" s="134"/>
      <c r="AB106" s="134"/>
      <c r="AC106" s="134"/>
      <c r="AD106" s="134"/>
      <c r="AE106" s="134"/>
      <c r="AF106" s="134"/>
      <c r="AG106" s="134"/>
      <c r="AH106" s="134"/>
      <c r="AI106" s="134"/>
      <c r="AJ106" s="134"/>
      <c r="AK106" s="134"/>
      <c r="AL106" s="134"/>
      <c r="AM106" s="134"/>
      <c r="AN106" s="134"/>
      <c r="AO106" s="134"/>
      <c r="AP106" s="135"/>
      <c r="AQ106" s="144"/>
      <c r="AR106" s="15"/>
      <c r="AS106" s="15"/>
      <c r="AT106" s="15"/>
      <c r="AU106" s="15"/>
      <c r="AV106" s="15"/>
      <c r="AW106" s="15"/>
      <c r="AX106" s="18"/>
    </row>
    <row r="107" spans="1:50" s="3" customFormat="1" ht="12">
      <c r="A107" s="14"/>
      <c r="B107" s="117"/>
      <c r="C107" s="118"/>
      <c r="D107" s="15"/>
      <c r="E107" s="15"/>
      <c r="F107" s="15"/>
      <c r="G107" s="15"/>
      <c r="H107" s="15"/>
      <c r="I107" s="15"/>
      <c r="J107" s="15"/>
      <c r="K107" s="15"/>
      <c r="L107" s="132"/>
      <c r="M107" s="131"/>
      <c r="N107" s="131" t="s">
        <v>226</v>
      </c>
      <c r="O107" s="133"/>
      <c r="P107" s="134" t="s">
        <v>227</v>
      </c>
      <c r="Q107" s="134"/>
      <c r="R107" s="134"/>
      <c r="S107" s="134"/>
      <c r="U107" s="15"/>
      <c r="AA107" s="134"/>
      <c r="AB107" s="134"/>
      <c r="AC107" s="134"/>
      <c r="AD107" s="134"/>
      <c r="AE107" s="134"/>
      <c r="AF107" s="134"/>
      <c r="AG107" s="134"/>
      <c r="AH107" s="134"/>
      <c r="AI107" s="134"/>
      <c r="AJ107" s="134"/>
      <c r="AK107" s="134"/>
      <c r="AL107" s="134"/>
      <c r="AM107" s="134"/>
      <c r="AN107" s="134"/>
      <c r="AO107" s="134"/>
      <c r="AP107" s="135"/>
      <c r="AQ107" s="144"/>
      <c r="AR107" s="15"/>
      <c r="AS107" s="15"/>
      <c r="AT107" s="15"/>
      <c r="AU107" s="15"/>
      <c r="AV107" s="15"/>
      <c r="AW107" s="15"/>
      <c r="AX107" s="18"/>
    </row>
    <row r="108" spans="1:50" s="3" customFormat="1" ht="12">
      <c r="A108" s="14"/>
      <c r="B108" s="117"/>
      <c r="C108" s="118"/>
      <c r="D108" s="15"/>
      <c r="E108" s="15"/>
      <c r="F108" s="15"/>
      <c r="G108" s="15"/>
      <c r="H108" s="15"/>
      <c r="I108" s="15"/>
      <c r="J108" s="15"/>
      <c r="K108" s="15"/>
      <c r="L108" s="132"/>
      <c r="M108" s="134"/>
      <c r="N108" s="134"/>
      <c r="O108" s="134"/>
      <c r="P108" s="134"/>
      <c r="Q108" s="134" t="s">
        <v>230</v>
      </c>
      <c r="R108" s="134"/>
      <c r="S108" s="134"/>
      <c r="T108" s="134"/>
      <c r="U108" s="134"/>
      <c r="V108" s="134"/>
      <c r="W108" s="134"/>
      <c r="X108" s="134"/>
      <c r="Y108" s="134"/>
      <c r="Z108" s="134"/>
      <c r="AA108" s="134"/>
      <c r="AB108" s="134"/>
      <c r="AC108" s="134"/>
      <c r="AD108" s="134"/>
      <c r="AE108" s="134"/>
      <c r="AF108" s="134"/>
      <c r="AG108" s="134"/>
      <c r="AH108" s="134"/>
      <c r="AI108" s="134"/>
      <c r="AJ108" s="134"/>
      <c r="AK108" s="134"/>
      <c r="AL108" s="134"/>
      <c r="AM108" s="134"/>
      <c r="AN108" s="134"/>
      <c r="AO108" s="134"/>
      <c r="AP108" s="135"/>
      <c r="AQ108" s="15"/>
      <c r="AR108" s="15"/>
      <c r="AS108" s="15"/>
      <c r="AT108" s="15"/>
      <c r="AU108" s="15"/>
      <c r="AV108" s="15"/>
      <c r="AW108" s="15"/>
      <c r="AX108" s="18"/>
    </row>
    <row r="109" spans="1:50" s="3" customFormat="1" ht="12">
      <c r="A109" s="14"/>
      <c r="B109" s="117"/>
      <c r="C109" s="118"/>
      <c r="D109" s="15"/>
      <c r="E109" s="15"/>
      <c r="F109" s="15"/>
      <c r="G109" s="15"/>
      <c r="H109" s="15"/>
      <c r="I109" s="15"/>
      <c r="J109" s="15"/>
      <c r="K109" s="15"/>
      <c r="L109" s="132"/>
      <c r="M109" s="134"/>
      <c r="N109" s="134"/>
      <c r="O109" s="134"/>
      <c r="P109" s="134"/>
      <c r="Q109" s="134"/>
      <c r="R109" s="134"/>
      <c r="S109" s="134"/>
      <c r="T109" s="134"/>
      <c r="U109" s="134"/>
      <c r="V109" s="134"/>
      <c r="W109" s="134"/>
      <c r="X109" s="134"/>
      <c r="Y109" s="134"/>
      <c r="Z109" s="134"/>
      <c r="AA109" s="134"/>
      <c r="AB109" s="134"/>
      <c r="AC109" s="134"/>
      <c r="AD109" s="134"/>
      <c r="AE109" s="134"/>
      <c r="AF109" s="134"/>
      <c r="AG109" s="134"/>
      <c r="AH109" s="134"/>
      <c r="AI109" s="134"/>
      <c r="AJ109" s="134"/>
      <c r="AK109" s="134"/>
      <c r="AL109" s="134"/>
      <c r="AM109" s="134"/>
      <c r="AN109" s="134"/>
      <c r="AO109" s="134"/>
      <c r="AP109" s="135"/>
      <c r="AQ109" s="15"/>
      <c r="AR109" s="15"/>
      <c r="AS109" s="15"/>
      <c r="AT109" s="15"/>
      <c r="AU109" s="15"/>
      <c r="AV109" s="15"/>
      <c r="AW109" s="15"/>
      <c r="AX109" s="18"/>
    </row>
    <row r="110" spans="1:50" s="3" customFormat="1" ht="12">
      <c r="A110" s="14"/>
      <c r="B110" s="117"/>
      <c r="C110" s="118"/>
      <c r="D110" s="15"/>
      <c r="E110" s="15"/>
      <c r="F110" s="15"/>
      <c r="G110" s="15"/>
      <c r="H110" s="15"/>
      <c r="I110" s="15"/>
      <c r="J110" s="15"/>
      <c r="K110" s="15"/>
      <c r="L110" s="132"/>
      <c r="M110" s="134"/>
      <c r="N110" s="134"/>
      <c r="O110" s="134"/>
      <c r="P110" s="134"/>
      <c r="Q110" s="134"/>
      <c r="R110" s="134"/>
      <c r="S110" s="134"/>
      <c r="T110" s="134"/>
      <c r="U110" s="134"/>
      <c r="V110" s="134"/>
      <c r="W110" s="134"/>
      <c r="X110" s="134"/>
      <c r="Y110" s="134"/>
      <c r="Z110" s="134"/>
      <c r="AA110" s="134"/>
      <c r="AB110" s="134"/>
      <c r="AC110" s="134"/>
      <c r="AD110" s="134"/>
      <c r="AE110" s="134"/>
      <c r="AF110" s="134"/>
      <c r="AG110" s="134"/>
      <c r="AH110" s="134"/>
      <c r="AI110" s="134"/>
      <c r="AJ110" s="134"/>
      <c r="AK110" s="134"/>
      <c r="AL110" s="134"/>
      <c r="AM110" s="134"/>
      <c r="AN110" s="134"/>
      <c r="AO110" s="134"/>
      <c r="AP110" s="135"/>
      <c r="AQ110" s="15"/>
      <c r="AR110" s="15"/>
      <c r="AS110" s="15"/>
      <c r="AT110" s="15"/>
      <c r="AU110" s="15"/>
      <c r="AV110" s="15"/>
      <c r="AW110" s="15"/>
      <c r="AX110" s="18"/>
    </row>
    <row r="111" spans="1:50" s="3" customFormat="1" ht="12">
      <c r="A111" s="14"/>
      <c r="B111" s="117"/>
      <c r="C111" s="118"/>
      <c r="D111" s="15"/>
      <c r="E111" s="15"/>
      <c r="F111" s="15"/>
      <c r="G111" s="15"/>
      <c r="H111" s="15"/>
      <c r="I111" s="15"/>
      <c r="J111" s="15"/>
      <c r="K111" s="15"/>
      <c r="L111" s="132"/>
      <c r="M111" s="134"/>
      <c r="N111" s="131" t="s">
        <v>228</v>
      </c>
      <c r="O111" s="133"/>
      <c r="P111" s="134" t="s">
        <v>229</v>
      </c>
      <c r="Q111" s="134"/>
      <c r="R111" s="134"/>
      <c r="S111" s="134"/>
      <c r="T111" s="134"/>
      <c r="U111" s="134"/>
      <c r="V111" s="134"/>
      <c r="W111" s="134"/>
      <c r="X111" s="134"/>
      <c r="Y111" s="134"/>
      <c r="Z111" s="134"/>
      <c r="AA111" s="134"/>
      <c r="AB111" s="134"/>
      <c r="AC111" s="134"/>
      <c r="AD111" s="134"/>
      <c r="AE111" s="134"/>
      <c r="AF111" s="134"/>
      <c r="AG111" s="134"/>
      <c r="AH111" s="134"/>
      <c r="AI111" s="134"/>
      <c r="AJ111" s="134"/>
      <c r="AK111" s="134"/>
      <c r="AL111" s="134"/>
      <c r="AM111" s="134"/>
      <c r="AN111" s="134"/>
      <c r="AO111" s="134"/>
      <c r="AP111" s="135"/>
      <c r="AQ111" s="15"/>
      <c r="AR111" s="15"/>
      <c r="AS111" s="15"/>
      <c r="AT111" s="15"/>
      <c r="AU111" s="15"/>
      <c r="AV111" s="15"/>
      <c r="AW111" s="15"/>
      <c r="AX111" s="18"/>
    </row>
    <row r="112" spans="1:50" s="3" customFormat="1" ht="12">
      <c r="A112" s="14"/>
      <c r="B112" s="207"/>
      <c r="C112" s="208"/>
      <c r="D112" s="15"/>
      <c r="E112" s="15"/>
      <c r="F112" s="15"/>
      <c r="G112" s="15"/>
      <c r="H112" s="15"/>
      <c r="I112" s="15"/>
      <c r="J112" s="15"/>
      <c r="K112" s="15"/>
      <c r="L112" s="132"/>
      <c r="M112" s="134"/>
      <c r="N112" s="131"/>
      <c r="O112" s="133"/>
      <c r="P112" s="134" t="s">
        <v>268</v>
      </c>
      <c r="Q112" s="134" t="s">
        <v>269</v>
      </c>
      <c r="R112" s="134"/>
      <c r="S112" s="134"/>
      <c r="T112" s="134"/>
      <c r="U112" s="134"/>
      <c r="V112" s="134"/>
      <c r="W112" s="134"/>
      <c r="X112" s="134"/>
      <c r="Y112" s="134"/>
      <c r="Z112" s="134"/>
      <c r="AA112" s="134"/>
      <c r="AB112" s="134"/>
      <c r="AC112" s="134"/>
      <c r="AD112" s="134"/>
      <c r="AE112" s="134"/>
      <c r="AF112" s="134"/>
      <c r="AG112" s="134"/>
      <c r="AH112" s="134"/>
      <c r="AI112" s="134"/>
      <c r="AJ112" s="134"/>
      <c r="AK112" s="134"/>
      <c r="AL112" s="134"/>
      <c r="AM112" s="134"/>
      <c r="AN112" s="134"/>
      <c r="AO112" s="134"/>
      <c r="AP112" s="135"/>
      <c r="AQ112" s="15"/>
      <c r="AR112" s="15"/>
      <c r="AS112" s="15"/>
      <c r="AT112" s="15"/>
      <c r="AU112" s="15"/>
      <c r="AV112" s="15"/>
      <c r="AW112" s="15"/>
      <c r="AX112" s="18"/>
    </row>
    <row r="113" spans="1:50" s="3" customFormat="1" ht="12">
      <c r="A113" s="14"/>
      <c r="B113" s="207"/>
      <c r="C113" s="208"/>
      <c r="D113" s="15"/>
      <c r="E113" s="15"/>
      <c r="F113" s="15"/>
      <c r="G113" s="15"/>
      <c r="H113" s="15"/>
      <c r="I113" s="15"/>
      <c r="J113" s="15"/>
      <c r="K113" s="15"/>
      <c r="L113" s="132"/>
      <c r="M113" s="134"/>
      <c r="N113" s="131"/>
      <c r="O113" s="133"/>
      <c r="P113" s="134"/>
      <c r="Q113" s="220" t="s">
        <v>271</v>
      </c>
      <c r="R113" s="220"/>
      <c r="S113" s="220"/>
      <c r="T113" s="220"/>
      <c r="U113" s="220"/>
      <c r="V113" s="220"/>
      <c r="W113" s="220"/>
      <c r="X113" s="220"/>
      <c r="Y113" s="220"/>
      <c r="Z113" s="220"/>
      <c r="AA113" s="220"/>
      <c r="AB113" s="220"/>
      <c r="AC113" s="220"/>
      <c r="AD113" s="220"/>
      <c r="AE113" s="220"/>
      <c r="AF113" s="220"/>
      <c r="AG113" s="220"/>
      <c r="AH113" s="220"/>
      <c r="AI113" s="134"/>
      <c r="AJ113" s="134"/>
      <c r="AK113" s="134"/>
      <c r="AL113" s="134"/>
      <c r="AM113" s="134"/>
      <c r="AN113" s="134"/>
      <c r="AO113" s="134"/>
      <c r="AP113" s="135"/>
      <c r="AQ113" s="15"/>
      <c r="AR113" s="15"/>
      <c r="AS113" s="15"/>
      <c r="AT113" s="15"/>
      <c r="AU113" s="15"/>
      <c r="AV113" s="15"/>
      <c r="AW113" s="15"/>
      <c r="AX113" s="18"/>
    </row>
    <row r="114" spans="1:50" s="3" customFormat="1" ht="12">
      <c r="A114" s="14"/>
      <c r="B114" s="207"/>
      <c r="C114" s="208"/>
      <c r="D114" s="15"/>
      <c r="E114" s="15"/>
      <c r="F114" s="15"/>
      <c r="G114" s="15"/>
      <c r="H114" s="15"/>
      <c r="I114" s="15"/>
      <c r="J114" s="15"/>
      <c r="K114" s="15"/>
      <c r="L114" s="132"/>
      <c r="M114" s="134"/>
      <c r="N114" s="131"/>
      <c r="O114" s="133"/>
      <c r="P114" s="134"/>
      <c r="Q114" s="221" t="s">
        <v>270</v>
      </c>
      <c r="R114" s="222"/>
      <c r="S114" s="222"/>
      <c r="T114" s="222"/>
      <c r="U114" s="222"/>
      <c r="V114" s="222"/>
      <c r="W114" s="222"/>
      <c r="X114" s="222"/>
      <c r="Y114" s="221" t="s">
        <v>170</v>
      </c>
      <c r="Z114" s="222"/>
      <c r="AA114" s="222"/>
      <c r="AB114" s="222"/>
      <c r="AC114" s="222"/>
      <c r="AD114" s="222"/>
      <c r="AE114" s="222"/>
      <c r="AF114" s="222"/>
      <c r="AG114" s="222"/>
      <c r="AH114" s="223"/>
      <c r="AI114" s="134"/>
      <c r="AJ114" s="134"/>
      <c r="AK114" s="134"/>
      <c r="AL114" s="134"/>
      <c r="AM114" s="134"/>
      <c r="AN114" s="134"/>
      <c r="AO114" s="134"/>
      <c r="AP114" s="135"/>
      <c r="AQ114" s="15"/>
      <c r="AR114" s="15"/>
      <c r="AS114" s="15"/>
      <c r="AT114" s="15"/>
      <c r="AU114" s="15"/>
      <c r="AV114" s="15"/>
      <c r="AW114" s="15"/>
      <c r="AX114" s="18"/>
    </row>
    <row r="115" spans="1:50" s="3" customFormat="1" ht="12">
      <c r="A115" s="14"/>
      <c r="B115" s="207"/>
      <c r="C115" s="208"/>
      <c r="D115" s="15"/>
      <c r="E115" s="15"/>
      <c r="F115" s="15"/>
      <c r="G115" s="15"/>
      <c r="H115" s="15"/>
      <c r="I115" s="15"/>
      <c r="J115" s="15"/>
      <c r="K115" s="15"/>
      <c r="L115" s="132"/>
      <c r="M115" s="134"/>
      <c r="N115" s="131"/>
      <c r="O115" s="133"/>
      <c r="P115" s="134"/>
      <c r="Q115" s="224" t="s">
        <v>234</v>
      </c>
      <c r="R115" s="225"/>
      <c r="S115" s="225"/>
      <c r="T115" s="225"/>
      <c r="U115" s="225"/>
      <c r="V115" s="225"/>
      <c r="W115" s="225"/>
      <c r="X115" s="225"/>
      <c r="Y115" s="226" t="s">
        <v>272</v>
      </c>
      <c r="Z115" s="225"/>
      <c r="AA115" s="225"/>
      <c r="AB115" s="225"/>
      <c r="AC115" s="225"/>
      <c r="AD115" s="225"/>
      <c r="AE115" s="225"/>
      <c r="AF115" s="225"/>
      <c r="AG115" s="225"/>
      <c r="AH115" s="227"/>
      <c r="AI115" s="134"/>
      <c r="AJ115" s="134"/>
      <c r="AK115" s="134"/>
      <c r="AL115" s="134"/>
      <c r="AM115" s="134"/>
      <c r="AN115" s="134"/>
      <c r="AO115" s="134"/>
      <c r="AP115" s="135"/>
      <c r="AQ115" s="15"/>
      <c r="AR115" s="15"/>
      <c r="AS115" s="15"/>
      <c r="AT115" s="15"/>
      <c r="AU115" s="15"/>
      <c r="AV115" s="15"/>
      <c r="AW115" s="15"/>
      <c r="AX115" s="18"/>
    </row>
    <row r="116" spans="1:50" s="3" customFormat="1" ht="12">
      <c r="A116" s="14"/>
      <c r="B116" s="207"/>
      <c r="C116" s="208"/>
      <c r="D116" s="15"/>
      <c r="E116" s="15"/>
      <c r="F116" s="15"/>
      <c r="G116" s="15"/>
      <c r="H116" s="15"/>
      <c r="I116" s="15"/>
      <c r="J116" s="15"/>
      <c r="K116" s="15"/>
      <c r="L116" s="132"/>
      <c r="M116" s="134"/>
      <c r="N116" s="131"/>
      <c r="O116" s="133"/>
      <c r="P116" s="134"/>
      <c r="Q116" s="134"/>
      <c r="R116" s="134"/>
      <c r="S116" s="134"/>
      <c r="T116" s="134"/>
      <c r="U116" s="134"/>
      <c r="V116" s="134"/>
      <c r="W116" s="134"/>
      <c r="X116" s="134"/>
      <c r="Y116" s="134"/>
      <c r="Z116" s="134"/>
      <c r="AA116" s="134"/>
      <c r="AB116" s="134"/>
      <c r="AC116" s="134"/>
      <c r="AD116" s="134"/>
      <c r="AE116" s="134"/>
      <c r="AF116" s="134"/>
      <c r="AG116" s="134"/>
      <c r="AH116" s="134"/>
      <c r="AI116" s="134"/>
      <c r="AJ116" s="134"/>
      <c r="AK116" s="134"/>
      <c r="AL116" s="134"/>
      <c r="AM116" s="134"/>
      <c r="AN116" s="134"/>
      <c r="AO116" s="134"/>
      <c r="AP116" s="135"/>
      <c r="AQ116" s="15"/>
      <c r="AR116" s="15"/>
      <c r="AS116" s="15"/>
      <c r="AT116" s="15"/>
      <c r="AU116" s="15"/>
      <c r="AV116" s="15"/>
      <c r="AW116" s="15"/>
      <c r="AX116" s="18"/>
    </row>
    <row r="117" spans="1:50" s="3" customFormat="1" ht="12">
      <c r="A117" s="14"/>
      <c r="B117" s="207"/>
      <c r="C117" s="208"/>
      <c r="D117" s="15"/>
      <c r="E117" s="15"/>
      <c r="F117" s="15"/>
      <c r="G117" s="15"/>
      <c r="H117" s="15"/>
      <c r="I117" s="15"/>
      <c r="J117" s="15"/>
      <c r="K117" s="15"/>
      <c r="L117" s="132"/>
      <c r="M117" s="134"/>
      <c r="N117" s="131"/>
      <c r="O117" s="133"/>
      <c r="P117" s="134"/>
      <c r="Q117" s="134"/>
      <c r="R117" s="134"/>
      <c r="S117" s="134"/>
      <c r="T117" s="134"/>
      <c r="U117" s="134"/>
      <c r="V117" s="134"/>
      <c r="W117" s="134"/>
      <c r="X117" s="134"/>
      <c r="Y117" s="134"/>
      <c r="Z117" s="134"/>
      <c r="AA117" s="134"/>
      <c r="AB117" s="134"/>
      <c r="AC117" s="134"/>
      <c r="AD117" s="134"/>
      <c r="AE117" s="134"/>
      <c r="AF117" s="134"/>
      <c r="AG117" s="134"/>
      <c r="AH117" s="134"/>
      <c r="AI117" s="134"/>
      <c r="AJ117" s="134"/>
      <c r="AK117" s="134"/>
      <c r="AL117" s="134"/>
      <c r="AM117" s="134"/>
      <c r="AN117" s="134"/>
      <c r="AO117" s="134"/>
      <c r="AP117" s="135"/>
      <c r="AQ117" s="15"/>
      <c r="AR117" s="15"/>
      <c r="AS117" s="15"/>
      <c r="AT117" s="15"/>
      <c r="AU117" s="15"/>
      <c r="AV117" s="15"/>
      <c r="AW117" s="15"/>
      <c r="AX117" s="18"/>
    </row>
    <row r="118" spans="1:50" s="3" customFormat="1" ht="12">
      <c r="A118" s="14"/>
      <c r="B118" s="207"/>
      <c r="C118" s="208"/>
      <c r="D118" s="15"/>
      <c r="E118" s="15"/>
      <c r="F118" s="15"/>
      <c r="G118" s="15"/>
      <c r="H118" s="15"/>
      <c r="I118" s="15"/>
      <c r="J118" s="15"/>
      <c r="K118" s="15"/>
      <c r="L118" s="132"/>
      <c r="M118" s="134"/>
      <c r="N118" s="131"/>
      <c r="O118" s="133"/>
      <c r="P118" s="134" t="s">
        <v>273</v>
      </c>
      <c r="Q118" s="134" t="s">
        <v>233</v>
      </c>
      <c r="R118" s="134"/>
      <c r="S118" s="134"/>
      <c r="T118" s="134"/>
      <c r="U118" s="134"/>
      <c r="V118" s="134"/>
      <c r="W118" s="134"/>
      <c r="X118" s="134"/>
      <c r="Y118" s="134"/>
      <c r="Z118" s="134"/>
      <c r="AA118" s="134"/>
      <c r="AB118" s="134"/>
      <c r="AC118" s="134"/>
      <c r="AD118" s="134"/>
      <c r="AE118" s="134"/>
      <c r="AF118" s="134"/>
      <c r="AG118" s="134"/>
      <c r="AH118" s="134"/>
      <c r="AI118" s="134"/>
      <c r="AJ118" s="134"/>
      <c r="AK118" s="134"/>
      <c r="AL118" s="134"/>
      <c r="AM118" s="134"/>
      <c r="AN118" s="134"/>
      <c r="AO118" s="134"/>
      <c r="AP118" s="135"/>
      <c r="AQ118" s="15"/>
      <c r="AR118" s="15"/>
      <c r="AS118" s="15"/>
      <c r="AT118" s="15"/>
      <c r="AU118" s="15"/>
      <c r="AV118" s="15"/>
      <c r="AW118" s="15"/>
      <c r="AX118" s="18"/>
    </row>
    <row r="119" spans="1:50" s="3" customFormat="1" ht="12">
      <c r="A119" s="14"/>
      <c r="B119" s="117"/>
      <c r="C119" s="118"/>
      <c r="D119" s="15"/>
      <c r="E119" s="15"/>
      <c r="F119" s="15"/>
      <c r="G119" s="15"/>
      <c r="H119" s="15"/>
      <c r="I119" s="15"/>
      <c r="J119" s="15"/>
      <c r="K119" s="15"/>
      <c r="L119" s="132"/>
      <c r="M119" s="134"/>
      <c r="N119" s="134"/>
      <c r="O119" s="134"/>
      <c r="P119" s="134"/>
      <c r="Q119" s="150" t="s">
        <v>27</v>
      </c>
      <c r="R119" s="152"/>
      <c r="S119" s="152"/>
      <c r="T119" s="152"/>
      <c r="U119" s="152"/>
      <c r="V119" s="152"/>
      <c r="W119" s="152"/>
      <c r="X119" s="152"/>
      <c r="Y119" s="152"/>
      <c r="Z119" s="153" t="s">
        <v>170</v>
      </c>
      <c r="AA119" s="154"/>
      <c r="AB119" s="154"/>
      <c r="AC119" s="152"/>
      <c r="AD119" s="152"/>
      <c r="AE119" s="152"/>
      <c r="AF119" s="152"/>
      <c r="AG119" s="152"/>
      <c r="AH119" s="152"/>
      <c r="AI119" s="152"/>
      <c r="AJ119" s="152"/>
      <c r="AK119" s="152"/>
      <c r="AL119" s="151"/>
      <c r="AM119" s="134"/>
      <c r="AN119" s="134"/>
      <c r="AO119" s="134"/>
      <c r="AP119" s="135"/>
      <c r="AQ119" s="15"/>
      <c r="AR119" s="15"/>
      <c r="AS119" s="15"/>
      <c r="AT119" s="15"/>
      <c r="AU119" s="15"/>
      <c r="AV119" s="15"/>
      <c r="AW119" s="15"/>
      <c r="AX119" s="18"/>
    </row>
    <row r="120" spans="1:50" s="3" customFormat="1" ht="14.25">
      <c r="A120" s="14"/>
      <c r="B120" s="117"/>
      <c r="C120" s="118"/>
      <c r="D120" s="15"/>
      <c r="E120" s="15"/>
      <c r="F120" s="15"/>
      <c r="G120" s="15"/>
      <c r="H120" s="15"/>
      <c r="I120" s="15"/>
      <c r="J120" s="15"/>
      <c r="K120" s="15"/>
      <c r="L120" s="132"/>
      <c r="M120" s="134"/>
      <c r="N120" s="134"/>
      <c r="O120" s="134"/>
      <c r="P120" s="134"/>
      <c r="Q120" s="146" t="s">
        <v>231</v>
      </c>
      <c r="R120" s="157"/>
      <c r="S120" s="157"/>
      <c r="T120" s="157"/>
      <c r="U120" s="4"/>
      <c r="V120" s="4"/>
      <c r="W120" s="4"/>
      <c r="X120" s="4"/>
      <c r="Y120" s="156"/>
      <c r="Z120" s="146" t="s">
        <v>232</v>
      </c>
      <c r="AA120" s="158"/>
      <c r="AB120" s="158"/>
      <c r="AC120" s="158"/>
      <c r="AD120" s="158"/>
      <c r="AE120" s="158"/>
      <c r="AF120" s="158"/>
      <c r="AG120" s="158"/>
      <c r="AH120" s="158"/>
      <c r="AI120" s="158"/>
      <c r="AJ120" s="158"/>
      <c r="AK120" s="158"/>
      <c r="AL120" s="159"/>
      <c r="AM120" s="134"/>
      <c r="AN120" s="134"/>
      <c r="AO120" s="134"/>
      <c r="AP120" s="135"/>
      <c r="AQ120" s="15"/>
      <c r="AR120" s="15"/>
      <c r="AS120" s="15"/>
      <c r="AT120" s="15"/>
      <c r="AU120" s="15"/>
      <c r="AV120" s="15"/>
      <c r="AW120" s="15"/>
      <c r="AX120" s="18"/>
    </row>
    <row r="121" spans="1:50" s="3" customFormat="1" ht="12">
      <c r="A121" s="14"/>
      <c r="B121" s="117"/>
      <c r="C121" s="118"/>
      <c r="D121" s="15"/>
      <c r="E121" s="15"/>
      <c r="F121" s="15"/>
      <c r="G121" s="15"/>
      <c r="H121" s="15"/>
      <c r="I121" s="15"/>
      <c r="J121" s="15"/>
      <c r="K121" s="15"/>
      <c r="L121" s="132"/>
      <c r="M121" s="134"/>
      <c r="N121" s="134"/>
      <c r="O121" s="134"/>
      <c r="P121" s="134"/>
      <c r="Q121" s="134"/>
      <c r="R121" s="134"/>
      <c r="S121" s="134"/>
      <c r="T121" s="134"/>
      <c r="U121" s="134"/>
      <c r="V121" s="134"/>
      <c r="W121" s="134"/>
      <c r="X121" s="134"/>
      <c r="Y121" s="134"/>
      <c r="Z121" s="134"/>
      <c r="AA121" s="134"/>
      <c r="AB121" s="134"/>
      <c r="AC121" s="134"/>
      <c r="AD121" s="134"/>
      <c r="AE121" s="134"/>
      <c r="AF121" s="134"/>
      <c r="AG121" s="134"/>
      <c r="AH121" s="134"/>
      <c r="AI121" s="134"/>
      <c r="AJ121" s="134"/>
      <c r="AK121" s="134"/>
      <c r="AL121" s="134"/>
      <c r="AM121" s="134"/>
      <c r="AN121" s="134"/>
      <c r="AO121" s="134"/>
      <c r="AP121" s="135"/>
      <c r="AQ121" s="15"/>
      <c r="AR121" s="15"/>
      <c r="AS121" s="15"/>
      <c r="AT121" s="15"/>
      <c r="AU121" s="15"/>
      <c r="AV121" s="15"/>
      <c r="AW121" s="15"/>
      <c r="AX121" s="18"/>
    </row>
    <row r="122" spans="1:50" s="3" customFormat="1" ht="12">
      <c r="A122" s="14"/>
      <c r="B122" s="117"/>
      <c r="C122" s="118"/>
      <c r="D122" s="15"/>
      <c r="E122" s="15"/>
      <c r="F122" s="15"/>
      <c r="G122" s="15"/>
      <c r="H122" s="15"/>
      <c r="I122" s="15"/>
      <c r="J122" s="15"/>
      <c r="K122" s="15"/>
      <c r="L122" s="16"/>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7"/>
      <c r="AQ122" s="15"/>
      <c r="AR122" s="15"/>
      <c r="AS122" s="15"/>
      <c r="AT122" s="15"/>
      <c r="AU122" s="15"/>
      <c r="AV122" s="15"/>
      <c r="AW122" s="15"/>
      <c r="AX122" s="18"/>
    </row>
  </sheetData>
  <mergeCells count="29">
    <mergeCell ref="B58:C58"/>
    <mergeCell ref="B18:C18"/>
    <mergeCell ref="AM1:AP1"/>
    <mergeCell ref="AQ1:AT1"/>
    <mergeCell ref="AQ3:AT3"/>
    <mergeCell ref="B16:C16"/>
    <mergeCell ref="B5:C5"/>
    <mergeCell ref="A1:G3"/>
    <mergeCell ref="H3:K3"/>
    <mergeCell ref="L3:R3"/>
    <mergeCell ref="S3:V3"/>
    <mergeCell ref="W3:AL3"/>
    <mergeCell ref="AH1:AL1"/>
    <mergeCell ref="AU1:AX1"/>
    <mergeCell ref="H2:K2"/>
    <mergeCell ref="L2:R2"/>
    <mergeCell ref="S2:V2"/>
    <mergeCell ref="W2:AC2"/>
    <mergeCell ref="AD2:AG2"/>
    <mergeCell ref="AH2:AL2"/>
    <mergeCell ref="H1:K1"/>
    <mergeCell ref="L1:R1"/>
    <mergeCell ref="S1:V1"/>
    <mergeCell ref="W1:AC1"/>
    <mergeCell ref="AD1:AG1"/>
    <mergeCell ref="AU2:AX3"/>
    <mergeCell ref="AM2:AP2"/>
    <mergeCell ref="AQ2:AT2"/>
    <mergeCell ref="AM3:AP3"/>
  </mergeCells>
  <phoneticPr fontId="1"/>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drawing r:id="rId2"/>
  <legacyDrawing r:id="rId3"/>
  <extLst>
    <ext xmlns:x14="http://schemas.microsoft.com/office/spreadsheetml/2009/9/main" uri="{CCE6A557-97BC-4b89-ADB6-D9C93CAAB3DF}">
      <x14:dataValidations xmlns:xm="http://schemas.microsoft.com/office/excel/2006/main" count="1">
        <x14:dataValidation imeMode="off" allowBlank="1" showInputMessage="1" showErrorMessage="1">
          <xm:sqref>KI982660:KJ982660 UE982660:UF982660 AEA982660:AEB982660 ANW982660:ANX982660 AXS982660:AXT982660 BHO982660:BHP982660 BRK982660:BRL982660 CBG982660:CBH982660 CLC982660:CLD982660 CUY982660:CUZ982660 DEU982660:DEV982660 DOQ982660:DOR982660 DYM982660:DYN982660 EII982660:EIJ982660 ESE982660:ESF982660 FCA982660:FCB982660 FLW982660:FLX982660 FVS982660:FVT982660 GFO982660:GFP982660 GPK982660:GPL982660 GZG982660:GZH982660 HJC982660:HJD982660 HSY982660:HSZ982660 ICU982660:ICV982660 IMQ982660:IMR982660 IWM982660:IWN982660 JGI982660:JGJ982660 JQE982660:JQF982660 KAA982660:KAB982660 KJW982660:KJX982660 KTS982660:KTT982660 LDO982660:LDP982660 LNK982660:LNL982660 LXG982660:LXH982660 MHC982660:MHD982660 MQY982660:MQZ982660 NAU982660:NAV982660 NKQ982660:NKR982660 NUM982660:NUN982660 OEI982660:OEJ982660 OOE982660:OOF982660 OYA982660:OYB982660 PHW982660:PHX982660 PRS982660:PRT982660 QBO982660:QBP982660 QLK982660:QLL982660 QVG982660:QVH982660 RFC982660:RFD982660 ROY982660:ROZ982660 RYU982660:RYV982660 SIQ982660:SIR982660 SSM982660:SSN982660 TCI982660:TCJ982660 TME982660:TMF982660 TWA982660:TWB982660 UFW982660:UFX982660 UPS982660:UPT982660 UZO982660:UZP982660 VJK982660:VJL982660 VTG982660:VTH982660 WDC982660:WDD982660 WMY982660:WMZ982660 WWU982660:WWV982660 KI65256:KJ65284 UE65256:UF65284 AEA65256:AEB65284 ANW65256:ANX65284 AXS65256:AXT65284 BHO65256:BHP65284 BRK65256:BRL65284 CBG65256:CBH65284 CLC65256:CLD65284 CUY65256:CUZ65284 DEU65256:DEV65284 DOQ65256:DOR65284 DYM65256:DYN65284 EII65256:EIJ65284 ESE65256:ESF65284 FCA65256:FCB65284 FLW65256:FLX65284 FVS65256:FVT65284 GFO65256:GFP65284 GPK65256:GPL65284 GZG65256:GZH65284 HJC65256:HJD65284 HSY65256:HSZ65284 ICU65256:ICV65284 IMQ65256:IMR65284 IWM65256:IWN65284 JGI65256:JGJ65284 JQE65256:JQF65284 KAA65256:KAB65284 KJW65256:KJX65284 KTS65256:KTT65284 LDO65256:LDP65284 LNK65256:LNL65284 LXG65256:LXH65284 MHC65256:MHD65284 MQY65256:MQZ65284 NAU65256:NAV65284 NKQ65256:NKR65284 NUM65256:NUN65284 OEI65256:OEJ65284 OOE65256:OOF65284 OYA65256:OYB65284 PHW65256:PHX65284 PRS65256:PRT65284 QBO65256:QBP65284 QLK65256:QLL65284 QVG65256:QVH65284 RFC65256:RFD65284 ROY65256:ROZ65284 RYU65256:RYV65284 SIQ65256:SIR65284 SSM65256:SSN65284 TCI65256:TCJ65284 TME65256:TMF65284 TWA65256:TWB65284 UFW65256:UFX65284 UPS65256:UPT65284 UZO65256:UZP65284 VJK65256:VJL65284 VTG65256:VTH65284 WDC65256:WDD65284 WMY65256:WMZ65284 WWU65256:WWV65284 KI130792:KJ130820 UE130792:UF130820 AEA130792:AEB130820 ANW130792:ANX130820 AXS130792:AXT130820 BHO130792:BHP130820 BRK130792:BRL130820 CBG130792:CBH130820 CLC130792:CLD130820 CUY130792:CUZ130820 DEU130792:DEV130820 DOQ130792:DOR130820 DYM130792:DYN130820 EII130792:EIJ130820 ESE130792:ESF130820 FCA130792:FCB130820 FLW130792:FLX130820 FVS130792:FVT130820 GFO130792:GFP130820 GPK130792:GPL130820 GZG130792:GZH130820 HJC130792:HJD130820 HSY130792:HSZ130820 ICU130792:ICV130820 IMQ130792:IMR130820 IWM130792:IWN130820 JGI130792:JGJ130820 JQE130792:JQF130820 KAA130792:KAB130820 KJW130792:KJX130820 KTS130792:KTT130820 LDO130792:LDP130820 LNK130792:LNL130820 LXG130792:LXH130820 MHC130792:MHD130820 MQY130792:MQZ130820 NAU130792:NAV130820 NKQ130792:NKR130820 NUM130792:NUN130820 OEI130792:OEJ130820 OOE130792:OOF130820 OYA130792:OYB130820 PHW130792:PHX130820 PRS130792:PRT130820 QBO130792:QBP130820 QLK130792:QLL130820 QVG130792:QVH130820 RFC130792:RFD130820 ROY130792:ROZ130820 RYU130792:RYV130820 SIQ130792:SIR130820 SSM130792:SSN130820 TCI130792:TCJ130820 TME130792:TMF130820 TWA130792:TWB130820 UFW130792:UFX130820 UPS130792:UPT130820 UZO130792:UZP130820 VJK130792:VJL130820 VTG130792:VTH130820 WDC130792:WDD130820 WMY130792:WMZ130820 WWU130792:WWV130820 KI196328:KJ196356 UE196328:UF196356 AEA196328:AEB196356 ANW196328:ANX196356 AXS196328:AXT196356 BHO196328:BHP196356 BRK196328:BRL196356 CBG196328:CBH196356 CLC196328:CLD196356 CUY196328:CUZ196356 DEU196328:DEV196356 DOQ196328:DOR196356 DYM196328:DYN196356 EII196328:EIJ196356 ESE196328:ESF196356 FCA196328:FCB196356 FLW196328:FLX196356 FVS196328:FVT196356 GFO196328:GFP196356 GPK196328:GPL196356 GZG196328:GZH196356 HJC196328:HJD196356 HSY196328:HSZ196356 ICU196328:ICV196356 IMQ196328:IMR196356 IWM196328:IWN196356 JGI196328:JGJ196356 JQE196328:JQF196356 KAA196328:KAB196356 KJW196328:KJX196356 KTS196328:KTT196356 LDO196328:LDP196356 LNK196328:LNL196356 LXG196328:LXH196356 MHC196328:MHD196356 MQY196328:MQZ196356 NAU196328:NAV196356 NKQ196328:NKR196356 NUM196328:NUN196356 OEI196328:OEJ196356 OOE196328:OOF196356 OYA196328:OYB196356 PHW196328:PHX196356 PRS196328:PRT196356 QBO196328:QBP196356 QLK196328:QLL196356 QVG196328:QVH196356 RFC196328:RFD196356 ROY196328:ROZ196356 RYU196328:RYV196356 SIQ196328:SIR196356 SSM196328:SSN196356 TCI196328:TCJ196356 TME196328:TMF196356 TWA196328:TWB196356 UFW196328:UFX196356 UPS196328:UPT196356 UZO196328:UZP196356 VJK196328:VJL196356 VTG196328:VTH196356 WDC196328:WDD196356 WMY196328:WMZ196356 WWU196328:WWV196356 KI261864:KJ261892 UE261864:UF261892 AEA261864:AEB261892 ANW261864:ANX261892 AXS261864:AXT261892 BHO261864:BHP261892 BRK261864:BRL261892 CBG261864:CBH261892 CLC261864:CLD261892 CUY261864:CUZ261892 DEU261864:DEV261892 DOQ261864:DOR261892 DYM261864:DYN261892 EII261864:EIJ261892 ESE261864:ESF261892 FCA261864:FCB261892 FLW261864:FLX261892 FVS261864:FVT261892 GFO261864:GFP261892 GPK261864:GPL261892 GZG261864:GZH261892 HJC261864:HJD261892 HSY261864:HSZ261892 ICU261864:ICV261892 IMQ261864:IMR261892 IWM261864:IWN261892 JGI261864:JGJ261892 JQE261864:JQF261892 KAA261864:KAB261892 KJW261864:KJX261892 KTS261864:KTT261892 LDO261864:LDP261892 LNK261864:LNL261892 LXG261864:LXH261892 MHC261864:MHD261892 MQY261864:MQZ261892 NAU261864:NAV261892 NKQ261864:NKR261892 NUM261864:NUN261892 OEI261864:OEJ261892 OOE261864:OOF261892 OYA261864:OYB261892 PHW261864:PHX261892 PRS261864:PRT261892 QBO261864:QBP261892 QLK261864:QLL261892 QVG261864:QVH261892 RFC261864:RFD261892 ROY261864:ROZ261892 RYU261864:RYV261892 SIQ261864:SIR261892 SSM261864:SSN261892 TCI261864:TCJ261892 TME261864:TMF261892 TWA261864:TWB261892 UFW261864:UFX261892 UPS261864:UPT261892 UZO261864:UZP261892 VJK261864:VJL261892 VTG261864:VTH261892 WDC261864:WDD261892 WMY261864:WMZ261892 WWU261864:WWV261892 KI327400:KJ327428 UE327400:UF327428 AEA327400:AEB327428 ANW327400:ANX327428 AXS327400:AXT327428 BHO327400:BHP327428 BRK327400:BRL327428 CBG327400:CBH327428 CLC327400:CLD327428 CUY327400:CUZ327428 DEU327400:DEV327428 DOQ327400:DOR327428 DYM327400:DYN327428 EII327400:EIJ327428 ESE327400:ESF327428 FCA327400:FCB327428 FLW327400:FLX327428 FVS327400:FVT327428 GFO327400:GFP327428 GPK327400:GPL327428 GZG327400:GZH327428 HJC327400:HJD327428 HSY327400:HSZ327428 ICU327400:ICV327428 IMQ327400:IMR327428 IWM327400:IWN327428 JGI327400:JGJ327428 JQE327400:JQF327428 KAA327400:KAB327428 KJW327400:KJX327428 KTS327400:KTT327428 LDO327400:LDP327428 LNK327400:LNL327428 LXG327400:LXH327428 MHC327400:MHD327428 MQY327400:MQZ327428 NAU327400:NAV327428 NKQ327400:NKR327428 NUM327400:NUN327428 OEI327400:OEJ327428 OOE327400:OOF327428 OYA327400:OYB327428 PHW327400:PHX327428 PRS327400:PRT327428 QBO327400:QBP327428 QLK327400:QLL327428 QVG327400:QVH327428 RFC327400:RFD327428 ROY327400:ROZ327428 RYU327400:RYV327428 SIQ327400:SIR327428 SSM327400:SSN327428 TCI327400:TCJ327428 TME327400:TMF327428 TWA327400:TWB327428 UFW327400:UFX327428 UPS327400:UPT327428 UZO327400:UZP327428 VJK327400:VJL327428 VTG327400:VTH327428 WDC327400:WDD327428 WMY327400:WMZ327428 WWU327400:WWV327428 KI392936:KJ392964 UE392936:UF392964 AEA392936:AEB392964 ANW392936:ANX392964 AXS392936:AXT392964 BHO392936:BHP392964 BRK392936:BRL392964 CBG392936:CBH392964 CLC392936:CLD392964 CUY392936:CUZ392964 DEU392936:DEV392964 DOQ392936:DOR392964 DYM392936:DYN392964 EII392936:EIJ392964 ESE392936:ESF392964 FCA392936:FCB392964 FLW392936:FLX392964 FVS392936:FVT392964 GFO392936:GFP392964 GPK392936:GPL392964 GZG392936:GZH392964 HJC392936:HJD392964 HSY392936:HSZ392964 ICU392936:ICV392964 IMQ392936:IMR392964 IWM392936:IWN392964 JGI392936:JGJ392964 JQE392936:JQF392964 KAA392936:KAB392964 KJW392936:KJX392964 KTS392936:KTT392964 LDO392936:LDP392964 LNK392936:LNL392964 LXG392936:LXH392964 MHC392936:MHD392964 MQY392936:MQZ392964 NAU392936:NAV392964 NKQ392936:NKR392964 NUM392936:NUN392964 OEI392936:OEJ392964 OOE392936:OOF392964 OYA392936:OYB392964 PHW392936:PHX392964 PRS392936:PRT392964 QBO392936:QBP392964 QLK392936:QLL392964 QVG392936:QVH392964 RFC392936:RFD392964 ROY392936:ROZ392964 RYU392936:RYV392964 SIQ392936:SIR392964 SSM392936:SSN392964 TCI392936:TCJ392964 TME392936:TMF392964 TWA392936:TWB392964 UFW392936:UFX392964 UPS392936:UPT392964 UZO392936:UZP392964 VJK392936:VJL392964 VTG392936:VTH392964 WDC392936:WDD392964 WMY392936:WMZ392964 WWU392936:WWV392964 KI458472:KJ458500 UE458472:UF458500 AEA458472:AEB458500 ANW458472:ANX458500 AXS458472:AXT458500 BHO458472:BHP458500 BRK458472:BRL458500 CBG458472:CBH458500 CLC458472:CLD458500 CUY458472:CUZ458500 DEU458472:DEV458500 DOQ458472:DOR458500 DYM458472:DYN458500 EII458472:EIJ458500 ESE458472:ESF458500 FCA458472:FCB458500 FLW458472:FLX458500 FVS458472:FVT458500 GFO458472:GFP458500 GPK458472:GPL458500 GZG458472:GZH458500 HJC458472:HJD458500 HSY458472:HSZ458500 ICU458472:ICV458500 IMQ458472:IMR458500 IWM458472:IWN458500 JGI458472:JGJ458500 JQE458472:JQF458500 KAA458472:KAB458500 KJW458472:KJX458500 KTS458472:KTT458500 LDO458472:LDP458500 LNK458472:LNL458500 LXG458472:LXH458500 MHC458472:MHD458500 MQY458472:MQZ458500 NAU458472:NAV458500 NKQ458472:NKR458500 NUM458472:NUN458500 OEI458472:OEJ458500 OOE458472:OOF458500 OYA458472:OYB458500 PHW458472:PHX458500 PRS458472:PRT458500 QBO458472:QBP458500 QLK458472:QLL458500 QVG458472:QVH458500 RFC458472:RFD458500 ROY458472:ROZ458500 RYU458472:RYV458500 SIQ458472:SIR458500 SSM458472:SSN458500 TCI458472:TCJ458500 TME458472:TMF458500 TWA458472:TWB458500 UFW458472:UFX458500 UPS458472:UPT458500 UZO458472:UZP458500 VJK458472:VJL458500 VTG458472:VTH458500 WDC458472:WDD458500 WMY458472:WMZ458500 WWU458472:WWV458500 KI524008:KJ524036 UE524008:UF524036 AEA524008:AEB524036 ANW524008:ANX524036 AXS524008:AXT524036 BHO524008:BHP524036 BRK524008:BRL524036 CBG524008:CBH524036 CLC524008:CLD524036 CUY524008:CUZ524036 DEU524008:DEV524036 DOQ524008:DOR524036 DYM524008:DYN524036 EII524008:EIJ524036 ESE524008:ESF524036 FCA524008:FCB524036 FLW524008:FLX524036 FVS524008:FVT524036 GFO524008:GFP524036 GPK524008:GPL524036 GZG524008:GZH524036 HJC524008:HJD524036 HSY524008:HSZ524036 ICU524008:ICV524036 IMQ524008:IMR524036 IWM524008:IWN524036 JGI524008:JGJ524036 JQE524008:JQF524036 KAA524008:KAB524036 KJW524008:KJX524036 KTS524008:KTT524036 LDO524008:LDP524036 LNK524008:LNL524036 LXG524008:LXH524036 MHC524008:MHD524036 MQY524008:MQZ524036 NAU524008:NAV524036 NKQ524008:NKR524036 NUM524008:NUN524036 OEI524008:OEJ524036 OOE524008:OOF524036 OYA524008:OYB524036 PHW524008:PHX524036 PRS524008:PRT524036 QBO524008:QBP524036 QLK524008:QLL524036 QVG524008:QVH524036 RFC524008:RFD524036 ROY524008:ROZ524036 RYU524008:RYV524036 SIQ524008:SIR524036 SSM524008:SSN524036 TCI524008:TCJ524036 TME524008:TMF524036 TWA524008:TWB524036 UFW524008:UFX524036 UPS524008:UPT524036 UZO524008:UZP524036 VJK524008:VJL524036 VTG524008:VTH524036 WDC524008:WDD524036 WMY524008:WMZ524036 WWU524008:WWV524036 KI589544:KJ589572 UE589544:UF589572 AEA589544:AEB589572 ANW589544:ANX589572 AXS589544:AXT589572 BHO589544:BHP589572 BRK589544:BRL589572 CBG589544:CBH589572 CLC589544:CLD589572 CUY589544:CUZ589572 DEU589544:DEV589572 DOQ589544:DOR589572 DYM589544:DYN589572 EII589544:EIJ589572 ESE589544:ESF589572 FCA589544:FCB589572 FLW589544:FLX589572 FVS589544:FVT589572 GFO589544:GFP589572 GPK589544:GPL589572 GZG589544:GZH589572 HJC589544:HJD589572 HSY589544:HSZ589572 ICU589544:ICV589572 IMQ589544:IMR589572 IWM589544:IWN589572 JGI589544:JGJ589572 JQE589544:JQF589572 KAA589544:KAB589572 KJW589544:KJX589572 KTS589544:KTT589572 LDO589544:LDP589572 LNK589544:LNL589572 LXG589544:LXH589572 MHC589544:MHD589572 MQY589544:MQZ589572 NAU589544:NAV589572 NKQ589544:NKR589572 NUM589544:NUN589572 OEI589544:OEJ589572 OOE589544:OOF589572 OYA589544:OYB589572 PHW589544:PHX589572 PRS589544:PRT589572 QBO589544:QBP589572 QLK589544:QLL589572 QVG589544:QVH589572 RFC589544:RFD589572 ROY589544:ROZ589572 RYU589544:RYV589572 SIQ589544:SIR589572 SSM589544:SSN589572 TCI589544:TCJ589572 TME589544:TMF589572 TWA589544:TWB589572 UFW589544:UFX589572 UPS589544:UPT589572 UZO589544:UZP589572 VJK589544:VJL589572 VTG589544:VTH589572 WDC589544:WDD589572 WMY589544:WMZ589572 WWU589544:WWV589572 KI655080:KJ655108 UE655080:UF655108 AEA655080:AEB655108 ANW655080:ANX655108 AXS655080:AXT655108 BHO655080:BHP655108 BRK655080:BRL655108 CBG655080:CBH655108 CLC655080:CLD655108 CUY655080:CUZ655108 DEU655080:DEV655108 DOQ655080:DOR655108 DYM655080:DYN655108 EII655080:EIJ655108 ESE655080:ESF655108 FCA655080:FCB655108 FLW655080:FLX655108 FVS655080:FVT655108 GFO655080:GFP655108 GPK655080:GPL655108 GZG655080:GZH655108 HJC655080:HJD655108 HSY655080:HSZ655108 ICU655080:ICV655108 IMQ655080:IMR655108 IWM655080:IWN655108 JGI655080:JGJ655108 JQE655080:JQF655108 KAA655080:KAB655108 KJW655080:KJX655108 KTS655080:KTT655108 LDO655080:LDP655108 LNK655080:LNL655108 LXG655080:LXH655108 MHC655080:MHD655108 MQY655080:MQZ655108 NAU655080:NAV655108 NKQ655080:NKR655108 NUM655080:NUN655108 OEI655080:OEJ655108 OOE655080:OOF655108 OYA655080:OYB655108 PHW655080:PHX655108 PRS655080:PRT655108 QBO655080:QBP655108 QLK655080:QLL655108 QVG655080:QVH655108 RFC655080:RFD655108 ROY655080:ROZ655108 RYU655080:RYV655108 SIQ655080:SIR655108 SSM655080:SSN655108 TCI655080:TCJ655108 TME655080:TMF655108 TWA655080:TWB655108 UFW655080:UFX655108 UPS655080:UPT655108 UZO655080:UZP655108 VJK655080:VJL655108 VTG655080:VTH655108 WDC655080:WDD655108 WMY655080:WMZ655108 WWU655080:WWV655108 KI720616:KJ720644 UE720616:UF720644 AEA720616:AEB720644 ANW720616:ANX720644 AXS720616:AXT720644 BHO720616:BHP720644 BRK720616:BRL720644 CBG720616:CBH720644 CLC720616:CLD720644 CUY720616:CUZ720644 DEU720616:DEV720644 DOQ720616:DOR720644 DYM720616:DYN720644 EII720616:EIJ720644 ESE720616:ESF720644 FCA720616:FCB720644 FLW720616:FLX720644 FVS720616:FVT720644 GFO720616:GFP720644 GPK720616:GPL720644 GZG720616:GZH720644 HJC720616:HJD720644 HSY720616:HSZ720644 ICU720616:ICV720644 IMQ720616:IMR720644 IWM720616:IWN720644 JGI720616:JGJ720644 JQE720616:JQF720644 KAA720616:KAB720644 KJW720616:KJX720644 KTS720616:KTT720644 LDO720616:LDP720644 LNK720616:LNL720644 LXG720616:LXH720644 MHC720616:MHD720644 MQY720616:MQZ720644 NAU720616:NAV720644 NKQ720616:NKR720644 NUM720616:NUN720644 OEI720616:OEJ720644 OOE720616:OOF720644 OYA720616:OYB720644 PHW720616:PHX720644 PRS720616:PRT720644 QBO720616:QBP720644 QLK720616:QLL720644 QVG720616:QVH720644 RFC720616:RFD720644 ROY720616:ROZ720644 RYU720616:RYV720644 SIQ720616:SIR720644 SSM720616:SSN720644 TCI720616:TCJ720644 TME720616:TMF720644 TWA720616:TWB720644 UFW720616:UFX720644 UPS720616:UPT720644 UZO720616:UZP720644 VJK720616:VJL720644 VTG720616:VTH720644 WDC720616:WDD720644 WMY720616:WMZ720644 WWU720616:WWV720644 KI786152:KJ786180 UE786152:UF786180 AEA786152:AEB786180 ANW786152:ANX786180 AXS786152:AXT786180 BHO786152:BHP786180 BRK786152:BRL786180 CBG786152:CBH786180 CLC786152:CLD786180 CUY786152:CUZ786180 DEU786152:DEV786180 DOQ786152:DOR786180 DYM786152:DYN786180 EII786152:EIJ786180 ESE786152:ESF786180 FCA786152:FCB786180 FLW786152:FLX786180 FVS786152:FVT786180 GFO786152:GFP786180 GPK786152:GPL786180 GZG786152:GZH786180 HJC786152:HJD786180 HSY786152:HSZ786180 ICU786152:ICV786180 IMQ786152:IMR786180 IWM786152:IWN786180 JGI786152:JGJ786180 JQE786152:JQF786180 KAA786152:KAB786180 KJW786152:KJX786180 KTS786152:KTT786180 LDO786152:LDP786180 LNK786152:LNL786180 LXG786152:LXH786180 MHC786152:MHD786180 MQY786152:MQZ786180 NAU786152:NAV786180 NKQ786152:NKR786180 NUM786152:NUN786180 OEI786152:OEJ786180 OOE786152:OOF786180 OYA786152:OYB786180 PHW786152:PHX786180 PRS786152:PRT786180 QBO786152:QBP786180 QLK786152:QLL786180 QVG786152:QVH786180 RFC786152:RFD786180 ROY786152:ROZ786180 RYU786152:RYV786180 SIQ786152:SIR786180 SSM786152:SSN786180 TCI786152:TCJ786180 TME786152:TMF786180 TWA786152:TWB786180 UFW786152:UFX786180 UPS786152:UPT786180 UZO786152:UZP786180 VJK786152:VJL786180 VTG786152:VTH786180 WDC786152:WDD786180 WMY786152:WMZ786180 WWU786152:WWV786180 KI851688:KJ851716 UE851688:UF851716 AEA851688:AEB851716 ANW851688:ANX851716 AXS851688:AXT851716 BHO851688:BHP851716 BRK851688:BRL851716 CBG851688:CBH851716 CLC851688:CLD851716 CUY851688:CUZ851716 DEU851688:DEV851716 DOQ851688:DOR851716 DYM851688:DYN851716 EII851688:EIJ851716 ESE851688:ESF851716 FCA851688:FCB851716 FLW851688:FLX851716 FVS851688:FVT851716 GFO851688:GFP851716 GPK851688:GPL851716 GZG851688:GZH851716 HJC851688:HJD851716 HSY851688:HSZ851716 ICU851688:ICV851716 IMQ851688:IMR851716 IWM851688:IWN851716 JGI851688:JGJ851716 JQE851688:JQF851716 KAA851688:KAB851716 KJW851688:KJX851716 KTS851688:KTT851716 LDO851688:LDP851716 LNK851688:LNL851716 LXG851688:LXH851716 MHC851688:MHD851716 MQY851688:MQZ851716 NAU851688:NAV851716 NKQ851688:NKR851716 NUM851688:NUN851716 OEI851688:OEJ851716 OOE851688:OOF851716 OYA851688:OYB851716 PHW851688:PHX851716 PRS851688:PRT851716 QBO851688:QBP851716 QLK851688:QLL851716 QVG851688:QVH851716 RFC851688:RFD851716 ROY851688:ROZ851716 RYU851688:RYV851716 SIQ851688:SIR851716 SSM851688:SSN851716 TCI851688:TCJ851716 TME851688:TMF851716 TWA851688:TWB851716 UFW851688:UFX851716 UPS851688:UPT851716 UZO851688:UZP851716 VJK851688:VJL851716 VTG851688:VTH851716 WDC851688:WDD851716 WMY851688:WMZ851716 WWU851688:WWV851716 KI917224:KJ917252 UE917224:UF917252 AEA917224:AEB917252 ANW917224:ANX917252 AXS917224:AXT917252 BHO917224:BHP917252 BRK917224:BRL917252 CBG917224:CBH917252 CLC917224:CLD917252 CUY917224:CUZ917252 DEU917224:DEV917252 DOQ917224:DOR917252 DYM917224:DYN917252 EII917224:EIJ917252 ESE917224:ESF917252 FCA917224:FCB917252 FLW917224:FLX917252 FVS917224:FVT917252 GFO917224:GFP917252 GPK917224:GPL917252 GZG917224:GZH917252 HJC917224:HJD917252 HSY917224:HSZ917252 ICU917224:ICV917252 IMQ917224:IMR917252 IWM917224:IWN917252 JGI917224:JGJ917252 JQE917224:JQF917252 KAA917224:KAB917252 KJW917224:KJX917252 KTS917224:KTT917252 LDO917224:LDP917252 LNK917224:LNL917252 LXG917224:LXH917252 MHC917224:MHD917252 MQY917224:MQZ917252 NAU917224:NAV917252 NKQ917224:NKR917252 NUM917224:NUN917252 OEI917224:OEJ917252 OOE917224:OOF917252 OYA917224:OYB917252 PHW917224:PHX917252 PRS917224:PRT917252 QBO917224:QBP917252 QLK917224:QLL917252 QVG917224:QVH917252 RFC917224:RFD917252 ROY917224:ROZ917252 RYU917224:RYV917252 SIQ917224:SIR917252 SSM917224:SSN917252 TCI917224:TCJ917252 TME917224:TMF917252 TWA917224:TWB917252 UFW917224:UFX917252 UPS917224:UPT917252 UZO917224:UZP917252 VJK917224:VJL917252 VTG917224:VTH917252 WDC917224:WDD917252 WMY917224:WMZ917252 WWU917224:WWV917252 KI982760:KJ982788 UE982760:UF982788 AEA982760:AEB982788 ANW982760:ANX982788 AXS982760:AXT982788 BHO982760:BHP982788 BRK982760:BRL982788 CBG982760:CBH982788 CLC982760:CLD982788 CUY982760:CUZ982788 DEU982760:DEV982788 DOQ982760:DOR982788 DYM982760:DYN982788 EII982760:EIJ982788 ESE982760:ESF982788 FCA982760:FCB982788 FLW982760:FLX982788 FVS982760:FVT982788 GFO982760:GFP982788 GPK982760:GPL982788 GZG982760:GZH982788 HJC982760:HJD982788 HSY982760:HSZ982788 ICU982760:ICV982788 IMQ982760:IMR982788 IWM982760:IWN982788 JGI982760:JGJ982788 JQE982760:JQF982788 KAA982760:KAB982788 KJW982760:KJX982788 KTS982760:KTT982788 LDO982760:LDP982788 LNK982760:LNL982788 LXG982760:LXH982788 MHC982760:MHD982788 MQY982760:MQZ982788 NAU982760:NAV982788 NKQ982760:NKR982788 NUM982760:NUN982788 OEI982760:OEJ982788 OOE982760:OOF982788 OYA982760:OYB982788 PHW982760:PHX982788 PRS982760:PRT982788 QBO982760:QBP982788 QLK982760:QLL982788 QVG982760:QVH982788 RFC982760:RFD982788 ROY982760:ROZ982788 RYU982760:RYV982788 SIQ982760:SIR982788 SSM982760:SSN982788 TCI982760:TCJ982788 TME982760:TMF982788 TWA982760:TWB982788 UFW982760:UFX982788 UPS982760:UPT982788 UZO982760:UZP982788 VJK982760:VJL982788 VTG982760:VTH982788 WDC982760:WDD982788 WMY982760:WMZ982788 WWU982760:WWV982788 KI982680:KJ982684 UE982680:UF982684 AEA982680:AEB982684 ANW982680:ANX982684 AXS982680:AXT982684 BHO982680:BHP982684 BRK982680:BRL982684 CBG982680:CBH982684 CLC982680:CLD982684 CUY982680:CUZ982684 DEU982680:DEV982684 DOQ982680:DOR982684 DYM982680:DYN982684 EII982680:EIJ982684 ESE982680:ESF982684 FCA982680:FCB982684 FLW982680:FLX982684 FVS982680:FVT982684 GFO982680:GFP982684 GPK982680:GPL982684 GZG982680:GZH982684 HJC982680:HJD982684 HSY982680:HSZ982684 ICU982680:ICV982684 IMQ982680:IMR982684 IWM982680:IWN982684 JGI982680:JGJ982684 JQE982680:JQF982684 KAA982680:KAB982684 KJW982680:KJX982684 KTS982680:KTT982684 LDO982680:LDP982684 LNK982680:LNL982684 LXG982680:LXH982684 MHC982680:MHD982684 MQY982680:MQZ982684 NAU982680:NAV982684 NKQ982680:NKR982684 NUM982680:NUN982684 OEI982680:OEJ982684 OOE982680:OOF982684 OYA982680:OYB982684 PHW982680:PHX982684 PRS982680:PRT982684 QBO982680:QBP982684 QLK982680:QLL982684 QVG982680:QVH982684 RFC982680:RFD982684 ROY982680:ROZ982684 RYU982680:RYV982684 SIQ982680:SIR982684 SSM982680:SSN982684 TCI982680:TCJ982684 TME982680:TMF982684 TWA982680:TWB982684 UFW982680:UFX982684 UPS982680:UPT982684 UZO982680:UZP982684 VJK982680:VJL982684 VTG982680:VTH982684 WDC982680:WDD982684 WMY982680:WMZ982684 WWU982680:WWV982684 KI65252:KJ65253 UE65252:UF65253 AEA65252:AEB65253 ANW65252:ANX65253 AXS65252:AXT65253 BHO65252:BHP65253 BRK65252:BRL65253 CBG65252:CBH65253 CLC65252:CLD65253 CUY65252:CUZ65253 DEU65252:DEV65253 DOQ65252:DOR65253 DYM65252:DYN65253 EII65252:EIJ65253 ESE65252:ESF65253 FCA65252:FCB65253 FLW65252:FLX65253 FVS65252:FVT65253 GFO65252:GFP65253 GPK65252:GPL65253 GZG65252:GZH65253 HJC65252:HJD65253 HSY65252:HSZ65253 ICU65252:ICV65253 IMQ65252:IMR65253 IWM65252:IWN65253 JGI65252:JGJ65253 JQE65252:JQF65253 KAA65252:KAB65253 KJW65252:KJX65253 KTS65252:KTT65253 LDO65252:LDP65253 LNK65252:LNL65253 LXG65252:LXH65253 MHC65252:MHD65253 MQY65252:MQZ65253 NAU65252:NAV65253 NKQ65252:NKR65253 NUM65252:NUN65253 OEI65252:OEJ65253 OOE65252:OOF65253 OYA65252:OYB65253 PHW65252:PHX65253 PRS65252:PRT65253 QBO65252:QBP65253 QLK65252:QLL65253 QVG65252:QVH65253 RFC65252:RFD65253 ROY65252:ROZ65253 RYU65252:RYV65253 SIQ65252:SIR65253 SSM65252:SSN65253 TCI65252:TCJ65253 TME65252:TMF65253 TWA65252:TWB65253 UFW65252:UFX65253 UPS65252:UPT65253 UZO65252:UZP65253 VJK65252:VJL65253 VTG65252:VTH65253 WDC65252:WDD65253 WMY65252:WMZ65253 WWU65252:WWV65253 KI130788:KJ130789 UE130788:UF130789 AEA130788:AEB130789 ANW130788:ANX130789 AXS130788:AXT130789 BHO130788:BHP130789 BRK130788:BRL130789 CBG130788:CBH130789 CLC130788:CLD130789 CUY130788:CUZ130789 DEU130788:DEV130789 DOQ130788:DOR130789 DYM130788:DYN130789 EII130788:EIJ130789 ESE130788:ESF130789 FCA130788:FCB130789 FLW130788:FLX130789 FVS130788:FVT130789 GFO130788:GFP130789 GPK130788:GPL130789 GZG130788:GZH130789 HJC130788:HJD130789 HSY130788:HSZ130789 ICU130788:ICV130789 IMQ130788:IMR130789 IWM130788:IWN130789 JGI130788:JGJ130789 JQE130788:JQF130789 KAA130788:KAB130789 KJW130788:KJX130789 KTS130788:KTT130789 LDO130788:LDP130789 LNK130788:LNL130789 LXG130788:LXH130789 MHC130788:MHD130789 MQY130788:MQZ130789 NAU130788:NAV130789 NKQ130788:NKR130789 NUM130788:NUN130789 OEI130788:OEJ130789 OOE130788:OOF130789 OYA130788:OYB130789 PHW130788:PHX130789 PRS130788:PRT130789 QBO130788:QBP130789 QLK130788:QLL130789 QVG130788:QVH130789 RFC130788:RFD130789 ROY130788:ROZ130789 RYU130788:RYV130789 SIQ130788:SIR130789 SSM130788:SSN130789 TCI130788:TCJ130789 TME130788:TMF130789 TWA130788:TWB130789 UFW130788:UFX130789 UPS130788:UPT130789 UZO130788:UZP130789 VJK130788:VJL130789 VTG130788:VTH130789 WDC130788:WDD130789 WMY130788:WMZ130789 WWU130788:WWV130789 KI196324:KJ196325 UE196324:UF196325 AEA196324:AEB196325 ANW196324:ANX196325 AXS196324:AXT196325 BHO196324:BHP196325 BRK196324:BRL196325 CBG196324:CBH196325 CLC196324:CLD196325 CUY196324:CUZ196325 DEU196324:DEV196325 DOQ196324:DOR196325 DYM196324:DYN196325 EII196324:EIJ196325 ESE196324:ESF196325 FCA196324:FCB196325 FLW196324:FLX196325 FVS196324:FVT196325 GFO196324:GFP196325 GPK196324:GPL196325 GZG196324:GZH196325 HJC196324:HJD196325 HSY196324:HSZ196325 ICU196324:ICV196325 IMQ196324:IMR196325 IWM196324:IWN196325 JGI196324:JGJ196325 JQE196324:JQF196325 KAA196324:KAB196325 KJW196324:KJX196325 KTS196324:KTT196325 LDO196324:LDP196325 LNK196324:LNL196325 LXG196324:LXH196325 MHC196324:MHD196325 MQY196324:MQZ196325 NAU196324:NAV196325 NKQ196324:NKR196325 NUM196324:NUN196325 OEI196324:OEJ196325 OOE196324:OOF196325 OYA196324:OYB196325 PHW196324:PHX196325 PRS196324:PRT196325 QBO196324:QBP196325 QLK196324:QLL196325 QVG196324:QVH196325 RFC196324:RFD196325 ROY196324:ROZ196325 RYU196324:RYV196325 SIQ196324:SIR196325 SSM196324:SSN196325 TCI196324:TCJ196325 TME196324:TMF196325 TWA196324:TWB196325 UFW196324:UFX196325 UPS196324:UPT196325 UZO196324:UZP196325 VJK196324:VJL196325 VTG196324:VTH196325 WDC196324:WDD196325 WMY196324:WMZ196325 WWU196324:WWV196325 KI261860:KJ261861 UE261860:UF261861 AEA261860:AEB261861 ANW261860:ANX261861 AXS261860:AXT261861 BHO261860:BHP261861 BRK261860:BRL261861 CBG261860:CBH261861 CLC261860:CLD261861 CUY261860:CUZ261861 DEU261860:DEV261861 DOQ261860:DOR261861 DYM261860:DYN261861 EII261860:EIJ261861 ESE261860:ESF261861 FCA261860:FCB261861 FLW261860:FLX261861 FVS261860:FVT261861 GFO261860:GFP261861 GPK261860:GPL261861 GZG261860:GZH261861 HJC261860:HJD261861 HSY261860:HSZ261861 ICU261860:ICV261861 IMQ261860:IMR261861 IWM261860:IWN261861 JGI261860:JGJ261861 JQE261860:JQF261861 KAA261860:KAB261861 KJW261860:KJX261861 KTS261860:KTT261861 LDO261860:LDP261861 LNK261860:LNL261861 LXG261860:LXH261861 MHC261860:MHD261861 MQY261860:MQZ261861 NAU261860:NAV261861 NKQ261860:NKR261861 NUM261860:NUN261861 OEI261860:OEJ261861 OOE261860:OOF261861 OYA261860:OYB261861 PHW261860:PHX261861 PRS261860:PRT261861 QBO261860:QBP261861 QLK261860:QLL261861 QVG261860:QVH261861 RFC261860:RFD261861 ROY261860:ROZ261861 RYU261860:RYV261861 SIQ261860:SIR261861 SSM261860:SSN261861 TCI261860:TCJ261861 TME261860:TMF261861 TWA261860:TWB261861 UFW261860:UFX261861 UPS261860:UPT261861 UZO261860:UZP261861 VJK261860:VJL261861 VTG261860:VTH261861 WDC261860:WDD261861 WMY261860:WMZ261861 WWU261860:WWV261861 KI327396:KJ327397 UE327396:UF327397 AEA327396:AEB327397 ANW327396:ANX327397 AXS327396:AXT327397 BHO327396:BHP327397 BRK327396:BRL327397 CBG327396:CBH327397 CLC327396:CLD327397 CUY327396:CUZ327397 DEU327396:DEV327397 DOQ327396:DOR327397 DYM327396:DYN327397 EII327396:EIJ327397 ESE327396:ESF327397 FCA327396:FCB327397 FLW327396:FLX327397 FVS327396:FVT327397 GFO327396:GFP327397 GPK327396:GPL327397 GZG327396:GZH327397 HJC327396:HJD327397 HSY327396:HSZ327397 ICU327396:ICV327397 IMQ327396:IMR327397 IWM327396:IWN327397 JGI327396:JGJ327397 JQE327396:JQF327397 KAA327396:KAB327397 KJW327396:KJX327397 KTS327396:KTT327397 LDO327396:LDP327397 LNK327396:LNL327397 LXG327396:LXH327397 MHC327396:MHD327397 MQY327396:MQZ327397 NAU327396:NAV327397 NKQ327396:NKR327397 NUM327396:NUN327397 OEI327396:OEJ327397 OOE327396:OOF327397 OYA327396:OYB327397 PHW327396:PHX327397 PRS327396:PRT327397 QBO327396:QBP327397 QLK327396:QLL327397 QVG327396:QVH327397 RFC327396:RFD327397 ROY327396:ROZ327397 RYU327396:RYV327397 SIQ327396:SIR327397 SSM327396:SSN327397 TCI327396:TCJ327397 TME327396:TMF327397 TWA327396:TWB327397 UFW327396:UFX327397 UPS327396:UPT327397 UZO327396:UZP327397 VJK327396:VJL327397 VTG327396:VTH327397 WDC327396:WDD327397 WMY327396:WMZ327397 WWU327396:WWV327397 KI392932:KJ392933 UE392932:UF392933 AEA392932:AEB392933 ANW392932:ANX392933 AXS392932:AXT392933 BHO392932:BHP392933 BRK392932:BRL392933 CBG392932:CBH392933 CLC392932:CLD392933 CUY392932:CUZ392933 DEU392932:DEV392933 DOQ392932:DOR392933 DYM392932:DYN392933 EII392932:EIJ392933 ESE392932:ESF392933 FCA392932:FCB392933 FLW392932:FLX392933 FVS392932:FVT392933 GFO392932:GFP392933 GPK392932:GPL392933 GZG392932:GZH392933 HJC392932:HJD392933 HSY392932:HSZ392933 ICU392932:ICV392933 IMQ392932:IMR392933 IWM392932:IWN392933 JGI392932:JGJ392933 JQE392932:JQF392933 KAA392932:KAB392933 KJW392932:KJX392933 KTS392932:KTT392933 LDO392932:LDP392933 LNK392932:LNL392933 LXG392932:LXH392933 MHC392932:MHD392933 MQY392932:MQZ392933 NAU392932:NAV392933 NKQ392932:NKR392933 NUM392932:NUN392933 OEI392932:OEJ392933 OOE392932:OOF392933 OYA392932:OYB392933 PHW392932:PHX392933 PRS392932:PRT392933 QBO392932:QBP392933 QLK392932:QLL392933 QVG392932:QVH392933 RFC392932:RFD392933 ROY392932:ROZ392933 RYU392932:RYV392933 SIQ392932:SIR392933 SSM392932:SSN392933 TCI392932:TCJ392933 TME392932:TMF392933 TWA392932:TWB392933 UFW392932:UFX392933 UPS392932:UPT392933 UZO392932:UZP392933 VJK392932:VJL392933 VTG392932:VTH392933 WDC392932:WDD392933 WMY392932:WMZ392933 WWU392932:WWV392933 KI458468:KJ458469 UE458468:UF458469 AEA458468:AEB458469 ANW458468:ANX458469 AXS458468:AXT458469 BHO458468:BHP458469 BRK458468:BRL458469 CBG458468:CBH458469 CLC458468:CLD458469 CUY458468:CUZ458469 DEU458468:DEV458469 DOQ458468:DOR458469 DYM458468:DYN458469 EII458468:EIJ458469 ESE458468:ESF458469 FCA458468:FCB458469 FLW458468:FLX458469 FVS458468:FVT458469 GFO458468:GFP458469 GPK458468:GPL458469 GZG458468:GZH458469 HJC458468:HJD458469 HSY458468:HSZ458469 ICU458468:ICV458469 IMQ458468:IMR458469 IWM458468:IWN458469 JGI458468:JGJ458469 JQE458468:JQF458469 KAA458468:KAB458469 KJW458468:KJX458469 KTS458468:KTT458469 LDO458468:LDP458469 LNK458468:LNL458469 LXG458468:LXH458469 MHC458468:MHD458469 MQY458468:MQZ458469 NAU458468:NAV458469 NKQ458468:NKR458469 NUM458468:NUN458469 OEI458468:OEJ458469 OOE458468:OOF458469 OYA458468:OYB458469 PHW458468:PHX458469 PRS458468:PRT458469 QBO458468:QBP458469 QLK458468:QLL458469 QVG458468:QVH458469 RFC458468:RFD458469 ROY458468:ROZ458469 RYU458468:RYV458469 SIQ458468:SIR458469 SSM458468:SSN458469 TCI458468:TCJ458469 TME458468:TMF458469 TWA458468:TWB458469 UFW458468:UFX458469 UPS458468:UPT458469 UZO458468:UZP458469 VJK458468:VJL458469 VTG458468:VTH458469 WDC458468:WDD458469 WMY458468:WMZ458469 WWU458468:WWV458469 KI524004:KJ524005 UE524004:UF524005 AEA524004:AEB524005 ANW524004:ANX524005 AXS524004:AXT524005 BHO524004:BHP524005 BRK524004:BRL524005 CBG524004:CBH524005 CLC524004:CLD524005 CUY524004:CUZ524005 DEU524004:DEV524005 DOQ524004:DOR524005 DYM524004:DYN524005 EII524004:EIJ524005 ESE524004:ESF524005 FCA524004:FCB524005 FLW524004:FLX524005 FVS524004:FVT524005 GFO524004:GFP524005 GPK524004:GPL524005 GZG524004:GZH524005 HJC524004:HJD524005 HSY524004:HSZ524005 ICU524004:ICV524005 IMQ524004:IMR524005 IWM524004:IWN524005 JGI524004:JGJ524005 JQE524004:JQF524005 KAA524004:KAB524005 KJW524004:KJX524005 KTS524004:KTT524005 LDO524004:LDP524005 LNK524004:LNL524005 LXG524004:LXH524005 MHC524004:MHD524005 MQY524004:MQZ524005 NAU524004:NAV524005 NKQ524004:NKR524005 NUM524004:NUN524005 OEI524004:OEJ524005 OOE524004:OOF524005 OYA524004:OYB524005 PHW524004:PHX524005 PRS524004:PRT524005 QBO524004:QBP524005 QLK524004:QLL524005 QVG524004:QVH524005 RFC524004:RFD524005 ROY524004:ROZ524005 RYU524004:RYV524005 SIQ524004:SIR524005 SSM524004:SSN524005 TCI524004:TCJ524005 TME524004:TMF524005 TWA524004:TWB524005 UFW524004:UFX524005 UPS524004:UPT524005 UZO524004:UZP524005 VJK524004:VJL524005 VTG524004:VTH524005 WDC524004:WDD524005 WMY524004:WMZ524005 WWU524004:WWV524005 KI589540:KJ589541 UE589540:UF589541 AEA589540:AEB589541 ANW589540:ANX589541 AXS589540:AXT589541 BHO589540:BHP589541 BRK589540:BRL589541 CBG589540:CBH589541 CLC589540:CLD589541 CUY589540:CUZ589541 DEU589540:DEV589541 DOQ589540:DOR589541 DYM589540:DYN589541 EII589540:EIJ589541 ESE589540:ESF589541 FCA589540:FCB589541 FLW589540:FLX589541 FVS589540:FVT589541 GFO589540:GFP589541 GPK589540:GPL589541 GZG589540:GZH589541 HJC589540:HJD589541 HSY589540:HSZ589541 ICU589540:ICV589541 IMQ589540:IMR589541 IWM589540:IWN589541 JGI589540:JGJ589541 JQE589540:JQF589541 KAA589540:KAB589541 KJW589540:KJX589541 KTS589540:KTT589541 LDO589540:LDP589541 LNK589540:LNL589541 LXG589540:LXH589541 MHC589540:MHD589541 MQY589540:MQZ589541 NAU589540:NAV589541 NKQ589540:NKR589541 NUM589540:NUN589541 OEI589540:OEJ589541 OOE589540:OOF589541 OYA589540:OYB589541 PHW589540:PHX589541 PRS589540:PRT589541 QBO589540:QBP589541 QLK589540:QLL589541 QVG589540:QVH589541 RFC589540:RFD589541 ROY589540:ROZ589541 RYU589540:RYV589541 SIQ589540:SIR589541 SSM589540:SSN589541 TCI589540:TCJ589541 TME589540:TMF589541 TWA589540:TWB589541 UFW589540:UFX589541 UPS589540:UPT589541 UZO589540:UZP589541 VJK589540:VJL589541 VTG589540:VTH589541 WDC589540:WDD589541 WMY589540:WMZ589541 WWU589540:WWV589541 KI655076:KJ655077 UE655076:UF655077 AEA655076:AEB655077 ANW655076:ANX655077 AXS655076:AXT655077 BHO655076:BHP655077 BRK655076:BRL655077 CBG655076:CBH655077 CLC655076:CLD655077 CUY655076:CUZ655077 DEU655076:DEV655077 DOQ655076:DOR655077 DYM655076:DYN655077 EII655076:EIJ655077 ESE655076:ESF655077 FCA655076:FCB655077 FLW655076:FLX655077 FVS655076:FVT655077 GFO655076:GFP655077 GPK655076:GPL655077 GZG655076:GZH655077 HJC655076:HJD655077 HSY655076:HSZ655077 ICU655076:ICV655077 IMQ655076:IMR655077 IWM655076:IWN655077 JGI655076:JGJ655077 JQE655076:JQF655077 KAA655076:KAB655077 KJW655076:KJX655077 KTS655076:KTT655077 LDO655076:LDP655077 LNK655076:LNL655077 LXG655076:LXH655077 MHC655076:MHD655077 MQY655076:MQZ655077 NAU655076:NAV655077 NKQ655076:NKR655077 NUM655076:NUN655077 OEI655076:OEJ655077 OOE655076:OOF655077 OYA655076:OYB655077 PHW655076:PHX655077 PRS655076:PRT655077 QBO655076:QBP655077 QLK655076:QLL655077 QVG655076:QVH655077 RFC655076:RFD655077 ROY655076:ROZ655077 RYU655076:RYV655077 SIQ655076:SIR655077 SSM655076:SSN655077 TCI655076:TCJ655077 TME655076:TMF655077 TWA655076:TWB655077 UFW655076:UFX655077 UPS655076:UPT655077 UZO655076:UZP655077 VJK655076:VJL655077 VTG655076:VTH655077 WDC655076:WDD655077 WMY655076:WMZ655077 WWU655076:WWV655077 KI720612:KJ720613 UE720612:UF720613 AEA720612:AEB720613 ANW720612:ANX720613 AXS720612:AXT720613 BHO720612:BHP720613 BRK720612:BRL720613 CBG720612:CBH720613 CLC720612:CLD720613 CUY720612:CUZ720613 DEU720612:DEV720613 DOQ720612:DOR720613 DYM720612:DYN720613 EII720612:EIJ720613 ESE720612:ESF720613 FCA720612:FCB720613 FLW720612:FLX720613 FVS720612:FVT720613 GFO720612:GFP720613 GPK720612:GPL720613 GZG720612:GZH720613 HJC720612:HJD720613 HSY720612:HSZ720613 ICU720612:ICV720613 IMQ720612:IMR720613 IWM720612:IWN720613 JGI720612:JGJ720613 JQE720612:JQF720613 KAA720612:KAB720613 KJW720612:KJX720613 KTS720612:KTT720613 LDO720612:LDP720613 LNK720612:LNL720613 LXG720612:LXH720613 MHC720612:MHD720613 MQY720612:MQZ720613 NAU720612:NAV720613 NKQ720612:NKR720613 NUM720612:NUN720613 OEI720612:OEJ720613 OOE720612:OOF720613 OYA720612:OYB720613 PHW720612:PHX720613 PRS720612:PRT720613 QBO720612:QBP720613 QLK720612:QLL720613 QVG720612:QVH720613 RFC720612:RFD720613 ROY720612:ROZ720613 RYU720612:RYV720613 SIQ720612:SIR720613 SSM720612:SSN720613 TCI720612:TCJ720613 TME720612:TMF720613 TWA720612:TWB720613 UFW720612:UFX720613 UPS720612:UPT720613 UZO720612:UZP720613 VJK720612:VJL720613 VTG720612:VTH720613 WDC720612:WDD720613 WMY720612:WMZ720613 WWU720612:WWV720613 KI786148:KJ786149 UE786148:UF786149 AEA786148:AEB786149 ANW786148:ANX786149 AXS786148:AXT786149 BHO786148:BHP786149 BRK786148:BRL786149 CBG786148:CBH786149 CLC786148:CLD786149 CUY786148:CUZ786149 DEU786148:DEV786149 DOQ786148:DOR786149 DYM786148:DYN786149 EII786148:EIJ786149 ESE786148:ESF786149 FCA786148:FCB786149 FLW786148:FLX786149 FVS786148:FVT786149 GFO786148:GFP786149 GPK786148:GPL786149 GZG786148:GZH786149 HJC786148:HJD786149 HSY786148:HSZ786149 ICU786148:ICV786149 IMQ786148:IMR786149 IWM786148:IWN786149 JGI786148:JGJ786149 JQE786148:JQF786149 KAA786148:KAB786149 KJW786148:KJX786149 KTS786148:KTT786149 LDO786148:LDP786149 LNK786148:LNL786149 LXG786148:LXH786149 MHC786148:MHD786149 MQY786148:MQZ786149 NAU786148:NAV786149 NKQ786148:NKR786149 NUM786148:NUN786149 OEI786148:OEJ786149 OOE786148:OOF786149 OYA786148:OYB786149 PHW786148:PHX786149 PRS786148:PRT786149 QBO786148:QBP786149 QLK786148:QLL786149 QVG786148:QVH786149 RFC786148:RFD786149 ROY786148:ROZ786149 RYU786148:RYV786149 SIQ786148:SIR786149 SSM786148:SSN786149 TCI786148:TCJ786149 TME786148:TMF786149 TWA786148:TWB786149 UFW786148:UFX786149 UPS786148:UPT786149 UZO786148:UZP786149 VJK786148:VJL786149 VTG786148:VTH786149 WDC786148:WDD786149 WMY786148:WMZ786149 WWU786148:WWV786149 KI851684:KJ851685 UE851684:UF851685 AEA851684:AEB851685 ANW851684:ANX851685 AXS851684:AXT851685 BHO851684:BHP851685 BRK851684:BRL851685 CBG851684:CBH851685 CLC851684:CLD851685 CUY851684:CUZ851685 DEU851684:DEV851685 DOQ851684:DOR851685 DYM851684:DYN851685 EII851684:EIJ851685 ESE851684:ESF851685 FCA851684:FCB851685 FLW851684:FLX851685 FVS851684:FVT851685 GFO851684:GFP851685 GPK851684:GPL851685 GZG851684:GZH851685 HJC851684:HJD851685 HSY851684:HSZ851685 ICU851684:ICV851685 IMQ851684:IMR851685 IWM851684:IWN851685 JGI851684:JGJ851685 JQE851684:JQF851685 KAA851684:KAB851685 KJW851684:KJX851685 KTS851684:KTT851685 LDO851684:LDP851685 LNK851684:LNL851685 LXG851684:LXH851685 MHC851684:MHD851685 MQY851684:MQZ851685 NAU851684:NAV851685 NKQ851684:NKR851685 NUM851684:NUN851685 OEI851684:OEJ851685 OOE851684:OOF851685 OYA851684:OYB851685 PHW851684:PHX851685 PRS851684:PRT851685 QBO851684:QBP851685 QLK851684:QLL851685 QVG851684:QVH851685 RFC851684:RFD851685 ROY851684:ROZ851685 RYU851684:RYV851685 SIQ851684:SIR851685 SSM851684:SSN851685 TCI851684:TCJ851685 TME851684:TMF851685 TWA851684:TWB851685 UFW851684:UFX851685 UPS851684:UPT851685 UZO851684:UZP851685 VJK851684:VJL851685 VTG851684:VTH851685 WDC851684:WDD851685 WMY851684:WMZ851685 WWU851684:WWV851685 KI917220:KJ917221 UE917220:UF917221 AEA917220:AEB917221 ANW917220:ANX917221 AXS917220:AXT917221 BHO917220:BHP917221 BRK917220:BRL917221 CBG917220:CBH917221 CLC917220:CLD917221 CUY917220:CUZ917221 DEU917220:DEV917221 DOQ917220:DOR917221 DYM917220:DYN917221 EII917220:EIJ917221 ESE917220:ESF917221 FCA917220:FCB917221 FLW917220:FLX917221 FVS917220:FVT917221 GFO917220:GFP917221 GPK917220:GPL917221 GZG917220:GZH917221 HJC917220:HJD917221 HSY917220:HSZ917221 ICU917220:ICV917221 IMQ917220:IMR917221 IWM917220:IWN917221 JGI917220:JGJ917221 JQE917220:JQF917221 KAA917220:KAB917221 KJW917220:KJX917221 KTS917220:KTT917221 LDO917220:LDP917221 LNK917220:LNL917221 LXG917220:LXH917221 MHC917220:MHD917221 MQY917220:MQZ917221 NAU917220:NAV917221 NKQ917220:NKR917221 NUM917220:NUN917221 OEI917220:OEJ917221 OOE917220:OOF917221 OYA917220:OYB917221 PHW917220:PHX917221 PRS917220:PRT917221 QBO917220:QBP917221 QLK917220:QLL917221 QVG917220:QVH917221 RFC917220:RFD917221 ROY917220:ROZ917221 RYU917220:RYV917221 SIQ917220:SIR917221 SSM917220:SSN917221 TCI917220:TCJ917221 TME917220:TMF917221 TWA917220:TWB917221 UFW917220:UFX917221 UPS917220:UPT917221 UZO917220:UZP917221 VJK917220:VJL917221 VTG917220:VTH917221 WDC917220:WDD917221 WMY917220:WMZ917221 WWU917220:WWV917221 KI982756:KJ982757 UE982756:UF982757 AEA982756:AEB982757 ANW982756:ANX982757 AXS982756:AXT982757 BHO982756:BHP982757 BRK982756:BRL982757 CBG982756:CBH982757 CLC982756:CLD982757 CUY982756:CUZ982757 DEU982756:DEV982757 DOQ982756:DOR982757 DYM982756:DYN982757 EII982756:EIJ982757 ESE982756:ESF982757 FCA982756:FCB982757 FLW982756:FLX982757 FVS982756:FVT982757 GFO982756:GFP982757 GPK982756:GPL982757 GZG982756:GZH982757 HJC982756:HJD982757 HSY982756:HSZ982757 ICU982756:ICV982757 IMQ982756:IMR982757 IWM982756:IWN982757 JGI982756:JGJ982757 JQE982756:JQF982757 KAA982756:KAB982757 KJW982756:KJX982757 KTS982756:KTT982757 LDO982756:LDP982757 LNK982756:LNL982757 LXG982756:LXH982757 MHC982756:MHD982757 MQY982756:MQZ982757 NAU982756:NAV982757 NKQ982756:NKR982757 NUM982756:NUN982757 OEI982756:OEJ982757 OOE982756:OOF982757 OYA982756:OYB982757 PHW982756:PHX982757 PRS982756:PRT982757 QBO982756:QBP982757 QLK982756:QLL982757 QVG982756:QVH982757 RFC982756:RFD982757 ROY982756:ROZ982757 RYU982756:RYV982757 SIQ982756:SIR982757 SSM982756:SSN982757 TCI982756:TCJ982757 TME982756:TMF982757 TWA982756:TWB982757 UFW982756:UFX982757 UPS982756:UPT982757 UZO982756:UZP982757 VJK982756:VJL982757 VTG982756:VTH982757 WDC982756:WDD982757 WMY982756:WMZ982757 WWU982756:WWV982757 KI65176:KJ65180 UE65176:UF65180 AEA65176:AEB65180 ANW65176:ANX65180 AXS65176:AXT65180 BHO65176:BHP65180 BRK65176:BRL65180 CBG65176:CBH65180 CLC65176:CLD65180 CUY65176:CUZ65180 DEU65176:DEV65180 DOQ65176:DOR65180 DYM65176:DYN65180 EII65176:EIJ65180 ESE65176:ESF65180 FCA65176:FCB65180 FLW65176:FLX65180 FVS65176:FVT65180 GFO65176:GFP65180 GPK65176:GPL65180 GZG65176:GZH65180 HJC65176:HJD65180 HSY65176:HSZ65180 ICU65176:ICV65180 IMQ65176:IMR65180 IWM65176:IWN65180 JGI65176:JGJ65180 JQE65176:JQF65180 KAA65176:KAB65180 KJW65176:KJX65180 KTS65176:KTT65180 LDO65176:LDP65180 LNK65176:LNL65180 LXG65176:LXH65180 MHC65176:MHD65180 MQY65176:MQZ65180 NAU65176:NAV65180 NKQ65176:NKR65180 NUM65176:NUN65180 OEI65176:OEJ65180 OOE65176:OOF65180 OYA65176:OYB65180 PHW65176:PHX65180 PRS65176:PRT65180 QBO65176:QBP65180 QLK65176:QLL65180 QVG65176:QVH65180 RFC65176:RFD65180 ROY65176:ROZ65180 RYU65176:RYV65180 SIQ65176:SIR65180 SSM65176:SSN65180 TCI65176:TCJ65180 TME65176:TMF65180 TWA65176:TWB65180 UFW65176:UFX65180 UPS65176:UPT65180 UZO65176:UZP65180 VJK65176:VJL65180 VTG65176:VTH65180 WDC65176:WDD65180 WMY65176:WMZ65180 WWU65176:WWV65180 KI65217:KJ65217 UE65217:UF65217 AEA65217:AEB65217 ANW65217:ANX65217 AXS65217:AXT65217 BHO65217:BHP65217 BRK65217:BRL65217 CBG65217:CBH65217 CLC65217:CLD65217 CUY65217:CUZ65217 DEU65217:DEV65217 DOQ65217:DOR65217 DYM65217:DYN65217 EII65217:EIJ65217 ESE65217:ESF65217 FCA65217:FCB65217 FLW65217:FLX65217 FVS65217:FVT65217 GFO65217:GFP65217 GPK65217:GPL65217 GZG65217:GZH65217 HJC65217:HJD65217 HSY65217:HSZ65217 ICU65217:ICV65217 IMQ65217:IMR65217 IWM65217:IWN65217 JGI65217:JGJ65217 JQE65217:JQF65217 KAA65217:KAB65217 KJW65217:KJX65217 KTS65217:KTT65217 LDO65217:LDP65217 LNK65217:LNL65217 LXG65217:LXH65217 MHC65217:MHD65217 MQY65217:MQZ65217 NAU65217:NAV65217 NKQ65217:NKR65217 NUM65217:NUN65217 OEI65217:OEJ65217 OOE65217:OOF65217 OYA65217:OYB65217 PHW65217:PHX65217 PRS65217:PRT65217 QBO65217:QBP65217 QLK65217:QLL65217 QVG65217:QVH65217 RFC65217:RFD65217 ROY65217:ROZ65217 RYU65217:RYV65217 SIQ65217:SIR65217 SSM65217:SSN65217 TCI65217:TCJ65217 TME65217:TMF65217 TWA65217:TWB65217 UFW65217:UFX65217 UPS65217:UPT65217 UZO65217:UZP65217 VJK65217:VJL65217 VTG65217:VTH65217 WDC65217:WDD65217 WMY65217:WMZ65217 WWU65217:WWV65217 KI130753:KJ130753 UE130753:UF130753 AEA130753:AEB130753 ANW130753:ANX130753 AXS130753:AXT130753 BHO130753:BHP130753 BRK130753:BRL130753 CBG130753:CBH130753 CLC130753:CLD130753 CUY130753:CUZ130753 DEU130753:DEV130753 DOQ130753:DOR130753 DYM130753:DYN130753 EII130753:EIJ130753 ESE130753:ESF130753 FCA130753:FCB130753 FLW130753:FLX130753 FVS130753:FVT130753 GFO130753:GFP130753 GPK130753:GPL130753 GZG130753:GZH130753 HJC130753:HJD130753 HSY130753:HSZ130753 ICU130753:ICV130753 IMQ130753:IMR130753 IWM130753:IWN130753 JGI130753:JGJ130753 JQE130753:JQF130753 KAA130753:KAB130753 KJW130753:KJX130753 KTS130753:KTT130753 LDO130753:LDP130753 LNK130753:LNL130753 LXG130753:LXH130753 MHC130753:MHD130753 MQY130753:MQZ130753 NAU130753:NAV130753 NKQ130753:NKR130753 NUM130753:NUN130753 OEI130753:OEJ130753 OOE130753:OOF130753 OYA130753:OYB130753 PHW130753:PHX130753 PRS130753:PRT130753 QBO130753:QBP130753 QLK130753:QLL130753 QVG130753:QVH130753 RFC130753:RFD130753 ROY130753:ROZ130753 RYU130753:RYV130753 SIQ130753:SIR130753 SSM130753:SSN130753 TCI130753:TCJ130753 TME130753:TMF130753 TWA130753:TWB130753 UFW130753:UFX130753 UPS130753:UPT130753 UZO130753:UZP130753 VJK130753:VJL130753 VTG130753:VTH130753 WDC130753:WDD130753 WMY130753:WMZ130753 WWU130753:WWV130753 KI196289:KJ196289 UE196289:UF196289 AEA196289:AEB196289 ANW196289:ANX196289 AXS196289:AXT196289 BHO196289:BHP196289 BRK196289:BRL196289 CBG196289:CBH196289 CLC196289:CLD196289 CUY196289:CUZ196289 DEU196289:DEV196289 DOQ196289:DOR196289 DYM196289:DYN196289 EII196289:EIJ196289 ESE196289:ESF196289 FCA196289:FCB196289 FLW196289:FLX196289 FVS196289:FVT196289 GFO196289:GFP196289 GPK196289:GPL196289 GZG196289:GZH196289 HJC196289:HJD196289 HSY196289:HSZ196289 ICU196289:ICV196289 IMQ196289:IMR196289 IWM196289:IWN196289 JGI196289:JGJ196289 JQE196289:JQF196289 KAA196289:KAB196289 KJW196289:KJX196289 KTS196289:KTT196289 LDO196289:LDP196289 LNK196289:LNL196289 LXG196289:LXH196289 MHC196289:MHD196289 MQY196289:MQZ196289 NAU196289:NAV196289 NKQ196289:NKR196289 NUM196289:NUN196289 OEI196289:OEJ196289 OOE196289:OOF196289 OYA196289:OYB196289 PHW196289:PHX196289 PRS196289:PRT196289 QBO196289:QBP196289 QLK196289:QLL196289 QVG196289:QVH196289 RFC196289:RFD196289 ROY196289:ROZ196289 RYU196289:RYV196289 SIQ196289:SIR196289 SSM196289:SSN196289 TCI196289:TCJ196289 TME196289:TMF196289 TWA196289:TWB196289 UFW196289:UFX196289 UPS196289:UPT196289 UZO196289:UZP196289 VJK196289:VJL196289 VTG196289:VTH196289 WDC196289:WDD196289 WMY196289:WMZ196289 WWU196289:WWV196289 KI261825:KJ261825 UE261825:UF261825 AEA261825:AEB261825 ANW261825:ANX261825 AXS261825:AXT261825 BHO261825:BHP261825 BRK261825:BRL261825 CBG261825:CBH261825 CLC261825:CLD261825 CUY261825:CUZ261825 DEU261825:DEV261825 DOQ261825:DOR261825 DYM261825:DYN261825 EII261825:EIJ261825 ESE261825:ESF261825 FCA261825:FCB261825 FLW261825:FLX261825 FVS261825:FVT261825 GFO261825:GFP261825 GPK261825:GPL261825 GZG261825:GZH261825 HJC261825:HJD261825 HSY261825:HSZ261825 ICU261825:ICV261825 IMQ261825:IMR261825 IWM261825:IWN261825 JGI261825:JGJ261825 JQE261825:JQF261825 KAA261825:KAB261825 KJW261825:KJX261825 KTS261825:KTT261825 LDO261825:LDP261825 LNK261825:LNL261825 LXG261825:LXH261825 MHC261825:MHD261825 MQY261825:MQZ261825 NAU261825:NAV261825 NKQ261825:NKR261825 NUM261825:NUN261825 OEI261825:OEJ261825 OOE261825:OOF261825 OYA261825:OYB261825 PHW261825:PHX261825 PRS261825:PRT261825 QBO261825:QBP261825 QLK261825:QLL261825 QVG261825:QVH261825 RFC261825:RFD261825 ROY261825:ROZ261825 RYU261825:RYV261825 SIQ261825:SIR261825 SSM261825:SSN261825 TCI261825:TCJ261825 TME261825:TMF261825 TWA261825:TWB261825 UFW261825:UFX261825 UPS261825:UPT261825 UZO261825:UZP261825 VJK261825:VJL261825 VTG261825:VTH261825 WDC261825:WDD261825 WMY261825:WMZ261825 WWU261825:WWV261825 KI327361:KJ327361 UE327361:UF327361 AEA327361:AEB327361 ANW327361:ANX327361 AXS327361:AXT327361 BHO327361:BHP327361 BRK327361:BRL327361 CBG327361:CBH327361 CLC327361:CLD327361 CUY327361:CUZ327361 DEU327361:DEV327361 DOQ327361:DOR327361 DYM327361:DYN327361 EII327361:EIJ327361 ESE327361:ESF327361 FCA327361:FCB327361 FLW327361:FLX327361 FVS327361:FVT327361 GFO327361:GFP327361 GPK327361:GPL327361 GZG327361:GZH327361 HJC327361:HJD327361 HSY327361:HSZ327361 ICU327361:ICV327361 IMQ327361:IMR327361 IWM327361:IWN327361 JGI327361:JGJ327361 JQE327361:JQF327361 KAA327361:KAB327361 KJW327361:KJX327361 KTS327361:KTT327361 LDO327361:LDP327361 LNK327361:LNL327361 LXG327361:LXH327361 MHC327361:MHD327361 MQY327361:MQZ327361 NAU327361:NAV327361 NKQ327361:NKR327361 NUM327361:NUN327361 OEI327361:OEJ327361 OOE327361:OOF327361 OYA327361:OYB327361 PHW327361:PHX327361 PRS327361:PRT327361 QBO327361:QBP327361 QLK327361:QLL327361 QVG327361:QVH327361 RFC327361:RFD327361 ROY327361:ROZ327361 RYU327361:RYV327361 SIQ327361:SIR327361 SSM327361:SSN327361 TCI327361:TCJ327361 TME327361:TMF327361 TWA327361:TWB327361 UFW327361:UFX327361 UPS327361:UPT327361 UZO327361:UZP327361 VJK327361:VJL327361 VTG327361:VTH327361 WDC327361:WDD327361 WMY327361:WMZ327361 WWU327361:WWV327361 KI392897:KJ392897 UE392897:UF392897 AEA392897:AEB392897 ANW392897:ANX392897 AXS392897:AXT392897 BHO392897:BHP392897 BRK392897:BRL392897 CBG392897:CBH392897 CLC392897:CLD392897 CUY392897:CUZ392897 DEU392897:DEV392897 DOQ392897:DOR392897 DYM392897:DYN392897 EII392897:EIJ392897 ESE392897:ESF392897 FCA392897:FCB392897 FLW392897:FLX392897 FVS392897:FVT392897 GFO392897:GFP392897 GPK392897:GPL392897 GZG392897:GZH392897 HJC392897:HJD392897 HSY392897:HSZ392897 ICU392897:ICV392897 IMQ392897:IMR392897 IWM392897:IWN392897 JGI392897:JGJ392897 JQE392897:JQF392897 KAA392897:KAB392897 KJW392897:KJX392897 KTS392897:KTT392897 LDO392897:LDP392897 LNK392897:LNL392897 LXG392897:LXH392897 MHC392897:MHD392897 MQY392897:MQZ392897 NAU392897:NAV392897 NKQ392897:NKR392897 NUM392897:NUN392897 OEI392897:OEJ392897 OOE392897:OOF392897 OYA392897:OYB392897 PHW392897:PHX392897 PRS392897:PRT392897 QBO392897:QBP392897 QLK392897:QLL392897 QVG392897:QVH392897 RFC392897:RFD392897 ROY392897:ROZ392897 RYU392897:RYV392897 SIQ392897:SIR392897 SSM392897:SSN392897 TCI392897:TCJ392897 TME392897:TMF392897 TWA392897:TWB392897 UFW392897:UFX392897 UPS392897:UPT392897 UZO392897:UZP392897 VJK392897:VJL392897 VTG392897:VTH392897 WDC392897:WDD392897 WMY392897:WMZ392897 WWU392897:WWV392897 KI458433:KJ458433 UE458433:UF458433 AEA458433:AEB458433 ANW458433:ANX458433 AXS458433:AXT458433 BHO458433:BHP458433 BRK458433:BRL458433 CBG458433:CBH458433 CLC458433:CLD458433 CUY458433:CUZ458433 DEU458433:DEV458433 DOQ458433:DOR458433 DYM458433:DYN458433 EII458433:EIJ458433 ESE458433:ESF458433 FCA458433:FCB458433 FLW458433:FLX458433 FVS458433:FVT458433 GFO458433:GFP458433 GPK458433:GPL458433 GZG458433:GZH458433 HJC458433:HJD458433 HSY458433:HSZ458433 ICU458433:ICV458433 IMQ458433:IMR458433 IWM458433:IWN458433 JGI458433:JGJ458433 JQE458433:JQF458433 KAA458433:KAB458433 KJW458433:KJX458433 KTS458433:KTT458433 LDO458433:LDP458433 LNK458433:LNL458433 LXG458433:LXH458433 MHC458433:MHD458433 MQY458433:MQZ458433 NAU458433:NAV458433 NKQ458433:NKR458433 NUM458433:NUN458433 OEI458433:OEJ458433 OOE458433:OOF458433 OYA458433:OYB458433 PHW458433:PHX458433 PRS458433:PRT458433 QBO458433:QBP458433 QLK458433:QLL458433 QVG458433:QVH458433 RFC458433:RFD458433 ROY458433:ROZ458433 RYU458433:RYV458433 SIQ458433:SIR458433 SSM458433:SSN458433 TCI458433:TCJ458433 TME458433:TMF458433 TWA458433:TWB458433 UFW458433:UFX458433 UPS458433:UPT458433 UZO458433:UZP458433 VJK458433:VJL458433 VTG458433:VTH458433 WDC458433:WDD458433 WMY458433:WMZ458433 WWU458433:WWV458433 KI523969:KJ523969 UE523969:UF523969 AEA523969:AEB523969 ANW523969:ANX523969 AXS523969:AXT523969 BHO523969:BHP523969 BRK523969:BRL523969 CBG523969:CBH523969 CLC523969:CLD523969 CUY523969:CUZ523969 DEU523969:DEV523969 DOQ523969:DOR523969 DYM523969:DYN523969 EII523969:EIJ523969 ESE523969:ESF523969 FCA523969:FCB523969 FLW523969:FLX523969 FVS523969:FVT523969 GFO523969:GFP523969 GPK523969:GPL523969 GZG523969:GZH523969 HJC523969:HJD523969 HSY523969:HSZ523969 ICU523969:ICV523969 IMQ523969:IMR523969 IWM523969:IWN523969 JGI523969:JGJ523969 JQE523969:JQF523969 KAA523969:KAB523969 KJW523969:KJX523969 KTS523969:KTT523969 LDO523969:LDP523969 LNK523969:LNL523969 LXG523969:LXH523969 MHC523969:MHD523969 MQY523969:MQZ523969 NAU523969:NAV523969 NKQ523969:NKR523969 NUM523969:NUN523969 OEI523969:OEJ523969 OOE523969:OOF523969 OYA523969:OYB523969 PHW523969:PHX523969 PRS523969:PRT523969 QBO523969:QBP523969 QLK523969:QLL523969 QVG523969:QVH523969 RFC523969:RFD523969 ROY523969:ROZ523969 RYU523969:RYV523969 SIQ523969:SIR523969 SSM523969:SSN523969 TCI523969:TCJ523969 TME523969:TMF523969 TWA523969:TWB523969 UFW523969:UFX523969 UPS523969:UPT523969 UZO523969:UZP523969 VJK523969:VJL523969 VTG523969:VTH523969 WDC523969:WDD523969 WMY523969:WMZ523969 WWU523969:WWV523969 KI589505:KJ589505 UE589505:UF589505 AEA589505:AEB589505 ANW589505:ANX589505 AXS589505:AXT589505 BHO589505:BHP589505 BRK589505:BRL589505 CBG589505:CBH589505 CLC589505:CLD589505 CUY589505:CUZ589505 DEU589505:DEV589505 DOQ589505:DOR589505 DYM589505:DYN589505 EII589505:EIJ589505 ESE589505:ESF589505 FCA589505:FCB589505 FLW589505:FLX589505 FVS589505:FVT589505 GFO589505:GFP589505 GPK589505:GPL589505 GZG589505:GZH589505 HJC589505:HJD589505 HSY589505:HSZ589505 ICU589505:ICV589505 IMQ589505:IMR589505 IWM589505:IWN589505 JGI589505:JGJ589505 JQE589505:JQF589505 KAA589505:KAB589505 KJW589505:KJX589505 KTS589505:KTT589505 LDO589505:LDP589505 LNK589505:LNL589505 LXG589505:LXH589505 MHC589505:MHD589505 MQY589505:MQZ589505 NAU589505:NAV589505 NKQ589505:NKR589505 NUM589505:NUN589505 OEI589505:OEJ589505 OOE589505:OOF589505 OYA589505:OYB589505 PHW589505:PHX589505 PRS589505:PRT589505 QBO589505:QBP589505 QLK589505:QLL589505 QVG589505:QVH589505 RFC589505:RFD589505 ROY589505:ROZ589505 RYU589505:RYV589505 SIQ589505:SIR589505 SSM589505:SSN589505 TCI589505:TCJ589505 TME589505:TMF589505 TWA589505:TWB589505 UFW589505:UFX589505 UPS589505:UPT589505 UZO589505:UZP589505 VJK589505:VJL589505 VTG589505:VTH589505 WDC589505:WDD589505 WMY589505:WMZ589505 WWU589505:WWV589505 KI655041:KJ655041 UE655041:UF655041 AEA655041:AEB655041 ANW655041:ANX655041 AXS655041:AXT655041 BHO655041:BHP655041 BRK655041:BRL655041 CBG655041:CBH655041 CLC655041:CLD655041 CUY655041:CUZ655041 DEU655041:DEV655041 DOQ655041:DOR655041 DYM655041:DYN655041 EII655041:EIJ655041 ESE655041:ESF655041 FCA655041:FCB655041 FLW655041:FLX655041 FVS655041:FVT655041 GFO655041:GFP655041 GPK655041:GPL655041 GZG655041:GZH655041 HJC655041:HJD655041 HSY655041:HSZ655041 ICU655041:ICV655041 IMQ655041:IMR655041 IWM655041:IWN655041 JGI655041:JGJ655041 JQE655041:JQF655041 KAA655041:KAB655041 KJW655041:KJX655041 KTS655041:KTT655041 LDO655041:LDP655041 LNK655041:LNL655041 LXG655041:LXH655041 MHC655041:MHD655041 MQY655041:MQZ655041 NAU655041:NAV655041 NKQ655041:NKR655041 NUM655041:NUN655041 OEI655041:OEJ655041 OOE655041:OOF655041 OYA655041:OYB655041 PHW655041:PHX655041 PRS655041:PRT655041 QBO655041:QBP655041 QLK655041:QLL655041 QVG655041:QVH655041 RFC655041:RFD655041 ROY655041:ROZ655041 RYU655041:RYV655041 SIQ655041:SIR655041 SSM655041:SSN655041 TCI655041:TCJ655041 TME655041:TMF655041 TWA655041:TWB655041 UFW655041:UFX655041 UPS655041:UPT655041 UZO655041:UZP655041 VJK655041:VJL655041 VTG655041:VTH655041 WDC655041:WDD655041 WMY655041:WMZ655041 WWU655041:WWV655041 KI720577:KJ720577 UE720577:UF720577 AEA720577:AEB720577 ANW720577:ANX720577 AXS720577:AXT720577 BHO720577:BHP720577 BRK720577:BRL720577 CBG720577:CBH720577 CLC720577:CLD720577 CUY720577:CUZ720577 DEU720577:DEV720577 DOQ720577:DOR720577 DYM720577:DYN720577 EII720577:EIJ720577 ESE720577:ESF720577 FCA720577:FCB720577 FLW720577:FLX720577 FVS720577:FVT720577 GFO720577:GFP720577 GPK720577:GPL720577 GZG720577:GZH720577 HJC720577:HJD720577 HSY720577:HSZ720577 ICU720577:ICV720577 IMQ720577:IMR720577 IWM720577:IWN720577 JGI720577:JGJ720577 JQE720577:JQF720577 KAA720577:KAB720577 KJW720577:KJX720577 KTS720577:KTT720577 LDO720577:LDP720577 LNK720577:LNL720577 LXG720577:LXH720577 MHC720577:MHD720577 MQY720577:MQZ720577 NAU720577:NAV720577 NKQ720577:NKR720577 NUM720577:NUN720577 OEI720577:OEJ720577 OOE720577:OOF720577 OYA720577:OYB720577 PHW720577:PHX720577 PRS720577:PRT720577 QBO720577:QBP720577 QLK720577:QLL720577 QVG720577:QVH720577 RFC720577:RFD720577 ROY720577:ROZ720577 RYU720577:RYV720577 SIQ720577:SIR720577 SSM720577:SSN720577 TCI720577:TCJ720577 TME720577:TMF720577 TWA720577:TWB720577 UFW720577:UFX720577 UPS720577:UPT720577 UZO720577:UZP720577 VJK720577:VJL720577 VTG720577:VTH720577 WDC720577:WDD720577 WMY720577:WMZ720577 WWU720577:WWV720577 KI786113:KJ786113 UE786113:UF786113 AEA786113:AEB786113 ANW786113:ANX786113 AXS786113:AXT786113 BHO786113:BHP786113 BRK786113:BRL786113 CBG786113:CBH786113 CLC786113:CLD786113 CUY786113:CUZ786113 DEU786113:DEV786113 DOQ786113:DOR786113 DYM786113:DYN786113 EII786113:EIJ786113 ESE786113:ESF786113 FCA786113:FCB786113 FLW786113:FLX786113 FVS786113:FVT786113 GFO786113:GFP786113 GPK786113:GPL786113 GZG786113:GZH786113 HJC786113:HJD786113 HSY786113:HSZ786113 ICU786113:ICV786113 IMQ786113:IMR786113 IWM786113:IWN786113 JGI786113:JGJ786113 JQE786113:JQF786113 KAA786113:KAB786113 KJW786113:KJX786113 KTS786113:KTT786113 LDO786113:LDP786113 LNK786113:LNL786113 LXG786113:LXH786113 MHC786113:MHD786113 MQY786113:MQZ786113 NAU786113:NAV786113 NKQ786113:NKR786113 NUM786113:NUN786113 OEI786113:OEJ786113 OOE786113:OOF786113 OYA786113:OYB786113 PHW786113:PHX786113 PRS786113:PRT786113 QBO786113:QBP786113 QLK786113:QLL786113 QVG786113:QVH786113 RFC786113:RFD786113 ROY786113:ROZ786113 RYU786113:RYV786113 SIQ786113:SIR786113 SSM786113:SSN786113 TCI786113:TCJ786113 TME786113:TMF786113 TWA786113:TWB786113 UFW786113:UFX786113 UPS786113:UPT786113 UZO786113:UZP786113 VJK786113:VJL786113 VTG786113:VTH786113 WDC786113:WDD786113 WMY786113:WMZ786113 WWU786113:WWV786113 KI851649:KJ851649 UE851649:UF851649 AEA851649:AEB851649 ANW851649:ANX851649 AXS851649:AXT851649 BHO851649:BHP851649 BRK851649:BRL851649 CBG851649:CBH851649 CLC851649:CLD851649 CUY851649:CUZ851649 DEU851649:DEV851649 DOQ851649:DOR851649 DYM851649:DYN851649 EII851649:EIJ851649 ESE851649:ESF851649 FCA851649:FCB851649 FLW851649:FLX851649 FVS851649:FVT851649 GFO851649:GFP851649 GPK851649:GPL851649 GZG851649:GZH851649 HJC851649:HJD851649 HSY851649:HSZ851649 ICU851649:ICV851649 IMQ851649:IMR851649 IWM851649:IWN851649 JGI851649:JGJ851649 JQE851649:JQF851649 KAA851649:KAB851649 KJW851649:KJX851649 KTS851649:KTT851649 LDO851649:LDP851649 LNK851649:LNL851649 LXG851649:LXH851649 MHC851649:MHD851649 MQY851649:MQZ851649 NAU851649:NAV851649 NKQ851649:NKR851649 NUM851649:NUN851649 OEI851649:OEJ851649 OOE851649:OOF851649 OYA851649:OYB851649 PHW851649:PHX851649 PRS851649:PRT851649 QBO851649:QBP851649 QLK851649:QLL851649 QVG851649:QVH851649 RFC851649:RFD851649 ROY851649:ROZ851649 RYU851649:RYV851649 SIQ851649:SIR851649 SSM851649:SSN851649 TCI851649:TCJ851649 TME851649:TMF851649 TWA851649:TWB851649 UFW851649:UFX851649 UPS851649:UPT851649 UZO851649:UZP851649 VJK851649:VJL851649 VTG851649:VTH851649 WDC851649:WDD851649 WMY851649:WMZ851649 WWU851649:WWV851649 KI917185:KJ917185 UE917185:UF917185 AEA917185:AEB917185 ANW917185:ANX917185 AXS917185:AXT917185 BHO917185:BHP917185 BRK917185:BRL917185 CBG917185:CBH917185 CLC917185:CLD917185 CUY917185:CUZ917185 DEU917185:DEV917185 DOQ917185:DOR917185 DYM917185:DYN917185 EII917185:EIJ917185 ESE917185:ESF917185 FCA917185:FCB917185 FLW917185:FLX917185 FVS917185:FVT917185 GFO917185:GFP917185 GPK917185:GPL917185 GZG917185:GZH917185 HJC917185:HJD917185 HSY917185:HSZ917185 ICU917185:ICV917185 IMQ917185:IMR917185 IWM917185:IWN917185 JGI917185:JGJ917185 JQE917185:JQF917185 KAA917185:KAB917185 KJW917185:KJX917185 KTS917185:KTT917185 LDO917185:LDP917185 LNK917185:LNL917185 LXG917185:LXH917185 MHC917185:MHD917185 MQY917185:MQZ917185 NAU917185:NAV917185 NKQ917185:NKR917185 NUM917185:NUN917185 OEI917185:OEJ917185 OOE917185:OOF917185 OYA917185:OYB917185 PHW917185:PHX917185 PRS917185:PRT917185 QBO917185:QBP917185 QLK917185:QLL917185 QVG917185:QVH917185 RFC917185:RFD917185 ROY917185:ROZ917185 RYU917185:RYV917185 SIQ917185:SIR917185 SSM917185:SSN917185 TCI917185:TCJ917185 TME917185:TMF917185 TWA917185:TWB917185 UFW917185:UFX917185 UPS917185:UPT917185 UZO917185:UZP917185 VJK917185:VJL917185 VTG917185:VTH917185 WDC917185:WDD917185 WMY917185:WMZ917185 WWU917185:WWV917185 KI982721:KJ982721 UE982721:UF982721 AEA982721:AEB982721 ANW982721:ANX982721 AXS982721:AXT982721 BHO982721:BHP982721 BRK982721:BRL982721 CBG982721:CBH982721 CLC982721:CLD982721 CUY982721:CUZ982721 DEU982721:DEV982721 DOQ982721:DOR982721 DYM982721:DYN982721 EII982721:EIJ982721 ESE982721:ESF982721 FCA982721:FCB982721 FLW982721:FLX982721 FVS982721:FVT982721 GFO982721:GFP982721 GPK982721:GPL982721 GZG982721:GZH982721 HJC982721:HJD982721 HSY982721:HSZ982721 ICU982721:ICV982721 IMQ982721:IMR982721 IWM982721:IWN982721 JGI982721:JGJ982721 JQE982721:JQF982721 KAA982721:KAB982721 KJW982721:KJX982721 KTS982721:KTT982721 LDO982721:LDP982721 LNK982721:LNL982721 LXG982721:LXH982721 MHC982721:MHD982721 MQY982721:MQZ982721 NAU982721:NAV982721 NKQ982721:NKR982721 NUM982721:NUN982721 OEI982721:OEJ982721 OOE982721:OOF982721 OYA982721:OYB982721 PHW982721:PHX982721 PRS982721:PRT982721 QBO982721:QBP982721 QLK982721:QLL982721 QVG982721:QVH982721 RFC982721:RFD982721 ROY982721:ROZ982721 RYU982721:RYV982721 SIQ982721:SIR982721 SSM982721:SSN982721 TCI982721:TCJ982721 TME982721:TMF982721 TWA982721:TWB982721 UFW982721:UFX982721 UPS982721:UPT982721 UZO982721:UZP982721 VJK982721:VJL982721 VTG982721:VTH982721 WDC982721:WDD982721 WMY982721:WMZ982721 WWU982721:WWV982721 KI130712:KJ130716 UE130712:UF130716 AEA130712:AEB130716 ANW130712:ANX130716 AXS130712:AXT130716 BHO130712:BHP130716 BRK130712:BRL130716 CBG130712:CBH130716 CLC130712:CLD130716 CUY130712:CUZ130716 DEU130712:DEV130716 DOQ130712:DOR130716 DYM130712:DYN130716 EII130712:EIJ130716 ESE130712:ESF130716 FCA130712:FCB130716 FLW130712:FLX130716 FVS130712:FVT130716 GFO130712:GFP130716 GPK130712:GPL130716 GZG130712:GZH130716 HJC130712:HJD130716 HSY130712:HSZ130716 ICU130712:ICV130716 IMQ130712:IMR130716 IWM130712:IWN130716 JGI130712:JGJ130716 JQE130712:JQF130716 KAA130712:KAB130716 KJW130712:KJX130716 KTS130712:KTT130716 LDO130712:LDP130716 LNK130712:LNL130716 LXG130712:LXH130716 MHC130712:MHD130716 MQY130712:MQZ130716 NAU130712:NAV130716 NKQ130712:NKR130716 NUM130712:NUN130716 OEI130712:OEJ130716 OOE130712:OOF130716 OYA130712:OYB130716 PHW130712:PHX130716 PRS130712:PRT130716 QBO130712:QBP130716 QLK130712:QLL130716 QVG130712:QVH130716 RFC130712:RFD130716 ROY130712:ROZ130716 RYU130712:RYV130716 SIQ130712:SIR130716 SSM130712:SSN130716 TCI130712:TCJ130716 TME130712:TMF130716 TWA130712:TWB130716 UFW130712:UFX130716 UPS130712:UPT130716 UZO130712:UZP130716 VJK130712:VJL130716 VTG130712:VTH130716 WDC130712:WDD130716 WMY130712:WMZ130716 WWU130712:WWV130716 KI65187:KJ65187 UE65187:UF65187 AEA65187:AEB65187 ANW65187:ANX65187 AXS65187:AXT65187 BHO65187:BHP65187 BRK65187:BRL65187 CBG65187:CBH65187 CLC65187:CLD65187 CUY65187:CUZ65187 DEU65187:DEV65187 DOQ65187:DOR65187 DYM65187:DYN65187 EII65187:EIJ65187 ESE65187:ESF65187 FCA65187:FCB65187 FLW65187:FLX65187 FVS65187:FVT65187 GFO65187:GFP65187 GPK65187:GPL65187 GZG65187:GZH65187 HJC65187:HJD65187 HSY65187:HSZ65187 ICU65187:ICV65187 IMQ65187:IMR65187 IWM65187:IWN65187 JGI65187:JGJ65187 JQE65187:JQF65187 KAA65187:KAB65187 KJW65187:KJX65187 KTS65187:KTT65187 LDO65187:LDP65187 LNK65187:LNL65187 LXG65187:LXH65187 MHC65187:MHD65187 MQY65187:MQZ65187 NAU65187:NAV65187 NKQ65187:NKR65187 NUM65187:NUN65187 OEI65187:OEJ65187 OOE65187:OOF65187 OYA65187:OYB65187 PHW65187:PHX65187 PRS65187:PRT65187 QBO65187:QBP65187 QLK65187:QLL65187 QVG65187:QVH65187 RFC65187:RFD65187 ROY65187:ROZ65187 RYU65187:RYV65187 SIQ65187:SIR65187 SSM65187:SSN65187 TCI65187:TCJ65187 TME65187:TMF65187 TWA65187:TWB65187 UFW65187:UFX65187 UPS65187:UPT65187 UZO65187:UZP65187 VJK65187:VJL65187 VTG65187:VTH65187 WDC65187:WDD65187 WMY65187:WMZ65187 WWU65187:WWV65187 KI130723:KJ130723 UE130723:UF130723 AEA130723:AEB130723 ANW130723:ANX130723 AXS130723:AXT130723 BHO130723:BHP130723 BRK130723:BRL130723 CBG130723:CBH130723 CLC130723:CLD130723 CUY130723:CUZ130723 DEU130723:DEV130723 DOQ130723:DOR130723 DYM130723:DYN130723 EII130723:EIJ130723 ESE130723:ESF130723 FCA130723:FCB130723 FLW130723:FLX130723 FVS130723:FVT130723 GFO130723:GFP130723 GPK130723:GPL130723 GZG130723:GZH130723 HJC130723:HJD130723 HSY130723:HSZ130723 ICU130723:ICV130723 IMQ130723:IMR130723 IWM130723:IWN130723 JGI130723:JGJ130723 JQE130723:JQF130723 KAA130723:KAB130723 KJW130723:KJX130723 KTS130723:KTT130723 LDO130723:LDP130723 LNK130723:LNL130723 LXG130723:LXH130723 MHC130723:MHD130723 MQY130723:MQZ130723 NAU130723:NAV130723 NKQ130723:NKR130723 NUM130723:NUN130723 OEI130723:OEJ130723 OOE130723:OOF130723 OYA130723:OYB130723 PHW130723:PHX130723 PRS130723:PRT130723 QBO130723:QBP130723 QLK130723:QLL130723 QVG130723:QVH130723 RFC130723:RFD130723 ROY130723:ROZ130723 RYU130723:RYV130723 SIQ130723:SIR130723 SSM130723:SSN130723 TCI130723:TCJ130723 TME130723:TMF130723 TWA130723:TWB130723 UFW130723:UFX130723 UPS130723:UPT130723 UZO130723:UZP130723 VJK130723:VJL130723 VTG130723:VTH130723 WDC130723:WDD130723 WMY130723:WMZ130723 WWU130723:WWV130723 KI196259:KJ196259 UE196259:UF196259 AEA196259:AEB196259 ANW196259:ANX196259 AXS196259:AXT196259 BHO196259:BHP196259 BRK196259:BRL196259 CBG196259:CBH196259 CLC196259:CLD196259 CUY196259:CUZ196259 DEU196259:DEV196259 DOQ196259:DOR196259 DYM196259:DYN196259 EII196259:EIJ196259 ESE196259:ESF196259 FCA196259:FCB196259 FLW196259:FLX196259 FVS196259:FVT196259 GFO196259:GFP196259 GPK196259:GPL196259 GZG196259:GZH196259 HJC196259:HJD196259 HSY196259:HSZ196259 ICU196259:ICV196259 IMQ196259:IMR196259 IWM196259:IWN196259 JGI196259:JGJ196259 JQE196259:JQF196259 KAA196259:KAB196259 KJW196259:KJX196259 KTS196259:KTT196259 LDO196259:LDP196259 LNK196259:LNL196259 LXG196259:LXH196259 MHC196259:MHD196259 MQY196259:MQZ196259 NAU196259:NAV196259 NKQ196259:NKR196259 NUM196259:NUN196259 OEI196259:OEJ196259 OOE196259:OOF196259 OYA196259:OYB196259 PHW196259:PHX196259 PRS196259:PRT196259 QBO196259:QBP196259 QLK196259:QLL196259 QVG196259:QVH196259 RFC196259:RFD196259 ROY196259:ROZ196259 RYU196259:RYV196259 SIQ196259:SIR196259 SSM196259:SSN196259 TCI196259:TCJ196259 TME196259:TMF196259 TWA196259:TWB196259 UFW196259:UFX196259 UPS196259:UPT196259 UZO196259:UZP196259 VJK196259:VJL196259 VTG196259:VTH196259 WDC196259:WDD196259 WMY196259:WMZ196259 WWU196259:WWV196259 KI261795:KJ261795 UE261795:UF261795 AEA261795:AEB261795 ANW261795:ANX261795 AXS261795:AXT261795 BHO261795:BHP261795 BRK261795:BRL261795 CBG261795:CBH261795 CLC261795:CLD261795 CUY261795:CUZ261795 DEU261795:DEV261795 DOQ261795:DOR261795 DYM261795:DYN261795 EII261795:EIJ261795 ESE261795:ESF261795 FCA261795:FCB261795 FLW261795:FLX261795 FVS261795:FVT261795 GFO261795:GFP261795 GPK261795:GPL261795 GZG261795:GZH261795 HJC261795:HJD261795 HSY261795:HSZ261795 ICU261795:ICV261795 IMQ261795:IMR261795 IWM261795:IWN261795 JGI261795:JGJ261795 JQE261795:JQF261795 KAA261795:KAB261795 KJW261795:KJX261795 KTS261795:KTT261795 LDO261795:LDP261795 LNK261795:LNL261795 LXG261795:LXH261795 MHC261795:MHD261795 MQY261795:MQZ261795 NAU261795:NAV261795 NKQ261795:NKR261795 NUM261795:NUN261795 OEI261795:OEJ261795 OOE261795:OOF261795 OYA261795:OYB261795 PHW261795:PHX261795 PRS261795:PRT261795 QBO261795:QBP261795 QLK261795:QLL261795 QVG261795:QVH261795 RFC261795:RFD261795 ROY261795:ROZ261795 RYU261795:RYV261795 SIQ261795:SIR261795 SSM261795:SSN261795 TCI261795:TCJ261795 TME261795:TMF261795 TWA261795:TWB261795 UFW261795:UFX261795 UPS261795:UPT261795 UZO261795:UZP261795 VJK261795:VJL261795 VTG261795:VTH261795 WDC261795:WDD261795 WMY261795:WMZ261795 WWU261795:WWV261795 KI327331:KJ327331 UE327331:UF327331 AEA327331:AEB327331 ANW327331:ANX327331 AXS327331:AXT327331 BHO327331:BHP327331 BRK327331:BRL327331 CBG327331:CBH327331 CLC327331:CLD327331 CUY327331:CUZ327331 DEU327331:DEV327331 DOQ327331:DOR327331 DYM327331:DYN327331 EII327331:EIJ327331 ESE327331:ESF327331 FCA327331:FCB327331 FLW327331:FLX327331 FVS327331:FVT327331 GFO327331:GFP327331 GPK327331:GPL327331 GZG327331:GZH327331 HJC327331:HJD327331 HSY327331:HSZ327331 ICU327331:ICV327331 IMQ327331:IMR327331 IWM327331:IWN327331 JGI327331:JGJ327331 JQE327331:JQF327331 KAA327331:KAB327331 KJW327331:KJX327331 KTS327331:KTT327331 LDO327331:LDP327331 LNK327331:LNL327331 LXG327331:LXH327331 MHC327331:MHD327331 MQY327331:MQZ327331 NAU327331:NAV327331 NKQ327331:NKR327331 NUM327331:NUN327331 OEI327331:OEJ327331 OOE327331:OOF327331 OYA327331:OYB327331 PHW327331:PHX327331 PRS327331:PRT327331 QBO327331:QBP327331 QLK327331:QLL327331 QVG327331:QVH327331 RFC327331:RFD327331 ROY327331:ROZ327331 RYU327331:RYV327331 SIQ327331:SIR327331 SSM327331:SSN327331 TCI327331:TCJ327331 TME327331:TMF327331 TWA327331:TWB327331 UFW327331:UFX327331 UPS327331:UPT327331 UZO327331:UZP327331 VJK327331:VJL327331 VTG327331:VTH327331 WDC327331:WDD327331 WMY327331:WMZ327331 WWU327331:WWV327331 KI392867:KJ392867 UE392867:UF392867 AEA392867:AEB392867 ANW392867:ANX392867 AXS392867:AXT392867 BHO392867:BHP392867 BRK392867:BRL392867 CBG392867:CBH392867 CLC392867:CLD392867 CUY392867:CUZ392867 DEU392867:DEV392867 DOQ392867:DOR392867 DYM392867:DYN392867 EII392867:EIJ392867 ESE392867:ESF392867 FCA392867:FCB392867 FLW392867:FLX392867 FVS392867:FVT392867 GFO392867:GFP392867 GPK392867:GPL392867 GZG392867:GZH392867 HJC392867:HJD392867 HSY392867:HSZ392867 ICU392867:ICV392867 IMQ392867:IMR392867 IWM392867:IWN392867 JGI392867:JGJ392867 JQE392867:JQF392867 KAA392867:KAB392867 KJW392867:KJX392867 KTS392867:KTT392867 LDO392867:LDP392867 LNK392867:LNL392867 LXG392867:LXH392867 MHC392867:MHD392867 MQY392867:MQZ392867 NAU392867:NAV392867 NKQ392867:NKR392867 NUM392867:NUN392867 OEI392867:OEJ392867 OOE392867:OOF392867 OYA392867:OYB392867 PHW392867:PHX392867 PRS392867:PRT392867 QBO392867:QBP392867 QLK392867:QLL392867 QVG392867:QVH392867 RFC392867:RFD392867 ROY392867:ROZ392867 RYU392867:RYV392867 SIQ392867:SIR392867 SSM392867:SSN392867 TCI392867:TCJ392867 TME392867:TMF392867 TWA392867:TWB392867 UFW392867:UFX392867 UPS392867:UPT392867 UZO392867:UZP392867 VJK392867:VJL392867 VTG392867:VTH392867 WDC392867:WDD392867 WMY392867:WMZ392867 WWU392867:WWV392867 KI458403:KJ458403 UE458403:UF458403 AEA458403:AEB458403 ANW458403:ANX458403 AXS458403:AXT458403 BHO458403:BHP458403 BRK458403:BRL458403 CBG458403:CBH458403 CLC458403:CLD458403 CUY458403:CUZ458403 DEU458403:DEV458403 DOQ458403:DOR458403 DYM458403:DYN458403 EII458403:EIJ458403 ESE458403:ESF458403 FCA458403:FCB458403 FLW458403:FLX458403 FVS458403:FVT458403 GFO458403:GFP458403 GPK458403:GPL458403 GZG458403:GZH458403 HJC458403:HJD458403 HSY458403:HSZ458403 ICU458403:ICV458403 IMQ458403:IMR458403 IWM458403:IWN458403 JGI458403:JGJ458403 JQE458403:JQF458403 KAA458403:KAB458403 KJW458403:KJX458403 KTS458403:KTT458403 LDO458403:LDP458403 LNK458403:LNL458403 LXG458403:LXH458403 MHC458403:MHD458403 MQY458403:MQZ458403 NAU458403:NAV458403 NKQ458403:NKR458403 NUM458403:NUN458403 OEI458403:OEJ458403 OOE458403:OOF458403 OYA458403:OYB458403 PHW458403:PHX458403 PRS458403:PRT458403 QBO458403:QBP458403 QLK458403:QLL458403 QVG458403:QVH458403 RFC458403:RFD458403 ROY458403:ROZ458403 RYU458403:RYV458403 SIQ458403:SIR458403 SSM458403:SSN458403 TCI458403:TCJ458403 TME458403:TMF458403 TWA458403:TWB458403 UFW458403:UFX458403 UPS458403:UPT458403 UZO458403:UZP458403 VJK458403:VJL458403 VTG458403:VTH458403 WDC458403:WDD458403 WMY458403:WMZ458403 WWU458403:WWV458403 KI523939:KJ523939 UE523939:UF523939 AEA523939:AEB523939 ANW523939:ANX523939 AXS523939:AXT523939 BHO523939:BHP523939 BRK523939:BRL523939 CBG523939:CBH523939 CLC523939:CLD523939 CUY523939:CUZ523939 DEU523939:DEV523939 DOQ523939:DOR523939 DYM523939:DYN523939 EII523939:EIJ523939 ESE523939:ESF523939 FCA523939:FCB523939 FLW523939:FLX523939 FVS523939:FVT523939 GFO523939:GFP523939 GPK523939:GPL523939 GZG523939:GZH523939 HJC523939:HJD523939 HSY523939:HSZ523939 ICU523939:ICV523939 IMQ523939:IMR523939 IWM523939:IWN523939 JGI523939:JGJ523939 JQE523939:JQF523939 KAA523939:KAB523939 KJW523939:KJX523939 KTS523939:KTT523939 LDO523939:LDP523939 LNK523939:LNL523939 LXG523939:LXH523939 MHC523939:MHD523939 MQY523939:MQZ523939 NAU523939:NAV523939 NKQ523939:NKR523939 NUM523939:NUN523939 OEI523939:OEJ523939 OOE523939:OOF523939 OYA523939:OYB523939 PHW523939:PHX523939 PRS523939:PRT523939 QBO523939:QBP523939 QLK523939:QLL523939 QVG523939:QVH523939 RFC523939:RFD523939 ROY523939:ROZ523939 RYU523939:RYV523939 SIQ523939:SIR523939 SSM523939:SSN523939 TCI523939:TCJ523939 TME523939:TMF523939 TWA523939:TWB523939 UFW523939:UFX523939 UPS523939:UPT523939 UZO523939:UZP523939 VJK523939:VJL523939 VTG523939:VTH523939 WDC523939:WDD523939 WMY523939:WMZ523939 WWU523939:WWV523939 KI589475:KJ589475 UE589475:UF589475 AEA589475:AEB589475 ANW589475:ANX589475 AXS589475:AXT589475 BHO589475:BHP589475 BRK589475:BRL589475 CBG589475:CBH589475 CLC589475:CLD589475 CUY589475:CUZ589475 DEU589475:DEV589475 DOQ589475:DOR589475 DYM589475:DYN589475 EII589475:EIJ589475 ESE589475:ESF589475 FCA589475:FCB589475 FLW589475:FLX589475 FVS589475:FVT589475 GFO589475:GFP589475 GPK589475:GPL589475 GZG589475:GZH589475 HJC589475:HJD589475 HSY589475:HSZ589475 ICU589475:ICV589475 IMQ589475:IMR589475 IWM589475:IWN589475 JGI589475:JGJ589475 JQE589475:JQF589475 KAA589475:KAB589475 KJW589475:KJX589475 KTS589475:KTT589475 LDO589475:LDP589475 LNK589475:LNL589475 LXG589475:LXH589475 MHC589475:MHD589475 MQY589475:MQZ589475 NAU589475:NAV589475 NKQ589475:NKR589475 NUM589475:NUN589475 OEI589475:OEJ589475 OOE589475:OOF589475 OYA589475:OYB589475 PHW589475:PHX589475 PRS589475:PRT589475 QBO589475:QBP589475 QLK589475:QLL589475 QVG589475:QVH589475 RFC589475:RFD589475 ROY589475:ROZ589475 RYU589475:RYV589475 SIQ589475:SIR589475 SSM589475:SSN589475 TCI589475:TCJ589475 TME589475:TMF589475 TWA589475:TWB589475 UFW589475:UFX589475 UPS589475:UPT589475 UZO589475:UZP589475 VJK589475:VJL589475 VTG589475:VTH589475 WDC589475:WDD589475 WMY589475:WMZ589475 WWU589475:WWV589475 KI655011:KJ655011 UE655011:UF655011 AEA655011:AEB655011 ANW655011:ANX655011 AXS655011:AXT655011 BHO655011:BHP655011 BRK655011:BRL655011 CBG655011:CBH655011 CLC655011:CLD655011 CUY655011:CUZ655011 DEU655011:DEV655011 DOQ655011:DOR655011 DYM655011:DYN655011 EII655011:EIJ655011 ESE655011:ESF655011 FCA655011:FCB655011 FLW655011:FLX655011 FVS655011:FVT655011 GFO655011:GFP655011 GPK655011:GPL655011 GZG655011:GZH655011 HJC655011:HJD655011 HSY655011:HSZ655011 ICU655011:ICV655011 IMQ655011:IMR655011 IWM655011:IWN655011 JGI655011:JGJ655011 JQE655011:JQF655011 KAA655011:KAB655011 KJW655011:KJX655011 KTS655011:KTT655011 LDO655011:LDP655011 LNK655011:LNL655011 LXG655011:LXH655011 MHC655011:MHD655011 MQY655011:MQZ655011 NAU655011:NAV655011 NKQ655011:NKR655011 NUM655011:NUN655011 OEI655011:OEJ655011 OOE655011:OOF655011 OYA655011:OYB655011 PHW655011:PHX655011 PRS655011:PRT655011 QBO655011:QBP655011 QLK655011:QLL655011 QVG655011:QVH655011 RFC655011:RFD655011 ROY655011:ROZ655011 RYU655011:RYV655011 SIQ655011:SIR655011 SSM655011:SSN655011 TCI655011:TCJ655011 TME655011:TMF655011 TWA655011:TWB655011 UFW655011:UFX655011 UPS655011:UPT655011 UZO655011:UZP655011 VJK655011:VJL655011 VTG655011:VTH655011 WDC655011:WDD655011 WMY655011:WMZ655011 WWU655011:WWV655011 KI720547:KJ720547 UE720547:UF720547 AEA720547:AEB720547 ANW720547:ANX720547 AXS720547:AXT720547 BHO720547:BHP720547 BRK720547:BRL720547 CBG720547:CBH720547 CLC720547:CLD720547 CUY720547:CUZ720547 DEU720547:DEV720547 DOQ720547:DOR720547 DYM720547:DYN720547 EII720547:EIJ720547 ESE720547:ESF720547 FCA720547:FCB720547 FLW720547:FLX720547 FVS720547:FVT720547 GFO720547:GFP720547 GPK720547:GPL720547 GZG720547:GZH720547 HJC720547:HJD720547 HSY720547:HSZ720547 ICU720547:ICV720547 IMQ720547:IMR720547 IWM720547:IWN720547 JGI720547:JGJ720547 JQE720547:JQF720547 KAA720547:KAB720547 KJW720547:KJX720547 KTS720547:KTT720547 LDO720547:LDP720547 LNK720547:LNL720547 LXG720547:LXH720547 MHC720547:MHD720547 MQY720547:MQZ720547 NAU720547:NAV720547 NKQ720547:NKR720547 NUM720547:NUN720547 OEI720547:OEJ720547 OOE720547:OOF720547 OYA720547:OYB720547 PHW720547:PHX720547 PRS720547:PRT720547 QBO720547:QBP720547 QLK720547:QLL720547 QVG720547:QVH720547 RFC720547:RFD720547 ROY720547:ROZ720547 RYU720547:RYV720547 SIQ720547:SIR720547 SSM720547:SSN720547 TCI720547:TCJ720547 TME720547:TMF720547 TWA720547:TWB720547 UFW720547:UFX720547 UPS720547:UPT720547 UZO720547:UZP720547 VJK720547:VJL720547 VTG720547:VTH720547 WDC720547:WDD720547 WMY720547:WMZ720547 WWU720547:WWV720547 KI786083:KJ786083 UE786083:UF786083 AEA786083:AEB786083 ANW786083:ANX786083 AXS786083:AXT786083 BHO786083:BHP786083 BRK786083:BRL786083 CBG786083:CBH786083 CLC786083:CLD786083 CUY786083:CUZ786083 DEU786083:DEV786083 DOQ786083:DOR786083 DYM786083:DYN786083 EII786083:EIJ786083 ESE786083:ESF786083 FCA786083:FCB786083 FLW786083:FLX786083 FVS786083:FVT786083 GFO786083:GFP786083 GPK786083:GPL786083 GZG786083:GZH786083 HJC786083:HJD786083 HSY786083:HSZ786083 ICU786083:ICV786083 IMQ786083:IMR786083 IWM786083:IWN786083 JGI786083:JGJ786083 JQE786083:JQF786083 KAA786083:KAB786083 KJW786083:KJX786083 KTS786083:KTT786083 LDO786083:LDP786083 LNK786083:LNL786083 LXG786083:LXH786083 MHC786083:MHD786083 MQY786083:MQZ786083 NAU786083:NAV786083 NKQ786083:NKR786083 NUM786083:NUN786083 OEI786083:OEJ786083 OOE786083:OOF786083 OYA786083:OYB786083 PHW786083:PHX786083 PRS786083:PRT786083 QBO786083:QBP786083 QLK786083:QLL786083 QVG786083:QVH786083 RFC786083:RFD786083 ROY786083:ROZ786083 RYU786083:RYV786083 SIQ786083:SIR786083 SSM786083:SSN786083 TCI786083:TCJ786083 TME786083:TMF786083 TWA786083:TWB786083 UFW786083:UFX786083 UPS786083:UPT786083 UZO786083:UZP786083 VJK786083:VJL786083 VTG786083:VTH786083 WDC786083:WDD786083 WMY786083:WMZ786083 WWU786083:WWV786083 KI851619:KJ851619 UE851619:UF851619 AEA851619:AEB851619 ANW851619:ANX851619 AXS851619:AXT851619 BHO851619:BHP851619 BRK851619:BRL851619 CBG851619:CBH851619 CLC851619:CLD851619 CUY851619:CUZ851619 DEU851619:DEV851619 DOQ851619:DOR851619 DYM851619:DYN851619 EII851619:EIJ851619 ESE851619:ESF851619 FCA851619:FCB851619 FLW851619:FLX851619 FVS851619:FVT851619 GFO851619:GFP851619 GPK851619:GPL851619 GZG851619:GZH851619 HJC851619:HJD851619 HSY851619:HSZ851619 ICU851619:ICV851619 IMQ851619:IMR851619 IWM851619:IWN851619 JGI851619:JGJ851619 JQE851619:JQF851619 KAA851619:KAB851619 KJW851619:KJX851619 KTS851619:KTT851619 LDO851619:LDP851619 LNK851619:LNL851619 LXG851619:LXH851619 MHC851619:MHD851619 MQY851619:MQZ851619 NAU851619:NAV851619 NKQ851619:NKR851619 NUM851619:NUN851619 OEI851619:OEJ851619 OOE851619:OOF851619 OYA851619:OYB851619 PHW851619:PHX851619 PRS851619:PRT851619 QBO851619:QBP851619 QLK851619:QLL851619 QVG851619:QVH851619 RFC851619:RFD851619 ROY851619:ROZ851619 RYU851619:RYV851619 SIQ851619:SIR851619 SSM851619:SSN851619 TCI851619:TCJ851619 TME851619:TMF851619 TWA851619:TWB851619 UFW851619:UFX851619 UPS851619:UPT851619 UZO851619:UZP851619 VJK851619:VJL851619 VTG851619:VTH851619 WDC851619:WDD851619 WMY851619:WMZ851619 WWU851619:WWV851619 KI917155:KJ917155 UE917155:UF917155 AEA917155:AEB917155 ANW917155:ANX917155 AXS917155:AXT917155 BHO917155:BHP917155 BRK917155:BRL917155 CBG917155:CBH917155 CLC917155:CLD917155 CUY917155:CUZ917155 DEU917155:DEV917155 DOQ917155:DOR917155 DYM917155:DYN917155 EII917155:EIJ917155 ESE917155:ESF917155 FCA917155:FCB917155 FLW917155:FLX917155 FVS917155:FVT917155 GFO917155:GFP917155 GPK917155:GPL917155 GZG917155:GZH917155 HJC917155:HJD917155 HSY917155:HSZ917155 ICU917155:ICV917155 IMQ917155:IMR917155 IWM917155:IWN917155 JGI917155:JGJ917155 JQE917155:JQF917155 KAA917155:KAB917155 KJW917155:KJX917155 KTS917155:KTT917155 LDO917155:LDP917155 LNK917155:LNL917155 LXG917155:LXH917155 MHC917155:MHD917155 MQY917155:MQZ917155 NAU917155:NAV917155 NKQ917155:NKR917155 NUM917155:NUN917155 OEI917155:OEJ917155 OOE917155:OOF917155 OYA917155:OYB917155 PHW917155:PHX917155 PRS917155:PRT917155 QBO917155:QBP917155 QLK917155:QLL917155 QVG917155:QVH917155 RFC917155:RFD917155 ROY917155:ROZ917155 RYU917155:RYV917155 SIQ917155:SIR917155 SSM917155:SSN917155 TCI917155:TCJ917155 TME917155:TMF917155 TWA917155:TWB917155 UFW917155:UFX917155 UPS917155:UPT917155 UZO917155:UZP917155 VJK917155:VJL917155 VTG917155:VTH917155 WDC917155:WDD917155 WMY917155:WMZ917155 WWU917155:WWV917155 KI982691:KJ982691 UE982691:UF982691 AEA982691:AEB982691 ANW982691:ANX982691 AXS982691:AXT982691 BHO982691:BHP982691 BRK982691:BRL982691 CBG982691:CBH982691 CLC982691:CLD982691 CUY982691:CUZ982691 DEU982691:DEV982691 DOQ982691:DOR982691 DYM982691:DYN982691 EII982691:EIJ982691 ESE982691:ESF982691 FCA982691:FCB982691 FLW982691:FLX982691 FVS982691:FVT982691 GFO982691:GFP982691 GPK982691:GPL982691 GZG982691:GZH982691 HJC982691:HJD982691 HSY982691:HSZ982691 ICU982691:ICV982691 IMQ982691:IMR982691 IWM982691:IWN982691 JGI982691:JGJ982691 JQE982691:JQF982691 KAA982691:KAB982691 KJW982691:KJX982691 KTS982691:KTT982691 LDO982691:LDP982691 LNK982691:LNL982691 LXG982691:LXH982691 MHC982691:MHD982691 MQY982691:MQZ982691 NAU982691:NAV982691 NKQ982691:NKR982691 NUM982691:NUN982691 OEI982691:OEJ982691 OOE982691:OOF982691 OYA982691:OYB982691 PHW982691:PHX982691 PRS982691:PRT982691 QBO982691:QBP982691 QLK982691:QLL982691 QVG982691:QVH982691 RFC982691:RFD982691 ROY982691:ROZ982691 RYU982691:RYV982691 SIQ982691:SIR982691 SSM982691:SSN982691 TCI982691:TCJ982691 TME982691:TMF982691 TWA982691:TWB982691 UFW982691:UFX982691 UPS982691:UPT982691 UZO982691:UZP982691 VJK982691:VJL982691 VTG982691:VTH982691 WDC982691:WDD982691 WMY982691:WMZ982691 WWU982691:WWV982691 KI196248:KJ196252 UE196248:UF196252 AEA196248:AEB196252 ANW196248:ANX196252 AXS196248:AXT196252 BHO196248:BHP196252 BRK196248:BRL196252 CBG196248:CBH196252 CLC196248:CLD196252 CUY196248:CUZ196252 DEU196248:DEV196252 DOQ196248:DOR196252 DYM196248:DYN196252 EII196248:EIJ196252 ESE196248:ESF196252 FCA196248:FCB196252 FLW196248:FLX196252 FVS196248:FVT196252 GFO196248:GFP196252 GPK196248:GPL196252 GZG196248:GZH196252 HJC196248:HJD196252 HSY196248:HSZ196252 ICU196248:ICV196252 IMQ196248:IMR196252 IWM196248:IWN196252 JGI196248:JGJ196252 JQE196248:JQF196252 KAA196248:KAB196252 KJW196248:KJX196252 KTS196248:KTT196252 LDO196248:LDP196252 LNK196248:LNL196252 LXG196248:LXH196252 MHC196248:MHD196252 MQY196248:MQZ196252 NAU196248:NAV196252 NKQ196248:NKR196252 NUM196248:NUN196252 OEI196248:OEJ196252 OOE196248:OOF196252 OYA196248:OYB196252 PHW196248:PHX196252 PRS196248:PRT196252 QBO196248:QBP196252 QLK196248:QLL196252 QVG196248:QVH196252 RFC196248:RFD196252 ROY196248:ROZ196252 RYU196248:RYV196252 SIQ196248:SIR196252 SSM196248:SSN196252 TCI196248:TCJ196252 TME196248:TMF196252 TWA196248:TWB196252 UFW196248:UFX196252 UPS196248:UPT196252 UZO196248:UZP196252 VJK196248:VJL196252 VTG196248:VTH196252 WDC196248:WDD196252 WMY196248:WMZ196252 WWU196248:WWV196252 KI65247:KJ65250 UE65247:UF65250 AEA65247:AEB65250 ANW65247:ANX65250 AXS65247:AXT65250 BHO65247:BHP65250 BRK65247:BRL65250 CBG65247:CBH65250 CLC65247:CLD65250 CUY65247:CUZ65250 DEU65247:DEV65250 DOQ65247:DOR65250 DYM65247:DYN65250 EII65247:EIJ65250 ESE65247:ESF65250 FCA65247:FCB65250 FLW65247:FLX65250 FVS65247:FVT65250 GFO65247:GFP65250 GPK65247:GPL65250 GZG65247:GZH65250 HJC65247:HJD65250 HSY65247:HSZ65250 ICU65247:ICV65250 IMQ65247:IMR65250 IWM65247:IWN65250 JGI65247:JGJ65250 JQE65247:JQF65250 KAA65247:KAB65250 KJW65247:KJX65250 KTS65247:KTT65250 LDO65247:LDP65250 LNK65247:LNL65250 LXG65247:LXH65250 MHC65247:MHD65250 MQY65247:MQZ65250 NAU65247:NAV65250 NKQ65247:NKR65250 NUM65247:NUN65250 OEI65247:OEJ65250 OOE65247:OOF65250 OYA65247:OYB65250 PHW65247:PHX65250 PRS65247:PRT65250 QBO65247:QBP65250 QLK65247:QLL65250 QVG65247:QVH65250 RFC65247:RFD65250 ROY65247:ROZ65250 RYU65247:RYV65250 SIQ65247:SIR65250 SSM65247:SSN65250 TCI65247:TCJ65250 TME65247:TMF65250 TWA65247:TWB65250 UFW65247:UFX65250 UPS65247:UPT65250 UZO65247:UZP65250 VJK65247:VJL65250 VTG65247:VTH65250 WDC65247:WDD65250 WMY65247:WMZ65250 WWU65247:WWV65250 KI130783:KJ130786 UE130783:UF130786 AEA130783:AEB130786 ANW130783:ANX130786 AXS130783:AXT130786 BHO130783:BHP130786 BRK130783:BRL130786 CBG130783:CBH130786 CLC130783:CLD130786 CUY130783:CUZ130786 DEU130783:DEV130786 DOQ130783:DOR130786 DYM130783:DYN130786 EII130783:EIJ130786 ESE130783:ESF130786 FCA130783:FCB130786 FLW130783:FLX130786 FVS130783:FVT130786 GFO130783:GFP130786 GPK130783:GPL130786 GZG130783:GZH130786 HJC130783:HJD130786 HSY130783:HSZ130786 ICU130783:ICV130786 IMQ130783:IMR130786 IWM130783:IWN130786 JGI130783:JGJ130786 JQE130783:JQF130786 KAA130783:KAB130786 KJW130783:KJX130786 KTS130783:KTT130786 LDO130783:LDP130786 LNK130783:LNL130786 LXG130783:LXH130786 MHC130783:MHD130786 MQY130783:MQZ130786 NAU130783:NAV130786 NKQ130783:NKR130786 NUM130783:NUN130786 OEI130783:OEJ130786 OOE130783:OOF130786 OYA130783:OYB130786 PHW130783:PHX130786 PRS130783:PRT130786 QBO130783:QBP130786 QLK130783:QLL130786 QVG130783:QVH130786 RFC130783:RFD130786 ROY130783:ROZ130786 RYU130783:RYV130786 SIQ130783:SIR130786 SSM130783:SSN130786 TCI130783:TCJ130786 TME130783:TMF130786 TWA130783:TWB130786 UFW130783:UFX130786 UPS130783:UPT130786 UZO130783:UZP130786 VJK130783:VJL130786 VTG130783:VTH130786 WDC130783:WDD130786 WMY130783:WMZ130786 WWU130783:WWV130786 KI196319:KJ196322 UE196319:UF196322 AEA196319:AEB196322 ANW196319:ANX196322 AXS196319:AXT196322 BHO196319:BHP196322 BRK196319:BRL196322 CBG196319:CBH196322 CLC196319:CLD196322 CUY196319:CUZ196322 DEU196319:DEV196322 DOQ196319:DOR196322 DYM196319:DYN196322 EII196319:EIJ196322 ESE196319:ESF196322 FCA196319:FCB196322 FLW196319:FLX196322 FVS196319:FVT196322 GFO196319:GFP196322 GPK196319:GPL196322 GZG196319:GZH196322 HJC196319:HJD196322 HSY196319:HSZ196322 ICU196319:ICV196322 IMQ196319:IMR196322 IWM196319:IWN196322 JGI196319:JGJ196322 JQE196319:JQF196322 KAA196319:KAB196322 KJW196319:KJX196322 KTS196319:KTT196322 LDO196319:LDP196322 LNK196319:LNL196322 LXG196319:LXH196322 MHC196319:MHD196322 MQY196319:MQZ196322 NAU196319:NAV196322 NKQ196319:NKR196322 NUM196319:NUN196322 OEI196319:OEJ196322 OOE196319:OOF196322 OYA196319:OYB196322 PHW196319:PHX196322 PRS196319:PRT196322 QBO196319:QBP196322 QLK196319:QLL196322 QVG196319:QVH196322 RFC196319:RFD196322 ROY196319:ROZ196322 RYU196319:RYV196322 SIQ196319:SIR196322 SSM196319:SSN196322 TCI196319:TCJ196322 TME196319:TMF196322 TWA196319:TWB196322 UFW196319:UFX196322 UPS196319:UPT196322 UZO196319:UZP196322 VJK196319:VJL196322 VTG196319:VTH196322 WDC196319:WDD196322 WMY196319:WMZ196322 WWU196319:WWV196322 KI261855:KJ261858 UE261855:UF261858 AEA261855:AEB261858 ANW261855:ANX261858 AXS261855:AXT261858 BHO261855:BHP261858 BRK261855:BRL261858 CBG261855:CBH261858 CLC261855:CLD261858 CUY261855:CUZ261858 DEU261855:DEV261858 DOQ261855:DOR261858 DYM261855:DYN261858 EII261855:EIJ261858 ESE261855:ESF261858 FCA261855:FCB261858 FLW261855:FLX261858 FVS261855:FVT261858 GFO261855:GFP261858 GPK261855:GPL261858 GZG261855:GZH261858 HJC261855:HJD261858 HSY261855:HSZ261858 ICU261855:ICV261858 IMQ261855:IMR261858 IWM261855:IWN261858 JGI261855:JGJ261858 JQE261855:JQF261858 KAA261855:KAB261858 KJW261855:KJX261858 KTS261855:KTT261858 LDO261855:LDP261858 LNK261855:LNL261858 LXG261855:LXH261858 MHC261855:MHD261858 MQY261855:MQZ261858 NAU261855:NAV261858 NKQ261855:NKR261858 NUM261855:NUN261858 OEI261855:OEJ261858 OOE261855:OOF261858 OYA261855:OYB261858 PHW261855:PHX261858 PRS261855:PRT261858 QBO261855:QBP261858 QLK261855:QLL261858 QVG261855:QVH261858 RFC261855:RFD261858 ROY261855:ROZ261858 RYU261855:RYV261858 SIQ261855:SIR261858 SSM261855:SSN261858 TCI261855:TCJ261858 TME261855:TMF261858 TWA261855:TWB261858 UFW261855:UFX261858 UPS261855:UPT261858 UZO261855:UZP261858 VJK261855:VJL261858 VTG261855:VTH261858 WDC261855:WDD261858 WMY261855:WMZ261858 WWU261855:WWV261858 KI327391:KJ327394 UE327391:UF327394 AEA327391:AEB327394 ANW327391:ANX327394 AXS327391:AXT327394 BHO327391:BHP327394 BRK327391:BRL327394 CBG327391:CBH327394 CLC327391:CLD327394 CUY327391:CUZ327394 DEU327391:DEV327394 DOQ327391:DOR327394 DYM327391:DYN327394 EII327391:EIJ327394 ESE327391:ESF327394 FCA327391:FCB327394 FLW327391:FLX327394 FVS327391:FVT327394 GFO327391:GFP327394 GPK327391:GPL327394 GZG327391:GZH327394 HJC327391:HJD327394 HSY327391:HSZ327394 ICU327391:ICV327394 IMQ327391:IMR327394 IWM327391:IWN327394 JGI327391:JGJ327394 JQE327391:JQF327394 KAA327391:KAB327394 KJW327391:KJX327394 KTS327391:KTT327394 LDO327391:LDP327394 LNK327391:LNL327394 LXG327391:LXH327394 MHC327391:MHD327394 MQY327391:MQZ327394 NAU327391:NAV327394 NKQ327391:NKR327394 NUM327391:NUN327394 OEI327391:OEJ327394 OOE327391:OOF327394 OYA327391:OYB327394 PHW327391:PHX327394 PRS327391:PRT327394 QBO327391:QBP327394 QLK327391:QLL327394 QVG327391:QVH327394 RFC327391:RFD327394 ROY327391:ROZ327394 RYU327391:RYV327394 SIQ327391:SIR327394 SSM327391:SSN327394 TCI327391:TCJ327394 TME327391:TMF327394 TWA327391:TWB327394 UFW327391:UFX327394 UPS327391:UPT327394 UZO327391:UZP327394 VJK327391:VJL327394 VTG327391:VTH327394 WDC327391:WDD327394 WMY327391:WMZ327394 WWU327391:WWV327394 KI392927:KJ392930 UE392927:UF392930 AEA392927:AEB392930 ANW392927:ANX392930 AXS392927:AXT392930 BHO392927:BHP392930 BRK392927:BRL392930 CBG392927:CBH392930 CLC392927:CLD392930 CUY392927:CUZ392930 DEU392927:DEV392930 DOQ392927:DOR392930 DYM392927:DYN392930 EII392927:EIJ392930 ESE392927:ESF392930 FCA392927:FCB392930 FLW392927:FLX392930 FVS392927:FVT392930 GFO392927:GFP392930 GPK392927:GPL392930 GZG392927:GZH392930 HJC392927:HJD392930 HSY392927:HSZ392930 ICU392927:ICV392930 IMQ392927:IMR392930 IWM392927:IWN392930 JGI392927:JGJ392930 JQE392927:JQF392930 KAA392927:KAB392930 KJW392927:KJX392930 KTS392927:KTT392930 LDO392927:LDP392930 LNK392927:LNL392930 LXG392927:LXH392930 MHC392927:MHD392930 MQY392927:MQZ392930 NAU392927:NAV392930 NKQ392927:NKR392930 NUM392927:NUN392930 OEI392927:OEJ392930 OOE392927:OOF392930 OYA392927:OYB392930 PHW392927:PHX392930 PRS392927:PRT392930 QBO392927:QBP392930 QLK392927:QLL392930 QVG392927:QVH392930 RFC392927:RFD392930 ROY392927:ROZ392930 RYU392927:RYV392930 SIQ392927:SIR392930 SSM392927:SSN392930 TCI392927:TCJ392930 TME392927:TMF392930 TWA392927:TWB392930 UFW392927:UFX392930 UPS392927:UPT392930 UZO392927:UZP392930 VJK392927:VJL392930 VTG392927:VTH392930 WDC392927:WDD392930 WMY392927:WMZ392930 WWU392927:WWV392930 KI458463:KJ458466 UE458463:UF458466 AEA458463:AEB458466 ANW458463:ANX458466 AXS458463:AXT458466 BHO458463:BHP458466 BRK458463:BRL458466 CBG458463:CBH458466 CLC458463:CLD458466 CUY458463:CUZ458466 DEU458463:DEV458466 DOQ458463:DOR458466 DYM458463:DYN458466 EII458463:EIJ458466 ESE458463:ESF458466 FCA458463:FCB458466 FLW458463:FLX458466 FVS458463:FVT458466 GFO458463:GFP458466 GPK458463:GPL458466 GZG458463:GZH458466 HJC458463:HJD458466 HSY458463:HSZ458466 ICU458463:ICV458466 IMQ458463:IMR458466 IWM458463:IWN458466 JGI458463:JGJ458466 JQE458463:JQF458466 KAA458463:KAB458466 KJW458463:KJX458466 KTS458463:KTT458466 LDO458463:LDP458466 LNK458463:LNL458466 LXG458463:LXH458466 MHC458463:MHD458466 MQY458463:MQZ458466 NAU458463:NAV458466 NKQ458463:NKR458466 NUM458463:NUN458466 OEI458463:OEJ458466 OOE458463:OOF458466 OYA458463:OYB458466 PHW458463:PHX458466 PRS458463:PRT458466 QBO458463:QBP458466 QLK458463:QLL458466 QVG458463:QVH458466 RFC458463:RFD458466 ROY458463:ROZ458466 RYU458463:RYV458466 SIQ458463:SIR458466 SSM458463:SSN458466 TCI458463:TCJ458466 TME458463:TMF458466 TWA458463:TWB458466 UFW458463:UFX458466 UPS458463:UPT458466 UZO458463:UZP458466 VJK458463:VJL458466 VTG458463:VTH458466 WDC458463:WDD458466 WMY458463:WMZ458466 WWU458463:WWV458466 KI523999:KJ524002 UE523999:UF524002 AEA523999:AEB524002 ANW523999:ANX524002 AXS523999:AXT524002 BHO523999:BHP524002 BRK523999:BRL524002 CBG523999:CBH524002 CLC523999:CLD524002 CUY523999:CUZ524002 DEU523999:DEV524002 DOQ523999:DOR524002 DYM523999:DYN524002 EII523999:EIJ524002 ESE523999:ESF524002 FCA523999:FCB524002 FLW523999:FLX524002 FVS523999:FVT524002 GFO523999:GFP524002 GPK523999:GPL524002 GZG523999:GZH524002 HJC523999:HJD524002 HSY523999:HSZ524002 ICU523999:ICV524002 IMQ523999:IMR524002 IWM523999:IWN524002 JGI523999:JGJ524002 JQE523999:JQF524002 KAA523999:KAB524002 KJW523999:KJX524002 KTS523999:KTT524002 LDO523999:LDP524002 LNK523999:LNL524002 LXG523999:LXH524002 MHC523999:MHD524002 MQY523999:MQZ524002 NAU523999:NAV524002 NKQ523999:NKR524002 NUM523999:NUN524002 OEI523999:OEJ524002 OOE523999:OOF524002 OYA523999:OYB524002 PHW523999:PHX524002 PRS523999:PRT524002 QBO523999:QBP524002 QLK523999:QLL524002 QVG523999:QVH524002 RFC523999:RFD524002 ROY523999:ROZ524002 RYU523999:RYV524002 SIQ523999:SIR524002 SSM523999:SSN524002 TCI523999:TCJ524002 TME523999:TMF524002 TWA523999:TWB524002 UFW523999:UFX524002 UPS523999:UPT524002 UZO523999:UZP524002 VJK523999:VJL524002 VTG523999:VTH524002 WDC523999:WDD524002 WMY523999:WMZ524002 WWU523999:WWV524002 KI589535:KJ589538 UE589535:UF589538 AEA589535:AEB589538 ANW589535:ANX589538 AXS589535:AXT589538 BHO589535:BHP589538 BRK589535:BRL589538 CBG589535:CBH589538 CLC589535:CLD589538 CUY589535:CUZ589538 DEU589535:DEV589538 DOQ589535:DOR589538 DYM589535:DYN589538 EII589535:EIJ589538 ESE589535:ESF589538 FCA589535:FCB589538 FLW589535:FLX589538 FVS589535:FVT589538 GFO589535:GFP589538 GPK589535:GPL589538 GZG589535:GZH589538 HJC589535:HJD589538 HSY589535:HSZ589538 ICU589535:ICV589538 IMQ589535:IMR589538 IWM589535:IWN589538 JGI589535:JGJ589538 JQE589535:JQF589538 KAA589535:KAB589538 KJW589535:KJX589538 KTS589535:KTT589538 LDO589535:LDP589538 LNK589535:LNL589538 LXG589535:LXH589538 MHC589535:MHD589538 MQY589535:MQZ589538 NAU589535:NAV589538 NKQ589535:NKR589538 NUM589535:NUN589538 OEI589535:OEJ589538 OOE589535:OOF589538 OYA589535:OYB589538 PHW589535:PHX589538 PRS589535:PRT589538 QBO589535:QBP589538 QLK589535:QLL589538 QVG589535:QVH589538 RFC589535:RFD589538 ROY589535:ROZ589538 RYU589535:RYV589538 SIQ589535:SIR589538 SSM589535:SSN589538 TCI589535:TCJ589538 TME589535:TMF589538 TWA589535:TWB589538 UFW589535:UFX589538 UPS589535:UPT589538 UZO589535:UZP589538 VJK589535:VJL589538 VTG589535:VTH589538 WDC589535:WDD589538 WMY589535:WMZ589538 WWU589535:WWV589538 KI655071:KJ655074 UE655071:UF655074 AEA655071:AEB655074 ANW655071:ANX655074 AXS655071:AXT655074 BHO655071:BHP655074 BRK655071:BRL655074 CBG655071:CBH655074 CLC655071:CLD655074 CUY655071:CUZ655074 DEU655071:DEV655074 DOQ655071:DOR655074 DYM655071:DYN655074 EII655071:EIJ655074 ESE655071:ESF655074 FCA655071:FCB655074 FLW655071:FLX655074 FVS655071:FVT655074 GFO655071:GFP655074 GPK655071:GPL655074 GZG655071:GZH655074 HJC655071:HJD655074 HSY655071:HSZ655074 ICU655071:ICV655074 IMQ655071:IMR655074 IWM655071:IWN655074 JGI655071:JGJ655074 JQE655071:JQF655074 KAA655071:KAB655074 KJW655071:KJX655074 KTS655071:KTT655074 LDO655071:LDP655074 LNK655071:LNL655074 LXG655071:LXH655074 MHC655071:MHD655074 MQY655071:MQZ655074 NAU655071:NAV655074 NKQ655071:NKR655074 NUM655071:NUN655074 OEI655071:OEJ655074 OOE655071:OOF655074 OYA655071:OYB655074 PHW655071:PHX655074 PRS655071:PRT655074 QBO655071:QBP655074 QLK655071:QLL655074 QVG655071:QVH655074 RFC655071:RFD655074 ROY655071:ROZ655074 RYU655071:RYV655074 SIQ655071:SIR655074 SSM655071:SSN655074 TCI655071:TCJ655074 TME655071:TMF655074 TWA655071:TWB655074 UFW655071:UFX655074 UPS655071:UPT655074 UZO655071:UZP655074 VJK655071:VJL655074 VTG655071:VTH655074 WDC655071:WDD655074 WMY655071:WMZ655074 WWU655071:WWV655074 KI720607:KJ720610 UE720607:UF720610 AEA720607:AEB720610 ANW720607:ANX720610 AXS720607:AXT720610 BHO720607:BHP720610 BRK720607:BRL720610 CBG720607:CBH720610 CLC720607:CLD720610 CUY720607:CUZ720610 DEU720607:DEV720610 DOQ720607:DOR720610 DYM720607:DYN720610 EII720607:EIJ720610 ESE720607:ESF720610 FCA720607:FCB720610 FLW720607:FLX720610 FVS720607:FVT720610 GFO720607:GFP720610 GPK720607:GPL720610 GZG720607:GZH720610 HJC720607:HJD720610 HSY720607:HSZ720610 ICU720607:ICV720610 IMQ720607:IMR720610 IWM720607:IWN720610 JGI720607:JGJ720610 JQE720607:JQF720610 KAA720607:KAB720610 KJW720607:KJX720610 KTS720607:KTT720610 LDO720607:LDP720610 LNK720607:LNL720610 LXG720607:LXH720610 MHC720607:MHD720610 MQY720607:MQZ720610 NAU720607:NAV720610 NKQ720607:NKR720610 NUM720607:NUN720610 OEI720607:OEJ720610 OOE720607:OOF720610 OYA720607:OYB720610 PHW720607:PHX720610 PRS720607:PRT720610 QBO720607:QBP720610 QLK720607:QLL720610 QVG720607:QVH720610 RFC720607:RFD720610 ROY720607:ROZ720610 RYU720607:RYV720610 SIQ720607:SIR720610 SSM720607:SSN720610 TCI720607:TCJ720610 TME720607:TMF720610 TWA720607:TWB720610 UFW720607:UFX720610 UPS720607:UPT720610 UZO720607:UZP720610 VJK720607:VJL720610 VTG720607:VTH720610 WDC720607:WDD720610 WMY720607:WMZ720610 WWU720607:WWV720610 KI786143:KJ786146 UE786143:UF786146 AEA786143:AEB786146 ANW786143:ANX786146 AXS786143:AXT786146 BHO786143:BHP786146 BRK786143:BRL786146 CBG786143:CBH786146 CLC786143:CLD786146 CUY786143:CUZ786146 DEU786143:DEV786146 DOQ786143:DOR786146 DYM786143:DYN786146 EII786143:EIJ786146 ESE786143:ESF786146 FCA786143:FCB786146 FLW786143:FLX786146 FVS786143:FVT786146 GFO786143:GFP786146 GPK786143:GPL786146 GZG786143:GZH786146 HJC786143:HJD786146 HSY786143:HSZ786146 ICU786143:ICV786146 IMQ786143:IMR786146 IWM786143:IWN786146 JGI786143:JGJ786146 JQE786143:JQF786146 KAA786143:KAB786146 KJW786143:KJX786146 KTS786143:KTT786146 LDO786143:LDP786146 LNK786143:LNL786146 LXG786143:LXH786146 MHC786143:MHD786146 MQY786143:MQZ786146 NAU786143:NAV786146 NKQ786143:NKR786146 NUM786143:NUN786146 OEI786143:OEJ786146 OOE786143:OOF786146 OYA786143:OYB786146 PHW786143:PHX786146 PRS786143:PRT786146 QBO786143:QBP786146 QLK786143:QLL786146 QVG786143:QVH786146 RFC786143:RFD786146 ROY786143:ROZ786146 RYU786143:RYV786146 SIQ786143:SIR786146 SSM786143:SSN786146 TCI786143:TCJ786146 TME786143:TMF786146 TWA786143:TWB786146 UFW786143:UFX786146 UPS786143:UPT786146 UZO786143:UZP786146 VJK786143:VJL786146 VTG786143:VTH786146 WDC786143:WDD786146 WMY786143:WMZ786146 WWU786143:WWV786146 KI851679:KJ851682 UE851679:UF851682 AEA851679:AEB851682 ANW851679:ANX851682 AXS851679:AXT851682 BHO851679:BHP851682 BRK851679:BRL851682 CBG851679:CBH851682 CLC851679:CLD851682 CUY851679:CUZ851682 DEU851679:DEV851682 DOQ851679:DOR851682 DYM851679:DYN851682 EII851679:EIJ851682 ESE851679:ESF851682 FCA851679:FCB851682 FLW851679:FLX851682 FVS851679:FVT851682 GFO851679:GFP851682 GPK851679:GPL851682 GZG851679:GZH851682 HJC851679:HJD851682 HSY851679:HSZ851682 ICU851679:ICV851682 IMQ851679:IMR851682 IWM851679:IWN851682 JGI851679:JGJ851682 JQE851679:JQF851682 KAA851679:KAB851682 KJW851679:KJX851682 KTS851679:KTT851682 LDO851679:LDP851682 LNK851679:LNL851682 LXG851679:LXH851682 MHC851679:MHD851682 MQY851679:MQZ851682 NAU851679:NAV851682 NKQ851679:NKR851682 NUM851679:NUN851682 OEI851679:OEJ851682 OOE851679:OOF851682 OYA851679:OYB851682 PHW851679:PHX851682 PRS851679:PRT851682 QBO851679:QBP851682 QLK851679:QLL851682 QVG851679:QVH851682 RFC851679:RFD851682 ROY851679:ROZ851682 RYU851679:RYV851682 SIQ851679:SIR851682 SSM851679:SSN851682 TCI851679:TCJ851682 TME851679:TMF851682 TWA851679:TWB851682 UFW851679:UFX851682 UPS851679:UPT851682 UZO851679:UZP851682 VJK851679:VJL851682 VTG851679:VTH851682 WDC851679:WDD851682 WMY851679:WMZ851682 WWU851679:WWV851682 KI917215:KJ917218 UE917215:UF917218 AEA917215:AEB917218 ANW917215:ANX917218 AXS917215:AXT917218 BHO917215:BHP917218 BRK917215:BRL917218 CBG917215:CBH917218 CLC917215:CLD917218 CUY917215:CUZ917218 DEU917215:DEV917218 DOQ917215:DOR917218 DYM917215:DYN917218 EII917215:EIJ917218 ESE917215:ESF917218 FCA917215:FCB917218 FLW917215:FLX917218 FVS917215:FVT917218 GFO917215:GFP917218 GPK917215:GPL917218 GZG917215:GZH917218 HJC917215:HJD917218 HSY917215:HSZ917218 ICU917215:ICV917218 IMQ917215:IMR917218 IWM917215:IWN917218 JGI917215:JGJ917218 JQE917215:JQF917218 KAA917215:KAB917218 KJW917215:KJX917218 KTS917215:KTT917218 LDO917215:LDP917218 LNK917215:LNL917218 LXG917215:LXH917218 MHC917215:MHD917218 MQY917215:MQZ917218 NAU917215:NAV917218 NKQ917215:NKR917218 NUM917215:NUN917218 OEI917215:OEJ917218 OOE917215:OOF917218 OYA917215:OYB917218 PHW917215:PHX917218 PRS917215:PRT917218 QBO917215:QBP917218 QLK917215:QLL917218 QVG917215:QVH917218 RFC917215:RFD917218 ROY917215:ROZ917218 RYU917215:RYV917218 SIQ917215:SIR917218 SSM917215:SSN917218 TCI917215:TCJ917218 TME917215:TMF917218 TWA917215:TWB917218 UFW917215:UFX917218 UPS917215:UPT917218 UZO917215:UZP917218 VJK917215:VJL917218 VTG917215:VTH917218 WDC917215:WDD917218 WMY917215:WMZ917218 WWU917215:WWV917218 KI982751:KJ982754 UE982751:UF982754 AEA982751:AEB982754 ANW982751:ANX982754 AXS982751:AXT982754 BHO982751:BHP982754 BRK982751:BRL982754 CBG982751:CBH982754 CLC982751:CLD982754 CUY982751:CUZ982754 DEU982751:DEV982754 DOQ982751:DOR982754 DYM982751:DYN982754 EII982751:EIJ982754 ESE982751:ESF982754 FCA982751:FCB982754 FLW982751:FLX982754 FVS982751:FVT982754 GFO982751:GFP982754 GPK982751:GPL982754 GZG982751:GZH982754 HJC982751:HJD982754 HSY982751:HSZ982754 ICU982751:ICV982754 IMQ982751:IMR982754 IWM982751:IWN982754 JGI982751:JGJ982754 JQE982751:JQF982754 KAA982751:KAB982754 KJW982751:KJX982754 KTS982751:KTT982754 LDO982751:LDP982754 LNK982751:LNL982754 LXG982751:LXH982754 MHC982751:MHD982754 MQY982751:MQZ982754 NAU982751:NAV982754 NKQ982751:NKR982754 NUM982751:NUN982754 OEI982751:OEJ982754 OOE982751:OOF982754 OYA982751:OYB982754 PHW982751:PHX982754 PRS982751:PRT982754 QBO982751:QBP982754 QLK982751:QLL982754 QVG982751:QVH982754 RFC982751:RFD982754 ROY982751:ROZ982754 RYU982751:RYV982754 SIQ982751:SIR982754 SSM982751:SSN982754 TCI982751:TCJ982754 TME982751:TMF982754 TWA982751:TWB982754 UFW982751:UFX982754 UPS982751:UPT982754 UZO982751:UZP982754 VJK982751:VJL982754 VTG982751:VTH982754 WDC982751:WDD982754 WMY982751:WMZ982754 WWU982751:WWV982754 KI261784:KJ261788 UE261784:UF261788 AEA261784:AEB261788 ANW261784:ANX261788 AXS261784:AXT261788 BHO261784:BHP261788 BRK261784:BRL261788 CBG261784:CBH261788 CLC261784:CLD261788 CUY261784:CUZ261788 DEU261784:DEV261788 DOQ261784:DOR261788 DYM261784:DYN261788 EII261784:EIJ261788 ESE261784:ESF261788 FCA261784:FCB261788 FLW261784:FLX261788 FVS261784:FVT261788 GFO261784:GFP261788 GPK261784:GPL261788 GZG261784:GZH261788 HJC261784:HJD261788 HSY261784:HSZ261788 ICU261784:ICV261788 IMQ261784:IMR261788 IWM261784:IWN261788 JGI261784:JGJ261788 JQE261784:JQF261788 KAA261784:KAB261788 KJW261784:KJX261788 KTS261784:KTT261788 LDO261784:LDP261788 LNK261784:LNL261788 LXG261784:LXH261788 MHC261784:MHD261788 MQY261784:MQZ261788 NAU261784:NAV261788 NKQ261784:NKR261788 NUM261784:NUN261788 OEI261784:OEJ261788 OOE261784:OOF261788 OYA261784:OYB261788 PHW261784:PHX261788 PRS261784:PRT261788 QBO261784:QBP261788 QLK261784:QLL261788 QVG261784:QVH261788 RFC261784:RFD261788 ROY261784:ROZ261788 RYU261784:RYV261788 SIQ261784:SIR261788 SSM261784:SSN261788 TCI261784:TCJ261788 TME261784:TMF261788 TWA261784:TWB261788 UFW261784:UFX261788 UPS261784:UPT261788 UZO261784:UZP261788 VJK261784:VJL261788 VTG261784:VTH261788 WDC261784:WDD261788 WMY261784:WMZ261788 WWU261784:WWV261788 KI65243:KJ65245 UE65243:UF65245 AEA65243:AEB65245 ANW65243:ANX65245 AXS65243:AXT65245 BHO65243:BHP65245 BRK65243:BRL65245 CBG65243:CBH65245 CLC65243:CLD65245 CUY65243:CUZ65245 DEU65243:DEV65245 DOQ65243:DOR65245 DYM65243:DYN65245 EII65243:EIJ65245 ESE65243:ESF65245 FCA65243:FCB65245 FLW65243:FLX65245 FVS65243:FVT65245 GFO65243:GFP65245 GPK65243:GPL65245 GZG65243:GZH65245 HJC65243:HJD65245 HSY65243:HSZ65245 ICU65243:ICV65245 IMQ65243:IMR65245 IWM65243:IWN65245 JGI65243:JGJ65245 JQE65243:JQF65245 KAA65243:KAB65245 KJW65243:KJX65245 KTS65243:KTT65245 LDO65243:LDP65245 LNK65243:LNL65245 LXG65243:LXH65245 MHC65243:MHD65245 MQY65243:MQZ65245 NAU65243:NAV65245 NKQ65243:NKR65245 NUM65243:NUN65245 OEI65243:OEJ65245 OOE65243:OOF65245 OYA65243:OYB65245 PHW65243:PHX65245 PRS65243:PRT65245 QBO65243:QBP65245 QLK65243:QLL65245 QVG65243:QVH65245 RFC65243:RFD65245 ROY65243:ROZ65245 RYU65243:RYV65245 SIQ65243:SIR65245 SSM65243:SSN65245 TCI65243:TCJ65245 TME65243:TMF65245 TWA65243:TWB65245 UFW65243:UFX65245 UPS65243:UPT65245 UZO65243:UZP65245 VJK65243:VJL65245 VTG65243:VTH65245 WDC65243:WDD65245 WMY65243:WMZ65245 WWU65243:WWV65245 KI130779:KJ130781 UE130779:UF130781 AEA130779:AEB130781 ANW130779:ANX130781 AXS130779:AXT130781 BHO130779:BHP130781 BRK130779:BRL130781 CBG130779:CBH130781 CLC130779:CLD130781 CUY130779:CUZ130781 DEU130779:DEV130781 DOQ130779:DOR130781 DYM130779:DYN130781 EII130779:EIJ130781 ESE130779:ESF130781 FCA130779:FCB130781 FLW130779:FLX130781 FVS130779:FVT130781 GFO130779:GFP130781 GPK130779:GPL130781 GZG130779:GZH130781 HJC130779:HJD130781 HSY130779:HSZ130781 ICU130779:ICV130781 IMQ130779:IMR130781 IWM130779:IWN130781 JGI130779:JGJ130781 JQE130779:JQF130781 KAA130779:KAB130781 KJW130779:KJX130781 KTS130779:KTT130781 LDO130779:LDP130781 LNK130779:LNL130781 LXG130779:LXH130781 MHC130779:MHD130781 MQY130779:MQZ130781 NAU130779:NAV130781 NKQ130779:NKR130781 NUM130779:NUN130781 OEI130779:OEJ130781 OOE130779:OOF130781 OYA130779:OYB130781 PHW130779:PHX130781 PRS130779:PRT130781 QBO130779:QBP130781 QLK130779:QLL130781 QVG130779:QVH130781 RFC130779:RFD130781 ROY130779:ROZ130781 RYU130779:RYV130781 SIQ130779:SIR130781 SSM130779:SSN130781 TCI130779:TCJ130781 TME130779:TMF130781 TWA130779:TWB130781 UFW130779:UFX130781 UPS130779:UPT130781 UZO130779:UZP130781 VJK130779:VJL130781 VTG130779:VTH130781 WDC130779:WDD130781 WMY130779:WMZ130781 WWU130779:WWV130781 KI196315:KJ196317 UE196315:UF196317 AEA196315:AEB196317 ANW196315:ANX196317 AXS196315:AXT196317 BHO196315:BHP196317 BRK196315:BRL196317 CBG196315:CBH196317 CLC196315:CLD196317 CUY196315:CUZ196317 DEU196315:DEV196317 DOQ196315:DOR196317 DYM196315:DYN196317 EII196315:EIJ196317 ESE196315:ESF196317 FCA196315:FCB196317 FLW196315:FLX196317 FVS196315:FVT196317 GFO196315:GFP196317 GPK196315:GPL196317 GZG196315:GZH196317 HJC196315:HJD196317 HSY196315:HSZ196317 ICU196315:ICV196317 IMQ196315:IMR196317 IWM196315:IWN196317 JGI196315:JGJ196317 JQE196315:JQF196317 KAA196315:KAB196317 KJW196315:KJX196317 KTS196315:KTT196317 LDO196315:LDP196317 LNK196315:LNL196317 LXG196315:LXH196317 MHC196315:MHD196317 MQY196315:MQZ196317 NAU196315:NAV196317 NKQ196315:NKR196317 NUM196315:NUN196317 OEI196315:OEJ196317 OOE196315:OOF196317 OYA196315:OYB196317 PHW196315:PHX196317 PRS196315:PRT196317 QBO196315:QBP196317 QLK196315:QLL196317 QVG196315:QVH196317 RFC196315:RFD196317 ROY196315:ROZ196317 RYU196315:RYV196317 SIQ196315:SIR196317 SSM196315:SSN196317 TCI196315:TCJ196317 TME196315:TMF196317 TWA196315:TWB196317 UFW196315:UFX196317 UPS196315:UPT196317 UZO196315:UZP196317 VJK196315:VJL196317 VTG196315:VTH196317 WDC196315:WDD196317 WMY196315:WMZ196317 WWU196315:WWV196317 KI261851:KJ261853 UE261851:UF261853 AEA261851:AEB261853 ANW261851:ANX261853 AXS261851:AXT261853 BHO261851:BHP261853 BRK261851:BRL261853 CBG261851:CBH261853 CLC261851:CLD261853 CUY261851:CUZ261853 DEU261851:DEV261853 DOQ261851:DOR261853 DYM261851:DYN261853 EII261851:EIJ261853 ESE261851:ESF261853 FCA261851:FCB261853 FLW261851:FLX261853 FVS261851:FVT261853 GFO261851:GFP261853 GPK261851:GPL261853 GZG261851:GZH261853 HJC261851:HJD261853 HSY261851:HSZ261853 ICU261851:ICV261853 IMQ261851:IMR261853 IWM261851:IWN261853 JGI261851:JGJ261853 JQE261851:JQF261853 KAA261851:KAB261853 KJW261851:KJX261853 KTS261851:KTT261853 LDO261851:LDP261853 LNK261851:LNL261853 LXG261851:LXH261853 MHC261851:MHD261853 MQY261851:MQZ261853 NAU261851:NAV261853 NKQ261851:NKR261853 NUM261851:NUN261853 OEI261851:OEJ261853 OOE261851:OOF261853 OYA261851:OYB261853 PHW261851:PHX261853 PRS261851:PRT261853 QBO261851:QBP261853 QLK261851:QLL261853 QVG261851:QVH261853 RFC261851:RFD261853 ROY261851:ROZ261853 RYU261851:RYV261853 SIQ261851:SIR261853 SSM261851:SSN261853 TCI261851:TCJ261853 TME261851:TMF261853 TWA261851:TWB261853 UFW261851:UFX261853 UPS261851:UPT261853 UZO261851:UZP261853 VJK261851:VJL261853 VTG261851:VTH261853 WDC261851:WDD261853 WMY261851:WMZ261853 WWU261851:WWV261853 KI327387:KJ327389 UE327387:UF327389 AEA327387:AEB327389 ANW327387:ANX327389 AXS327387:AXT327389 BHO327387:BHP327389 BRK327387:BRL327389 CBG327387:CBH327389 CLC327387:CLD327389 CUY327387:CUZ327389 DEU327387:DEV327389 DOQ327387:DOR327389 DYM327387:DYN327389 EII327387:EIJ327389 ESE327387:ESF327389 FCA327387:FCB327389 FLW327387:FLX327389 FVS327387:FVT327389 GFO327387:GFP327389 GPK327387:GPL327389 GZG327387:GZH327389 HJC327387:HJD327389 HSY327387:HSZ327389 ICU327387:ICV327389 IMQ327387:IMR327389 IWM327387:IWN327389 JGI327387:JGJ327389 JQE327387:JQF327389 KAA327387:KAB327389 KJW327387:KJX327389 KTS327387:KTT327389 LDO327387:LDP327389 LNK327387:LNL327389 LXG327387:LXH327389 MHC327387:MHD327389 MQY327387:MQZ327389 NAU327387:NAV327389 NKQ327387:NKR327389 NUM327387:NUN327389 OEI327387:OEJ327389 OOE327387:OOF327389 OYA327387:OYB327389 PHW327387:PHX327389 PRS327387:PRT327389 QBO327387:QBP327389 QLK327387:QLL327389 QVG327387:QVH327389 RFC327387:RFD327389 ROY327387:ROZ327389 RYU327387:RYV327389 SIQ327387:SIR327389 SSM327387:SSN327389 TCI327387:TCJ327389 TME327387:TMF327389 TWA327387:TWB327389 UFW327387:UFX327389 UPS327387:UPT327389 UZO327387:UZP327389 VJK327387:VJL327389 VTG327387:VTH327389 WDC327387:WDD327389 WMY327387:WMZ327389 WWU327387:WWV327389 KI392923:KJ392925 UE392923:UF392925 AEA392923:AEB392925 ANW392923:ANX392925 AXS392923:AXT392925 BHO392923:BHP392925 BRK392923:BRL392925 CBG392923:CBH392925 CLC392923:CLD392925 CUY392923:CUZ392925 DEU392923:DEV392925 DOQ392923:DOR392925 DYM392923:DYN392925 EII392923:EIJ392925 ESE392923:ESF392925 FCA392923:FCB392925 FLW392923:FLX392925 FVS392923:FVT392925 GFO392923:GFP392925 GPK392923:GPL392925 GZG392923:GZH392925 HJC392923:HJD392925 HSY392923:HSZ392925 ICU392923:ICV392925 IMQ392923:IMR392925 IWM392923:IWN392925 JGI392923:JGJ392925 JQE392923:JQF392925 KAA392923:KAB392925 KJW392923:KJX392925 KTS392923:KTT392925 LDO392923:LDP392925 LNK392923:LNL392925 LXG392923:LXH392925 MHC392923:MHD392925 MQY392923:MQZ392925 NAU392923:NAV392925 NKQ392923:NKR392925 NUM392923:NUN392925 OEI392923:OEJ392925 OOE392923:OOF392925 OYA392923:OYB392925 PHW392923:PHX392925 PRS392923:PRT392925 QBO392923:QBP392925 QLK392923:QLL392925 QVG392923:QVH392925 RFC392923:RFD392925 ROY392923:ROZ392925 RYU392923:RYV392925 SIQ392923:SIR392925 SSM392923:SSN392925 TCI392923:TCJ392925 TME392923:TMF392925 TWA392923:TWB392925 UFW392923:UFX392925 UPS392923:UPT392925 UZO392923:UZP392925 VJK392923:VJL392925 VTG392923:VTH392925 WDC392923:WDD392925 WMY392923:WMZ392925 WWU392923:WWV392925 KI458459:KJ458461 UE458459:UF458461 AEA458459:AEB458461 ANW458459:ANX458461 AXS458459:AXT458461 BHO458459:BHP458461 BRK458459:BRL458461 CBG458459:CBH458461 CLC458459:CLD458461 CUY458459:CUZ458461 DEU458459:DEV458461 DOQ458459:DOR458461 DYM458459:DYN458461 EII458459:EIJ458461 ESE458459:ESF458461 FCA458459:FCB458461 FLW458459:FLX458461 FVS458459:FVT458461 GFO458459:GFP458461 GPK458459:GPL458461 GZG458459:GZH458461 HJC458459:HJD458461 HSY458459:HSZ458461 ICU458459:ICV458461 IMQ458459:IMR458461 IWM458459:IWN458461 JGI458459:JGJ458461 JQE458459:JQF458461 KAA458459:KAB458461 KJW458459:KJX458461 KTS458459:KTT458461 LDO458459:LDP458461 LNK458459:LNL458461 LXG458459:LXH458461 MHC458459:MHD458461 MQY458459:MQZ458461 NAU458459:NAV458461 NKQ458459:NKR458461 NUM458459:NUN458461 OEI458459:OEJ458461 OOE458459:OOF458461 OYA458459:OYB458461 PHW458459:PHX458461 PRS458459:PRT458461 QBO458459:QBP458461 QLK458459:QLL458461 QVG458459:QVH458461 RFC458459:RFD458461 ROY458459:ROZ458461 RYU458459:RYV458461 SIQ458459:SIR458461 SSM458459:SSN458461 TCI458459:TCJ458461 TME458459:TMF458461 TWA458459:TWB458461 UFW458459:UFX458461 UPS458459:UPT458461 UZO458459:UZP458461 VJK458459:VJL458461 VTG458459:VTH458461 WDC458459:WDD458461 WMY458459:WMZ458461 WWU458459:WWV458461 KI523995:KJ523997 UE523995:UF523997 AEA523995:AEB523997 ANW523995:ANX523997 AXS523995:AXT523997 BHO523995:BHP523997 BRK523995:BRL523997 CBG523995:CBH523997 CLC523995:CLD523997 CUY523995:CUZ523997 DEU523995:DEV523997 DOQ523995:DOR523997 DYM523995:DYN523997 EII523995:EIJ523997 ESE523995:ESF523997 FCA523995:FCB523997 FLW523995:FLX523997 FVS523995:FVT523997 GFO523995:GFP523997 GPK523995:GPL523997 GZG523995:GZH523997 HJC523995:HJD523997 HSY523995:HSZ523997 ICU523995:ICV523997 IMQ523995:IMR523997 IWM523995:IWN523997 JGI523995:JGJ523997 JQE523995:JQF523997 KAA523995:KAB523997 KJW523995:KJX523997 KTS523995:KTT523997 LDO523995:LDP523997 LNK523995:LNL523997 LXG523995:LXH523997 MHC523995:MHD523997 MQY523995:MQZ523997 NAU523995:NAV523997 NKQ523995:NKR523997 NUM523995:NUN523997 OEI523995:OEJ523997 OOE523995:OOF523997 OYA523995:OYB523997 PHW523995:PHX523997 PRS523995:PRT523997 QBO523995:QBP523997 QLK523995:QLL523997 QVG523995:QVH523997 RFC523995:RFD523997 ROY523995:ROZ523997 RYU523995:RYV523997 SIQ523995:SIR523997 SSM523995:SSN523997 TCI523995:TCJ523997 TME523995:TMF523997 TWA523995:TWB523997 UFW523995:UFX523997 UPS523995:UPT523997 UZO523995:UZP523997 VJK523995:VJL523997 VTG523995:VTH523997 WDC523995:WDD523997 WMY523995:WMZ523997 WWU523995:WWV523997 KI589531:KJ589533 UE589531:UF589533 AEA589531:AEB589533 ANW589531:ANX589533 AXS589531:AXT589533 BHO589531:BHP589533 BRK589531:BRL589533 CBG589531:CBH589533 CLC589531:CLD589533 CUY589531:CUZ589533 DEU589531:DEV589533 DOQ589531:DOR589533 DYM589531:DYN589533 EII589531:EIJ589533 ESE589531:ESF589533 FCA589531:FCB589533 FLW589531:FLX589533 FVS589531:FVT589533 GFO589531:GFP589533 GPK589531:GPL589533 GZG589531:GZH589533 HJC589531:HJD589533 HSY589531:HSZ589533 ICU589531:ICV589533 IMQ589531:IMR589533 IWM589531:IWN589533 JGI589531:JGJ589533 JQE589531:JQF589533 KAA589531:KAB589533 KJW589531:KJX589533 KTS589531:KTT589533 LDO589531:LDP589533 LNK589531:LNL589533 LXG589531:LXH589533 MHC589531:MHD589533 MQY589531:MQZ589533 NAU589531:NAV589533 NKQ589531:NKR589533 NUM589531:NUN589533 OEI589531:OEJ589533 OOE589531:OOF589533 OYA589531:OYB589533 PHW589531:PHX589533 PRS589531:PRT589533 QBO589531:QBP589533 QLK589531:QLL589533 QVG589531:QVH589533 RFC589531:RFD589533 ROY589531:ROZ589533 RYU589531:RYV589533 SIQ589531:SIR589533 SSM589531:SSN589533 TCI589531:TCJ589533 TME589531:TMF589533 TWA589531:TWB589533 UFW589531:UFX589533 UPS589531:UPT589533 UZO589531:UZP589533 VJK589531:VJL589533 VTG589531:VTH589533 WDC589531:WDD589533 WMY589531:WMZ589533 WWU589531:WWV589533 KI655067:KJ655069 UE655067:UF655069 AEA655067:AEB655069 ANW655067:ANX655069 AXS655067:AXT655069 BHO655067:BHP655069 BRK655067:BRL655069 CBG655067:CBH655069 CLC655067:CLD655069 CUY655067:CUZ655069 DEU655067:DEV655069 DOQ655067:DOR655069 DYM655067:DYN655069 EII655067:EIJ655069 ESE655067:ESF655069 FCA655067:FCB655069 FLW655067:FLX655069 FVS655067:FVT655069 GFO655067:GFP655069 GPK655067:GPL655069 GZG655067:GZH655069 HJC655067:HJD655069 HSY655067:HSZ655069 ICU655067:ICV655069 IMQ655067:IMR655069 IWM655067:IWN655069 JGI655067:JGJ655069 JQE655067:JQF655069 KAA655067:KAB655069 KJW655067:KJX655069 KTS655067:KTT655069 LDO655067:LDP655069 LNK655067:LNL655069 LXG655067:LXH655069 MHC655067:MHD655069 MQY655067:MQZ655069 NAU655067:NAV655069 NKQ655067:NKR655069 NUM655067:NUN655069 OEI655067:OEJ655069 OOE655067:OOF655069 OYA655067:OYB655069 PHW655067:PHX655069 PRS655067:PRT655069 QBO655067:QBP655069 QLK655067:QLL655069 QVG655067:QVH655069 RFC655067:RFD655069 ROY655067:ROZ655069 RYU655067:RYV655069 SIQ655067:SIR655069 SSM655067:SSN655069 TCI655067:TCJ655069 TME655067:TMF655069 TWA655067:TWB655069 UFW655067:UFX655069 UPS655067:UPT655069 UZO655067:UZP655069 VJK655067:VJL655069 VTG655067:VTH655069 WDC655067:WDD655069 WMY655067:WMZ655069 WWU655067:WWV655069 KI720603:KJ720605 UE720603:UF720605 AEA720603:AEB720605 ANW720603:ANX720605 AXS720603:AXT720605 BHO720603:BHP720605 BRK720603:BRL720605 CBG720603:CBH720605 CLC720603:CLD720605 CUY720603:CUZ720605 DEU720603:DEV720605 DOQ720603:DOR720605 DYM720603:DYN720605 EII720603:EIJ720605 ESE720603:ESF720605 FCA720603:FCB720605 FLW720603:FLX720605 FVS720603:FVT720605 GFO720603:GFP720605 GPK720603:GPL720605 GZG720603:GZH720605 HJC720603:HJD720605 HSY720603:HSZ720605 ICU720603:ICV720605 IMQ720603:IMR720605 IWM720603:IWN720605 JGI720603:JGJ720605 JQE720603:JQF720605 KAA720603:KAB720605 KJW720603:KJX720605 KTS720603:KTT720605 LDO720603:LDP720605 LNK720603:LNL720605 LXG720603:LXH720605 MHC720603:MHD720605 MQY720603:MQZ720605 NAU720603:NAV720605 NKQ720603:NKR720605 NUM720603:NUN720605 OEI720603:OEJ720605 OOE720603:OOF720605 OYA720603:OYB720605 PHW720603:PHX720605 PRS720603:PRT720605 QBO720603:QBP720605 QLK720603:QLL720605 QVG720603:QVH720605 RFC720603:RFD720605 ROY720603:ROZ720605 RYU720603:RYV720605 SIQ720603:SIR720605 SSM720603:SSN720605 TCI720603:TCJ720605 TME720603:TMF720605 TWA720603:TWB720605 UFW720603:UFX720605 UPS720603:UPT720605 UZO720603:UZP720605 VJK720603:VJL720605 VTG720603:VTH720605 WDC720603:WDD720605 WMY720603:WMZ720605 WWU720603:WWV720605 KI786139:KJ786141 UE786139:UF786141 AEA786139:AEB786141 ANW786139:ANX786141 AXS786139:AXT786141 BHO786139:BHP786141 BRK786139:BRL786141 CBG786139:CBH786141 CLC786139:CLD786141 CUY786139:CUZ786141 DEU786139:DEV786141 DOQ786139:DOR786141 DYM786139:DYN786141 EII786139:EIJ786141 ESE786139:ESF786141 FCA786139:FCB786141 FLW786139:FLX786141 FVS786139:FVT786141 GFO786139:GFP786141 GPK786139:GPL786141 GZG786139:GZH786141 HJC786139:HJD786141 HSY786139:HSZ786141 ICU786139:ICV786141 IMQ786139:IMR786141 IWM786139:IWN786141 JGI786139:JGJ786141 JQE786139:JQF786141 KAA786139:KAB786141 KJW786139:KJX786141 KTS786139:KTT786141 LDO786139:LDP786141 LNK786139:LNL786141 LXG786139:LXH786141 MHC786139:MHD786141 MQY786139:MQZ786141 NAU786139:NAV786141 NKQ786139:NKR786141 NUM786139:NUN786141 OEI786139:OEJ786141 OOE786139:OOF786141 OYA786139:OYB786141 PHW786139:PHX786141 PRS786139:PRT786141 QBO786139:QBP786141 QLK786139:QLL786141 QVG786139:QVH786141 RFC786139:RFD786141 ROY786139:ROZ786141 RYU786139:RYV786141 SIQ786139:SIR786141 SSM786139:SSN786141 TCI786139:TCJ786141 TME786139:TMF786141 TWA786139:TWB786141 UFW786139:UFX786141 UPS786139:UPT786141 UZO786139:UZP786141 VJK786139:VJL786141 VTG786139:VTH786141 WDC786139:WDD786141 WMY786139:WMZ786141 WWU786139:WWV786141 KI851675:KJ851677 UE851675:UF851677 AEA851675:AEB851677 ANW851675:ANX851677 AXS851675:AXT851677 BHO851675:BHP851677 BRK851675:BRL851677 CBG851675:CBH851677 CLC851675:CLD851677 CUY851675:CUZ851677 DEU851675:DEV851677 DOQ851675:DOR851677 DYM851675:DYN851677 EII851675:EIJ851677 ESE851675:ESF851677 FCA851675:FCB851677 FLW851675:FLX851677 FVS851675:FVT851677 GFO851675:GFP851677 GPK851675:GPL851677 GZG851675:GZH851677 HJC851675:HJD851677 HSY851675:HSZ851677 ICU851675:ICV851677 IMQ851675:IMR851677 IWM851675:IWN851677 JGI851675:JGJ851677 JQE851675:JQF851677 KAA851675:KAB851677 KJW851675:KJX851677 KTS851675:KTT851677 LDO851675:LDP851677 LNK851675:LNL851677 LXG851675:LXH851677 MHC851675:MHD851677 MQY851675:MQZ851677 NAU851675:NAV851677 NKQ851675:NKR851677 NUM851675:NUN851677 OEI851675:OEJ851677 OOE851675:OOF851677 OYA851675:OYB851677 PHW851675:PHX851677 PRS851675:PRT851677 QBO851675:QBP851677 QLK851675:QLL851677 QVG851675:QVH851677 RFC851675:RFD851677 ROY851675:ROZ851677 RYU851675:RYV851677 SIQ851675:SIR851677 SSM851675:SSN851677 TCI851675:TCJ851677 TME851675:TMF851677 TWA851675:TWB851677 UFW851675:UFX851677 UPS851675:UPT851677 UZO851675:UZP851677 VJK851675:VJL851677 VTG851675:VTH851677 WDC851675:WDD851677 WMY851675:WMZ851677 WWU851675:WWV851677 KI917211:KJ917213 UE917211:UF917213 AEA917211:AEB917213 ANW917211:ANX917213 AXS917211:AXT917213 BHO917211:BHP917213 BRK917211:BRL917213 CBG917211:CBH917213 CLC917211:CLD917213 CUY917211:CUZ917213 DEU917211:DEV917213 DOQ917211:DOR917213 DYM917211:DYN917213 EII917211:EIJ917213 ESE917211:ESF917213 FCA917211:FCB917213 FLW917211:FLX917213 FVS917211:FVT917213 GFO917211:GFP917213 GPK917211:GPL917213 GZG917211:GZH917213 HJC917211:HJD917213 HSY917211:HSZ917213 ICU917211:ICV917213 IMQ917211:IMR917213 IWM917211:IWN917213 JGI917211:JGJ917213 JQE917211:JQF917213 KAA917211:KAB917213 KJW917211:KJX917213 KTS917211:KTT917213 LDO917211:LDP917213 LNK917211:LNL917213 LXG917211:LXH917213 MHC917211:MHD917213 MQY917211:MQZ917213 NAU917211:NAV917213 NKQ917211:NKR917213 NUM917211:NUN917213 OEI917211:OEJ917213 OOE917211:OOF917213 OYA917211:OYB917213 PHW917211:PHX917213 PRS917211:PRT917213 QBO917211:QBP917213 QLK917211:QLL917213 QVG917211:QVH917213 RFC917211:RFD917213 ROY917211:ROZ917213 RYU917211:RYV917213 SIQ917211:SIR917213 SSM917211:SSN917213 TCI917211:TCJ917213 TME917211:TMF917213 TWA917211:TWB917213 UFW917211:UFX917213 UPS917211:UPT917213 UZO917211:UZP917213 VJK917211:VJL917213 VTG917211:VTH917213 WDC917211:WDD917213 WMY917211:WMZ917213 WWU917211:WWV917213 KI982747:KJ982749 UE982747:UF982749 AEA982747:AEB982749 ANW982747:ANX982749 AXS982747:AXT982749 BHO982747:BHP982749 BRK982747:BRL982749 CBG982747:CBH982749 CLC982747:CLD982749 CUY982747:CUZ982749 DEU982747:DEV982749 DOQ982747:DOR982749 DYM982747:DYN982749 EII982747:EIJ982749 ESE982747:ESF982749 FCA982747:FCB982749 FLW982747:FLX982749 FVS982747:FVT982749 GFO982747:GFP982749 GPK982747:GPL982749 GZG982747:GZH982749 HJC982747:HJD982749 HSY982747:HSZ982749 ICU982747:ICV982749 IMQ982747:IMR982749 IWM982747:IWN982749 JGI982747:JGJ982749 JQE982747:JQF982749 KAA982747:KAB982749 KJW982747:KJX982749 KTS982747:KTT982749 LDO982747:LDP982749 LNK982747:LNL982749 LXG982747:LXH982749 MHC982747:MHD982749 MQY982747:MQZ982749 NAU982747:NAV982749 NKQ982747:NKR982749 NUM982747:NUN982749 OEI982747:OEJ982749 OOE982747:OOF982749 OYA982747:OYB982749 PHW982747:PHX982749 PRS982747:PRT982749 QBO982747:QBP982749 QLK982747:QLL982749 QVG982747:QVH982749 RFC982747:RFD982749 ROY982747:ROZ982749 RYU982747:RYV982749 SIQ982747:SIR982749 SSM982747:SSN982749 TCI982747:TCJ982749 TME982747:TMF982749 TWA982747:TWB982749 UFW982747:UFX982749 UPS982747:UPT982749 UZO982747:UZP982749 VJK982747:VJL982749 VTG982747:VTH982749 WDC982747:WDD982749 WMY982747:WMZ982749 WWU982747:WWV982749 KI327320:KJ327324 UE327320:UF327324 AEA327320:AEB327324 ANW327320:ANX327324 AXS327320:AXT327324 BHO327320:BHP327324 BRK327320:BRL327324 CBG327320:CBH327324 CLC327320:CLD327324 CUY327320:CUZ327324 DEU327320:DEV327324 DOQ327320:DOR327324 DYM327320:DYN327324 EII327320:EIJ327324 ESE327320:ESF327324 FCA327320:FCB327324 FLW327320:FLX327324 FVS327320:FVT327324 GFO327320:GFP327324 GPK327320:GPL327324 GZG327320:GZH327324 HJC327320:HJD327324 HSY327320:HSZ327324 ICU327320:ICV327324 IMQ327320:IMR327324 IWM327320:IWN327324 JGI327320:JGJ327324 JQE327320:JQF327324 KAA327320:KAB327324 KJW327320:KJX327324 KTS327320:KTT327324 LDO327320:LDP327324 LNK327320:LNL327324 LXG327320:LXH327324 MHC327320:MHD327324 MQY327320:MQZ327324 NAU327320:NAV327324 NKQ327320:NKR327324 NUM327320:NUN327324 OEI327320:OEJ327324 OOE327320:OOF327324 OYA327320:OYB327324 PHW327320:PHX327324 PRS327320:PRT327324 QBO327320:QBP327324 QLK327320:QLL327324 QVG327320:QVH327324 RFC327320:RFD327324 ROY327320:ROZ327324 RYU327320:RYV327324 SIQ327320:SIR327324 SSM327320:SSN327324 TCI327320:TCJ327324 TME327320:TMF327324 TWA327320:TWB327324 UFW327320:UFX327324 UPS327320:UPT327324 UZO327320:UZP327324 VJK327320:VJL327324 VTG327320:VTH327324 WDC327320:WDD327324 WMY327320:WMZ327324 WWU327320:WWV327324 KI65239:KJ65241 UE65239:UF65241 AEA65239:AEB65241 ANW65239:ANX65241 AXS65239:AXT65241 BHO65239:BHP65241 BRK65239:BRL65241 CBG65239:CBH65241 CLC65239:CLD65241 CUY65239:CUZ65241 DEU65239:DEV65241 DOQ65239:DOR65241 DYM65239:DYN65241 EII65239:EIJ65241 ESE65239:ESF65241 FCA65239:FCB65241 FLW65239:FLX65241 FVS65239:FVT65241 GFO65239:GFP65241 GPK65239:GPL65241 GZG65239:GZH65241 HJC65239:HJD65241 HSY65239:HSZ65241 ICU65239:ICV65241 IMQ65239:IMR65241 IWM65239:IWN65241 JGI65239:JGJ65241 JQE65239:JQF65241 KAA65239:KAB65241 KJW65239:KJX65241 KTS65239:KTT65241 LDO65239:LDP65241 LNK65239:LNL65241 LXG65239:LXH65241 MHC65239:MHD65241 MQY65239:MQZ65241 NAU65239:NAV65241 NKQ65239:NKR65241 NUM65239:NUN65241 OEI65239:OEJ65241 OOE65239:OOF65241 OYA65239:OYB65241 PHW65239:PHX65241 PRS65239:PRT65241 QBO65239:QBP65241 QLK65239:QLL65241 QVG65239:QVH65241 RFC65239:RFD65241 ROY65239:ROZ65241 RYU65239:RYV65241 SIQ65239:SIR65241 SSM65239:SSN65241 TCI65239:TCJ65241 TME65239:TMF65241 TWA65239:TWB65241 UFW65239:UFX65241 UPS65239:UPT65241 UZO65239:UZP65241 VJK65239:VJL65241 VTG65239:VTH65241 WDC65239:WDD65241 WMY65239:WMZ65241 WWU65239:WWV65241 KI130775:KJ130777 UE130775:UF130777 AEA130775:AEB130777 ANW130775:ANX130777 AXS130775:AXT130777 BHO130775:BHP130777 BRK130775:BRL130777 CBG130775:CBH130777 CLC130775:CLD130777 CUY130775:CUZ130777 DEU130775:DEV130777 DOQ130775:DOR130777 DYM130775:DYN130777 EII130775:EIJ130777 ESE130775:ESF130777 FCA130775:FCB130777 FLW130775:FLX130777 FVS130775:FVT130777 GFO130775:GFP130777 GPK130775:GPL130777 GZG130775:GZH130777 HJC130775:HJD130777 HSY130775:HSZ130777 ICU130775:ICV130777 IMQ130775:IMR130777 IWM130775:IWN130777 JGI130775:JGJ130777 JQE130775:JQF130777 KAA130775:KAB130777 KJW130775:KJX130777 KTS130775:KTT130777 LDO130775:LDP130777 LNK130775:LNL130777 LXG130775:LXH130777 MHC130775:MHD130777 MQY130775:MQZ130777 NAU130775:NAV130777 NKQ130775:NKR130777 NUM130775:NUN130777 OEI130775:OEJ130777 OOE130775:OOF130777 OYA130775:OYB130777 PHW130775:PHX130777 PRS130775:PRT130777 QBO130775:QBP130777 QLK130775:QLL130777 QVG130775:QVH130777 RFC130775:RFD130777 ROY130775:ROZ130777 RYU130775:RYV130777 SIQ130775:SIR130777 SSM130775:SSN130777 TCI130775:TCJ130777 TME130775:TMF130777 TWA130775:TWB130777 UFW130775:UFX130777 UPS130775:UPT130777 UZO130775:UZP130777 VJK130775:VJL130777 VTG130775:VTH130777 WDC130775:WDD130777 WMY130775:WMZ130777 WWU130775:WWV130777 KI196311:KJ196313 UE196311:UF196313 AEA196311:AEB196313 ANW196311:ANX196313 AXS196311:AXT196313 BHO196311:BHP196313 BRK196311:BRL196313 CBG196311:CBH196313 CLC196311:CLD196313 CUY196311:CUZ196313 DEU196311:DEV196313 DOQ196311:DOR196313 DYM196311:DYN196313 EII196311:EIJ196313 ESE196311:ESF196313 FCA196311:FCB196313 FLW196311:FLX196313 FVS196311:FVT196313 GFO196311:GFP196313 GPK196311:GPL196313 GZG196311:GZH196313 HJC196311:HJD196313 HSY196311:HSZ196313 ICU196311:ICV196313 IMQ196311:IMR196313 IWM196311:IWN196313 JGI196311:JGJ196313 JQE196311:JQF196313 KAA196311:KAB196313 KJW196311:KJX196313 KTS196311:KTT196313 LDO196311:LDP196313 LNK196311:LNL196313 LXG196311:LXH196313 MHC196311:MHD196313 MQY196311:MQZ196313 NAU196311:NAV196313 NKQ196311:NKR196313 NUM196311:NUN196313 OEI196311:OEJ196313 OOE196311:OOF196313 OYA196311:OYB196313 PHW196311:PHX196313 PRS196311:PRT196313 QBO196311:QBP196313 QLK196311:QLL196313 QVG196311:QVH196313 RFC196311:RFD196313 ROY196311:ROZ196313 RYU196311:RYV196313 SIQ196311:SIR196313 SSM196311:SSN196313 TCI196311:TCJ196313 TME196311:TMF196313 TWA196311:TWB196313 UFW196311:UFX196313 UPS196311:UPT196313 UZO196311:UZP196313 VJK196311:VJL196313 VTG196311:VTH196313 WDC196311:WDD196313 WMY196311:WMZ196313 WWU196311:WWV196313 KI261847:KJ261849 UE261847:UF261849 AEA261847:AEB261849 ANW261847:ANX261849 AXS261847:AXT261849 BHO261847:BHP261849 BRK261847:BRL261849 CBG261847:CBH261849 CLC261847:CLD261849 CUY261847:CUZ261849 DEU261847:DEV261849 DOQ261847:DOR261849 DYM261847:DYN261849 EII261847:EIJ261849 ESE261847:ESF261849 FCA261847:FCB261849 FLW261847:FLX261849 FVS261847:FVT261849 GFO261847:GFP261849 GPK261847:GPL261849 GZG261847:GZH261849 HJC261847:HJD261849 HSY261847:HSZ261849 ICU261847:ICV261849 IMQ261847:IMR261849 IWM261847:IWN261849 JGI261847:JGJ261849 JQE261847:JQF261849 KAA261847:KAB261849 KJW261847:KJX261849 KTS261847:KTT261849 LDO261847:LDP261849 LNK261847:LNL261849 LXG261847:LXH261849 MHC261847:MHD261849 MQY261847:MQZ261849 NAU261847:NAV261849 NKQ261847:NKR261849 NUM261847:NUN261849 OEI261847:OEJ261849 OOE261847:OOF261849 OYA261847:OYB261849 PHW261847:PHX261849 PRS261847:PRT261849 QBO261847:QBP261849 QLK261847:QLL261849 QVG261847:QVH261849 RFC261847:RFD261849 ROY261847:ROZ261849 RYU261847:RYV261849 SIQ261847:SIR261849 SSM261847:SSN261849 TCI261847:TCJ261849 TME261847:TMF261849 TWA261847:TWB261849 UFW261847:UFX261849 UPS261847:UPT261849 UZO261847:UZP261849 VJK261847:VJL261849 VTG261847:VTH261849 WDC261847:WDD261849 WMY261847:WMZ261849 WWU261847:WWV261849 KI327383:KJ327385 UE327383:UF327385 AEA327383:AEB327385 ANW327383:ANX327385 AXS327383:AXT327385 BHO327383:BHP327385 BRK327383:BRL327385 CBG327383:CBH327385 CLC327383:CLD327385 CUY327383:CUZ327385 DEU327383:DEV327385 DOQ327383:DOR327385 DYM327383:DYN327385 EII327383:EIJ327385 ESE327383:ESF327385 FCA327383:FCB327385 FLW327383:FLX327385 FVS327383:FVT327385 GFO327383:GFP327385 GPK327383:GPL327385 GZG327383:GZH327385 HJC327383:HJD327385 HSY327383:HSZ327385 ICU327383:ICV327385 IMQ327383:IMR327385 IWM327383:IWN327385 JGI327383:JGJ327385 JQE327383:JQF327385 KAA327383:KAB327385 KJW327383:KJX327385 KTS327383:KTT327385 LDO327383:LDP327385 LNK327383:LNL327385 LXG327383:LXH327385 MHC327383:MHD327385 MQY327383:MQZ327385 NAU327383:NAV327385 NKQ327383:NKR327385 NUM327383:NUN327385 OEI327383:OEJ327385 OOE327383:OOF327385 OYA327383:OYB327385 PHW327383:PHX327385 PRS327383:PRT327385 QBO327383:QBP327385 QLK327383:QLL327385 QVG327383:QVH327385 RFC327383:RFD327385 ROY327383:ROZ327385 RYU327383:RYV327385 SIQ327383:SIR327385 SSM327383:SSN327385 TCI327383:TCJ327385 TME327383:TMF327385 TWA327383:TWB327385 UFW327383:UFX327385 UPS327383:UPT327385 UZO327383:UZP327385 VJK327383:VJL327385 VTG327383:VTH327385 WDC327383:WDD327385 WMY327383:WMZ327385 WWU327383:WWV327385 KI392919:KJ392921 UE392919:UF392921 AEA392919:AEB392921 ANW392919:ANX392921 AXS392919:AXT392921 BHO392919:BHP392921 BRK392919:BRL392921 CBG392919:CBH392921 CLC392919:CLD392921 CUY392919:CUZ392921 DEU392919:DEV392921 DOQ392919:DOR392921 DYM392919:DYN392921 EII392919:EIJ392921 ESE392919:ESF392921 FCA392919:FCB392921 FLW392919:FLX392921 FVS392919:FVT392921 GFO392919:GFP392921 GPK392919:GPL392921 GZG392919:GZH392921 HJC392919:HJD392921 HSY392919:HSZ392921 ICU392919:ICV392921 IMQ392919:IMR392921 IWM392919:IWN392921 JGI392919:JGJ392921 JQE392919:JQF392921 KAA392919:KAB392921 KJW392919:KJX392921 KTS392919:KTT392921 LDO392919:LDP392921 LNK392919:LNL392921 LXG392919:LXH392921 MHC392919:MHD392921 MQY392919:MQZ392921 NAU392919:NAV392921 NKQ392919:NKR392921 NUM392919:NUN392921 OEI392919:OEJ392921 OOE392919:OOF392921 OYA392919:OYB392921 PHW392919:PHX392921 PRS392919:PRT392921 QBO392919:QBP392921 QLK392919:QLL392921 QVG392919:QVH392921 RFC392919:RFD392921 ROY392919:ROZ392921 RYU392919:RYV392921 SIQ392919:SIR392921 SSM392919:SSN392921 TCI392919:TCJ392921 TME392919:TMF392921 TWA392919:TWB392921 UFW392919:UFX392921 UPS392919:UPT392921 UZO392919:UZP392921 VJK392919:VJL392921 VTG392919:VTH392921 WDC392919:WDD392921 WMY392919:WMZ392921 WWU392919:WWV392921 KI458455:KJ458457 UE458455:UF458457 AEA458455:AEB458457 ANW458455:ANX458457 AXS458455:AXT458457 BHO458455:BHP458457 BRK458455:BRL458457 CBG458455:CBH458457 CLC458455:CLD458457 CUY458455:CUZ458457 DEU458455:DEV458457 DOQ458455:DOR458457 DYM458455:DYN458457 EII458455:EIJ458457 ESE458455:ESF458457 FCA458455:FCB458457 FLW458455:FLX458457 FVS458455:FVT458457 GFO458455:GFP458457 GPK458455:GPL458457 GZG458455:GZH458457 HJC458455:HJD458457 HSY458455:HSZ458457 ICU458455:ICV458457 IMQ458455:IMR458457 IWM458455:IWN458457 JGI458455:JGJ458457 JQE458455:JQF458457 KAA458455:KAB458457 KJW458455:KJX458457 KTS458455:KTT458457 LDO458455:LDP458457 LNK458455:LNL458457 LXG458455:LXH458457 MHC458455:MHD458457 MQY458455:MQZ458457 NAU458455:NAV458457 NKQ458455:NKR458457 NUM458455:NUN458457 OEI458455:OEJ458457 OOE458455:OOF458457 OYA458455:OYB458457 PHW458455:PHX458457 PRS458455:PRT458457 QBO458455:QBP458457 QLK458455:QLL458457 QVG458455:QVH458457 RFC458455:RFD458457 ROY458455:ROZ458457 RYU458455:RYV458457 SIQ458455:SIR458457 SSM458455:SSN458457 TCI458455:TCJ458457 TME458455:TMF458457 TWA458455:TWB458457 UFW458455:UFX458457 UPS458455:UPT458457 UZO458455:UZP458457 VJK458455:VJL458457 VTG458455:VTH458457 WDC458455:WDD458457 WMY458455:WMZ458457 WWU458455:WWV458457 KI523991:KJ523993 UE523991:UF523993 AEA523991:AEB523993 ANW523991:ANX523993 AXS523991:AXT523993 BHO523991:BHP523993 BRK523991:BRL523993 CBG523991:CBH523993 CLC523991:CLD523993 CUY523991:CUZ523993 DEU523991:DEV523993 DOQ523991:DOR523993 DYM523991:DYN523993 EII523991:EIJ523993 ESE523991:ESF523993 FCA523991:FCB523993 FLW523991:FLX523993 FVS523991:FVT523993 GFO523991:GFP523993 GPK523991:GPL523993 GZG523991:GZH523993 HJC523991:HJD523993 HSY523991:HSZ523993 ICU523991:ICV523993 IMQ523991:IMR523993 IWM523991:IWN523993 JGI523991:JGJ523993 JQE523991:JQF523993 KAA523991:KAB523993 KJW523991:KJX523993 KTS523991:KTT523993 LDO523991:LDP523993 LNK523991:LNL523993 LXG523991:LXH523993 MHC523991:MHD523993 MQY523991:MQZ523993 NAU523991:NAV523993 NKQ523991:NKR523993 NUM523991:NUN523993 OEI523991:OEJ523993 OOE523991:OOF523993 OYA523991:OYB523993 PHW523991:PHX523993 PRS523991:PRT523993 QBO523991:QBP523993 QLK523991:QLL523993 QVG523991:QVH523993 RFC523991:RFD523993 ROY523991:ROZ523993 RYU523991:RYV523993 SIQ523991:SIR523993 SSM523991:SSN523993 TCI523991:TCJ523993 TME523991:TMF523993 TWA523991:TWB523993 UFW523991:UFX523993 UPS523991:UPT523993 UZO523991:UZP523993 VJK523991:VJL523993 VTG523991:VTH523993 WDC523991:WDD523993 WMY523991:WMZ523993 WWU523991:WWV523993 KI589527:KJ589529 UE589527:UF589529 AEA589527:AEB589529 ANW589527:ANX589529 AXS589527:AXT589529 BHO589527:BHP589529 BRK589527:BRL589529 CBG589527:CBH589529 CLC589527:CLD589529 CUY589527:CUZ589529 DEU589527:DEV589529 DOQ589527:DOR589529 DYM589527:DYN589529 EII589527:EIJ589529 ESE589527:ESF589529 FCA589527:FCB589529 FLW589527:FLX589529 FVS589527:FVT589529 GFO589527:GFP589529 GPK589527:GPL589529 GZG589527:GZH589529 HJC589527:HJD589529 HSY589527:HSZ589529 ICU589527:ICV589529 IMQ589527:IMR589529 IWM589527:IWN589529 JGI589527:JGJ589529 JQE589527:JQF589529 KAA589527:KAB589529 KJW589527:KJX589529 KTS589527:KTT589529 LDO589527:LDP589529 LNK589527:LNL589529 LXG589527:LXH589529 MHC589527:MHD589529 MQY589527:MQZ589529 NAU589527:NAV589529 NKQ589527:NKR589529 NUM589527:NUN589529 OEI589527:OEJ589529 OOE589527:OOF589529 OYA589527:OYB589529 PHW589527:PHX589529 PRS589527:PRT589529 QBO589527:QBP589529 QLK589527:QLL589529 QVG589527:QVH589529 RFC589527:RFD589529 ROY589527:ROZ589529 RYU589527:RYV589529 SIQ589527:SIR589529 SSM589527:SSN589529 TCI589527:TCJ589529 TME589527:TMF589529 TWA589527:TWB589529 UFW589527:UFX589529 UPS589527:UPT589529 UZO589527:UZP589529 VJK589527:VJL589529 VTG589527:VTH589529 WDC589527:WDD589529 WMY589527:WMZ589529 WWU589527:WWV589529 KI655063:KJ655065 UE655063:UF655065 AEA655063:AEB655065 ANW655063:ANX655065 AXS655063:AXT655065 BHO655063:BHP655065 BRK655063:BRL655065 CBG655063:CBH655065 CLC655063:CLD655065 CUY655063:CUZ655065 DEU655063:DEV655065 DOQ655063:DOR655065 DYM655063:DYN655065 EII655063:EIJ655065 ESE655063:ESF655065 FCA655063:FCB655065 FLW655063:FLX655065 FVS655063:FVT655065 GFO655063:GFP655065 GPK655063:GPL655065 GZG655063:GZH655065 HJC655063:HJD655065 HSY655063:HSZ655065 ICU655063:ICV655065 IMQ655063:IMR655065 IWM655063:IWN655065 JGI655063:JGJ655065 JQE655063:JQF655065 KAA655063:KAB655065 KJW655063:KJX655065 KTS655063:KTT655065 LDO655063:LDP655065 LNK655063:LNL655065 LXG655063:LXH655065 MHC655063:MHD655065 MQY655063:MQZ655065 NAU655063:NAV655065 NKQ655063:NKR655065 NUM655063:NUN655065 OEI655063:OEJ655065 OOE655063:OOF655065 OYA655063:OYB655065 PHW655063:PHX655065 PRS655063:PRT655065 QBO655063:QBP655065 QLK655063:QLL655065 QVG655063:QVH655065 RFC655063:RFD655065 ROY655063:ROZ655065 RYU655063:RYV655065 SIQ655063:SIR655065 SSM655063:SSN655065 TCI655063:TCJ655065 TME655063:TMF655065 TWA655063:TWB655065 UFW655063:UFX655065 UPS655063:UPT655065 UZO655063:UZP655065 VJK655063:VJL655065 VTG655063:VTH655065 WDC655063:WDD655065 WMY655063:WMZ655065 WWU655063:WWV655065 KI720599:KJ720601 UE720599:UF720601 AEA720599:AEB720601 ANW720599:ANX720601 AXS720599:AXT720601 BHO720599:BHP720601 BRK720599:BRL720601 CBG720599:CBH720601 CLC720599:CLD720601 CUY720599:CUZ720601 DEU720599:DEV720601 DOQ720599:DOR720601 DYM720599:DYN720601 EII720599:EIJ720601 ESE720599:ESF720601 FCA720599:FCB720601 FLW720599:FLX720601 FVS720599:FVT720601 GFO720599:GFP720601 GPK720599:GPL720601 GZG720599:GZH720601 HJC720599:HJD720601 HSY720599:HSZ720601 ICU720599:ICV720601 IMQ720599:IMR720601 IWM720599:IWN720601 JGI720599:JGJ720601 JQE720599:JQF720601 KAA720599:KAB720601 KJW720599:KJX720601 KTS720599:KTT720601 LDO720599:LDP720601 LNK720599:LNL720601 LXG720599:LXH720601 MHC720599:MHD720601 MQY720599:MQZ720601 NAU720599:NAV720601 NKQ720599:NKR720601 NUM720599:NUN720601 OEI720599:OEJ720601 OOE720599:OOF720601 OYA720599:OYB720601 PHW720599:PHX720601 PRS720599:PRT720601 QBO720599:QBP720601 QLK720599:QLL720601 QVG720599:QVH720601 RFC720599:RFD720601 ROY720599:ROZ720601 RYU720599:RYV720601 SIQ720599:SIR720601 SSM720599:SSN720601 TCI720599:TCJ720601 TME720599:TMF720601 TWA720599:TWB720601 UFW720599:UFX720601 UPS720599:UPT720601 UZO720599:UZP720601 VJK720599:VJL720601 VTG720599:VTH720601 WDC720599:WDD720601 WMY720599:WMZ720601 WWU720599:WWV720601 KI786135:KJ786137 UE786135:UF786137 AEA786135:AEB786137 ANW786135:ANX786137 AXS786135:AXT786137 BHO786135:BHP786137 BRK786135:BRL786137 CBG786135:CBH786137 CLC786135:CLD786137 CUY786135:CUZ786137 DEU786135:DEV786137 DOQ786135:DOR786137 DYM786135:DYN786137 EII786135:EIJ786137 ESE786135:ESF786137 FCA786135:FCB786137 FLW786135:FLX786137 FVS786135:FVT786137 GFO786135:GFP786137 GPK786135:GPL786137 GZG786135:GZH786137 HJC786135:HJD786137 HSY786135:HSZ786137 ICU786135:ICV786137 IMQ786135:IMR786137 IWM786135:IWN786137 JGI786135:JGJ786137 JQE786135:JQF786137 KAA786135:KAB786137 KJW786135:KJX786137 KTS786135:KTT786137 LDO786135:LDP786137 LNK786135:LNL786137 LXG786135:LXH786137 MHC786135:MHD786137 MQY786135:MQZ786137 NAU786135:NAV786137 NKQ786135:NKR786137 NUM786135:NUN786137 OEI786135:OEJ786137 OOE786135:OOF786137 OYA786135:OYB786137 PHW786135:PHX786137 PRS786135:PRT786137 QBO786135:QBP786137 QLK786135:QLL786137 QVG786135:QVH786137 RFC786135:RFD786137 ROY786135:ROZ786137 RYU786135:RYV786137 SIQ786135:SIR786137 SSM786135:SSN786137 TCI786135:TCJ786137 TME786135:TMF786137 TWA786135:TWB786137 UFW786135:UFX786137 UPS786135:UPT786137 UZO786135:UZP786137 VJK786135:VJL786137 VTG786135:VTH786137 WDC786135:WDD786137 WMY786135:WMZ786137 WWU786135:WWV786137 KI851671:KJ851673 UE851671:UF851673 AEA851671:AEB851673 ANW851671:ANX851673 AXS851671:AXT851673 BHO851671:BHP851673 BRK851671:BRL851673 CBG851671:CBH851673 CLC851671:CLD851673 CUY851671:CUZ851673 DEU851671:DEV851673 DOQ851671:DOR851673 DYM851671:DYN851673 EII851671:EIJ851673 ESE851671:ESF851673 FCA851671:FCB851673 FLW851671:FLX851673 FVS851671:FVT851673 GFO851671:GFP851673 GPK851671:GPL851673 GZG851671:GZH851673 HJC851671:HJD851673 HSY851671:HSZ851673 ICU851671:ICV851673 IMQ851671:IMR851673 IWM851671:IWN851673 JGI851671:JGJ851673 JQE851671:JQF851673 KAA851671:KAB851673 KJW851671:KJX851673 KTS851671:KTT851673 LDO851671:LDP851673 LNK851671:LNL851673 LXG851671:LXH851673 MHC851671:MHD851673 MQY851671:MQZ851673 NAU851671:NAV851673 NKQ851671:NKR851673 NUM851671:NUN851673 OEI851671:OEJ851673 OOE851671:OOF851673 OYA851671:OYB851673 PHW851671:PHX851673 PRS851671:PRT851673 QBO851671:QBP851673 QLK851671:QLL851673 QVG851671:QVH851673 RFC851671:RFD851673 ROY851671:ROZ851673 RYU851671:RYV851673 SIQ851671:SIR851673 SSM851671:SSN851673 TCI851671:TCJ851673 TME851671:TMF851673 TWA851671:TWB851673 UFW851671:UFX851673 UPS851671:UPT851673 UZO851671:UZP851673 VJK851671:VJL851673 VTG851671:VTH851673 WDC851671:WDD851673 WMY851671:WMZ851673 WWU851671:WWV851673 KI917207:KJ917209 UE917207:UF917209 AEA917207:AEB917209 ANW917207:ANX917209 AXS917207:AXT917209 BHO917207:BHP917209 BRK917207:BRL917209 CBG917207:CBH917209 CLC917207:CLD917209 CUY917207:CUZ917209 DEU917207:DEV917209 DOQ917207:DOR917209 DYM917207:DYN917209 EII917207:EIJ917209 ESE917207:ESF917209 FCA917207:FCB917209 FLW917207:FLX917209 FVS917207:FVT917209 GFO917207:GFP917209 GPK917207:GPL917209 GZG917207:GZH917209 HJC917207:HJD917209 HSY917207:HSZ917209 ICU917207:ICV917209 IMQ917207:IMR917209 IWM917207:IWN917209 JGI917207:JGJ917209 JQE917207:JQF917209 KAA917207:KAB917209 KJW917207:KJX917209 KTS917207:KTT917209 LDO917207:LDP917209 LNK917207:LNL917209 LXG917207:LXH917209 MHC917207:MHD917209 MQY917207:MQZ917209 NAU917207:NAV917209 NKQ917207:NKR917209 NUM917207:NUN917209 OEI917207:OEJ917209 OOE917207:OOF917209 OYA917207:OYB917209 PHW917207:PHX917209 PRS917207:PRT917209 QBO917207:QBP917209 QLK917207:QLL917209 QVG917207:QVH917209 RFC917207:RFD917209 ROY917207:ROZ917209 RYU917207:RYV917209 SIQ917207:SIR917209 SSM917207:SSN917209 TCI917207:TCJ917209 TME917207:TMF917209 TWA917207:TWB917209 UFW917207:UFX917209 UPS917207:UPT917209 UZO917207:UZP917209 VJK917207:VJL917209 VTG917207:VTH917209 WDC917207:WDD917209 WMY917207:WMZ917209 WWU917207:WWV917209 KI982743:KJ982745 UE982743:UF982745 AEA982743:AEB982745 ANW982743:ANX982745 AXS982743:AXT982745 BHO982743:BHP982745 BRK982743:BRL982745 CBG982743:CBH982745 CLC982743:CLD982745 CUY982743:CUZ982745 DEU982743:DEV982745 DOQ982743:DOR982745 DYM982743:DYN982745 EII982743:EIJ982745 ESE982743:ESF982745 FCA982743:FCB982745 FLW982743:FLX982745 FVS982743:FVT982745 GFO982743:GFP982745 GPK982743:GPL982745 GZG982743:GZH982745 HJC982743:HJD982745 HSY982743:HSZ982745 ICU982743:ICV982745 IMQ982743:IMR982745 IWM982743:IWN982745 JGI982743:JGJ982745 JQE982743:JQF982745 KAA982743:KAB982745 KJW982743:KJX982745 KTS982743:KTT982745 LDO982743:LDP982745 LNK982743:LNL982745 LXG982743:LXH982745 MHC982743:MHD982745 MQY982743:MQZ982745 NAU982743:NAV982745 NKQ982743:NKR982745 NUM982743:NUN982745 OEI982743:OEJ982745 OOE982743:OOF982745 OYA982743:OYB982745 PHW982743:PHX982745 PRS982743:PRT982745 QBO982743:QBP982745 QLK982743:QLL982745 QVG982743:QVH982745 RFC982743:RFD982745 ROY982743:ROZ982745 RYU982743:RYV982745 SIQ982743:SIR982745 SSM982743:SSN982745 TCI982743:TCJ982745 TME982743:TMF982745 TWA982743:TWB982745 UFW982743:UFX982745 UPS982743:UPT982745 UZO982743:UZP982745 VJK982743:VJL982745 VTG982743:VTH982745 WDC982743:WDD982745 WMY982743:WMZ982745 WWU982743:WWV982745 KI392856:KJ392860 UE392856:UF392860 AEA392856:AEB392860 ANW392856:ANX392860 AXS392856:AXT392860 BHO392856:BHP392860 BRK392856:BRL392860 CBG392856:CBH392860 CLC392856:CLD392860 CUY392856:CUZ392860 DEU392856:DEV392860 DOQ392856:DOR392860 DYM392856:DYN392860 EII392856:EIJ392860 ESE392856:ESF392860 FCA392856:FCB392860 FLW392856:FLX392860 FVS392856:FVT392860 GFO392856:GFP392860 GPK392856:GPL392860 GZG392856:GZH392860 HJC392856:HJD392860 HSY392856:HSZ392860 ICU392856:ICV392860 IMQ392856:IMR392860 IWM392856:IWN392860 JGI392856:JGJ392860 JQE392856:JQF392860 KAA392856:KAB392860 KJW392856:KJX392860 KTS392856:KTT392860 LDO392856:LDP392860 LNK392856:LNL392860 LXG392856:LXH392860 MHC392856:MHD392860 MQY392856:MQZ392860 NAU392856:NAV392860 NKQ392856:NKR392860 NUM392856:NUN392860 OEI392856:OEJ392860 OOE392856:OOF392860 OYA392856:OYB392860 PHW392856:PHX392860 PRS392856:PRT392860 QBO392856:QBP392860 QLK392856:QLL392860 QVG392856:QVH392860 RFC392856:RFD392860 ROY392856:ROZ392860 RYU392856:RYV392860 SIQ392856:SIR392860 SSM392856:SSN392860 TCI392856:TCJ392860 TME392856:TMF392860 TWA392856:TWB392860 UFW392856:UFX392860 UPS392856:UPT392860 UZO392856:UZP392860 VJK392856:VJL392860 VTG392856:VTH392860 WDC392856:WDD392860 WMY392856:WMZ392860 WWU392856:WWV392860 KI65237:KI65238 UE65237:UE65238 AEA65237:AEA65238 ANW65237:ANW65238 AXS65237:AXS65238 BHO65237:BHO65238 BRK65237:BRK65238 CBG65237:CBG65238 CLC65237:CLC65238 CUY65237:CUY65238 DEU65237:DEU65238 DOQ65237:DOQ65238 DYM65237:DYM65238 EII65237:EII65238 ESE65237:ESE65238 FCA65237:FCA65238 FLW65237:FLW65238 FVS65237:FVS65238 GFO65237:GFO65238 GPK65237:GPK65238 GZG65237:GZG65238 HJC65237:HJC65238 HSY65237:HSY65238 ICU65237:ICU65238 IMQ65237:IMQ65238 IWM65237:IWM65238 JGI65237:JGI65238 JQE65237:JQE65238 KAA65237:KAA65238 KJW65237:KJW65238 KTS65237:KTS65238 LDO65237:LDO65238 LNK65237:LNK65238 LXG65237:LXG65238 MHC65237:MHC65238 MQY65237:MQY65238 NAU65237:NAU65238 NKQ65237:NKQ65238 NUM65237:NUM65238 OEI65237:OEI65238 OOE65237:OOE65238 OYA65237:OYA65238 PHW65237:PHW65238 PRS65237:PRS65238 QBO65237:QBO65238 QLK65237:QLK65238 QVG65237:QVG65238 RFC65237:RFC65238 ROY65237:ROY65238 RYU65237:RYU65238 SIQ65237:SIQ65238 SSM65237:SSM65238 TCI65237:TCI65238 TME65237:TME65238 TWA65237:TWA65238 UFW65237:UFW65238 UPS65237:UPS65238 UZO65237:UZO65238 VJK65237:VJK65238 VTG65237:VTG65238 WDC65237:WDC65238 WMY65237:WMY65238 WWU65237:WWU65238 KI130773:KI130774 UE130773:UE130774 AEA130773:AEA130774 ANW130773:ANW130774 AXS130773:AXS130774 BHO130773:BHO130774 BRK130773:BRK130774 CBG130773:CBG130774 CLC130773:CLC130774 CUY130773:CUY130774 DEU130773:DEU130774 DOQ130773:DOQ130774 DYM130773:DYM130774 EII130773:EII130774 ESE130773:ESE130774 FCA130773:FCA130774 FLW130773:FLW130774 FVS130773:FVS130774 GFO130773:GFO130774 GPK130773:GPK130774 GZG130773:GZG130774 HJC130773:HJC130774 HSY130773:HSY130774 ICU130773:ICU130774 IMQ130773:IMQ130774 IWM130773:IWM130774 JGI130773:JGI130774 JQE130773:JQE130774 KAA130773:KAA130774 KJW130773:KJW130774 KTS130773:KTS130774 LDO130773:LDO130774 LNK130773:LNK130774 LXG130773:LXG130774 MHC130773:MHC130774 MQY130773:MQY130774 NAU130773:NAU130774 NKQ130773:NKQ130774 NUM130773:NUM130774 OEI130773:OEI130774 OOE130773:OOE130774 OYA130773:OYA130774 PHW130773:PHW130774 PRS130773:PRS130774 QBO130773:QBO130774 QLK130773:QLK130774 QVG130773:QVG130774 RFC130773:RFC130774 ROY130773:ROY130774 RYU130773:RYU130774 SIQ130773:SIQ130774 SSM130773:SSM130774 TCI130773:TCI130774 TME130773:TME130774 TWA130773:TWA130774 UFW130773:UFW130774 UPS130773:UPS130774 UZO130773:UZO130774 VJK130773:VJK130774 VTG130773:VTG130774 WDC130773:WDC130774 WMY130773:WMY130774 WWU130773:WWU130774 KI196309:KI196310 UE196309:UE196310 AEA196309:AEA196310 ANW196309:ANW196310 AXS196309:AXS196310 BHO196309:BHO196310 BRK196309:BRK196310 CBG196309:CBG196310 CLC196309:CLC196310 CUY196309:CUY196310 DEU196309:DEU196310 DOQ196309:DOQ196310 DYM196309:DYM196310 EII196309:EII196310 ESE196309:ESE196310 FCA196309:FCA196310 FLW196309:FLW196310 FVS196309:FVS196310 GFO196309:GFO196310 GPK196309:GPK196310 GZG196309:GZG196310 HJC196309:HJC196310 HSY196309:HSY196310 ICU196309:ICU196310 IMQ196309:IMQ196310 IWM196309:IWM196310 JGI196309:JGI196310 JQE196309:JQE196310 KAA196309:KAA196310 KJW196309:KJW196310 KTS196309:KTS196310 LDO196309:LDO196310 LNK196309:LNK196310 LXG196309:LXG196310 MHC196309:MHC196310 MQY196309:MQY196310 NAU196309:NAU196310 NKQ196309:NKQ196310 NUM196309:NUM196310 OEI196309:OEI196310 OOE196309:OOE196310 OYA196309:OYA196310 PHW196309:PHW196310 PRS196309:PRS196310 QBO196309:QBO196310 QLK196309:QLK196310 QVG196309:QVG196310 RFC196309:RFC196310 ROY196309:ROY196310 RYU196309:RYU196310 SIQ196309:SIQ196310 SSM196309:SSM196310 TCI196309:TCI196310 TME196309:TME196310 TWA196309:TWA196310 UFW196309:UFW196310 UPS196309:UPS196310 UZO196309:UZO196310 VJK196309:VJK196310 VTG196309:VTG196310 WDC196309:WDC196310 WMY196309:WMY196310 WWU196309:WWU196310 KI261845:KI261846 UE261845:UE261846 AEA261845:AEA261846 ANW261845:ANW261846 AXS261845:AXS261846 BHO261845:BHO261846 BRK261845:BRK261846 CBG261845:CBG261846 CLC261845:CLC261846 CUY261845:CUY261846 DEU261845:DEU261846 DOQ261845:DOQ261846 DYM261845:DYM261846 EII261845:EII261846 ESE261845:ESE261846 FCA261845:FCA261846 FLW261845:FLW261846 FVS261845:FVS261846 GFO261845:GFO261846 GPK261845:GPK261846 GZG261845:GZG261846 HJC261845:HJC261846 HSY261845:HSY261846 ICU261845:ICU261846 IMQ261845:IMQ261846 IWM261845:IWM261846 JGI261845:JGI261846 JQE261845:JQE261846 KAA261845:KAA261846 KJW261845:KJW261846 KTS261845:KTS261846 LDO261845:LDO261846 LNK261845:LNK261846 LXG261845:LXG261846 MHC261845:MHC261846 MQY261845:MQY261846 NAU261845:NAU261846 NKQ261845:NKQ261846 NUM261845:NUM261846 OEI261845:OEI261846 OOE261845:OOE261846 OYA261845:OYA261846 PHW261845:PHW261846 PRS261845:PRS261846 QBO261845:QBO261846 QLK261845:QLK261846 QVG261845:QVG261846 RFC261845:RFC261846 ROY261845:ROY261846 RYU261845:RYU261846 SIQ261845:SIQ261846 SSM261845:SSM261846 TCI261845:TCI261846 TME261845:TME261846 TWA261845:TWA261846 UFW261845:UFW261846 UPS261845:UPS261846 UZO261845:UZO261846 VJK261845:VJK261846 VTG261845:VTG261846 WDC261845:WDC261846 WMY261845:WMY261846 WWU261845:WWU261846 KI327381:KI327382 UE327381:UE327382 AEA327381:AEA327382 ANW327381:ANW327382 AXS327381:AXS327382 BHO327381:BHO327382 BRK327381:BRK327382 CBG327381:CBG327382 CLC327381:CLC327382 CUY327381:CUY327382 DEU327381:DEU327382 DOQ327381:DOQ327382 DYM327381:DYM327382 EII327381:EII327382 ESE327381:ESE327382 FCA327381:FCA327382 FLW327381:FLW327382 FVS327381:FVS327382 GFO327381:GFO327382 GPK327381:GPK327382 GZG327381:GZG327382 HJC327381:HJC327382 HSY327381:HSY327382 ICU327381:ICU327382 IMQ327381:IMQ327382 IWM327381:IWM327382 JGI327381:JGI327382 JQE327381:JQE327382 KAA327381:KAA327382 KJW327381:KJW327382 KTS327381:KTS327382 LDO327381:LDO327382 LNK327381:LNK327382 LXG327381:LXG327382 MHC327381:MHC327382 MQY327381:MQY327382 NAU327381:NAU327382 NKQ327381:NKQ327382 NUM327381:NUM327382 OEI327381:OEI327382 OOE327381:OOE327382 OYA327381:OYA327382 PHW327381:PHW327382 PRS327381:PRS327382 QBO327381:QBO327382 QLK327381:QLK327382 QVG327381:QVG327382 RFC327381:RFC327382 ROY327381:ROY327382 RYU327381:RYU327382 SIQ327381:SIQ327382 SSM327381:SSM327382 TCI327381:TCI327382 TME327381:TME327382 TWA327381:TWA327382 UFW327381:UFW327382 UPS327381:UPS327382 UZO327381:UZO327382 VJK327381:VJK327382 VTG327381:VTG327382 WDC327381:WDC327382 WMY327381:WMY327382 WWU327381:WWU327382 KI392917:KI392918 UE392917:UE392918 AEA392917:AEA392918 ANW392917:ANW392918 AXS392917:AXS392918 BHO392917:BHO392918 BRK392917:BRK392918 CBG392917:CBG392918 CLC392917:CLC392918 CUY392917:CUY392918 DEU392917:DEU392918 DOQ392917:DOQ392918 DYM392917:DYM392918 EII392917:EII392918 ESE392917:ESE392918 FCA392917:FCA392918 FLW392917:FLW392918 FVS392917:FVS392918 GFO392917:GFO392918 GPK392917:GPK392918 GZG392917:GZG392918 HJC392917:HJC392918 HSY392917:HSY392918 ICU392917:ICU392918 IMQ392917:IMQ392918 IWM392917:IWM392918 JGI392917:JGI392918 JQE392917:JQE392918 KAA392917:KAA392918 KJW392917:KJW392918 KTS392917:KTS392918 LDO392917:LDO392918 LNK392917:LNK392918 LXG392917:LXG392918 MHC392917:MHC392918 MQY392917:MQY392918 NAU392917:NAU392918 NKQ392917:NKQ392918 NUM392917:NUM392918 OEI392917:OEI392918 OOE392917:OOE392918 OYA392917:OYA392918 PHW392917:PHW392918 PRS392917:PRS392918 QBO392917:QBO392918 QLK392917:QLK392918 QVG392917:QVG392918 RFC392917:RFC392918 ROY392917:ROY392918 RYU392917:RYU392918 SIQ392917:SIQ392918 SSM392917:SSM392918 TCI392917:TCI392918 TME392917:TME392918 TWA392917:TWA392918 UFW392917:UFW392918 UPS392917:UPS392918 UZO392917:UZO392918 VJK392917:VJK392918 VTG392917:VTG392918 WDC392917:WDC392918 WMY392917:WMY392918 WWU392917:WWU392918 KI458453:KI458454 UE458453:UE458454 AEA458453:AEA458454 ANW458453:ANW458454 AXS458453:AXS458454 BHO458453:BHO458454 BRK458453:BRK458454 CBG458453:CBG458454 CLC458453:CLC458454 CUY458453:CUY458454 DEU458453:DEU458454 DOQ458453:DOQ458454 DYM458453:DYM458454 EII458453:EII458454 ESE458453:ESE458454 FCA458453:FCA458454 FLW458453:FLW458454 FVS458453:FVS458454 GFO458453:GFO458454 GPK458453:GPK458454 GZG458453:GZG458454 HJC458453:HJC458454 HSY458453:HSY458454 ICU458453:ICU458454 IMQ458453:IMQ458454 IWM458453:IWM458454 JGI458453:JGI458454 JQE458453:JQE458454 KAA458453:KAA458454 KJW458453:KJW458454 KTS458453:KTS458454 LDO458453:LDO458454 LNK458453:LNK458454 LXG458453:LXG458454 MHC458453:MHC458454 MQY458453:MQY458454 NAU458453:NAU458454 NKQ458453:NKQ458454 NUM458453:NUM458454 OEI458453:OEI458454 OOE458453:OOE458454 OYA458453:OYA458454 PHW458453:PHW458454 PRS458453:PRS458454 QBO458453:QBO458454 QLK458453:QLK458454 QVG458453:QVG458454 RFC458453:RFC458454 ROY458453:ROY458454 RYU458453:RYU458454 SIQ458453:SIQ458454 SSM458453:SSM458454 TCI458453:TCI458454 TME458453:TME458454 TWA458453:TWA458454 UFW458453:UFW458454 UPS458453:UPS458454 UZO458453:UZO458454 VJK458453:VJK458454 VTG458453:VTG458454 WDC458453:WDC458454 WMY458453:WMY458454 WWU458453:WWU458454 KI523989:KI523990 UE523989:UE523990 AEA523989:AEA523990 ANW523989:ANW523990 AXS523989:AXS523990 BHO523989:BHO523990 BRK523989:BRK523990 CBG523989:CBG523990 CLC523989:CLC523990 CUY523989:CUY523990 DEU523989:DEU523990 DOQ523989:DOQ523990 DYM523989:DYM523990 EII523989:EII523990 ESE523989:ESE523990 FCA523989:FCA523990 FLW523989:FLW523990 FVS523989:FVS523990 GFO523989:GFO523990 GPK523989:GPK523990 GZG523989:GZG523990 HJC523989:HJC523990 HSY523989:HSY523990 ICU523989:ICU523990 IMQ523989:IMQ523990 IWM523989:IWM523990 JGI523989:JGI523990 JQE523989:JQE523990 KAA523989:KAA523990 KJW523989:KJW523990 KTS523989:KTS523990 LDO523989:LDO523990 LNK523989:LNK523990 LXG523989:LXG523990 MHC523989:MHC523990 MQY523989:MQY523990 NAU523989:NAU523990 NKQ523989:NKQ523990 NUM523989:NUM523990 OEI523989:OEI523990 OOE523989:OOE523990 OYA523989:OYA523990 PHW523989:PHW523990 PRS523989:PRS523990 QBO523989:QBO523990 QLK523989:QLK523990 QVG523989:QVG523990 RFC523989:RFC523990 ROY523989:ROY523990 RYU523989:RYU523990 SIQ523989:SIQ523990 SSM523989:SSM523990 TCI523989:TCI523990 TME523989:TME523990 TWA523989:TWA523990 UFW523989:UFW523990 UPS523989:UPS523990 UZO523989:UZO523990 VJK523989:VJK523990 VTG523989:VTG523990 WDC523989:WDC523990 WMY523989:WMY523990 WWU523989:WWU523990 KI589525:KI589526 UE589525:UE589526 AEA589525:AEA589526 ANW589525:ANW589526 AXS589525:AXS589526 BHO589525:BHO589526 BRK589525:BRK589526 CBG589525:CBG589526 CLC589525:CLC589526 CUY589525:CUY589526 DEU589525:DEU589526 DOQ589525:DOQ589526 DYM589525:DYM589526 EII589525:EII589526 ESE589525:ESE589526 FCA589525:FCA589526 FLW589525:FLW589526 FVS589525:FVS589526 GFO589525:GFO589526 GPK589525:GPK589526 GZG589525:GZG589526 HJC589525:HJC589526 HSY589525:HSY589526 ICU589525:ICU589526 IMQ589525:IMQ589526 IWM589525:IWM589526 JGI589525:JGI589526 JQE589525:JQE589526 KAA589525:KAA589526 KJW589525:KJW589526 KTS589525:KTS589526 LDO589525:LDO589526 LNK589525:LNK589526 LXG589525:LXG589526 MHC589525:MHC589526 MQY589525:MQY589526 NAU589525:NAU589526 NKQ589525:NKQ589526 NUM589525:NUM589526 OEI589525:OEI589526 OOE589525:OOE589526 OYA589525:OYA589526 PHW589525:PHW589526 PRS589525:PRS589526 QBO589525:QBO589526 QLK589525:QLK589526 QVG589525:QVG589526 RFC589525:RFC589526 ROY589525:ROY589526 RYU589525:RYU589526 SIQ589525:SIQ589526 SSM589525:SSM589526 TCI589525:TCI589526 TME589525:TME589526 TWA589525:TWA589526 UFW589525:UFW589526 UPS589525:UPS589526 UZO589525:UZO589526 VJK589525:VJK589526 VTG589525:VTG589526 WDC589525:WDC589526 WMY589525:WMY589526 WWU589525:WWU589526 KI655061:KI655062 UE655061:UE655062 AEA655061:AEA655062 ANW655061:ANW655062 AXS655061:AXS655062 BHO655061:BHO655062 BRK655061:BRK655062 CBG655061:CBG655062 CLC655061:CLC655062 CUY655061:CUY655062 DEU655061:DEU655062 DOQ655061:DOQ655062 DYM655061:DYM655062 EII655061:EII655062 ESE655061:ESE655062 FCA655061:FCA655062 FLW655061:FLW655062 FVS655061:FVS655062 GFO655061:GFO655062 GPK655061:GPK655062 GZG655061:GZG655062 HJC655061:HJC655062 HSY655061:HSY655062 ICU655061:ICU655062 IMQ655061:IMQ655062 IWM655061:IWM655062 JGI655061:JGI655062 JQE655061:JQE655062 KAA655061:KAA655062 KJW655061:KJW655062 KTS655061:KTS655062 LDO655061:LDO655062 LNK655061:LNK655062 LXG655061:LXG655062 MHC655061:MHC655062 MQY655061:MQY655062 NAU655061:NAU655062 NKQ655061:NKQ655062 NUM655061:NUM655062 OEI655061:OEI655062 OOE655061:OOE655062 OYA655061:OYA655062 PHW655061:PHW655062 PRS655061:PRS655062 QBO655061:QBO655062 QLK655061:QLK655062 QVG655061:QVG655062 RFC655061:RFC655062 ROY655061:ROY655062 RYU655061:RYU655062 SIQ655061:SIQ655062 SSM655061:SSM655062 TCI655061:TCI655062 TME655061:TME655062 TWA655061:TWA655062 UFW655061:UFW655062 UPS655061:UPS655062 UZO655061:UZO655062 VJK655061:VJK655062 VTG655061:VTG655062 WDC655061:WDC655062 WMY655061:WMY655062 WWU655061:WWU655062 KI720597:KI720598 UE720597:UE720598 AEA720597:AEA720598 ANW720597:ANW720598 AXS720597:AXS720598 BHO720597:BHO720598 BRK720597:BRK720598 CBG720597:CBG720598 CLC720597:CLC720598 CUY720597:CUY720598 DEU720597:DEU720598 DOQ720597:DOQ720598 DYM720597:DYM720598 EII720597:EII720598 ESE720597:ESE720598 FCA720597:FCA720598 FLW720597:FLW720598 FVS720597:FVS720598 GFO720597:GFO720598 GPK720597:GPK720598 GZG720597:GZG720598 HJC720597:HJC720598 HSY720597:HSY720598 ICU720597:ICU720598 IMQ720597:IMQ720598 IWM720597:IWM720598 JGI720597:JGI720598 JQE720597:JQE720598 KAA720597:KAA720598 KJW720597:KJW720598 KTS720597:KTS720598 LDO720597:LDO720598 LNK720597:LNK720598 LXG720597:LXG720598 MHC720597:MHC720598 MQY720597:MQY720598 NAU720597:NAU720598 NKQ720597:NKQ720598 NUM720597:NUM720598 OEI720597:OEI720598 OOE720597:OOE720598 OYA720597:OYA720598 PHW720597:PHW720598 PRS720597:PRS720598 QBO720597:QBO720598 QLK720597:QLK720598 QVG720597:QVG720598 RFC720597:RFC720598 ROY720597:ROY720598 RYU720597:RYU720598 SIQ720597:SIQ720598 SSM720597:SSM720598 TCI720597:TCI720598 TME720597:TME720598 TWA720597:TWA720598 UFW720597:UFW720598 UPS720597:UPS720598 UZO720597:UZO720598 VJK720597:VJK720598 VTG720597:VTG720598 WDC720597:WDC720598 WMY720597:WMY720598 WWU720597:WWU720598 KI786133:KI786134 UE786133:UE786134 AEA786133:AEA786134 ANW786133:ANW786134 AXS786133:AXS786134 BHO786133:BHO786134 BRK786133:BRK786134 CBG786133:CBG786134 CLC786133:CLC786134 CUY786133:CUY786134 DEU786133:DEU786134 DOQ786133:DOQ786134 DYM786133:DYM786134 EII786133:EII786134 ESE786133:ESE786134 FCA786133:FCA786134 FLW786133:FLW786134 FVS786133:FVS786134 GFO786133:GFO786134 GPK786133:GPK786134 GZG786133:GZG786134 HJC786133:HJC786134 HSY786133:HSY786134 ICU786133:ICU786134 IMQ786133:IMQ786134 IWM786133:IWM786134 JGI786133:JGI786134 JQE786133:JQE786134 KAA786133:KAA786134 KJW786133:KJW786134 KTS786133:KTS786134 LDO786133:LDO786134 LNK786133:LNK786134 LXG786133:LXG786134 MHC786133:MHC786134 MQY786133:MQY786134 NAU786133:NAU786134 NKQ786133:NKQ786134 NUM786133:NUM786134 OEI786133:OEI786134 OOE786133:OOE786134 OYA786133:OYA786134 PHW786133:PHW786134 PRS786133:PRS786134 QBO786133:QBO786134 QLK786133:QLK786134 QVG786133:QVG786134 RFC786133:RFC786134 ROY786133:ROY786134 RYU786133:RYU786134 SIQ786133:SIQ786134 SSM786133:SSM786134 TCI786133:TCI786134 TME786133:TME786134 TWA786133:TWA786134 UFW786133:UFW786134 UPS786133:UPS786134 UZO786133:UZO786134 VJK786133:VJK786134 VTG786133:VTG786134 WDC786133:WDC786134 WMY786133:WMY786134 WWU786133:WWU786134 KI851669:KI851670 UE851669:UE851670 AEA851669:AEA851670 ANW851669:ANW851670 AXS851669:AXS851670 BHO851669:BHO851670 BRK851669:BRK851670 CBG851669:CBG851670 CLC851669:CLC851670 CUY851669:CUY851670 DEU851669:DEU851670 DOQ851669:DOQ851670 DYM851669:DYM851670 EII851669:EII851670 ESE851669:ESE851670 FCA851669:FCA851670 FLW851669:FLW851670 FVS851669:FVS851670 GFO851669:GFO851670 GPK851669:GPK851670 GZG851669:GZG851670 HJC851669:HJC851670 HSY851669:HSY851670 ICU851669:ICU851670 IMQ851669:IMQ851670 IWM851669:IWM851670 JGI851669:JGI851670 JQE851669:JQE851670 KAA851669:KAA851670 KJW851669:KJW851670 KTS851669:KTS851670 LDO851669:LDO851670 LNK851669:LNK851670 LXG851669:LXG851670 MHC851669:MHC851670 MQY851669:MQY851670 NAU851669:NAU851670 NKQ851669:NKQ851670 NUM851669:NUM851670 OEI851669:OEI851670 OOE851669:OOE851670 OYA851669:OYA851670 PHW851669:PHW851670 PRS851669:PRS851670 QBO851669:QBO851670 QLK851669:QLK851670 QVG851669:QVG851670 RFC851669:RFC851670 ROY851669:ROY851670 RYU851669:RYU851670 SIQ851669:SIQ851670 SSM851669:SSM851670 TCI851669:TCI851670 TME851669:TME851670 TWA851669:TWA851670 UFW851669:UFW851670 UPS851669:UPS851670 UZO851669:UZO851670 VJK851669:VJK851670 VTG851669:VTG851670 WDC851669:WDC851670 WMY851669:WMY851670 WWU851669:WWU851670 KI917205:KI917206 UE917205:UE917206 AEA917205:AEA917206 ANW917205:ANW917206 AXS917205:AXS917206 BHO917205:BHO917206 BRK917205:BRK917206 CBG917205:CBG917206 CLC917205:CLC917206 CUY917205:CUY917206 DEU917205:DEU917206 DOQ917205:DOQ917206 DYM917205:DYM917206 EII917205:EII917206 ESE917205:ESE917206 FCA917205:FCA917206 FLW917205:FLW917206 FVS917205:FVS917206 GFO917205:GFO917206 GPK917205:GPK917206 GZG917205:GZG917206 HJC917205:HJC917206 HSY917205:HSY917206 ICU917205:ICU917206 IMQ917205:IMQ917206 IWM917205:IWM917206 JGI917205:JGI917206 JQE917205:JQE917206 KAA917205:KAA917206 KJW917205:KJW917206 KTS917205:KTS917206 LDO917205:LDO917206 LNK917205:LNK917206 LXG917205:LXG917206 MHC917205:MHC917206 MQY917205:MQY917206 NAU917205:NAU917206 NKQ917205:NKQ917206 NUM917205:NUM917206 OEI917205:OEI917206 OOE917205:OOE917206 OYA917205:OYA917206 PHW917205:PHW917206 PRS917205:PRS917206 QBO917205:QBO917206 QLK917205:QLK917206 QVG917205:QVG917206 RFC917205:RFC917206 ROY917205:ROY917206 RYU917205:RYU917206 SIQ917205:SIQ917206 SSM917205:SSM917206 TCI917205:TCI917206 TME917205:TME917206 TWA917205:TWA917206 UFW917205:UFW917206 UPS917205:UPS917206 UZO917205:UZO917206 VJK917205:VJK917206 VTG917205:VTG917206 WDC917205:WDC917206 WMY917205:WMY917206 WWU917205:WWU917206 KI982741:KI982742 UE982741:UE982742 AEA982741:AEA982742 ANW982741:ANW982742 AXS982741:AXS982742 BHO982741:BHO982742 BRK982741:BRK982742 CBG982741:CBG982742 CLC982741:CLC982742 CUY982741:CUY982742 DEU982741:DEU982742 DOQ982741:DOQ982742 DYM982741:DYM982742 EII982741:EII982742 ESE982741:ESE982742 FCA982741:FCA982742 FLW982741:FLW982742 FVS982741:FVS982742 GFO982741:GFO982742 GPK982741:GPK982742 GZG982741:GZG982742 HJC982741:HJC982742 HSY982741:HSY982742 ICU982741:ICU982742 IMQ982741:IMQ982742 IWM982741:IWM982742 JGI982741:JGI982742 JQE982741:JQE982742 KAA982741:KAA982742 KJW982741:KJW982742 KTS982741:KTS982742 LDO982741:LDO982742 LNK982741:LNK982742 LXG982741:LXG982742 MHC982741:MHC982742 MQY982741:MQY982742 NAU982741:NAU982742 NKQ982741:NKQ982742 NUM982741:NUM982742 OEI982741:OEI982742 OOE982741:OOE982742 OYA982741:OYA982742 PHW982741:PHW982742 PRS982741:PRS982742 QBO982741:QBO982742 QLK982741:QLK982742 QVG982741:QVG982742 RFC982741:RFC982742 ROY982741:ROY982742 RYU982741:RYU982742 SIQ982741:SIQ982742 SSM982741:SSM982742 TCI982741:TCI982742 TME982741:TME982742 TWA982741:TWA982742 UFW982741:UFW982742 UPS982741:UPS982742 UZO982741:UZO982742 VJK982741:VJK982742 VTG982741:VTG982742 WDC982741:WDC982742 WMY982741:WMY982742 WWU982741:WWU982742 KI458392:KJ458396 UE458392:UF458396 AEA458392:AEB458396 ANW458392:ANX458396 AXS458392:AXT458396 BHO458392:BHP458396 BRK458392:BRL458396 CBG458392:CBH458396 CLC458392:CLD458396 CUY458392:CUZ458396 DEU458392:DEV458396 DOQ458392:DOR458396 DYM458392:DYN458396 EII458392:EIJ458396 ESE458392:ESF458396 FCA458392:FCB458396 FLW458392:FLX458396 FVS458392:FVT458396 GFO458392:GFP458396 GPK458392:GPL458396 GZG458392:GZH458396 HJC458392:HJD458396 HSY458392:HSZ458396 ICU458392:ICV458396 IMQ458392:IMR458396 IWM458392:IWN458396 JGI458392:JGJ458396 JQE458392:JQF458396 KAA458392:KAB458396 KJW458392:KJX458396 KTS458392:KTT458396 LDO458392:LDP458396 LNK458392:LNL458396 LXG458392:LXH458396 MHC458392:MHD458396 MQY458392:MQZ458396 NAU458392:NAV458396 NKQ458392:NKR458396 NUM458392:NUN458396 OEI458392:OEJ458396 OOE458392:OOF458396 OYA458392:OYB458396 PHW458392:PHX458396 PRS458392:PRT458396 QBO458392:QBP458396 QLK458392:QLL458396 QVG458392:QVH458396 RFC458392:RFD458396 ROY458392:ROZ458396 RYU458392:RYV458396 SIQ458392:SIR458396 SSM458392:SSN458396 TCI458392:TCJ458396 TME458392:TMF458396 TWA458392:TWB458396 UFW458392:UFX458396 UPS458392:UPT458396 UZO458392:UZP458396 VJK458392:VJL458396 VTG458392:VTH458396 WDC458392:WDD458396 WMY458392:WMZ458396 WWU458392:WWV458396 KI65242 UE65242 AEA65242 ANW65242 AXS65242 BHO65242 BRK65242 CBG65242 CLC65242 CUY65242 DEU65242 DOQ65242 DYM65242 EII65242 ESE65242 FCA65242 FLW65242 FVS65242 GFO65242 GPK65242 GZG65242 HJC65242 HSY65242 ICU65242 IMQ65242 IWM65242 JGI65242 JQE65242 KAA65242 KJW65242 KTS65242 LDO65242 LNK65242 LXG65242 MHC65242 MQY65242 NAU65242 NKQ65242 NUM65242 OEI65242 OOE65242 OYA65242 PHW65242 PRS65242 QBO65242 QLK65242 QVG65242 RFC65242 ROY65242 RYU65242 SIQ65242 SSM65242 TCI65242 TME65242 TWA65242 UFW65242 UPS65242 UZO65242 VJK65242 VTG65242 WDC65242 WMY65242 WWU65242 KI130778 UE130778 AEA130778 ANW130778 AXS130778 BHO130778 BRK130778 CBG130778 CLC130778 CUY130778 DEU130778 DOQ130778 DYM130778 EII130778 ESE130778 FCA130778 FLW130778 FVS130778 GFO130778 GPK130778 GZG130778 HJC130778 HSY130778 ICU130778 IMQ130778 IWM130778 JGI130778 JQE130778 KAA130778 KJW130778 KTS130778 LDO130778 LNK130778 LXG130778 MHC130778 MQY130778 NAU130778 NKQ130778 NUM130778 OEI130778 OOE130778 OYA130778 PHW130778 PRS130778 QBO130778 QLK130778 QVG130778 RFC130778 ROY130778 RYU130778 SIQ130778 SSM130778 TCI130778 TME130778 TWA130778 UFW130778 UPS130778 UZO130778 VJK130778 VTG130778 WDC130778 WMY130778 WWU130778 KI196314 UE196314 AEA196314 ANW196314 AXS196314 BHO196314 BRK196314 CBG196314 CLC196314 CUY196314 DEU196314 DOQ196314 DYM196314 EII196314 ESE196314 FCA196314 FLW196314 FVS196314 GFO196314 GPK196314 GZG196314 HJC196314 HSY196314 ICU196314 IMQ196314 IWM196314 JGI196314 JQE196314 KAA196314 KJW196314 KTS196314 LDO196314 LNK196314 LXG196314 MHC196314 MQY196314 NAU196314 NKQ196314 NUM196314 OEI196314 OOE196314 OYA196314 PHW196314 PRS196314 QBO196314 QLK196314 QVG196314 RFC196314 ROY196314 RYU196314 SIQ196314 SSM196314 TCI196314 TME196314 TWA196314 UFW196314 UPS196314 UZO196314 VJK196314 VTG196314 WDC196314 WMY196314 WWU196314 KI261850 UE261850 AEA261850 ANW261850 AXS261850 BHO261850 BRK261850 CBG261850 CLC261850 CUY261850 DEU261850 DOQ261850 DYM261850 EII261850 ESE261850 FCA261850 FLW261850 FVS261850 GFO261850 GPK261850 GZG261850 HJC261850 HSY261850 ICU261850 IMQ261850 IWM261850 JGI261850 JQE261850 KAA261850 KJW261850 KTS261850 LDO261850 LNK261850 LXG261850 MHC261850 MQY261850 NAU261850 NKQ261850 NUM261850 OEI261850 OOE261850 OYA261850 PHW261850 PRS261850 QBO261850 QLK261850 QVG261850 RFC261850 ROY261850 RYU261850 SIQ261850 SSM261850 TCI261850 TME261850 TWA261850 UFW261850 UPS261850 UZO261850 VJK261850 VTG261850 WDC261850 WMY261850 WWU261850 KI327386 UE327386 AEA327386 ANW327386 AXS327386 BHO327386 BRK327386 CBG327386 CLC327386 CUY327386 DEU327386 DOQ327386 DYM327386 EII327386 ESE327386 FCA327386 FLW327386 FVS327386 GFO327386 GPK327386 GZG327386 HJC327386 HSY327386 ICU327386 IMQ327386 IWM327386 JGI327386 JQE327386 KAA327386 KJW327386 KTS327386 LDO327386 LNK327386 LXG327386 MHC327386 MQY327386 NAU327386 NKQ327386 NUM327386 OEI327386 OOE327386 OYA327386 PHW327386 PRS327386 QBO327386 QLK327386 QVG327386 RFC327386 ROY327386 RYU327386 SIQ327386 SSM327386 TCI327386 TME327386 TWA327386 UFW327386 UPS327386 UZO327386 VJK327386 VTG327386 WDC327386 WMY327386 WWU327386 KI392922 UE392922 AEA392922 ANW392922 AXS392922 BHO392922 BRK392922 CBG392922 CLC392922 CUY392922 DEU392922 DOQ392922 DYM392922 EII392922 ESE392922 FCA392922 FLW392922 FVS392922 GFO392922 GPK392922 GZG392922 HJC392922 HSY392922 ICU392922 IMQ392922 IWM392922 JGI392922 JQE392922 KAA392922 KJW392922 KTS392922 LDO392922 LNK392922 LXG392922 MHC392922 MQY392922 NAU392922 NKQ392922 NUM392922 OEI392922 OOE392922 OYA392922 PHW392922 PRS392922 QBO392922 QLK392922 QVG392922 RFC392922 ROY392922 RYU392922 SIQ392922 SSM392922 TCI392922 TME392922 TWA392922 UFW392922 UPS392922 UZO392922 VJK392922 VTG392922 WDC392922 WMY392922 WWU392922 KI458458 UE458458 AEA458458 ANW458458 AXS458458 BHO458458 BRK458458 CBG458458 CLC458458 CUY458458 DEU458458 DOQ458458 DYM458458 EII458458 ESE458458 FCA458458 FLW458458 FVS458458 GFO458458 GPK458458 GZG458458 HJC458458 HSY458458 ICU458458 IMQ458458 IWM458458 JGI458458 JQE458458 KAA458458 KJW458458 KTS458458 LDO458458 LNK458458 LXG458458 MHC458458 MQY458458 NAU458458 NKQ458458 NUM458458 OEI458458 OOE458458 OYA458458 PHW458458 PRS458458 QBO458458 QLK458458 QVG458458 RFC458458 ROY458458 RYU458458 SIQ458458 SSM458458 TCI458458 TME458458 TWA458458 UFW458458 UPS458458 UZO458458 VJK458458 VTG458458 WDC458458 WMY458458 WWU458458 KI523994 UE523994 AEA523994 ANW523994 AXS523994 BHO523994 BRK523994 CBG523994 CLC523994 CUY523994 DEU523994 DOQ523994 DYM523994 EII523994 ESE523994 FCA523994 FLW523994 FVS523994 GFO523994 GPK523994 GZG523994 HJC523994 HSY523994 ICU523994 IMQ523994 IWM523994 JGI523994 JQE523994 KAA523994 KJW523994 KTS523994 LDO523994 LNK523994 LXG523994 MHC523994 MQY523994 NAU523994 NKQ523994 NUM523994 OEI523994 OOE523994 OYA523994 PHW523994 PRS523994 QBO523994 QLK523994 QVG523994 RFC523994 ROY523994 RYU523994 SIQ523994 SSM523994 TCI523994 TME523994 TWA523994 UFW523994 UPS523994 UZO523994 VJK523994 VTG523994 WDC523994 WMY523994 WWU523994 KI589530 UE589530 AEA589530 ANW589530 AXS589530 BHO589530 BRK589530 CBG589530 CLC589530 CUY589530 DEU589530 DOQ589530 DYM589530 EII589530 ESE589530 FCA589530 FLW589530 FVS589530 GFO589530 GPK589530 GZG589530 HJC589530 HSY589530 ICU589530 IMQ589530 IWM589530 JGI589530 JQE589530 KAA589530 KJW589530 KTS589530 LDO589530 LNK589530 LXG589530 MHC589530 MQY589530 NAU589530 NKQ589530 NUM589530 OEI589530 OOE589530 OYA589530 PHW589530 PRS589530 QBO589530 QLK589530 QVG589530 RFC589530 ROY589530 RYU589530 SIQ589530 SSM589530 TCI589530 TME589530 TWA589530 UFW589530 UPS589530 UZO589530 VJK589530 VTG589530 WDC589530 WMY589530 WWU589530 KI655066 UE655066 AEA655066 ANW655066 AXS655066 BHO655066 BRK655066 CBG655066 CLC655066 CUY655066 DEU655066 DOQ655066 DYM655066 EII655066 ESE655066 FCA655066 FLW655066 FVS655066 GFO655066 GPK655066 GZG655066 HJC655066 HSY655066 ICU655066 IMQ655066 IWM655066 JGI655066 JQE655066 KAA655066 KJW655066 KTS655066 LDO655066 LNK655066 LXG655066 MHC655066 MQY655066 NAU655066 NKQ655066 NUM655066 OEI655066 OOE655066 OYA655066 PHW655066 PRS655066 QBO655066 QLK655066 QVG655066 RFC655066 ROY655066 RYU655066 SIQ655066 SSM655066 TCI655066 TME655066 TWA655066 UFW655066 UPS655066 UZO655066 VJK655066 VTG655066 WDC655066 WMY655066 WWU655066 KI720602 UE720602 AEA720602 ANW720602 AXS720602 BHO720602 BRK720602 CBG720602 CLC720602 CUY720602 DEU720602 DOQ720602 DYM720602 EII720602 ESE720602 FCA720602 FLW720602 FVS720602 GFO720602 GPK720602 GZG720602 HJC720602 HSY720602 ICU720602 IMQ720602 IWM720602 JGI720602 JQE720602 KAA720602 KJW720602 KTS720602 LDO720602 LNK720602 LXG720602 MHC720602 MQY720602 NAU720602 NKQ720602 NUM720602 OEI720602 OOE720602 OYA720602 PHW720602 PRS720602 QBO720602 QLK720602 QVG720602 RFC720602 ROY720602 RYU720602 SIQ720602 SSM720602 TCI720602 TME720602 TWA720602 UFW720602 UPS720602 UZO720602 VJK720602 VTG720602 WDC720602 WMY720602 WWU720602 KI786138 UE786138 AEA786138 ANW786138 AXS786138 BHO786138 BRK786138 CBG786138 CLC786138 CUY786138 DEU786138 DOQ786138 DYM786138 EII786138 ESE786138 FCA786138 FLW786138 FVS786138 GFO786138 GPK786138 GZG786138 HJC786138 HSY786138 ICU786138 IMQ786138 IWM786138 JGI786138 JQE786138 KAA786138 KJW786138 KTS786138 LDO786138 LNK786138 LXG786138 MHC786138 MQY786138 NAU786138 NKQ786138 NUM786138 OEI786138 OOE786138 OYA786138 PHW786138 PRS786138 QBO786138 QLK786138 QVG786138 RFC786138 ROY786138 RYU786138 SIQ786138 SSM786138 TCI786138 TME786138 TWA786138 UFW786138 UPS786138 UZO786138 VJK786138 VTG786138 WDC786138 WMY786138 WWU786138 KI851674 UE851674 AEA851674 ANW851674 AXS851674 BHO851674 BRK851674 CBG851674 CLC851674 CUY851674 DEU851674 DOQ851674 DYM851674 EII851674 ESE851674 FCA851674 FLW851674 FVS851674 GFO851674 GPK851674 GZG851674 HJC851674 HSY851674 ICU851674 IMQ851674 IWM851674 JGI851674 JQE851674 KAA851674 KJW851674 KTS851674 LDO851674 LNK851674 LXG851674 MHC851674 MQY851674 NAU851674 NKQ851674 NUM851674 OEI851674 OOE851674 OYA851674 PHW851674 PRS851674 QBO851674 QLK851674 QVG851674 RFC851674 ROY851674 RYU851674 SIQ851674 SSM851674 TCI851674 TME851674 TWA851674 UFW851674 UPS851674 UZO851674 VJK851674 VTG851674 WDC851674 WMY851674 WWU851674 KI917210 UE917210 AEA917210 ANW917210 AXS917210 BHO917210 BRK917210 CBG917210 CLC917210 CUY917210 DEU917210 DOQ917210 DYM917210 EII917210 ESE917210 FCA917210 FLW917210 FVS917210 GFO917210 GPK917210 GZG917210 HJC917210 HSY917210 ICU917210 IMQ917210 IWM917210 JGI917210 JQE917210 KAA917210 KJW917210 KTS917210 LDO917210 LNK917210 LXG917210 MHC917210 MQY917210 NAU917210 NKQ917210 NUM917210 OEI917210 OOE917210 OYA917210 PHW917210 PRS917210 QBO917210 QLK917210 QVG917210 RFC917210 ROY917210 RYU917210 SIQ917210 SSM917210 TCI917210 TME917210 TWA917210 UFW917210 UPS917210 UZO917210 VJK917210 VTG917210 WDC917210 WMY917210 WWU917210 KI982746 UE982746 AEA982746 ANW982746 AXS982746 BHO982746 BRK982746 CBG982746 CLC982746 CUY982746 DEU982746 DOQ982746 DYM982746 EII982746 ESE982746 FCA982746 FLW982746 FVS982746 GFO982746 GPK982746 GZG982746 HJC982746 HSY982746 ICU982746 IMQ982746 IWM982746 JGI982746 JQE982746 KAA982746 KJW982746 KTS982746 LDO982746 LNK982746 LXG982746 MHC982746 MQY982746 NAU982746 NKQ982746 NUM982746 OEI982746 OOE982746 OYA982746 PHW982746 PRS982746 QBO982746 QLK982746 QVG982746 RFC982746 ROY982746 RYU982746 SIQ982746 SSM982746 TCI982746 TME982746 TWA982746 UFW982746 UPS982746 UZO982746 VJK982746 VTG982746 WDC982746 WMY982746 WWU982746 KI523928:KJ523932 UE523928:UF523932 AEA523928:AEB523932 ANW523928:ANX523932 AXS523928:AXT523932 BHO523928:BHP523932 BRK523928:BRL523932 CBG523928:CBH523932 CLC523928:CLD523932 CUY523928:CUZ523932 DEU523928:DEV523932 DOQ523928:DOR523932 DYM523928:DYN523932 EII523928:EIJ523932 ESE523928:ESF523932 FCA523928:FCB523932 FLW523928:FLX523932 FVS523928:FVT523932 GFO523928:GFP523932 GPK523928:GPL523932 GZG523928:GZH523932 HJC523928:HJD523932 HSY523928:HSZ523932 ICU523928:ICV523932 IMQ523928:IMR523932 IWM523928:IWN523932 JGI523928:JGJ523932 JQE523928:JQF523932 KAA523928:KAB523932 KJW523928:KJX523932 KTS523928:KTT523932 LDO523928:LDP523932 LNK523928:LNL523932 LXG523928:LXH523932 MHC523928:MHD523932 MQY523928:MQZ523932 NAU523928:NAV523932 NKQ523928:NKR523932 NUM523928:NUN523932 OEI523928:OEJ523932 OOE523928:OOF523932 OYA523928:OYB523932 PHW523928:PHX523932 PRS523928:PRT523932 QBO523928:QBP523932 QLK523928:QLL523932 QVG523928:QVH523932 RFC523928:RFD523932 ROY523928:ROZ523932 RYU523928:RYV523932 SIQ523928:SIR523932 SSM523928:SSN523932 TCI523928:TCJ523932 TME523928:TMF523932 TWA523928:TWB523932 UFW523928:UFX523932 UPS523928:UPT523932 UZO523928:UZP523932 VJK523928:VJL523932 VTG523928:VTH523932 WDC523928:WDD523932 WMY523928:WMZ523932 WWU523928:WWV523932 KI65231:KJ65236 UE65231:UF65236 AEA65231:AEB65236 ANW65231:ANX65236 AXS65231:AXT65236 BHO65231:BHP65236 BRK65231:BRL65236 CBG65231:CBH65236 CLC65231:CLD65236 CUY65231:CUZ65236 DEU65231:DEV65236 DOQ65231:DOR65236 DYM65231:DYN65236 EII65231:EIJ65236 ESE65231:ESF65236 FCA65231:FCB65236 FLW65231:FLX65236 FVS65231:FVT65236 GFO65231:GFP65236 GPK65231:GPL65236 GZG65231:GZH65236 HJC65231:HJD65236 HSY65231:HSZ65236 ICU65231:ICV65236 IMQ65231:IMR65236 IWM65231:IWN65236 JGI65231:JGJ65236 JQE65231:JQF65236 KAA65231:KAB65236 KJW65231:KJX65236 KTS65231:KTT65236 LDO65231:LDP65236 LNK65231:LNL65236 LXG65231:LXH65236 MHC65231:MHD65236 MQY65231:MQZ65236 NAU65231:NAV65236 NKQ65231:NKR65236 NUM65231:NUN65236 OEI65231:OEJ65236 OOE65231:OOF65236 OYA65231:OYB65236 PHW65231:PHX65236 PRS65231:PRT65236 QBO65231:QBP65236 QLK65231:QLL65236 QVG65231:QVH65236 RFC65231:RFD65236 ROY65231:ROZ65236 RYU65231:RYV65236 SIQ65231:SIR65236 SSM65231:SSN65236 TCI65231:TCJ65236 TME65231:TMF65236 TWA65231:TWB65236 UFW65231:UFX65236 UPS65231:UPT65236 UZO65231:UZP65236 VJK65231:VJL65236 VTG65231:VTH65236 WDC65231:WDD65236 WMY65231:WMZ65236 WWU65231:WWV65236 KI130767:KJ130772 UE130767:UF130772 AEA130767:AEB130772 ANW130767:ANX130772 AXS130767:AXT130772 BHO130767:BHP130772 BRK130767:BRL130772 CBG130767:CBH130772 CLC130767:CLD130772 CUY130767:CUZ130772 DEU130767:DEV130772 DOQ130767:DOR130772 DYM130767:DYN130772 EII130767:EIJ130772 ESE130767:ESF130772 FCA130767:FCB130772 FLW130767:FLX130772 FVS130767:FVT130772 GFO130767:GFP130772 GPK130767:GPL130772 GZG130767:GZH130772 HJC130767:HJD130772 HSY130767:HSZ130772 ICU130767:ICV130772 IMQ130767:IMR130772 IWM130767:IWN130772 JGI130767:JGJ130772 JQE130767:JQF130772 KAA130767:KAB130772 KJW130767:KJX130772 KTS130767:KTT130772 LDO130767:LDP130772 LNK130767:LNL130772 LXG130767:LXH130772 MHC130767:MHD130772 MQY130767:MQZ130772 NAU130767:NAV130772 NKQ130767:NKR130772 NUM130767:NUN130772 OEI130767:OEJ130772 OOE130767:OOF130772 OYA130767:OYB130772 PHW130767:PHX130772 PRS130767:PRT130772 QBO130767:QBP130772 QLK130767:QLL130772 QVG130767:QVH130772 RFC130767:RFD130772 ROY130767:ROZ130772 RYU130767:RYV130772 SIQ130767:SIR130772 SSM130767:SSN130772 TCI130767:TCJ130772 TME130767:TMF130772 TWA130767:TWB130772 UFW130767:UFX130772 UPS130767:UPT130772 UZO130767:UZP130772 VJK130767:VJL130772 VTG130767:VTH130772 WDC130767:WDD130772 WMY130767:WMZ130772 WWU130767:WWV130772 KI196303:KJ196308 UE196303:UF196308 AEA196303:AEB196308 ANW196303:ANX196308 AXS196303:AXT196308 BHO196303:BHP196308 BRK196303:BRL196308 CBG196303:CBH196308 CLC196303:CLD196308 CUY196303:CUZ196308 DEU196303:DEV196308 DOQ196303:DOR196308 DYM196303:DYN196308 EII196303:EIJ196308 ESE196303:ESF196308 FCA196303:FCB196308 FLW196303:FLX196308 FVS196303:FVT196308 GFO196303:GFP196308 GPK196303:GPL196308 GZG196303:GZH196308 HJC196303:HJD196308 HSY196303:HSZ196308 ICU196303:ICV196308 IMQ196303:IMR196308 IWM196303:IWN196308 JGI196303:JGJ196308 JQE196303:JQF196308 KAA196303:KAB196308 KJW196303:KJX196308 KTS196303:KTT196308 LDO196303:LDP196308 LNK196303:LNL196308 LXG196303:LXH196308 MHC196303:MHD196308 MQY196303:MQZ196308 NAU196303:NAV196308 NKQ196303:NKR196308 NUM196303:NUN196308 OEI196303:OEJ196308 OOE196303:OOF196308 OYA196303:OYB196308 PHW196303:PHX196308 PRS196303:PRT196308 QBO196303:QBP196308 QLK196303:QLL196308 QVG196303:QVH196308 RFC196303:RFD196308 ROY196303:ROZ196308 RYU196303:RYV196308 SIQ196303:SIR196308 SSM196303:SSN196308 TCI196303:TCJ196308 TME196303:TMF196308 TWA196303:TWB196308 UFW196303:UFX196308 UPS196303:UPT196308 UZO196303:UZP196308 VJK196303:VJL196308 VTG196303:VTH196308 WDC196303:WDD196308 WMY196303:WMZ196308 WWU196303:WWV196308 KI261839:KJ261844 UE261839:UF261844 AEA261839:AEB261844 ANW261839:ANX261844 AXS261839:AXT261844 BHO261839:BHP261844 BRK261839:BRL261844 CBG261839:CBH261844 CLC261839:CLD261844 CUY261839:CUZ261844 DEU261839:DEV261844 DOQ261839:DOR261844 DYM261839:DYN261844 EII261839:EIJ261844 ESE261839:ESF261844 FCA261839:FCB261844 FLW261839:FLX261844 FVS261839:FVT261844 GFO261839:GFP261844 GPK261839:GPL261844 GZG261839:GZH261844 HJC261839:HJD261844 HSY261839:HSZ261844 ICU261839:ICV261844 IMQ261839:IMR261844 IWM261839:IWN261844 JGI261839:JGJ261844 JQE261839:JQF261844 KAA261839:KAB261844 KJW261839:KJX261844 KTS261839:KTT261844 LDO261839:LDP261844 LNK261839:LNL261844 LXG261839:LXH261844 MHC261839:MHD261844 MQY261839:MQZ261844 NAU261839:NAV261844 NKQ261839:NKR261844 NUM261839:NUN261844 OEI261839:OEJ261844 OOE261839:OOF261844 OYA261839:OYB261844 PHW261839:PHX261844 PRS261839:PRT261844 QBO261839:QBP261844 QLK261839:QLL261844 QVG261839:QVH261844 RFC261839:RFD261844 ROY261839:ROZ261844 RYU261839:RYV261844 SIQ261839:SIR261844 SSM261839:SSN261844 TCI261839:TCJ261844 TME261839:TMF261844 TWA261839:TWB261844 UFW261839:UFX261844 UPS261839:UPT261844 UZO261839:UZP261844 VJK261839:VJL261844 VTG261839:VTH261844 WDC261839:WDD261844 WMY261839:WMZ261844 WWU261839:WWV261844 KI327375:KJ327380 UE327375:UF327380 AEA327375:AEB327380 ANW327375:ANX327380 AXS327375:AXT327380 BHO327375:BHP327380 BRK327375:BRL327380 CBG327375:CBH327380 CLC327375:CLD327380 CUY327375:CUZ327380 DEU327375:DEV327380 DOQ327375:DOR327380 DYM327375:DYN327380 EII327375:EIJ327380 ESE327375:ESF327380 FCA327375:FCB327380 FLW327375:FLX327380 FVS327375:FVT327380 GFO327375:GFP327380 GPK327375:GPL327380 GZG327375:GZH327380 HJC327375:HJD327380 HSY327375:HSZ327380 ICU327375:ICV327380 IMQ327375:IMR327380 IWM327375:IWN327380 JGI327375:JGJ327380 JQE327375:JQF327380 KAA327375:KAB327380 KJW327375:KJX327380 KTS327375:KTT327380 LDO327375:LDP327380 LNK327375:LNL327380 LXG327375:LXH327380 MHC327375:MHD327380 MQY327375:MQZ327380 NAU327375:NAV327380 NKQ327375:NKR327380 NUM327375:NUN327380 OEI327375:OEJ327380 OOE327375:OOF327380 OYA327375:OYB327380 PHW327375:PHX327380 PRS327375:PRT327380 QBO327375:QBP327380 QLK327375:QLL327380 QVG327375:QVH327380 RFC327375:RFD327380 ROY327375:ROZ327380 RYU327375:RYV327380 SIQ327375:SIR327380 SSM327375:SSN327380 TCI327375:TCJ327380 TME327375:TMF327380 TWA327375:TWB327380 UFW327375:UFX327380 UPS327375:UPT327380 UZO327375:UZP327380 VJK327375:VJL327380 VTG327375:VTH327380 WDC327375:WDD327380 WMY327375:WMZ327380 WWU327375:WWV327380 KI392911:KJ392916 UE392911:UF392916 AEA392911:AEB392916 ANW392911:ANX392916 AXS392911:AXT392916 BHO392911:BHP392916 BRK392911:BRL392916 CBG392911:CBH392916 CLC392911:CLD392916 CUY392911:CUZ392916 DEU392911:DEV392916 DOQ392911:DOR392916 DYM392911:DYN392916 EII392911:EIJ392916 ESE392911:ESF392916 FCA392911:FCB392916 FLW392911:FLX392916 FVS392911:FVT392916 GFO392911:GFP392916 GPK392911:GPL392916 GZG392911:GZH392916 HJC392911:HJD392916 HSY392911:HSZ392916 ICU392911:ICV392916 IMQ392911:IMR392916 IWM392911:IWN392916 JGI392911:JGJ392916 JQE392911:JQF392916 KAA392911:KAB392916 KJW392911:KJX392916 KTS392911:KTT392916 LDO392911:LDP392916 LNK392911:LNL392916 LXG392911:LXH392916 MHC392911:MHD392916 MQY392911:MQZ392916 NAU392911:NAV392916 NKQ392911:NKR392916 NUM392911:NUN392916 OEI392911:OEJ392916 OOE392911:OOF392916 OYA392911:OYB392916 PHW392911:PHX392916 PRS392911:PRT392916 QBO392911:QBP392916 QLK392911:QLL392916 QVG392911:QVH392916 RFC392911:RFD392916 ROY392911:ROZ392916 RYU392911:RYV392916 SIQ392911:SIR392916 SSM392911:SSN392916 TCI392911:TCJ392916 TME392911:TMF392916 TWA392911:TWB392916 UFW392911:UFX392916 UPS392911:UPT392916 UZO392911:UZP392916 VJK392911:VJL392916 VTG392911:VTH392916 WDC392911:WDD392916 WMY392911:WMZ392916 WWU392911:WWV392916 KI458447:KJ458452 UE458447:UF458452 AEA458447:AEB458452 ANW458447:ANX458452 AXS458447:AXT458452 BHO458447:BHP458452 BRK458447:BRL458452 CBG458447:CBH458452 CLC458447:CLD458452 CUY458447:CUZ458452 DEU458447:DEV458452 DOQ458447:DOR458452 DYM458447:DYN458452 EII458447:EIJ458452 ESE458447:ESF458452 FCA458447:FCB458452 FLW458447:FLX458452 FVS458447:FVT458452 GFO458447:GFP458452 GPK458447:GPL458452 GZG458447:GZH458452 HJC458447:HJD458452 HSY458447:HSZ458452 ICU458447:ICV458452 IMQ458447:IMR458452 IWM458447:IWN458452 JGI458447:JGJ458452 JQE458447:JQF458452 KAA458447:KAB458452 KJW458447:KJX458452 KTS458447:KTT458452 LDO458447:LDP458452 LNK458447:LNL458452 LXG458447:LXH458452 MHC458447:MHD458452 MQY458447:MQZ458452 NAU458447:NAV458452 NKQ458447:NKR458452 NUM458447:NUN458452 OEI458447:OEJ458452 OOE458447:OOF458452 OYA458447:OYB458452 PHW458447:PHX458452 PRS458447:PRT458452 QBO458447:QBP458452 QLK458447:QLL458452 QVG458447:QVH458452 RFC458447:RFD458452 ROY458447:ROZ458452 RYU458447:RYV458452 SIQ458447:SIR458452 SSM458447:SSN458452 TCI458447:TCJ458452 TME458447:TMF458452 TWA458447:TWB458452 UFW458447:UFX458452 UPS458447:UPT458452 UZO458447:UZP458452 VJK458447:VJL458452 VTG458447:VTH458452 WDC458447:WDD458452 WMY458447:WMZ458452 WWU458447:WWV458452 KI523983:KJ523988 UE523983:UF523988 AEA523983:AEB523988 ANW523983:ANX523988 AXS523983:AXT523988 BHO523983:BHP523988 BRK523983:BRL523988 CBG523983:CBH523988 CLC523983:CLD523988 CUY523983:CUZ523988 DEU523983:DEV523988 DOQ523983:DOR523988 DYM523983:DYN523988 EII523983:EIJ523988 ESE523983:ESF523988 FCA523983:FCB523988 FLW523983:FLX523988 FVS523983:FVT523988 GFO523983:GFP523988 GPK523983:GPL523988 GZG523983:GZH523988 HJC523983:HJD523988 HSY523983:HSZ523988 ICU523983:ICV523988 IMQ523983:IMR523988 IWM523983:IWN523988 JGI523983:JGJ523988 JQE523983:JQF523988 KAA523983:KAB523988 KJW523983:KJX523988 KTS523983:KTT523988 LDO523983:LDP523988 LNK523983:LNL523988 LXG523983:LXH523988 MHC523983:MHD523988 MQY523983:MQZ523988 NAU523983:NAV523988 NKQ523983:NKR523988 NUM523983:NUN523988 OEI523983:OEJ523988 OOE523983:OOF523988 OYA523983:OYB523988 PHW523983:PHX523988 PRS523983:PRT523988 QBO523983:QBP523988 QLK523983:QLL523988 QVG523983:QVH523988 RFC523983:RFD523988 ROY523983:ROZ523988 RYU523983:RYV523988 SIQ523983:SIR523988 SSM523983:SSN523988 TCI523983:TCJ523988 TME523983:TMF523988 TWA523983:TWB523988 UFW523983:UFX523988 UPS523983:UPT523988 UZO523983:UZP523988 VJK523983:VJL523988 VTG523983:VTH523988 WDC523983:WDD523988 WMY523983:WMZ523988 WWU523983:WWV523988 KI589519:KJ589524 UE589519:UF589524 AEA589519:AEB589524 ANW589519:ANX589524 AXS589519:AXT589524 BHO589519:BHP589524 BRK589519:BRL589524 CBG589519:CBH589524 CLC589519:CLD589524 CUY589519:CUZ589524 DEU589519:DEV589524 DOQ589519:DOR589524 DYM589519:DYN589524 EII589519:EIJ589524 ESE589519:ESF589524 FCA589519:FCB589524 FLW589519:FLX589524 FVS589519:FVT589524 GFO589519:GFP589524 GPK589519:GPL589524 GZG589519:GZH589524 HJC589519:HJD589524 HSY589519:HSZ589524 ICU589519:ICV589524 IMQ589519:IMR589524 IWM589519:IWN589524 JGI589519:JGJ589524 JQE589519:JQF589524 KAA589519:KAB589524 KJW589519:KJX589524 KTS589519:KTT589524 LDO589519:LDP589524 LNK589519:LNL589524 LXG589519:LXH589524 MHC589519:MHD589524 MQY589519:MQZ589524 NAU589519:NAV589524 NKQ589519:NKR589524 NUM589519:NUN589524 OEI589519:OEJ589524 OOE589519:OOF589524 OYA589519:OYB589524 PHW589519:PHX589524 PRS589519:PRT589524 QBO589519:QBP589524 QLK589519:QLL589524 QVG589519:QVH589524 RFC589519:RFD589524 ROY589519:ROZ589524 RYU589519:RYV589524 SIQ589519:SIR589524 SSM589519:SSN589524 TCI589519:TCJ589524 TME589519:TMF589524 TWA589519:TWB589524 UFW589519:UFX589524 UPS589519:UPT589524 UZO589519:UZP589524 VJK589519:VJL589524 VTG589519:VTH589524 WDC589519:WDD589524 WMY589519:WMZ589524 WWU589519:WWV589524 KI655055:KJ655060 UE655055:UF655060 AEA655055:AEB655060 ANW655055:ANX655060 AXS655055:AXT655060 BHO655055:BHP655060 BRK655055:BRL655060 CBG655055:CBH655060 CLC655055:CLD655060 CUY655055:CUZ655060 DEU655055:DEV655060 DOQ655055:DOR655060 DYM655055:DYN655060 EII655055:EIJ655060 ESE655055:ESF655060 FCA655055:FCB655060 FLW655055:FLX655060 FVS655055:FVT655060 GFO655055:GFP655060 GPK655055:GPL655060 GZG655055:GZH655060 HJC655055:HJD655060 HSY655055:HSZ655060 ICU655055:ICV655060 IMQ655055:IMR655060 IWM655055:IWN655060 JGI655055:JGJ655060 JQE655055:JQF655060 KAA655055:KAB655060 KJW655055:KJX655060 KTS655055:KTT655060 LDO655055:LDP655060 LNK655055:LNL655060 LXG655055:LXH655060 MHC655055:MHD655060 MQY655055:MQZ655060 NAU655055:NAV655060 NKQ655055:NKR655060 NUM655055:NUN655060 OEI655055:OEJ655060 OOE655055:OOF655060 OYA655055:OYB655060 PHW655055:PHX655060 PRS655055:PRT655060 QBO655055:QBP655060 QLK655055:QLL655060 QVG655055:QVH655060 RFC655055:RFD655060 ROY655055:ROZ655060 RYU655055:RYV655060 SIQ655055:SIR655060 SSM655055:SSN655060 TCI655055:TCJ655060 TME655055:TMF655060 TWA655055:TWB655060 UFW655055:UFX655060 UPS655055:UPT655060 UZO655055:UZP655060 VJK655055:VJL655060 VTG655055:VTH655060 WDC655055:WDD655060 WMY655055:WMZ655060 WWU655055:WWV655060 KI720591:KJ720596 UE720591:UF720596 AEA720591:AEB720596 ANW720591:ANX720596 AXS720591:AXT720596 BHO720591:BHP720596 BRK720591:BRL720596 CBG720591:CBH720596 CLC720591:CLD720596 CUY720591:CUZ720596 DEU720591:DEV720596 DOQ720591:DOR720596 DYM720591:DYN720596 EII720591:EIJ720596 ESE720591:ESF720596 FCA720591:FCB720596 FLW720591:FLX720596 FVS720591:FVT720596 GFO720591:GFP720596 GPK720591:GPL720596 GZG720591:GZH720596 HJC720591:HJD720596 HSY720591:HSZ720596 ICU720591:ICV720596 IMQ720591:IMR720596 IWM720591:IWN720596 JGI720591:JGJ720596 JQE720591:JQF720596 KAA720591:KAB720596 KJW720591:KJX720596 KTS720591:KTT720596 LDO720591:LDP720596 LNK720591:LNL720596 LXG720591:LXH720596 MHC720591:MHD720596 MQY720591:MQZ720596 NAU720591:NAV720596 NKQ720591:NKR720596 NUM720591:NUN720596 OEI720591:OEJ720596 OOE720591:OOF720596 OYA720591:OYB720596 PHW720591:PHX720596 PRS720591:PRT720596 QBO720591:QBP720596 QLK720591:QLL720596 QVG720591:QVH720596 RFC720591:RFD720596 ROY720591:ROZ720596 RYU720591:RYV720596 SIQ720591:SIR720596 SSM720591:SSN720596 TCI720591:TCJ720596 TME720591:TMF720596 TWA720591:TWB720596 UFW720591:UFX720596 UPS720591:UPT720596 UZO720591:UZP720596 VJK720591:VJL720596 VTG720591:VTH720596 WDC720591:WDD720596 WMY720591:WMZ720596 WWU720591:WWV720596 KI786127:KJ786132 UE786127:UF786132 AEA786127:AEB786132 ANW786127:ANX786132 AXS786127:AXT786132 BHO786127:BHP786132 BRK786127:BRL786132 CBG786127:CBH786132 CLC786127:CLD786132 CUY786127:CUZ786132 DEU786127:DEV786132 DOQ786127:DOR786132 DYM786127:DYN786132 EII786127:EIJ786132 ESE786127:ESF786132 FCA786127:FCB786132 FLW786127:FLX786132 FVS786127:FVT786132 GFO786127:GFP786132 GPK786127:GPL786132 GZG786127:GZH786132 HJC786127:HJD786132 HSY786127:HSZ786132 ICU786127:ICV786132 IMQ786127:IMR786132 IWM786127:IWN786132 JGI786127:JGJ786132 JQE786127:JQF786132 KAA786127:KAB786132 KJW786127:KJX786132 KTS786127:KTT786132 LDO786127:LDP786132 LNK786127:LNL786132 LXG786127:LXH786132 MHC786127:MHD786132 MQY786127:MQZ786132 NAU786127:NAV786132 NKQ786127:NKR786132 NUM786127:NUN786132 OEI786127:OEJ786132 OOE786127:OOF786132 OYA786127:OYB786132 PHW786127:PHX786132 PRS786127:PRT786132 QBO786127:QBP786132 QLK786127:QLL786132 QVG786127:QVH786132 RFC786127:RFD786132 ROY786127:ROZ786132 RYU786127:RYV786132 SIQ786127:SIR786132 SSM786127:SSN786132 TCI786127:TCJ786132 TME786127:TMF786132 TWA786127:TWB786132 UFW786127:UFX786132 UPS786127:UPT786132 UZO786127:UZP786132 VJK786127:VJL786132 VTG786127:VTH786132 WDC786127:WDD786132 WMY786127:WMZ786132 WWU786127:WWV786132 KI851663:KJ851668 UE851663:UF851668 AEA851663:AEB851668 ANW851663:ANX851668 AXS851663:AXT851668 BHO851663:BHP851668 BRK851663:BRL851668 CBG851663:CBH851668 CLC851663:CLD851668 CUY851663:CUZ851668 DEU851663:DEV851668 DOQ851663:DOR851668 DYM851663:DYN851668 EII851663:EIJ851668 ESE851663:ESF851668 FCA851663:FCB851668 FLW851663:FLX851668 FVS851663:FVT851668 GFO851663:GFP851668 GPK851663:GPL851668 GZG851663:GZH851668 HJC851663:HJD851668 HSY851663:HSZ851668 ICU851663:ICV851668 IMQ851663:IMR851668 IWM851663:IWN851668 JGI851663:JGJ851668 JQE851663:JQF851668 KAA851663:KAB851668 KJW851663:KJX851668 KTS851663:KTT851668 LDO851663:LDP851668 LNK851663:LNL851668 LXG851663:LXH851668 MHC851663:MHD851668 MQY851663:MQZ851668 NAU851663:NAV851668 NKQ851663:NKR851668 NUM851663:NUN851668 OEI851663:OEJ851668 OOE851663:OOF851668 OYA851663:OYB851668 PHW851663:PHX851668 PRS851663:PRT851668 QBO851663:QBP851668 QLK851663:QLL851668 QVG851663:QVH851668 RFC851663:RFD851668 ROY851663:ROZ851668 RYU851663:RYV851668 SIQ851663:SIR851668 SSM851663:SSN851668 TCI851663:TCJ851668 TME851663:TMF851668 TWA851663:TWB851668 UFW851663:UFX851668 UPS851663:UPT851668 UZO851663:UZP851668 VJK851663:VJL851668 VTG851663:VTH851668 WDC851663:WDD851668 WMY851663:WMZ851668 WWU851663:WWV851668 KI917199:KJ917204 UE917199:UF917204 AEA917199:AEB917204 ANW917199:ANX917204 AXS917199:AXT917204 BHO917199:BHP917204 BRK917199:BRL917204 CBG917199:CBH917204 CLC917199:CLD917204 CUY917199:CUZ917204 DEU917199:DEV917204 DOQ917199:DOR917204 DYM917199:DYN917204 EII917199:EIJ917204 ESE917199:ESF917204 FCA917199:FCB917204 FLW917199:FLX917204 FVS917199:FVT917204 GFO917199:GFP917204 GPK917199:GPL917204 GZG917199:GZH917204 HJC917199:HJD917204 HSY917199:HSZ917204 ICU917199:ICV917204 IMQ917199:IMR917204 IWM917199:IWN917204 JGI917199:JGJ917204 JQE917199:JQF917204 KAA917199:KAB917204 KJW917199:KJX917204 KTS917199:KTT917204 LDO917199:LDP917204 LNK917199:LNL917204 LXG917199:LXH917204 MHC917199:MHD917204 MQY917199:MQZ917204 NAU917199:NAV917204 NKQ917199:NKR917204 NUM917199:NUN917204 OEI917199:OEJ917204 OOE917199:OOF917204 OYA917199:OYB917204 PHW917199:PHX917204 PRS917199:PRT917204 QBO917199:QBP917204 QLK917199:QLL917204 QVG917199:QVH917204 RFC917199:RFD917204 ROY917199:ROZ917204 RYU917199:RYV917204 SIQ917199:SIR917204 SSM917199:SSN917204 TCI917199:TCJ917204 TME917199:TMF917204 TWA917199:TWB917204 UFW917199:UFX917204 UPS917199:UPT917204 UZO917199:UZP917204 VJK917199:VJL917204 VTG917199:VTH917204 WDC917199:WDD917204 WMY917199:WMZ917204 WWU917199:WWV917204 KI982735:KJ982740 UE982735:UF982740 AEA982735:AEB982740 ANW982735:ANX982740 AXS982735:AXT982740 BHO982735:BHP982740 BRK982735:BRL982740 CBG982735:CBH982740 CLC982735:CLD982740 CUY982735:CUZ982740 DEU982735:DEV982740 DOQ982735:DOR982740 DYM982735:DYN982740 EII982735:EIJ982740 ESE982735:ESF982740 FCA982735:FCB982740 FLW982735:FLX982740 FVS982735:FVT982740 GFO982735:GFP982740 GPK982735:GPL982740 GZG982735:GZH982740 HJC982735:HJD982740 HSY982735:HSZ982740 ICU982735:ICV982740 IMQ982735:IMR982740 IWM982735:IWN982740 JGI982735:JGJ982740 JQE982735:JQF982740 KAA982735:KAB982740 KJW982735:KJX982740 KTS982735:KTT982740 LDO982735:LDP982740 LNK982735:LNL982740 LXG982735:LXH982740 MHC982735:MHD982740 MQY982735:MQZ982740 NAU982735:NAV982740 NKQ982735:NKR982740 NUM982735:NUN982740 OEI982735:OEJ982740 OOE982735:OOF982740 OYA982735:OYB982740 PHW982735:PHX982740 PRS982735:PRT982740 QBO982735:QBP982740 QLK982735:QLL982740 QVG982735:QVH982740 RFC982735:RFD982740 ROY982735:ROZ982740 RYU982735:RYV982740 SIQ982735:SIR982740 SSM982735:SSN982740 TCI982735:TCJ982740 TME982735:TMF982740 TWA982735:TWB982740 UFW982735:UFX982740 UPS982735:UPT982740 UZO982735:UZP982740 VJK982735:VJL982740 VTG982735:VTH982740 WDC982735:WDD982740 WMY982735:WMZ982740 WWU982735:WWV982740 KI589464:KJ589468 UE589464:UF589468 AEA589464:AEB589468 ANW589464:ANX589468 AXS589464:AXT589468 BHO589464:BHP589468 BRK589464:BRL589468 CBG589464:CBH589468 CLC589464:CLD589468 CUY589464:CUZ589468 DEU589464:DEV589468 DOQ589464:DOR589468 DYM589464:DYN589468 EII589464:EIJ589468 ESE589464:ESF589468 FCA589464:FCB589468 FLW589464:FLX589468 FVS589464:FVT589468 GFO589464:GFP589468 GPK589464:GPL589468 GZG589464:GZH589468 HJC589464:HJD589468 HSY589464:HSZ589468 ICU589464:ICV589468 IMQ589464:IMR589468 IWM589464:IWN589468 JGI589464:JGJ589468 JQE589464:JQF589468 KAA589464:KAB589468 KJW589464:KJX589468 KTS589464:KTT589468 LDO589464:LDP589468 LNK589464:LNL589468 LXG589464:LXH589468 MHC589464:MHD589468 MQY589464:MQZ589468 NAU589464:NAV589468 NKQ589464:NKR589468 NUM589464:NUN589468 OEI589464:OEJ589468 OOE589464:OOF589468 OYA589464:OYB589468 PHW589464:PHX589468 PRS589464:PRT589468 QBO589464:QBP589468 QLK589464:QLL589468 QVG589464:QVH589468 RFC589464:RFD589468 ROY589464:ROZ589468 RYU589464:RYV589468 SIQ589464:SIR589468 SSM589464:SSN589468 TCI589464:TCJ589468 TME589464:TMF589468 TWA589464:TWB589468 UFW589464:UFX589468 UPS589464:UPT589468 UZO589464:UZP589468 VJK589464:VJL589468 VTG589464:VTH589468 WDC589464:WDD589468 WMY589464:WMZ589468 WWU589464:WWV589468 KI65219:KJ65229 UE65219:UF65229 AEA65219:AEB65229 ANW65219:ANX65229 AXS65219:AXT65229 BHO65219:BHP65229 BRK65219:BRL65229 CBG65219:CBH65229 CLC65219:CLD65229 CUY65219:CUZ65229 DEU65219:DEV65229 DOQ65219:DOR65229 DYM65219:DYN65229 EII65219:EIJ65229 ESE65219:ESF65229 FCA65219:FCB65229 FLW65219:FLX65229 FVS65219:FVT65229 GFO65219:GFP65229 GPK65219:GPL65229 GZG65219:GZH65229 HJC65219:HJD65229 HSY65219:HSZ65229 ICU65219:ICV65229 IMQ65219:IMR65229 IWM65219:IWN65229 JGI65219:JGJ65229 JQE65219:JQF65229 KAA65219:KAB65229 KJW65219:KJX65229 KTS65219:KTT65229 LDO65219:LDP65229 LNK65219:LNL65229 LXG65219:LXH65229 MHC65219:MHD65229 MQY65219:MQZ65229 NAU65219:NAV65229 NKQ65219:NKR65229 NUM65219:NUN65229 OEI65219:OEJ65229 OOE65219:OOF65229 OYA65219:OYB65229 PHW65219:PHX65229 PRS65219:PRT65229 QBO65219:QBP65229 QLK65219:QLL65229 QVG65219:QVH65229 RFC65219:RFD65229 ROY65219:ROZ65229 RYU65219:RYV65229 SIQ65219:SIR65229 SSM65219:SSN65229 TCI65219:TCJ65229 TME65219:TMF65229 TWA65219:TWB65229 UFW65219:UFX65229 UPS65219:UPT65229 UZO65219:UZP65229 VJK65219:VJL65229 VTG65219:VTH65229 WDC65219:WDD65229 WMY65219:WMZ65229 WWU65219:WWV65229 KI130755:KJ130765 UE130755:UF130765 AEA130755:AEB130765 ANW130755:ANX130765 AXS130755:AXT130765 BHO130755:BHP130765 BRK130755:BRL130765 CBG130755:CBH130765 CLC130755:CLD130765 CUY130755:CUZ130765 DEU130755:DEV130765 DOQ130755:DOR130765 DYM130755:DYN130765 EII130755:EIJ130765 ESE130755:ESF130765 FCA130755:FCB130765 FLW130755:FLX130765 FVS130755:FVT130765 GFO130755:GFP130765 GPK130755:GPL130765 GZG130755:GZH130765 HJC130755:HJD130765 HSY130755:HSZ130765 ICU130755:ICV130765 IMQ130755:IMR130765 IWM130755:IWN130765 JGI130755:JGJ130765 JQE130755:JQF130765 KAA130755:KAB130765 KJW130755:KJX130765 KTS130755:KTT130765 LDO130755:LDP130765 LNK130755:LNL130765 LXG130755:LXH130765 MHC130755:MHD130765 MQY130755:MQZ130765 NAU130755:NAV130765 NKQ130755:NKR130765 NUM130755:NUN130765 OEI130755:OEJ130765 OOE130755:OOF130765 OYA130755:OYB130765 PHW130755:PHX130765 PRS130755:PRT130765 QBO130755:QBP130765 QLK130755:QLL130765 QVG130755:QVH130765 RFC130755:RFD130765 ROY130755:ROZ130765 RYU130755:RYV130765 SIQ130755:SIR130765 SSM130755:SSN130765 TCI130755:TCJ130765 TME130755:TMF130765 TWA130755:TWB130765 UFW130755:UFX130765 UPS130755:UPT130765 UZO130755:UZP130765 VJK130755:VJL130765 VTG130755:VTH130765 WDC130755:WDD130765 WMY130755:WMZ130765 WWU130755:WWV130765 KI196291:KJ196301 UE196291:UF196301 AEA196291:AEB196301 ANW196291:ANX196301 AXS196291:AXT196301 BHO196291:BHP196301 BRK196291:BRL196301 CBG196291:CBH196301 CLC196291:CLD196301 CUY196291:CUZ196301 DEU196291:DEV196301 DOQ196291:DOR196301 DYM196291:DYN196301 EII196291:EIJ196301 ESE196291:ESF196301 FCA196291:FCB196301 FLW196291:FLX196301 FVS196291:FVT196301 GFO196291:GFP196301 GPK196291:GPL196301 GZG196291:GZH196301 HJC196291:HJD196301 HSY196291:HSZ196301 ICU196291:ICV196301 IMQ196291:IMR196301 IWM196291:IWN196301 JGI196291:JGJ196301 JQE196291:JQF196301 KAA196291:KAB196301 KJW196291:KJX196301 KTS196291:KTT196301 LDO196291:LDP196301 LNK196291:LNL196301 LXG196291:LXH196301 MHC196291:MHD196301 MQY196291:MQZ196301 NAU196291:NAV196301 NKQ196291:NKR196301 NUM196291:NUN196301 OEI196291:OEJ196301 OOE196291:OOF196301 OYA196291:OYB196301 PHW196291:PHX196301 PRS196291:PRT196301 QBO196291:QBP196301 QLK196291:QLL196301 QVG196291:QVH196301 RFC196291:RFD196301 ROY196291:ROZ196301 RYU196291:RYV196301 SIQ196291:SIR196301 SSM196291:SSN196301 TCI196291:TCJ196301 TME196291:TMF196301 TWA196291:TWB196301 UFW196291:UFX196301 UPS196291:UPT196301 UZO196291:UZP196301 VJK196291:VJL196301 VTG196291:VTH196301 WDC196291:WDD196301 WMY196291:WMZ196301 WWU196291:WWV196301 KI261827:KJ261837 UE261827:UF261837 AEA261827:AEB261837 ANW261827:ANX261837 AXS261827:AXT261837 BHO261827:BHP261837 BRK261827:BRL261837 CBG261827:CBH261837 CLC261827:CLD261837 CUY261827:CUZ261837 DEU261827:DEV261837 DOQ261827:DOR261837 DYM261827:DYN261837 EII261827:EIJ261837 ESE261827:ESF261837 FCA261827:FCB261837 FLW261827:FLX261837 FVS261827:FVT261837 GFO261827:GFP261837 GPK261827:GPL261837 GZG261827:GZH261837 HJC261827:HJD261837 HSY261827:HSZ261837 ICU261827:ICV261837 IMQ261827:IMR261837 IWM261827:IWN261837 JGI261827:JGJ261837 JQE261827:JQF261837 KAA261827:KAB261837 KJW261827:KJX261837 KTS261827:KTT261837 LDO261827:LDP261837 LNK261827:LNL261837 LXG261827:LXH261837 MHC261827:MHD261837 MQY261827:MQZ261837 NAU261827:NAV261837 NKQ261827:NKR261837 NUM261827:NUN261837 OEI261827:OEJ261837 OOE261827:OOF261837 OYA261827:OYB261837 PHW261827:PHX261837 PRS261827:PRT261837 QBO261827:QBP261837 QLK261827:QLL261837 QVG261827:QVH261837 RFC261827:RFD261837 ROY261827:ROZ261837 RYU261827:RYV261837 SIQ261827:SIR261837 SSM261827:SSN261837 TCI261827:TCJ261837 TME261827:TMF261837 TWA261827:TWB261837 UFW261827:UFX261837 UPS261827:UPT261837 UZO261827:UZP261837 VJK261827:VJL261837 VTG261827:VTH261837 WDC261827:WDD261837 WMY261827:WMZ261837 WWU261827:WWV261837 KI327363:KJ327373 UE327363:UF327373 AEA327363:AEB327373 ANW327363:ANX327373 AXS327363:AXT327373 BHO327363:BHP327373 BRK327363:BRL327373 CBG327363:CBH327373 CLC327363:CLD327373 CUY327363:CUZ327373 DEU327363:DEV327373 DOQ327363:DOR327373 DYM327363:DYN327373 EII327363:EIJ327373 ESE327363:ESF327373 FCA327363:FCB327373 FLW327363:FLX327373 FVS327363:FVT327373 GFO327363:GFP327373 GPK327363:GPL327373 GZG327363:GZH327373 HJC327363:HJD327373 HSY327363:HSZ327373 ICU327363:ICV327373 IMQ327363:IMR327373 IWM327363:IWN327373 JGI327363:JGJ327373 JQE327363:JQF327373 KAA327363:KAB327373 KJW327363:KJX327373 KTS327363:KTT327373 LDO327363:LDP327373 LNK327363:LNL327373 LXG327363:LXH327373 MHC327363:MHD327373 MQY327363:MQZ327373 NAU327363:NAV327373 NKQ327363:NKR327373 NUM327363:NUN327373 OEI327363:OEJ327373 OOE327363:OOF327373 OYA327363:OYB327373 PHW327363:PHX327373 PRS327363:PRT327373 QBO327363:QBP327373 QLK327363:QLL327373 QVG327363:QVH327373 RFC327363:RFD327373 ROY327363:ROZ327373 RYU327363:RYV327373 SIQ327363:SIR327373 SSM327363:SSN327373 TCI327363:TCJ327373 TME327363:TMF327373 TWA327363:TWB327373 UFW327363:UFX327373 UPS327363:UPT327373 UZO327363:UZP327373 VJK327363:VJL327373 VTG327363:VTH327373 WDC327363:WDD327373 WMY327363:WMZ327373 WWU327363:WWV327373 KI392899:KJ392909 UE392899:UF392909 AEA392899:AEB392909 ANW392899:ANX392909 AXS392899:AXT392909 BHO392899:BHP392909 BRK392899:BRL392909 CBG392899:CBH392909 CLC392899:CLD392909 CUY392899:CUZ392909 DEU392899:DEV392909 DOQ392899:DOR392909 DYM392899:DYN392909 EII392899:EIJ392909 ESE392899:ESF392909 FCA392899:FCB392909 FLW392899:FLX392909 FVS392899:FVT392909 GFO392899:GFP392909 GPK392899:GPL392909 GZG392899:GZH392909 HJC392899:HJD392909 HSY392899:HSZ392909 ICU392899:ICV392909 IMQ392899:IMR392909 IWM392899:IWN392909 JGI392899:JGJ392909 JQE392899:JQF392909 KAA392899:KAB392909 KJW392899:KJX392909 KTS392899:KTT392909 LDO392899:LDP392909 LNK392899:LNL392909 LXG392899:LXH392909 MHC392899:MHD392909 MQY392899:MQZ392909 NAU392899:NAV392909 NKQ392899:NKR392909 NUM392899:NUN392909 OEI392899:OEJ392909 OOE392899:OOF392909 OYA392899:OYB392909 PHW392899:PHX392909 PRS392899:PRT392909 QBO392899:QBP392909 QLK392899:QLL392909 QVG392899:QVH392909 RFC392899:RFD392909 ROY392899:ROZ392909 RYU392899:RYV392909 SIQ392899:SIR392909 SSM392899:SSN392909 TCI392899:TCJ392909 TME392899:TMF392909 TWA392899:TWB392909 UFW392899:UFX392909 UPS392899:UPT392909 UZO392899:UZP392909 VJK392899:VJL392909 VTG392899:VTH392909 WDC392899:WDD392909 WMY392899:WMZ392909 WWU392899:WWV392909 KI458435:KJ458445 UE458435:UF458445 AEA458435:AEB458445 ANW458435:ANX458445 AXS458435:AXT458445 BHO458435:BHP458445 BRK458435:BRL458445 CBG458435:CBH458445 CLC458435:CLD458445 CUY458435:CUZ458445 DEU458435:DEV458445 DOQ458435:DOR458445 DYM458435:DYN458445 EII458435:EIJ458445 ESE458435:ESF458445 FCA458435:FCB458445 FLW458435:FLX458445 FVS458435:FVT458445 GFO458435:GFP458445 GPK458435:GPL458445 GZG458435:GZH458445 HJC458435:HJD458445 HSY458435:HSZ458445 ICU458435:ICV458445 IMQ458435:IMR458445 IWM458435:IWN458445 JGI458435:JGJ458445 JQE458435:JQF458445 KAA458435:KAB458445 KJW458435:KJX458445 KTS458435:KTT458445 LDO458435:LDP458445 LNK458435:LNL458445 LXG458435:LXH458445 MHC458435:MHD458445 MQY458435:MQZ458445 NAU458435:NAV458445 NKQ458435:NKR458445 NUM458435:NUN458445 OEI458435:OEJ458445 OOE458435:OOF458445 OYA458435:OYB458445 PHW458435:PHX458445 PRS458435:PRT458445 QBO458435:QBP458445 QLK458435:QLL458445 QVG458435:QVH458445 RFC458435:RFD458445 ROY458435:ROZ458445 RYU458435:RYV458445 SIQ458435:SIR458445 SSM458435:SSN458445 TCI458435:TCJ458445 TME458435:TMF458445 TWA458435:TWB458445 UFW458435:UFX458445 UPS458435:UPT458445 UZO458435:UZP458445 VJK458435:VJL458445 VTG458435:VTH458445 WDC458435:WDD458445 WMY458435:WMZ458445 WWU458435:WWV458445 KI523971:KJ523981 UE523971:UF523981 AEA523971:AEB523981 ANW523971:ANX523981 AXS523971:AXT523981 BHO523971:BHP523981 BRK523971:BRL523981 CBG523971:CBH523981 CLC523971:CLD523981 CUY523971:CUZ523981 DEU523971:DEV523981 DOQ523971:DOR523981 DYM523971:DYN523981 EII523971:EIJ523981 ESE523971:ESF523981 FCA523971:FCB523981 FLW523971:FLX523981 FVS523971:FVT523981 GFO523971:GFP523981 GPK523971:GPL523981 GZG523971:GZH523981 HJC523971:HJD523981 HSY523971:HSZ523981 ICU523971:ICV523981 IMQ523971:IMR523981 IWM523971:IWN523981 JGI523971:JGJ523981 JQE523971:JQF523981 KAA523971:KAB523981 KJW523971:KJX523981 KTS523971:KTT523981 LDO523971:LDP523981 LNK523971:LNL523981 LXG523971:LXH523981 MHC523971:MHD523981 MQY523971:MQZ523981 NAU523971:NAV523981 NKQ523971:NKR523981 NUM523971:NUN523981 OEI523971:OEJ523981 OOE523971:OOF523981 OYA523971:OYB523981 PHW523971:PHX523981 PRS523971:PRT523981 QBO523971:QBP523981 QLK523971:QLL523981 QVG523971:QVH523981 RFC523971:RFD523981 ROY523971:ROZ523981 RYU523971:RYV523981 SIQ523971:SIR523981 SSM523971:SSN523981 TCI523971:TCJ523981 TME523971:TMF523981 TWA523971:TWB523981 UFW523971:UFX523981 UPS523971:UPT523981 UZO523971:UZP523981 VJK523971:VJL523981 VTG523971:VTH523981 WDC523971:WDD523981 WMY523971:WMZ523981 WWU523971:WWV523981 KI589507:KJ589517 UE589507:UF589517 AEA589507:AEB589517 ANW589507:ANX589517 AXS589507:AXT589517 BHO589507:BHP589517 BRK589507:BRL589517 CBG589507:CBH589517 CLC589507:CLD589517 CUY589507:CUZ589517 DEU589507:DEV589517 DOQ589507:DOR589517 DYM589507:DYN589517 EII589507:EIJ589517 ESE589507:ESF589517 FCA589507:FCB589517 FLW589507:FLX589517 FVS589507:FVT589517 GFO589507:GFP589517 GPK589507:GPL589517 GZG589507:GZH589517 HJC589507:HJD589517 HSY589507:HSZ589517 ICU589507:ICV589517 IMQ589507:IMR589517 IWM589507:IWN589517 JGI589507:JGJ589517 JQE589507:JQF589517 KAA589507:KAB589517 KJW589507:KJX589517 KTS589507:KTT589517 LDO589507:LDP589517 LNK589507:LNL589517 LXG589507:LXH589517 MHC589507:MHD589517 MQY589507:MQZ589517 NAU589507:NAV589517 NKQ589507:NKR589517 NUM589507:NUN589517 OEI589507:OEJ589517 OOE589507:OOF589517 OYA589507:OYB589517 PHW589507:PHX589517 PRS589507:PRT589517 QBO589507:QBP589517 QLK589507:QLL589517 QVG589507:QVH589517 RFC589507:RFD589517 ROY589507:ROZ589517 RYU589507:RYV589517 SIQ589507:SIR589517 SSM589507:SSN589517 TCI589507:TCJ589517 TME589507:TMF589517 TWA589507:TWB589517 UFW589507:UFX589517 UPS589507:UPT589517 UZO589507:UZP589517 VJK589507:VJL589517 VTG589507:VTH589517 WDC589507:WDD589517 WMY589507:WMZ589517 WWU589507:WWV589517 KI655043:KJ655053 UE655043:UF655053 AEA655043:AEB655053 ANW655043:ANX655053 AXS655043:AXT655053 BHO655043:BHP655053 BRK655043:BRL655053 CBG655043:CBH655053 CLC655043:CLD655053 CUY655043:CUZ655053 DEU655043:DEV655053 DOQ655043:DOR655053 DYM655043:DYN655053 EII655043:EIJ655053 ESE655043:ESF655053 FCA655043:FCB655053 FLW655043:FLX655053 FVS655043:FVT655053 GFO655043:GFP655053 GPK655043:GPL655053 GZG655043:GZH655053 HJC655043:HJD655053 HSY655043:HSZ655053 ICU655043:ICV655053 IMQ655043:IMR655053 IWM655043:IWN655053 JGI655043:JGJ655053 JQE655043:JQF655053 KAA655043:KAB655053 KJW655043:KJX655053 KTS655043:KTT655053 LDO655043:LDP655053 LNK655043:LNL655053 LXG655043:LXH655053 MHC655043:MHD655053 MQY655043:MQZ655053 NAU655043:NAV655053 NKQ655043:NKR655053 NUM655043:NUN655053 OEI655043:OEJ655053 OOE655043:OOF655053 OYA655043:OYB655053 PHW655043:PHX655053 PRS655043:PRT655053 QBO655043:QBP655053 QLK655043:QLL655053 QVG655043:QVH655053 RFC655043:RFD655053 ROY655043:ROZ655053 RYU655043:RYV655053 SIQ655043:SIR655053 SSM655043:SSN655053 TCI655043:TCJ655053 TME655043:TMF655053 TWA655043:TWB655053 UFW655043:UFX655053 UPS655043:UPT655053 UZO655043:UZP655053 VJK655043:VJL655053 VTG655043:VTH655053 WDC655043:WDD655053 WMY655043:WMZ655053 WWU655043:WWV655053 KI720579:KJ720589 UE720579:UF720589 AEA720579:AEB720589 ANW720579:ANX720589 AXS720579:AXT720589 BHO720579:BHP720589 BRK720579:BRL720589 CBG720579:CBH720589 CLC720579:CLD720589 CUY720579:CUZ720589 DEU720579:DEV720589 DOQ720579:DOR720589 DYM720579:DYN720589 EII720579:EIJ720589 ESE720579:ESF720589 FCA720579:FCB720589 FLW720579:FLX720589 FVS720579:FVT720589 GFO720579:GFP720589 GPK720579:GPL720589 GZG720579:GZH720589 HJC720579:HJD720589 HSY720579:HSZ720589 ICU720579:ICV720589 IMQ720579:IMR720589 IWM720579:IWN720589 JGI720579:JGJ720589 JQE720579:JQF720589 KAA720579:KAB720589 KJW720579:KJX720589 KTS720579:KTT720589 LDO720579:LDP720589 LNK720579:LNL720589 LXG720579:LXH720589 MHC720579:MHD720589 MQY720579:MQZ720589 NAU720579:NAV720589 NKQ720579:NKR720589 NUM720579:NUN720589 OEI720579:OEJ720589 OOE720579:OOF720589 OYA720579:OYB720589 PHW720579:PHX720589 PRS720579:PRT720589 QBO720579:QBP720589 QLK720579:QLL720589 QVG720579:QVH720589 RFC720579:RFD720589 ROY720579:ROZ720589 RYU720579:RYV720589 SIQ720579:SIR720589 SSM720579:SSN720589 TCI720579:TCJ720589 TME720579:TMF720589 TWA720579:TWB720589 UFW720579:UFX720589 UPS720579:UPT720589 UZO720579:UZP720589 VJK720579:VJL720589 VTG720579:VTH720589 WDC720579:WDD720589 WMY720579:WMZ720589 WWU720579:WWV720589 KI786115:KJ786125 UE786115:UF786125 AEA786115:AEB786125 ANW786115:ANX786125 AXS786115:AXT786125 BHO786115:BHP786125 BRK786115:BRL786125 CBG786115:CBH786125 CLC786115:CLD786125 CUY786115:CUZ786125 DEU786115:DEV786125 DOQ786115:DOR786125 DYM786115:DYN786125 EII786115:EIJ786125 ESE786115:ESF786125 FCA786115:FCB786125 FLW786115:FLX786125 FVS786115:FVT786125 GFO786115:GFP786125 GPK786115:GPL786125 GZG786115:GZH786125 HJC786115:HJD786125 HSY786115:HSZ786125 ICU786115:ICV786125 IMQ786115:IMR786125 IWM786115:IWN786125 JGI786115:JGJ786125 JQE786115:JQF786125 KAA786115:KAB786125 KJW786115:KJX786125 KTS786115:KTT786125 LDO786115:LDP786125 LNK786115:LNL786125 LXG786115:LXH786125 MHC786115:MHD786125 MQY786115:MQZ786125 NAU786115:NAV786125 NKQ786115:NKR786125 NUM786115:NUN786125 OEI786115:OEJ786125 OOE786115:OOF786125 OYA786115:OYB786125 PHW786115:PHX786125 PRS786115:PRT786125 QBO786115:QBP786125 QLK786115:QLL786125 QVG786115:QVH786125 RFC786115:RFD786125 ROY786115:ROZ786125 RYU786115:RYV786125 SIQ786115:SIR786125 SSM786115:SSN786125 TCI786115:TCJ786125 TME786115:TMF786125 TWA786115:TWB786125 UFW786115:UFX786125 UPS786115:UPT786125 UZO786115:UZP786125 VJK786115:VJL786125 VTG786115:VTH786125 WDC786115:WDD786125 WMY786115:WMZ786125 WWU786115:WWV786125 KI851651:KJ851661 UE851651:UF851661 AEA851651:AEB851661 ANW851651:ANX851661 AXS851651:AXT851661 BHO851651:BHP851661 BRK851651:BRL851661 CBG851651:CBH851661 CLC851651:CLD851661 CUY851651:CUZ851661 DEU851651:DEV851661 DOQ851651:DOR851661 DYM851651:DYN851661 EII851651:EIJ851661 ESE851651:ESF851661 FCA851651:FCB851661 FLW851651:FLX851661 FVS851651:FVT851661 GFO851651:GFP851661 GPK851651:GPL851661 GZG851651:GZH851661 HJC851651:HJD851661 HSY851651:HSZ851661 ICU851651:ICV851661 IMQ851651:IMR851661 IWM851651:IWN851661 JGI851651:JGJ851661 JQE851651:JQF851661 KAA851651:KAB851661 KJW851651:KJX851661 KTS851651:KTT851661 LDO851651:LDP851661 LNK851651:LNL851661 LXG851651:LXH851661 MHC851651:MHD851661 MQY851651:MQZ851661 NAU851651:NAV851661 NKQ851651:NKR851661 NUM851651:NUN851661 OEI851651:OEJ851661 OOE851651:OOF851661 OYA851651:OYB851661 PHW851651:PHX851661 PRS851651:PRT851661 QBO851651:QBP851661 QLK851651:QLL851661 QVG851651:QVH851661 RFC851651:RFD851661 ROY851651:ROZ851661 RYU851651:RYV851661 SIQ851651:SIR851661 SSM851651:SSN851661 TCI851651:TCJ851661 TME851651:TMF851661 TWA851651:TWB851661 UFW851651:UFX851661 UPS851651:UPT851661 UZO851651:UZP851661 VJK851651:VJL851661 VTG851651:VTH851661 WDC851651:WDD851661 WMY851651:WMZ851661 WWU851651:WWV851661 KI917187:KJ917197 UE917187:UF917197 AEA917187:AEB917197 ANW917187:ANX917197 AXS917187:AXT917197 BHO917187:BHP917197 BRK917187:BRL917197 CBG917187:CBH917197 CLC917187:CLD917197 CUY917187:CUZ917197 DEU917187:DEV917197 DOQ917187:DOR917197 DYM917187:DYN917197 EII917187:EIJ917197 ESE917187:ESF917197 FCA917187:FCB917197 FLW917187:FLX917197 FVS917187:FVT917197 GFO917187:GFP917197 GPK917187:GPL917197 GZG917187:GZH917197 HJC917187:HJD917197 HSY917187:HSZ917197 ICU917187:ICV917197 IMQ917187:IMR917197 IWM917187:IWN917197 JGI917187:JGJ917197 JQE917187:JQF917197 KAA917187:KAB917197 KJW917187:KJX917197 KTS917187:KTT917197 LDO917187:LDP917197 LNK917187:LNL917197 LXG917187:LXH917197 MHC917187:MHD917197 MQY917187:MQZ917197 NAU917187:NAV917197 NKQ917187:NKR917197 NUM917187:NUN917197 OEI917187:OEJ917197 OOE917187:OOF917197 OYA917187:OYB917197 PHW917187:PHX917197 PRS917187:PRT917197 QBO917187:QBP917197 QLK917187:QLL917197 QVG917187:QVH917197 RFC917187:RFD917197 ROY917187:ROZ917197 RYU917187:RYV917197 SIQ917187:SIR917197 SSM917187:SSN917197 TCI917187:TCJ917197 TME917187:TMF917197 TWA917187:TWB917197 UFW917187:UFX917197 UPS917187:UPT917197 UZO917187:UZP917197 VJK917187:VJL917197 VTG917187:VTH917197 WDC917187:WDD917197 WMY917187:WMZ917197 WWU917187:WWV917197 KI982723:KJ982733 UE982723:UF982733 AEA982723:AEB982733 ANW982723:ANX982733 AXS982723:AXT982733 BHO982723:BHP982733 BRK982723:BRL982733 CBG982723:CBH982733 CLC982723:CLD982733 CUY982723:CUZ982733 DEU982723:DEV982733 DOQ982723:DOR982733 DYM982723:DYN982733 EII982723:EIJ982733 ESE982723:ESF982733 FCA982723:FCB982733 FLW982723:FLX982733 FVS982723:FVT982733 GFO982723:GFP982733 GPK982723:GPL982733 GZG982723:GZH982733 HJC982723:HJD982733 HSY982723:HSZ982733 ICU982723:ICV982733 IMQ982723:IMR982733 IWM982723:IWN982733 JGI982723:JGJ982733 JQE982723:JQF982733 KAA982723:KAB982733 KJW982723:KJX982733 KTS982723:KTT982733 LDO982723:LDP982733 LNK982723:LNL982733 LXG982723:LXH982733 MHC982723:MHD982733 MQY982723:MQZ982733 NAU982723:NAV982733 NKQ982723:NKR982733 NUM982723:NUN982733 OEI982723:OEJ982733 OOE982723:OOF982733 OYA982723:OYB982733 PHW982723:PHX982733 PRS982723:PRT982733 QBO982723:QBP982733 QLK982723:QLL982733 QVG982723:QVH982733 RFC982723:RFD982733 ROY982723:ROZ982733 RYU982723:RYV982733 SIQ982723:SIR982733 SSM982723:SSN982733 TCI982723:TCJ982733 TME982723:TMF982733 TWA982723:TWB982733 UFW982723:UFX982733 UPS982723:UPT982733 UZO982723:UZP982733 VJK982723:VJL982733 VTG982723:VTH982733 WDC982723:WDD982733 WMY982723:WMZ982733 WWU982723:WWV982733 KI655000:KJ655004 UE655000:UF655004 AEA655000:AEB655004 ANW655000:ANX655004 AXS655000:AXT655004 BHO655000:BHP655004 BRK655000:BRL655004 CBG655000:CBH655004 CLC655000:CLD655004 CUY655000:CUZ655004 DEU655000:DEV655004 DOQ655000:DOR655004 DYM655000:DYN655004 EII655000:EIJ655004 ESE655000:ESF655004 FCA655000:FCB655004 FLW655000:FLX655004 FVS655000:FVT655004 GFO655000:GFP655004 GPK655000:GPL655004 GZG655000:GZH655004 HJC655000:HJD655004 HSY655000:HSZ655004 ICU655000:ICV655004 IMQ655000:IMR655004 IWM655000:IWN655004 JGI655000:JGJ655004 JQE655000:JQF655004 KAA655000:KAB655004 KJW655000:KJX655004 KTS655000:KTT655004 LDO655000:LDP655004 LNK655000:LNL655004 LXG655000:LXH655004 MHC655000:MHD655004 MQY655000:MQZ655004 NAU655000:NAV655004 NKQ655000:NKR655004 NUM655000:NUN655004 OEI655000:OEJ655004 OOE655000:OOF655004 OYA655000:OYB655004 PHW655000:PHX655004 PRS655000:PRT655004 QBO655000:QBP655004 QLK655000:QLL655004 QVG655000:QVH655004 RFC655000:RFD655004 ROY655000:ROZ655004 RYU655000:RYV655004 SIQ655000:SIR655004 SSM655000:SSN655004 TCI655000:TCJ655004 TME655000:TMF655004 TWA655000:TWB655004 UFW655000:UFX655004 UPS655000:UPT655004 UZO655000:UZP655004 VJK655000:VJL655004 VTG655000:VTH655004 WDC655000:WDD655004 WMY655000:WMZ655004 WWU655000:WWV655004 KI65014:KJ65145 UE65014:UF65145 AEA65014:AEB65145 ANW65014:ANX65145 AXS65014:AXT65145 BHO65014:BHP65145 BRK65014:BRL65145 CBG65014:CBH65145 CLC65014:CLD65145 CUY65014:CUZ65145 DEU65014:DEV65145 DOQ65014:DOR65145 DYM65014:DYN65145 EII65014:EIJ65145 ESE65014:ESF65145 FCA65014:FCB65145 FLW65014:FLX65145 FVS65014:FVT65145 GFO65014:GFP65145 GPK65014:GPL65145 GZG65014:GZH65145 HJC65014:HJD65145 HSY65014:HSZ65145 ICU65014:ICV65145 IMQ65014:IMR65145 IWM65014:IWN65145 JGI65014:JGJ65145 JQE65014:JQF65145 KAA65014:KAB65145 KJW65014:KJX65145 KTS65014:KTT65145 LDO65014:LDP65145 LNK65014:LNL65145 LXG65014:LXH65145 MHC65014:MHD65145 MQY65014:MQZ65145 NAU65014:NAV65145 NKQ65014:NKR65145 NUM65014:NUN65145 OEI65014:OEJ65145 OOE65014:OOF65145 OYA65014:OYB65145 PHW65014:PHX65145 PRS65014:PRT65145 QBO65014:QBP65145 QLK65014:QLL65145 QVG65014:QVH65145 RFC65014:RFD65145 ROY65014:ROZ65145 RYU65014:RYV65145 SIQ65014:SIR65145 SSM65014:SSN65145 TCI65014:TCJ65145 TME65014:TMF65145 TWA65014:TWB65145 UFW65014:UFX65145 UPS65014:UPT65145 UZO65014:UZP65145 VJK65014:VJL65145 VTG65014:VTH65145 WDC65014:WDD65145 WMY65014:WMZ65145 WWU65014:WWV65145 KI130550:KJ130681 UE130550:UF130681 AEA130550:AEB130681 ANW130550:ANX130681 AXS130550:AXT130681 BHO130550:BHP130681 BRK130550:BRL130681 CBG130550:CBH130681 CLC130550:CLD130681 CUY130550:CUZ130681 DEU130550:DEV130681 DOQ130550:DOR130681 DYM130550:DYN130681 EII130550:EIJ130681 ESE130550:ESF130681 FCA130550:FCB130681 FLW130550:FLX130681 FVS130550:FVT130681 GFO130550:GFP130681 GPK130550:GPL130681 GZG130550:GZH130681 HJC130550:HJD130681 HSY130550:HSZ130681 ICU130550:ICV130681 IMQ130550:IMR130681 IWM130550:IWN130681 JGI130550:JGJ130681 JQE130550:JQF130681 KAA130550:KAB130681 KJW130550:KJX130681 KTS130550:KTT130681 LDO130550:LDP130681 LNK130550:LNL130681 LXG130550:LXH130681 MHC130550:MHD130681 MQY130550:MQZ130681 NAU130550:NAV130681 NKQ130550:NKR130681 NUM130550:NUN130681 OEI130550:OEJ130681 OOE130550:OOF130681 OYA130550:OYB130681 PHW130550:PHX130681 PRS130550:PRT130681 QBO130550:QBP130681 QLK130550:QLL130681 QVG130550:QVH130681 RFC130550:RFD130681 ROY130550:ROZ130681 RYU130550:RYV130681 SIQ130550:SIR130681 SSM130550:SSN130681 TCI130550:TCJ130681 TME130550:TMF130681 TWA130550:TWB130681 UFW130550:UFX130681 UPS130550:UPT130681 UZO130550:UZP130681 VJK130550:VJL130681 VTG130550:VTH130681 WDC130550:WDD130681 WMY130550:WMZ130681 WWU130550:WWV130681 KI196086:KJ196217 UE196086:UF196217 AEA196086:AEB196217 ANW196086:ANX196217 AXS196086:AXT196217 BHO196086:BHP196217 BRK196086:BRL196217 CBG196086:CBH196217 CLC196086:CLD196217 CUY196086:CUZ196217 DEU196086:DEV196217 DOQ196086:DOR196217 DYM196086:DYN196217 EII196086:EIJ196217 ESE196086:ESF196217 FCA196086:FCB196217 FLW196086:FLX196217 FVS196086:FVT196217 GFO196086:GFP196217 GPK196086:GPL196217 GZG196086:GZH196217 HJC196086:HJD196217 HSY196086:HSZ196217 ICU196086:ICV196217 IMQ196086:IMR196217 IWM196086:IWN196217 JGI196086:JGJ196217 JQE196086:JQF196217 KAA196086:KAB196217 KJW196086:KJX196217 KTS196086:KTT196217 LDO196086:LDP196217 LNK196086:LNL196217 LXG196086:LXH196217 MHC196086:MHD196217 MQY196086:MQZ196217 NAU196086:NAV196217 NKQ196086:NKR196217 NUM196086:NUN196217 OEI196086:OEJ196217 OOE196086:OOF196217 OYA196086:OYB196217 PHW196086:PHX196217 PRS196086:PRT196217 QBO196086:QBP196217 QLK196086:QLL196217 QVG196086:QVH196217 RFC196086:RFD196217 ROY196086:ROZ196217 RYU196086:RYV196217 SIQ196086:SIR196217 SSM196086:SSN196217 TCI196086:TCJ196217 TME196086:TMF196217 TWA196086:TWB196217 UFW196086:UFX196217 UPS196086:UPT196217 UZO196086:UZP196217 VJK196086:VJL196217 VTG196086:VTH196217 WDC196086:WDD196217 WMY196086:WMZ196217 WWU196086:WWV196217 KI261622:KJ261753 UE261622:UF261753 AEA261622:AEB261753 ANW261622:ANX261753 AXS261622:AXT261753 BHO261622:BHP261753 BRK261622:BRL261753 CBG261622:CBH261753 CLC261622:CLD261753 CUY261622:CUZ261753 DEU261622:DEV261753 DOQ261622:DOR261753 DYM261622:DYN261753 EII261622:EIJ261753 ESE261622:ESF261753 FCA261622:FCB261753 FLW261622:FLX261753 FVS261622:FVT261753 GFO261622:GFP261753 GPK261622:GPL261753 GZG261622:GZH261753 HJC261622:HJD261753 HSY261622:HSZ261753 ICU261622:ICV261753 IMQ261622:IMR261753 IWM261622:IWN261753 JGI261622:JGJ261753 JQE261622:JQF261753 KAA261622:KAB261753 KJW261622:KJX261753 KTS261622:KTT261753 LDO261622:LDP261753 LNK261622:LNL261753 LXG261622:LXH261753 MHC261622:MHD261753 MQY261622:MQZ261753 NAU261622:NAV261753 NKQ261622:NKR261753 NUM261622:NUN261753 OEI261622:OEJ261753 OOE261622:OOF261753 OYA261622:OYB261753 PHW261622:PHX261753 PRS261622:PRT261753 QBO261622:QBP261753 QLK261622:QLL261753 QVG261622:QVH261753 RFC261622:RFD261753 ROY261622:ROZ261753 RYU261622:RYV261753 SIQ261622:SIR261753 SSM261622:SSN261753 TCI261622:TCJ261753 TME261622:TMF261753 TWA261622:TWB261753 UFW261622:UFX261753 UPS261622:UPT261753 UZO261622:UZP261753 VJK261622:VJL261753 VTG261622:VTH261753 WDC261622:WDD261753 WMY261622:WMZ261753 WWU261622:WWV261753 KI327158:KJ327289 UE327158:UF327289 AEA327158:AEB327289 ANW327158:ANX327289 AXS327158:AXT327289 BHO327158:BHP327289 BRK327158:BRL327289 CBG327158:CBH327289 CLC327158:CLD327289 CUY327158:CUZ327289 DEU327158:DEV327289 DOQ327158:DOR327289 DYM327158:DYN327289 EII327158:EIJ327289 ESE327158:ESF327289 FCA327158:FCB327289 FLW327158:FLX327289 FVS327158:FVT327289 GFO327158:GFP327289 GPK327158:GPL327289 GZG327158:GZH327289 HJC327158:HJD327289 HSY327158:HSZ327289 ICU327158:ICV327289 IMQ327158:IMR327289 IWM327158:IWN327289 JGI327158:JGJ327289 JQE327158:JQF327289 KAA327158:KAB327289 KJW327158:KJX327289 KTS327158:KTT327289 LDO327158:LDP327289 LNK327158:LNL327289 LXG327158:LXH327289 MHC327158:MHD327289 MQY327158:MQZ327289 NAU327158:NAV327289 NKQ327158:NKR327289 NUM327158:NUN327289 OEI327158:OEJ327289 OOE327158:OOF327289 OYA327158:OYB327289 PHW327158:PHX327289 PRS327158:PRT327289 QBO327158:QBP327289 QLK327158:QLL327289 QVG327158:QVH327289 RFC327158:RFD327289 ROY327158:ROZ327289 RYU327158:RYV327289 SIQ327158:SIR327289 SSM327158:SSN327289 TCI327158:TCJ327289 TME327158:TMF327289 TWA327158:TWB327289 UFW327158:UFX327289 UPS327158:UPT327289 UZO327158:UZP327289 VJK327158:VJL327289 VTG327158:VTH327289 WDC327158:WDD327289 WMY327158:WMZ327289 WWU327158:WWV327289 KI392694:KJ392825 UE392694:UF392825 AEA392694:AEB392825 ANW392694:ANX392825 AXS392694:AXT392825 BHO392694:BHP392825 BRK392694:BRL392825 CBG392694:CBH392825 CLC392694:CLD392825 CUY392694:CUZ392825 DEU392694:DEV392825 DOQ392694:DOR392825 DYM392694:DYN392825 EII392694:EIJ392825 ESE392694:ESF392825 FCA392694:FCB392825 FLW392694:FLX392825 FVS392694:FVT392825 GFO392694:GFP392825 GPK392694:GPL392825 GZG392694:GZH392825 HJC392694:HJD392825 HSY392694:HSZ392825 ICU392694:ICV392825 IMQ392694:IMR392825 IWM392694:IWN392825 JGI392694:JGJ392825 JQE392694:JQF392825 KAA392694:KAB392825 KJW392694:KJX392825 KTS392694:KTT392825 LDO392694:LDP392825 LNK392694:LNL392825 LXG392694:LXH392825 MHC392694:MHD392825 MQY392694:MQZ392825 NAU392694:NAV392825 NKQ392694:NKR392825 NUM392694:NUN392825 OEI392694:OEJ392825 OOE392694:OOF392825 OYA392694:OYB392825 PHW392694:PHX392825 PRS392694:PRT392825 QBO392694:QBP392825 QLK392694:QLL392825 QVG392694:QVH392825 RFC392694:RFD392825 ROY392694:ROZ392825 RYU392694:RYV392825 SIQ392694:SIR392825 SSM392694:SSN392825 TCI392694:TCJ392825 TME392694:TMF392825 TWA392694:TWB392825 UFW392694:UFX392825 UPS392694:UPT392825 UZO392694:UZP392825 VJK392694:VJL392825 VTG392694:VTH392825 WDC392694:WDD392825 WMY392694:WMZ392825 WWU392694:WWV392825 KI458230:KJ458361 UE458230:UF458361 AEA458230:AEB458361 ANW458230:ANX458361 AXS458230:AXT458361 BHO458230:BHP458361 BRK458230:BRL458361 CBG458230:CBH458361 CLC458230:CLD458361 CUY458230:CUZ458361 DEU458230:DEV458361 DOQ458230:DOR458361 DYM458230:DYN458361 EII458230:EIJ458361 ESE458230:ESF458361 FCA458230:FCB458361 FLW458230:FLX458361 FVS458230:FVT458361 GFO458230:GFP458361 GPK458230:GPL458361 GZG458230:GZH458361 HJC458230:HJD458361 HSY458230:HSZ458361 ICU458230:ICV458361 IMQ458230:IMR458361 IWM458230:IWN458361 JGI458230:JGJ458361 JQE458230:JQF458361 KAA458230:KAB458361 KJW458230:KJX458361 KTS458230:KTT458361 LDO458230:LDP458361 LNK458230:LNL458361 LXG458230:LXH458361 MHC458230:MHD458361 MQY458230:MQZ458361 NAU458230:NAV458361 NKQ458230:NKR458361 NUM458230:NUN458361 OEI458230:OEJ458361 OOE458230:OOF458361 OYA458230:OYB458361 PHW458230:PHX458361 PRS458230:PRT458361 QBO458230:QBP458361 QLK458230:QLL458361 QVG458230:QVH458361 RFC458230:RFD458361 ROY458230:ROZ458361 RYU458230:RYV458361 SIQ458230:SIR458361 SSM458230:SSN458361 TCI458230:TCJ458361 TME458230:TMF458361 TWA458230:TWB458361 UFW458230:UFX458361 UPS458230:UPT458361 UZO458230:UZP458361 VJK458230:VJL458361 VTG458230:VTH458361 WDC458230:WDD458361 WMY458230:WMZ458361 WWU458230:WWV458361 KI523766:KJ523897 UE523766:UF523897 AEA523766:AEB523897 ANW523766:ANX523897 AXS523766:AXT523897 BHO523766:BHP523897 BRK523766:BRL523897 CBG523766:CBH523897 CLC523766:CLD523897 CUY523766:CUZ523897 DEU523766:DEV523897 DOQ523766:DOR523897 DYM523766:DYN523897 EII523766:EIJ523897 ESE523766:ESF523897 FCA523766:FCB523897 FLW523766:FLX523897 FVS523766:FVT523897 GFO523766:GFP523897 GPK523766:GPL523897 GZG523766:GZH523897 HJC523766:HJD523897 HSY523766:HSZ523897 ICU523766:ICV523897 IMQ523766:IMR523897 IWM523766:IWN523897 JGI523766:JGJ523897 JQE523766:JQF523897 KAA523766:KAB523897 KJW523766:KJX523897 KTS523766:KTT523897 LDO523766:LDP523897 LNK523766:LNL523897 LXG523766:LXH523897 MHC523766:MHD523897 MQY523766:MQZ523897 NAU523766:NAV523897 NKQ523766:NKR523897 NUM523766:NUN523897 OEI523766:OEJ523897 OOE523766:OOF523897 OYA523766:OYB523897 PHW523766:PHX523897 PRS523766:PRT523897 QBO523766:QBP523897 QLK523766:QLL523897 QVG523766:QVH523897 RFC523766:RFD523897 ROY523766:ROZ523897 RYU523766:RYV523897 SIQ523766:SIR523897 SSM523766:SSN523897 TCI523766:TCJ523897 TME523766:TMF523897 TWA523766:TWB523897 UFW523766:UFX523897 UPS523766:UPT523897 UZO523766:UZP523897 VJK523766:VJL523897 VTG523766:VTH523897 WDC523766:WDD523897 WMY523766:WMZ523897 WWU523766:WWV523897 KI589302:KJ589433 UE589302:UF589433 AEA589302:AEB589433 ANW589302:ANX589433 AXS589302:AXT589433 BHO589302:BHP589433 BRK589302:BRL589433 CBG589302:CBH589433 CLC589302:CLD589433 CUY589302:CUZ589433 DEU589302:DEV589433 DOQ589302:DOR589433 DYM589302:DYN589433 EII589302:EIJ589433 ESE589302:ESF589433 FCA589302:FCB589433 FLW589302:FLX589433 FVS589302:FVT589433 GFO589302:GFP589433 GPK589302:GPL589433 GZG589302:GZH589433 HJC589302:HJD589433 HSY589302:HSZ589433 ICU589302:ICV589433 IMQ589302:IMR589433 IWM589302:IWN589433 JGI589302:JGJ589433 JQE589302:JQF589433 KAA589302:KAB589433 KJW589302:KJX589433 KTS589302:KTT589433 LDO589302:LDP589433 LNK589302:LNL589433 LXG589302:LXH589433 MHC589302:MHD589433 MQY589302:MQZ589433 NAU589302:NAV589433 NKQ589302:NKR589433 NUM589302:NUN589433 OEI589302:OEJ589433 OOE589302:OOF589433 OYA589302:OYB589433 PHW589302:PHX589433 PRS589302:PRT589433 QBO589302:QBP589433 QLK589302:QLL589433 QVG589302:QVH589433 RFC589302:RFD589433 ROY589302:ROZ589433 RYU589302:RYV589433 SIQ589302:SIR589433 SSM589302:SSN589433 TCI589302:TCJ589433 TME589302:TMF589433 TWA589302:TWB589433 UFW589302:UFX589433 UPS589302:UPT589433 UZO589302:UZP589433 VJK589302:VJL589433 VTG589302:VTH589433 WDC589302:WDD589433 WMY589302:WMZ589433 WWU589302:WWV589433 KI654838:KJ654969 UE654838:UF654969 AEA654838:AEB654969 ANW654838:ANX654969 AXS654838:AXT654969 BHO654838:BHP654969 BRK654838:BRL654969 CBG654838:CBH654969 CLC654838:CLD654969 CUY654838:CUZ654969 DEU654838:DEV654969 DOQ654838:DOR654969 DYM654838:DYN654969 EII654838:EIJ654969 ESE654838:ESF654969 FCA654838:FCB654969 FLW654838:FLX654969 FVS654838:FVT654969 GFO654838:GFP654969 GPK654838:GPL654969 GZG654838:GZH654969 HJC654838:HJD654969 HSY654838:HSZ654969 ICU654838:ICV654969 IMQ654838:IMR654969 IWM654838:IWN654969 JGI654838:JGJ654969 JQE654838:JQF654969 KAA654838:KAB654969 KJW654838:KJX654969 KTS654838:KTT654969 LDO654838:LDP654969 LNK654838:LNL654969 LXG654838:LXH654969 MHC654838:MHD654969 MQY654838:MQZ654969 NAU654838:NAV654969 NKQ654838:NKR654969 NUM654838:NUN654969 OEI654838:OEJ654969 OOE654838:OOF654969 OYA654838:OYB654969 PHW654838:PHX654969 PRS654838:PRT654969 QBO654838:QBP654969 QLK654838:QLL654969 QVG654838:QVH654969 RFC654838:RFD654969 ROY654838:ROZ654969 RYU654838:RYV654969 SIQ654838:SIR654969 SSM654838:SSN654969 TCI654838:TCJ654969 TME654838:TMF654969 TWA654838:TWB654969 UFW654838:UFX654969 UPS654838:UPT654969 UZO654838:UZP654969 VJK654838:VJL654969 VTG654838:VTH654969 WDC654838:WDD654969 WMY654838:WMZ654969 WWU654838:WWV654969 KI720374:KJ720505 UE720374:UF720505 AEA720374:AEB720505 ANW720374:ANX720505 AXS720374:AXT720505 BHO720374:BHP720505 BRK720374:BRL720505 CBG720374:CBH720505 CLC720374:CLD720505 CUY720374:CUZ720505 DEU720374:DEV720505 DOQ720374:DOR720505 DYM720374:DYN720505 EII720374:EIJ720505 ESE720374:ESF720505 FCA720374:FCB720505 FLW720374:FLX720505 FVS720374:FVT720505 GFO720374:GFP720505 GPK720374:GPL720505 GZG720374:GZH720505 HJC720374:HJD720505 HSY720374:HSZ720505 ICU720374:ICV720505 IMQ720374:IMR720505 IWM720374:IWN720505 JGI720374:JGJ720505 JQE720374:JQF720505 KAA720374:KAB720505 KJW720374:KJX720505 KTS720374:KTT720505 LDO720374:LDP720505 LNK720374:LNL720505 LXG720374:LXH720505 MHC720374:MHD720505 MQY720374:MQZ720505 NAU720374:NAV720505 NKQ720374:NKR720505 NUM720374:NUN720505 OEI720374:OEJ720505 OOE720374:OOF720505 OYA720374:OYB720505 PHW720374:PHX720505 PRS720374:PRT720505 QBO720374:QBP720505 QLK720374:QLL720505 QVG720374:QVH720505 RFC720374:RFD720505 ROY720374:ROZ720505 RYU720374:RYV720505 SIQ720374:SIR720505 SSM720374:SSN720505 TCI720374:TCJ720505 TME720374:TMF720505 TWA720374:TWB720505 UFW720374:UFX720505 UPS720374:UPT720505 UZO720374:UZP720505 VJK720374:VJL720505 VTG720374:VTH720505 WDC720374:WDD720505 WMY720374:WMZ720505 WWU720374:WWV720505 KI785910:KJ786041 UE785910:UF786041 AEA785910:AEB786041 ANW785910:ANX786041 AXS785910:AXT786041 BHO785910:BHP786041 BRK785910:BRL786041 CBG785910:CBH786041 CLC785910:CLD786041 CUY785910:CUZ786041 DEU785910:DEV786041 DOQ785910:DOR786041 DYM785910:DYN786041 EII785910:EIJ786041 ESE785910:ESF786041 FCA785910:FCB786041 FLW785910:FLX786041 FVS785910:FVT786041 GFO785910:GFP786041 GPK785910:GPL786041 GZG785910:GZH786041 HJC785910:HJD786041 HSY785910:HSZ786041 ICU785910:ICV786041 IMQ785910:IMR786041 IWM785910:IWN786041 JGI785910:JGJ786041 JQE785910:JQF786041 KAA785910:KAB786041 KJW785910:KJX786041 KTS785910:KTT786041 LDO785910:LDP786041 LNK785910:LNL786041 LXG785910:LXH786041 MHC785910:MHD786041 MQY785910:MQZ786041 NAU785910:NAV786041 NKQ785910:NKR786041 NUM785910:NUN786041 OEI785910:OEJ786041 OOE785910:OOF786041 OYA785910:OYB786041 PHW785910:PHX786041 PRS785910:PRT786041 QBO785910:QBP786041 QLK785910:QLL786041 QVG785910:QVH786041 RFC785910:RFD786041 ROY785910:ROZ786041 RYU785910:RYV786041 SIQ785910:SIR786041 SSM785910:SSN786041 TCI785910:TCJ786041 TME785910:TMF786041 TWA785910:TWB786041 UFW785910:UFX786041 UPS785910:UPT786041 UZO785910:UZP786041 VJK785910:VJL786041 VTG785910:VTH786041 WDC785910:WDD786041 WMY785910:WMZ786041 WWU785910:WWV786041 KI851446:KJ851577 UE851446:UF851577 AEA851446:AEB851577 ANW851446:ANX851577 AXS851446:AXT851577 BHO851446:BHP851577 BRK851446:BRL851577 CBG851446:CBH851577 CLC851446:CLD851577 CUY851446:CUZ851577 DEU851446:DEV851577 DOQ851446:DOR851577 DYM851446:DYN851577 EII851446:EIJ851577 ESE851446:ESF851577 FCA851446:FCB851577 FLW851446:FLX851577 FVS851446:FVT851577 GFO851446:GFP851577 GPK851446:GPL851577 GZG851446:GZH851577 HJC851446:HJD851577 HSY851446:HSZ851577 ICU851446:ICV851577 IMQ851446:IMR851577 IWM851446:IWN851577 JGI851446:JGJ851577 JQE851446:JQF851577 KAA851446:KAB851577 KJW851446:KJX851577 KTS851446:KTT851577 LDO851446:LDP851577 LNK851446:LNL851577 LXG851446:LXH851577 MHC851446:MHD851577 MQY851446:MQZ851577 NAU851446:NAV851577 NKQ851446:NKR851577 NUM851446:NUN851577 OEI851446:OEJ851577 OOE851446:OOF851577 OYA851446:OYB851577 PHW851446:PHX851577 PRS851446:PRT851577 QBO851446:QBP851577 QLK851446:QLL851577 QVG851446:QVH851577 RFC851446:RFD851577 ROY851446:ROZ851577 RYU851446:RYV851577 SIQ851446:SIR851577 SSM851446:SSN851577 TCI851446:TCJ851577 TME851446:TMF851577 TWA851446:TWB851577 UFW851446:UFX851577 UPS851446:UPT851577 UZO851446:UZP851577 VJK851446:VJL851577 VTG851446:VTH851577 WDC851446:WDD851577 WMY851446:WMZ851577 WWU851446:WWV851577 KI916982:KJ917113 UE916982:UF917113 AEA916982:AEB917113 ANW916982:ANX917113 AXS916982:AXT917113 BHO916982:BHP917113 BRK916982:BRL917113 CBG916982:CBH917113 CLC916982:CLD917113 CUY916982:CUZ917113 DEU916982:DEV917113 DOQ916982:DOR917113 DYM916982:DYN917113 EII916982:EIJ917113 ESE916982:ESF917113 FCA916982:FCB917113 FLW916982:FLX917113 FVS916982:FVT917113 GFO916982:GFP917113 GPK916982:GPL917113 GZG916982:GZH917113 HJC916982:HJD917113 HSY916982:HSZ917113 ICU916982:ICV917113 IMQ916982:IMR917113 IWM916982:IWN917113 JGI916982:JGJ917113 JQE916982:JQF917113 KAA916982:KAB917113 KJW916982:KJX917113 KTS916982:KTT917113 LDO916982:LDP917113 LNK916982:LNL917113 LXG916982:LXH917113 MHC916982:MHD917113 MQY916982:MQZ917113 NAU916982:NAV917113 NKQ916982:NKR917113 NUM916982:NUN917113 OEI916982:OEJ917113 OOE916982:OOF917113 OYA916982:OYB917113 PHW916982:PHX917113 PRS916982:PRT917113 QBO916982:QBP917113 QLK916982:QLL917113 QVG916982:QVH917113 RFC916982:RFD917113 ROY916982:ROZ917113 RYU916982:RYV917113 SIQ916982:SIR917113 SSM916982:SSN917113 TCI916982:TCJ917113 TME916982:TMF917113 TWA916982:TWB917113 UFW916982:UFX917113 UPS916982:UPT917113 UZO916982:UZP917113 VJK916982:VJL917113 VTG916982:VTH917113 WDC916982:WDD917113 WMY916982:WMZ917113 WWU916982:WWV917113 KI982518:KJ982649 UE982518:UF982649 AEA982518:AEB982649 ANW982518:ANX982649 AXS982518:AXT982649 BHO982518:BHP982649 BRK982518:BRL982649 CBG982518:CBH982649 CLC982518:CLD982649 CUY982518:CUZ982649 DEU982518:DEV982649 DOQ982518:DOR982649 DYM982518:DYN982649 EII982518:EIJ982649 ESE982518:ESF982649 FCA982518:FCB982649 FLW982518:FLX982649 FVS982518:FVT982649 GFO982518:GFP982649 GPK982518:GPL982649 GZG982518:GZH982649 HJC982518:HJD982649 HSY982518:HSZ982649 ICU982518:ICV982649 IMQ982518:IMR982649 IWM982518:IWN982649 JGI982518:JGJ982649 JQE982518:JQF982649 KAA982518:KAB982649 KJW982518:KJX982649 KTS982518:KTT982649 LDO982518:LDP982649 LNK982518:LNL982649 LXG982518:LXH982649 MHC982518:MHD982649 MQY982518:MQZ982649 NAU982518:NAV982649 NKQ982518:NKR982649 NUM982518:NUN982649 OEI982518:OEJ982649 OOE982518:OOF982649 OYA982518:OYB982649 PHW982518:PHX982649 PRS982518:PRT982649 QBO982518:QBP982649 QLK982518:QLL982649 QVG982518:QVH982649 RFC982518:RFD982649 ROY982518:ROZ982649 RYU982518:RYV982649 SIQ982518:SIR982649 SSM982518:SSN982649 TCI982518:TCJ982649 TME982518:TMF982649 TWA982518:TWB982649 UFW982518:UFX982649 UPS982518:UPT982649 UZO982518:UZP982649 VJK982518:VJL982649 VTG982518:VTH982649 WDC982518:WDD982649 WMY982518:WMZ982649 WWU982518:WWV982649 KI720536:KJ720540 UE720536:UF720540 AEA720536:AEB720540 ANW720536:ANX720540 AXS720536:AXT720540 BHO720536:BHP720540 BRK720536:BRL720540 CBG720536:CBH720540 CLC720536:CLD720540 CUY720536:CUZ720540 DEU720536:DEV720540 DOQ720536:DOR720540 DYM720536:DYN720540 EII720536:EIJ720540 ESE720536:ESF720540 FCA720536:FCB720540 FLW720536:FLX720540 FVS720536:FVT720540 GFO720536:GFP720540 GPK720536:GPL720540 GZG720536:GZH720540 HJC720536:HJD720540 HSY720536:HSZ720540 ICU720536:ICV720540 IMQ720536:IMR720540 IWM720536:IWN720540 JGI720536:JGJ720540 JQE720536:JQF720540 KAA720536:KAB720540 KJW720536:KJX720540 KTS720536:KTT720540 LDO720536:LDP720540 LNK720536:LNL720540 LXG720536:LXH720540 MHC720536:MHD720540 MQY720536:MQZ720540 NAU720536:NAV720540 NKQ720536:NKR720540 NUM720536:NUN720540 OEI720536:OEJ720540 OOE720536:OOF720540 OYA720536:OYB720540 PHW720536:PHX720540 PRS720536:PRT720540 QBO720536:QBP720540 QLK720536:QLL720540 QVG720536:QVH720540 RFC720536:RFD720540 ROY720536:ROZ720540 RYU720536:RYV720540 SIQ720536:SIR720540 SSM720536:SSN720540 TCI720536:TCJ720540 TME720536:TMF720540 TWA720536:TWB720540 UFW720536:UFX720540 UPS720536:UPT720540 UZO720536:UZP720540 VJK720536:VJL720540 VTG720536:VTH720540 WDC720536:WDD720540 WMY720536:WMZ720540 WWU720536:WWV720540 KI65205:KJ65205 UE65205:UF65205 AEA65205:AEB65205 ANW65205:ANX65205 AXS65205:AXT65205 BHO65205:BHP65205 BRK65205:BRL65205 CBG65205:CBH65205 CLC65205:CLD65205 CUY65205:CUZ65205 DEU65205:DEV65205 DOQ65205:DOR65205 DYM65205:DYN65205 EII65205:EIJ65205 ESE65205:ESF65205 FCA65205:FCB65205 FLW65205:FLX65205 FVS65205:FVT65205 GFO65205:GFP65205 GPK65205:GPL65205 GZG65205:GZH65205 HJC65205:HJD65205 HSY65205:HSZ65205 ICU65205:ICV65205 IMQ65205:IMR65205 IWM65205:IWN65205 JGI65205:JGJ65205 JQE65205:JQF65205 KAA65205:KAB65205 KJW65205:KJX65205 KTS65205:KTT65205 LDO65205:LDP65205 LNK65205:LNL65205 LXG65205:LXH65205 MHC65205:MHD65205 MQY65205:MQZ65205 NAU65205:NAV65205 NKQ65205:NKR65205 NUM65205:NUN65205 OEI65205:OEJ65205 OOE65205:OOF65205 OYA65205:OYB65205 PHW65205:PHX65205 PRS65205:PRT65205 QBO65205:QBP65205 QLK65205:QLL65205 QVG65205:QVH65205 RFC65205:RFD65205 ROY65205:ROZ65205 RYU65205:RYV65205 SIQ65205:SIR65205 SSM65205:SSN65205 TCI65205:TCJ65205 TME65205:TMF65205 TWA65205:TWB65205 UFW65205:UFX65205 UPS65205:UPT65205 UZO65205:UZP65205 VJK65205:VJL65205 VTG65205:VTH65205 WDC65205:WDD65205 WMY65205:WMZ65205 WWU65205:WWV65205 KI130741:KJ130741 UE130741:UF130741 AEA130741:AEB130741 ANW130741:ANX130741 AXS130741:AXT130741 BHO130741:BHP130741 BRK130741:BRL130741 CBG130741:CBH130741 CLC130741:CLD130741 CUY130741:CUZ130741 DEU130741:DEV130741 DOQ130741:DOR130741 DYM130741:DYN130741 EII130741:EIJ130741 ESE130741:ESF130741 FCA130741:FCB130741 FLW130741:FLX130741 FVS130741:FVT130741 GFO130741:GFP130741 GPK130741:GPL130741 GZG130741:GZH130741 HJC130741:HJD130741 HSY130741:HSZ130741 ICU130741:ICV130741 IMQ130741:IMR130741 IWM130741:IWN130741 JGI130741:JGJ130741 JQE130741:JQF130741 KAA130741:KAB130741 KJW130741:KJX130741 KTS130741:KTT130741 LDO130741:LDP130741 LNK130741:LNL130741 LXG130741:LXH130741 MHC130741:MHD130741 MQY130741:MQZ130741 NAU130741:NAV130741 NKQ130741:NKR130741 NUM130741:NUN130741 OEI130741:OEJ130741 OOE130741:OOF130741 OYA130741:OYB130741 PHW130741:PHX130741 PRS130741:PRT130741 QBO130741:QBP130741 QLK130741:QLL130741 QVG130741:QVH130741 RFC130741:RFD130741 ROY130741:ROZ130741 RYU130741:RYV130741 SIQ130741:SIR130741 SSM130741:SSN130741 TCI130741:TCJ130741 TME130741:TMF130741 TWA130741:TWB130741 UFW130741:UFX130741 UPS130741:UPT130741 UZO130741:UZP130741 VJK130741:VJL130741 VTG130741:VTH130741 WDC130741:WDD130741 WMY130741:WMZ130741 WWU130741:WWV130741 KI196277:KJ196277 UE196277:UF196277 AEA196277:AEB196277 ANW196277:ANX196277 AXS196277:AXT196277 BHO196277:BHP196277 BRK196277:BRL196277 CBG196277:CBH196277 CLC196277:CLD196277 CUY196277:CUZ196277 DEU196277:DEV196277 DOQ196277:DOR196277 DYM196277:DYN196277 EII196277:EIJ196277 ESE196277:ESF196277 FCA196277:FCB196277 FLW196277:FLX196277 FVS196277:FVT196277 GFO196277:GFP196277 GPK196277:GPL196277 GZG196277:GZH196277 HJC196277:HJD196277 HSY196277:HSZ196277 ICU196277:ICV196277 IMQ196277:IMR196277 IWM196277:IWN196277 JGI196277:JGJ196277 JQE196277:JQF196277 KAA196277:KAB196277 KJW196277:KJX196277 KTS196277:KTT196277 LDO196277:LDP196277 LNK196277:LNL196277 LXG196277:LXH196277 MHC196277:MHD196277 MQY196277:MQZ196277 NAU196277:NAV196277 NKQ196277:NKR196277 NUM196277:NUN196277 OEI196277:OEJ196277 OOE196277:OOF196277 OYA196277:OYB196277 PHW196277:PHX196277 PRS196277:PRT196277 QBO196277:QBP196277 QLK196277:QLL196277 QVG196277:QVH196277 RFC196277:RFD196277 ROY196277:ROZ196277 RYU196277:RYV196277 SIQ196277:SIR196277 SSM196277:SSN196277 TCI196277:TCJ196277 TME196277:TMF196277 TWA196277:TWB196277 UFW196277:UFX196277 UPS196277:UPT196277 UZO196277:UZP196277 VJK196277:VJL196277 VTG196277:VTH196277 WDC196277:WDD196277 WMY196277:WMZ196277 WWU196277:WWV196277 KI261813:KJ261813 UE261813:UF261813 AEA261813:AEB261813 ANW261813:ANX261813 AXS261813:AXT261813 BHO261813:BHP261813 BRK261813:BRL261813 CBG261813:CBH261813 CLC261813:CLD261813 CUY261813:CUZ261813 DEU261813:DEV261813 DOQ261813:DOR261813 DYM261813:DYN261813 EII261813:EIJ261813 ESE261813:ESF261813 FCA261813:FCB261813 FLW261813:FLX261813 FVS261813:FVT261813 GFO261813:GFP261813 GPK261813:GPL261813 GZG261813:GZH261813 HJC261813:HJD261813 HSY261813:HSZ261813 ICU261813:ICV261813 IMQ261813:IMR261813 IWM261813:IWN261813 JGI261813:JGJ261813 JQE261813:JQF261813 KAA261813:KAB261813 KJW261813:KJX261813 KTS261813:KTT261813 LDO261813:LDP261813 LNK261813:LNL261813 LXG261813:LXH261813 MHC261813:MHD261813 MQY261813:MQZ261813 NAU261813:NAV261813 NKQ261813:NKR261813 NUM261813:NUN261813 OEI261813:OEJ261813 OOE261813:OOF261813 OYA261813:OYB261813 PHW261813:PHX261813 PRS261813:PRT261813 QBO261813:QBP261813 QLK261813:QLL261813 QVG261813:QVH261813 RFC261813:RFD261813 ROY261813:ROZ261813 RYU261813:RYV261813 SIQ261813:SIR261813 SSM261813:SSN261813 TCI261813:TCJ261813 TME261813:TMF261813 TWA261813:TWB261813 UFW261813:UFX261813 UPS261813:UPT261813 UZO261813:UZP261813 VJK261813:VJL261813 VTG261813:VTH261813 WDC261813:WDD261813 WMY261813:WMZ261813 WWU261813:WWV261813 KI327349:KJ327349 UE327349:UF327349 AEA327349:AEB327349 ANW327349:ANX327349 AXS327349:AXT327349 BHO327349:BHP327349 BRK327349:BRL327349 CBG327349:CBH327349 CLC327349:CLD327349 CUY327349:CUZ327349 DEU327349:DEV327349 DOQ327349:DOR327349 DYM327349:DYN327349 EII327349:EIJ327349 ESE327349:ESF327349 FCA327349:FCB327349 FLW327349:FLX327349 FVS327349:FVT327349 GFO327349:GFP327349 GPK327349:GPL327349 GZG327349:GZH327349 HJC327349:HJD327349 HSY327349:HSZ327349 ICU327349:ICV327349 IMQ327349:IMR327349 IWM327349:IWN327349 JGI327349:JGJ327349 JQE327349:JQF327349 KAA327349:KAB327349 KJW327349:KJX327349 KTS327349:KTT327349 LDO327349:LDP327349 LNK327349:LNL327349 LXG327349:LXH327349 MHC327349:MHD327349 MQY327349:MQZ327349 NAU327349:NAV327349 NKQ327349:NKR327349 NUM327349:NUN327349 OEI327349:OEJ327349 OOE327349:OOF327349 OYA327349:OYB327349 PHW327349:PHX327349 PRS327349:PRT327349 QBO327349:QBP327349 QLK327349:QLL327349 QVG327349:QVH327349 RFC327349:RFD327349 ROY327349:ROZ327349 RYU327349:RYV327349 SIQ327349:SIR327349 SSM327349:SSN327349 TCI327349:TCJ327349 TME327349:TMF327349 TWA327349:TWB327349 UFW327349:UFX327349 UPS327349:UPT327349 UZO327349:UZP327349 VJK327349:VJL327349 VTG327349:VTH327349 WDC327349:WDD327349 WMY327349:WMZ327349 WWU327349:WWV327349 KI392885:KJ392885 UE392885:UF392885 AEA392885:AEB392885 ANW392885:ANX392885 AXS392885:AXT392885 BHO392885:BHP392885 BRK392885:BRL392885 CBG392885:CBH392885 CLC392885:CLD392885 CUY392885:CUZ392885 DEU392885:DEV392885 DOQ392885:DOR392885 DYM392885:DYN392885 EII392885:EIJ392885 ESE392885:ESF392885 FCA392885:FCB392885 FLW392885:FLX392885 FVS392885:FVT392885 GFO392885:GFP392885 GPK392885:GPL392885 GZG392885:GZH392885 HJC392885:HJD392885 HSY392885:HSZ392885 ICU392885:ICV392885 IMQ392885:IMR392885 IWM392885:IWN392885 JGI392885:JGJ392885 JQE392885:JQF392885 KAA392885:KAB392885 KJW392885:KJX392885 KTS392885:KTT392885 LDO392885:LDP392885 LNK392885:LNL392885 LXG392885:LXH392885 MHC392885:MHD392885 MQY392885:MQZ392885 NAU392885:NAV392885 NKQ392885:NKR392885 NUM392885:NUN392885 OEI392885:OEJ392885 OOE392885:OOF392885 OYA392885:OYB392885 PHW392885:PHX392885 PRS392885:PRT392885 QBO392885:QBP392885 QLK392885:QLL392885 QVG392885:QVH392885 RFC392885:RFD392885 ROY392885:ROZ392885 RYU392885:RYV392885 SIQ392885:SIR392885 SSM392885:SSN392885 TCI392885:TCJ392885 TME392885:TMF392885 TWA392885:TWB392885 UFW392885:UFX392885 UPS392885:UPT392885 UZO392885:UZP392885 VJK392885:VJL392885 VTG392885:VTH392885 WDC392885:WDD392885 WMY392885:WMZ392885 WWU392885:WWV392885 KI458421:KJ458421 UE458421:UF458421 AEA458421:AEB458421 ANW458421:ANX458421 AXS458421:AXT458421 BHO458421:BHP458421 BRK458421:BRL458421 CBG458421:CBH458421 CLC458421:CLD458421 CUY458421:CUZ458421 DEU458421:DEV458421 DOQ458421:DOR458421 DYM458421:DYN458421 EII458421:EIJ458421 ESE458421:ESF458421 FCA458421:FCB458421 FLW458421:FLX458421 FVS458421:FVT458421 GFO458421:GFP458421 GPK458421:GPL458421 GZG458421:GZH458421 HJC458421:HJD458421 HSY458421:HSZ458421 ICU458421:ICV458421 IMQ458421:IMR458421 IWM458421:IWN458421 JGI458421:JGJ458421 JQE458421:JQF458421 KAA458421:KAB458421 KJW458421:KJX458421 KTS458421:KTT458421 LDO458421:LDP458421 LNK458421:LNL458421 LXG458421:LXH458421 MHC458421:MHD458421 MQY458421:MQZ458421 NAU458421:NAV458421 NKQ458421:NKR458421 NUM458421:NUN458421 OEI458421:OEJ458421 OOE458421:OOF458421 OYA458421:OYB458421 PHW458421:PHX458421 PRS458421:PRT458421 QBO458421:QBP458421 QLK458421:QLL458421 QVG458421:QVH458421 RFC458421:RFD458421 ROY458421:ROZ458421 RYU458421:RYV458421 SIQ458421:SIR458421 SSM458421:SSN458421 TCI458421:TCJ458421 TME458421:TMF458421 TWA458421:TWB458421 UFW458421:UFX458421 UPS458421:UPT458421 UZO458421:UZP458421 VJK458421:VJL458421 VTG458421:VTH458421 WDC458421:WDD458421 WMY458421:WMZ458421 WWU458421:WWV458421 KI523957:KJ523957 UE523957:UF523957 AEA523957:AEB523957 ANW523957:ANX523957 AXS523957:AXT523957 BHO523957:BHP523957 BRK523957:BRL523957 CBG523957:CBH523957 CLC523957:CLD523957 CUY523957:CUZ523957 DEU523957:DEV523957 DOQ523957:DOR523957 DYM523957:DYN523957 EII523957:EIJ523957 ESE523957:ESF523957 FCA523957:FCB523957 FLW523957:FLX523957 FVS523957:FVT523957 GFO523957:GFP523957 GPK523957:GPL523957 GZG523957:GZH523957 HJC523957:HJD523957 HSY523957:HSZ523957 ICU523957:ICV523957 IMQ523957:IMR523957 IWM523957:IWN523957 JGI523957:JGJ523957 JQE523957:JQF523957 KAA523957:KAB523957 KJW523957:KJX523957 KTS523957:KTT523957 LDO523957:LDP523957 LNK523957:LNL523957 LXG523957:LXH523957 MHC523957:MHD523957 MQY523957:MQZ523957 NAU523957:NAV523957 NKQ523957:NKR523957 NUM523957:NUN523957 OEI523957:OEJ523957 OOE523957:OOF523957 OYA523957:OYB523957 PHW523957:PHX523957 PRS523957:PRT523957 QBO523957:QBP523957 QLK523957:QLL523957 QVG523957:QVH523957 RFC523957:RFD523957 ROY523957:ROZ523957 RYU523957:RYV523957 SIQ523957:SIR523957 SSM523957:SSN523957 TCI523957:TCJ523957 TME523957:TMF523957 TWA523957:TWB523957 UFW523957:UFX523957 UPS523957:UPT523957 UZO523957:UZP523957 VJK523957:VJL523957 VTG523957:VTH523957 WDC523957:WDD523957 WMY523957:WMZ523957 WWU523957:WWV523957 KI589493:KJ589493 UE589493:UF589493 AEA589493:AEB589493 ANW589493:ANX589493 AXS589493:AXT589493 BHO589493:BHP589493 BRK589493:BRL589493 CBG589493:CBH589493 CLC589493:CLD589493 CUY589493:CUZ589493 DEU589493:DEV589493 DOQ589493:DOR589493 DYM589493:DYN589493 EII589493:EIJ589493 ESE589493:ESF589493 FCA589493:FCB589493 FLW589493:FLX589493 FVS589493:FVT589493 GFO589493:GFP589493 GPK589493:GPL589493 GZG589493:GZH589493 HJC589493:HJD589493 HSY589493:HSZ589493 ICU589493:ICV589493 IMQ589493:IMR589493 IWM589493:IWN589493 JGI589493:JGJ589493 JQE589493:JQF589493 KAA589493:KAB589493 KJW589493:KJX589493 KTS589493:KTT589493 LDO589493:LDP589493 LNK589493:LNL589493 LXG589493:LXH589493 MHC589493:MHD589493 MQY589493:MQZ589493 NAU589493:NAV589493 NKQ589493:NKR589493 NUM589493:NUN589493 OEI589493:OEJ589493 OOE589493:OOF589493 OYA589493:OYB589493 PHW589493:PHX589493 PRS589493:PRT589493 QBO589493:QBP589493 QLK589493:QLL589493 QVG589493:QVH589493 RFC589493:RFD589493 ROY589493:ROZ589493 RYU589493:RYV589493 SIQ589493:SIR589493 SSM589493:SSN589493 TCI589493:TCJ589493 TME589493:TMF589493 TWA589493:TWB589493 UFW589493:UFX589493 UPS589493:UPT589493 UZO589493:UZP589493 VJK589493:VJL589493 VTG589493:VTH589493 WDC589493:WDD589493 WMY589493:WMZ589493 WWU589493:WWV589493 KI655029:KJ655029 UE655029:UF655029 AEA655029:AEB655029 ANW655029:ANX655029 AXS655029:AXT655029 BHO655029:BHP655029 BRK655029:BRL655029 CBG655029:CBH655029 CLC655029:CLD655029 CUY655029:CUZ655029 DEU655029:DEV655029 DOQ655029:DOR655029 DYM655029:DYN655029 EII655029:EIJ655029 ESE655029:ESF655029 FCA655029:FCB655029 FLW655029:FLX655029 FVS655029:FVT655029 GFO655029:GFP655029 GPK655029:GPL655029 GZG655029:GZH655029 HJC655029:HJD655029 HSY655029:HSZ655029 ICU655029:ICV655029 IMQ655029:IMR655029 IWM655029:IWN655029 JGI655029:JGJ655029 JQE655029:JQF655029 KAA655029:KAB655029 KJW655029:KJX655029 KTS655029:KTT655029 LDO655029:LDP655029 LNK655029:LNL655029 LXG655029:LXH655029 MHC655029:MHD655029 MQY655029:MQZ655029 NAU655029:NAV655029 NKQ655029:NKR655029 NUM655029:NUN655029 OEI655029:OEJ655029 OOE655029:OOF655029 OYA655029:OYB655029 PHW655029:PHX655029 PRS655029:PRT655029 QBO655029:QBP655029 QLK655029:QLL655029 QVG655029:QVH655029 RFC655029:RFD655029 ROY655029:ROZ655029 RYU655029:RYV655029 SIQ655029:SIR655029 SSM655029:SSN655029 TCI655029:TCJ655029 TME655029:TMF655029 TWA655029:TWB655029 UFW655029:UFX655029 UPS655029:UPT655029 UZO655029:UZP655029 VJK655029:VJL655029 VTG655029:VTH655029 WDC655029:WDD655029 WMY655029:WMZ655029 WWU655029:WWV655029 KI720565:KJ720565 UE720565:UF720565 AEA720565:AEB720565 ANW720565:ANX720565 AXS720565:AXT720565 BHO720565:BHP720565 BRK720565:BRL720565 CBG720565:CBH720565 CLC720565:CLD720565 CUY720565:CUZ720565 DEU720565:DEV720565 DOQ720565:DOR720565 DYM720565:DYN720565 EII720565:EIJ720565 ESE720565:ESF720565 FCA720565:FCB720565 FLW720565:FLX720565 FVS720565:FVT720565 GFO720565:GFP720565 GPK720565:GPL720565 GZG720565:GZH720565 HJC720565:HJD720565 HSY720565:HSZ720565 ICU720565:ICV720565 IMQ720565:IMR720565 IWM720565:IWN720565 JGI720565:JGJ720565 JQE720565:JQF720565 KAA720565:KAB720565 KJW720565:KJX720565 KTS720565:KTT720565 LDO720565:LDP720565 LNK720565:LNL720565 LXG720565:LXH720565 MHC720565:MHD720565 MQY720565:MQZ720565 NAU720565:NAV720565 NKQ720565:NKR720565 NUM720565:NUN720565 OEI720565:OEJ720565 OOE720565:OOF720565 OYA720565:OYB720565 PHW720565:PHX720565 PRS720565:PRT720565 QBO720565:QBP720565 QLK720565:QLL720565 QVG720565:QVH720565 RFC720565:RFD720565 ROY720565:ROZ720565 RYU720565:RYV720565 SIQ720565:SIR720565 SSM720565:SSN720565 TCI720565:TCJ720565 TME720565:TMF720565 TWA720565:TWB720565 UFW720565:UFX720565 UPS720565:UPT720565 UZO720565:UZP720565 VJK720565:VJL720565 VTG720565:VTH720565 WDC720565:WDD720565 WMY720565:WMZ720565 WWU720565:WWV720565 KI786101:KJ786101 UE786101:UF786101 AEA786101:AEB786101 ANW786101:ANX786101 AXS786101:AXT786101 BHO786101:BHP786101 BRK786101:BRL786101 CBG786101:CBH786101 CLC786101:CLD786101 CUY786101:CUZ786101 DEU786101:DEV786101 DOQ786101:DOR786101 DYM786101:DYN786101 EII786101:EIJ786101 ESE786101:ESF786101 FCA786101:FCB786101 FLW786101:FLX786101 FVS786101:FVT786101 GFO786101:GFP786101 GPK786101:GPL786101 GZG786101:GZH786101 HJC786101:HJD786101 HSY786101:HSZ786101 ICU786101:ICV786101 IMQ786101:IMR786101 IWM786101:IWN786101 JGI786101:JGJ786101 JQE786101:JQF786101 KAA786101:KAB786101 KJW786101:KJX786101 KTS786101:KTT786101 LDO786101:LDP786101 LNK786101:LNL786101 LXG786101:LXH786101 MHC786101:MHD786101 MQY786101:MQZ786101 NAU786101:NAV786101 NKQ786101:NKR786101 NUM786101:NUN786101 OEI786101:OEJ786101 OOE786101:OOF786101 OYA786101:OYB786101 PHW786101:PHX786101 PRS786101:PRT786101 QBO786101:QBP786101 QLK786101:QLL786101 QVG786101:QVH786101 RFC786101:RFD786101 ROY786101:ROZ786101 RYU786101:RYV786101 SIQ786101:SIR786101 SSM786101:SSN786101 TCI786101:TCJ786101 TME786101:TMF786101 TWA786101:TWB786101 UFW786101:UFX786101 UPS786101:UPT786101 UZO786101:UZP786101 VJK786101:VJL786101 VTG786101:VTH786101 WDC786101:WDD786101 WMY786101:WMZ786101 WWU786101:WWV786101 KI851637:KJ851637 UE851637:UF851637 AEA851637:AEB851637 ANW851637:ANX851637 AXS851637:AXT851637 BHO851637:BHP851637 BRK851637:BRL851637 CBG851637:CBH851637 CLC851637:CLD851637 CUY851637:CUZ851637 DEU851637:DEV851637 DOQ851637:DOR851637 DYM851637:DYN851637 EII851637:EIJ851637 ESE851637:ESF851637 FCA851637:FCB851637 FLW851637:FLX851637 FVS851637:FVT851637 GFO851637:GFP851637 GPK851637:GPL851637 GZG851637:GZH851637 HJC851637:HJD851637 HSY851637:HSZ851637 ICU851637:ICV851637 IMQ851637:IMR851637 IWM851637:IWN851637 JGI851637:JGJ851637 JQE851637:JQF851637 KAA851637:KAB851637 KJW851637:KJX851637 KTS851637:KTT851637 LDO851637:LDP851637 LNK851637:LNL851637 LXG851637:LXH851637 MHC851637:MHD851637 MQY851637:MQZ851637 NAU851637:NAV851637 NKQ851637:NKR851637 NUM851637:NUN851637 OEI851637:OEJ851637 OOE851637:OOF851637 OYA851637:OYB851637 PHW851637:PHX851637 PRS851637:PRT851637 QBO851637:QBP851637 QLK851637:QLL851637 QVG851637:QVH851637 RFC851637:RFD851637 ROY851637:ROZ851637 RYU851637:RYV851637 SIQ851637:SIR851637 SSM851637:SSN851637 TCI851637:TCJ851637 TME851637:TMF851637 TWA851637:TWB851637 UFW851637:UFX851637 UPS851637:UPT851637 UZO851637:UZP851637 VJK851637:VJL851637 VTG851637:VTH851637 WDC851637:WDD851637 WMY851637:WMZ851637 WWU851637:WWV851637 KI917173:KJ917173 UE917173:UF917173 AEA917173:AEB917173 ANW917173:ANX917173 AXS917173:AXT917173 BHO917173:BHP917173 BRK917173:BRL917173 CBG917173:CBH917173 CLC917173:CLD917173 CUY917173:CUZ917173 DEU917173:DEV917173 DOQ917173:DOR917173 DYM917173:DYN917173 EII917173:EIJ917173 ESE917173:ESF917173 FCA917173:FCB917173 FLW917173:FLX917173 FVS917173:FVT917173 GFO917173:GFP917173 GPK917173:GPL917173 GZG917173:GZH917173 HJC917173:HJD917173 HSY917173:HSZ917173 ICU917173:ICV917173 IMQ917173:IMR917173 IWM917173:IWN917173 JGI917173:JGJ917173 JQE917173:JQF917173 KAA917173:KAB917173 KJW917173:KJX917173 KTS917173:KTT917173 LDO917173:LDP917173 LNK917173:LNL917173 LXG917173:LXH917173 MHC917173:MHD917173 MQY917173:MQZ917173 NAU917173:NAV917173 NKQ917173:NKR917173 NUM917173:NUN917173 OEI917173:OEJ917173 OOE917173:OOF917173 OYA917173:OYB917173 PHW917173:PHX917173 PRS917173:PRT917173 QBO917173:QBP917173 QLK917173:QLL917173 QVG917173:QVH917173 RFC917173:RFD917173 ROY917173:ROZ917173 RYU917173:RYV917173 SIQ917173:SIR917173 SSM917173:SSN917173 TCI917173:TCJ917173 TME917173:TMF917173 TWA917173:TWB917173 UFW917173:UFX917173 UPS917173:UPT917173 UZO917173:UZP917173 VJK917173:VJL917173 VTG917173:VTH917173 WDC917173:WDD917173 WMY917173:WMZ917173 WWU917173:WWV917173 KI982709:KJ982709 UE982709:UF982709 AEA982709:AEB982709 ANW982709:ANX982709 AXS982709:AXT982709 BHO982709:BHP982709 BRK982709:BRL982709 CBG982709:CBH982709 CLC982709:CLD982709 CUY982709:CUZ982709 DEU982709:DEV982709 DOQ982709:DOR982709 DYM982709:DYN982709 EII982709:EIJ982709 ESE982709:ESF982709 FCA982709:FCB982709 FLW982709:FLX982709 FVS982709:FVT982709 GFO982709:GFP982709 GPK982709:GPL982709 GZG982709:GZH982709 HJC982709:HJD982709 HSY982709:HSZ982709 ICU982709:ICV982709 IMQ982709:IMR982709 IWM982709:IWN982709 JGI982709:JGJ982709 JQE982709:JQF982709 KAA982709:KAB982709 KJW982709:KJX982709 KTS982709:KTT982709 LDO982709:LDP982709 LNK982709:LNL982709 LXG982709:LXH982709 MHC982709:MHD982709 MQY982709:MQZ982709 NAU982709:NAV982709 NKQ982709:NKR982709 NUM982709:NUN982709 OEI982709:OEJ982709 OOE982709:OOF982709 OYA982709:OYB982709 PHW982709:PHX982709 PRS982709:PRT982709 QBO982709:QBP982709 QLK982709:QLL982709 QVG982709:QVH982709 RFC982709:RFD982709 ROY982709:ROZ982709 RYU982709:RYV982709 SIQ982709:SIR982709 SSM982709:SSN982709 TCI982709:TCJ982709 TME982709:TMF982709 TWA982709:TWB982709 UFW982709:UFX982709 UPS982709:UPT982709 UZO982709:UZP982709 VJK982709:VJL982709 VTG982709:VTH982709 WDC982709:WDD982709 WMY982709:WMZ982709 WWU982709:WWV982709 KI786072:KJ786076 UE786072:UF786076 AEA786072:AEB786076 ANW786072:ANX786076 AXS786072:AXT786076 BHO786072:BHP786076 BRK786072:BRL786076 CBG786072:CBH786076 CLC786072:CLD786076 CUY786072:CUZ786076 DEU786072:DEV786076 DOQ786072:DOR786076 DYM786072:DYN786076 EII786072:EIJ786076 ESE786072:ESF786076 FCA786072:FCB786076 FLW786072:FLX786076 FVS786072:FVT786076 GFO786072:GFP786076 GPK786072:GPL786076 GZG786072:GZH786076 HJC786072:HJD786076 HSY786072:HSZ786076 ICU786072:ICV786076 IMQ786072:IMR786076 IWM786072:IWN786076 JGI786072:JGJ786076 JQE786072:JQF786076 KAA786072:KAB786076 KJW786072:KJX786076 KTS786072:KTT786076 LDO786072:LDP786076 LNK786072:LNL786076 LXG786072:LXH786076 MHC786072:MHD786076 MQY786072:MQZ786076 NAU786072:NAV786076 NKQ786072:NKR786076 NUM786072:NUN786076 OEI786072:OEJ786076 OOE786072:OOF786076 OYA786072:OYB786076 PHW786072:PHX786076 PRS786072:PRT786076 QBO786072:QBP786076 QLK786072:QLL786076 QVG786072:QVH786076 RFC786072:RFD786076 ROY786072:ROZ786076 RYU786072:RYV786076 SIQ786072:SIR786076 SSM786072:SSN786076 TCI786072:TCJ786076 TME786072:TMF786076 TWA786072:TWB786076 UFW786072:UFX786076 UPS786072:UPT786076 UZO786072:UZP786076 VJK786072:VJL786076 VTG786072:VTH786076 WDC786072:WDD786076 WMY786072:WMZ786076 WWU786072:WWV786076 KI65174:KJ65174 UE65174:UF65174 AEA65174:AEB65174 ANW65174:ANX65174 AXS65174:AXT65174 BHO65174:BHP65174 BRK65174:BRL65174 CBG65174:CBH65174 CLC65174:CLD65174 CUY65174:CUZ65174 DEU65174:DEV65174 DOQ65174:DOR65174 DYM65174:DYN65174 EII65174:EIJ65174 ESE65174:ESF65174 FCA65174:FCB65174 FLW65174:FLX65174 FVS65174:FVT65174 GFO65174:GFP65174 GPK65174:GPL65174 GZG65174:GZH65174 HJC65174:HJD65174 HSY65174:HSZ65174 ICU65174:ICV65174 IMQ65174:IMR65174 IWM65174:IWN65174 JGI65174:JGJ65174 JQE65174:JQF65174 KAA65174:KAB65174 KJW65174:KJX65174 KTS65174:KTT65174 LDO65174:LDP65174 LNK65174:LNL65174 LXG65174:LXH65174 MHC65174:MHD65174 MQY65174:MQZ65174 NAU65174:NAV65174 NKQ65174:NKR65174 NUM65174:NUN65174 OEI65174:OEJ65174 OOE65174:OOF65174 OYA65174:OYB65174 PHW65174:PHX65174 PRS65174:PRT65174 QBO65174:QBP65174 QLK65174:QLL65174 QVG65174:QVH65174 RFC65174:RFD65174 ROY65174:ROZ65174 RYU65174:RYV65174 SIQ65174:SIR65174 SSM65174:SSN65174 TCI65174:TCJ65174 TME65174:TMF65174 TWA65174:TWB65174 UFW65174:UFX65174 UPS65174:UPT65174 UZO65174:UZP65174 VJK65174:VJL65174 VTG65174:VTH65174 WDC65174:WDD65174 WMY65174:WMZ65174 WWU65174:WWV65174 KI130710:KJ130710 UE130710:UF130710 AEA130710:AEB130710 ANW130710:ANX130710 AXS130710:AXT130710 BHO130710:BHP130710 BRK130710:BRL130710 CBG130710:CBH130710 CLC130710:CLD130710 CUY130710:CUZ130710 DEU130710:DEV130710 DOQ130710:DOR130710 DYM130710:DYN130710 EII130710:EIJ130710 ESE130710:ESF130710 FCA130710:FCB130710 FLW130710:FLX130710 FVS130710:FVT130710 GFO130710:GFP130710 GPK130710:GPL130710 GZG130710:GZH130710 HJC130710:HJD130710 HSY130710:HSZ130710 ICU130710:ICV130710 IMQ130710:IMR130710 IWM130710:IWN130710 JGI130710:JGJ130710 JQE130710:JQF130710 KAA130710:KAB130710 KJW130710:KJX130710 KTS130710:KTT130710 LDO130710:LDP130710 LNK130710:LNL130710 LXG130710:LXH130710 MHC130710:MHD130710 MQY130710:MQZ130710 NAU130710:NAV130710 NKQ130710:NKR130710 NUM130710:NUN130710 OEI130710:OEJ130710 OOE130710:OOF130710 OYA130710:OYB130710 PHW130710:PHX130710 PRS130710:PRT130710 QBO130710:QBP130710 QLK130710:QLL130710 QVG130710:QVH130710 RFC130710:RFD130710 ROY130710:ROZ130710 RYU130710:RYV130710 SIQ130710:SIR130710 SSM130710:SSN130710 TCI130710:TCJ130710 TME130710:TMF130710 TWA130710:TWB130710 UFW130710:UFX130710 UPS130710:UPT130710 UZO130710:UZP130710 VJK130710:VJL130710 VTG130710:VTH130710 WDC130710:WDD130710 WMY130710:WMZ130710 WWU130710:WWV130710 KI196246:KJ196246 UE196246:UF196246 AEA196246:AEB196246 ANW196246:ANX196246 AXS196246:AXT196246 BHO196246:BHP196246 BRK196246:BRL196246 CBG196246:CBH196246 CLC196246:CLD196246 CUY196246:CUZ196246 DEU196246:DEV196246 DOQ196246:DOR196246 DYM196246:DYN196246 EII196246:EIJ196246 ESE196246:ESF196246 FCA196246:FCB196246 FLW196246:FLX196246 FVS196246:FVT196246 GFO196246:GFP196246 GPK196246:GPL196246 GZG196246:GZH196246 HJC196246:HJD196246 HSY196246:HSZ196246 ICU196246:ICV196246 IMQ196246:IMR196246 IWM196246:IWN196246 JGI196246:JGJ196246 JQE196246:JQF196246 KAA196246:KAB196246 KJW196246:KJX196246 KTS196246:KTT196246 LDO196246:LDP196246 LNK196246:LNL196246 LXG196246:LXH196246 MHC196246:MHD196246 MQY196246:MQZ196246 NAU196246:NAV196246 NKQ196246:NKR196246 NUM196246:NUN196246 OEI196246:OEJ196246 OOE196246:OOF196246 OYA196246:OYB196246 PHW196246:PHX196246 PRS196246:PRT196246 QBO196246:QBP196246 QLK196246:QLL196246 QVG196246:QVH196246 RFC196246:RFD196246 ROY196246:ROZ196246 RYU196246:RYV196246 SIQ196246:SIR196246 SSM196246:SSN196246 TCI196246:TCJ196246 TME196246:TMF196246 TWA196246:TWB196246 UFW196246:UFX196246 UPS196246:UPT196246 UZO196246:UZP196246 VJK196246:VJL196246 VTG196246:VTH196246 WDC196246:WDD196246 WMY196246:WMZ196246 WWU196246:WWV196246 KI261782:KJ261782 UE261782:UF261782 AEA261782:AEB261782 ANW261782:ANX261782 AXS261782:AXT261782 BHO261782:BHP261782 BRK261782:BRL261782 CBG261782:CBH261782 CLC261782:CLD261782 CUY261782:CUZ261782 DEU261782:DEV261782 DOQ261782:DOR261782 DYM261782:DYN261782 EII261782:EIJ261782 ESE261782:ESF261782 FCA261782:FCB261782 FLW261782:FLX261782 FVS261782:FVT261782 GFO261782:GFP261782 GPK261782:GPL261782 GZG261782:GZH261782 HJC261782:HJD261782 HSY261782:HSZ261782 ICU261782:ICV261782 IMQ261782:IMR261782 IWM261782:IWN261782 JGI261782:JGJ261782 JQE261782:JQF261782 KAA261782:KAB261782 KJW261782:KJX261782 KTS261782:KTT261782 LDO261782:LDP261782 LNK261782:LNL261782 LXG261782:LXH261782 MHC261782:MHD261782 MQY261782:MQZ261782 NAU261782:NAV261782 NKQ261782:NKR261782 NUM261782:NUN261782 OEI261782:OEJ261782 OOE261782:OOF261782 OYA261782:OYB261782 PHW261782:PHX261782 PRS261782:PRT261782 QBO261782:QBP261782 QLK261782:QLL261782 QVG261782:QVH261782 RFC261782:RFD261782 ROY261782:ROZ261782 RYU261782:RYV261782 SIQ261782:SIR261782 SSM261782:SSN261782 TCI261782:TCJ261782 TME261782:TMF261782 TWA261782:TWB261782 UFW261782:UFX261782 UPS261782:UPT261782 UZO261782:UZP261782 VJK261782:VJL261782 VTG261782:VTH261782 WDC261782:WDD261782 WMY261782:WMZ261782 WWU261782:WWV261782 KI327318:KJ327318 UE327318:UF327318 AEA327318:AEB327318 ANW327318:ANX327318 AXS327318:AXT327318 BHO327318:BHP327318 BRK327318:BRL327318 CBG327318:CBH327318 CLC327318:CLD327318 CUY327318:CUZ327318 DEU327318:DEV327318 DOQ327318:DOR327318 DYM327318:DYN327318 EII327318:EIJ327318 ESE327318:ESF327318 FCA327318:FCB327318 FLW327318:FLX327318 FVS327318:FVT327318 GFO327318:GFP327318 GPK327318:GPL327318 GZG327318:GZH327318 HJC327318:HJD327318 HSY327318:HSZ327318 ICU327318:ICV327318 IMQ327318:IMR327318 IWM327318:IWN327318 JGI327318:JGJ327318 JQE327318:JQF327318 KAA327318:KAB327318 KJW327318:KJX327318 KTS327318:KTT327318 LDO327318:LDP327318 LNK327318:LNL327318 LXG327318:LXH327318 MHC327318:MHD327318 MQY327318:MQZ327318 NAU327318:NAV327318 NKQ327318:NKR327318 NUM327318:NUN327318 OEI327318:OEJ327318 OOE327318:OOF327318 OYA327318:OYB327318 PHW327318:PHX327318 PRS327318:PRT327318 QBO327318:QBP327318 QLK327318:QLL327318 QVG327318:QVH327318 RFC327318:RFD327318 ROY327318:ROZ327318 RYU327318:RYV327318 SIQ327318:SIR327318 SSM327318:SSN327318 TCI327318:TCJ327318 TME327318:TMF327318 TWA327318:TWB327318 UFW327318:UFX327318 UPS327318:UPT327318 UZO327318:UZP327318 VJK327318:VJL327318 VTG327318:VTH327318 WDC327318:WDD327318 WMY327318:WMZ327318 WWU327318:WWV327318 KI392854:KJ392854 UE392854:UF392854 AEA392854:AEB392854 ANW392854:ANX392854 AXS392854:AXT392854 BHO392854:BHP392854 BRK392854:BRL392854 CBG392854:CBH392854 CLC392854:CLD392854 CUY392854:CUZ392854 DEU392854:DEV392854 DOQ392854:DOR392854 DYM392854:DYN392854 EII392854:EIJ392854 ESE392854:ESF392854 FCA392854:FCB392854 FLW392854:FLX392854 FVS392854:FVT392854 GFO392854:GFP392854 GPK392854:GPL392854 GZG392854:GZH392854 HJC392854:HJD392854 HSY392854:HSZ392854 ICU392854:ICV392854 IMQ392854:IMR392854 IWM392854:IWN392854 JGI392854:JGJ392854 JQE392854:JQF392854 KAA392854:KAB392854 KJW392854:KJX392854 KTS392854:KTT392854 LDO392854:LDP392854 LNK392854:LNL392854 LXG392854:LXH392854 MHC392854:MHD392854 MQY392854:MQZ392854 NAU392854:NAV392854 NKQ392854:NKR392854 NUM392854:NUN392854 OEI392854:OEJ392854 OOE392854:OOF392854 OYA392854:OYB392854 PHW392854:PHX392854 PRS392854:PRT392854 QBO392854:QBP392854 QLK392854:QLL392854 QVG392854:QVH392854 RFC392854:RFD392854 ROY392854:ROZ392854 RYU392854:RYV392854 SIQ392854:SIR392854 SSM392854:SSN392854 TCI392854:TCJ392854 TME392854:TMF392854 TWA392854:TWB392854 UFW392854:UFX392854 UPS392854:UPT392854 UZO392854:UZP392854 VJK392854:VJL392854 VTG392854:VTH392854 WDC392854:WDD392854 WMY392854:WMZ392854 WWU392854:WWV392854 KI458390:KJ458390 UE458390:UF458390 AEA458390:AEB458390 ANW458390:ANX458390 AXS458390:AXT458390 BHO458390:BHP458390 BRK458390:BRL458390 CBG458390:CBH458390 CLC458390:CLD458390 CUY458390:CUZ458390 DEU458390:DEV458390 DOQ458390:DOR458390 DYM458390:DYN458390 EII458390:EIJ458390 ESE458390:ESF458390 FCA458390:FCB458390 FLW458390:FLX458390 FVS458390:FVT458390 GFO458390:GFP458390 GPK458390:GPL458390 GZG458390:GZH458390 HJC458390:HJD458390 HSY458390:HSZ458390 ICU458390:ICV458390 IMQ458390:IMR458390 IWM458390:IWN458390 JGI458390:JGJ458390 JQE458390:JQF458390 KAA458390:KAB458390 KJW458390:KJX458390 KTS458390:KTT458390 LDO458390:LDP458390 LNK458390:LNL458390 LXG458390:LXH458390 MHC458390:MHD458390 MQY458390:MQZ458390 NAU458390:NAV458390 NKQ458390:NKR458390 NUM458390:NUN458390 OEI458390:OEJ458390 OOE458390:OOF458390 OYA458390:OYB458390 PHW458390:PHX458390 PRS458390:PRT458390 QBO458390:QBP458390 QLK458390:QLL458390 QVG458390:QVH458390 RFC458390:RFD458390 ROY458390:ROZ458390 RYU458390:RYV458390 SIQ458390:SIR458390 SSM458390:SSN458390 TCI458390:TCJ458390 TME458390:TMF458390 TWA458390:TWB458390 UFW458390:UFX458390 UPS458390:UPT458390 UZO458390:UZP458390 VJK458390:VJL458390 VTG458390:VTH458390 WDC458390:WDD458390 WMY458390:WMZ458390 WWU458390:WWV458390 KI523926:KJ523926 UE523926:UF523926 AEA523926:AEB523926 ANW523926:ANX523926 AXS523926:AXT523926 BHO523926:BHP523926 BRK523926:BRL523926 CBG523926:CBH523926 CLC523926:CLD523926 CUY523926:CUZ523926 DEU523926:DEV523926 DOQ523926:DOR523926 DYM523926:DYN523926 EII523926:EIJ523926 ESE523926:ESF523926 FCA523926:FCB523926 FLW523926:FLX523926 FVS523926:FVT523926 GFO523926:GFP523926 GPK523926:GPL523926 GZG523926:GZH523926 HJC523926:HJD523926 HSY523926:HSZ523926 ICU523926:ICV523926 IMQ523926:IMR523926 IWM523926:IWN523926 JGI523926:JGJ523926 JQE523926:JQF523926 KAA523926:KAB523926 KJW523926:KJX523926 KTS523926:KTT523926 LDO523926:LDP523926 LNK523926:LNL523926 LXG523926:LXH523926 MHC523926:MHD523926 MQY523926:MQZ523926 NAU523926:NAV523926 NKQ523926:NKR523926 NUM523926:NUN523926 OEI523926:OEJ523926 OOE523926:OOF523926 OYA523926:OYB523926 PHW523926:PHX523926 PRS523926:PRT523926 QBO523926:QBP523926 QLK523926:QLL523926 QVG523926:QVH523926 RFC523926:RFD523926 ROY523926:ROZ523926 RYU523926:RYV523926 SIQ523926:SIR523926 SSM523926:SSN523926 TCI523926:TCJ523926 TME523926:TMF523926 TWA523926:TWB523926 UFW523926:UFX523926 UPS523926:UPT523926 UZO523926:UZP523926 VJK523926:VJL523926 VTG523926:VTH523926 WDC523926:WDD523926 WMY523926:WMZ523926 WWU523926:WWV523926 KI589462:KJ589462 UE589462:UF589462 AEA589462:AEB589462 ANW589462:ANX589462 AXS589462:AXT589462 BHO589462:BHP589462 BRK589462:BRL589462 CBG589462:CBH589462 CLC589462:CLD589462 CUY589462:CUZ589462 DEU589462:DEV589462 DOQ589462:DOR589462 DYM589462:DYN589462 EII589462:EIJ589462 ESE589462:ESF589462 FCA589462:FCB589462 FLW589462:FLX589462 FVS589462:FVT589462 GFO589462:GFP589462 GPK589462:GPL589462 GZG589462:GZH589462 HJC589462:HJD589462 HSY589462:HSZ589462 ICU589462:ICV589462 IMQ589462:IMR589462 IWM589462:IWN589462 JGI589462:JGJ589462 JQE589462:JQF589462 KAA589462:KAB589462 KJW589462:KJX589462 KTS589462:KTT589462 LDO589462:LDP589462 LNK589462:LNL589462 LXG589462:LXH589462 MHC589462:MHD589462 MQY589462:MQZ589462 NAU589462:NAV589462 NKQ589462:NKR589462 NUM589462:NUN589462 OEI589462:OEJ589462 OOE589462:OOF589462 OYA589462:OYB589462 PHW589462:PHX589462 PRS589462:PRT589462 QBO589462:QBP589462 QLK589462:QLL589462 QVG589462:QVH589462 RFC589462:RFD589462 ROY589462:ROZ589462 RYU589462:RYV589462 SIQ589462:SIR589462 SSM589462:SSN589462 TCI589462:TCJ589462 TME589462:TMF589462 TWA589462:TWB589462 UFW589462:UFX589462 UPS589462:UPT589462 UZO589462:UZP589462 VJK589462:VJL589462 VTG589462:VTH589462 WDC589462:WDD589462 WMY589462:WMZ589462 WWU589462:WWV589462 KI654998:KJ654998 UE654998:UF654998 AEA654998:AEB654998 ANW654998:ANX654998 AXS654998:AXT654998 BHO654998:BHP654998 BRK654998:BRL654998 CBG654998:CBH654998 CLC654998:CLD654998 CUY654998:CUZ654998 DEU654998:DEV654998 DOQ654998:DOR654998 DYM654998:DYN654998 EII654998:EIJ654998 ESE654998:ESF654998 FCA654998:FCB654998 FLW654998:FLX654998 FVS654998:FVT654998 GFO654998:GFP654998 GPK654998:GPL654998 GZG654998:GZH654998 HJC654998:HJD654998 HSY654998:HSZ654998 ICU654998:ICV654998 IMQ654998:IMR654998 IWM654998:IWN654998 JGI654998:JGJ654998 JQE654998:JQF654998 KAA654998:KAB654998 KJW654998:KJX654998 KTS654998:KTT654998 LDO654998:LDP654998 LNK654998:LNL654998 LXG654998:LXH654998 MHC654998:MHD654998 MQY654998:MQZ654998 NAU654998:NAV654998 NKQ654998:NKR654998 NUM654998:NUN654998 OEI654998:OEJ654998 OOE654998:OOF654998 OYA654998:OYB654998 PHW654998:PHX654998 PRS654998:PRT654998 QBO654998:QBP654998 QLK654998:QLL654998 QVG654998:QVH654998 RFC654998:RFD654998 ROY654998:ROZ654998 RYU654998:RYV654998 SIQ654998:SIR654998 SSM654998:SSN654998 TCI654998:TCJ654998 TME654998:TMF654998 TWA654998:TWB654998 UFW654998:UFX654998 UPS654998:UPT654998 UZO654998:UZP654998 VJK654998:VJL654998 VTG654998:VTH654998 WDC654998:WDD654998 WMY654998:WMZ654998 WWU654998:WWV654998 KI720534:KJ720534 UE720534:UF720534 AEA720534:AEB720534 ANW720534:ANX720534 AXS720534:AXT720534 BHO720534:BHP720534 BRK720534:BRL720534 CBG720534:CBH720534 CLC720534:CLD720534 CUY720534:CUZ720534 DEU720534:DEV720534 DOQ720534:DOR720534 DYM720534:DYN720534 EII720534:EIJ720534 ESE720534:ESF720534 FCA720534:FCB720534 FLW720534:FLX720534 FVS720534:FVT720534 GFO720534:GFP720534 GPK720534:GPL720534 GZG720534:GZH720534 HJC720534:HJD720534 HSY720534:HSZ720534 ICU720534:ICV720534 IMQ720534:IMR720534 IWM720534:IWN720534 JGI720534:JGJ720534 JQE720534:JQF720534 KAA720534:KAB720534 KJW720534:KJX720534 KTS720534:KTT720534 LDO720534:LDP720534 LNK720534:LNL720534 LXG720534:LXH720534 MHC720534:MHD720534 MQY720534:MQZ720534 NAU720534:NAV720534 NKQ720534:NKR720534 NUM720534:NUN720534 OEI720534:OEJ720534 OOE720534:OOF720534 OYA720534:OYB720534 PHW720534:PHX720534 PRS720534:PRT720534 QBO720534:QBP720534 QLK720534:QLL720534 QVG720534:QVH720534 RFC720534:RFD720534 ROY720534:ROZ720534 RYU720534:RYV720534 SIQ720534:SIR720534 SSM720534:SSN720534 TCI720534:TCJ720534 TME720534:TMF720534 TWA720534:TWB720534 UFW720534:UFX720534 UPS720534:UPT720534 UZO720534:UZP720534 VJK720534:VJL720534 VTG720534:VTH720534 WDC720534:WDD720534 WMY720534:WMZ720534 WWU720534:WWV720534 KI786070:KJ786070 UE786070:UF786070 AEA786070:AEB786070 ANW786070:ANX786070 AXS786070:AXT786070 BHO786070:BHP786070 BRK786070:BRL786070 CBG786070:CBH786070 CLC786070:CLD786070 CUY786070:CUZ786070 DEU786070:DEV786070 DOQ786070:DOR786070 DYM786070:DYN786070 EII786070:EIJ786070 ESE786070:ESF786070 FCA786070:FCB786070 FLW786070:FLX786070 FVS786070:FVT786070 GFO786070:GFP786070 GPK786070:GPL786070 GZG786070:GZH786070 HJC786070:HJD786070 HSY786070:HSZ786070 ICU786070:ICV786070 IMQ786070:IMR786070 IWM786070:IWN786070 JGI786070:JGJ786070 JQE786070:JQF786070 KAA786070:KAB786070 KJW786070:KJX786070 KTS786070:KTT786070 LDO786070:LDP786070 LNK786070:LNL786070 LXG786070:LXH786070 MHC786070:MHD786070 MQY786070:MQZ786070 NAU786070:NAV786070 NKQ786070:NKR786070 NUM786070:NUN786070 OEI786070:OEJ786070 OOE786070:OOF786070 OYA786070:OYB786070 PHW786070:PHX786070 PRS786070:PRT786070 QBO786070:QBP786070 QLK786070:QLL786070 QVG786070:QVH786070 RFC786070:RFD786070 ROY786070:ROZ786070 RYU786070:RYV786070 SIQ786070:SIR786070 SSM786070:SSN786070 TCI786070:TCJ786070 TME786070:TMF786070 TWA786070:TWB786070 UFW786070:UFX786070 UPS786070:UPT786070 UZO786070:UZP786070 VJK786070:VJL786070 VTG786070:VTH786070 WDC786070:WDD786070 WMY786070:WMZ786070 WWU786070:WWV786070 KI851606:KJ851606 UE851606:UF851606 AEA851606:AEB851606 ANW851606:ANX851606 AXS851606:AXT851606 BHO851606:BHP851606 BRK851606:BRL851606 CBG851606:CBH851606 CLC851606:CLD851606 CUY851606:CUZ851606 DEU851606:DEV851606 DOQ851606:DOR851606 DYM851606:DYN851606 EII851606:EIJ851606 ESE851606:ESF851606 FCA851606:FCB851606 FLW851606:FLX851606 FVS851606:FVT851606 GFO851606:GFP851606 GPK851606:GPL851606 GZG851606:GZH851606 HJC851606:HJD851606 HSY851606:HSZ851606 ICU851606:ICV851606 IMQ851606:IMR851606 IWM851606:IWN851606 JGI851606:JGJ851606 JQE851606:JQF851606 KAA851606:KAB851606 KJW851606:KJX851606 KTS851606:KTT851606 LDO851606:LDP851606 LNK851606:LNL851606 LXG851606:LXH851606 MHC851606:MHD851606 MQY851606:MQZ851606 NAU851606:NAV851606 NKQ851606:NKR851606 NUM851606:NUN851606 OEI851606:OEJ851606 OOE851606:OOF851606 OYA851606:OYB851606 PHW851606:PHX851606 PRS851606:PRT851606 QBO851606:QBP851606 QLK851606:QLL851606 QVG851606:QVH851606 RFC851606:RFD851606 ROY851606:ROZ851606 RYU851606:RYV851606 SIQ851606:SIR851606 SSM851606:SSN851606 TCI851606:TCJ851606 TME851606:TMF851606 TWA851606:TWB851606 UFW851606:UFX851606 UPS851606:UPT851606 UZO851606:UZP851606 VJK851606:VJL851606 VTG851606:VTH851606 WDC851606:WDD851606 WMY851606:WMZ851606 WWU851606:WWV851606 KI917142:KJ917142 UE917142:UF917142 AEA917142:AEB917142 ANW917142:ANX917142 AXS917142:AXT917142 BHO917142:BHP917142 BRK917142:BRL917142 CBG917142:CBH917142 CLC917142:CLD917142 CUY917142:CUZ917142 DEU917142:DEV917142 DOQ917142:DOR917142 DYM917142:DYN917142 EII917142:EIJ917142 ESE917142:ESF917142 FCA917142:FCB917142 FLW917142:FLX917142 FVS917142:FVT917142 GFO917142:GFP917142 GPK917142:GPL917142 GZG917142:GZH917142 HJC917142:HJD917142 HSY917142:HSZ917142 ICU917142:ICV917142 IMQ917142:IMR917142 IWM917142:IWN917142 JGI917142:JGJ917142 JQE917142:JQF917142 KAA917142:KAB917142 KJW917142:KJX917142 KTS917142:KTT917142 LDO917142:LDP917142 LNK917142:LNL917142 LXG917142:LXH917142 MHC917142:MHD917142 MQY917142:MQZ917142 NAU917142:NAV917142 NKQ917142:NKR917142 NUM917142:NUN917142 OEI917142:OEJ917142 OOE917142:OOF917142 OYA917142:OYB917142 PHW917142:PHX917142 PRS917142:PRT917142 QBO917142:QBP917142 QLK917142:QLL917142 QVG917142:QVH917142 RFC917142:RFD917142 ROY917142:ROZ917142 RYU917142:RYV917142 SIQ917142:SIR917142 SSM917142:SSN917142 TCI917142:TCJ917142 TME917142:TMF917142 TWA917142:TWB917142 UFW917142:UFX917142 UPS917142:UPT917142 UZO917142:UZP917142 VJK917142:VJL917142 VTG917142:VTH917142 WDC917142:WDD917142 WMY917142:WMZ917142 WWU917142:WWV917142 KI982678:KJ982678 UE982678:UF982678 AEA982678:AEB982678 ANW982678:ANX982678 AXS982678:AXT982678 BHO982678:BHP982678 BRK982678:BRL982678 CBG982678:CBH982678 CLC982678:CLD982678 CUY982678:CUZ982678 DEU982678:DEV982678 DOQ982678:DOR982678 DYM982678:DYN982678 EII982678:EIJ982678 ESE982678:ESF982678 FCA982678:FCB982678 FLW982678:FLX982678 FVS982678:FVT982678 GFO982678:GFP982678 GPK982678:GPL982678 GZG982678:GZH982678 HJC982678:HJD982678 HSY982678:HSZ982678 ICU982678:ICV982678 IMQ982678:IMR982678 IWM982678:IWN982678 JGI982678:JGJ982678 JQE982678:JQF982678 KAA982678:KAB982678 KJW982678:KJX982678 KTS982678:KTT982678 LDO982678:LDP982678 LNK982678:LNL982678 LXG982678:LXH982678 MHC982678:MHD982678 MQY982678:MQZ982678 NAU982678:NAV982678 NKQ982678:NKR982678 NUM982678:NUN982678 OEI982678:OEJ982678 OOE982678:OOF982678 OYA982678:OYB982678 PHW982678:PHX982678 PRS982678:PRT982678 QBO982678:QBP982678 QLK982678:QLL982678 QVG982678:QVH982678 RFC982678:RFD982678 ROY982678:ROZ982678 RYU982678:RYV982678 SIQ982678:SIR982678 SSM982678:SSN982678 TCI982678:TCJ982678 TME982678:TMF982678 TWA982678:TWB982678 UFW982678:UFX982678 UPS982678:UPT982678 UZO982678:UZP982678 VJK982678:VJL982678 VTG982678:VTH982678 WDC982678:WDD982678 WMY982678:WMZ982678 WWU982678:WWV982678 KI851608:KJ851612 UE851608:UF851612 AEA851608:AEB851612 ANW851608:ANX851612 AXS851608:AXT851612 BHO851608:BHP851612 BRK851608:BRL851612 CBG851608:CBH851612 CLC851608:CLD851612 CUY851608:CUZ851612 DEU851608:DEV851612 DOQ851608:DOR851612 DYM851608:DYN851612 EII851608:EIJ851612 ESE851608:ESF851612 FCA851608:FCB851612 FLW851608:FLX851612 FVS851608:FVT851612 GFO851608:GFP851612 GPK851608:GPL851612 GZG851608:GZH851612 HJC851608:HJD851612 HSY851608:HSZ851612 ICU851608:ICV851612 IMQ851608:IMR851612 IWM851608:IWN851612 JGI851608:JGJ851612 JQE851608:JQF851612 KAA851608:KAB851612 KJW851608:KJX851612 KTS851608:KTT851612 LDO851608:LDP851612 LNK851608:LNL851612 LXG851608:LXH851612 MHC851608:MHD851612 MQY851608:MQZ851612 NAU851608:NAV851612 NKQ851608:NKR851612 NUM851608:NUN851612 OEI851608:OEJ851612 OOE851608:OOF851612 OYA851608:OYB851612 PHW851608:PHX851612 PRS851608:PRT851612 QBO851608:QBP851612 QLK851608:QLL851612 QVG851608:QVH851612 RFC851608:RFD851612 ROY851608:ROZ851612 RYU851608:RYV851612 SIQ851608:SIR851612 SSM851608:SSN851612 TCI851608:TCJ851612 TME851608:TMF851612 TWA851608:TWB851612 UFW851608:UFX851612 UPS851608:UPT851612 UZO851608:UZP851612 VJK851608:VJL851612 VTG851608:VTH851612 WDC851608:WDD851612 WMY851608:WMZ851612 WWU851608:WWV851612 KI65163:KJ65163 UE65163:UF65163 AEA65163:AEB65163 ANW65163:ANX65163 AXS65163:AXT65163 BHO65163:BHP65163 BRK65163:BRL65163 CBG65163:CBH65163 CLC65163:CLD65163 CUY65163:CUZ65163 DEU65163:DEV65163 DOQ65163:DOR65163 DYM65163:DYN65163 EII65163:EIJ65163 ESE65163:ESF65163 FCA65163:FCB65163 FLW65163:FLX65163 FVS65163:FVT65163 GFO65163:GFP65163 GPK65163:GPL65163 GZG65163:GZH65163 HJC65163:HJD65163 HSY65163:HSZ65163 ICU65163:ICV65163 IMQ65163:IMR65163 IWM65163:IWN65163 JGI65163:JGJ65163 JQE65163:JQF65163 KAA65163:KAB65163 KJW65163:KJX65163 KTS65163:KTT65163 LDO65163:LDP65163 LNK65163:LNL65163 LXG65163:LXH65163 MHC65163:MHD65163 MQY65163:MQZ65163 NAU65163:NAV65163 NKQ65163:NKR65163 NUM65163:NUN65163 OEI65163:OEJ65163 OOE65163:OOF65163 OYA65163:OYB65163 PHW65163:PHX65163 PRS65163:PRT65163 QBO65163:QBP65163 QLK65163:QLL65163 QVG65163:QVH65163 RFC65163:RFD65163 ROY65163:ROZ65163 RYU65163:RYV65163 SIQ65163:SIR65163 SSM65163:SSN65163 TCI65163:TCJ65163 TME65163:TMF65163 TWA65163:TWB65163 UFW65163:UFX65163 UPS65163:UPT65163 UZO65163:UZP65163 VJK65163:VJL65163 VTG65163:VTH65163 WDC65163:WDD65163 WMY65163:WMZ65163 WWU65163:WWV65163 KI130699:KJ130699 UE130699:UF130699 AEA130699:AEB130699 ANW130699:ANX130699 AXS130699:AXT130699 BHO130699:BHP130699 BRK130699:BRL130699 CBG130699:CBH130699 CLC130699:CLD130699 CUY130699:CUZ130699 DEU130699:DEV130699 DOQ130699:DOR130699 DYM130699:DYN130699 EII130699:EIJ130699 ESE130699:ESF130699 FCA130699:FCB130699 FLW130699:FLX130699 FVS130699:FVT130699 GFO130699:GFP130699 GPK130699:GPL130699 GZG130699:GZH130699 HJC130699:HJD130699 HSY130699:HSZ130699 ICU130699:ICV130699 IMQ130699:IMR130699 IWM130699:IWN130699 JGI130699:JGJ130699 JQE130699:JQF130699 KAA130699:KAB130699 KJW130699:KJX130699 KTS130699:KTT130699 LDO130699:LDP130699 LNK130699:LNL130699 LXG130699:LXH130699 MHC130699:MHD130699 MQY130699:MQZ130699 NAU130699:NAV130699 NKQ130699:NKR130699 NUM130699:NUN130699 OEI130699:OEJ130699 OOE130699:OOF130699 OYA130699:OYB130699 PHW130699:PHX130699 PRS130699:PRT130699 QBO130699:QBP130699 QLK130699:QLL130699 QVG130699:QVH130699 RFC130699:RFD130699 ROY130699:ROZ130699 RYU130699:RYV130699 SIQ130699:SIR130699 SSM130699:SSN130699 TCI130699:TCJ130699 TME130699:TMF130699 TWA130699:TWB130699 UFW130699:UFX130699 UPS130699:UPT130699 UZO130699:UZP130699 VJK130699:VJL130699 VTG130699:VTH130699 WDC130699:WDD130699 WMY130699:WMZ130699 WWU130699:WWV130699 KI196235:KJ196235 UE196235:UF196235 AEA196235:AEB196235 ANW196235:ANX196235 AXS196235:AXT196235 BHO196235:BHP196235 BRK196235:BRL196235 CBG196235:CBH196235 CLC196235:CLD196235 CUY196235:CUZ196235 DEU196235:DEV196235 DOQ196235:DOR196235 DYM196235:DYN196235 EII196235:EIJ196235 ESE196235:ESF196235 FCA196235:FCB196235 FLW196235:FLX196235 FVS196235:FVT196235 GFO196235:GFP196235 GPK196235:GPL196235 GZG196235:GZH196235 HJC196235:HJD196235 HSY196235:HSZ196235 ICU196235:ICV196235 IMQ196235:IMR196235 IWM196235:IWN196235 JGI196235:JGJ196235 JQE196235:JQF196235 KAA196235:KAB196235 KJW196235:KJX196235 KTS196235:KTT196235 LDO196235:LDP196235 LNK196235:LNL196235 LXG196235:LXH196235 MHC196235:MHD196235 MQY196235:MQZ196235 NAU196235:NAV196235 NKQ196235:NKR196235 NUM196235:NUN196235 OEI196235:OEJ196235 OOE196235:OOF196235 OYA196235:OYB196235 PHW196235:PHX196235 PRS196235:PRT196235 QBO196235:QBP196235 QLK196235:QLL196235 QVG196235:QVH196235 RFC196235:RFD196235 ROY196235:ROZ196235 RYU196235:RYV196235 SIQ196235:SIR196235 SSM196235:SSN196235 TCI196235:TCJ196235 TME196235:TMF196235 TWA196235:TWB196235 UFW196235:UFX196235 UPS196235:UPT196235 UZO196235:UZP196235 VJK196235:VJL196235 VTG196235:VTH196235 WDC196235:WDD196235 WMY196235:WMZ196235 WWU196235:WWV196235 KI261771:KJ261771 UE261771:UF261771 AEA261771:AEB261771 ANW261771:ANX261771 AXS261771:AXT261771 BHO261771:BHP261771 BRK261771:BRL261771 CBG261771:CBH261771 CLC261771:CLD261771 CUY261771:CUZ261771 DEU261771:DEV261771 DOQ261771:DOR261771 DYM261771:DYN261771 EII261771:EIJ261771 ESE261771:ESF261771 FCA261771:FCB261771 FLW261771:FLX261771 FVS261771:FVT261771 GFO261771:GFP261771 GPK261771:GPL261771 GZG261771:GZH261771 HJC261771:HJD261771 HSY261771:HSZ261771 ICU261771:ICV261771 IMQ261771:IMR261771 IWM261771:IWN261771 JGI261771:JGJ261771 JQE261771:JQF261771 KAA261771:KAB261771 KJW261771:KJX261771 KTS261771:KTT261771 LDO261771:LDP261771 LNK261771:LNL261771 LXG261771:LXH261771 MHC261771:MHD261771 MQY261771:MQZ261771 NAU261771:NAV261771 NKQ261771:NKR261771 NUM261771:NUN261771 OEI261771:OEJ261771 OOE261771:OOF261771 OYA261771:OYB261771 PHW261771:PHX261771 PRS261771:PRT261771 QBO261771:QBP261771 QLK261771:QLL261771 QVG261771:QVH261771 RFC261771:RFD261771 ROY261771:ROZ261771 RYU261771:RYV261771 SIQ261771:SIR261771 SSM261771:SSN261771 TCI261771:TCJ261771 TME261771:TMF261771 TWA261771:TWB261771 UFW261771:UFX261771 UPS261771:UPT261771 UZO261771:UZP261771 VJK261771:VJL261771 VTG261771:VTH261771 WDC261771:WDD261771 WMY261771:WMZ261771 WWU261771:WWV261771 KI327307:KJ327307 UE327307:UF327307 AEA327307:AEB327307 ANW327307:ANX327307 AXS327307:AXT327307 BHO327307:BHP327307 BRK327307:BRL327307 CBG327307:CBH327307 CLC327307:CLD327307 CUY327307:CUZ327307 DEU327307:DEV327307 DOQ327307:DOR327307 DYM327307:DYN327307 EII327307:EIJ327307 ESE327307:ESF327307 FCA327307:FCB327307 FLW327307:FLX327307 FVS327307:FVT327307 GFO327307:GFP327307 GPK327307:GPL327307 GZG327307:GZH327307 HJC327307:HJD327307 HSY327307:HSZ327307 ICU327307:ICV327307 IMQ327307:IMR327307 IWM327307:IWN327307 JGI327307:JGJ327307 JQE327307:JQF327307 KAA327307:KAB327307 KJW327307:KJX327307 KTS327307:KTT327307 LDO327307:LDP327307 LNK327307:LNL327307 LXG327307:LXH327307 MHC327307:MHD327307 MQY327307:MQZ327307 NAU327307:NAV327307 NKQ327307:NKR327307 NUM327307:NUN327307 OEI327307:OEJ327307 OOE327307:OOF327307 OYA327307:OYB327307 PHW327307:PHX327307 PRS327307:PRT327307 QBO327307:QBP327307 QLK327307:QLL327307 QVG327307:QVH327307 RFC327307:RFD327307 ROY327307:ROZ327307 RYU327307:RYV327307 SIQ327307:SIR327307 SSM327307:SSN327307 TCI327307:TCJ327307 TME327307:TMF327307 TWA327307:TWB327307 UFW327307:UFX327307 UPS327307:UPT327307 UZO327307:UZP327307 VJK327307:VJL327307 VTG327307:VTH327307 WDC327307:WDD327307 WMY327307:WMZ327307 WWU327307:WWV327307 KI392843:KJ392843 UE392843:UF392843 AEA392843:AEB392843 ANW392843:ANX392843 AXS392843:AXT392843 BHO392843:BHP392843 BRK392843:BRL392843 CBG392843:CBH392843 CLC392843:CLD392843 CUY392843:CUZ392843 DEU392843:DEV392843 DOQ392843:DOR392843 DYM392843:DYN392843 EII392843:EIJ392843 ESE392843:ESF392843 FCA392843:FCB392843 FLW392843:FLX392843 FVS392843:FVT392843 GFO392843:GFP392843 GPK392843:GPL392843 GZG392843:GZH392843 HJC392843:HJD392843 HSY392843:HSZ392843 ICU392843:ICV392843 IMQ392843:IMR392843 IWM392843:IWN392843 JGI392843:JGJ392843 JQE392843:JQF392843 KAA392843:KAB392843 KJW392843:KJX392843 KTS392843:KTT392843 LDO392843:LDP392843 LNK392843:LNL392843 LXG392843:LXH392843 MHC392843:MHD392843 MQY392843:MQZ392843 NAU392843:NAV392843 NKQ392843:NKR392843 NUM392843:NUN392843 OEI392843:OEJ392843 OOE392843:OOF392843 OYA392843:OYB392843 PHW392843:PHX392843 PRS392843:PRT392843 QBO392843:QBP392843 QLK392843:QLL392843 QVG392843:QVH392843 RFC392843:RFD392843 ROY392843:ROZ392843 RYU392843:RYV392843 SIQ392843:SIR392843 SSM392843:SSN392843 TCI392843:TCJ392843 TME392843:TMF392843 TWA392843:TWB392843 UFW392843:UFX392843 UPS392843:UPT392843 UZO392843:UZP392843 VJK392843:VJL392843 VTG392843:VTH392843 WDC392843:WDD392843 WMY392843:WMZ392843 WWU392843:WWV392843 KI458379:KJ458379 UE458379:UF458379 AEA458379:AEB458379 ANW458379:ANX458379 AXS458379:AXT458379 BHO458379:BHP458379 BRK458379:BRL458379 CBG458379:CBH458379 CLC458379:CLD458379 CUY458379:CUZ458379 DEU458379:DEV458379 DOQ458379:DOR458379 DYM458379:DYN458379 EII458379:EIJ458379 ESE458379:ESF458379 FCA458379:FCB458379 FLW458379:FLX458379 FVS458379:FVT458379 GFO458379:GFP458379 GPK458379:GPL458379 GZG458379:GZH458379 HJC458379:HJD458379 HSY458379:HSZ458379 ICU458379:ICV458379 IMQ458379:IMR458379 IWM458379:IWN458379 JGI458379:JGJ458379 JQE458379:JQF458379 KAA458379:KAB458379 KJW458379:KJX458379 KTS458379:KTT458379 LDO458379:LDP458379 LNK458379:LNL458379 LXG458379:LXH458379 MHC458379:MHD458379 MQY458379:MQZ458379 NAU458379:NAV458379 NKQ458379:NKR458379 NUM458379:NUN458379 OEI458379:OEJ458379 OOE458379:OOF458379 OYA458379:OYB458379 PHW458379:PHX458379 PRS458379:PRT458379 QBO458379:QBP458379 QLK458379:QLL458379 QVG458379:QVH458379 RFC458379:RFD458379 ROY458379:ROZ458379 RYU458379:RYV458379 SIQ458379:SIR458379 SSM458379:SSN458379 TCI458379:TCJ458379 TME458379:TMF458379 TWA458379:TWB458379 UFW458379:UFX458379 UPS458379:UPT458379 UZO458379:UZP458379 VJK458379:VJL458379 VTG458379:VTH458379 WDC458379:WDD458379 WMY458379:WMZ458379 WWU458379:WWV458379 KI523915:KJ523915 UE523915:UF523915 AEA523915:AEB523915 ANW523915:ANX523915 AXS523915:AXT523915 BHO523915:BHP523915 BRK523915:BRL523915 CBG523915:CBH523915 CLC523915:CLD523915 CUY523915:CUZ523915 DEU523915:DEV523915 DOQ523915:DOR523915 DYM523915:DYN523915 EII523915:EIJ523915 ESE523915:ESF523915 FCA523915:FCB523915 FLW523915:FLX523915 FVS523915:FVT523915 GFO523915:GFP523915 GPK523915:GPL523915 GZG523915:GZH523915 HJC523915:HJD523915 HSY523915:HSZ523915 ICU523915:ICV523915 IMQ523915:IMR523915 IWM523915:IWN523915 JGI523915:JGJ523915 JQE523915:JQF523915 KAA523915:KAB523915 KJW523915:KJX523915 KTS523915:KTT523915 LDO523915:LDP523915 LNK523915:LNL523915 LXG523915:LXH523915 MHC523915:MHD523915 MQY523915:MQZ523915 NAU523915:NAV523915 NKQ523915:NKR523915 NUM523915:NUN523915 OEI523915:OEJ523915 OOE523915:OOF523915 OYA523915:OYB523915 PHW523915:PHX523915 PRS523915:PRT523915 QBO523915:QBP523915 QLK523915:QLL523915 QVG523915:QVH523915 RFC523915:RFD523915 ROY523915:ROZ523915 RYU523915:RYV523915 SIQ523915:SIR523915 SSM523915:SSN523915 TCI523915:TCJ523915 TME523915:TMF523915 TWA523915:TWB523915 UFW523915:UFX523915 UPS523915:UPT523915 UZO523915:UZP523915 VJK523915:VJL523915 VTG523915:VTH523915 WDC523915:WDD523915 WMY523915:WMZ523915 WWU523915:WWV523915 KI589451:KJ589451 UE589451:UF589451 AEA589451:AEB589451 ANW589451:ANX589451 AXS589451:AXT589451 BHO589451:BHP589451 BRK589451:BRL589451 CBG589451:CBH589451 CLC589451:CLD589451 CUY589451:CUZ589451 DEU589451:DEV589451 DOQ589451:DOR589451 DYM589451:DYN589451 EII589451:EIJ589451 ESE589451:ESF589451 FCA589451:FCB589451 FLW589451:FLX589451 FVS589451:FVT589451 GFO589451:GFP589451 GPK589451:GPL589451 GZG589451:GZH589451 HJC589451:HJD589451 HSY589451:HSZ589451 ICU589451:ICV589451 IMQ589451:IMR589451 IWM589451:IWN589451 JGI589451:JGJ589451 JQE589451:JQF589451 KAA589451:KAB589451 KJW589451:KJX589451 KTS589451:KTT589451 LDO589451:LDP589451 LNK589451:LNL589451 LXG589451:LXH589451 MHC589451:MHD589451 MQY589451:MQZ589451 NAU589451:NAV589451 NKQ589451:NKR589451 NUM589451:NUN589451 OEI589451:OEJ589451 OOE589451:OOF589451 OYA589451:OYB589451 PHW589451:PHX589451 PRS589451:PRT589451 QBO589451:QBP589451 QLK589451:QLL589451 QVG589451:QVH589451 RFC589451:RFD589451 ROY589451:ROZ589451 RYU589451:RYV589451 SIQ589451:SIR589451 SSM589451:SSN589451 TCI589451:TCJ589451 TME589451:TMF589451 TWA589451:TWB589451 UFW589451:UFX589451 UPS589451:UPT589451 UZO589451:UZP589451 VJK589451:VJL589451 VTG589451:VTH589451 WDC589451:WDD589451 WMY589451:WMZ589451 WWU589451:WWV589451 KI654987:KJ654987 UE654987:UF654987 AEA654987:AEB654987 ANW654987:ANX654987 AXS654987:AXT654987 BHO654987:BHP654987 BRK654987:BRL654987 CBG654987:CBH654987 CLC654987:CLD654987 CUY654987:CUZ654987 DEU654987:DEV654987 DOQ654987:DOR654987 DYM654987:DYN654987 EII654987:EIJ654987 ESE654987:ESF654987 FCA654987:FCB654987 FLW654987:FLX654987 FVS654987:FVT654987 GFO654987:GFP654987 GPK654987:GPL654987 GZG654987:GZH654987 HJC654987:HJD654987 HSY654987:HSZ654987 ICU654987:ICV654987 IMQ654987:IMR654987 IWM654987:IWN654987 JGI654987:JGJ654987 JQE654987:JQF654987 KAA654987:KAB654987 KJW654987:KJX654987 KTS654987:KTT654987 LDO654987:LDP654987 LNK654987:LNL654987 LXG654987:LXH654987 MHC654987:MHD654987 MQY654987:MQZ654987 NAU654987:NAV654987 NKQ654987:NKR654987 NUM654987:NUN654987 OEI654987:OEJ654987 OOE654987:OOF654987 OYA654987:OYB654987 PHW654987:PHX654987 PRS654987:PRT654987 QBO654987:QBP654987 QLK654987:QLL654987 QVG654987:QVH654987 RFC654987:RFD654987 ROY654987:ROZ654987 RYU654987:RYV654987 SIQ654987:SIR654987 SSM654987:SSN654987 TCI654987:TCJ654987 TME654987:TMF654987 TWA654987:TWB654987 UFW654987:UFX654987 UPS654987:UPT654987 UZO654987:UZP654987 VJK654987:VJL654987 VTG654987:VTH654987 WDC654987:WDD654987 WMY654987:WMZ654987 WWU654987:WWV654987 KI720523:KJ720523 UE720523:UF720523 AEA720523:AEB720523 ANW720523:ANX720523 AXS720523:AXT720523 BHO720523:BHP720523 BRK720523:BRL720523 CBG720523:CBH720523 CLC720523:CLD720523 CUY720523:CUZ720523 DEU720523:DEV720523 DOQ720523:DOR720523 DYM720523:DYN720523 EII720523:EIJ720523 ESE720523:ESF720523 FCA720523:FCB720523 FLW720523:FLX720523 FVS720523:FVT720523 GFO720523:GFP720523 GPK720523:GPL720523 GZG720523:GZH720523 HJC720523:HJD720523 HSY720523:HSZ720523 ICU720523:ICV720523 IMQ720523:IMR720523 IWM720523:IWN720523 JGI720523:JGJ720523 JQE720523:JQF720523 KAA720523:KAB720523 KJW720523:KJX720523 KTS720523:KTT720523 LDO720523:LDP720523 LNK720523:LNL720523 LXG720523:LXH720523 MHC720523:MHD720523 MQY720523:MQZ720523 NAU720523:NAV720523 NKQ720523:NKR720523 NUM720523:NUN720523 OEI720523:OEJ720523 OOE720523:OOF720523 OYA720523:OYB720523 PHW720523:PHX720523 PRS720523:PRT720523 QBO720523:QBP720523 QLK720523:QLL720523 QVG720523:QVH720523 RFC720523:RFD720523 ROY720523:ROZ720523 RYU720523:RYV720523 SIQ720523:SIR720523 SSM720523:SSN720523 TCI720523:TCJ720523 TME720523:TMF720523 TWA720523:TWB720523 UFW720523:UFX720523 UPS720523:UPT720523 UZO720523:UZP720523 VJK720523:VJL720523 VTG720523:VTH720523 WDC720523:WDD720523 WMY720523:WMZ720523 WWU720523:WWV720523 KI786059:KJ786059 UE786059:UF786059 AEA786059:AEB786059 ANW786059:ANX786059 AXS786059:AXT786059 BHO786059:BHP786059 BRK786059:BRL786059 CBG786059:CBH786059 CLC786059:CLD786059 CUY786059:CUZ786059 DEU786059:DEV786059 DOQ786059:DOR786059 DYM786059:DYN786059 EII786059:EIJ786059 ESE786059:ESF786059 FCA786059:FCB786059 FLW786059:FLX786059 FVS786059:FVT786059 GFO786059:GFP786059 GPK786059:GPL786059 GZG786059:GZH786059 HJC786059:HJD786059 HSY786059:HSZ786059 ICU786059:ICV786059 IMQ786059:IMR786059 IWM786059:IWN786059 JGI786059:JGJ786059 JQE786059:JQF786059 KAA786059:KAB786059 KJW786059:KJX786059 KTS786059:KTT786059 LDO786059:LDP786059 LNK786059:LNL786059 LXG786059:LXH786059 MHC786059:MHD786059 MQY786059:MQZ786059 NAU786059:NAV786059 NKQ786059:NKR786059 NUM786059:NUN786059 OEI786059:OEJ786059 OOE786059:OOF786059 OYA786059:OYB786059 PHW786059:PHX786059 PRS786059:PRT786059 QBO786059:QBP786059 QLK786059:QLL786059 QVG786059:QVH786059 RFC786059:RFD786059 ROY786059:ROZ786059 RYU786059:RYV786059 SIQ786059:SIR786059 SSM786059:SSN786059 TCI786059:TCJ786059 TME786059:TMF786059 TWA786059:TWB786059 UFW786059:UFX786059 UPS786059:UPT786059 UZO786059:UZP786059 VJK786059:VJL786059 VTG786059:VTH786059 WDC786059:WDD786059 WMY786059:WMZ786059 WWU786059:WWV786059 KI851595:KJ851595 UE851595:UF851595 AEA851595:AEB851595 ANW851595:ANX851595 AXS851595:AXT851595 BHO851595:BHP851595 BRK851595:BRL851595 CBG851595:CBH851595 CLC851595:CLD851595 CUY851595:CUZ851595 DEU851595:DEV851595 DOQ851595:DOR851595 DYM851595:DYN851595 EII851595:EIJ851595 ESE851595:ESF851595 FCA851595:FCB851595 FLW851595:FLX851595 FVS851595:FVT851595 GFO851595:GFP851595 GPK851595:GPL851595 GZG851595:GZH851595 HJC851595:HJD851595 HSY851595:HSZ851595 ICU851595:ICV851595 IMQ851595:IMR851595 IWM851595:IWN851595 JGI851595:JGJ851595 JQE851595:JQF851595 KAA851595:KAB851595 KJW851595:KJX851595 KTS851595:KTT851595 LDO851595:LDP851595 LNK851595:LNL851595 LXG851595:LXH851595 MHC851595:MHD851595 MQY851595:MQZ851595 NAU851595:NAV851595 NKQ851595:NKR851595 NUM851595:NUN851595 OEI851595:OEJ851595 OOE851595:OOF851595 OYA851595:OYB851595 PHW851595:PHX851595 PRS851595:PRT851595 QBO851595:QBP851595 QLK851595:QLL851595 QVG851595:QVH851595 RFC851595:RFD851595 ROY851595:ROZ851595 RYU851595:RYV851595 SIQ851595:SIR851595 SSM851595:SSN851595 TCI851595:TCJ851595 TME851595:TMF851595 TWA851595:TWB851595 UFW851595:UFX851595 UPS851595:UPT851595 UZO851595:UZP851595 VJK851595:VJL851595 VTG851595:VTH851595 WDC851595:WDD851595 WMY851595:WMZ851595 WWU851595:WWV851595 KI917131:KJ917131 UE917131:UF917131 AEA917131:AEB917131 ANW917131:ANX917131 AXS917131:AXT917131 BHO917131:BHP917131 BRK917131:BRL917131 CBG917131:CBH917131 CLC917131:CLD917131 CUY917131:CUZ917131 DEU917131:DEV917131 DOQ917131:DOR917131 DYM917131:DYN917131 EII917131:EIJ917131 ESE917131:ESF917131 FCA917131:FCB917131 FLW917131:FLX917131 FVS917131:FVT917131 GFO917131:GFP917131 GPK917131:GPL917131 GZG917131:GZH917131 HJC917131:HJD917131 HSY917131:HSZ917131 ICU917131:ICV917131 IMQ917131:IMR917131 IWM917131:IWN917131 JGI917131:JGJ917131 JQE917131:JQF917131 KAA917131:KAB917131 KJW917131:KJX917131 KTS917131:KTT917131 LDO917131:LDP917131 LNK917131:LNL917131 LXG917131:LXH917131 MHC917131:MHD917131 MQY917131:MQZ917131 NAU917131:NAV917131 NKQ917131:NKR917131 NUM917131:NUN917131 OEI917131:OEJ917131 OOE917131:OOF917131 OYA917131:OYB917131 PHW917131:PHX917131 PRS917131:PRT917131 QBO917131:QBP917131 QLK917131:QLL917131 QVG917131:QVH917131 RFC917131:RFD917131 ROY917131:ROZ917131 RYU917131:RYV917131 SIQ917131:SIR917131 SSM917131:SSN917131 TCI917131:TCJ917131 TME917131:TMF917131 TWA917131:TWB917131 UFW917131:UFX917131 UPS917131:UPT917131 UZO917131:UZP917131 VJK917131:VJL917131 VTG917131:VTH917131 WDC917131:WDD917131 WMY917131:WMZ917131 WWU917131:WWV917131 KI982667:KJ982667 UE982667:UF982667 AEA982667:AEB982667 ANW982667:ANX982667 AXS982667:AXT982667 BHO982667:BHP982667 BRK982667:BRL982667 CBG982667:CBH982667 CLC982667:CLD982667 CUY982667:CUZ982667 DEU982667:DEV982667 DOQ982667:DOR982667 DYM982667:DYN982667 EII982667:EIJ982667 ESE982667:ESF982667 FCA982667:FCB982667 FLW982667:FLX982667 FVS982667:FVT982667 GFO982667:GFP982667 GPK982667:GPL982667 GZG982667:GZH982667 HJC982667:HJD982667 HSY982667:HSZ982667 ICU982667:ICV982667 IMQ982667:IMR982667 IWM982667:IWN982667 JGI982667:JGJ982667 JQE982667:JQF982667 KAA982667:KAB982667 KJW982667:KJX982667 KTS982667:KTT982667 LDO982667:LDP982667 LNK982667:LNL982667 LXG982667:LXH982667 MHC982667:MHD982667 MQY982667:MQZ982667 NAU982667:NAV982667 NKQ982667:NKR982667 NUM982667:NUN982667 OEI982667:OEJ982667 OOE982667:OOF982667 OYA982667:OYB982667 PHW982667:PHX982667 PRS982667:PRT982667 QBO982667:QBP982667 QLK982667:QLL982667 QVG982667:QVH982667 RFC982667:RFD982667 ROY982667:ROZ982667 RYU982667:RYV982667 SIQ982667:SIR982667 SSM982667:SSN982667 TCI982667:TCJ982667 TME982667:TMF982667 TWA982667:TWB982667 UFW982667:UFX982667 UPS982667:UPT982667 UZO982667:UZP982667 VJK982667:VJL982667 VTG982667:VTH982667 WDC982667:WDD982667 WMY982667:WMZ982667 WWU982667:WWV982667 KI917144:KJ917148 UE917144:UF917148 AEA917144:AEB917148 ANW917144:ANX917148 AXS917144:AXT917148 BHO917144:BHP917148 BRK917144:BRL917148 CBG917144:CBH917148 CLC917144:CLD917148 CUY917144:CUZ917148 DEU917144:DEV917148 DOQ917144:DOR917148 DYM917144:DYN917148 EII917144:EIJ917148 ESE917144:ESF917148 FCA917144:FCB917148 FLW917144:FLX917148 FVS917144:FVT917148 GFO917144:GFP917148 GPK917144:GPL917148 GZG917144:GZH917148 HJC917144:HJD917148 HSY917144:HSZ917148 ICU917144:ICV917148 IMQ917144:IMR917148 IWM917144:IWN917148 JGI917144:JGJ917148 JQE917144:JQF917148 KAA917144:KAB917148 KJW917144:KJX917148 KTS917144:KTT917148 LDO917144:LDP917148 LNK917144:LNL917148 LXG917144:LXH917148 MHC917144:MHD917148 MQY917144:MQZ917148 NAU917144:NAV917148 NKQ917144:NKR917148 NUM917144:NUN917148 OEI917144:OEJ917148 OOE917144:OOF917148 OYA917144:OYB917148 PHW917144:PHX917148 PRS917144:PRT917148 QBO917144:QBP917148 QLK917144:QLL917148 QVG917144:QVH917148 RFC917144:RFD917148 ROY917144:ROZ917148 RYU917144:RYV917148 SIQ917144:SIR917148 SSM917144:SSN917148 TCI917144:TCJ917148 TME917144:TMF917148 TWA917144:TWB917148 UFW917144:UFX917148 UPS917144:UPT917148 UZO917144:UZP917148 VJK917144:VJL917148 VTG917144:VTH917148 WDC917144:WDD917148 WMY917144:WMZ917148 WWU917144:WWV917148 KI65156:KJ65156 UE65156:UF65156 AEA65156:AEB65156 ANW65156:ANX65156 AXS65156:AXT65156 BHO65156:BHP65156 BRK65156:BRL65156 CBG65156:CBH65156 CLC65156:CLD65156 CUY65156:CUZ65156 DEU65156:DEV65156 DOQ65156:DOR65156 DYM65156:DYN65156 EII65156:EIJ65156 ESE65156:ESF65156 FCA65156:FCB65156 FLW65156:FLX65156 FVS65156:FVT65156 GFO65156:GFP65156 GPK65156:GPL65156 GZG65156:GZH65156 HJC65156:HJD65156 HSY65156:HSZ65156 ICU65156:ICV65156 IMQ65156:IMR65156 IWM65156:IWN65156 JGI65156:JGJ65156 JQE65156:JQF65156 KAA65156:KAB65156 KJW65156:KJX65156 KTS65156:KTT65156 LDO65156:LDP65156 LNK65156:LNL65156 LXG65156:LXH65156 MHC65156:MHD65156 MQY65156:MQZ65156 NAU65156:NAV65156 NKQ65156:NKR65156 NUM65156:NUN65156 OEI65156:OEJ65156 OOE65156:OOF65156 OYA65156:OYB65156 PHW65156:PHX65156 PRS65156:PRT65156 QBO65156:QBP65156 QLK65156:QLL65156 QVG65156:QVH65156 RFC65156:RFD65156 ROY65156:ROZ65156 RYU65156:RYV65156 SIQ65156:SIR65156 SSM65156:SSN65156 TCI65156:TCJ65156 TME65156:TMF65156 TWA65156:TWB65156 UFW65156:UFX65156 UPS65156:UPT65156 UZO65156:UZP65156 VJK65156:VJL65156 VTG65156:VTH65156 WDC65156:WDD65156 WMY65156:WMZ65156 WWU65156:WWV65156 KI130692:KJ130692 UE130692:UF130692 AEA130692:AEB130692 ANW130692:ANX130692 AXS130692:AXT130692 BHO130692:BHP130692 BRK130692:BRL130692 CBG130692:CBH130692 CLC130692:CLD130692 CUY130692:CUZ130692 DEU130692:DEV130692 DOQ130692:DOR130692 DYM130692:DYN130692 EII130692:EIJ130692 ESE130692:ESF130692 FCA130692:FCB130692 FLW130692:FLX130692 FVS130692:FVT130692 GFO130692:GFP130692 GPK130692:GPL130692 GZG130692:GZH130692 HJC130692:HJD130692 HSY130692:HSZ130692 ICU130692:ICV130692 IMQ130692:IMR130692 IWM130692:IWN130692 JGI130692:JGJ130692 JQE130692:JQF130692 KAA130692:KAB130692 KJW130692:KJX130692 KTS130692:KTT130692 LDO130692:LDP130692 LNK130692:LNL130692 LXG130692:LXH130692 MHC130692:MHD130692 MQY130692:MQZ130692 NAU130692:NAV130692 NKQ130692:NKR130692 NUM130692:NUN130692 OEI130692:OEJ130692 OOE130692:OOF130692 OYA130692:OYB130692 PHW130692:PHX130692 PRS130692:PRT130692 QBO130692:QBP130692 QLK130692:QLL130692 QVG130692:QVH130692 RFC130692:RFD130692 ROY130692:ROZ130692 RYU130692:RYV130692 SIQ130692:SIR130692 SSM130692:SSN130692 TCI130692:TCJ130692 TME130692:TMF130692 TWA130692:TWB130692 UFW130692:UFX130692 UPS130692:UPT130692 UZO130692:UZP130692 VJK130692:VJL130692 VTG130692:VTH130692 WDC130692:WDD130692 WMY130692:WMZ130692 WWU130692:WWV130692 KI196228:KJ196228 UE196228:UF196228 AEA196228:AEB196228 ANW196228:ANX196228 AXS196228:AXT196228 BHO196228:BHP196228 BRK196228:BRL196228 CBG196228:CBH196228 CLC196228:CLD196228 CUY196228:CUZ196228 DEU196228:DEV196228 DOQ196228:DOR196228 DYM196228:DYN196228 EII196228:EIJ196228 ESE196228:ESF196228 FCA196228:FCB196228 FLW196228:FLX196228 FVS196228:FVT196228 GFO196228:GFP196228 GPK196228:GPL196228 GZG196228:GZH196228 HJC196228:HJD196228 HSY196228:HSZ196228 ICU196228:ICV196228 IMQ196228:IMR196228 IWM196228:IWN196228 JGI196228:JGJ196228 JQE196228:JQF196228 KAA196228:KAB196228 KJW196228:KJX196228 KTS196228:KTT196228 LDO196228:LDP196228 LNK196228:LNL196228 LXG196228:LXH196228 MHC196228:MHD196228 MQY196228:MQZ196228 NAU196228:NAV196228 NKQ196228:NKR196228 NUM196228:NUN196228 OEI196228:OEJ196228 OOE196228:OOF196228 OYA196228:OYB196228 PHW196228:PHX196228 PRS196228:PRT196228 QBO196228:QBP196228 QLK196228:QLL196228 QVG196228:QVH196228 RFC196228:RFD196228 ROY196228:ROZ196228 RYU196228:RYV196228 SIQ196228:SIR196228 SSM196228:SSN196228 TCI196228:TCJ196228 TME196228:TMF196228 TWA196228:TWB196228 UFW196228:UFX196228 UPS196228:UPT196228 UZO196228:UZP196228 VJK196228:VJL196228 VTG196228:VTH196228 WDC196228:WDD196228 WMY196228:WMZ196228 WWU196228:WWV196228 KI261764:KJ261764 UE261764:UF261764 AEA261764:AEB261764 ANW261764:ANX261764 AXS261764:AXT261764 BHO261764:BHP261764 BRK261764:BRL261764 CBG261764:CBH261764 CLC261764:CLD261764 CUY261764:CUZ261764 DEU261764:DEV261764 DOQ261764:DOR261764 DYM261764:DYN261764 EII261764:EIJ261764 ESE261764:ESF261764 FCA261764:FCB261764 FLW261764:FLX261764 FVS261764:FVT261764 GFO261764:GFP261764 GPK261764:GPL261764 GZG261764:GZH261764 HJC261764:HJD261764 HSY261764:HSZ261764 ICU261764:ICV261764 IMQ261764:IMR261764 IWM261764:IWN261764 JGI261764:JGJ261764 JQE261764:JQF261764 KAA261764:KAB261764 KJW261764:KJX261764 KTS261764:KTT261764 LDO261764:LDP261764 LNK261764:LNL261764 LXG261764:LXH261764 MHC261764:MHD261764 MQY261764:MQZ261764 NAU261764:NAV261764 NKQ261764:NKR261764 NUM261764:NUN261764 OEI261764:OEJ261764 OOE261764:OOF261764 OYA261764:OYB261764 PHW261764:PHX261764 PRS261764:PRT261764 QBO261764:QBP261764 QLK261764:QLL261764 QVG261764:QVH261764 RFC261764:RFD261764 ROY261764:ROZ261764 RYU261764:RYV261764 SIQ261764:SIR261764 SSM261764:SSN261764 TCI261764:TCJ261764 TME261764:TMF261764 TWA261764:TWB261764 UFW261764:UFX261764 UPS261764:UPT261764 UZO261764:UZP261764 VJK261764:VJL261764 VTG261764:VTH261764 WDC261764:WDD261764 WMY261764:WMZ261764 WWU261764:WWV261764 KI327300:KJ327300 UE327300:UF327300 AEA327300:AEB327300 ANW327300:ANX327300 AXS327300:AXT327300 BHO327300:BHP327300 BRK327300:BRL327300 CBG327300:CBH327300 CLC327300:CLD327300 CUY327300:CUZ327300 DEU327300:DEV327300 DOQ327300:DOR327300 DYM327300:DYN327300 EII327300:EIJ327300 ESE327300:ESF327300 FCA327300:FCB327300 FLW327300:FLX327300 FVS327300:FVT327300 GFO327300:GFP327300 GPK327300:GPL327300 GZG327300:GZH327300 HJC327300:HJD327300 HSY327300:HSZ327300 ICU327300:ICV327300 IMQ327300:IMR327300 IWM327300:IWN327300 JGI327300:JGJ327300 JQE327300:JQF327300 KAA327300:KAB327300 KJW327300:KJX327300 KTS327300:KTT327300 LDO327300:LDP327300 LNK327300:LNL327300 LXG327300:LXH327300 MHC327300:MHD327300 MQY327300:MQZ327300 NAU327300:NAV327300 NKQ327300:NKR327300 NUM327300:NUN327300 OEI327300:OEJ327300 OOE327300:OOF327300 OYA327300:OYB327300 PHW327300:PHX327300 PRS327300:PRT327300 QBO327300:QBP327300 QLK327300:QLL327300 QVG327300:QVH327300 RFC327300:RFD327300 ROY327300:ROZ327300 RYU327300:RYV327300 SIQ327300:SIR327300 SSM327300:SSN327300 TCI327300:TCJ327300 TME327300:TMF327300 TWA327300:TWB327300 UFW327300:UFX327300 UPS327300:UPT327300 UZO327300:UZP327300 VJK327300:VJL327300 VTG327300:VTH327300 WDC327300:WDD327300 WMY327300:WMZ327300 WWU327300:WWV327300 KI392836:KJ392836 UE392836:UF392836 AEA392836:AEB392836 ANW392836:ANX392836 AXS392836:AXT392836 BHO392836:BHP392836 BRK392836:BRL392836 CBG392836:CBH392836 CLC392836:CLD392836 CUY392836:CUZ392836 DEU392836:DEV392836 DOQ392836:DOR392836 DYM392836:DYN392836 EII392836:EIJ392836 ESE392836:ESF392836 FCA392836:FCB392836 FLW392836:FLX392836 FVS392836:FVT392836 GFO392836:GFP392836 GPK392836:GPL392836 GZG392836:GZH392836 HJC392836:HJD392836 HSY392836:HSZ392836 ICU392836:ICV392836 IMQ392836:IMR392836 IWM392836:IWN392836 JGI392836:JGJ392836 JQE392836:JQF392836 KAA392836:KAB392836 KJW392836:KJX392836 KTS392836:KTT392836 LDO392836:LDP392836 LNK392836:LNL392836 LXG392836:LXH392836 MHC392836:MHD392836 MQY392836:MQZ392836 NAU392836:NAV392836 NKQ392836:NKR392836 NUM392836:NUN392836 OEI392836:OEJ392836 OOE392836:OOF392836 OYA392836:OYB392836 PHW392836:PHX392836 PRS392836:PRT392836 QBO392836:QBP392836 QLK392836:QLL392836 QVG392836:QVH392836 RFC392836:RFD392836 ROY392836:ROZ392836 RYU392836:RYV392836 SIQ392836:SIR392836 SSM392836:SSN392836 TCI392836:TCJ392836 TME392836:TMF392836 TWA392836:TWB392836 UFW392836:UFX392836 UPS392836:UPT392836 UZO392836:UZP392836 VJK392836:VJL392836 VTG392836:VTH392836 WDC392836:WDD392836 WMY392836:WMZ392836 WWU392836:WWV392836 KI458372:KJ458372 UE458372:UF458372 AEA458372:AEB458372 ANW458372:ANX458372 AXS458372:AXT458372 BHO458372:BHP458372 BRK458372:BRL458372 CBG458372:CBH458372 CLC458372:CLD458372 CUY458372:CUZ458372 DEU458372:DEV458372 DOQ458372:DOR458372 DYM458372:DYN458372 EII458372:EIJ458372 ESE458372:ESF458372 FCA458372:FCB458372 FLW458372:FLX458372 FVS458372:FVT458372 GFO458372:GFP458372 GPK458372:GPL458372 GZG458372:GZH458372 HJC458372:HJD458372 HSY458372:HSZ458372 ICU458372:ICV458372 IMQ458372:IMR458372 IWM458372:IWN458372 JGI458372:JGJ458372 JQE458372:JQF458372 KAA458372:KAB458372 KJW458372:KJX458372 KTS458372:KTT458372 LDO458372:LDP458372 LNK458372:LNL458372 LXG458372:LXH458372 MHC458372:MHD458372 MQY458372:MQZ458372 NAU458372:NAV458372 NKQ458372:NKR458372 NUM458372:NUN458372 OEI458372:OEJ458372 OOE458372:OOF458372 OYA458372:OYB458372 PHW458372:PHX458372 PRS458372:PRT458372 QBO458372:QBP458372 QLK458372:QLL458372 QVG458372:QVH458372 RFC458372:RFD458372 ROY458372:ROZ458372 RYU458372:RYV458372 SIQ458372:SIR458372 SSM458372:SSN458372 TCI458372:TCJ458372 TME458372:TMF458372 TWA458372:TWB458372 UFW458372:UFX458372 UPS458372:UPT458372 UZO458372:UZP458372 VJK458372:VJL458372 VTG458372:VTH458372 WDC458372:WDD458372 WMY458372:WMZ458372 WWU458372:WWV458372 KI523908:KJ523908 UE523908:UF523908 AEA523908:AEB523908 ANW523908:ANX523908 AXS523908:AXT523908 BHO523908:BHP523908 BRK523908:BRL523908 CBG523908:CBH523908 CLC523908:CLD523908 CUY523908:CUZ523908 DEU523908:DEV523908 DOQ523908:DOR523908 DYM523908:DYN523908 EII523908:EIJ523908 ESE523908:ESF523908 FCA523908:FCB523908 FLW523908:FLX523908 FVS523908:FVT523908 GFO523908:GFP523908 GPK523908:GPL523908 GZG523908:GZH523908 HJC523908:HJD523908 HSY523908:HSZ523908 ICU523908:ICV523908 IMQ523908:IMR523908 IWM523908:IWN523908 JGI523908:JGJ523908 JQE523908:JQF523908 KAA523908:KAB523908 KJW523908:KJX523908 KTS523908:KTT523908 LDO523908:LDP523908 LNK523908:LNL523908 LXG523908:LXH523908 MHC523908:MHD523908 MQY523908:MQZ523908 NAU523908:NAV523908 NKQ523908:NKR523908 NUM523908:NUN523908 OEI523908:OEJ523908 OOE523908:OOF523908 OYA523908:OYB523908 PHW523908:PHX523908 PRS523908:PRT523908 QBO523908:QBP523908 QLK523908:QLL523908 QVG523908:QVH523908 RFC523908:RFD523908 ROY523908:ROZ523908 RYU523908:RYV523908 SIQ523908:SIR523908 SSM523908:SSN523908 TCI523908:TCJ523908 TME523908:TMF523908 TWA523908:TWB523908 UFW523908:UFX523908 UPS523908:UPT523908 UZO523908:UZP523908 VJK523908:VJL523908 VTG523908:VTH523908 WDC523908:WDD523908 WMY523908:WMZ523908 WWU523908:WWV523908 KI589444:KJ589444 UE589444:UF589444 AEA589444:AEB589444 ANW589444:ANX589444 AXS589444:AXT589444 BHO589444:BHP589444 BRK589444:BRL589444 CBG589444:CBH589444 CLC589444:CLD589444 CUY589444:CUZ589444 DEU589444:DEV589444 DOQ589444:DOR589444 DYM589444:DYN589444 EII589444:EIJ589444 ESE589444:ESF589444 FCA589444:FCB589444 FLW589444:FLX589444 FVS589444:FVT589444 GFO589444:GFP589444 GPK589444:GPL589444 GZG589444:GZH589444 HJC589444:HJD589444 HSY589444:HSZ589444 ICU589444:ICV589444 IMQ589444:IMR589444 IWM589444:IWN589444 JGI589444:JGJ589444 JQE589444:JQF589444 KAA589444:KAB589444 KJW589444:KJX589444 KTS589444:KTT589444 LDO589444:LDP589444 LNK589444:LNL589444 LXG589444:LXH589444 MHC589444:MHD589444 MQY589444:MQZ589444 NAU589444:NAV589444 NKQ589444:NKR589444 NUM589444:NUN589444 OEI589444:OEJ589444 OOE589444:OOF589444 OYA589444:OYB589444 PHW589444:PHX589444 PRS589444:PRT589444 QBO589444:QBP589444 QLK589444:QLL589444 QVG589444:QVH589444 RFC589444:RFD589444 ROY589444:ROZ589444 RYU589444:RYV589444 SIQ589444:SIR589444 SSM589444:SSN589444 TCI589444:TCJ589444 TME589444:TMF589444 TWA589444:TWB589444 UFW589444:UFX589444 UPS589444:UPT589444 UZO589444:UZP589444 VJK589444:VJL589444 VTG589444:VTH589444 WDC589444:WDD589444 WMY589444:WMZ589444 WWU589444:WWV589444 KI654980:KJ654980 UE654980:UF654980 AEA654980:AEB654980 ANW654980:ANX654980 AXS654980:AXT654980 BHO654980:BHP654980 BRK654980:BRL654980 CBG654980:CBH654980 CLC654980:CLD654980 CUY654980:CUZ654980 DEU654980:DEV654980 DOQ654980:DOR654980 DYM654980:DYN654980 EII654980:EIJ654980 ESE654980:ESF654980 FCA654980:FCB654980 FLW654980:FLX654980 FVS654980:FVT654980 GFO654980:GFP654980 GPK654980:GPL654980 GZG654980:GZH654980 HJC654980:HJD654980 HSY654980:HSZ654980 ICU654980:ICV654980 IMQ654980:IMR654980 IWM654980:IWN654980 JGI654980:JGJ654980 JQE654980:JQF654980 KAA654980:KAB654980 KJW654980:KJX654980 KTS654980:KTT654980 LDO654980:LDP654980 LNK654980:LNL654980 LXG654980:LXH654980 MHC654980:MHD654980 MQY654980:MQZ654980 NAU654980:NAV654980 NKQ654980:NKR654980 NUM654980:NUN654980 OEI654980:OEJ654980 OOE654980:OOF654980 OYA654980:OYB654980 PHW654980:PHX654980 PRS654980:PRT654980 QBO654980:QBP654980 QLK654980:QLL654980 QVG654980:QVH654980 RFC654980:RFD654980 ROY654980:ROZ654980 RYU654980:RYV654980 SIQ654980:SIR654980 SSM654980:SSN654980 TCI654980:TCJ654980 TME654980:TMF654980 TWA654980:TWB654980 UFW654980:UFX654980 UPS654980:UPT654980 UZO654980:UZP654980 VJK654980:VJL654980 VTG654980:VTH654980 WDC654980:WDD654980 WMY654980:WMZ654980 WWU654980:WWV654980 KI720516:KJ720516 UE720516:UF720516 AEA720516:AEB720516 ANW720516:ANX720516 AXS720516:AXT720516 BHO720516:BHP720516 BRK720516:BRL720516 CBG720516:CBH720516 CLC720516:CLD720516 CUY720516:CUZ720516 DEU720516:DEV720516 DOQ720516:DOR720516 DYM720516:DYN720516 EII720516:EIJ720516 ESE720516:ESF720516 FCA720516:FCB720516 FLW720516:FLX720516 FVS720516:FVT720516 GFO720516:GFP720516 GPK720516:GPL720516 GZG720516:GZH720516 HJC720516:HJD720516 HSY720516:HSZ720516 ICU720516:ICV720516 IMQ720516:IMR720516 IWM720516:IWN720516 JGI720516:JGJ720516 JQE720516:JQF720516 KAA720516:KAB720516 KJW720516:KJX720516 KTS720516:KTT720516 LDO720516:LDP720516 LNK720516:LNL720516 LXG720516:LXH720516 MHC720516:MHD720516 MQY720516:MQZ720516 NAU720516:NAV720516 NKQ720516:NKR720516 NUM720516:NUN720516 OEI720516:OEJ720516 OOE720516:OOF720516 OYA720516:OYB720516 PHW720516:PHX720516 PRS720516:PRT720516 QBO720516:QBP720516 QLK720516:QLL720516 QVG720516:QVH720516 RFC720516:RFD720516 ROY720516:ROZ720516 RYU720516:RYV720516 SIQ720516:SIR720516 SSM720516:SSN720516 TCI720516:TCJ720516 TME720516:TMF720516 TWA720516:TWB720516 UFW720516:UFX720516 UPS720516:UPT720516 UZO720516:UZP720516 VJK720516:VJL720516 VTG720516:VTH720516 WDC720516:WDD720516 WMY720516:WMZ720516 WWU720516:WWV720516 KI786052:KJ786052 UE786052:UF786052 AEA786052:AEB786052 ANW786052:ANX786052 AXS786052:AXT786052 BHO786052:BHP786052 BRK786052:BRL786052 CBG786052:CBH786052 CLC786052:CLD786052 CUY786052:CUZ786052 DEU786052:DEV786052 DOQ786052:DOR786052 DYM786052:DYN786052 EII786052:EIJ786052 ESE786052:ESF786052 FCA786052:FCB786052 FLW786052:FLX786052 FVS786052:FVT786052 GFO786052:GFP786052 GPK786052:GPL786052 GZG786052:GZH786052 HJC786052:HJD786052 HSY786052:HSZ786052 ICU786052:ICV786052 IMQ786052:IMR786052 IWM786052:IWN786052 JGI786052:JGJ786052 JQE786052:JQF786052 KAA786052:KAB786052 KJW786052:KJX786052 KTS786052:KTT786052 LDO786052:LDP786052 LNK786052:LNL786052 LXG786052:LXH786052 MHC786052:MHD786052 MQY786052:MQZ786052 NAU786052:NAV786052 NKQ786052:NKR786052 NUM786052:NUN786052 OEI786052:OEJ786052 OOE786052:OOF786052 OYA786052:OYB786052 PHW786052:PHX786052 PRS786052:PRT786052 QBO786052:QBP786052 QLK786052:QLL786052 QVG786052:QVH786052 RFC786052:RFD786052 ROY786052:ROZ786052 RYU786052:RYV786052 SIQ786052:SIR786052 SSM786052:SSN786052 TCI786052:TCJ786052 TME786052:TMF786052 TWA786052:TWB786052 UFW786052:UFX786052 UPS786052:UPT786052 UZO786052:UZP786052 VJK786052:VJL786052 VTG786052:VTH786052 WDC786052:WDD786052 WMY786052:WMZ786052 WWU786052:WWV786052 KI851588:KJ851588 UE851588:UF851588 AEA851588:AEB851588 ANW851588:ANX851588 AXS851588:AXT851588 BHO851588:BHP851588 BRK851588:BRL851588 CBG851588:CBH851588 CLC851588:CLD851588 CUY851588:CUZ851588 DEU851588:DEV851588 DOQ851588:DOR851588 DYM851588:DYN851588 EII851588:EIJ851588 ESE851588:ESF851588 FCA851588:FCB851588 FLW851588:FLX851588 FVS851588:FVT851588 GFO851588:GFP851588 GPK851588:GPL851588 GZG851588:GZH851588 HJC851588:HJD851588 HSY851588:HSZ851588 ICU851588:ICV851588 IMQ851588:IMR851588 IWM851588:IWN851588 JGI851588:JGJ851588 JQE851588:JQF851588 KAA851588:KAB851588 KJW851588:KJX851588 KTS851588:KTT851588 LDO851588:LDP851588 LNK851588:LNL851588 LXG851588:LXH851588 MHC851588:MHD851588 MQY851588:MQZ851588 NAU851588:NAV851588 NKQ851588:NKR851588 NUM851588:NUN851588 OEI851588:OEJ851588 OOE851588:OOF851588 OYA851588:OYB851588 PHW851588:PHX851588 PRS851588:PRT851588 QBO851588:QBP851588 QLK851588:QLL851588 QVG851588:QVH851588 RFC851588:RFD851588 ROY851588:ROZ851588 RYU851588:RYV851588 SIQ851588:SIR851588 SSM851588:SSN851588 TCI851588:TCJ851588 TME851588:TMF851588 TWA851588:TWB851588 UFW851588:UFX851588 UPS851588:UPT851588 UZO851588:UZP851588 VJK851588:VJL851588 VTG851588:VTH851588 WDC851588:WDD851588 WMY851588:WMZ851588 WWU851588:WWV851588 KI917124:KJ917124 UE917124:UF917124 AEA917124:AEB917124 ANW917124:ANX917124 AXS917124:AXT917124 BHO917124:BHP917124 BRK917124:BRL917124 CBG917124:CBH917124 CLC917124:CLD917124 CUY917124:CUZ917124 DEU917124:DEV917124 DOQ917124:DOR917124 DYM917124:DYN917124 EII917124:EIJ917124 ESE917124:ESF917124 FCA917124:FCB917124 FLW917124:FLX917124 FVS917124:FVT917124 GFO917124:GFP917124 GPK917124:GPL917124 GZG917124:GZH917124 HJC917124:HJD917124 HSY917124:HSZ917124 ICU917124:ICV917124 IMQ917124:IMR917124 IWM917124:IWN917124 JGI917124:JGJ917124 JQE917124:JQF917124 KAA917124:KAB917124 KJW917124:KJX917124 KTS917124:KTT917124 LDO917124:LDP917124 LNK917124:LNL917124 LXG917124:LXH917124 MHC917124:MHD917124 MQY917124:MQZ917124 NAU917124:NAV917124 NKQ917124:NKR917124 NUM917124:NUN917124 OEI917124:OEJ917124 OOE917124:OOF917124 OYA917124:OYB917124 PHW917124:PHX917124 PRS917124:PRT917124 QBO917124:QBP917124 QLK917124:QLL917124 QVG917124:QVH917124 RFC917124:RFD917124 ROY917124:ROZ917124 RYU917124:RYV917124 SIQ917124:SIR917124 SSM917124:SSN917124 TCI917124:TCJ917124 TME917124:TMF917124 TWA917124:TWB917124 UFW917124:UFX917124 UPS917124:UPT917124 UZO917124:UZP917124 VJK917124:VJL917124 VTG917124:VTH917124 WDC917124:WDD917124 WMY917124:WMZ917124 WWU917124:WWV917124 WDC16:WDD21 VTG16:VTH21 VJK16:VJL21 UZO16:UZP21 UPS16:UPT21 UFW16:UFX21 TWA16:TWB21 TME16:TMF21 TCI16:TCJ21 SSM16:SSN21 SIQ16:SIR21 RYU16:RYV21 ROY16:ROZ21 RFC16:RFD21 QVG16:QVH21 QLK16:QLL21 QBO16:QBP21 PRS16:PRT21 PHW16:PHX21 OYA16:OYB21 OOE16:OOF21 OEI16:OEJ21 NUM16:NUN21 NKQ16:NKR21 NAU16:NAV21 MQY16:MQZ21 MHC16:MHD21 LXG16:LXH21 LNK16:LNL21 LDO16:LDP21 KTS16:KTT21 KJW16:KJX21 KAA16:KAB21 JQE16:JQF21 JGI16:JGJ21 IWM16:IWN21 IMQ16:IMR21 ICU16:ICV21 HSY16:HSZ21 HJC16:HJD21 GZG16:GZH21 GPK16:GPL21 GFO16:GFP21 FVS16:FVT21 FLW16:FLX21 FCA16:FCB21 ESE16:ESF21 EII16:EIJ21 DYM16:DYN21 DOQ16:DOR21 DEU16:DEV21 CUY16:CUZ21 CLC16:CLD21 CBG16:CBH21 BRK16:BRL21 BHO16:BHP21 AXS16:AXT21 ANW16:ANX21 AEA16:AEB21 UE16:UF21 KI16:KJ21 WWU16:WWV21 UE6:UF6 AEA6:AEB6 ANW6:ANX6 AXS6:AXT6 BHO6:BHP6 BRK6:BRL6 CBG6:CBH6 CLC6:CLD6 CUY6:CUZ6 DEU6:DEV6 DOQ6:DOR6 DYM6:DYN6 EII6:EIJ6 ESE6:ESF6 FCA6:FCB6 FLW6:FLX6 FVS6:FVT6 GFO6:GFP6 GPK6:GPL6 GZG6:GZH6 HJC6:HJD6 HSY6:HSZ6 ICU6:ICV6 IMQ6:IMR6 IWM6:IWN6 JGI6:JGJ6 JQE6:JQF6 KAA6:KAB6 KJW6:KJX6 KTS6:KTT6 LDO6:LDP6 LNK6:LNL6 LXG6:LXH6 MHC6:MHD6 MQY6:MQZ6 NAU6:NAV6 NKQ6:NKR6 NUM6:NUN6 OEI6:OEJ6 OOE6:OOF6 OYA6:OYB6 PHW6:PHX6 PRS6:PRT6 QBO6:QBP6 QLK6:QLL6 QVG6:QVH6 RFC6:RFD6 ROY6:ROZ6 RYU6:RYV6 SIQ6:SIR6 SSM6:SSN6 TCI6:TCJ6 TME6:TMF6 TWA6:TWB6 UFW6:UFX6 UPS6:UPT6 UZO6:UZP6 VJK6:VJL6 VTG6:VTH6 WDC6:WDD6 WMY6:WMZ6 WWU6:WWV6 KI6:KJ6 WMY16:WMZ21</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CFF"/>
    <pageSetUpPr fitToPage="1"/>
  </sheetPr>
  <dimension ref="A4:U46"/>
  <sheetViews>
    <sheetView showGridLines="0" zoomScaleNormal="100" zoomScaleSheetLayoutView="100" workbookViewId="0">
      <selection activeCell="E15" sqref="E15"/>
    </sheetView>
  </sheetViews>
  <sheetFormatPr defaultRowHeight="12"/>
  <cols>
    <col min="1" max="1" width="12" style="206" customWidth="1"/>
    <col min="2" max="2" width="16.83203125" style="206" bestFit="1" customWidth="1"/>
    <col min="3" max="4" width="16.6640625" style="206" customWidth="1"/>
    <col min="5" max="5" width="104.1640625" style="206" customWidth="1"/>
    <col min="6" max="6" width="30.6640625" style="3" bestFit="1" customWidth="1"/>
    <col min="7" max="8" width="11.33203125" style="3" bestFit="1" customWidth="1"/>
    <col min="9" max="9" width="15.83203125" style="3" bestFit="1" customWidth="1"/>
    <col min="10" max="10" width="11.33203125" style="3" bestFit="1" customWidth="1"/>
    <col min="11" max="11" width="15.83203125" style="3" bestFit="1" customWidth="1"/>
    <col min="12" max="12" width="18.6640625" style="3" bestFit="1" customWidth="1"/>
    <col min="13" max="13" width="11.33203125" style="3" bestFit="1" customWidth="1"/>
    <col min="14" max="14" width="18.83203125" style="3" bestFit="1" customWidth="1"/>
    <col min="15" max="15" width="19.83203125" style="3" bestFit="1" customWidth="1"/>
    <col min="16" max="16" width="17.6640625" style="3" bestFit="1" customWidth="1"/>
    <col min="17" max="17" width="15.83203125" style="3" bestFit="1" customWidth="1"/>
    <col min="18" max="18" width="16" style="3" bestFit="1" customWidth="1"/>
    <col min="19" max="19" width="25.5" style="3" bestFit="1" customWidth="1"/>
    <col min="20" max="20" width="23.33203125" style="3" bestFit="1" customWidth="1"/>
    <col min="21" max="21" width="13.5" style="3" bestFit="1" customWidth="1"/>
    <col min="22" max="181" width="9.33203125" style="3"/>
    <col min="182" max="231" width="3.33203125" style="3" customWidth="1"/>
    <col min="232" max="232" width="1.5" style="3" customWidth="1"/>
    <col min="233" max="437" width="9.33203125" style="3"/>
    <col min="438" max="487" width="3.33203125" style="3" customWidth="1"/>
    <col min="488" max="488" width="1.5" style="3" customWidth="1"/>
    <col min="489" max="693" width="9.33203125" style="3"/>
    <col min="694" max="743" width="3.33203125" style="3" customWidth="1"/>
    <col min="744" max="744" width="1.5" style="3" customWidth="1"/>
    <col min="745" max="949" width="9.33203125" style="3"/>
    <col min="950" max="999" width="3.33203125" style="3" customWidth="1"/>
    <col min="1000" max="1000" width="1.5" style="3" customWidth="1"/>
    <col min="1001" max="1205" width="9.33203125" style="3"/>
    <col min="1206" max="1255" width="3.33203125" style="3" customWidth="1"/>
    <col min="1256" max="1256" width="1.5" style="3" customWidth="1"/>
    <col min="1257" max="1461" width="9.33203125" style="3"/>
    <col min="1462" max="1511" width="3.33203125" style="3" customWidth="1"/>
    <col min="1512" max="1512" width="1.5" style="3" customWidth="1"/>
    <col min="1513" max="1717" width="9.33203125" style="3"/>
    <col min="1718" max="1767" width="3.33203125" style="3" customWidth="1"/>
    <col min="1768" max="1768" width="1.5" style="3" customWidth="1"/>
    <col min="1769" max="1973" width="9.33203125" style="3"/>
    <col min="1974" max="2023" width="3.33203125" style="3" customWidth="1"/>
    <col min="2024" max="2024" width="1.5" style="3" customWidth="1"/>
    <col min="2025" max="2229" width="9.33203125" style="3"/>
    <col min="2230" max="2279" width="3.33203125" style="3" customWidth="1"/>
    <col min="2280" max="2280" width="1.5" style="3" customWidth="1"/>
    <col min="2281" max="2485" width="9.33203125" style="3"/>
    <col min="2486" max="2535" width="3.33203125" style="3" customWidth="1"/>
    <col min="2536" max="2536" width="1.5" style="3" customWidth="1"/>
    <col min="2537" max="2741" width="9.33203125" style="3"/>
    <col min="2742" max="2791" width="3.33203125" style="3" customWidth="1"/>
    <col min="2792" max="2792" width="1.5" style="3" customWidth="1"/>
    <col min="2793" max="2997" width="9.33203125" style="3"/>
    <col min="2998" max="3047" width="3.33203125" style="3" customWidth="1"/>
    <col min="3048" max="3048" width="1.5" style="3" customWidth="1"/>
    <col min="3049" max="3253" width="9.33203125" style="3"/>
    <col min="3254" max="3303" width="3.33203125" style="3" customWidth="1"/>
    <col min="3304" max="3304" width="1.5" style="3" customWidth="1"/>
    <col min="3305" max="3509" width="9.33203125" style="3"/>
    <col min="3510" max="3559" width="3.33203125" style="3" customWidth="1"/>
    <col min="3560" max="3560" width="1.5" style="3" customWidth="1"/>
    <col min="3561" max="3765" width="9.33203125" style="3"/>
    <col min="3766" max="3815" width="3.33203125" style="3" customWidth="1"/>
    <col min="3816" max="3816" width="1.5" style="3" customWidth="1"/>
    <col min="3817" max="4021" width="9.33203125" style="3"/>
    <col min="4022" max="4071" width="3.33203125" style="3" customWidth="1"/>
    <col min="4072" max="4072" width="1.5" style="3" customWidth="1"/>
    <col min="4073" max="4277" width="9.33203125" style="3"/>
    <col min="4278" max="4327" width="3.33203125" style="3" customWidth="1"/>
    <col min="4328" max="4328" width="1.5" style="3" customWidth="1"/>
    <col min="4329" max="4533" width="9.33203125" style="3"/>
    <col min="4534" max="4583" width="3.33203125" style="3" customWidth="1"/>
    <col min="4584" max="4584" width="1.5" style="3" customWidth="1"/>
    <col min="4585" max="4789" width="9.33203125" style="3"/>
    <col min="4790" max="4839" width="3.33203125" style="3" customWidth="1"/>
    <col min="4840" max="4840" width="1.5" style="3" customWidth="1"/>
    <col min="4841" max="5045" width="9.33203125" style="3"/>
    <col min="5046" max="5095" width="3.33203125" style="3" customWidth="1"/>
    <col min="5096" max="5096" width="1.5" style="3" customWidth="1"/>
    <col min="5097" max="5301" width="9.33203125" style="3"/>
    <col min="5302" max="5351" width="3.33203125" style="3" customWidth="1"/>
    <col min="5352" max="5352" width="1.5" style="3" customWidth="1"/>
    <col min="5353" max="5557" width="9.33203125" style="3"/>
    <col min="5558" max="5607" width="3.33203125" style="3" customWidth="1"/>
    <col min="5608" max="5608" width="1.5" style="3" customWidth="1"/>
    <col min="5609" max="5813" width="9.33203125" style="3"/>
    <col min="5814" max="5863" width="3.33203125" style="3" customWidth="1"/>
    <col min="5864" max="5864" width="1.5" style="3" customWidth="1"/>
    <col min="5865" max="6069" width="9.33203125" style="3"/>
    <col min="6070" max="6119" width="3.33203125" style="3" customWidth="1"/>
    <col min="6120" max="6120" width="1.5" style="3" customWidth="1"/>
    <col min="6121" max="6325" width="9.33203125" style="3"/>
    <col min="6326" max="6375" width="3.33203125" style="3" customWidth="1"/>
    <col min="6376" max="6376" width="1.5" style="3" customWidth="1"/>
    <col min="6377" max="6581" width="9.33203125" style="3"/>
    <col min="6582" max="6631" width="3.33203125" style="3" customWidth="1"/>
    <col min="6632" max="6632" width="1.5" style="3" customWidth="1"/>
    <col min="6633" max="6837" width="9.33203125" style="3"/>
    <col min="6838" max="6887" width="3.33203125" style="3" customWidth="1"/>
    <col min="6888" max="6888" width="1.5" style="3" customWidth="1"/>
    <col min="6889" max="7093" width="9.33203125" style="3"/>
    <col min="7094" max="7143" width="3.33203125" style="3" customWidth="1"/>
    <col min="7144" max="7144" width="1.5" style="3" customWidth="1"/>
    <col min="7145" max="7349" width="9.33203125" style="3"/>
    <col min="7350" max="7399" width="3.33203125" style="3" customWidth="1"/>
    <col min="7400" max="7400" width="1.5" style="3" customWidth="1"/>
    <col min="7401" max="7605" width="9.33203125" style="3"/>
    <col min="7606" max="7655" width="3.33203125" style="3" customWidth="1"/>
    <col min="7656" max="7656" width="1.5" style="3" customWidth="1"/>
    <col min="7657" max="7861" width="9.33203125" style="3"/>
    <col min="7862" max="7911" width="3.33203125" style="3" customWidth="1"/>
    <col min="7912" max="7912" width="1.5" style="3" customWidth="1"/>
    <col min="7913" max="8117" width="9.33203125" style="3"/>
    <col min="8118" max="8167" width="3.33203125" style="3" customWidth="1"/>
    <col min="8168" max="8168" width="1.5" style="3" customWidth="1"/>
    <col min="8169" max="8373" width="9.33203125" style="3"/>
    <col min="8374" max="8423" width="3.33203125" style="3" customWidth="1"/>
    <col min="8424" max="8424" width="1.5" style="3" customWidth="1"/>
    <col min="8425" max="8629" width="9.33203125" style="3"/>
    <col min="8630" max="8679" width="3.33203125" style="3" customWidth="1"/>
    <col min="8680" max="8680" width="1.5" style="3" customWidth="1"/>
    <col min="8681" max="8885" width="9.33203125" style="3"/>
    <col min="8886" max="8935" width="3.33203125" style="3" customWidth="1"/>
    <col min="8936" max="8936" width="1.5" style="3" customWidth="1"/>
    <col min="8937" max="9141" width="9.33203125" style="3"/>
    <col min="9142" max="9191" width="3.33203125" style="3" customWidth="1"/>
    <col min="9192" max="9192" width="1.5" style="3" customWidth="1"/>
    <col min="9193" max="9397" width="9.33203125" style="3"/>
    <col min="9398" max="9447" width="3.33203125" style="3" customWidth="1"/>
    <col min="9448" max="9448" width="1.5" style="3" customWidth="1"/>
    <col min="9449" max="9653" width="9.33203125" style="3"/>
    <col min="9654" max="9703" width="3.33203125" style="3" customWidth="1"/>
    <col min="9704" max="9704" width="1.5" style="3" customWidth="1"/>
    <col min="9705" max="9909" width="9.33203125" style="3"/>
    <col min="9910" max="9959" width="3.33203125" style="3" customWidth="1"/>
    <col min="9960" max="9960" width="1.5" style="3" customWidth="1"/>
    <col min="9961" max="10165" width="9.33203125" style="3"/>
    <col min="10166" max="10215" width="3.33203125" style="3" customWidth="1"/>
    <col min="10216" max="10216" width="1.5" style="3" customWidth="1"/>
    <col min="10217" max="10421" width="9.33203125" style="3"/>
    <col min="10422" max="10471" width="3.33203125" style="3" customWidth="1"/>
    <col min="10472" max="10472" width="1.5" style="3" customWidth="1"/>
    <col min="10473" max="10677" width="9.33203125" style="3"/>
    <col min="10678" max="10727" width="3.33203125" style="3" customWidth="1"/>
    <col min="10728" max="10728" width="1.5" style="3" customWidth="1"/>
    <col min="10729" max="10933" width="9.33203125" style="3"/>
    <col min="10934" max="10983" width="3.33203125" style="3" customWidth="1"/>
    <col min="10984" max="10984" width="1.5" style="3" customWidth="1"/>
    <col min="10985" max="11189" width="9.33203125" style="3"/>
    <col min="11190" max="11239" width="3.33203125" style="3" customWidth="1"/>
    <col min="11240" max="11240" width="1.5" style="3" customWidth="1"/>
    <col min="11241" max="11445" width="9.33203125" style="3"/>
    <col min="11446" max="11495" width="3.33203125" style="3" customWidth="1"/>
    <col min="11496" max="11496" width="1.5" style="3" customWidth="1"/>
    <col min="11497" max="11701" width="9.33203125" style="3"/>
    <col min="11702" max="11751" width="3.33203125" style="3" customWidth="1"/>
    <col min="11752" max="11752" width="1.5" style="3" customWidth="1"/>
    <col min="11753" max="11957" width="9.33203125" style="3"/>
    <col min="11958" max="12007" width="3.33203125" style="3" customWidth="1"/>
    <col min="12008" max="12008" width="1.5" style="3" customWidth="1"/>
    <col min="12009" max="12213" width="9.33203125" style="3"/>
    <col min="12214" max="12263" width="3.33203125" style="3" customWidth="1"/>
    <col min="12264" max="12264" width="1.5" style="3" customWidth="1"/>
    <col min="12265" max="12469" width="9.33203125" style="3"/>
    <col min="12470" max="12519" width="3.33203125" style="3" customWidth="1"/>
    <col min="12520" max="12520" width="1.5" style="3" customWidth="1"/>
    <col min="12521" max="12725" width="9.33203125" style="3"/>
    <col min="12726" max="12775" width="3.33203125" style="3" customWidth="1"/>
    <col min="12776" max="12776" width="1.5" style="3" customWidth="1"/>
    <col min="12777" max="12981" width="9.33203125" style="3"/>
    <col min="12982" max="13031" width="3.33203125" style="3" customWidth="1"/>
    <col min="13032" max="13032" width="1.5" style="3" customWidth="1"/>
    <col min="13033" max="13237" width="9.33203125" style="3"/>
    <col min="13238" max="13287" width="3.33203125" style="3" customWidth="1"/>
    <col min="13288" max="13288" width="1.5" style="3" customWidth="1"/>
    <col min="13289" max="13493" width="9.33203125" style="3"/>
    <col min="13494" max="13543" width="3.33203125" style="3" customWidth="1"/>
    <col min="13544" max="13544" width="1.5" style="3" customWidth="1"/>
    <col min="13545" max="13749" width="9.33203125" style="3"/>
    <col min="13750" max="13799" width="3.33203125" style="3" customWidth="1"/>
    <col min="13800" max="13800" width="1.5" style="3" customWidth="1"/>
    <col min="13801" max="14005" width="9.33203125" style="3"/>
    <col min="14006" max="14055" width="3.33203125" style="3" customWidth="1"/>
    <col min="14056" max="14056" width="1.5" style="3" customWidth="1"/>
    <col min="14057" max="14261" width="9.33203125" style="3"/>
    <col min="14262" max="14311" width="3.33203125" style="3" customWidth="1"/>
    <col min="14312" max="14312" width="1.5" style="3" customWidth="1"/>
    <col min="14313" max="14517" width="9.33203125" style="3"/>
    <col min="14518" max="14567" width="3.33203125" style="3" customWidth="1"/>
    <col min="14568" max="14568" width="1.5" style="3" customWidth="1"/>
    <col min="14569" max="14773" width="9.33203125" style="3"/>
    <col min="14774" max="14823" width="3.33203125" style="3" customWidth="1"/>
    <col min="14824" max="14824" width="1.5" style="3" customWidth="1"/>
    <col min="14825" max="15029" width="9.33203125" style="3"/>
    <col min="15030" max="15079" width="3.33203125" style="3" customWidth="1"/>
    <col min="15080" max="15080" width="1.5" style="3" customWidth="1"/>
    <col min="15081" max="15285" width="9.33203125" style="3"/>
    <col min="15286" max="15335" width="3.33203125" style="3" customWidth="1"/>
    <col min="15336" max="15336" width="1.5" style="3" customWidth="1"/>
    <col min="15337" max="15541" width="9.33203125" style="3"/>
    <col min="15542" max="15591" width="3.33203125" style="3" customWidth="1"/>
    <col min="15592" max="15592" width="1.5" style="3" customWidth="1"/>
    <col min="15593" max="15797" width="9.33203125" style="3"/>
    <col min="15798" max="15847" width="3.33203125" style="3" customWidth="1"/>
    <col min="15848" max="15848" width="1.5" style="3" customWidth="1"/>
    <col min="15849" max="16053" width="9.33203125" style="3"/>
    <col min="16054" max="16103" width="3.33203125" style="3" customWidth="1"/>
    <col min="16104" max="16104" width="1.5" style="3" customWidth="1"/>
    <col min="16105" max="16384" width="9.33203125" style="3"/>
  </cols>
  <sheetData>
    <row r="4" spans="1:21" ht="12.75" thickBot="1">
      <c r="A4" s="167"/>
      <c r="B4" s="167"/>
      <c r="C4" s="167"/>
      <c r="D4" s="167"/>
      <c r="E4" s="167"/>
    </row>
    <row r="5" spans="1:21" ht="11.25" customHeight="1">
      <c r="A5" s="168" t="s">
        <v>241</v>
      </c>
      <c r="B5" s="169"/>
      <c r="C5" s="170">
        <v>1</v>
      </c>
      <c r="D5" s="171"/>
      <c r="E5" s="172"/>
      <c r="F5" s="228" t="s">
        <v>275</v>
      </c>
      <c r="G5" s="171"/>
      <c r="H5" s="171"/>
      <c r="I5" s="171"/>
      <c r="J5" s="171"/>
      <c r="K5" s="171"/>
      <c r="L5" s="171"/>
      <c r="M5" s="171"/>
      <c r="N5" s="171"/>
      <c r="O5" s="171"/>
      <c r="P5" s="171"/>
      <c r="Q5" s="171"/>
      <c r="R5" s="171"/>
      <c r="S5" s="171"/>
      <c r="T5" s="171"/>
      <c r="U5" s="172"/>
    </row>
    <row r="6" spans="1:21" ht="11.25" customHeight="1">
      <c r="A6" s="173" t="s">
        <v>242</v>
      </c>
      <c r="B6" s="174"/>
      <c r="C6" s="175" t="s">
        <v>258</v>
      </c>
      <c r="D6" s="175"/>
      <c r="E6" s="176"/>
      <c r="F6" s="229" t="s">
        <v>276</v>
      </c>
      <c r="G6" s="230" t="s">
        <v>277</v>
      </c>
      <c r="H6" s="230" t="s">
        <v>278</v>
      </c>
      <c r="I6" s="230" t="s">
        <v>279</v>
      </c>
      <c r="J6" s="230" t="s">
        <v>280</v>
      </c>
      <c r="K6" s="230" t="s">
        <v>281</v>
      </c>
      <c r="L6" s="230" t="s">
        <v>282</v>
      </c>
      <c r="M6" s="230" t="s">
        <v>283</v>
      </c>
      <c r="N6" s="230" t="s">
        <v>284</v>
      </c>
      <c r="O6" s="230" t="s">
        <v>285</v>
      </c>
      <c r="P6" s="230" t="s">
        <v>286</v>
      </c>
      <c r="Q6" s="230" t="s">
        <v>287</v>
      </c>
      <c r="R6" s="230" t="s">
        <v>288</v>
      </c>
      <c r="S6" s="230" t="s">
        <v>289</v>
      </c>
      <c r="T6" s="230" t="s">
        <v>290</v>
      </c>
      <c r="U6" s="231" t="s">
        <v>291</v>
      </c>
    </row>
    <row r="7" spans="1:21" ht="11.25" customHeight="1">
      <c r="A7" s="173" t="s">
        <v>243</v>
      </c>
      <c r="B7" s="174"/>
      <c r="C7" s="175" t="s">
        <v>259</v>
      </c>
      <c r="D7" s="175"/>
      <c r="E7" s="176"/>
      <c r="F7" s="232"/>
      <c r="G7" s="233"/>
      <c r="H7" s="233"/>
      <c r="I7" s="233"/>
      <c r="J7" s="233"/>
      <c r="K7" s="233"/>
      <c r="L7" s="233"/>
      <c r="M7" s="233"/>
      <c r="N7" s="233"/>
      <c r="O7" s="233"/>
      <c r="P7" s="233"/>
      <c r="Q7" s="233"/>
      <c r="R7" s="233"/>
      <c r="S7" s="233"/>
      <c r="T7" s="233"/>
      <c r="U7" s="234"/>
    </row>
    <row r="8" spans="1:21" ht="11.25" customHeight="1">
      <c r="A8" s="177" t="s">
        <v>244</v>
      </c>
      <c r="B8" s="178"/>
      <c r="C8" s="179"/>
      <c r="D8" s="180"/>
      <c r="E8" s="181"/>
      <c r="F8" s="235"/>
      <c r="G8" s="236"/>
      <c r="H8" s="236"/>
      <c r="I8" s="236"/>
      <c r="J8" s="236"/>
      <c r="K8" s="236"/>
      <c r="L8" s="236"/>
      <c r="M8" s="236"/>
      <c r="N8" s="236"/>
      <c r="O8" s="236"/>
      <c r="P8" s="236"/>
      <c r="Q8" s="236"/>
      <c r="R8" s="236"/>
      <c r="S8" s="236"/>
      <c r="T8" s="236"/>
      <c r="U8" s="237"/>
    </row>
    <row r="9" spans="1:21">
      <c r="A9" s="182"/>
      <c r="B9" s="183" t="s">
        <v>64</v>
      </c>
      <c r="C9" s="183" t="s">
        <v>245</v>
      </c>
      <c r="D9" s="183" t="s">
        <v>246</v>
      </c>
      <c r="E9" s="184" t="s">
        <v>247</v>
      </c>
      <c r="F9" s="238"/>
      <c r="G9" s="239"/>
      <c r="H9" s="239"/>
      <c r="I9" s="239"/>
      <c r="J9" s="239"/>
      <c r="K9" s="239"/>
      <c r="L9" s="239"/>
      <c r="M9" s="239"/>
      <c r="N9" s="239"/>
      <c r="O9" s="239"/>
      <c r="P9" s="239"/>
      <c r="Q9" s="239"/>
      <c r="R9" s="239"/>
      <c r="S9" s="239"/>
      <c r="T9" s="239"/>
      <c r="U9" s="184"/>
    </row>
    <row r="10" spans="1:21">
      <c r="A10" s="185"/>
      <c r="B10" s="186" t="s">
        <v>260</v>
      </c>
      <c r="C10" s="187" t="s">
        <v>261</v>
      </c>
      <c r="D10" s="186" t="s">
        <v>295</v>
      </c>
      <c r="E10" s="188" t="s">
        <v>296</v>
      </c>
      <c r="F10" s="240"/>
      <c r="G10" s="187"/>
      <c r="H10" s="187"/>
      <c r="I10" s="187"/>
      <c r="J10" s="187"/>
      <c r="K10" s="187"/>
      <c r="L10" s="187"/>
      <c r="M10" s="187"/>
      <c r="N10" s="187"/>
      <c r="O10" s="187"/>
      <c r="P10" s="187"/>
      <c r="Q10" s="187"/>
      <c r="R10" s="187"/>
      <c r="S10" s="187"/>
      <c r="T10" s="187"/>
      <c r="U10" s="188"/>
    </row>
    <row r="11" spans="1:21" ht="11.25" customHeight="1">
      <c r="A11" s="189" t="s">
        <v>248</v>
      </c>
      <c r="B11" s="194" t="s">
        <v>253</v>
      </c>
      <c r="C11" s="190" t="s">
        <v>249</v>
      </c>
      <c r="D11" s="190" t="s">
        <v>250</v>
      </c>
      <c r="E11" s="191" t="s">
        <v>251</v>
      </c>
      <c r="F11" s="241"/>
      <c r="G11" s="242"/>
      <c r="H11" s="242"/>
      <c r="I11" s="242"/>
      <c r="J11" s="242"/>
      <c r="K11" s="242"/>
      <c r="L11" s="242"/>
      <c r="M11" s="242"/>
      <c r="N11" s="242"/>
      <c r="O11" s="242"/>
      <c r="P11" s="242"/>
      <c r="Q11" s="242"/>
      <c r="R11" s="242"/>
      <c r="S11" s="242"/>
      <c r="T11" s="242"/>
      <c r="U11" s="243"/>
    </row>
    <row r="12" spans="1:21">
      <c r="A12" s="185">
        <v>1</v>
      </c>
      <c r="B12" s="192" t="s">
        <v>293</v>
      </c>
      <c r="C12" s="192" t="s">
        <v>262</v>
      </c>
      <c r="D12" s="192" t="s">
        <v>145</v>
      </c>
      <c r="E12" s="193"/>
      <c r="F12" s="196"/>
      <c r="G12" s="244"/>
      <c r="H12" s="244"/>
      <c r="I12" s="244"/>
      <c r="J12" s="244"/>
      <c r="K12" s="244"/>
      <c r="L12" s="244"/>
      <c r="M12" s="244"/>
      <c r="N12" s="244"/>
      <c r="O12" s="244"/>
      <c r="P12" s="244"/>
      <c r="Q12" s="244"/>
      <c r="R12" s="244"/>
      <c r="S12" s="244"/>
      <c r="T12" s="244"/>
      <c r="U12" s="245"/>
    </row>
    <row r="13" spans="1:21">
      <c r="A13" s="185">
        <v>2</v>
      </c>
      <c r="B13" s="192" t="s">
        <v>234</v>
      </c>
      <c r="C13" s="192" t="s">
        <v>262</v>
      </c>
      <c r="D13" s="192" t="s">
        <v>145</v>
      </c>
      <c r="E13" s="193"/>
      <c r="F13" s="196"/>
      <c r="G13" s="244"/>
      <c r="H13" s="244"/>
      <c r="I13" s="244"/>
      <c r="J13" s="244"/>
      <c r="K13" s="244"/>
      <c r="L13" s="244"/>
      <c r="M13" s="244"/>
      <c r="N13" s="244"/>
      <c r="O13" s="244"/>
      <c r="P13" s="244"/>
      <c r="Q13" s="244"/>
      <c r="R13" s="244"/>
      <c r="S13" s="244"/>
      <c r="T13" s="244"/>
      <c r="U13" s="245"/>
    </row>
    <row r="14" spans="1:21">
      <c r="A14" s="185">
        <v>3</v>
      </c>
      <c r="B14" s="192" t="s">
        <v>235</v>
      </c>
      <c r="C14" s="192" t="s">
        <v>263</v>
      </c>
      <c r="D14" s="192" t="s">
        <v>145</v>
      </c>
      <c r="E14" s="193"/>
      <c r="F14" s="196"/>
      <c r="G14" s="244"/>
      <c r="H14" s="244"/>
      <c r="I14" s="244"/>
      <c r="J14" s="244"/>
      <c r="K14" s="244"/>
      <c r="L14" s="244"/>
      <c r="M14" s="244"/>
      <c r="N14" s="244"/>
      <c r="O14" s="244"/>
      <c r="P14" s="244"/>
      <c r="Q14" s="244"/>
      <c r="R14" s="244"/>
      <c r="S14" s="244"/>
      <c r="T14" s="244"/>
      <c r="U14" s="245"/>
    </row>
    <row r="15" spans="1:21">
      <c r="A15" s="185">
        <v>4</v>
      </c>
      <c r="B15" s="192" t="s">
        <v>236</v>
      </c>
      <c r="C15" s="192" t="s">
        <v>262</v>
      </c>
      <c r="D15" s="192" t="s">
        <v>145</v>
      </c>
      <c r="E15" s="193"/>
      <c r="F15" s="196"/>
      <c r="G15" s="244"/>
      <c r="H15" s="244"/>
      <c r="I15" s="244"/>
      <c r="J15" s="244"/>
      <c r="K15" s="244"/>
      <c r="L15" s="244"/>
      <c r="M15" s="244"/>
      <c r="N15" s="244"/>
      <c r="O15" s="244"/>
      <c r="P15" s="244"/>
      <c r="Q15" s="244"/>
      <c r="R15" s="244"/>
      <c r="S15" s="244"/>
      <c r="T15" s="244"/>
      <c r="U15" s="245"/>
    </row>
    <row r="16" spans="1:21">
      <c r="A16" s="185">
        <v>5</v>
      </c>
      <c r="B16" s="192" t="s">
        <v>294</v>
      </c>
      <c r="C16" s="192" t="s">
        <v>264</v>
      </c>
      <c r="D16" s="192" t="s">
        <v>145</v>
      </c>
      <c r="E16" s="193"/>
      <c r="F16" s="196"/>
      <c r="G16" s="244"/>
      <c r="H16" s="244"/>
      <c r="I16" s="244"/>
      <c r="J16" s="244"/>
      <c r="K16" s="244"/>
      <c r="L16" s="244"/>
      <c r="M16" s="244"/>
      <c r="N16" s="244"/>
      <c r="O16" s="244"/>
      <c r="P16" s="244"/>
      <c r="Q16" s="244"/>
      <c r="R16" s="244"/>
      <c r="S16" s="244"/>
      <c r="T16" s="244"/>
      <c r="U16" s="245"/>
    </row>
    <row r="17" spans="1:21">
      <c r="A17" s="185"/>
      <c r="B17" s="192"/>
      <c r="C17" s="192"/>
      <c r="D17" s="192"/>
      <c r="E17" s="193"/>
      <c r="F17" s="196"/>
      <c r="G17" s="244"/>
      <c r="H17" s="244"/>
      <c r="I17" s="244"/>
      <c r="J17" s="244"/>
      <c r="K17" s="244"/>
      <c r="L17" s="244"/>
      <c r="M17" s="244"/>
      <c r="N17" s="244"/>
      <c r="O17" s="244"/>
      <c r="P17" s="244"/>
      <c r="Q17" s="244"/>
      <c r="R17" s="244"/>
      <c r="S17" s="244"/>
      <c r="T17" s="244"/>
      <c r="U17" s="245"/>
    </row>
    <row r="18" spans="1:21">
      <c r="A18" s="185"/>
      <c r="B18" s="195"/>
      <c r="C18" s="195"/>
      <c r="D18" s="196"/>
      <c r="E18" s="193"/>
      <c r="F18" s="196"/>
      <c r="G18" s="244"/>
      <c r="H18" s="244"/>
      <c r="I18" s="244"/>
      <c r="J18" s="244"/>
      <c r="K18" s="244"/>
      <c r="L18" s="244"/>
      <c r="M18" s="244"/>
      <c r="N18" s="244"/>
      <c r="O18" s="244"/>
      <c r="P18" s="244"/>
      <c r="Q18" s="244"/>
      <c r="R18" s="244"/>
      <c r="S18" s="244"/>
      <c r="T18" s="244"/>
      <c r="U18" s="245"/>
    </row>
    <row r="19" spans="1:21" ht="12.75" thickBot="1">
      <c r="A19" s="197"/>
      <c r="B19" s="198"/>
      <c r="C19" s="198"/>
      <c r="D19" s="198"/>
      <c r="E19" s="199"/>
      <c r="F19" s="9"/>
      <c r="G19" s="9"/>
      <c r="H19" s="9"/>
      <c r="I19" s="9"/>
      <c r="J19" s="9"/>
      <c r="K19" s="9"/>
      <c r="L19" s="9"/>
      <c r="M19" s="9"/>
      <c r="N19" s="9"/>
      <c r="O19" s="9"/>
      <c r="P19" s="9"/>
      <c r="Q19" s="9"/>
      <c r="R19" s="9"/>
      <c r="S19" s="9"/>
      <c r="T19" s="9"/>
      <c r="U19" s="27"/>
    </row>
    <row r="20" spans="1:21">
      <c r="A20" s="168" t="s">
        <v>254</v>
      </c>
      <c r="B20" s="169"/>
      <c r="C20" s="170">
        <v>2</v>
      </c>
      <c r="D20" s="171"/>
      <c r="E20" s="172"/>
      <c r="F20" s="228" t="s">
        <v>275</v>
      </c>
      <c r="G20" s="171"/>
      <c r="H20" s="171"/>
      <c r="I20" s="171"/>
      <c r="J20" s="171"/>
      <c r="K20" s="171"/>
      <c r="L20" s="171"/>
      <c r="M20" s="171"/>
      <c r="N20" s="171"/>
      <c r="O20" s="171"/>
      <c r="P20" s="171"/>
      <c r="Q20" s="171"/>
      <c r="R20" s="171"/>
      <c r="S20" s="171"/>
      <c r="T20" s="171"/>
      <c r="U20" s="172"/>
    </row>
    <row r="21" spans="1:21">
      <c r="A21" s="173" t="s">
        <v>255</v>
      </c>
      <c r="B21" s="174"/>
      <c r="C21" s="175" t="s">
        <v>258</v>
      </c>
      <c r="D21" s="175"/>
      <c r="E21" s="176"/>
      <c r="F21" s="229" t="s">
        <v>276</v>
      </c>
      <c r="G21" s="230" t="s">
        <v>277</v>
      </c>
      <c r="H21" s="230" t="s">
        <v>278</v>
      </c>
      <c r="I21" s="230" t="s">
        <v>279</v>
      </c>
      <c r="J21" s="230" t="s">
        <v>280</v>
      </c>
      <c r="K21" s="230" t="s">
        <v>281</v>
      </c>
      <c r="L21" s="230" t="s">
        <v>282</v>
      </c>
      <c r="M21" s="230" t="s">
        <v>283</v>
      </c>
      <c r="N21" s="230" t="s">
        <v>284</v>
      </c>
      <c r="O21" s="230" t="s">
        <v>285</v>
      </c>
      <c r="P21" s="230" t="s">
        <v>306</v>
      </c>
      <c r="Q21" s="230" t="s">
        <v>287</v>
      </c>
      <c r="R21" s="230" t="s">
        <v>288</v>
      </c>
      <c r="S21" s="230" t="s">
        <v>289</v>
      </c>
      <c r="T21" s="230" t="s">
        <v>290</v>
      </c>
      <c r="U21" s="231" t="s">
        <v>291</v>
      </c>
    </row>
    <row r="22" spans="1:21">
      <c r="A22" s="173" t="s">
        <v>256</v>
      </c>
      <c r="B22" s="174"/>
      <c r="C22" s="175" t="s">
        <v>265</v>
      </c>
      <c r="D22" s="175"/>
      <c r="E22" s="176"/>
      <c r="F22" s="232"/>
      <c r="G22" s="233"/>
      <c r="H22" s="233"/>
      <c r="I22" s="233"/>
      <c r="J22" s="233"/>
      <c r="K22" s="233"/>
      <c r="L22" s="233"/>
      <c r="M22" s="233"/>
      <c r="N22" s="233"/>
      <c r="O22" s="233"/>
      <c r="P22" s="233"/>
      <c r="Q22" s="233"/>
      <c r="R22" s="233"/>
      <c r="S22" s="233"/>
      <c r="T22" s="233"/>
      <c r="U22" s="234"/>
    </row>
    <row r="23" spans="1:21">
      <c r="A23" s="177" t="s">
        <v>244</v>
      </c>
      <c r="B23" s="178"/>
      <c r="C23" s="179"/>
      <c r="D23" s="180"/>
      <c r="E23" s="181"/>
      <c r="F23" s="235"/>
      <c r="G23" s="236"/>
      <c r="H23" s="236"/>
      <c r="I23" s="236"/>
      <c r="J23" s="236"/>
      <c r="K23" s="236"/>
      <c r="L23" s="236"/>
      <c r="M23" s="236"/>
      <c r="N23" s="236"/>
      <c r="O23" s="236"/>
      <c r="P23" s="236"/>
      <c r="Q23" s="236"/>
      <c r="R23" s="236"/>
      <c r="S23" s="236"/>
      <c r="T23" s="236"/>
      <c r="U23" s="237"/>
    </row>
    <row r="24" spans="1:21">
      <c r="A24" s="182"/>
      <c r="B24" s="183" t="s">
        <v>64</v>
      </c>
      <c r="C24" s="183" t="s">
        <v>245</v>
      </c>
      <c r="D24" s="183" t="s">
        <v>252</v>
      </c>
      <c r="E24" s="184" t="s">
        <v>247</v>
      </c>
      <c r="F24" s="238"/>
      <c r="G24" s="239"/>
      <c r="H24" s="239"/>
      <c r="I24" s="239"/>
      <c r="J24" s="239"/>
      <c r="K24" s="239"/>
      <c r="L24" s="239"/>
      <c r="M24" s="239"/>
      <c r="N24" s="239"/>
      <c r="O24" s="239"/>
      <c r="P24" s="239"/>
      <c r="Q24" s="239"/>
      <c r="R24" s="239"/>
      <c r="S24" s="239"/>
      <c r="T24" s="239"/>
      <c r="U24" s="184"/>
    </row>
    <row r="25" spans="1:21">
      <c r="A25" s="200"/>
      <c r="B25" s="186" t="s">
        <v>266</v>
      </c>
      <c r="C25" s="187" t="s">
        <v>267</v>
      </c>
      <c r="D25" s="186"/>
      <c r="E25" s="188"/>
      <c r="F25" s="240"/>
      <c r="G25" s="187"/>
      <c r="H25" s="187"/>
      <c r="I25" s="187"/>
      <c r="J25" s="187"/>
      <c r="K25" s="187"/>
      <c r="L25" s="187"/>
      <c r="M25" s="187"/>
      <c r="N25" s="187"/>
      <c r="O25" s="187"/>
      <c r="P25" s="187"/>
      <c r="Q25" s="187"/>
      <c r="R25" s="187"/>
      <c r="S25" s="187"/>
      <c r="T25" s="187"/>
      <c r="U25" s="188"/>
    </row>
    <row r="26" spans="1:21">
      <c r="A26" s="189" t="s">
        <v>248</v>
      </c>
      <c r="B26" s="194" t="s">
        <v>253</v>
      </c>
      <c r="C26" s="190" t="s">
        <v>249</v>
      </c>
      <c r="D26" s="190" t="s">
        <v>250</v>
      </c>
      <c r="E26" s="191" t="s">
        <v>251</v>
      </c>
      <c r="F26" s="241"/>
      <c r="G26" s="242"/>
      <c r="H26" s="242"/>
      <c r="I26" s="242"/>
      <c r="J26" s="242"/>
      <c r="K26" s="242"/>
      <c r="L26" s="242"/>
      <c r="M26" s="242"/>
      <c r="N26" s="242"/>
      <c r="O26" s="242"/>
      <c r="P26" s="242"/>
      <c r="Q26" s="242"/>
      <c r="R26" s="242"/>
      <c r="S26" s="242"/>
      <c r="T26" s="242"/>
      <c r="U26" s="243"/>
    </row>
    <row r="27" spans="1:21">
      <c r="A27" s="185">
        <v>1</v>
      </c>
      <c r="B27" s="192" t="s">
        <v>293</v>
      </c>
      <c r="C27" s="192" t="s">
        <v>264</v>
      </c>
      <c r="D27" s="192" t="s">
        <v>145</v>
      </c>
      <c r="E27" s="193"/>
      <c r="F27" s="196"/>
      <c r="G27" s="244"/>
      <c r="H27" s="244"/>
      <c r="I27" s="244"/>
      <c r="J27" s="244"/>
      <c r="K27" s="244"/>
      <c r="L27" s="244"/>
      <c r="M27" s="244"/>
      <c r="N27" s="244"/>
      <c r="O27" s="244"/>
      <c r="P27" s="244"/>
      <c r="Q27" s="244"/>
      <c r="R27" s="244"/>
      <c r="S27" s="244"/>
      <c r="T27" s="244"/>
      <c r="U27" s="245"/>
    </row>
    <row r="28" spans="1:21">
      <c r="A28" s="185">
        <v>2</v>
      </c>
      <c r="B28" s="192" t="s">
        <v>234</v>
      </c>
      <c r="C28" s="192" t="s">
        <v>264</v>
      </c>
      <c r="D28" s="192" t="s">
        <v>145</v>
      </c>
      <c r="E28" s="193"/>
      <c r="F28" s="196"/>
      <c r="G28" s="244"/>
      <c r="H28" s="244"/>
      <c r="I28" s="244"/>
      <c r="J28" s="244"/>
      <c r="K28" s="244"/>
      <c r="L28" s="244"/>
      <c r="M28" s="244" t="s">
        <v>292</v>
      </c>
      <c r="N28" s="244"/>
      <c r="O28" s="244"/>
      <c r="P28" s="244"/>
      <c r="Q28" s="244"/>
      <c r="R28" s="244"/>
      <c r="S28" s="244"/>
      <c r="T28" s="244"/>
      <c r="U28" s="245"/>
    </row>
    <row r="29" spans="1:21">
      <c r="A29" s="185">
        <v>3</v>
      </c>
      <c r="B29" s="192" t="s">
        <v>235</v>
      </c>
      <c r="C29" s="192" t="s">
        <v>264</v>
      </c>
      <c r="D29" s="192" t="s">
        <v>145</v>
      </c>
      <c r="E29" s="193"/>
      <c r="F29" s="196"/>
      <c r="G29" s="244"/>
      <c r="H29" s="244"/>
      <c r="I29" s="244"/>
      <c r="J29" s="244"/>
      <c r="K29" s="244"/>
      <c r="L29" s="244"/>
      <c r="M29" s="244" t="s">
        <v>292</v>
      </c>
      <c r="N29" s="244"/>
      <c r="O29" s="244"/>
      <c r="P29" s="244"/>
      <c r="Q29" s="244"/>
      <c r="R29" s="244"/>
      <c r="S29" s="244"/>
      <c r="T29" s="244"/>
      <c r="U29" s="245"/>
    </row>
    <row r="30" spans="1:21">
      <c r="A30" s="185">
        <v>4</v>
      </c>
      <c r="B30" s="192" t="s">
        <v>236</v>
      </c>
      <c r="C30" s="192" t="s">
        <v>262</v>
      </c>
      <c r="D30" s="192" t="s">
        <v>145</v>
      </c>
      <c r="E30" s="193"/>
      <c r="F30" s="196"/>
      <c r="G30" s="244"/>
      <c r="H30" s="244"/>
      <c r="I30" s="244"/>
      <c r="J30" s="244"/>
      <c r="K30" s="244"/>
      <c r="L30" s="244"/>
      <c r="M30" s="244" t="s">
        <v>292</v>
      </c>
      <c r="N30" s="244"/>
      <c r="O30" s="244"/>
      <c r="P30" s="244"/>
      <c r="Q30" s="244"/>
      <c r="R30" s="244"/>
      <c r="S30" s="244"/>
      <c r="T30" s="244"/>
      <c r="U30" s="245"/>
    </row>
    <row r="31" spans="1:21">
      <c r="A31" s="185">
        <v>5</v>
      </c>
      <c r="B31" s="192" t="s">
        <v>294</v>
      </c>
      <c r="C31" s="192" t="s">
        <v>262</v>
      </c>
      <c r="D31" s="192" t="s">
        <v>145</v>
      </c>
      <c r="E31" s="193"/>
      <c r="F31" s="196"/>
      <c r="G31" s="244"/>
      <c r="H31" s="244"/>
      <c r="I31" s="244"/>
      <c r="J31" s="244"/>
      <c r="K31" s="244"/>
      <c r="L31" s="244"/>
      <c r="M31" s="244" t="s">
        <v>298</v>
      </c>
      <c r="N31" s="244"/>
      <c r="O31" s="244"/>
      <c r="P31" s="244"/>
      <c r="Q31" s="244"/>
      <c r="R31" s="244"/>
      <c r="S31" s="244"/>
      <c r="T31" s="244"/>
      <c r="U31" s="245"/>
    </row>
    <row r="32" spans="1:21">
      <c r="A32" s="185">
        <v>6</v>
      </c>
      <c r="B32" s="192" t="s">
        <v>297</v>
      </c>
      <c r="C32" s="192" t="s">
        <v>145</v>
      </c>
      <c r="D32" s="192" t="s">
        <v>262</v>
      </c>
      <c r="E32" s="193"/>
      <c r="F32" s="196"/>
      <c r="G32" s="244"/>
      <c r="H32" s="244"/>
      <c r="I32" s="244"/>
      <c r="J32" s="244"/>
      <c r="K32" s="244"/>
      <c r="L32" s="244"/>
      <c r="M32" s="244"/>
      <c r="N32" s="244"/>
      <c r="O32" s="244"/>
      <c r="P32" s="244"/>
      <c r="Q32" s="244"/>
      <c r="R32" s="244"/>
      <c r="S32" s="244"/>
      <c r="T32" s="244"/>
      <c r="U32" s="245"/>
    </row>
    <row r="33" spans="1:21">
      <c r="A33" s="185"/>
      <c r="B33" s="192"/>
      <c r="C33" s="192"/>
      <c r="D33" s="192"/>
      <c r="E33" s="193"/>
      <c r="F33" s="196"/>
      <c r="G33" s="244"/>
      <c r="H33" s="244"/>
      <c r="I33" s="244"/>
      <c r="J33" s="244"/>
      <c r="K33" s="244"/>
      <c r="L33" s="244"/>
      <c r="M33" s="244"/>
      <c r="N33" s="244"/>
      <c r="O33" s="244"/>
      <c r="P33" s="244"/>
      <c r="Q33" s="244"/>
      <c r="R33" s="244"/>
      <c r="S33" s="244"/>
      <c r="T33" s="244"/>
      <c r="U33" s="245"/>
    </row>
    <row r="34" spans="1:21">
      <c r="A34" s="185"/>
      <c r="B34" s="192"/>
      <c r="C34" s="192"/>
      <c r="D34" s="192"/>
      <c r="E34" s="193"/>
      <c r="F34" s="196"/>
      <c r="G34" s="244"/>
      <c r="H34" s="244"/>
      <c r="I34" s="244"/>
      <c r="J34" s="244"/>
      <c r="K34" s="244"/>
      <c r="L34" s="244"/>
      <c r="M34" s="244"/>
      <c r="N34" s="244"/>
      <c r="O34" s="244"/>
      <c r="P34" s="244"/>
      <c r="Q34" s="244"/>
      <c r="R34" s="244"/>
      <c r="S34" s="244"/>
      <c r="T34" s="244"/>
      <c r="U34" s="245"/>
    </row>
    <row r="35" spans="1:21">
      <c r="A35" s="185"/>
      <c r="B35" s="192"/>
      <c r="C35" s="192"/>
      <c r="D35" s="192"/>
      <c r="E35" s="193"/>
      <c r="F35" s="196"/>
      <c r="G35" s="244"/>
      <c r="H35" s="244"/>
      <c r="I35" s="244"/>
      <c r="J35" s="244"/>
      <c r="K35" s="244"/>
      <c r="L35" s="244"/>
      <c r="M35" s="244"/>
      <c r="N35" s="244"/>
      <c r="O35" s="244"/>
      <c r="P35" s="244"/>
      <c r="Q35" s="244"/>
      <c r="R35" s="244"/>
      <c r="S35" s="244"/>
      <c r="T35" s="244"/>
      <c r="U35" s="245"/>
    </row>
    <row r="36" spans="1:21">
      <c r="A36" s="185"/>
      <c r="B36" s="192"/>
      <c r="C36" s="192"/>
      <c r="D36" s="192"/>
      <c r="E36" s="193"/>
      <c r="F36" s="196"/>
      <c r="G36" s="244"/>
      <c r="H36" s="244"/>
      <c r="I36" s="244"/>
      <c r="J36" s="244"/>
      <c r="K36" s="244"/>
      <c r="L36" s="244"/>
      <c r="M36" s="244"/>
      <c r="N36" s="244"/>
      <c r="O36" s="244"/>
      <c r="P36" s="244"/>
      <c r="Q36" s="244"/>
      <c r="R36" s="244"/>
      <c r="S36" s="244"/>
      <c r="T36" s="244"/>
      <c r="U36" s="245"/>
    </row>
    <row r="37" spans="1:21">
      <c r="A37" s="185"/>
      <c r="B37" s="192"/>
      <c r="C37" s="192"/>
      <c r="D37" s="192"/>
      <c r="E37" s="193"/>
      <c r="F37" s="196"/>
      <c r="G37" s="244"/>
      <c r="H37" s="244"/>
      <c r="I37" s="244"/>
      <c r="J37" s="244"/>
      <c r="K37" s="244"/>
      <c r="L37" s="244"/>
      <c r="M37" s="244"/>
      <c r="N37" s="244"/>
      <c r="O37" s="244"/>
      <c r="P37" s="244"/>
      <c r="Q37" s="244"/>
      <c r="R37" s="244"/>
      <c r="S37" s="244"/>
      <c r="T37" s="244"/>
      <c r="U37" s="245"/>
    </row>
    <row r="38" spans="1:21">
      <c r="A38" s="185"/>
      <c r="B38" s="192"/>
      <c r="C38" s="192"/>
      <c r="D38" s="192"/>
      <c r="E38" s="193"/>
      <c r="F38" s="196"/>
      <c r="G38" s="244"/>
      <c r="H38" s="244"/>
      <c r="I38" s="244"/>
      <c r="J38" s="244"/>
      <c r="K38" s="244"/>
      <c r="L38" s="244"/>
      <c r="M38" s="244"/>
      <c r="N38" s="244"/>
      <c r="O38" s="244"/>
      <c r="P38" s="244"/>
      <c r="Q38" s="244"/>
      <c r="R38" s="244"/>
      <c r="S38" s="244"/>
      <c r="T38" s="244"/>
      <c r="U38" s="245"/>
    </row>
    <row r="39" spans="1:21">
      <c r="A39" s="185"/>
      <c r="B39" s="192"/>
      <c r="C39" s="192"/>
      <c r="D39" s="192"/>
      <c r="E39" s="193"/>
      <c r="F39" s="196"/>
      <c r="G39" s="244"/>
      <c r="H39" s="244"/>
      <c r="I39" s="244"/>
      <c r="J39" s="244"/>
      <c r="K39" s="244"/>
      <c r="L39" s="244"/>
      <c r="M39" s="244"/>
      <c r="N39" s="244"/>
      <c r="O39" s="244"/>
      <c r="P39" s="244"/>
      <c r="Q39" s="244"/>
      <c r="R39" s="244"/>
      <c r="S39" s="244"/>
      <c r="T39" s="244"/>
      <c r="U39" s="245"/>
    </row>
    <row r="40" spans="1:21">
      <c r="A40" s="185"/>
      <c r="B40" s="192"/>
      <c r="C40" s="192"/>
      <c r="D40" s="192"/>
      <c r="E40" s="193"/>
      <c r="F40" s="196"/>
      <c r="G40" s="244"/>
      <c r="H40" s="244"/>
      <c r="I40" s="244"/>
      <c r="J40" s="244"/>
      <c r="K40" s="244"/>
      <c r="L40" s="244"/>
      <c r="M40" s="244"/>
      <c r="N40" s="244"/>
      <c r="O40" s="244"/>
      <c r="P40" s="244"/>
      <c r="Q40" s="244"/>
      <c r="R40" s="244"/>
      <c r="S40" s="244"/>
      <c r="T40" s="244"/>
      <c r="U40" s="245"/>
    </row>
    <row r="41" spans="1:21">
      <c r="A41" s="185"/>
      <c r="B41" s="192"/>
      <c r="C41" s="192"/>
      <c r="D41" s="192"/>
      <c r="E41" s="193"/>
      <c r="F41" s="196"/>
      <c r="G41" s="244"/>
      <c r="H41" s="244"/>
      <c r="I41" s="244"/>
      <c r="J41" s="244"/>
      <c r="K41" s="244"/>
      <c r="L41" s="244"/>
      <c r="M41" s="244"/>
      <c r="N41" s="244"/>
      <c r="O41" s="244"/>
      <c r="P41" s="244"/>
      <c r="Q41" s="244"/>
      <c r="R41" s="244"/>
      <c r="S41" s="244"/>
      <c r="T41" s="244"/>
      <c r="U41" s="245"/>
    </row>
    <row r="42" spans="1:21">
      <c r="A42" s="185"/>
      <c r="B42" s="192"/>
      <c r="C42" s="192"/>
      <c r="D42" s="192"/>
      <c r="E42" s="193"/>
      <c r="F42" s="196"/>
      <c r="G42" s="244"/>
      <c r="H42" s="244"/>
      <c r="I42" s="244"/>
      <c r="J42" s="244"/>
      <c r="K42" s="244"/>
      <c r="L42" s="244"/>
      <c r="M42" s="244"/>
      <c r="N42" s="244"/>
      <c r="O42" s="244"/>
      <c r="P42" s="244"/>
      <c r="Q42" s="244"/>
      <c r="R42" s="244"/>
      <c r="S42" s="244"/>
      <c r="T42" s="244"/>
      <c r="U42" s="245"/>
    </row>
    <row r="43" spans="1:21">
      <c r="A43" s="185"/>
      <c r="B43" s="192"/>
      <c r="C43" s="192"/>
      <c r="D43" s="192"/>
      <c r="E43" s="193"/>
      <c r="F43" s="196"/>
      <c r="G43" s="244"/>
      <c r="H43" s="244"/>
      <c r="I43" s="244"/>
      <c r="J43" s="244"/>
      <c r="K43" s="244"/>
      <c r="L43" s="244"/>
      <c r="M43" s="244"/>
      <c r="N43" s="244"/>
      <c r="O43" s="244"/>
      <c r="P43" s="244"/>
      <c r="Q43" s="244"/>
      <c r="R43" s="244"/>
      <c r="S43" s="244"/>
      <c r="T43" s="244"/>
      <c r="U43" s="245"/>
    </row>
    <row r="44" spans="1:21">
      <c r="A44" s="185"/>
      <c r="B44" s="192"/>
      <c r="C44" s="192"/>
      <c r="D44" s="192"/>
      <c r="E44" s="193"/>
      <c r="F44" s="196"/>
      <c r="G44" s="244"/>
      <c r="H44" s="244"/>
      <c r="I44" s="244"/>
      <c r="J44" s="244"/>
      <c r="K44" s="244"/>
      <c r="L44" s="244"/>
      <c r="M44" s="244"/>
      <c r="N44" s="244"/>
      <c r="O44" s="244"/>
      <c r="P44" s="244"/>
      <c r="Q44" s="244"/>
      <c r="R44" s="244"/>
      <c r="S44" s="244"/>
      <c r="T44" s="244"/>
      <c r="U44" s="245"/>
    </row>
    <row r="45" spans="1:21">
      <c r="A45" s="185"/>
      <c r="B45" s="192"/>
      <c r="C45" s="192"/>
      <c r="D45" s="192"/>
      <c r="E45" s="193"/>
      <c r="F45" s="196"/>
      <c r="G45" s="244"/>
      <c r="H45" s="244"/>
      <c r="I45" s="244"/>
      <c r="J45" s="244"/>
      <c r="K45" s="244"/>
      <c r="L45" s="244"/>
      <c r="M45" s="244"/>
      <c r="N45" s="244"/>
      <c r="O45" s="244"/>
      <c r="P45" s="244"/>
      <c r="Q45" s="244"/>
      <c r="R45" s="244"/>
      <c r="S45" s="244"/>
      <c r="T45" s="244"/>
      <c r="U45" s="245"/>
    </row>
    <row r="46" spans="1:21" ht="12.75" thickBot="1">
      <c r="A46" s="201"/>
      <c r="B46" s="202"/>
      <c r="C46" s="203"/>
      <c r="D46" s="204"/>
      <c r="E46" s="205"/>
      <c r="F46" s="246"/>
      <c r="G46" s="247"/>
      <c r="H46" s="247"/>
      <c r="I46" s="247"/>
      <c r="J46" s="247"/>
      <c r="K46" s="247"/>
      <c r="L46" s="247"/>
      <c r="M46" s="247"/>
      <c r="N46" s="247"/>
      <c r="O46" s="247"/>
      <c r="P46" s="247"/>
      <c r="Q46" s="247"/>
      <c r="R46" s="247"/>
      <c r="S46" s="247"/>
      <c r="T46" s="247"/>
      <c r="U46" s="248"/>
    </row>
  </sheetData>
  <phoneticPr fontId="1"/>
  <dataValidations count="1">
    <dataValidation imeMode="off" allowBlank="1" showInputMessage="1" showErrorMessage="1" sqref="WUH983030:WUI983044 HV65526:HW65540 RR65526:RS65540 ABN65526:ABO65540 ALJ65526:ALK65540 AVF65526:AVG65540 BFB65526:BFC65540 BOX65526:BOY65540 BYT65526:BYU65540 CIP65526:CIQ65540 CSL65526:CSM65540 DCH65526:DCI65540 DMD65526:DME65540 DVZ65526:DWA65540 EFV65526:EFW65540 EPR65526:EPS65540 EZN65526:EZO65540 FJJ65526:FJK65540 FTF65526:FTG65540 GDB65526:GDC65540 GMX65526:GMY65540 GWT65526:GWU65540 HGP65526:HGQ65540 HQL65526:HQM65540 IAH65526:IAI65540 IKD65526:IKE65540 ITZ65526:IUA65540 JDV65526:JDW65540 JNR65526:JNS65540 JXN65526:JXO65540 KHJ65526:KHK65540 KRF65526:KRG65540 LBB65526:LBC65540 LKX65526:LKY65540 LUT65526:LUU65540 MEP65526:MEQ65540 MOL65526:MOM65540 MYH65526:MYI65540 NID65526:NIE65540 NRZ65526:NSA65540 OBV65526:OBW65540 OLR65526:OLS65540 OVN65526:OVO65540 PFJ65526:PFK65540 PPF65526:PPG65540 PZB65526:PZC65540 QIX65526:QIY65540 QST65526:QSU65540 RCP65526:RCQ65540 RML65526:RMM65540 RWH65526:RWI65540 SGD65526:SGE65540 SPZ65526:SQA65540 SZV65526:SZW65540 TJR65526:TJS65540 TTN65526:TTO65540 UDJ65526:UDK65540 UNF65526:UNG65540 UXB65526:UXC65540 VGX65526:VGY65540 VQT65526:VQU65540 WAP65526:WAQ65540 WKL65526:WKM65540 WUH65526:WUI65540 HV131062:HW131076 RR131062:RS131076 ABN131062:ABO131076 ALJ131062:ALK131076 AVF131062:AVG131076 BFB131062:BFC131076 BOX131062:BOY131076 BYT131062:BYU131076 CIP131062:CIQ131076 CSL131062:CSM131076 DCH131062:DCI131076 DMD131062:DME131076 DVZ131062:DWA131076 EFV131062:EFW131076 EPR131062:EPS131076 EZN131062:EZO131076 FJJ131062:FJK131076 FTF131062:FTG131076 GDB131062:GDC131076 GMX131062:GMY131076 GWT131062:GWU131076 HGP131062:HGQ131076 HQL131062:HQM131076 IAH131062:IAI131076 IKD131062:IKE131076 ITZ131062:IUA131076 JDV131062:JDW131076 JNR131062:JNS131076 JXN131062:JXO131076 KHJ131062:KHK131076 KRF131062:KRG131076 LBB131062:LBC131076 LKX131062:LKY131076 LUT131062:LUU131076 MEP131062:MEQ131076 MOL131062:MOM131076 MYH131062:MYI131076 NID131062:NIE131076 NRZ131062:NSA131076 OBV131062:OBW131076 OLR131062:OLS131076 OVN131062:OVO131076 PFJ131062:PFK131076 PPF131062:PPG131076 PZB131062:PZC131076 QIX131062:QIY131076 QST131062:QSU131076 RCP131062:RCQ131076 RML131062:RMM131076 RWH131062:RWI131076 SGD131062:SGE131076 SPZ131062:SQA131076 SZV131062:SZW131076 TJR131062:TJS131076 TTN131062:TTO131076 UDJ131062:UDK131076 UNF131062:UNG131076 UXB131062:UXC131076 VGX131062:VGY131076 VQT131062:VQU131076 WAP131062:WAQ131076 WKL131062:WKM131076 WUH131062:WUI131076 HV196598:HW196612 RR196598:RS196612 ABN196598:ABO196612 ALJ196598:ALK196612 AVF196598:AVG196612 BFB196598:BFC196612 BOX196598:BOY196612 BYT196598:BYU196612 CIP196598:CIQ196612 CSL196598:CSM196612 DCH196598:DCI196612 DMD196598:DME196612 DVZ196598:DWA196612 EFV196598:EFW196612 EPR196598:EPS196612 EZN196598:EZO196612 FJJ196598:FJK196612 FTF196598:FTG196612 GDB196598:GDC196612 GMX196598:GMY196612 GWT196598:GWU196612 HGP196598:HGQ196612 HQL196598:HQM196612 IAH196598:IAI196612 IKD196598:IKE196612 ITZ196598:IUA196612 JDV196598:JDW196612 JNR196598:JNS196612 JXN196598:JXO196612 KHJ196598:KHK196612 KRF196598:KRG196612 LBB196598:LBC196612 LKX196598:LKY196612 LUT196598:LUU196612 MEP196598:MEQ196612 MOL196598:MOM196612 MYH196598:MYI196612 NID196598:NIE196612 NRZ196598:NSA196612 OBV196598:OBW196612 OLR196598:OLS196612 OVN196598:OVO196612 PFJ196598:PFK196612 PPF196598:PPG196612 PZB196598:PZC196612 QIX196598:QIY196612 QST196598:QSU196612 RCP196598:RCQ196612 RML196598:RMM196612 RWH196598:RWI196612 SGD196598:SGE196612 SPZ196598:SQA196612 SZV196598:SZW196612 TJR196598:TJS196612 TTN196598:TTO196612 UDJ196598:UDK196612 UNF196598:UNG196612 UXB196598:UXC196612 VGX196598:VGY196612 VQT196598:VQU196612 WAP196598:WAQ196612 WKL196598:WKM196612 WUH196598:WUI196612 HV262134:HW262148 RR262134:RS262148 ABN262134:ABO262148 ALJ262134:ALK262148 AVF262134:AVG262148 BFB262134:BFC262148 BOX262134:BOY262148 BYT262134:BYU262148 CIP262134:CIQ262148 CSL262134:CSM262148 DCH262134:DCI262148 DMD262134:DME262148 DVZ262134:DWA262148 EFV262134:EFW262148 EPR262134:EPS262148 EZN262134:EZO262148 FJJ262134:FJK262148 FTF262134:FTG262148 GDB262134:GDC262148 GMX262134:GMY262148 GWT262134:GWU262148 HGP262134:HGQ262148 HQL262134:HQM262148 IAH262134:IAI262148 IKD262134:IKE262148 ITZ262134:IUA262148 JDV262134:JDW262148 JNR262134:JNS262148 JXN262134:JXO262148 KHJ262134:KHK262148 KRF262134:KRG262148 LBB262134:LBC262148 LKX262134:LKY262148 LUT262134:LUU262148 MEP262134:MEQ262148 MOL262134:MOM262148 MYH262134:MYI262148 NID262134:NIE262148 NRZ262134:NSA262148 OBV262134:OBW262148 OLR262134:OLS262148 OVN262134:OVO262148 PFJ262134:PFK262148 PPF262134:PPG262148 PZB262134:PZC262148 QIX262134:QIY262148 QST262134:QSU262148 RCP262134:RCQ262148 RML262134:RMM262148 RWH262134:RWI262148 SGD262134:SGE262148 SPZ262134:SQA262148 SZV262134:SZW262148 TJR262134:TJS262148 TTN262134:TTO262148 UDJ262134:UDK262148 UNF262134:UNG262148 UXB262134:UXC262148 VGX262134:VGY262148 VQT262134:VQU262148 WAP262134:WAQ262148 WKL262134:WKM262148 WUH262134:WUI262148 HV327670:HW327684 RR327670:RS327684 ABN327670:ABO327684 ALJ327670:ALK327684 AVF327670:AVG327684 BFB327670:BFC327684 BOX327670:BOY327684 BYT327670:BYU327684 CIP327670:CIQ327684 CSL327670:CSM327684 DCH327670:DCI327684 DMD327670:DME327684 DVZ327670:DWA327684 EFV327670:EFW327684 EPR327670:EPS327684 EZN327670:EZO327684 FJJ327670:FJK327684 FTF327670:FTG327684 GDB327670:GDC327684 GMX327670:GMY327684 GWT327670:GWU327684 HGP327670:HGQ327684 HQL327670:HQM327684 IAH327670:IAI327684 IKD327670:IKE327684 ITZ327670:IUA327684 JDV327670:JDW327684 JNR327670:JNS327684 JXN327670:JXO327684 KHJ327670:KHK327684 KRF327670:KRG327684 LBB327670:LBC327684 LKX327670:LKY327684 LUT327670:LUU327684 MEP327670:MEQ327684 MOL327670:MOM327684 MYH327670:MYI327684 NID327670:NIE327684 NRZ327670:NSA327684 OBV327670:OBW327684 OLR327670:OLS327684 OVN327670:OVO327684 PFJ327670:PFK327684 PPF327670:PPG327684 PZB327670:PZC327684 QIX327670:QIY327684 QST327670:QSU327684 RCP327670:RCQ327684 RML327670:RMM327684 RWH327670:RWI327684 SGD327670:SGE327684 SPZ327670:SQA327684 SZV327670:SZW327684 TJR327670:TJS327684 TTN327670:TTO327684 UDJ327670:UDK327684 UNF327670:UNG327684 UXB327670:UXC327684 VGX327670:VGY327684 VQT327670:VQU327684 WAP327670:WAQ327684 WKL327670:WKM327684 WUH327670:WUI327684 HV393206:HW393220 RR393206:RS393220 ABN393206:ABO393220 ALJ393206:ALK393220 AVF393206:AVG393220 BFB393206:BFC393220 BOX393206:BOY393220 BYT393206:BYU393220 CIP393206:CIQ393220 CSL393206:CSM393220 DCH393206:DCI393220 DMD393206:DME393220 DVZ393206:DWA393220 EFV393206:EFW393220 EPR393206:EPS393220 EZN393206:EZO393220 FJJ393206:FJK393220 FTF393206:FTG393220 GDB393206:GDC393220 GMX393206:GMY393220 GWT393206:GWU393220 HGP393206:HGQ393220 HQL393206:HQM393220 IAH393206:IAI393220 IKD393206:IKE393220 ITZ393206:IUA393220 JDV393206:JDW393220 JNR393206:JNS393220 JXN393206:JXO393220 KHJ393206:KHK393220 KRF393206:KRG393220 LBB393206:LBC393220 LKX393206:LKY393220 LUT393206:LUU393220 MEP393206:MEQ393220 MOL393206:MOM393220 MYH393206:MYI393220 NID393206:NIE393220 NRZ393206:NSA393220 OBV393206:OBW393220 OLR393206:OLS393220 OVN393206:OVO393220 PFJ393206:PFK393220 PPF393206:PPG393220 PZB393206:PZC393220 QIX393206:QIY393220 QST393206:QSU393220 RCP393206:RCQ393220 RML393206:RMM393220 RWH393206:RWI393220 SGD393206:SGE393220 SPZ393206:SQA393220 SZV393206:SZW393220 TJR393206:TJS393220 TTN393206:TTO393220 UDJ393206:UDK393220 UNF393206:UNG393220 UXB393206:UXC393220 VGX393206:VGY393220 VQT393206:VQU393220 WAP393206:WAQ393220 WKL393206:WKM393220 WUH393206:WUI393220 HV458742:HW458756 RR458742:RS458756 ABN458742:ABO458756 ALJ458742:ALK458756 AVF458742:AVG458756 BFB458742:BFC458756 BOX458742:BOY458756 BYT458742:BYU458756 CIP458742:CIQ458756 CSL458742:CSM458756 DCH458742:DCI458756 DMD458742:DME458756 DVZ458742:DWA458756 EFV458742:EFW458756 EPR458742:EPS458756 EZN458742:EZO458756 FJJ458742:FJK458756 FTF458742:FTG458756 GDB458742:GDC458756 GMX458742:GMY458756 GWT458742:GWU458756 HGP458742:HGQ458756 HQL458742:HQM458756 IAH458742:IAI458756 IKD458742:IKE458756 ITZ458742:IUA458756 JDV458742:JDW458756 JNR458742:JNS458756 JXN458742:JXO458756 KHJ458742:KHK458756 KRF458742:KRG458756 LBB458742:LBC458756 LKX458742:LKY458756 LUT458742:LUU458756 MEP458742:MEQ458756 MOL458742:MOM458756 MYH458742:MYI458756 NID458742:NIE458756 NRZ458742:NSA458756 OBV458742:OBW458756 OLR458742:OLS458756 OVN458742:OVO458756 PFJ458742:PFK458756 PPF458742:PPG458756 PZB458742:PZC458756 QIX458742:QIY458756 QST458742:QSU458756 RCP458742:RCQ458756 RML458742:RMM458756 RWH458742:RWI458756 SGD458742:SGE458756 SPZ458742:SQA458756 SZV458742:SZW458756 TJR458742:TJS458756 TTN458742:TTO458756 UDJ458742:UDK458756 UNF458742:UNG458756 UXB458742:UXC458756 VGX458742:VGY458756 VQT458742:VQU458756 WAP458742:WAQ458756 WKL458742:WKM458756 WUH458742:WUI458756 HV524278:HW524292 RR524278:RS524292 ABN524278:ABO524292 ALJ524278:ALK524292 AVF524278:AVG524292 BFB524278:BFC524292 BOX524278:BOY524292 BYT524278:BYU524292 CIP524278:CIQ524292 CSL524278:CSM524292 DCH524278:DCI524292 DMD524278:DME524292 DVZ524278:DWA524292 EFV524278:EFW524292 EPR524278:EPS524292 EZN524278:EZO524292 FJJ524278:FJK524292 FTF524278:FTG524292 GDB524278:GDC524292 GMX524278:GMY524292 GWT524278:GWU524292 HGP524278:HGQ524292 HQL524278:HQM524292 IAH524278:IAI524292 IKD524278:IKE524292 ITZ524278:IUA524292 JDV524278:JDW524292 JNR524278:JNS524292 JXN524278:JXO524292 KHJ524278:KHK524292 KRF524278:KRG524292 LBB524278:LBC524292 LKX524278:LKY524292 LUT524278:LUU524292 MEP524278:MEQ524292 MOL524278:MOM524292 MYH524278:MYI524292 NID524278:NIE524292 NRZ524278:NSA524292 OBV524278:OBW524292 OLR524278:OLS524292 OVN524278:OVO524292 PFJ524278:PFK524292 PPF524278:PPG524292 PZB524278:PZC524292 QIX524278:QIY524292 QST524278:QSU524292 RCP524278:RCQ524292 RML524278:RMM524292 RWH524278:RWI524292 SGD524278:SGE524292 SPZ524278:SQA524292 SZV524278:SZW524292 TJR524278:TJS524292 TTN524278:TTO524292 UDJ524278:UDK524292 UNF524278:UNG524292 UXB524278:UXC524292 VGX524278:VGY524292 VQT524278:VQU524292 WAP524278:WAQ524292 WKL524278:WKM524292 WUH524278:WUI524292 HV589814:HW589828 RR589814:RS589828 ABN589814:ABO589828 ALJ589814:ALK589828 AVF589814:AVG589828 BFB589814:BFC589828 BOX589814:BOY589828 BYT589814:BYU589828 CIP589814:CIQ589828 CSL589814:CSM589828 DCH589814:DCI589828 DMD589814:DME589828 DVZ589814:DWA589828 EFV589814:EFW589828 EPR589814:EPS589828 EZN589814:EZO589828 FJJ589814:FJK589828 FTF589814:FTG589828 GDB589814:GDC589828 GMX589814:GMY589828 GWT589814:GWU589828 HGP589814:HGQ589828 HQL589814:HQM589828 IAH589814:IAI589828 IKD589814:IKE589828 ITZ589814:IUA589828 JDV589814:JDW589828 JNR589814:JNS589828 JXN589814:JXO589828 KHJ589814:KHK589828 KRF589814:KRG589828 LBB589814:LBC589828 LKX589814:LKY589828 LUT589814:LUU589828 MEP589814:MEQ589828 MOL589814:MOM589828 MYH589814:MYI589828 NID589814:NIE589828 NRZ589814:NSA589828 OBV589814:OBW589828 OLR589814:OLS589828 OVN589814:OVO589828 PFJ589814:PFK589828 PPF589814:PPG589828 PZB589814:PZC589828 QIX589814:QIY589828 QST589814:QSU589828 RCP589814:RCQ589828 RML589814:RMM589828 RWH589814:RWI589828 SGD589814:SGE589828 SPZ589814:SQA589828 SZV589814:SZW589828 TJR589814:TJS589828 TTN589814:TTO589828 UDJ589814:UDK589828 UNF589814:UNG589828 UXB589814:UXC589828 VGX589814:VGY589828 VQT589814:VQU589828 WAP589814:WAQ589828 WKL589814:WKM589828 WUH589814:WUI589828 HV655350:HW655364 RR655350:RS655364 ABN655350:ABO655364 ALJ655350:ALK655364 AVF655350:AVG655364 BFB655350:BFC655364 BOX655350:BOY655364 BYT655350:BYU655364 CIP655350:CIQ655364 CSL655350:CSM655364 DCH655350:DCI655364 DMD655350:DME655364 DVZ655350:DWA655364 EFV655350:EFW655364 EPR655350:EPS655364 EZN655350:EZO655364 FJJ655350:FJK655364 FTF655350:FTG655364 GDB655350:GDC655364 GMX655350:GMY655364 GWT655350:GWU655364 HGP655350:HGQ655364 HQL655350:HQM655364 IAH655350:IAI655364 IKD655350:IKE655364 ITZ655350:IUA655364 JDV655350:JDW655364 JNR655350:JNS655364 JXN655350:JXO655364 KHJ655350:KHK655364 KRF655350:KRG655364 LBB655350:LBC655364 LKX655350:LKY655364 LUT655350:LUU655364 MEP655350:MEQ655364 MOL655350:MOM655364 MYH655350:MYI655364 NID655350:NIE655364 NRZ655350:NSA655364 OBV655350:OBW655364 OLR655350:OLS655364 OVN655350:OVO655364 PFJ655350:PFK655364 PPF655350:PPG655364 PZB655350:PZC655364 QIX655350:QIY655364 QST655350:QSU655364 RCP655350:RCQ655364 RML655350:RMM655364 RWH655350:RWI655364 SGD655350:SGE655364 SPZ655350:SQA655364 SZV655350:SZW655364 TJR655350:TJS655364 TTN655350:TTO655364 UDJ655350:UDK655364 UNF655350:UNG655364 UXB655350:UXC655364 VGX655350:VGY655364 VQT655350:VQU655364 WAP655350:WAQ655364 WKL655350:WKM655364 WUH655350:WUI655364 HV720886:HW720900 RR720886:RS720900 ABN720886:ABO720900 ALJ720886:ALK720900 AVF720886:AVG720900 BFB720886:BFC720900 BOX720886:BOY720900 BYT720886:BYU720900 CIP720886:CIQ720900 CSL720886:CSM720900 DCH720886:DCI720900 DMD720886:DME720900 DVZ720886:DWA720900 EFV720886:EFW720900 EPR720886:EPS720900 EZN720886:EZO720900 FJJ720886:FJK720900 FTF720886:FTG720900 GDB720886:GDC720900 GMX720886:GMY720900 GWT720886:GWU720900 HGP720886:HGQ720900 HQL720886:HQM720900 IAH720886:IAI720900 IKD720886:IKE720900 ITZ720886:IUA720900 JDV720886:JDW720900 JNR720886:JNS720900 JXN720886:JXO720900 KHJ720886:KHK720900 KRF720886:KRG720900 LBB720886:LBC720900 LKX720886:LKY720900 LUT720886:LUU720900 MEP720886:MEQ720900 MOL720886:MOM720900 MYH720886:MYI720900 NID720886:NIE720900 NRZ720886:NSA720900 OBV720886:OBW720900 OLR720886:OLS720900 OVN720886:OVO720900 PFJ720886:PFK720900 PPF720886:PPG720900 PZB720886:PZC720900 QIX720886:QIY720900 QST720886:QSU720900 RCP720886:RCQ720900 RML720886:RMM720900 RWH720886:RWI720900 SGD720886:SGE720900 SPZ720886:SQA720900 SZV720886:SZW720900 TJR720886:TJS720900 TTN720886:TTO720900 UDJ720886:UDK720900 UNF720886:UNG720900 UXB720886:UXC720900 VGX720886:VGY720900 VQT720886:VQU720900 WAP720886:WAQ720900 WKL720886:WKM720900 WUH720886:WUI720900 HV786422:HW786436 RR786422:RS786436 ABN786422:ABO786436 ALJ786422:ALK786436 AVF786422:AVG786436 BFB786422:BFC786436 BOX786422:BOY786436 BYT786422:BYU786436 CIP786422:CIQ786436 CSL786422:CSM786436 DCH786422:DCI786436 DMD786422:DME786436 DVZ786422:DWA786436 EFV786422:EFW786436 EPR786422:EPS786436 EZN786422:EZO786436 FJJ786422:FJK786436 FTF786422:FTG786436 GDB786422:GDC786436 GMX786422:GMY786436 GWT786422:GWU786436 HGP786422:HGQ786436 HQL786422:HQM786436 IAH786422:IAI786436 IKD786422:IKE786436 ITZ786422:IUA786436 JDV786422:JDW786436 JNR786422:JNS786436 JXN786422:JXO786436 KHJ786422:KHK786436 KRF786422:KRG786436 LBB786422:LBC786436 LKX786422:LKY786436 LUT786422:LUU786436 MEP786422:MEQ786436 MOL786422:MOM786436 MYH786422:MYI786436 NID786422:NIE786436 NRZ786422:NSA786436 OBV786422:OBW786436 OLR786422:OLS786436 OVN786422:OVO786436 PFJ786422:PFK786436 PPF786422:PPG786436 PZB786422:PZC786436 QIX786422:QIY786436 QST786422:QSU786436 RCP786422:RCQ786436 RML786422:RMM786436 RWH786422:RWI786436 SGD786422:SGE786436 SPZ786422:SQA786436 SZV786422:SZW786436 TJR786422:TJS786436 TTN786422:TTO786436 UDJ786422:UDK786436 UNF786422:UNG786436 UXB786422:UXC786436 VGX786422:VGY786436 VQT786422:VQU786436 WAP786422:WAQ786436 WKL786422:WKM786436 WUH786422:WUI786436 HV851958:HW851972 RR851958:RS851972 ABN851958:ABO851972 ALJ851958:ALK851972 AVF851958:AVG851972 BFB851958:BFC851972 BOX851958:BOY851972 BYT851958:BYU851972 CIP851958:CIQ851972 CSL851958:CSM851972 DCH851958:DCI851972 DMD851958:DME851972 DVZ851958:DWA851972 EFV851958:EFW851972 EPR851958:EPS851972 EZN851958:EZO851972 FJJ851958:FJK851972 FTF851958:FTG851972 GDB851958:GDC851972 GMX851958:GMY851972 GWT851958:GWU851972 HGP851958:HGQ851972 HQL851958:HQM851972 IAH851958:IAI851972 IKD851958:IKE851972 ITZ851958:IUA851972 JDV851958:JDW851972 JNR851958:JNS851972 JXN851958:JXO851972 KHJ851958:KHK851972 KRF851958:KRG851972 LBB851958:LBC851972 LKX851958:LKY851972 LUT851958:LUU851972 MEP851958:MEQ851972 MOL851958:MOM851972 MYH851958:MYI851972 NID851958:NIE851972 NRZ851958:NSA851972 OBV851958:OBW851972 OLR851958:OLS851972 OVN851958:OVO851972 PFJ851958:PFK851972 PPF851958:PPG851972 PZB851958:PZC851972 QIX851958:QIY851972 QST851958:QSU851972 RCP851958:RCQ851972 RML851958:RMM851972 RWH851958:RWI851972 SGD851958:SGE851972 SPZ851958:SQA851972 SZV851958:SZW851972 TJR851958:TJS851972 TTN851958:TTO851972 UDJ851958:UDK851972 UNF851958:UNG851972 UXB851958:UXC851972 VGX851958:VGY851972 VQT851958:VQU851972 WAP851958:WAQ851972 WKL851958:WKM851972 WUH851958:WUI851972 HV917494:HW917508 RR917494:RS917508 ABN917494:ABO917508 ALJ917494:ALK917508 AVF917494:AVG917508 BFB917494:BFC917508 BOX917494:BOY917508 BYT917494:BYU917508 CIP917494:CIQ917508 CSL917494:CSM917508 DCH917494:DCI917508 DMD917494:DME917508 DVZ917494:DWA917508 EFV917494:EFW917508 EPR917494:EPS917508 EZN917494:EZO917508 FJJ917494:FJK917508 FTF917494:FTG917508 GDB917494:GDC917508 GMX917494:GMY917508 GWT917494:GWU917508 HGP917494:HGQ917508 HQL917494:HQM917508 IAH917494:IAI917508 IKD917494:IKE917508 ITZ917494:IUA917508 JDV917494:JDW917508 JNR917494:JNS917508 JXN917494:JXO917508 KHJ917494:KHK917508 KRF917494:KRG917508 LBB917494:LBC917508 LKX917494:LKY917508 LUT917494:LUU917508 MEP917494:MEQ917508 MOL917494:MOM917508 MYH917494:MYI917508 NID917494:NIE917508 NRZ917494:NSA917508 OBV917494:OBW917508 OLR917494:OLS917508 OVN917494:OVO917508 PFJ917494:PFK917508 PPF917494:PPG917508 PZB917494:PZC917508 QIX917494:QIY917508 QST917494:QSU917508 RCP917494:RCQ917508 RML917494:RMM917508 RWH917494:RWI917508 SGD917494:SGE917508 SPZ917494:SQA917508 SZV917494:SZW917508 TJR917494:TJS917508 TTN917494:TTO917508 UDJ917494:UDK917508 UNF917494:UNG917508 UXB917494:UXC917508 VGX917494:VGY917508 VQT917494:VQU917508 WAP917494:WAQ917508 WKL917494:WKM917508 WUH917494:WUI917508 HV983030:HW983044 RR983030:RS983044 ABN983030:ABO983044 ALJ983030:ALK983044 AVF983030:AVG983044 BFB983030:BFC983044 BOX983030:BOY983044 BYT983030:BYU983044 CIP983030:CIQ983044 CSL983030:CSM983044 DCH983030:DCI983044 DMD983030:DME983044 DVZ983030:DWA983044 EFV983030:EFW983044 EPR983030:EPS983044 EZN983030:EZO983044 FJJ983030:FJK983044 FTF983030:FTG983044 GDB983030:GDC983044 GMX983030:GMY983044 GWT983030:GWU983044 HGP983030:HGQ983044 HQL983030:HQM983044 IAH983030:IAI983044 IKD983030:IKE983044 ITZ983030:IUA983044 JDV983030:JDW983044 JNR983030:JNS983044 JXN983030:JXO983044 KHJ983030:KHK983044 KRF983030:KRG983044 LBB983030:LBC983044 LKX983030:LKY983044 LUT983030:LUU983044 MEP983030:MEQ983044 MOL983030:MOM983044 MYH983030:MYI983044 NID983030:NIE983044 NRZ983030:NSA983044 OBV983030:OBW983044 OLR983030:OLS983044 OVN983030:OVO983044 PFJ983030:PFK983044 PPF983030:PPG983044 PZB983030:PZC983044 QIX983030:QIY983044 QST983030:QSU983044 RCP983030:RCQ983044 RML983030:RMM983044 RWH983030:RWI983044 SGD983030:SGE983044 SPZ983030:SQA983044 SZV983030:SZW983044 TJR983030:TJS983044 TTN983030:TTO983044 UDJ983030:UDK983044 UNF983030:UNG983044 UXB983030:UXC983044 VGX983030:VGY983044 VQT983030:VQU983044 WAP983030:WAQ983044 WKL983030:WKM983044 HV6:HW11 WUH6:WUI11 WKL6:WKM11 WAP6:WAQ11 VQT6:VQU11 VGX6:VGY11 UXB6:UXC11 UNF6:UNG11 UDJ6:UDK11 TTN6:TTO11 TJR6:TJS11 SZV6:SZW11 SPZ6:SQA11 SGD6:SGE11 RWH6:RWI11 RML6:RMM11 RCP6:RCQ11 QST6:QSU11 QIX6:QIY11 PZB6:PZC11 PPF6:PPG11 PFJ6:PFK11 OVN6:OVO11 OLR6:OLS11 OBV6:OBW11 NRZ6:NSA11 NID6:NIE11 MYH6:MYI11 MOL6:MOM11 MEP6:MEQ11 LUT6:LUU11 LKX6:LKY11 LBB6:LBC11 KRF6:KRG11 KHJ6:KHK11 JXN6:JXO11 JNR6:JNS11 JDV6:JDW11 ITZ6:IUA11 IKD6:IKE11 IAH6:IAI11 HQL6:HQM11 HGP6:HGQ11 GWT6:GWU11 GMX6:GMY11 GDB6:GDC11 FTF6:FTG11 FJJ6:FJK11 EZN6:EZO11 EPR6:EPS11 EFV6:EFW11 DVZ6:DWA11 DMD6:DME11 DCH6:DCI11 CSL6:CSM11 CIP6:CIQ11 BYT6:BYU11 BOX6:BOY11 BFB6:BFC11 AVF6:AVG11 ALJ6:ALK11 ABN6:ABO11 RR6:RS11"/>
  </dataValidations>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EVCTUWYQZQYC-538864054-23877</_dlc_DocId>
    <_dlc_DocIdUrl xmlns="276bdb53-d102-4a67-8437-273e78fbb7dc">
      <Url>https://mitsubishielectricgroup.sharepoint.com/sites/009989/_layouts/15/DocIdRedir.aspx?ID=EVCTUWYQZQYC-538864054-23877</Url>
      <Description>EVCTUWYQZQYC-538864054-23877</Description>
    </_dlc_DocIdUrl>
  </documentManagement>
</p:properties>
</file>

<file path=customXml/itemProps1.xml><?xml version="1.0" encoding="utf-8"?>
<ds:datastoreItem xmlns:ds="http://schemas.openxmlformats.org/officeDocument/2006/customXml" ds:itemID="{00694A39-64E6-47F4-8A9A-EEB73B3F3822}"/>
</file>

<file path=customXml/itemProps2.xml><?xml version="1.0" encoding="utf-8"?>
<ds:datastoreItem xmlns:ds="http://schemas.openxmlformats.org/officeDocument/2006/customXml" ds:itemID="{4CB871C7-504D-4C7B-A226-99BC24DFB222}"/>
</file>

<file path=customXml/itemProps3.xml><?xml version="1.0" encoding="utf-8"?>
<ds:datastoreItem xmlns:ds="http://schemas.openxmlformats.org/officeDocument/2006/customXml" ds:itemID="{C75E6A46-B30D-4329-8DD6-78E35DE00AA7}"/>
</file>

<file path=customXml/itemProps4.xml><?xml version="1.0" encoding="utf-8"?>
<ds:datastoreItem xmlns:ds="http://schemas.openxmlformats.org/officeDocument/2006/customXml" ds:itemID="{F873784F-1673-4C0B-9564-1A27FEDE17F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29</vt:i4>
      </vt:variant>
    </vt:vector>
  </HeadingPairs>
  <TitlesOfParts>
    <vt:vector size="37" baseType="lpstr">
      <vt:lpstr>表紙</vt:lpstr>
      <vt:lpstr>来歴</vt:lpstr>
      <vt:lpstr>承認票</vt:lpstr>
      <vt:lpstr>レビュー記録</vt:lpstr>
      <vt:lpstr>機能概要</vt:lpstr>
      <vt:lpstr>処理フロー</vt:lpstr>
      <vt:lpstr>処理詳細</vt:lpstr>
      <vt:lpstr>電文項目仕様</vt:lpstr>
      <vt:lpstr>レビュー記録!Print_Area</vt:lpstr>
      <vt:lpstr>処理フロー!Print_Area</vt:lpstr>
      <vt:lpstr>処理詳細!Print_Area</vt:lpstr>
      <vt:lpstr>承認票!Print_Area</vt:lpstr>
      <vt:lpstr>電文項目仕様!Print_Area</vt:lpstr>
      <vt:lpstr>表紙!Print_Area</vt:lpstr>
      <vt:lpstr>来歴!Print_Area</vt:lpstr>
      <vt:lpstr>レビュー記録!Print_Titles</vt:lpstr>
      <vt:lpstr>機能概要!Print_Titles</vt:lpstr>
      <vt:lpstr>処理フロー!Print_Titles</vt:lpstr>
      <vt:lpstr>処理詳細!Print_Titles</vt:lpstr>
      <vt:lpstr>承認票!Print_Titles</vt:lpstr>
      <vt:lpstr>電文項目仕様!Print_Titles</vt:lpstr>
      <vt:lpstr>来歴!Print_Titles</vt:lpstr>
      <vt:lpstr>Rev</vt:lpstr>
      <vt:lpstr>Version</vt:lpstr>
      <vt:lpstr>サブシステム</vt:lpstr>
      <vt:lpstr>システム</vt:lpstr>
      <vt:lpstr>プロジェクト名</vt:lpstr>
      <vt:lpstr>機能ID</vt:lpstr>
      <vt:lpstr>機能名</vt:lpstr>
      <vt:lpstr>顧客名</vt:lpstr>
      <vt:lpstr>作成者</vt:lpstr>
      <vt:lpstr>作成日</vt:lpstr>
      <vt:lpstr>修正者</vt:lpstr>
      <vt:lpstr>修正日</vt:lpstr>
      <vt:lpstr>分類ID</vt:lpstr>
      <vt:lpstr>分類名</vt:lpstr>
      <vt:lpstr>文書番号</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Itou Keita</cp:lastModifiedBy>
  <cp:lastPrinted>2017-09-25T04:06:39Z</cp:lastPrinted>
  <dcterms:created xsi:type="dcterms:W3CDTF">1997-01-08T22:48:59Z</dcterms:created>
  <dcterms:modified xsi:type="dcterms:W3CDTF">2019-05-16T04:39:28Z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2ba2c005-5b9f-4e3e-8e38-e918ce0fa6d4</vt:lpwstr>
  </property>
</Properties>
</file>