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"/>
    </mc:Choice>
  </mc:AlternateContent>
  <xr:revisionPtr revIDLastSave="0" documentId="13_ncr:1_{ACFA0B9F-D428-4CD1-B14B-861B88A53E13}" xr6:coauthVersionLast="47" xr6:coauthVersionMax="47" xr10:uidLastSave="{00000000-0000-0000-0000-000000000000}"/>
  <bookViews>
    <workbookView xWindow="1170" yWindow="1170" windowWidth="19800" windowHeight="14355" tabRatio="585" firstSheet="1" activeTab="7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画面イメージ" sheetId="142" r:id="rId5"/>
    <sheet name="項目説明" sheetId="137" r:id="rId6"/>
    <sheet name="処理概要" sheetId="138" r:id="rId7"/>
    <sheet name="処理詳細" sheetId="150" r:id="rId8"/>
    <sheet name="画面項目制御" sheetId="151" r:id="rId9"/>
    <sheet name="処理・サービス関連図" sheetId="143" r:id="rId10"/>
    <sheet name="検索入出力仕様" sheetId="144" r:id="rId11"/>
    <sheet name="ファイル入出力仕様" sheetId="145" state="hidden" r:id="rId12"/>
    <sheet name="更新入出力仕様" sheetId="146" r:id="rId13"/>
    <sheet name="画面遷移" sheetId="148" r:id="rId14"/>
    <sheet name="メッセージ一覧" sheetId="149" r:id="rId15"/>
  </sheets>
  <definedNames>
    <definedName name="_xlnm._FilterDatabase" localSheetId="12">更新入出力仕様!#REF!</definedName>
    <definedName name="_xlnm._FilterDatabase" localSheetId="5">項目説明!#REF!</definedName>
    <definedName name="_xlnm.Print_Area" localSheetId="11">ファイル入出力仕様!$A$1:$BK$26</definedName>
    <definedName name="_xlnm.Print_Area" localSheetId="14">メッセージ一覧!$A$1:$BK$30</definedName>
    <definedName name="_xlnm.Print_Area" localSheetId="4">画面イメージ!$A$1:$CL$68</definedName>
    <definedName name="_xlnm.Print_Area" localSheetId="13">画面遷移!$A$1:$CH$37</definedName>
    <definedName name="_xlnm.Print_Area" localSheetId="3">概要!$A$1:$CH$96</definedName>
    <definedName name="_xlnm.Print_Area" localSheetId="10">検索入出力仕様!$A$1:$BK$27</definedName>
    <definedName name="_xlnm.Print_Area" localSheetId="12">更新入出力仕様!$A$1:$BK$29</definedName>
    <definedName name="_xlnm.Print_Area" localSheetId="5">項目説明!$A$1:$BK$45</definedName>
    <definedName name="_xlnm.Print_Area" localSheetId="9">処理・サービス関連図!$A$1:$BK$30</definedName>
    <definedName name="_xlnm.Print_Area" localSheetId="6">処理概要!$A$1:$BK$56</definedName>
    <definedName name="_xlnm.Print_Area" localSheetId="7">処理詳細!$A$1:$BK$162</definedName>
    <definedName name="_xlnm.Print_Area" localSheetId="1">表紙!$A$1:$AV$45</definedName>
    <definedName name="_xlnm.Print_Titles" localSheetId="11">ファイル入出力仕様!$1:$4</definedName>
    <definedName name="_xlnm.Print_Titles" localSheetId="14">メッセージ一覧!$1:$3</definedName>
    <definedName name="_xlnm.Print_Titles" localSheetId="4">画面イメージ!$1:$4</definedName>
    <definedName name="_xlnm.Print_Titles" localSheetId="13">画面遷移!$1:$4</definedName>
    <definedName name="_xlnm.Print_Titles" localSheetId="3">概要!$1:$4</definedName>
    <definedName name="_xlnm.Print_Titles" localSheetId="10">検索入出力仕様!$1:$4</definedName>
    <definedName name="_xlnm.Print_Titles" localSheetId="12">更新入出力仕様!$1:$4</definedName>
    <definedName name="_xlnm.Print_Titles" localSheetId="5">項目説明!$1:$4</definedName>
    <definedName name="_xlnm.Print_Titles" localSheetId="9">処理・サービス関連図!$1:$4</definedName>
    <definedName name="_xlnm.Print_Titles" localSheetId="6">処理概要!$1:$4</definedName>
    <definedName name="_xlnm.Print_Titles" localSheetId="7">処理詳細!$1:$4</definedName>
    <definedName name="Rev.">表紙!$U$22</definedName>
    <definedName name="Ver.">表紙!$AE$26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50" l="1"/>
  <c r="K3" i="150"/>
  <c r="BF2" i="150"/>
  <c r="AZ2" i="150"/>
  <c r="AS2" i="150"/>
  <c r="AJ2" i="150"/>
  <c r="Z2" i="150"/>
  <c r="AJ1" i="150"/>
  <c r="Z1" i="150"/>
  <c r="A1" i="150"/>
  <c r="O3" i="98"/>
  <c r="AE3" i="149"/>
  <c r="K3" i="149"/>
  <c r="AZ2" i="149"/>
  <c r="AS2" i="149"/>
  <c r="AJ2" i="149"/>
  <c r="Z2" i="149"/>
  <c r="AJ1" i="149"/>
  <c r="Z1" i="149"/>
  <c r="A1" i="149"/>
  <c r="AE3" i="148"/>
  <c r="K3" i="148"/>
  <c r="AZ2" i="148"/>
  <c r="AS2" i="148"/>
  <c r="AJ2" i="148"/>
  <c r="Z2" i="148"/>
  <c r="AJ1" i="148"/>
  <c r="Z1" i="148"/>
  <c r="A1" i="148"/>
  <c r="AE3" i="146" l="1"/>
  <c r="K3" i="146"/>
  <c r="AZ2" i="146"/>
  <c r="AS2" i="146"/>
  <c r="AJ2" i="146"/>
  <c r="Z2" i="146"/>
  <c r="AJ1" i="146"/>
  <c r="Z1" i="146"/>
  <c r="A1" i="146"/>
  <c r="AE3" i="145" l="1"/>
  <c r="AZ2" i="145"/>
  <c r="AS2" i="145"/>
  <c r="AJ2" i="145"/>
  <c r="Z2" i="145"/>
  <c r="AJ1" i="145"/>
  <c r="Z1" i="145"/>
  <c r="A1" i="145"/>
  <c r="AE3" i="144"/>
  <c r="AZ2" i="144"/>
  <c r="AS2" i="144"/>
  <c r="AJ2" i="144"/>
  <c r="Z2" i="144"/>
  <c r="AJ1" i="144"/>
  <c r="Z1" i="144"/>
  <c r="AE3" i="143"/>
  <c r="AZ2" i="143"/>
  <c r="AS2" i="143"/>
  <c r="AJ2" i="143"/>
  <c r="Z2" i="143"/>
  <c r="AJ1" i="143"/>
  <c r="Z1" i="143"/>
  <c r="A1" i="143"/>
  <c r="A1" i="144"/>
  <c r="K3" i="145"/>
  <c r="K3" i="144"/>
  <c r="K3" i="143"/>
  <c r="AE3" i="142" l="1"/>
  <c r="AZ2" i="142"/>
  <c r="AS2" i="142"/>
  <c r="AJ2" i="142"/>
  <c r="Z2" i="142"/>
  <c r="AJ1" i="142"/>
  <c r="Z1" i="142"/>
  <c r="A1" i="142"/>
  <c r="K3" i="142" l="1"/>
  <c r="U32" i="106" l="1"/>
  <c r="Z60" i="106" l="1"/>
  <c r="AJ65" i="106" s="1"/>
  <c r="Z3" i="150" l="1"/>
  <c r="Z3" i="149"/>
  <c r="Z3" i="148"/>
  <c r="Z3" i="146"/>
  <c r="Z3" i="143"/>
  <c r="Z3" i="145"/>
  <c r="Z3" i="144"/>
  <c r="Z3" i="142"/>
  <c r="U30" i="106"/>
  <c r="AZ2" i="138" l="1"/>
  <c r="A1" i="138"/>
  <c r="AZ2" i="137"/>
  <c r="A1" i="137"/>
  <c r="K3" i="138" l="1"/>
  <c r="K3" i="137"/>
  <c r="A1" i="98" l="1"/>
  <c r="BU2" i="98" l="1"/>
  <c r="BJ1" i="107" l="1"/>
  <c r="O65" i="106"/>
  <c r="CB64" i="106" a="1"/>
  <c r="CB64" i="106" s="1"/>
  <c r="AE60" i="106"/>
  <c r="AQ65" i="106" s="1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K2" i="150" s="1"/>
  <c r="AJ58" i="106"/>
  <c r="AX63" i="106" s="1"/>
  <c r="Z58" i="106"/>
  <c r="AJ63" i="106" s="1"/>
  <c r="A58" i="106"/>
  <c r="A63" i="106" s="1"/>
  <c r="U22" i="106" a="1"/>
  <c r="U22" i="106" s="1"/>
  <c r="BF2" i="149" l="1"/>
  <c r="BF2" i="148"/>
  <c r="BF2" i="146"/>
  <c r="BF2" i="145"/>
  <c r="BF2" i="143"/>
  <c r="BF2" i="144"/>
  <c r="BF2" i="142"/>
  <c r="BF2" i="138"/>
  <c r="BF2" i="137"/>
  <c r="K2" i="149"/>
  <c r="K2" i="148"/>
  <c r="K2" i="146"/>
  <c r="K2" i="145"/>
  <c r="K2" i="144"/>
  <c r="K2" i="143"/>
  <c r="K2" i="142"/>
  <c r="K2" i="137"/>
  <c r="K2" i="138"/>
  <c r="Z1" i="137"/>
  <c r="Z1" i="138"/>
  <c r="AJ1" i="138"/>
  <c r="AJ1" i="137"/>
  <c r="AE3" i="137"/>
  <c r="AE3" i="138"/>
  <c r="AQ3" i="98"/>
  <c r="Z3" i="138"/>
  <c r="Z3" i="137"/>
  <c r="Z2" i="137"/>
  <c r="Z2" i="138"/>
  <c r="AJ2" i="137"/>
  <c r="AJ2" i="138"/>
  <c r="AS2" i="138"/>
  <c r="AS2" i="137"/>
  <c r="BL2" i="98"/>
  <c r="AJ2" i="98"/>
  <c r="AX1" i="98"/>
  <c r="AJ3" i="98"/>
  <c r="BP2" i="107"/>
  <c r="CB2" i="98"/>
  <c r="AX2" i="98"/>
  <c r="AJ1" i="98"/>
  <c r="O2" i="9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AJ9" authorId="0" shapeId="0" xr:uid="{31BCCDE2-29AC-44EE-B40C-94EF1F6D3B03}">
      <text>
        <r>
          <rPr>
            <b/>
            <sz val="9"/>
            <color indexed="81"/>
            <rFont val="MS P ゴシック"/>
            <family val="3"/>
            <charset val="128"/>
          </rPr>
          <t>大分類見出し：緑
項目見出し：グレー</t>
        </r>
      </text>
    </comment>
    <comment ref="AP11" authorId="0" shapeId="0" xr:uid="{734B8069-B433-495C-B947-27B8DAA24D6E}">
      <text>
        <r>
          <rPr>
            <b/>
            <sz val="9"/>
            <color indexed="81"/>
            <rFont val="MS P ゴシック"/>
            <family val="3"/>
            <charset val="128"/>
          </rPr>
          <t>入力項目：黄色
表示項目：白
ピンク：必須項目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79FA4689-D133-4FF4-800A-D63284BD9D65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9ED21775-B33D-485B-8888-CDB5E37A9351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7059AF31-B361-40B0-92BD-767A17408895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9D8AF1B6-810B-472B-8ADE-1A8E1343405E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Itou Keita</author>
    <author>Nakanishi Kazunori</author>
  </authors>
  <commentList>
    <comment ref="D6" authorId="0" shapeId="0" xr:uid="{7085A394-99CE-4F45-A1B0-0177933DBD7A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1" shapeId="0" xr:uid="{DE696314-44A0-46BD-8A7C-89DBB6F26A3B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X8" authorId="1" shapeId="0" xr:uid="{06E1A381-45EC-46CA-8A80-8F717643A1B2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3269C7E6-72FD-41AA-BEA0-B75991CD43F3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A8D853EB-5966-49CC-A91E-B58CD1281CA7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5F31954F-99B2-42EA-BBFA-60E3E3526C2C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X8" authorId="2" shapeId="0" xr:uid="{0DCE357C-2750-4CFE-AE43-BD27423CB359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365493FB-20C3-452B-A8FC-E0BADC4438ED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3A80E9F7-E8D9-47E7-8813-B19E050B2EAF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21C1484B-338C-4ADC-B361-3E2EAB35FC9A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2509C85A-C04D-449F-A0B8-67E983B98336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Y12" authorId="0" shapeId="0" xr:uid="{929D8F2C-CFA5-4B5C-9645-007D34112C82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13" authorId="1" shapeId="0" xr:uid="{FC4BC50C-B7E7-4E26-AE5C-4D90FA371654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15" authorId="2" shapeId="0" xr:uid="{98D959E9-140B-4DCC-B137-44B557537879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15" authorId="2" shapeId="0" xr:uid="{1D10F894-20B9-4557-ACF5-66C1C806E580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<sst xmlns="http://schemas.openxmlformats.org/spreadsheetml/2006/main" count="1730" uniqueCount="806">
  <si>
    <t>アドオン設計書作成ガイド</t>
    <rPh sb="4" eb="7">
      <t>セッケイショ</t>
    </rPh>
    <rPh sb="7" eb="9">
      <t>サクセイ</t>
    </rPh>
    <phoneticPr fontId="72"/>
  </si>
  <si>
    <t>■アドオン設計と成果物について</t>
    <rPh sb="5" eb="7">
      <t>セッケイ</t>
    </rPh>
    <rPh sb="8" eb="11">
      <t>セイカブツ</t>
    </rPh>
    <phoneticPr fontId="72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</si>
  <si>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2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</si>
  <si>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2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</si>
  <si>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2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</si>
  <si>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2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</si>
  <si>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2"/>
  </si>
  <si>
    <t>◎</t>
  </si>
  <si>
    <t>…</t>
  </si>
  <si>
    <t>システム設計フェーズで作成</t>
    <rPh sb="4" eb="6">
      <t>セッケイ</t>
    </rPh>
    <rPh sb="11" eb="13">
      <t>サクセイ</t>
    </rPh>
    <phoneticPr fontId="9"/>
  </si>
  <si>
    <t>○</t>
    <phoneticPr fontId="72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</si>
  <si>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9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</si>
  <si>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</si>
  <si>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9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</si>
  <si>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</si>
  <si>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</si>
  <si>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9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</si>
  <si>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2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</si>
  <si>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2"/>
  </si>
  <si>
    <t>EXCELシート</t>
    <phoneticPr fontId="72"/>
  </si>
  <si>
    <t>画面設計書</t>
    <rPh sb="0" eb="2">
      <t>ガメン</t>
    </rPh>
    <rPh sb="2" eb="5">
      <t>セッケイショ</t>
    </rPh>
    <phoneticPr fontId="9"/>
  </si>
  <si>
    <t>バッチ設計書</t>
    <rPh sb="3" eb="6">
      <t>セッケイショ</t>
    </rPh>
    <phoneticPr fontId="9"/>
  </si>
  <si>
    <t>帳票設計書</t>
    <rPh sb="0" eb="2">
      <t>チョウヒョウ</t>
    </rPh>
    <rPh sb="2" eb="5">
      <t>セッケイショ</t>
    </rPh>
    <phoneticPr fontId="9"/>
  </si>
  <si>
    <t>ＢＩ設計書</t>
    <rPh sb="2" eb="5">
      <t>セッケイショ</t>
    </rPh>
    <phoneticPr fontId="9"/>
  </si>
  <si>
    <t>.Net設計書</t>
    <rPh sb="4" eb="7">
      <t>セッケイショ</t>
    </rPh>
    <phoneticPr fontId="9"/>
  </si>
  <si>
    <t>WebDB設計書</t>
    <rPh sb="5" eb="8">
      <t>セッケイショ</t>
    </rPh>
    <phoneticPr fontId="9"/>
  </si>
  <si>
    <t>帳票設計書</t>
    <rPh sb="0" eb="2">
      <t>チョウヒョウ</t>
    </rPh>
    <rPh sb="2" eb="5">
      <t>セッケイショ</t>
    </rPh>
    <phoneticPr fontId="72"/>
  </si>
  <si>
    <t>汎用申請設計書</t>
    <rPh sb="4" eb="7">
      <t>セッケイショ</t>
    </rPh>
    <phoneticPr fontId="9"/>
  </si>
  <si>
    <t>カスタマイズ</t>
    <phoneticPr fontId="9"/>
  </si>
  <si>
    <t>アドオン</t>
    <phoneticPr fontId="9"/>
  </si>
  <si>
    <t>アドオン</t>
    <phoneticPr fontId="72"/>
  </si>
  <si>
    <t>概要</t>
    <rPh sb="0" eb="2">
      <t>ガイヨウ</t>
    </rPh>
    <phoneticPr fontId="9"/>
  </si>
  <si>
    <t>◎</t>
    <phoneticPr fontId="9"/>
  </si>
  <si>
    <t>※1</t>
    <phoneticPr fontId="72"/>
  </si>
  <si>
    <t>機能概要</t>
  </si>
  <si>
    <t>◎</t>
    <phoneticPr fontId="72"/>
  </si>
  <si>
    <t>レイアウト</t>
    <phoneticPr fontId="9"/>
  </si>
  <si>
    <t>※2</t>
    <phoneticPr fontId="72"/>
  </si>
  <si>
    <t>‐</t>
    <phoneticPr fontId="9"/>
  </si>
  <si>
    <t>アプリケーションフロー</t>
  </si>
  <si>
    <t>ー</t>
    <phoneticPr fontId="72"/>
  </si>
  <si>
    <t>項目説明</t>
    <rPh sb="0" eb="2">
      <t>コウモク</t>
    </rPh>
    <rPh sb="2" eb="4">
      <t>セツメイ</t>
    </rPh>
    <phoneticPr fontId="9"/>
  </si>
  <si>
    <t>△</t>
    <phoneticPr fontId="9"/>
  </si>
  <si>
    <t>○</t>
    <phoneticPr fontId="9"/>
  </si>
  <si>
    <t>データベース設定</t>
  </si>
  <si>
    <t>引数説明</t>
    <rPh sb="0" eb="2">
      <t>ヒキスウ</t>
    </rPh>
    <rPh sb="2" eb="4">
      <t>セツメイ</t>
    </rPh>
    <phoneticPr fontId="9"/>
  </si>
  <si>
    <t>フィールド設定</t>
  </si>
  <si>
    <t>処理概要</t>
    <rPh sb="0" eb="2">
      <t>ショリ</t>
    </rPh>
    <rPh sb="2" eb="4">
      <t>ガイヨウ</t>
    </rPh>
    <phoneticPr fontId="72"/>
  </si>
  <si>
    <t>一覧表示画面設定</t>
  </si>
  <si>
    <t>処理詳細</t>
    <rPh sb="0" eb="2">
      <t>ショリ</t>
    </rPh>
    <rPh sb="2" eb="4">
      <t>ショウサイ</t>
    </rPh>
    <phoneticPr fontId="9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</si>
  <si>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</si>
  <si>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9"/>
  </si>
  <si>
    <t>明細画面設定</t>
  </si>
  <si>
    <t>△</t>
    <phoneticPr fontId="72"/>
  </si>
  <si>
    <t>※3</t>
    <phoneticPr fontId="72"/>
  </si>
  <si>
    <t>検索入出力仕様</t>
    <rPh sb="0" eb="2">
      <t>ケンサク</t>
    </rPh>
    <rPh sb="2" eb="5">
      <t>ニュウシュツリョク</t>
    </rPh>
    <rPh sb="5" eb="7">
      <t>シヨウ</t>
    </rPh>
    <phoneticPr fontId="9"/>
  </si>
  <si>
    <t>集計表示設定</t>
    <phoneticPr fontId="72"/>
  </si>
  <si>
    <t>※4</t>
    <phoneticPr fontId="72"/>
  </si>
  <si>
    <t>更新入出力仕様</t>
    <rPh sb="0" eb="2">
      <t>コウシン</t>
    </rPh>
    <rPh sb="2" eb="5">
      <t>ニュウシュツリョク</t>
    </rPh>
    <rPh sb="5" eb="7">
      <t>シヨウ</t>
    </rPh>
    <phoneticPr fontId="9"/>
  </si>
  <si>
    <t>絞り込み条件設定</t>
  </si>
  <si>
    <t>※5</t>
    <phoneticPr fontId="72"/>
  </si>
  <si>
    <t>ファイル入出力仕様</t>
    <rPh sb="4" eb="7">
      <t>ニュウシュツリョク</t>
    </rPh>
    <rPh sb="7" eb="9">
      <t>シヨウ</t>
    </rPh>
    <phoneticPr fontId="9"/>
  </si>
  <si>
    <t>その他設定</t>
  </si>
  <si>
    <t>画面遷移</t>
    <rPh sb="0" eb="2">
      <t>ガメン</t>
    </rPh>
    <rPh sb="2" eb="4">
      <t>センイ</t>
    </rPh>
    <phoneticPr fontId="9"/>
  </si>
  <si>
    <t>帳票イメージ</t>
    <rPh sb="0" eb="2">
      <t>チョウヒョウ</t>
    </rPh>
    <phoneticPr fontId="72"/>
  </si>
  <si>
    <t>メッセージ一覧</t>
    <rPh sb="5" eb="7">
      <t>イチラン</t>
    </rPh>
    <phoneticPr fontId="9"/>
  </si>
  <si>
    <t>項目設計</t>
    <rPh sb="0" eb="2">
      <t>コウモク</t>
    </rPh>
    <rPh sb="2" eb="4">
      <t>セッケイ</t>
    </rPh>
    <phoneticPr fontId="72"/>
  </si>
  <si>
    <t>補足説明</t>
    <rPh sb="0" eb="4">
      <t>ホソクセツメイ</t>
    </rPh>
    <phoneticPr fontId="9"/>
  </si>
  <si>
    <t>補足説明</t>
    <phoneticPr fontId="72"/>
  </si>
  <si>
    <t>サービス呼出編集仕様</t>
    <rPh sb="4" eb="6">
      <t>ヨビダシ</t>
    </rPh>
    <rPh sb="6" eb="8">
      <t>ヘンシュウ</t>
    </rPh>
    <rPh sb="8" eb="10">
      <t>シヨウ</t>
    </rPh>
    <phoneticPr fontId="9"/>
  </si>
  <si>
    <t>-</t>
    <phoneticPr fontId="9"/>
  </si>
  <si>
    <t>-</t>
    <phoneticPr fontId="72"/>
  </si>
  <si>
    <t>補足説明(詳細)</t>
    <rPh sb="5" eb="7">
      <t>ショウサイ</t>
    </rPh>
    <phoneticPr fontId="72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</si>
  <si>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2"/>
  </si>
  <si>
    <t>単票画面は記載しない</t>
    <rPh sb="0" eb="2">
      <t>タンピョウ</t>
    </rPh>
    <rPh sb="2" eb="4">
      <t>ガメン</t>
    </rPh>
    <rPh sb="5" eb="7">
      <t>キサイ</t>
    </rPh>
    <phoneticPr fontId="72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</si>
  <si>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2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</si>
  <si>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2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</si>
  <si>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2"/>
  </si>
  <si>
    <t>サブモジュール</t>
    <phoneticPr fontId="9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</si>
  <si>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</si>
  <si>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</si>
  <si>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</si>
  <si>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</si>
  <si>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9"/>
  </si>
  <si>
    <t>MSBB_販売管理</t>
  </si>
  <si>
    <t>MSBC_生産管理</t>
  </si>
  <si>
    <t>MSBD_購買管理</t>
  </si>
  <si>
    <t>アドオン設計書</t>
    <phoneticPr fontId="9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</si>
  <si>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</si>
  <si>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</si>
  <si>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</si>
  <si>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</si>
  <si>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</si>
  <si>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</si>
  <si>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9"/>
  </si>
  <si>
    <t>株式会社クラウン・パッケージ</t>
    <rPh sb="0" eb="4">
      <t>カブシキガイシャ</t>
    </rPh>
    <phoneticPr fontId="9"/>
  </si>
  <si>
    <t>PF_ESBアダプタ</t>
  </si>
  <si>
    <t>プロジェクト名</t>
    <rPh sb="6" eb="7">
      <t>メイ</t>
    </rPh>
    <phoneticPr fontId="9"/>
  </si>
  <si>
    <t>基幹システム刷新PJ</t>
    <rPh sb="0" eb="2">
      <t>キカン</t>
    </rPh>
    <rPh sb="6" eb="8">
      <t>サッシン</t>
    </rPh>
    <phoneticPr fontId="9"/>
  </si>
  <si>
    <t>機能区分</t>
    <rPh sb="0" eb="2">
      <t>キノウ</t>
    </rPh>
    <rPh sb="2" eb="4">
      <t>クブン</t>
    </rPh>
    <phoneticPr fontId="9"/>
  </si>
  <si>
    <t>画面</t>
    <rPh sb="0" eb="2">
      <t>ガメン</t>
    </rPh>
    <phoneticPr fontId="9"/>
  </si>
  <si>
    <t>文書番号</t>
    <rPh sb="0" eb="2">
      <t>ブンショ</t>
    </rPh>
    <rPh sb="2" eb="4">
      <t>バンゴウ</t>
    </rPh>
    <phoneticPr fontId="9"/>
  </si>
  <si>
    <t>帳票</t>
    <rPh sb="0" eb="2">
      <t>チョウヒョウ</t>
    </rPh>
    <phoneticPr fontId="9"/>
  </si>
  <si>
    <t>バッチ</t>
    <phoneticPr fontId="9"/>
  </si>
  <si>
    <t>Ｒｅｖ．</t>
    <phoneticPr fontId="9"/>
  </si>
  <si>
    <t>マスタ</t>
    <phoneticPr fontId="9"/>
  </si>
  <si>
    <t>機密性区分</t>
    <rPh sb="0" eb="2">
      <t>キミツ</t>
    </rPh>
    <rPh sb="2" eb="3">
      <t>セイ</t>
    </rPh>
    <rPh sb="3" eb="5">
      <t>クブン</t>
    </rPh>
    <phoneticPr fontId="9"/>
  </si>
  <si>
    <t>取扱注意（Ｃ）</t>
    <rPh sb="0" eb="2">
      <t>トリアツカ</t>
    </rPh>
    <rPh sb="2" eb="4">
      <t>チュウイ</t>
    </rPh>
    <phoneticPr fontId="9"/>
  </si>
  <si>
    <t>開発区分</t>
    <rPh sb="0" eb="2">
      <t>カイハツ</t>
    </rPh>
    <rPh sb="2" eb="4">
      <t>クブン</t>
    </rPh>
    <phoneticPr fontId="9"/>
  </si>
  <si>
    <t>システム名</t>
    <rPh sb="4" eb="5">
      <t>メイ</t>
    </rPh>
    <phoneticPr fontId="9"/>
  </si>
  <si>
    <t>Webシステム</t>
    <phoneticPr fontId="9"/>
  </si>
  <si>
    <t>Ver.</t>
    <phoneticPr fontId="9"/>
  </si>
  <si>
    <t>7.0.2</t>
    <phoneticPr fontId="9"/>
  </si>
  <si>
    <t>－</t>
    <phoneticPr fontId="9"/>
  </si>
  <si>
    <t>MSBB_販売管理</t>
    <phoneticPr fontId="9"/>
  </si>
  <si>
    <t>機能名</t>
    <rPh sb="0" eb="2">
      <t>キノウ</t>
    </rPh>
    <rPh sb="2" eb="3">
      <t>メイ</t>
    </rPh>
    <phoneticPr fontId="9"/>
  </si>
  <si>
    <t>機能ID</t>
    <rPh sb="0" eb="2">
      <t>キノウ</t>
    </rPh>
    <phoneticPr fontId="9"/>
  </si>
  <si>
    <t>アドオン</t>
  </si>
  <si>
    <t>作成</t>
    <rPh sb="0" eb="2">
      <t>サクセイ</t>
    </rPh>
    <phoneticPr fontId="9"/>
  </si>
  <si>
    <t>最終更新</t>
    <rPh sb="0" eb="2">
      <t>サイシュウ</t>
    </rPh>
    <rPh sb="2" eb="4">
      <t>コウシン</t>
    </rPh>
    <phoneticPr fontId="9"/>
  </si>
  <si>
    <t>ご確認</t>
    <rPh sb="1" eb="3">
      <t>カクニン</t>
    </rPh>
    <phoneticPr fontId="9"/>
  </si>
  <si>
    <t>MDSOL</t>
  </si>
  <si>
    <t>画面ID</t>
    <rPh sb="0" eb="2">
      <t>ガメン</t>
    </rPh>
    <phoneticPr fontId="9"/>
  </si>
  <si>
    <t>画面名</t>
    <rPh sb="0" eb="2">
      <t>ガメン</t>
    </rPh>
    <rPh sb="2" eb="3">
      <t>メイ</t>
    </rPh>
    <phoneticPr fontId="9"/>
  </si>
  <si>
    <t>Version</t>
    <phoneticPr fontId="9"/>
  </si>
  <si>
    <t>Revision</t>
    <phoneticPr fontId="9"/>
  </si>
  <si>
    <t>M7-US-1140</t>
    <phoneticPr fontId="9"/>
  </si>
  <si>
    <t>MSBBPA120</t>
    <phoneticPr fontId="9"/>
  </si>
  <si>
    <t>WebFSC製品化チェックシート出力</t>
    <phoneticPr fontId="9"/>
  </si>
  <si>
    <t>1.0.0</t>
    <phoneticPr fontId="9"/>
  </si>
  <si>
    <t>r01.00</t>
    <phoneticPr fontId="9"/>
  </si>
  <si>
    <t>共通（元データ）</t>
    <rPh sb="0" eb="2">
      <t>キョウツウ</t>
    </rPh>
    <rPh sb="3" eb="4">
      <t>モト</t>
    </rPh>
    <phoneticPr fontId="9"/>
  </si>
  <si>
    <t>Webシステム</t>
  </si>
  <si>
    <t>文書名</t>
    <rPh sb="0" eb="2">
      <t>ブンショ</t>
    </rPh>
    <rPh sb="2" eb="3">
      <t>メイ</t>
    </rPh>
    <phoneticPr fontId="8"/>
  </si>
  <si>
    <t>モジュールID</t>
  </si>
  <si>
    <t>MS</t>
  </si>
  <si>
    <t>モジュール名</t>
    <rPh sb="5" eb="6">
      <t>メイ</t>
    </rPh>
    <phoneticPr fontId="8"/>
  </si>
  <si>
    <t>Webシステム</t>
    <phoneticPr fontId="8"/>
  </si>
  <si>
    <t>文書番号</t>
    <rPh sb="0" eb="2">
      <t>ブンショ</t>
    </rPh>
    <rPh sb="2" eb="4">
      <t>バンゴウ</t>
    </rPh>
    <phoneticPr fontId="8"/>
  </si>
  <si>
    <t>Version</t>
  </si>
  <si>
    <t>Rev.</t>
  </si>
  <si>
    <t>画面説明書</t>
  </si>
  <si>
    <t>ｻﾌﾞﾓｼﾞｭｰﾙID</t>
  </si>
  <si>
    <t>MSBB</t>
  </si>
  <si>
    <t>ｻﾌﾞﾓｼﾞｭｰﾙ名</t>
    <rPh sb="9" eb="10">
      <t>メイ</t>
    </rPh>
    <phoneticPr fontId="8"/>
  </si>
  <si>
    <t>Web販売管理</t>
    <phoneticPr fontId="9"/>
  </si>
  <si>
    <t>M7-US-1140</t>
  </si>
  <si>
    <t>1.0.0</t>
  </si>
  <si>
    <t>r00.00</t>
  </si>
  <si>
    <t>表紙</t>
  </si>
  <si>
    <t>表題</t>
    <rPh sb="0" eb="2">
      <t>ヒョウダイ</t>
    </rPh>
    <phoneticPr fontId="8"/>
  </si>
  <si>
    <t>共通（リンク用）</t>
    <rPh sb="0" eb="2">
      <t>キョウツウ</t>
    </rPh>
    <rPh sb="6" eb="7">
      <t>ヨウ</t>
    </rPh>
    <phoneticPr fontId="9"/>
  </si>
  <si>
    <t>文書名</t>
    <rPh sb="0" eb="2">
      <t>ブンショ</t>
    </rPh>
    <rPh sb="2" eb="3">
      <t>メイ</t>
    </rPh>
    <phoneticPr fontId="9"/>
  </si>
  <si>
    <t>モジュールID</t>
    <phoneticPr fontId="9"/>
  </si>
  <si>
    <t>モジュール名</t>
    <rPh sb="5" eb="6">
      <t>メイ</t>
    </rPh>
    <phoneticPr fontId="9"/>
  </si>
  <si>
    <t>Rev.</t>
    <phoneticPr fontId="9"/>
  </si>
  <si>
    <t>ｻﾌﾞﾓｼﾞｭｰﾙID</t>
    <phoneticPr fontId="9"/>
  </si>
  <si>
    <t>ｻﾌﾞﾓｼﾞｭｰﾙ名</t>
    <rPh sb="9" eb="10">
      <t>メイ</t>
    </rPh>
    <phoneticPr fontId="9"/>
  </si>
  <si>
    <t>表題</t>
    <rPh sb="0" eb="2">
      <t>ヒョウダイ</t>
    </rPh>
    <phoneticPr fontId="9"/>
  </si>
  <si>
    <t>概要シート用</t>
    <rPh sb="0" eb="2">
      <t>ガイヨウ</t>
    </rPh>
    <rPh sb="5" eb="6">
      <t>ヨウ</t>
    </rPh>
    <phoneticPr fontId="9"/>
  </si>
  <si>
    <t>サブモジュールID</t>
    <phoneticPr fontId="9"/>
  </si>
  <si>
    <t>サブモジュール名</t>
    <rPh sb="7" eb="8">
      <t>メイ</t>
    </rPh>
    <phoneticPr fontId="9"/>
  </si>
  <si>
    <t>7.0.2</t>
  </si>
  <si>
    <t>第7章</t>
    <rPh sb="2" eb="3">
      <t>ショウ</t>
    </rPh>
    <phoneticPr fontId="9"/>
  </si>
  <si>
    <t>改訂</t>
    <phoneticPr fontId="9"/>
  </si>
  <si>
    <t>作成者</t>
    <rPh sb="0" eb="3">
      <t>サクセイシャ</t>
    </rPh>
    <phoneticPr fontId="86"/>
  </si>
  <si>
    <t>MDSOL</t>
    <phoneticPr fontId="9"/>
  </si>
  <si>
    <t>作成日</t>
    <phoneticPr fontId="9"/>
  </si>
  <si>
    <t>修正者</t>
    <rPh sb="0" eb="2">
      <t>シュウセイ</t>
    </rPh>
    <rPh sb="2" eb="3">
      <t>シャ</t>
    </rPh>
    <phoneticPr fontId="9"/>
  </si>
  <si>
    <t>改訂日</t>
    <rPh sb="0" eb="2">
      <t>カイテイ</t>
    </rPh>
    <phoneticPr fontId="9"/>
  </si>
  <si>
    <t>改定内容</t>
    <phoneticPr fontId="9"/>
  </si>
  <si>
    <t>頁</t>
    <rPh sb="0" eb="1">
      <t>ページ</t>
    </rPh>
    <phoneticPr fontId="9"/>
  </si>
  <si>
    <t>変更日
変更者</t>
    <rPh sb="0" eb="3">
      <t>ヘンコウビ</t>
    </rPh>
    <rPh sb="4" eb="6">
      <t>ヘンコウ</t>
    </rPh>
    <rPh sb="6" eb="7">
      <t>シャ</t>
    </rPh>
    <phoneticPr fontId="9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</si>
  <si>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9"/>
  </si>
  <si>
    <t>新規作成</t>
    <rPh sb="0" eb="2">
      <t>シンキ</t>
    </rPh>
    <rPh sb="2" eb="4">
      <t>サクセイ</t>
    </rPh>
    <phoneticPr fontId="9"/>
  </si>
  <si>
    <t>【業務要件】</t>
    <rPh sb="1" eb="3">
      <t>ギョウム</t>
    </rPh>
    <rPh sb="3" eb="5">
      <t>ヨウケン</t>
    </rPh>
    <phoneticPr fontId="9"/>
  </si>
  <si>
    <t>内容</t>
    <rPh sb="0" eb="2">
      <t>ナイヨウ</t>
    </rPh>
    <phoneticPr fontId="9"/>
  </si>
  <si>
    <t>No.</t>
    <phoneticPr fontId="9"/>
  </si>
  <si>
    <t>FSC認証コード体系について</t>
    <phoneticPr fontId="9"/>
  </si>
  <si>
    <t>FSC認証が必要な場合、FSC製品化チェックシートを作成し、報告用資料を作成する</t>
    <phoneticPr fontId="9"/>
  </si>
  <si>
    <t>見積・受注　FSCは見積内容を出力してチェックシートを出すだけとし、後はワークフローとする</t>
    <phoneticPr fontId="9"/>
  </si>
  <si>
    <t>【機能概要】</t>
    <rPh sb="1" eb="3">
      <t>キノウ</t>
    </rPh>
    <rPh sb="3" eb="5">
      <t>ガイヨウ</t>
    </rPh>
    <phoneticPr fontId="9"/>
  </si>
  <si>
    <t>1.</t>
    <phoneticPr fontId="9"/>
  </si>
  <si>
    <t>FSC製品化チェックシートを出力する</t>
    <phoneticPr fontId="9"/>
  </si>
  <si>
    <t>CP指摘 20221018 伊藤広 FSC製品化には、オンプロ製品・生体製品・OEM購買品・オフプロ宣伝用の４つがあります。</t>
    <rPh sb="2" eb="4">
      <t>シテキ</t>
    </rPh>
    <rPh sb="14" eb="17">
      <t>イトウヒロ</t>
    </rPh>
    <rPh sb="21" eb="24">
      <t>セイヒンカ</t>
    </rPh>
    <rPh sb="31" eb="33">
      <t>セイヒン</t>
    </rPh>
    <rPh sb="34" eb="36">
      <t>セイタイ</t>
    </rPh>
    <rPh sb="36" eb="38">
      <t>セイヒン</t>
    </rPh>
    <rPh sb="42" eb="45">
      <t>コウバイヒン</t>
    </rPh>
    <rPh sb="50" eb="53">
      <t>センデンヨウ</t>
    </rPh>
    <phoneticPr fontId="9"/>
  </si>
  <si>
    <t>MDSOL 野村　2022/10/25 出力フォーマットにて出力できるEXCELは選択できることを想定しています</t>
    <rPh sb="6" eb="8">
      <t>ノムラ</t>
    </rPh>
    <rPh sb="30" eb="32">
      <t>シュツリョク</t>
    </rPh>
    <rPh sb="41" eb="43">
      <t>センタク</t>
    </rPh>
    <rPh sb="49" eb="51">
      <t>ソウテイ</t>
    </rPh>
    <phoneticPr fontId="9"/>
  </si>
  <si>
    <t>CP指摘 20221026 伊藤広　入力画面は現状のオフコンでは４つの製品化登録画面のほか、FSデザイナー入力画面・サイト事務局入力画面・CoC事務局入力画面が</t>
    <rPh sb="2" eb="4">
      <t>シテキ</t>
    </rPh>
    <rPh sb="14" eb="17">
      <t>イトウヒロ</t>
    </rPh>
    <rPh sb="18" eb="20">
      <t>ニュウリョク</t>
    </rPh>
    <rPh sb="20" eb="22">
      <t>ガメン</t>
    </rPh>
    <rPh sb="23" eb="25">
      <t>ゲンジョウ</t>
    </rPh>
    <rPh sb="35" eb="38">
      <t>セイヒンカ</t>
    </rPh>
    <rPh sb="38" eb="40">
      <t>トウロク</t>
    </rPh>
    <rPh sb="40" eb="42">
      <t>ガメン</t>
    </rPh>
    <rPh sb="53" eb="55">
      <t>ニュウリョク</t>
    </rPh>
    <rPh sb="55" eb="57">
      <t>ガメン</t>
    </rPh>
    <rPh sb="61" eb="64">
      <t>ジムキョク</t>
    </rPh>
    <rPh sb="64" eb="66">
      <t>ニュウリョク</t>
    </rPh>
    <rPh sb="66" eb="68">
      <t>ガメン</t>
    </rPh>
    <rPh sb="72" eb="75">
      <t>ジムキョク</t>
    </rPh>
    <rPh sb="75" eb="77">
      <t>ニュウリョク</t>
    </rPh>
    <rPh sb="77" eb="79">
      <t>ガメン</t>
    </rPh>
    <phoneticPr fontId="9"/>
  </si>
  <si>
    <t>Excelシートも項目は共通ですが、印刷用のシートは4種類あります。</t>
  </si>
  <si>
    <t>※現状MAX10種類までを想定。(【MSBBPA000】_共通設計書_アドオン(Webシステム共通仕様) - webconfig追記)</t>
    <rPh sb="1" eb="3">
      <t>ゲンジョウ</t>
    </rPh>
    <rPh sb="8" eb="10">
      <t>シュルイ</t>
    </rPh>
    <rPh sb="13" eb="15">
      <t>ソウテイ</t>
    </rPh>
    <rPh sb="64" eb="66">
      <t>ツイキ</t>
    </rPh>
    <phoneticPr fontId="9"/>
  </si>
  <si>
    <t>FSCデザイナー入力以降の処理で、製品化Excelシートの右側をメンテしていく手順になります</t>
    <rPh sb="8" eb="10">
      <t>ニュウリョク</t>
    </rPh>
    <rPh sb="10" eb="12">
      <t>イコウ</t>
    </rPh>
    <rPh sb="13" eb="15">
      <t>ショリ</t>
    </rPh>
    <rPh sb="17" eb="20">
      <t>セイヒンカ</t>
    </rPh>
    <rPh sb="29" eb="31">
      <t>ミギガワ</t>
    </rPh>
    <rPh sb="39" eb="41">
      <t>テジュン</t>
    </rPh>
    <phoneticPr fontId="9"/>
  </si>
  <si>
    <t>【前提条件】</t>
    <rPh sb="1" eb="5">
      <t>ゼンテイジョウケン</t>
    </rPh>
    <phoneticPr fontId="9"/>
  </si>
  <si>
    <t>CP指摘　2022/10/18  玉置　区分名の表記について
「マークナシ」の表記は表示スペースの関係で半角ｶﾅで表示しなければならなかった結果で、
スペースに問題が無ければ、この設計書の他のシートも含めて「マーク無し」と記述すべきと考えます。</t>
    <phoneticPr fontId="9"/>
  </si>
  <si>
    <t>→指摘に記載いただいているとおり、項目共通が前提となります。(DATAシートは共通)</t>
    <rPh sb="1" eb="3">
      <t>シテキ</t>
    </rPh>
    <rPh sb="4" eb="6">
      <t>キサイ</t>
    </rPh>
    <rPh sb="22" eb="24">
      <t>ゼンテイ</t>
    </rPh>
    <rPh sb="39" eb="41">
      <t>キョウツウ</t>
    </rPh>
    <phoneticPr fontId="9"/>
  </si>
  <si>
    <t>よって現状では入力した4つの画面に即した４パターンのExcel出力となります。</t>
    <rPh sb="3" eb="5">
      <t>ゲンジョウ</t>
    </rPh>
    <rPh sb="7" eb="9">
      <t>ニュウリョク</t>
    </rPh>
    <rPh sb="14" eb="16">
      <t>ガメン</t>
    </rPh>
    <rPh sb="17" eb="18">
      <t>ソク</t>
    </rPh>
    <rPh sb="31" eb="33">
      <t>シュツリョク</t>
    </rPh>
    <phoneticPr fontId="9"/>
  </si>
  <si>
    <t>発行対象データは、見積確認済みの御見積書データから作成する</t>
    <rPh sb="0" eb="2">
      <t>ハッコウ</t>
    </rPh>
    <rPh sb="2" eb="4">
      <t>タイショウ</t>
    </rPh>
    <rPh sb="9" eb="13">
      <t>ミツモリカクニン</t>
    </rPh>
    <rPh sb="13" eb="14">
      <t>ズ</t>
    </rPh>
    <rPh sb="16" eb="20">
      <t>オミツモリショ</t>
    </rPh>
    <rPh sb="25" eb="27">
      <t>サクセイ</t>
    </rPh>
    <phoneticPr fontId="9"/>
  </si>
  <si>
    <t>MDSOL 野村　2022/10/31 今回の新基幹システムでは、FSCの入力画面は存在せず、決定見積時のデータからFSC製品化チェックシートを出力することになります。</t>
    <rPh sb="6" eb="8">
      <t>ノムラ</t>
    </rPh>
    <rPh sb="20" eb="22">
      <t>コンカイ</t>
    </rPh>
    <rPh sb="23" eb="26">
      <t>シンキカン</t>
    </rPh>
    <rPh sb="37" eb="41">
      <t>ニュウリョクガメン</t>
    </rPh>
    <rPh sb="42" eb="44">
      <t>ソンザイ</t>
    </rPh>
    <rPh sb="47" eb="52">
      <t>ケッテイミツモリジ</t>
    </rPh>
    <phoneticPr fontId="9"/>
  </si>
  <si>
    <t>2.</t>
    <phoneticPr fontId="9"/>
  </si>
  <si>
    <t>発行対象データは、FSC製品区分≠0：非該当とする</t>
    <phoneticPr fontId="9"/>
  </si>
  <si>
    <t>MDSOL 野村　2022/10/25 「マーク無し」に変更します。(横展開対応も実施します)</t>
    <rPh sb="6" eb="8">
      <t>ノムラ</t>
    </rPh>
    <rPh sb="28" eb="30">
      <t>ヘンコウ</t>
    </rPh>
    <phoneticPr fontId="9"/>
  </si>
  <si>
    <t>デザイナー・サイト事務などの追加入力は、出力したEXCELに行う想定となります。(ファイルサーバやPEの添付ファイルで出力したFSC製品化チェックシートEXCELを管理する。)</t>
    <rPh sb="14" eb="18">
      <t>ツイカニュウリョク</t>
    </rPh>
    <rPh sb="20" eb="22">
      <t>シュツリョク</t>
    </rPh>
    <rPh sb="30" eb="31">
      <t>オコナ</t>
    </rPh>
    <rPh sb="32" eb="34">
      <t>ソウテイ</t>
    </rPh>
    <rPh sb="52" eb="54">
      <t>テンプ</t>
    </rPh>
    <rPh sb="59" eb="61">
      <t>シュツリョク</t>
    </rPh>
    <rPh sb="82" eb="84">
      <t>カンリ</t>
    </rPh>
    <phoneticPr fontId="9"/>
  </si>
  <si>
    <t>FSC製品区分=0：非該当、1：社外、2：社内、3：マーク無し</t>
    <rPh sb="21" eb="23">
      <t>シャナイ</t>
    </rPh>
    <phoneticPr fontId="9"/>
  </si>
  <si>
    <t>→実値は、【MSBBPACOM】_共通設計書_アドオン(Web共通ロジック)の定数一覧にて管理しています</t>
    <rPh sb="1" eb="2">
      <t>ジツ</t>
    </rPh>
    <rPh sb="2" eb="3">
      <t>チ</t>
    </rPh>
    <rPh sb="39" eb="43">
      <t>テイスウイチラン</t>
    </rPh>
    <rPh sb="45" eb="47">
      <t>カンリ</t>
    </rPh>
    <phoneticPr fontId="9"/>
  </si>
  <si>
    <t>※入力チェックは、EXCELマクロ等で実施していただくことを想定しています。</t>
    <rPh sb="1" eb="3">
      <t>ニュウリョク</t>
    </rPh>
    <rPh sb="17" eb="18">
      <t>ナド</t>
    </rPh>
    <rPh sb="19" eb="21">
      <t>ジッシ</t>
    </rPh>
    <rPh sb="30" eb="32">
      <t>ソウテイ</t>
    </rPh>
    <phoneticPr fontId="9"/>
  </si>
  <si>
    <t>3.</t>
    <phoneticPr fontId="9"/>
  </si>
  <si>
    <t>FSC製品化チェックシートは、EXCEL帳票とする</t>
    <rPh sb="20" eb="22">
      <t>チョウヒョウ</t>
    </rPh>
    <phoneticPr fontId="9"/>
  </si>
  <si>
    <t>2022/10/27　玉置　問題なし</t>
  </si>
  <si>
    <t>2022/11/01 落合　補足。　出力されたエクセルをワークフローで流す。</t>
    <rPh sb="11" eb="13">
      <t>オチアイ</t>
    </rPh>
    <rPh sb="14" eb="16">
      <t>ホソク</t>
    </rPh>
    <rPh sb="18" eb="20">
      <t>シュツリョク</t>
    </rPh>
    <rPh sb="35" eb="36">
      <t>ナガ</t>
    </rPh>
    <phoneticPr fontId="9"/>
  </si>
  <si>
    <t>4.</t>
    <phoneticPr fontId="9"/>
  </si>
  <si>
    <t>FSCの対象は身、蓋、仕切りの部材の内代表の部材とする→見積計算書単位でなく、御見積書単位に出力する</t>
    <rPh sb="28" eb="33">
      <t>ミツモリケイサンショ</t>
    </rPh>
    <rPh sb="33" eb="35">
      <t>タンイ</t>
    </rPh>
    <rPh sb="39" eb="43">
      <t>オンミツモリショ</t>
    </rPh>
    <rPh sb="43" eb="45">
      <t>タンイ</t>
    </rPh>
    <rPh sb="46" eb="48">
      <t>シュツリョク</t>
    </rPh>
    <phoneticPr fontId="9"/>
  </si>
  <si>
    <t>デザイナー→サイト事務局→CoC事務局の順。各々がエクセルに入力しワークフローに添付を行う。</t>
    <rPh sb="9" eb="12">
      <t>ジムキョク</t>
    </rPh>
    <rPh sb="16" eb="19">
      <t>ジムキョク</t>
    </rPh>
    <rPh sb="20" eb="21">
      <t>ジュン</t>
    </rPh>
    <rPh sb="22" eb="24">
      <t>オノオノ</t>
    </rPh>
    <rPh sb="30" eb="32">
      <t>ニュウリョク</t>
    </rPh>
    <rPh sb="40" eb="42">
      <t>テンプ</t>
    </rPh>
    <rPh sb="43" eb="44">
      <t>オコナ</t>
    </rPh>
    <phoneticPr fontId="9"/>
  </si>
  <si>
    <t>5.</t>
    <phoneticPr fontId="9"/>
  </si>
  <si>
    <t>FSCチェックシートの出力フォーマットを選択可能とするが、データ転送(DATAシートへの転送)は共通とする</t>
    <rPh sb="11" eb="13">
      <t>シュツリョク</t>
    </rPh>
    <rPh sb="20" eb="22">
      <t>センタク</t>
    </rPh>
    <rPh sb="22" eb="24">
      <t>カノウ</t>
    </rPh>
    <rPh sb="32" eb="34">
      <t>テンソウ</t>
    </rPh>
    <rPh sb="44" eb="46">
      <t>テンソウ</t>
    </rPh>
    <rPh sb="48" eb="50">
      <t>キョウツウ</t>
    </rPh>
    <phoneticPr fontId="9"/>
  </si>
  <si>
    <t>エクセルでうまく運用が難しい場合は、クラウン側で入力画面→エクセル出力の機能を作成する</t>
    <rPh sb="8" eb="10">
      <t>ウンヨウ</t>
    </rPh>
    <rPh sb="11" eb="12">
      <t>ムズカ</t>
    </rPh>
    <rPh sb="14" eb="16">
      <t>バアイ</t>
    </rPh>
    <rPh sb="22" eb="23">
      <t>ガワ</t>
    </rPh>
    <rPh sb="24" eb="26">
      <t>ニュウリョク</t>
    </rPh>
    <rPh sb="26" eb="28">
      <t>ガメン</t>
    </rPh>
    <rPh sb="33" eb="35">
      <t>シュツリョク</t>
    </rPh>
    <rPh sb="36" eb="38">
      <t>キノウ</t>
    </rPh>
    <rPh sb="39" eb="41">
      <t>サクセイ</t>
    </rPh>
    <phoneticPr fontId="9"/>
  </si>
  <si>
    <t>6.</t>
    <phoneticPr fontId="9"/>
  </si>
  <si>
    <t>FSCチェックシートは、WEBサーバ上から参照可能なフォルダで管理する</t>
    <rPh sb="18" eb="19">
      <t>ジョウ</t>
    </rPh>
    <rPh sb="21" eb="25">
      <t>サンショウカノウ</t>
    </rPh>
    <rPh sb="31" eb="33">
      <t>カンリ</t>
    </rPh>
    <phoneticPr fontId="9"/>
  </si>
  <si>
    <t>MDSOL 野村　2022/11/02 補足いただいた内容で相違ありません。</t>
    <rPh sb="6" eb="8">
      <t>ノムラ</t>
    </rPh>
    <rPh sb="20" eb="22">
      <t>ホソク</t>
    </rPh>
    <rPh sb="27" eb="29">
      <t>ナイヨウ</t>
    </rPh>
    <phoneticPr fontId="9"/>
  </si>
  <si>
    <t>また、FSCチェックシートのひな型は、CPにて作成・修正し所定場所に配置する</t>
    <rPh sb="16" eb="17">
      <t>ガタ</t>
    </rPh>
    <phoneticPr fontId="9"/>
  </si>
  <si>
    <t>2022/11/04 落合　問題なし</t>
    <rPh sb="11" eb="13">
      <t>オチアイ</t>
    </rPh>
    <rPh sb="14" eb="16">
      <t>モンダイ</t>
    </rPh>
    <phoneticPr fontId="9"/>
  </si>
  <si>
    <t>7.</t>
    <phoneticPr fontId="9"/>
  </si>
  <si>
    <t>FSCチェックシートのフォーマット・出力するEXCELファイルは、[.xls、xlsx形式]とする</t>
    <rPh sb="18" eb="20">
      <t>シュツリョク</t>
    </rPh>
    <phoneticPr fontId="9"/>
  </si>
  <si>
    <t>CP指摘　2022/10/18 玉置　機能の確認　xlsとxlsxは違う形式と認識していますが？（ＣＳＶではないという意味？）
　１択ならば、.xlsxが良いと考えます。　</t>
    <phoneticPr fontId="9"/>
  </si>
  <si>
    <t>MDSOL 野村　2022/10/25 Excel for .NETで読み取り可能な拡張子となります</t>
    <rPh sb="6" eb="8">
      <t>ノムラ</t>
    </rPh>
    <rPh sb="35" eb="36">
      <t>ヨ</t>
    </rPh>
    <rPh sb="37" eb="38">
      <t>ト</t>
    </rPh>
    <rPh sb="39" eb="41">
      <t>カノウ</t>
    </rPh>
    <rPh sb="42" eb="45">
      <t>カクチョウシ</t>
    </rPh>
    <phoneticPr fontId="9"/>
  </si>
  <si>
    <t>テンプレートを読み取りデータを書き込み保存・DLすることを想定しています</t>
    <rPh sb="7" eb="8">
      <t>ヨ</t>
    </rPh>
    <rPh sb="9" eb="10">
      <t>ト</t>
    </rPh>
    <rPh sb="15" eb="16">
      <t>カ</t>
    </rPh>
    <rPh sb="17" eb="18">
      <t>コ</t>
    </rPh>
    <rPh sb="19" eb="21">
      <t>ホゾン</t>
    </rPh>
    <rPh sb="29" eb="31">
      <t>ソウテイ</t>
    </rPh>
    <phoneticPr fontId="9"/>
  </si>
  <si>
    <t>【FSC製品化チェックシート発行フロー】</t>
    <rPh sb="4" eb="6">
      <t>セイヒン</t>
    </rPh>
    <rPh sb="6" eb="7">
      <t>カ</t>
    </rPh>
    <rPh sb="14" eb="16">
      <t>ハッコウ</t>
    </rPh>
    <phoneticPr fontId="9"/>
  </si>
  <si>
    <t>出力後にマクロでのチェックが必要な場合、「xls」になるかと思います。(テンプレートはCP様にて用意いただく想定)</t>
    <rPh sb="0" eb="3">
      <t>シュツリョクゴ</t>
    </rPh>
    <rPh sb="14" eb="16">
      <t>ヒツヨウ</t>
    </rPh>
    <rPh sb="17" eb="19">
      <t>バアイ</t>
    </rPh>
    <rPh sb="30" eb="31">
      <t>オモ</t>
    </rPh>
    <rPh sb="45" eb="46">
      <t>サマ</t>
    </rPh>
    <rPh sb="48" eb="50">
      <t>ヨウイ</t>
    </rPh>
    <rPh sb="54" eb="56">
      <t>ソウテイ</t>
    </rPh>
    <phoneticPr fontId="9"/>
  </si>
  <si>
    <t>※マクロ付きXLSがExcel for .NETでの読み取りやDL時にセキュリティでエラーにならないかは、開発時に検証が必要になります</t>
    <rPh sb="4" eb="5">
      <t>ツ</t>
    </rPh>
    <rPh sb="26" eb="27">
      <t>ヨ</t>
    </rPh>
    <rPh sb="28" eb="29">
      <t>ト</t>
    </rPh>
    <rPh sb="53" eb="55">
      <t>カイハツ</t>
    </rPh>
    <rPh sb="55" eb="56">
      <t>ジ</t>
    </rPh>
    <rPh sb="57" eb="59">
      <t>ケンショウ</t>
    </rPh>
    <rPh sb="60" eb="62">
      <t>ヒツヨウ</t>
    </rPh>
    <phoneticPr fontId="9"/>
  </si>
  <si>
    <t>【説明】</t>
    <rPh sb="1" eb="3">
      <t>セツメイ</t>
    </rPh>
    <phoneticPr fontId="9"/>
  </si>
  <si>
    <t>FSC製品化チェックシートの発行画面</t>
    <rPh sb="14" eb="16">
      <t>ハッコウ</t>
    </rPh>
    <rPh sb="16" eb="18">
      <t>ガメン</t>
    </rPh>
    <phoneticPr fontId="9"/>
  </si>
  <si>
    <t>【目的】</t>
    <rPh sb="1" eb="3">
      <t>モクテキ</t>
    </rPh>
    <phoneticPr fontId="9"/>
  </si>
  <si>
    <t>目的（レベル１）</t>
    <rPh sb="0" eb="2">
      <t>モクテキ</t>
    </rPh>
    <phoneticPr fontId="9"/>
  </si>
  <si>
    <t>目的（レベル２）</t>
    <rPh sb="0" eb="2">
      <t>モクテキ</t>
    </rPh>
    <phoneticPr fontId="9"/>
  </si>
  <si>
    <t>利用シーン/補足</t>
    <rPh sb="0" eb="2">
      <t>リヨウ</t>
    </rPh>
    <rPh sb="6" eb="8">
      <t>ホソク</t>
    </rPh>
    <phoneticPr fontId="9"/>
  </si>
  <si>
    <t>操作種別/検索モード</t>
    <rPh sb="0" eb="2">
      <t>ソウサ</t>
    </rPh>
    <rPh sb="2" eb="4">
      <t>シュベツ</t>
    </rPh>
    <rPh sb="5" eb="7">
      <t>ケンサク</t>
    </rPh>
    <phoneticPr fontId="9"/>
  </si>
  <si>
    <t>FSC製品化チェックシートの出力対象を</t>
    <rPh sb="14" eb="18">
      <t>シュツリョクタイショウ</t>
    </rPh>
    <phoneticPr fontId="9"/>
  </si>
  <si>
    <t>【利用シーン】</t>
    <phoneticPr fontId="9"/>
  </si>
  <si>
    <t>参照する</t>
    <rPh sb="0" eb="2">
      <t>サンショウ</t>
    </rPh>
    <phoneticPr fontId="9"/>
  </si>
  <si>
    <t>一覧形式で照会する</t>
    <phoneticPr fontId="9"/>
  </si>
  <si>
    <t>FSC製品化チェックシートを発行するためにFSC製品化チェックシート情報を一覧照会する</t>
    <rPh sb="14" eb="16">
      <t>ハッコウ</t>
    </rPh>
    <rPh sb="37" eb="39">
      <t>イチラン</t>
    </rPh>
    <rPh sb="39" eb="41">
      <t>ショウカイ</t>
    </rPh>
    <phoneticPr fontId="9"/>
  </si>
  <si>
    <t>FSC製品化チェックシートを発行する</t>
    <phoneticPr fontId="9"/>
  </si>
  <si>
    <t>未発行のFSC製品化チェックシートを新規発行する</t>
    <phoneticPr fontId="9"/>
  </si>
  <si>
    <t>【利用シーン】</t>
  </si>
  <si>
    <t>帳票発行</t>
  </si>
  <si>
    <t>・FSC製品化チェックシートを発行する、FSC管理NOが自動採番される</t>
    <rPh sb="23" eb="25">
      <t>カンリ</t>
    </rPh>
    <rPh sb="28" eb="30">
      <t>ジドウ</t>
    </rPh>
    <rPh sb="30" eb="32">
      <t>サイバン</t>
    </rPh>
    <phoneticPr fontId="9"/>
  </si>
  <si>
    <t>発行済のFSC製品化チェックシートを再発行する</t>
    <phoneticPr fontId="9"/>
  </si>
  <si>
    <t>・FSC製品化チェックシートの内容を変更した場合などに、</t>
    <rPh sb="15" eb="17">
      <t>ナイヨウ</t>
    </rPh>
    <phoneticPr fontId="9"/>
  </si>
  <si>
    <t>　本画面でFSC製品化チェックシートを再発行する</t>
    <phoneticPr fontId="9"/>
  </si>
  <si>
    <t>【処理関連図/サービス関連図】</t>
    <phoneticPr fontId="9"/>
  </si>
  <si>
    <t>※処理・サービス関連図シートに詳細記載</t>
    <rPh sb="15" eb="17">
      <t>ショウサイ</t>
    </rPh>
    <rPh sb="17" eb="19">
      <t>キサイ</t>
    </rPh>
    <phoneticPr fontId="9"/>
  </si>
  <si>
    <t>【オペレーション一覧】</t>
    <rPh sb="8" eb="10">
      <t>イチラン</t>
    </rPh>
    <phoneticPr fontId="9"/>
  </si>
  <si>
    <t>FSC製品化チェックシート対象データの照会処理を行う</t>
    <rPh sb="13" eb="15">
      <t>タイショウ</t>
    </rPh>
    <rPh sb="19" eb="21">
      <t>ショウカイ</t>
    </rPh>
    <phoneticPr fontId="9"/>
  </si>
  <si>
    <t>FSC製品化チェックシートの帳票発行を行う(EXCEL帳票)、再発行を行う</t>
    <rPh sb="14" eb="16">
      <t>チョウヒョウ</t>
    </rPh>
    <rPh sb="16" eb="18">
      <t>ハッコウ</t>
    </rPh>
    <rPh sb="19" eb="20">
      <t>オコナ</t>
    </rPh>
    <rPh sb="27" eb="29">
      <t>チョウヒョウ</t>
    </rPh>
    <rPh sb="31" eb="34">
      <t>サイハッコウ</t>
    </rPh>
    <rPh sb="35" eb="36">
      <t>オコナ</t>
    </rPh>
    <phoneticPr fontId="9"/>
  </si>
  <si>
    <t>【SQLID一覧】</t>
    <rPh sb="6" eb="8">
      <t>イチラン</t>
    </rPh>
    <phoneticPr fontId="9"/>
  </si>
  <si>
    <t>なし</t>
    <phoneticPr fontId="9"/>
  </si>
  <si>
    <t>【ソート順】</t>
    <rPh sb="4" eb="5">
      <t>ジュン</t>
    </rPh>
    <phoneticPr fontId="9"/>
  </si>
  <si>
    <t>担当、得意先、案件NO、御見積書NO(デフォルト)</t>
    <phoneticPr fontId="9"/>
  </si>
  <si>
    <t>【データアクセスコントロール】</t>
    <phoneticPr fontId="9"/>
  </si>
  <si>
    <t>拠点による制御</t>
    <rPh sb="0" eb="2">
      <t>キョテン</t>
    </rPh>
    <rPh sb="5" eb="7">
      <t>セイギョ</t>
    </rPh>
    <phoneticPr fontId="9"/>
  </si>
  <si>
    <t>※詳細は、【MSBBPA000】_共通設計書_アドオン(Webシステム共通仕様)にて定義</t>
    <rPh sb="1" eb="3">
      <t>ショウサイ</t>
    </rPh>
    <rPh sb="42" eb="44">
      <t>テイギ</t>
    </rPh>
    <phoneticPr fontId="9"/>
  </si>
  <si>
    <t>【自由記述】</t>
    <rPh sb="1" eb="3">
      <t>ジユウ</t>
    </rPh>
    <rPh sb="3" eb="5">
      <t>キジュツ</t>
    </rPh>
    <phoneticPr fontId="9"/>
  </si>
  <si>
    <t>画面イメージ</t>
    <rPh sb="0" eb="2">
      <t>ガメン</t>
    </rPh>
    <phoneticPr fontId="9"/>
  </si>
  <si>
    <t>≫凡例</t>
    <rPh sb="1" eb="3">
      <t>ハンレイ</t>
    </rPh>
    <phoneticPr fontId="9"/>
  </si>
  <si>
    <t>・・・</t>
    <phoneticPr fontId="9"/>
  </si>
  <si>
    <t>ボタン</t>
    <phoneticPr fontId="9"/>
  </si>
  <si>
    <t>見積計算書NO</t>
  </si>
  <si>
    <t>検索項目(検索画面表示選択)</t>
    <rPh sb="0" eb="2">
      <t>ケンサク</t>
    </rPh>
    <rPh sb="2" eb="4">
      <t>コウモク</t>
    </rPh>
    <rPh sb="5" eb="7">
      <t>ケンサク</t>
    </rPh>
    <rPh sb="7" eb="9">
      <t>ガメン</t>
    </rPh>
    <rPh sb="9" eb="11">
      <t>ヒョウジ</t>
    </rPh>
    <rPh sb="11" eb="13">
      <t>センタク</t>
    </rPh>
    <phoneticPr fontId="9"/>
  </si>
  <si>
    <t>参照情報</t>
    <rPh sb="0" eb="4">
      <t>サンショウジョウホウ</t>
    </rPh>
    <phoneticPr fontId="9"/>
  </si>
  <si>
    <t>品名</t>
    <rPh sb="0" eb="2">
      <t>ヒンメイ</t>
    </rPh>
    <phoneticPr fontId="9"/>
  </si>
  <si>
    <t>入力項目</t>
    <rPh sb="0" eb="2">
      <t>ニュウリョク</t>
    </rPh>
    <rPh sb="2" eb="4">
      <t>コウモク</t>
    </rPh>
    <phoneticPr fontId="9"/>
  </si>
  <si>
    <t>得意先</t>
    <rPh sb="0" eb="3">
      <t>トクイサキ</t>
    </rPh>
    <phoneticPr fontId="9"/>
  </si>
  <si>
    <t>表示項目(得意先名称、原紙名等)</t>
    <rPh sb="0" eb="2">
      <t>ヒョウジ</t>
    </rPh>
    <rPh sb="2" eb="4">
      <t>コウモク</t>
    </rPh>
    <rPh sb="5" eb="8">
      <t>トクイサキ</t>
    </rPh>
    <rPh sb="8" eb="10">
      <t>メイショウ</t>
    </rPh>
    <rPh sb="11" eb="13">
      <t>ゲンシ</t>
    </rPh>
    <rPh sb="13" eb="14">
      <t>メイ</t>
    </rPh>
    <rPh sb="14" eb="15">
      <t>ナド</t>
    </rPh>
    <phoneticPr fontId="9"/>
  </si>
  <si>
    <t>担当者</t>
    <rPh sb="0" eb="3">
      <t>タントウシャ</t>
    </rPh>
    <phoneticPr fontId="9"/>
  </si>
  <si>
    <t>操作種別</t>
    <rPh sb="0" eb="2">
      <t>ソウサ</t>
    </rPh>
    <rPh sb="2" eb="4">
      <t>シュベツ</t>
    </rPh>
    <phoneticPr fontId="9"/>
  </si>
  <si>
    <t>●登録</t>
    <rPh sb="1" eb="3">
      <t>トウロク</t>
    </rPh>
    <phoneticPr fontId="9"/>
  </si>
  <si>
    <t>○訂正</t>
    <rPh sb="1" eb="3">
      <t>テイセイ</t>
    </rPh>
    <phoneticPr fontId="9"/>
  </si>
  <si>
    <t>選択項目(一つのみ選択可能)</t>
    <rPh sb="0" eb="2">
      <t>センタク</t>
    </rPh>
    <rPh sb="2" eb="4">
      <t>コウモク</t>
    </rPh>
    <rPh sb="5" eb="6">
      <t>ヒト</t>
    </rPh>
    <rPh sb="9" eb="11">
      <t>センタク</t>
    </rPh>
    <rPh sb="11" eb="13">
      <t>カノウ</t>
    </rPh>
    <phoneticPr fontId="9"/>
  </si>
  <si>
    <t>受注区分</t>
    <rPh sb="0" eb="2">
      <t>ジュチュウ</t>
    </rPh>
    <rPh sb="2" eb="4">
      <t>クブン</t>
    </rPh>
    <phoneticPr fontId="9"/>
  </si>
  <si>
    <t>作業順</t>
    <rPh sb="0" eb="2">
      <t>サギョウ</t>
    </rPh>
    <rPh sb="2" eb="3">
      <t>ジュン</t>
    </rPh>
    <phoneticPr fontId="9"/>
  </si>
  <si>
    <t>☑AAA</t>
    <phoneticPr fontId="9"/>
  </si>
  <si>
    <t>☑BBB</t>
    <phoneticPr fontId="9"/>
  </si>
  <si>
    <t>選択項目(複数選択可能)</t>
    <rPh sb="0" eb="2">
      <t>センタク</t>
    </rPh>
    <rPh sb="2" eb="4">
      <t>コウモク</t>
    </rPh>
    <rPh sb="5" eb="7">
      <t>フクスウ</t>
    </rPh>
    <rPh sb="7" eb="9">
      <t>センタク</t>
    </rPh>
    <rPh sb="9" eb="11">
      <t>カノウ</t>
    </rPh>
    <phoneticPr fontId="9"/>
  </si>
  <si>
    <t>見積作成日</t>
    <rPh sb="0" eb="2">
      <t>ミツモリ</t>
    </rPh>
    <rPh sb="2" eb="4">
      <t>サクセイ</t>
    </rPh>
    <rPh sb="4" eb="5">
      <t>ビ</t>
    </rPh>
    <phoneticPr fontId="9"/>
  </si>
  <si>
    <t>カレンダー形式</t>
    <rPh sb="5" eb="7">
      <t>ケイシキ</t>
    </rPh>
    <phoneticPr fontId="9"/>
  </si>
  <si>
    <t>CP指摘　2022/10/18 玉置　誤記の連絡
カレンダー←カンレンダー</t>
    <phoneticPr fontId="9"/>
  </si>
  <si>
    <t>MDSOL 野村　2022/10/25 修正しました(横展開対応も実施します)</t>
    <rPh sb="6" eb="8">
      <t>ノムラ</t>
    </rPh>
    <rPh sb="20" eb="22">
      <t>シュウセイ</t>
    </rPh>
    <rPh sb="27" eb="32">
      <t>ヨコテンカイタイオウ</t>
    </rPh>
    <rPh sb="33" eb="35">
      <t>ジッシ</t>
    </rPh>
    <phoneticPr fontId="9"/>
  </si>
  <si>
    <t>拠点</t>
    <rPh sb="0" eb="2">
      <t>キョテン</t>
    </rPh>
    <phoneticPr fontId="9"/>
  </si>
  <si>
    <t>基本情報</t>
    <rPh sb="0" eb="4">
      <t>キホンジョウホウ</t>
    </rPh>
    <phoneticPr fontId="9"/>
  </si>
  <si>
    <t>御見積書作成日</t>
    <rPh sb="0" eb="4">
      <t>オンミツモリショ</t>
    </rPh>
    <rPh sb="4" eb="7">
      <t>サクセイビ</t>
    </rPh>
    <phoneticPr fontId="9"/>
  </si>
  <si>
    <t>~</t>
    <phoneticPr fontId="9"/>
  </si>
  <si>
    <t>御見積書NO</t>
  </si>
  <si>
    <t>(得意先名:オートフィルタ)</t>
    <rPh sb="1" eb="5">
      <t>トクイサキメイ</t>
    </rPh>
    <phoneticPr fontId="9"/>
  </si>
  <si>
    <t>案件No</t>
    <phoneticPr fontId="9"/>
  </si>
  <si>
    <t>9999999-999</t>
    <phoneticPr fontId="9"/>
  </si>
  <si>
    <t>(案件No親/子)</t>
    <phoneticPr fontId="9"/>
  </si>
  <si>
    <t>ステータス</t>
    <phoneticPr fontId="9"/>
  </si>
  <si>
    <t>☑未発行</t>
    <rPh sb="1" eb="4">
      <t>ミハッコウ</t>
    </rPh>
    <phoneticPr fontId="9"/>
  </si>
  <si>
    <t>☑発行済</t>
    <rPh sb="1" eb="3">
      <t>ハッコウ</t>
    </rPh>
    <rPh sb="3" eb="4">
      <t>スミ</t>
    </rPh>
    <phoneticPr fontId="9"/>
  </si>
  <si>
    <t>NO</t>
  </si>
  <si>
    <t>担当</t>
    <rPh sb="0" eb="2">
      <t>タントウ</t>
    </rPh>
    <phoneticPr fontId="9"/>
  </si>
  <si>
    <t>担当者名</t>
    <phoneticPr fontId="9"/>
  </si>
  <si>
    <t>得意先名</t>
    <rPh sb="3" eb="4">
      <t>メイ</t>
    </rPh>
    <phoneticPr fontId="9"/>
  </si>
  <si>
    <t>案件NO</t>
    <rPh sb="0" eb="2">
      <t>アンケン</t>
    </rPh>
    <phoneticPr fontId="9"/>
  </si>
  <si>
    <t>案件名</t>
    <rPh sb="0" eb="3">
      <t>アンケンメイ</t>
    </rPh>
    <phoneticPr fontId="9"/>
  </si>
  <si>
    <t>御見積書NO</t>
    <rPh sb="0" eb="4">
      <t>オンミツモリショ</t>
    </rPh>
    <phoneticPr fontId="9"/>
  </si>
  <si>
    <t>御見積書</t>
    <rPh sb="0" eb="4">
      <t>オンミツモリショ</t>
    </rPh>
    <phoneticPr fontId="9"/>
  </si>
  <si>
    <t>1行目</t>
    <phoneticPr fontId="9"/>
  </si>
  <si>
    <t>合計金額</t>
    <rPh sb="0" eb="2">
      <t>ゴウケイ</t>
    </rPh>
    <rPh sb="2" eb="4">
      <t>キンガク</t>
    </rPh>
    <phoneticPr fontId="9"/>
  </si>
  <si>
    <t>発行</t>
    <rPh sb="0" eb="2">
      <t>ハッコウ</t>
    </rPh>
    <phoneticPr fontId="9"/>
  </si>
  <si>
    <t>FSC管理NO</t>
  </si>
  <si>
    <t>発行済</t>
    <phoneticPr fontId="9"/>
  </si>
  <si>
    <t>発行日</t>
    <phoneticPr fontId="9"/>
  </si>
  <si>
    <t>顧客品名</t>
    <phoneticPr fontId="9"/>
  </si>
  <si>
    <t>見積数</t>
    <rPh sb="0" eb="3">
      <t>ミツモリスウ</t>
    </rPh>
    <phoneticPr fontId="9"/>
  </si>
  <si>
    <t>単価</t>
    <rPh sb="0" eb="2">
      <t>タンカ</t>
    </rPh>
    <phoneticPr fontId="9"/>
  </si>
  <si>
    <t>金額</t>
    <rPh sb="0" eb="2">
      <t>キンガク</t>
    </rPh>
    <phoneticPr fontId="9"/>
  </si>
  <si>
    <t>1</t>
    <phoneticPr fontId="9"/>
  </si>
  <si>
    <t>1234</t>
    <phoneticPr fontId="9"/>
  </si>
  <si>
    <t>XXXXX6</t>
    <phoneticPr fontId="9"/>
  </si>
  <si>
    <t>12345</t>
    <phoneticPr fontId="9"/>
  </si>
  <si>
    <t>XXXXXXX8</t>
    <phoneticPr fontId="9"/>
  </si>
  <si>
    <t>1234567-001</t>
    <phoneticPr fontId="9"/>
  </si>
  <si>
    <t>M-12345678</t>
    <phoneticPr fontId="9"/>
  </si>
  <si>
    <t>2022/7/1</t>
    <phoneticPr fontId="9"/>
  </si>
  <si>
    <t>XXXXXXXXX1XXXXX6</t>
    <phoneticPr fontId="9"/>
  </si>
  <si>
    <t>承認済</t>
    <rPh sb="0" eb="3">
      <t>ショウニンズ</t>
    </rPh>
    <phoneticPr fontId="9"/>
  </si>
  <si>
    <t>☑</t>
    <phoneticPr fontId="9"/>
  </si>
  <si>
    <t>2</t>
  </si>
  <si>
    <t>M-12345679</t>
  </si>
  <si>
    <t>3</t>
  </si>
  <si>
    <t>XXXXX6</t>
  </si>
  <si>
    <t>1234567-001</t>
  </si>
  <si>
    <t>XXXXXXX8</t>
  </si>
  <si>
    <t>M-12345680</t>
  </si>
  <si>
    <t>4</t>
  </si>
  <si>
    <t>1234</t>
  </si>
  <si>
    <t>12345</t>
  </si>
  <si>
    <t>M-12345681</t>
  </si>
  <si>
    <t>□</t>
    <phoneticPr fontId="9"/>
  </si>
  <si>
    <t>未発行</t>
    <rPh sb="0" eb="3">
      <t>ミハッコウ</t>
    </rPh>
    <phoneticPr fontId="9"/>
  </si>
  <si>
    <t>5</t>
  </si>
  <si>
    <t>M-12345682</t>
  </si>
  <si>
    <t>6</t>
  </si>
  <si>
    <t>M-12345683</t>
  </si>
  <si>
    <t>YYYYYYYYY1XXXXX6</t>
    <phoneticPr fontId="9"/>
  </si>
  <si>
    <t>XXXXXX01</t>
    <phoneticPr fontId="9"/>
  </si>
  <si>
    <t>未承認</t>
    <phoneticPr fontId="9"/>
  </si>
  <si>
    <t>7</t>
  </si>
  <si>
    <t>M-12345684</t>
  </si>
  <si>
    <t>YYYYYYYYY1XXXXX6</t>
  </si>
  <si>
    <t>XXXXXX02</t>
  </si>
  <si>
    <t>8</t>
  </si>
  <si>
    <t>M-12345685</t>
  </si>
  <si>
    <t>XXXXXX03</t>
  </si>
  <si>
    <t>9</t>
  </si>
  <si>
    <t>M-12345686</t>
  </si>
  <si>
    <t>XXXXXX04</t>
  </si>
  <si>
    <t>10</t>
  </si>
  <si>
    <t>M-12345687</t>
  </si>
  <si>
    <t>XXXXXX05</t>
  </si>
  <si>
    <t>◁</t>
    <phoneticPr fontId="9"/>
  </si>
  <si>
    <t>▷</t>
    <phoneticPr fontId="9"/>
  </si>
  <si>
    <t>出力フォーマット</t>
    <rPh sb="0" eb="2">
      <t>シュツリョク</t>
    </rPh>
    <phoneticPr fontId="9"/>
  </si>
  <si>
    <t>発行</t>
    <phoneticPr fontId="9"/>
  </si>
  <si>
    <t>発行対象に☑する。</t>
    <rPh sb="0" eb="2">
      <t>ハッコウ</t>
    </rPh>
    <rPh sb="2" eb="4">
      <t>タイショウ</t>
    </rPh>
    <phoneticPr fontId="9"/>
  </si>
  <si>
    <t>☑されたFSC製品化チェックシートを一括出力</t>
    <rPh sb="7" eb="9">
      <t>セイヒン</t>
    </rPh>
    <rPh sb="9" eb="10">
      <t>カ</t>
    </rPh>
    <rPh sb="18" eb="22">
      <t>イッカツシュツリョク</t>
    </rPh>
    <phoneticPr fontId="9"/>
  </si>
  <si>
    <t>抽出条件</t>
    <rPh sb="0" eb="4">
      <t>チュウシュツジョウケン</t>
    </rPh>
    <phoneticPr fontId="9"/>
  </si>
  <si>
    <t>説明</t>
  </si>
  <si>
    <t>Ｗ</t>
    <phoneticPr fontId="9"/>
  </si>
  <si>
    <t>型</t>
  </si>
  <si>
    <t>参</t>
  </si>
  <si>
    <t>必</t>
    <phoneticPr fontId="9"/>
  </si>
  <si>
    <t>入</t>
  </si>
  <si>
    <t>非</t>
  </si>
  <si>
    <t>検</t>
    <phoneticPr fontId="9"/>
  </si>
  <si>
    <t>〇</t>
  </si>
  <si>
    <t>拠点</t>
  </si>
  <si>
    <t>【MSBBPACOM】_共通設計書_アドオン(共通ロジック)にて定義</t>
  </si>
  <si>
    <t>C</t>
  </si>
  <si>
    <t>S</t>
    <phoneticPr fontId="9"/>
  </si>
  <si>
    <t>必</t>
    <rPh sb="0" eb="1">
      <t>ヒツ</t>
    </rPh>
    <phoneticPr fontId="9"/>
  </si>
  <si>
    <t>担当者</t>
  </si>
  <si>
    <t>御見積書作成日(From)</t>
    <phoneticPr fontId="9"/>
  </si>
  <si>
    <t>抽出条件として、御見積書発行日(From)を入力する</t>
  </si>
  <si>
    <t>カ</t>
  </si>
  <si>
    <t>D</t>
    <phoneticPr fontId="9"/>
  </si>
  <si>
    <t>御見積書作成日(To)</t>
    <phoneticPr fontId="9"/>
  </si>
  <si>
    <t>抽出条件として、御見積書発行日(To)を入力する</t>
  </si>
  <si>
    <t>御見積書NO(From)</t>
  </si>
  <si>
    <t>抽出条件として、御見積書NO(From)を入力する</t>
  </si>
  <si>
    <t>T</t>
    <phoneticPr fontId="9"/>
  </si>
  <si>
    <t>御見積書NO(To)</t>
  </si>
  <si>
    <t>抽出条件として、御見積書NO(To)を入力する</t>
  </si>
  <si>
    <t>得意先</t>
  </si>
  <si>
    <t>A</t>
    <phoneticPr fontId="9"/>
  </si>
  <si>
    <t>案件No</t>
  </si>
  <si>
    <t>□未発行、□発行済</t>
    <phoneticPr fontId="9"/>
  </si>
  <si>
    <t>※初期値：☑未発行、□発行済</t>
    <phoneticPr fontId="9"/>
  </si>
  <si>
    <t>チ</t>
  </si>
  <si>
    <t>F</t>
    <phoneticPr fontId="9"/>
  </si>
  <si>
    <t>出力一覧</t>
    <phoneticPr fontId="9"/>
  </si>
  <si>
    <t>行番を表示</t>
  </si>
  <si>
    <t>N</t>
    <phoneticPr fontId="9"/>
  </si>
  <si>
    <t>担当</t>
  </si>
  <si>
    <t>担当を表示</t>
  </si>
  <si>
    <t>担当者名</t>
  </si>
  <si>
    <t>担当者名を表示</t>
  </si>
  <si>
    <t>得意先を表示</t>
  </si>
  <si>
    <t>得意先名</t>
  </si>
  <si>
    <t>得意先名を表示</t>
  </si>
  <si>
    <t>案件NO</t>
  </si>
  <si>
    <t>案件NOを表示</t>
  </si>
  <si>
    <t>案件名</t>
  </si>
  <si>
    <t>案件名を表示</t>
  </si>
  <si>
    <t>御見積書NOを表示</t>
  </si>
  <si>
    <t>御見積書発行日</t>
  </si>
  <si>
    <t>御見積書発行日を表示</t>
  </si>
  <si>
    <t>顧客品名1</t>
    <phoneticPr fontId="9"/>
  </si>
  <si>
    <t>(1行目)</t>
    <rPh sb="2" eb="4">
      <t>ギョウメ</t>
    </rPh>
    <phoneticPr fontId="9"/>
  </si>
  <si>
    <t>顧客品名1を表示</t>
  </si>
  <si>
    <t>顧客品名2</t>
    <phoneticPr fontId="9"/>
  </si>
  <si>
    <t>顧客品名2を表示</t>
  </si>
  <si>
    <t>見積数</t>
  </si>
  <si>
    <t>見積数を表示</t>
  </si>
  <si>
    <t>単価</t>
  </si>
  <si>
    <t>単価を表示</t>
  </si>
  <si>
    <t>金額</t>
  </si>
  <si>
    <t>金額を表示</t>
  </si>
  <si>
    <t>合計金額</t>
  </si>
  <si>
    <t>合計金額を表示</t>
  </si>
  <si>
    <t>ステータスを表示</t>
  </si>
  <si>
    <t>●</t>
  </si>
  <si>
    <t>発行</t>
  </si>
  <si>
    <t>帳票を出力する場合にチェックする</t>
  </si>
  <si>
    <t>FSC管理NOを表示</t>
  </si>
  <si>
    <t>発行済</t>
  </si>
  <si>
    <t>未発行・発行済を表示</t>
    <rPh sb="0" eb="3">
      <t>ミハッコウ</t>
    </rPh>
    <phoneticPr fontId="9"/>
  </si>
  <si>
    <t>共通項目</t>
    <phoneticPr fontId="9"/>
  </si>
  <si>
    <t>FSCチェックシート一覧の発行チェックを全てチェック=ONとする</t>
    <rPh sb="10" eb="12">
      <t>イチラン</t>
    </rPh>
    <rPh sb="13" eb="15">
      <t>ハッコウ</t>
    </rPh>
    <rPh sb="20" eb="21">
      <t>スベ</t>
    </rPh>
    <phoneticPr fontId="9"/>
  </si>
  <si>
    <t>チ</t>
    <phoneticPr fontId="9"/>
  </si>
  <si>
    <t>FSCチェックシート一覧の発行チェックを全てチェック=OFFとする</t>
    <phoneticPr fontId="9"/>
  </si>
  <si>
    <t>出力フォーマット</t>
  </si>
  <si>
    <t>出力フォーマットを選択する</t>
    <rPh sb="9" eb="11">
      <t>センタク</t>
    </rPh>
    <phoneticPr fontId="9"/>
  </si>
  <si>
    <t>フッター</t>
    <phoneticPr fontId="9"/>
  </si>
  <si>
    <t>クリア</t>
    <phoneticPr fontId="9"/>
  </si>
  <si>
    <t>画面を初期化する</t>
    <rPh sb="0" eb="2">
      <t>ガメン</t>
    </rPh>
    <rPh sb="3" eb="6">
      <t>ショキカ</t>
    </rPh>
    <phoneticPr fontId="9"/>
  </si>
  <si>
    <t>B</t>
  </si>
  <si>
    <t>表示</t>
    <rPh sb="0" eb="2">
      <t>ヒョウジ</t>
    </rPh>
    <phoneticPr fontId="9"/>
  </si>
  <si>
    <t>抽出条件をもとにWebFSC製品化チェックシート一覧に結果を表示する</t>
    <rPh sb="0" eb="4">
      <t>チュウシュツジョウケン</t>
    </rPh>
    <rPh sb="24" eb="26">
      <t>イチラン</t>
    </rPh>
    <rPh sb="27" eb="29">
      <t>ケッカ</t>
    </rPh>
    <rPh sb="30" eb="32">
      <t>ヒョウジ</t>
    </rPh>
    <phoneticPr fontId="9"/>
  </si>
  <si>
    <t>チェックシート発行</t>
    <phoneticPr fontId="9"/>
  </si>
  <si>
    <t>選択されたFSC製品化チェックシートを一括出力</t>
    <phoneticPr fontId="9"/>
  </si>
  <si>
    <t>B</t>
    <phoneticPr fontId="9"/>
  </si>
  <si>
    <t>No</t>
    <phoneticPr fontId="9"/>
  </si>
  <si>
    <t>入力</t>
    <rPh sb="0" eb="2">
      <t>ニュウリョク</t>
    </rPh>
    <phoneticPr fontId="9"/>
  </si>
  <si>
    <t>処理</t>
    <rPh sb="0" eb="2">
      <t>ショリ</t>
    </rPh>
    <phoneticPr fontId="9"/>
  </si>
  <si>
    <t>出力</t>
    <rPh sb="0" eb="2">
      <t>シュツリョク</t>
    </rPh>
    <phoneticPr fontId="9"/>
  </si>
  <si>
    <t>初期表示</t>
    <phoneticPr fontId="9"/>
  </si>
  <si>
    <t>1.初期設定</t>
    <rPh sb="2" eb="4">
      <t>ショキ</t>
    </rPh>
    <rPh sb="4" eb="6">
      <t>セッテイ</t>
    </rPh>
    <phoneticPr fontId="9"/>
  </si>
  <si>
    <t>：</t>
    <phoneticPr fontId="9"/>
  </si>
  <si>
    <t>ログインに紐づく拠点CDを表示する</t>
    <rPh sb="5" eb="6">
      <t>ヒモ</t>
    </rPh>
    <rPh sb="8" eb="10">
      <t>キョテン</t>
    </rPh>
    <rPh sb="13" eb="15">
      <t>ヒョウジ</t>
    </rPh>
    <phoneticPr fontId="9"/>
  </si>
  <si>
    <t>ログイン.管理者区分 = 0(一般ユーザー時)、変更不可とする</t>
    <rPh sb="15" eb="17">
      <t>イッパン</t>
    </rPh>
    <rPh sb="21" eb="22">
      <t>ジ</t>
    </rPh>
    <rPh sb="24" eb="28">
      <t>ヘンコウフカ</t>
    </rPh>
    <phoneticPr fontId="9"/>
  </si>
  <si>
    <t>担当者</t>
    <phoneticPr fontId="9"/>
  </si>
  <si>
    <t>ログイン担当者CDを表示する</t>
    <rPh sb="4" eb="7">
      <t>タントウシャ</t>
    </rPh>
    <rPh sb="10" eb="12">
      <t>ヒョウジ</t>
    </rPh>
    <phoneticPr fontId="9"/>
  </si>
  <si>
    <t>ステータス</t>
  </si>
  <si>
    <t>未発行にチェック(発行済みはチェックなし)</t>
    <rPh sb="0" eb="3">
      <t>ミハッコウ</t>
    </rPh>
    <rPh sb="9" eb="12">
      <t>ハッコウズ</t>
    </rPh>
    <phoneticPr fontId="9"/>
  </si>
  <si>
    <t>web.config定義(MSBBPA100_ExcelFormat01～10)まで読込み設定分(入力分)</t>
    <rPh sb="42" eb="44">
      <t>ヨミコ</t>
    </rPh>
    <rPh sb="45" eb="48">
      <t>セッテイブン</t>
    </rPh>
    <rPh sb="49" eb="52">
      <t>ニュウリョクブン</t>
    </rPh>
    <phoneticPr fontId="9"/>
  </si>
  <si>
    <t>出力フォーマット コンボボックスに名称をセットする</t>
    <rPh sb="17" eb="19">
      <t>メイショウ</t>
    </rPh>
    <phoneticPr fontId="9"/>
  </si>
  <si>
    <t>設定例</t>
    <rPh sb="0" eb="3">
      <t>セッテイレイ</t>
    </rPh>
    <phoneticPr fontId="9"/>
  </si>
  <si>
    <t>web.config定義</t>
    <phoneticPr fontId="9"/>
  </si>
  <si>
    <t>key</t>
    <phoneticPr fontId="9"/>
  </si>
  <si>
    <t>value(名称,ひな型保存パス(サーバパス))</t>
    <phoneticPr fontId="9"/>
  </si>
  <si>
    <t>MSBBPA100_ExcelFormat01</t>
    <phoneticPr fontId="9"/>
  </si>
  <si>
    <t>製品用チェックシート,C:\temp\A.xls</t>
    <rPh sb="0" eb="3">
      <t>セイヒンヨウ</t>
    </rPh>
    <phoneticPr fontId="8"/>
  </si>
  <si>
    <t>MSBBPA100_ExcelFormat02</t>
    <phoneticPr fontId="9"/>
  </si>
  <si>
    <t>○○用チェックシート,C:\temp\b.xlsx</t>
    <phoneticPr fontId="9"/>
  </si>
  <si>
    <t>製品用チェックシート</t>
    <phoneticPr fontId="9"/>
  </si>
  <si>
    <t>←コンボボックスの中身</t>
    <rPh sb="9" eb="11">
      <t>ナカミ</t>
    </rPh>
    <phoneticPr fontId="9"/>
  </si>
  <si>
    <t>○○用チェックシート</t>
    <phoneticPr fontId="9"/>
  </si>
  <si>
    <t>※ひな型保存パス(サーバパス)は、FSC製品化チェックシート出力時に使用する</t>
    <rPh sb="20" eb="23">
      <t>セイヒンカ</t>
    </rPh>
    <rPh sb="30" eb="33">
      <t>シュツリョクジ</t>
    </rPh>
    <rPh sb="34" eb="36">
      <t>シヨウ</t>
    </rPh>
    <phoneticPr fontId="9"/>
  </si>
  <si>
    <t>2.表示処理</t>
    <phoneticPr fontId="9"/>
  </si>
  <si>
    <t>抽出条件をもと一覧に結果を表示する</t>
  </si>
  <si>
    <t>※検索結果が0件の場合、メッセージを表示する</t>
    <rPh sb="1" eb="3">
      <t>ケンサク</t>
    </rPh>
    <rPh sb="3" eb="5">
      <t>ケッカ</t>
    </rPh>
    <rPh sb="7" eb="8">
      <t>ケン</t>
    </rPh>
    <rPh sb="9" eb="11">
      <t>バアイ</t>
    </rPh>
    <rPh sb="18" eb="20">
      <t>ヒョウジ</t>
    </rPh>
    <phoneticPr fontId="9"/>
  </si>
  <si>
    <t>エラーメッセージ：検索結果がありません。</t>
    <rPh sb="9" eb="13">
      <t>ケンサクケッカ</t>
    </rPh>
    <phoneticPr fontId="9"/>
  </si>
  <si>
    <t>メッセージID.001</t>
    <phoneticPr fontId="9"/>
  </si>
  <si>
    <t>2</t>
    <phoneticPr fontId="9"/>
  </si>
  <si>
    <t>クリア</t>
  </si>
  <si>
    <t>1.画面を初期化する(起動時の状態とする)</t>
    <phoneticPr fontId="9"/>
  </si>
  <si>
    <t>3</t>
    <phoneticPr fontId="9"/>
  </si>
  <si>
    <t>表示</t>
  </si>
  <si>
    <t>1.表示チェック処理</t>
    <phoneticPr fontId="9"/>
  </si>
  <si>
    <t>チェック処理にてエラーとなった場合、後続処理をキャンセルする</t>
    <rPh sb="4" eb="6">
      <t>ショリ</t>
    </rPh>
    <rPh sb="15" eb="17">
      <t>バアイ</t>
    </rPh>
    <rPh sb="18" eb="22">
      <t>コウゾクショリ</t>
    </rPh>
    <phoneticPr fontId="9"/>
  </si>
  <si>
    <t>必須チェック</t>
    <rPh sb="0" eb="2">
      <t>ヒッス</t>
    </rPh>
    <phoneticPr fontId="9"/>
  </si>
  <si>
    <t>エラーメッセージ：必須項目に値が指定されていません。項目名：パラメータ</t>
  </si>
  <si>
    <t>メッセージID.002</t>
    <phoneticPr fontId="9"/>
  </si>
  <si>
    <t>FROM～TOの整合性チェック</t>
    <rPh sb="8" eb="11">
      <t>セイゴウセイ</t>
    </rPh>
    <phoneticPr fontId="9"/>
  </si>
  <si>
    <t>エラーメッセージ：FROM≦TOの関係で指定してください。</t>
    <phoneticPr fontId="9"/>
  </si>
  <si>
    <t>メッセージID.003</t>
    <phoneticPr fontId="9"/>
  </si>
  <si>
    <t>チェックボックスチェック有無</t>
    <rPh sb="12" eb="14">
      <t>ウム</t>
    </rPh>
    <phoneticPr fontId="9"/>
  </si>
  <si>
    <t>エラーメッセージ：いずれかを選択してください。</t>
    <rPh sb="14" eb="16">
      <t>センタク</t>
    </rPh>
    <phoneticPr fontId="9"/>
  </si>
  <si>
    <t>メッセージID.004</t>
    <phoneticPr fontId="9"/>
  </si>
  <si>
    <t>2.抽出条件をもとに一覧に結果を表示する</t>
    <phoneticPr fontId="9"/>
  </si>
  <si>
    <t>検索入出力仕様.NO1</t>
    <phoneticPr fontId="9"/>
  </si>
  <si>
    <t>4</t>
    <phoneticPr fontId="9"/>
  </si>
  <si>
    <t>FSC製品化チェックシート帳票発行</t>
    <phoneticPr fontId="9"/>
  </si>
  <si>
    <t>1.FSC製品化チェックシート帳票発行 チェック処理</t>
    <phoneticPr fontId="9"/>
  </si>
  <si>
    <t>必須チェック(出力フォーマット)</t>
    <rPh sb="0" eb="2">
      <t>ヒッス</t>
    </rPh>
    <rPh sb="7" eb="9">
      <t>シュツリョク</t>
    </rPh>
    <phoneticPr fontId="9"/>
  </si>
  <si>
    <t>エラーメッセージ：必須項目に値が指定されていません。</t>
    <phoneticPr fontId="9"/>
  </si>
  <si>
    <t>メッセージID.005</t>
    <phoneticPr fontId="9"/>
  </si>
  <si>
    <t>一覧にデータが無いもしくは発行対象行が選択されてない場合、下記メッセージを表示</t>
    <rPh sb="13" eb="15">
      <t>ハッコウ</t>
    </rPh>
    <phoneticPr fontId="9"/>
  </si>
  <si>
    <t>エラーメッセージ：選択行がありません。</t>
    <rPh sb="9" eb="12">
      <t>センタクギョウ</t>
    </rPh>
    <phoneticPr fontId="9"/>
  </si>
  <si>
    <t>メッセージID.006</t>
    <phoneticPr fontId="9"/>
  </si>
  <si>
    <t>2.チェックされた対象分、チェックシートを繰り返し発行する。</t>
    <phoneticPr fontId="9"/>
  </si>
  <si>
    <t>①新規発行データに対しては、FSC管理NOを採番し、FSCチェックシート発行日に本日日付を更新する</t>
    <phoneticPr fontId="9"/>
  </si>
  <si>
    <t>更新入出力仕様.NO1</t>
    <phoneticPr fontId="9"/>
  </si>
  <si>
    <t>※御見積書、見積計算書にFSC管理NOを保存</t>
    <rPh sb="6" eb="11">
      <t>ミツモリケイサンショ</t>
    </rPh>
    <phoneticPr fontId="9"/>
  </si>
  <si>
    <t>更新入出力仕様.NO2</t>
    <phoneticPr fontId="9"/>
  </si>
  <si>
    <t>②FSC製品化チェックシート帳票を発行</t>
    <phoneticPr fontId="9"/>
  </si>
  <si>
    <t>チェック分、EXCELファイルを生成する</t>
    <rPh sb="4" eb="5">
      <t>ブン</t>
    </rPh>
    <rPh sb="16" eb="18">
      <t>セイセイ</t>
    </rPh>
    <phoneticPr fontId="9"/>
  </si>
  <si>
    <t>(2行チェック時は、2ファイル出力されます、ダウンロード保存ダイアログも出力分表示する)</t>
    <rPh sb="28" eb="30">
      <t>ホゾン</t>
    </rPh>
    <rPh sb="36" eb="38">
      <t>シュツリョク</t>
    </rPh>
    <rPh sb="38" eb="39">
      <t>ブン</t>
    </rPh>
    <rPh sb="39" eb="41">
      <t>ヒョウジ</t>
    </rPh>
    <phoneticPr fontId="9"/>
  </si>
  <si>
    <t>※ファイル名は、web.config定義(ExcelFileName_MSBBPA100)_FSC管理NOとする</t>
    <rPh sb="5" eb="6">
      <t>メイ</t>
    </rPh>
    <phoneticPr fontId="9"/>
  </si>
  <si>
    <t>帳票出力は、【MSBBRA040】_帳票設計書_アドオン(FSC製品化チェックシート)を参照</t>
    <rPh sb="0" eb="2">
      <t>チョウヒョウ</t>
    </rPh>
    <rPh sb="2" eb="4">
      <t>シュツリョク</t>
    </rPh>
    <rPh sb="44" eb="46">
      <t>サンショウ</t>
    </rPh>
    <phoneticPr fontId="9"/>
  </si>
  <si>
    <t>検索処理</t>
    <rPh sb="0" eb="4">
      <t>ケンサクショリ</t>
    </rPh>
    <phoneticPr fontId="9"/>
  </si>
  <si>
    <t>備考</t>
    <rPh sb="0" eb="2">
      <t>ビコウ</t>
    </rPh>
    <phoneticPr fontId="9"/>
  </si>
  <si>
    <t>表示ボタンクリック時処理</t>
    <rPh sb="0" eb="2">
      <t>ヒョウジ</t>
    </rPh>
    <rPh sb="9" eb="10">
      <t>ジ</t>
    </rPh>
    <rPh sb="10" eb="12">
      <t>ショリ</t>
    </rPh>
    <phoneticPr fontId="9"/>
  </si>
  <si>
    <t>処理分類</t>
    <rPh sb="0" eb="2">
      <t>ショリ</t>
    </rPh>
    <rPh sb="2" eb="4">
      <t>ブンルイ</t>
    </rPh>
    <phoneticPr fontId="9"/>
  </si>
  <si>
    <t>検索</t>
    <rPh sb="0" eb="2">
      <t>ケンサク</t>
    </rPh>
    <phoneticPr fontId="9"/>
  </si>
  <si>
    <t>ソート順</t>
    <rPh sb="3" eb="4">
      <t>ジュン</t>
    </rPh>
    <phoneticPr fontId="9"/>
  </si>
  <si>
    <t>担当、得意先、案件NO、見積計算書NO、</t>
    <rPh sb="0" eb="2">
      <t>タントウ</t>
    </rPh>
    <rPh sb="3" eb="6">
      <t>トクイサキ</t>
    </rPh>
    <rPh sb="7" eb="9">
      <t>アンケン</t>
    </rPh>
    <phoneticPr fontId="9"/>
  </si>
  <si>
    <t>転送先</t>
    <rPh sb="0" eb="2">
      <t>テンソウ</t>
    </rPh>
    <rPh sb="2" eb="3">
      <t>サキ</t>
    </rPh>
    <phoneticPr fontId="9"/>
  </si>
  <si>
    <t>転送元</t>
    <rPh sb="0" eb="2">
      <t>テンソウ</t>
    </rPh>
    <rPh sb="2" eb="3">
      <t>モト</t>
    </rPh>
    <phoneticPr fontId="9"/>
  </si>
  <si>
    <t>説明</t>
    <rPh sb="0" eb="2">
      <t>セツメイ</t>
    </rPh>
    <phoneticPr fontId="9"/>
  </si>
  <si>
    <t>種</t>
    <rPh sb="0" eb="1">
      <t>タネ</t>
    </rPh>
    <phoneticPr fontId="9"/>
  </si>
  <si>
    <t>オブジェクト</t>
    <phoneticPr fontId="9"/>
  </si>
  <si>
    <t>項目名</t>
    <rPh sb="0" eb="2">
      <t>コウモク</t>
    </rPh>
    <rPh sb="2" eb="3">
      <t>メイ</t>
    </rPh>
    <phoneticPr fontId="9"/>
  </si>
  <si>
    <t>画</t>
    <rPh sb="0" eb="1">
      <t>ガ</t>
    </rPh>
    <phoneticPr fontId="9"/>
  </si>
  <si>
    <t>FSC製品化チェックシート</t>
    <phoneticPr fontId="9"/>
  </si>
  <si>
    <t>行番</t>
    <rPh sb="0" eb="2">
      <t>ギョウバン</t>
    </rPh>
    <phoneticPr fontId="9"/>
  </si>
  <si>
    <t>画</t>
    <phoneticPr fontId="9"/>
  </si>
  <si>
    <t>FSC製品化チェックシート</t>
  </si>
  <si>
    <t>御見積書</t>
    <phoneticPr fontId="9"/>
  </si>
  <si>
    <t>担当</t>
    <phoneticPr fontId="9"/>
  </si>
  <si>
    <t>担当者名</t>
    <rPh sb="3" eb="4">
      <t>メイ</t>
    </rPh>
    <phoneticPr fontId="9"/>
  </si>
  <si>
    <t>ヒアリングシート</t>
    <phoneticPr fontId="9"/>
  </si>
  <si>
    <t>見積計算書</t>
    <phoneticPr fontId="9"/>
  </si>
  <si>
    <t>御見積書発行日</t>
    <phoneticPr fontId="9"/>
  </si>
  <si>
    <t>顧客品名</t>
  </si>
  <si>
    <t>御見積書明細(印字用)</t>
    <phoneticPr fontId="9"/>
  </si>
  <si>
    <t>御見積書明細(印字用).明細NO=1</t>
    <rPh sb="12" eb="14">
      <t>メイサイ</t>
    </rPh>
    <phoneticPr fontId="9"/>
  </si>
  <si>
    <t>御見積書明細(印字用)</t>
  </si>
  <si>
    <t>御見積書明細(印字用).明細NO=1</t>
  </si>
  <si>
    <t>単価</t>
    <phoneticPr fontId="9"/>
  </si>
  <si>
    <t>合計金額</t>
    <rPh sb="0" eb="2">
      <t>ゴウケイ</t>
    </rPh>
    <phoneticPr fontId="9"/>
  </si>
  <si>
    <t>[固定値:0] ※チェック無し</t>
    <rPh sb="1" eb="4">
      <t>コテイチ</t>
    </rPh>
    <rPh sb="13" eb="14">
      <t>ナ</t>
    </rPh>
    <phoneticPr fontId="9"/>
  </si>
  <si>
    <t>FSC管理NO</t>
    <phoneticPr fontId="9"/>
  </si>
  <si>
    <t>FSC管理NOあり：発行済、以外空白。</t>
    <rPh sb="14" eb="16">
      <t>イガイ</t>
    </rPh>
    <rPh sb="16" eb="18">
      <t>クウハク</t>
    </rPh>
    <phoneticPr fontId="9"/>
  </si>
  <si>
    <t>ロジック名称</t>
    <rPh sb="4" eb="6">
      <t>メイショウ</t>
    </rPh>
    <phoneticPr fontId="9"/>
  </si>
  <si>
    <t>ファイル出力</t>
    <phoneticPr fontId="9"/>
  </si>
  <si>
    <t>ファイル出力</t>
    <rPh sb="4" eb="6">
      <t>シュツリョク</t>
    </rPh>
    <phoneticPr fontId="9"/>
  </si>
  <si>
    <t>フ</t>
    <phoneticPr fontId="9"/>
  </si>
  <si>
    <t>画</t>
  </si>
  <si>
    <t>Upd01</t>
    <phoneticPr fontId="9"/>
  </si>
  <si>
    <t>更新</t>
    <rPh sb="0" eb="2">
      <t>コウシン</t>
    </rPh>
    <phoneticPr fontId="9"/>
  </si>
  <si>
    <t>WEB御見積書</t>
    <phoneticPr fontId="9"/>
  </si>
  <si>
    <t>採番</t>
    <phoneticPr fontId="9"/>
  </si>
  <si>
    <t>FSCチェックシート発行日</t>
  </si>
  <si>
    <t>[本日日付]</t>
    <rPh sb="1" eb="5">
      <t>ホンジツヒヅケ</t>
    </rPh>
    <phoneticPr fontId="9"/>
  </si>
  <si>
    <t>Upd02</t>
    <phoneticPr fontId="9"/>
  </si>
  <si>
    <t>WEB見積計算書</t>
    <rPh sb="3" eb="8">
      <t>ミツモリケイサンショ</t>
    </rPh>
    <phoneticPr fontId="9"/>
  </si>
  <si>
    <t>FSC管理NO：採番に関して</t>
    <phoneticPr fontId="9"/>
  </si>
  <si>
    <t>頭文字(web.config定義(MSBBPA100_FSCNO_INITIAL)) + ORACLEシーケンスを使用する(数値のみ)</t>
    <rPh sb="0" eb="3">
      <t>カシラモジ</t>
    </rPh>
    <rPh sb="57" eb="59">
      <t>シヨウ</t>
    </rPh>
    <rPh sb="62" eb="64">
      <t>スウチ</t>
    </rPh>
    <phoneticPr fontId="9"/>
  </si>
  <si>
    <t>頭文字は空白設定可能</t>
    <rPh sb="4" eb="10">
      <t>クウハクセッテイカノウ</t>
    </rPh>
    <phoneticPr fontId="9"/>
  </si>
  <si>
    <t>※FSC管理NO：ORACLEシーケンスのため、空き番は発生する (御見積書のデータ削除等の操作等)</t>
    <rPh sb="24" eb="25">
      <t>ア</t>
    </rPh>
    <rPh sb="26" eb="27">
      <t>バン</t>
    </rPh>
    <rPh sb="28" eb="30">
      <t>ハッセイ</t>
    </rPh>
    <rPh sb="34" eb="38">
      <t>オミツモリショ</t>
    </rPh>
    <rPh sb="42" eb="44">
      <t>サクジョ</t>
    </rPh>
    <rPh sb="44" eb="45">
      <t>ナド</t>
    </rPh>
    <rPh sb="46" eb="48">
      <t>ソウサ</t>
    </rPh>
    <rPh sb="48" eb="49">
      <t>トウ</t>
    </rPh>
    <phoneticPr fontId="9"/>
  </si>
  <si>
    <t>補足</t>
    <rPh sb="0" eb="2">
      <t>ホソク</t>
    </rPh>
    <phoneticPr fontId="9"/>
  </si>
  <si>
    <t>参照テーブル</t>
    <rPh sb="0" eb="2">
      <t>サンショウ</t>
    </rPh>
    <phoneticPr fontId="9"/>
  </si>
  <si>
    <t>結合条件</t>
    <rPh sb="0" eb="4">
      <t>ケツゴウジョウケン</t>
    </rPh>
    <phoneticPr fontId="9"/>
  </si>
  <si>
    <t>WEB御見積書見積計算書</t>
    <phoneticPr fontId="9"/>
  </si>
  <si>
    <t>WEB御見積書.御見積書NO = WEB御見積書見積計算書.御見積書NO</t>
    <phoneticPr fontId="9"/>
  </si>
  <si>
    <t>AND WEB御見積書見積計算書.確定FLG = 1</t>
    <phoneticPr fontId="9"/>
  </si>
  <si>
    <t>→WEB御見積書見積計算書を結合条件を条件に取得し、取得分のWEB見積計算書.見積計算書NOに対して、FSC管理NOを更新する</t>
    <rPh sb="14" eb="18">
      <t>ケツゴウジョウケン</t>
    </rPh>
    <rPh sb="19" eb="21">
      <t>ジョウケン</t>
    </rPh>
    <rPh sb="22" eb="24">
      <t>シュトク</t>
    </rPh>
    <rPh sb="26" eb="29">
      <t>シュトクブン</t>
    </rPh>
    <rPh sb="33" eb="38">
      <t>ミツモリケイサンショ</t>
    </rPh>
    <rPh sb="39" eb="44">
      <t>ミツモリケイサンショ</t>
    </rPh>
    <rPh sb="47" eb="48">
      <t>タイ</t>
    </rPh>
    <rPh sb="54" eb="56">
      <t>カンリ</t>
    </rPh>
    <rPh sb="59" eb="61">
      <t>コウシン</t>
    </rPh>
    <phoneticPr fontId="9"/>
  </si>
  <si>
    <t>画面遷移フロー図</t>
    <rPh sb="0" eb="4">
      <t>ガメンセンイ</t>
    </rPh>
    <rPh sb="7" eb="8">
      <t>ズ</t>
    </rPh>
    <phoneticPr fontId="9"/>
  </si>
  <si>
    <t>ＩＤ</t>
    <phoneticPr fontId="9"/>
  </si>
  <si>
    <t>S01</t>
    <phoneticPr fontId="9"/>
  </si>
  <si>
    <t>WebFSC製品化チェックシート出力から他画面の画面遷移</t>
    <rPh sb="20" eb="21">
      <t>ホカ</t>
    </rPh>
    <rPh sb="21" eb="23">
      <t>ガメン</t>
    </rPh>
    <rPh sb="24" eb="26">
      <t>ガメン</t>
    </rPh>
    <rPh sb="26" eb="28">
      <t>センイ</t>
    </rPh>
    <phoneticPr fontId="9"/>
  </si>
  <si>
    <t>NO1</t>
    <phoneticPr fontId="9"/>
  </si>
  <si>
    <t>Web取引先一覧照会</t>
    <rPh sb="3" eb="5">
      <t>トリヒキ</t>
    </rPh>
    <rPh sb="5" eb="6">
      <t>サキ</t>
    </rPh>
    <rPh sb="6" eb="8">
      <t>イチラン</t>
    </rPh>
    <rPh sb="8" eb="10">
      <t>ショウカイ</t>
    </rPh>
    <phoneticPr fontId="9"/>
  </si>
  <si>
    <t>WebFSC製品化チェックシート出力</t>
  </si>
  <si>
    <t>NO2</t>
    <phoneticPr fontId="9"/>
  </si>
  <si>
    <t>Web汎用検索(共通検索)</t>
    <rPh sb="3" eb="5">
      <t>ハンヨウ</t>
    </rPh>
    <rPh sb="5" eb="7">
      <t>ケンサク</t>
    </rPh>
    <rPh sb="8" eb="10">
      <t>キョウツウ</t>
    </rPh>
    <rPh sb="10" eb="12">
      <t>ケンサク</t>
    </rPh>
    <phoneticPr fontId="9"/>
  </si>
  <si>
    <t>ID</t>
    <phoneticPr fontId="9"/>
  </si>
  <si>
    <t>処理名</t>
    <rPh sb="0" eb="2">
      <t>ショリ</t>
    </rPh>
    <rPh sb="2" eb="3">
      <t>メイ</t>
    </rPh>
    <phoneticPr fontId="9"/>
  </si>
  <si>
    <t>WebFSC製品化チェックシート出力から他画面の画面遷移</t>
  </si>
  <si>
    <t>NO</t>
    <phoneticPr fontId="9"/>
  </si>
  <si>
    <t>遷移元ＩＤ</t>
    <phoneticPr fontId="9"/>
  </si>
  <si>
    <t>遷移元画面名</t>
    <rPh sb="3" eb="5">
      <t>ガメン</t>
    </rPh>
    <rPh sb="5" eb="6">
      <t>メイ</t>
    </rPh>
    <phoneticPr fontId="9"/>
  </si>
  <si>
    <t>遷移先ＩＤ</t>
    <rPh sb="2" eb="3">
      <t>サキ</t>
    </rPh>
    <phoneticPr fontId="9"/>
  </si>
  <si>
    <t>遷移先画面名</t>
    <rPh sb="3" eb="5">
      <t>ガメン</t>
    </rPh>
    <rPh sb="5" eb="6">
      <t>メイ</t>
    </rPh>
    <phoneticPr fontId="9"/>
  </si>
  <si>
    <t>目的</t>
    <rPh sb="0" eb="2">
      <t>モクテキ</t>
    </rPh>
    <phoneticPr fontId="9"/>
  </si>
  <si>
    <t>引継項目</t>
    <phoneticPr fontId="9"/>
  </si>
  <si>
    <t>遷移後のアクション(遷移先)</t>
    <rPh sb="12" eb="13">
      <t>サキ</t>
    </rPh>
    <phoneticPr fontId="9"/>
  </si>
  <si>
    <t>戻り値</t>
    <rPh sb="0" eb="1">
      <t>モド</t>
    </rPh>
    <rPh sb="2" eb="3">
      <t>チ</t>
    </rPh>
    <phoneticPr fontId="9"/>
  </si>
  <si>
    <t>戻り値取得後のアクション(遷移元)</t>
    <rPh sb="0" eb="1">
      <t>モド</t>
    </rPh>
    <rPh sb="2" eb="3">
      <t>チ</t>
    </rPh>
    <rPh sb="3" eb="6">
      <t>シュトクゴ</t>
    </rPh>
    <rPh sb="13" eb="16">
      <t>センイモト</t>
    </rPh>
    <phoneticPr fontId="9"/>
  </si>
  <si>
    <t>MSBBPA020</t>
    <phoneticPr fontId="9"/>
  </si>
  <si>
    <t>Web取引先一覧照会</t>
    <phoneticPr fontId="9"/>
  </si>
  <si>
    <t>検索結果取得</t>
    <rPh sb="0" eb="2">
      <t>ケンサク</t>
    </rPh>
    <rPh sb="2" eb="4">
      <t>ケッカ</t>
    </rPh>
    <rPh sb="4" eb="6">
      <t>シュトク</t>
    </rPh>
    <phoneticPr fontId="9"/>
  </si>
  <si>
    <t>得意先ＦＬＧ=1</t>
    <phoneticPr fontId="9"/>
  </si>
  <si>
    <t>検索</t>
    <phoneticPr fontId="9"/>
  </si>
  <si>
    <t>取引先選択データ(1行)</t>
    <rPh sb="0" eb="3">
      <t>トリヒキサキ</t>
    </rPh>
    <phoneticPr fontId="9"/>
  </si>
  <si>
    <t>対象データに値セット</t>
    <rPh sb="0" eb="2">
      <t>タイショウ</t>
    </rPh>
    <rPh sb="6" eb="7">
      <t>アタイ</t>
    </rPh>
    <phoneticPr fontId="9"/>
  </si>
  <si>
    <t>得意先CD、得意先名に値セット</t>
    <rPh sb="0" eb="3">
      <t>トクイサキ</t>
    </rPh>
    <rPh sb="6" eb="10">
      <t>トクイサキメイ</t>
    </rPh>
    <rPh sb="11" eb="12">
      <t>アタイ</t>
    </rPh>
    <phoneticPr fontId="9"/>
  </si>
  <si>
    <t>MSBBPA900</t>
  </si>
  <si>
    <t>Web汎用検索(共通検索)</t>
    <phoneticPr fontId="9"/>
  </si>
  <si>
    <t>各種検索画面の選択データ(1行)</t>
    <rPh sb="0" eb="6">
      <t>カクシュケンサクガメン</t>
    </rPh>
    <phoneticPr fontId="11"/>
  </si>
  <si>
    <t>対象データに値セット</t>
    <rPh sb="0" eb="2">
      <t>タイショウ</t>
    </rPh>
    <rPh sb="6" eb="7">
      <t>アタイ</t>
    </rPh>
    <phoneticPr fontId="11"/>
  </si>
  <si>
    <t>CD、名称に値セット</t>
  </si>
  <si>
    <t>↓アドオン画面のため、基本全て[新]</t>
    <rPh sb="5" eb="7">
      <t>ガメン</t>
    </rPh>
    <rPh sb="11" eb="13">
      <t>キホン</t>
    </rPh>
    <rPh sb="13" eb="14">
      <t>スベ</t>
    </rPh>
    <rPh sb="16" eb="17">
      <t>シン</t>
    </rPh>
    <phoneticPr fontId="9"/>
  </si>
  <si>
    <t>新/変</t>
    <rPh sb="0" eb="1">
      <t>シン</t>
    </rPh>
    <rPh sb="2" eb="3">
      <t>ヘン</t>
    </rPh>
    <phoneticPr fontId="9"/>
  </si>
  <si>
    <t>種別</t>
    <rPh sb="0" eb="2">
      <t>シュベツ</t>
    </rPh>
    <phoneticPr fontId="9"/>
  </si>
  <si>
    <t>メッセージ内容</t>
    <rPh sb="5" eb="7">
      <t>ナイヨウ</t>
    </rPh>
    <phoneticPr fontId="9"/>
  </si>
  <si>
    <t>備考（パラメータ等）</t>
    <rPh sb="0" eb="2">
      <t>ビコウ</t>
    </rPh>
    <rPh sb="8" eb="9">
      <t>トウ</t>
    </rPh>
    <phoneticPr fontId="9"/>
  </si>
  <si>
    <t>メッセージID</t>
    <phoneticPr fontId="9"/>
  </si>
  <si>
    <t>新</t>
    <rPh sb="0" eb="1">
      <t>シン</t>
    </rPh>
    <phoneticPr fontId="9"/>
  </si>
  <si>
    <t>W</t>
    <phoneticPr fontId="9"/>
  </si>
  <si>
    <t>「必須項目に値が指定されていません。」</t>
    <phoneticPr fontId="9"/>
  </si>
  <si>
    <t>「FROM≦TOの関係で指定してください。」</t>
    <phoneticPr fontId="9"/>
  </si>
  <si>
    <t>御見積書作成日</t>
  </si>
  <si>
    <t>「いずれかを選択してください。」</t>
  </si>
  <si>
    <t>「選択行がありません。」</t>
    <phoneticPr fontId="9"/>
  </si>
  <si>
    <t>メッセージID.006</t>
  </si>
  <si>
    <r>
      <rPr>
        <sz val="8"/>
        <color rgb="FFFF0000"/>
        <rFont val="メイリオ"/>
        <family val="3"/>
        <charset val="128"/>
      </rPr>
      <t>未発行</t>
    </r>
    <r>
      <rPr>
        <sz val="8"/>
        <rFont val="メイリオ"/>
        <family val="3"/>
        <charset val="128"/>
      </rPr>
      <t>にチェック、</t>
    </r>
    <r>
      <rPr>
        <sz val="8"/>
        <color rgb="FFFF0000"/>
        <rFont val="メイリオ"/>
        <family val="3"/>
        <charset val="128"/>
      </rPr>
      <t>発行済み</t>
    </r>
    <r>
      <rPr>
        <sz val="8"/>
        <rFont val="メイリオ"/>
        <family val="3"/>
        <charset val="128"/>
      </rPr>
      <t>はチェックなし</t>
    </r>
    <rPh sb="0" eb="3">
      <t>ミハッコウ</t>
    </rPh>
    <phoneticPr fontId="9"/>
  </si>
  <si>
    <t>画面操作</t>
    <rPh sb="0" eb="2">
      <t>ガメン</t>
    </rPh>
    <rPh sb="2" eb="4">
      <t>ソウサ</t>
    </rPh>
    <phoneticPr fontId="9"/>
  </si>
  <si>
    <t>2.1</t>
    <phoneticPr fontId="9"/>
  </si>
  <si>
    <t>[抽出条件].検索(+/-)押す</t>
    <rPh sb="14" eb="15">
      <t>オ</t>
    </rPh>
    <phoneticPr fontId="8"/>
  </si>
  <si>
    <t>検索領域を+時…開く、-時…閉じる</t>
    <phoneticPr fontId="9"/>
  </si>
  <si>
    <t>初期設定</t>
  </si>
  <si>
    <t>1.1</t>
    <phoneticPr fontId="9"/>
  </si>
  <si>
    <t>表示処理</t>
    <phoneticPr fontId="9"/>
  </si>
  <si>
    <t>1.2</t>
    <phoneticPr fontId="9"/>
  </si>
  <si>
    <t>2.2</t>
    <phoneticPr fontId="9"/>
  </si>
  <si>
    <t>検索【F1】</t>
    <rPh sb="0" eb="2">
      <t>ケンサク</t>
    </rPh>
    <phoneticPr fontId="9"/>
  </si>
  <si>
    <t>3.2</t>
    <phoneticPr fontId="9"/>
  </si>
  <si>
    <t>3.１</t>
    <phoneticPr fontId="9"/>
  </si>
  <si>
    <t>コンボボックスの初期化</t>
    <phoneticPr fontId="9"/>
  </si>
  <si>
    <t>拠点コンボボックスの初期化</t>
    <phoneticPr fontId="9"/>
  </si>
  <si>
    <t>※</t>
  </si>
  <si>
    <t>拠点検索_SQLリソースの検索仕様</t>
    <phoneticPr fontId="9"/>
  </si>
  <si>
    <t>【MSBBPACOM】_共通設計書_アドオン(Web共通ロジック)の「処理詳細(共通検索)」シート」を参照する。</t>
  </si>
  <si>
    <t>担当者コンボボックスの初期化</t>
    <phoneticPr fontId="9"/>
  </si>
  <si>
    <t>担当者検索_SQLリソースの検索仕様</t>
    <phoneticPr fontId="9"/>
  </si>
  <si>
    <t>3.3</t>
    <phoneticPr fontId="9"/>
  </si>
  <si>
    <t>得意先の検索ボタン処理</t>
  </si>
  <si>
    <t>得意先検索のポップアップ画面へを遷移して、抽出条件をもとに結果を表示したところ、結果を表示したところ、</t>
  </si>
  <si>
    <t>選択結果(1行)を遷移元画面（本画面の得意先NO、得意先名を設定）に返す</t>
  </si>
  <si>
    <t>得意先検索_SQLリソースの検索仕様</t>
  </si>
  <si>
    <t>案件Noの検索ボタン処理</t>
    <phoneticPr fontId="9"/>
  </si>
  <si>
    <t>案件No検索のポップアップ画面へを遷移して、抽出条件をもとに結果を表示したところ、結果を表示したところ、</t>
    <phoneticPr fontId="9"/>
  </si>
  <si>
    <t>選択結果(1行)を遷移元画面（本画面の案件No、案件名を設定）に返す</t>
    <phoneticPr fontId="9"/>
  </si>
  <si>
    <t>案件No検索_SQLリソースの検索仕様</t>
    <phoneticPr fontId="9"/>
  </si>
  <si>
    <t>表示ボタンの検索処理</t>
    <phoneticPr fontId="9"/>
  </si>
  <si>
    <t>必須チェック</t>
    <phoneticPr fontId="9"/>
  </si>
  <si>
    <t>チェックエラーの場合　   メッセージを表示する</t>
  </si>
  <si>
    <t>FROM～TOの整合性チェック</t>
  </si>
  <si>
    <t>3.4</t>
    <phoneticPr fontId="9"/>
  </si>
  <si>
    <t>チェックボックスチェック有無</t>
    <phoneticPr fontId="9"/>
  </si>
  <si>
    <t>検索結果が0件の場合、メッセージを表示する</t>
  </si>
  <si>
    <t>【対象テーブル】</t>
  </si>
  <si>
    <t>抽出条件をもとにWebFSC製品化チェックシート出力に結果を表示する</t>
    <phoneticPr fontId="9"/>
  </si>
  <si>
    <t>検索結果が0件の以外の場合、WebFSC製品化チェックシート出力に結果を表示する。</t>
    <phoneticPr fontId="9"/>
  </si>
  <si>
    <t>WebFSC製品化チェックシート出力検索_SQLリソースの検索仕様</t>
    <phoneticPr fontId="9"/>
  </si>
  <si>
    <t>・</t>
  </si>
  <si>
    <t>M01</t>
    <phoneticPr fontId="9"/>
  </si>
  <si>
    <t>M02</t>
  </si>
  <si>
    <t>御見積書NO</t>
    <phoneticPr fontId="9"/>
  </si>
  <si>
    <t>(商品名１,商品名２)</t>
    <phoneticPr fontId="9"/>
  </si>
  <si>
    <t>数量</t>
    <phoneticPr fontId="9"/>
  </si>
  <si>
    <t>見積金額(見積合計金額)</t>
    <phoneticPr fontId="9"/>
  </si>
  <si>
    <t>案件NO</t>
    <phoneticPr fontId="9"/>
  </si>
  <si>
    <t>キー：案件ＮＯ_親,案件ＮＯ_子,案件ＮＯ_部材⇒案件NO</t>
    <phoneticPr fontId="9"/>
  </si>
  <si>
    <t>【MC担当者マスタ】</t>
    <rPh sb="5" eb="6">
      <t>シャ</t>
    </rPh>
    <phoneticPr fontId="9"/>
  </si>
  <si>
    <t>【WEB御見積書】</t>
    <phoneticPr fontId="9"/>
  </si>
  <si>
    <t>【WEB取引先マスタ】</t>
    <rPh sb="4" eb="7">
      <t>トリヒキサキ</t>
    </rPh>
    <phoneticPr fontId="9"/>
  </si>
  <si>
    <t>WEB取引先マスタ</t>
    <phoneticPr fontId="9"/>
  </si>
  <si>
    <t>取引先名</t>
    <rPh sb="3" eb="4">
      <t>メイ</t>
    </rPh>
    <phoneticPr fontId="9"/>
  </si>
  <si>
    <t>【WEB御見積書見積計算書】</t>
    <phoneticPr fontId="9"/>
  </si>
  <si>
    <t>M03</t>
  </si>
  <si>
    <t>M04</t>
  </si>
  <si>
    <t>M05</t>
  </si>
  <si>
    <t>M06</t>
  </si>
  <si>
    <t>M07</t>
  </si>
  <si>
    <t>【結合条件】</t>
  </si>
  <si>
    <t>【WEB御見積書明細(印字用)】</t>
    <phoneticPr fontId="9"/>
  </si>
  <si>
    <t>【WEB見積計算書】</t>
    <phoneticPr fontId="9"/>
  </si>
  <si>
    <t>AND WEB御見積書.担当者CD = MC担当者マスタ.担当者CD (+)</t>
    <phoneticPr fontId="9"/>
  </si>
  <si>
    <t>得意先</t>
    <phoneticPr fontId="9"/>
  </si>
  <si>
    <t>案件管理トラン</t>
    <phoneticPr fontId="9"/>
  </si>
  <si>
    <r>
      <t>【</t>
    </r>
    <r>
      <rPr>
        <sz val="9"/>
        <color rgb="FFFF0000"/>
        <rFont val="Meiryo UI"/>
        <family val="3"/>
        <charset val="128"/>
      </rPr>
      <t>PE</t>
    </r>
    <r>
      <rPr>
        <sz val="9"/>
        <rFont val="Meiryo UI"/>
        <family val="3"/>
        <charset val="128"/>
      </rPr>
      <t>案件管理トラン】</t>
    </r>
    <phoneticPr fontId="9"/>
  </si>
  <si>
    <t xml:space="preserve">AND (WEB御見積書. 案件ＮＯ_親 = 案件管理トラン.案件ＮＯ_親 </t>
    <phoneticPr fontId="9"/>
  </si>
  <si>
    <t>AND WEB御見積書. 案件ＮＯ_子 = 案件管理トラン.案件ＮＯ_子</t>
    <phoneticPr fontId="9"/>
  </si>
  <si>
    <t>AND WEB御見積書.案件ＮＯ_部材 = 案件管理トラン.案件ＮＯ_部材 )(+)</t>
    <phoneticPr fontId="9"/>
  </si>
  <si>
    <t>AND （WEB御見積書.御見積書ＮＯ =WEB御見積書見積計算書.御見積書ＮＯ</t>
    <phoneticPr fontId="9"/>
  </si>
  <si>
    <t>AND WEB御見積書見積計算書.見積計算書ＮＯ = WEB見積計算書.見積計算書ＮＯ） (+)</t>
    <phoneticPr fontId="9"/>
  </si>
  <si>
    <t>AND （WEB御見積書見積計算書.御見積書ＮＯ =　WEB御見積書明細(印字用).御見積書ＮＯ</t>
    <phoneticPr fontId="9"/>
  </si>
  <si>
    <t>AND （WEB御見積書.得意先CD = WEB取引先マスタ.取引先CD</t>
    <rPh sb="31" eb="34">
      <t>トリヒキサキ</t>
    </rPh>
    <phoneticPr fontId="9"/>
  </si>
  <si>
    <t>AND WEB御見積書.得意先FLG = ’１’ ）(+)</t>
    <phoneticPr fontId="9"/>
  </si>
  <si>
    <t>【抽出条件】</t>
  </si>
  <si>
    <t>[AND WEB御見積書.担当者</t>
  </si>
  <si>
    <t>[AND WEB御見積書.御見積書発行日</t>
  </si>
  <si>
    <t>[AND WEB御見積書.御見積書NO</t>
  </si>
  <si>
    <t>[AND WEB御見積書.得意先</t>
  </si>
  <si>
    <t>[AND 案件管理トラン.案件No</t>
  </si>
  <si>
    <t>＝</t>
    <phoneticPr fontId="9"/>
  </si>
  <si>
    <t>画面.担当者］</t>
  </si>
  <si>
    <t>画面.御見積書作成日(From)］</t>
  </si>
  <si>
    <t>画面.御見積書作成日(To)］</t>
  </si>
  <si>
    <t>画面.御見積書NO(From)］</t>
  </si>
  <si>
    <t>画面.御見積書NO(To)］</t>
  </si>
  <si>
    <t>画面.得意先］</t>
  </si>
  <si>
    <t>画面.案件No］</t>
  </si>
  <si>
    <t>AND WEB御見積書.拠点</t>
    <phoneticPr fontId="9"/>
  </si>
  <si>
    <t>画面.拠点</t>
    <phoneticPr fontId="9"/>
  </si>
  <si>
    <t>[AND 検索条件設定]</t>
    <rPh sb="5" eb="7">
      <t>ケンサク</t>
    </rPh>
    <rPh sb="7" eb="9">
      <t>ジョウケン</t>
    </rPh>
    <rPh sb="9" eb="11">
      <t>セッテイ</t>
    </rPh>
    <phoneticPr fontId="9"/>
  </si>
  <si>
    <t>※検索条件設定</t>
    <phoneticPr fontId="9"/>
  </si>
  <si>
    <t>画面.発行済がチェックする場合、「AND 御見積書.FSC管理NO IS NOT NULL」を設定する。</t>
    <rPh sb="0" eb="2">
      <t>ガメン</t>
    </rPh>
    <rPh sb="13" eb="15">
      <t>バアイ</t>
    </rPh>
    <rPh sb="47" eb="49">
      <t>セッテイ</t>
    </rPh>
    <phoneticPr fontId="9"/>
  </si>
  <si>
    <t>画面.未発行がチェックする場合、「AND 御見積書.FSC管理NO IS NULL」を設定する。</t>
    <rPh sb="0" eb="2">
      <t>ガメン</t>
    </rPh>
    <rPh sb="13" eb="15">
      <t>バアイ</t>
    </rPh>
    <rPh sb="43" eb="45">
      <t>セッテイ</t>
    </rPh>
    <phoneticPr fontId="9"/>
  </si>
  <si>
    <t>画面.未発行、画面.発行済がチェックする場合、設定しない。</t>
    <rPh sb="20" eb="22">
      <t>バアイ</t>
    </rPh>
    <rPh sb="23" eb="25">
      <t>セッテイ</t>
    </rPh>
    <phoneticPr fontId="9"/>
  </si>
  <si>
    <t>①</t>
    <phoneticPr fontId="9"/>
  </si>
  <si>
    <t>②</t>
    <phoneticPr fontId="9"/>
  </si>
  <si>
    <t>③</t>
    <phoneticPr fontId="9"/>
  </si>
  <si>
    <t>※下記検索条件設定を参照する。</t>
    <rPh sb="1" eb="3">
      <t>カキ</t>
    </rPh>
    <rPh sb="3" eb="5">
      <t>ケンサク</t>
    </rPh>
    <rPh sb="10" eb="12">
      <t>サンショウ</t>
    </rPh>
    <phoneticPr fontId="9"/>
  </si>
  <si>
    <t>【ソート条件】</t>
  </si>
  <si>
    <t>担当、</t>
    <phoneticPr fontId="9"/>
  </si>
  <si>
    <t>得意先、</t>
    <phoneticPr fontId="9"/>
  </si>
  <si>
    <t>案件NO、</t>
    <phoneticPr fontId="9"/>
  </si>
  <si>
    <t>見積計算書NO</t>
    <phoneticPr fontId="9"/>
  </si>
  <si>
    <t>画面初期状態を行う</t>
  </si>
  <si>
    <t>4.1</t>
  </si>
  <si>
    <t>初期表示に戻す</t>
  </si>
  <si>
    <t>処理概要に画面初期を参照すること。</t>
  </si>
  <si>
    <t>表示ボタン</t>
    <phoneticPr fontId="9"/>
  </si>
  <si>
    <t>表示処理を行う</t>
    <rPh sb="2" eb="4">
      <t>ショリ</t>
    </rPh>
    <phoneticPr fontId="9"/>
  </si>
  <si>
    <t>5.1</t>
    <phoneticPr fontId="9"/>
  </si>
  <si>
    <t>検索処理を実行する。</t>
    <rPh sb="5" eb="7">
      <t>ジッコウ</t>
    </rPh>
    <phoneticPr fontId="9"/>
  </si>
  <si>
    <t>3.4.1</t>
    <phoneticPr fontId="9"/>
  </si>
  <si>
    <t>3.4.2</t>
    <phoneticPr fontId="9"/>
  </si>
  <si>
    <t>3.4.3</t>
    <phoneticPr fontId="9"/>
  </si>
  <si>
    <t>3.4.4</t>
    <phoneticPr fontId="9"/>
  </si>
  <si>
    <t>3.4の処理を参照する。</t>
    <rPh sb="4" eb="6">
      <t>ショリ</t>
    </rPh>
    <rPh sb="7" eb="9">
      <t>サンショウ</t>
    </rPh>
    <phoneticPr fontId="9"/>
  </si>
  <si>
    <t>6</t>
    <phoneticPr fontId="9"/>
  </si>
  <si>
    <t>表示ボタン押す、検索処理を実行する。</t>
    <rPh sb="0" eb="2">
      <t>ヒョウジ</t>
    </rPh>
    <rPh sb="5" eb="6">
      <t>オ</t>
    </rPh>
    <rPh sb="8" eb="10">
      <t>ケンサク</t>
    </rPh>
    <rPh sb="10" eb="12">
      <t>ショリ</t>
    </rPh>
    <rPh sb="13" eb="15">
      <t>ジッコウ</t>
    </rPh>
    <phoneticPr fontId="9"/>
  </si>
  <si>
    <t>2.3</t>
    <phoneticPr fontId="9"/>
  </si>
  <si>
    <t>チェックシート発行ボタン押す、伝票発行処理を実行する。</t>
    <rPh sb="7" eb="9">
      <t>ハッコウ</t>
    </rPh>
    <rPh sb="12" eb="13">
      <t>オ</t>
    </rPh>
    <rPh sb="15" eb="17">
      <t>デンピョウ</t>
    </rPh>
    <rPh sb="17" eb="19">
      <t>ハッコウ</t>
    </rPh>
    <rPh sb="19" eb="21">
      <t>ショリ</t>
    </rPh>
    <rPh sb="22" eb="24">
      <t>ジッコウ</t>
    </rPh>
    <phoneticPr fontId="9"/>
  </si>
  <si>
    <t>「検索結果がありません。」</t>
    <phoneticPr fontId="9"/>
  </si>
  <si>
    <t>E10008</t>
    <phoneticPr fontId="9"/>
  </si>
  <si>
    <t>E10022</t>
    <phoneticPr fontId="9"/>
  </si>
  <si>
    <t>E10036</t>
    <phoneticPr fontId="9"/>
  </si>
  <si>
    <t>E10030</t>
    <phoneticPr fontId="9"/>
  </si>
  <si>
    <r>
      <t>拠点</t>
    </r>
    <r>
      <rPr>
        <sz val="8"/>
        <color rgb="FFFF0000"/>
        <rFont val="Meiryo UI"/>
        <family val="3"/>
        <charset val="128"/>
      </rPr>
      <t>、出力フォーマット</t>
    </r>
    <phoneticPr fontId="9"/>
  </si>
  <si>
    <t>2.4</t>
    <phoneticPr fontId="9"/>
  </si>
  <si>
    <t>共通項目変更</t>
    <rPh sb="4" eb="6">
      <t>ヘンコウ</t>
    </rPh>
    <phoneticPr fontId="9"/>
  </si>
  <si>
    <t>全選択</t>
    <phoneticPr fontId="9"/>
  </si>
  <si>
    <t>全選択をチェックする場合、FSCチェックシート一覧の発行チェックを全てチェック=ONとする</t>
    <rPh sb="10" eb="12">
      <t>バアイ</t>
    </rPh>
    <phoneticPr fontId="9"/>
  </si>
  <si>
    <t>全解除</t>
    <phoneticPr fontId="9"/>
  </si>
  <si>
    <t>全解除をチェックする場合、FSCチェックシート一覧の発行チェックを全てチェック=OFFとする</t>
    <phoneticPr fontId="9"/>
  </si>
  <si>
    <t>2.5</t>
    <phoneticPr fontId="9"/>
  </si>
  <si>
    <t>出力フォーマット押す、出力フォーマットのコンボボックスを表示する。</t>
    <rPh sb="0" eb="2">
      <t>シュツリョク</t>
    </rPh>
    <rPh sb="8" eb="9">
      <t>オ</t>
    </rPh>
    <rPh sb="28" eb="30">
      <t>ヒョウジ</t>
    </rPh>
    <phoneticPr fontId="9"/>
  </si>
  <si>
    <t>※</t>
    <phoneticPr fontId="9"/>
  </si>
  <si>
    <t>web.config定義(MSBBPA100_ExcelFormat01～10)が設定しない場合、コンボボックスの中身を表示できない。</t>
    <rPh sb="41" eb="43">
      <t>セッテイ</t>
    </rPh>
    <rPh sb="46" eb="48">
      <t>バアイ</t>
    </rPh>
    <rPh sb="60" eb="62">
      <t>ヒョウジ</t>
    </rPh>
    <phoneticPr fontId="9"/>
  </si>
  <si>
    <t>AND WEB御見積書見積計算書.見積計算書ＮＯ = WEB御見積書明細(印字用).見積計算書ＮＯ</t>
    <phoneticPr fontId="9"/>
  </si>
  <si>
    <t>AND WEB御見積書明細(印字用).明細ＮＯ = 1） (+)</t>
    <phoneticPr fontId="9"/>
  </si>
  <si>
    <t>MSBBPA100</t>
    <phoneticPr fontId="9"/>
  </si>
  <si>
    <t>操作種別</t>
  </si>
  <si>
    <t>R</t>
  </si>
  <si>
    <t>有効(必須)</t>
  </si>
  <si>
    <t>画面項目</t>
    <rPh sb="0" eb="2">
      <t>ガメン</t>
    </rPh>
    <rPh sb="2" eb="4">
      <t>コウモク</t>
    </rPh>
    <phoneticPr fontId="9"/>
  </si>
  <si>
    <t>E</t>
  </si>
  <si>
    <t>有効</t>
  </si>
  <si>
    <t>RO</t>
    <phoneticPr fontId="9"/>
  </si>
  <si>
    <t>読取のみ</t>
  </si>
  <si>
    <t>D</t>
  </si>
  <si>
    <t>無効</t>
  </si>
  <si>
    <t>E</t>
    <phoneticPr fontId="9"/>
  </si>
  <si>
    <t>I</t>
  </si>
  <si>
    <t>非表示</t>
  </si>
  <si>
    <t>共通項目</t>
  </si>
  <si>
    <t>全選択</t>
  </si>
  <si>
    <t>全解除</t>
  </si>
  <si>
    <t>抽出条件</t>
    <phoneticPr fontId="9"/>
  </si>
  <si>
    <t>御見積書作成日(From)</t>
  </si>
  <si>
    <t>御見積書作成日(To)</t>
  </si>
  <si>
    <t>顧客品名1</t>
  </si>
  <si>
    <t>顧客品名2</t>
  </si>
  <si>
    <t>出力一覧</t>
  </si>
  <si>
    <t>フッター</t>
  </si>
  <si>
    <t>チェックシート発行</t>
  </si>
  <si>
    <t>R/RO</t>
    <phoneticPr fontId="9"/>
  </si>
  <si>
    <t>「検索件数の上限値を超えました。(設定値) \n 抽出条件を設定し、再度検索・照会を実施ください。」</t>
    <phoneticPr fontId="9"/>
  </si>
  <si>
    <t>E10013</t>
    <phoneticPr fontId="9"/>
  </si>
  <si>
    <t>I</t>
    <phoneticPr fontId="9"/>
  </si>
  <si>
    <t>「検索件数の上限値を超えました。(設定値) \n 処理を続ける場合は、[はい]を選択してください。」</t>
    <phoneticPr fontId="9"/>
  </si>
  <si>
    <t>C00006</t>
    <phoneticPr fontId="9"/>
  </si>
  <si>
    <t>一覧表示の上限値(一般ユーザー)</t>
    <phoneticPr fontId="9"/>
  </si>
  <si>
    <t>照会・検索画面の一覧表示の上限値を設定できるようにする。</t>
    <phoneticPr fontId="9"/>
  </si>
  <si>
    <t>Web管理マスタ(web.config等)に上限値を設定し、上限値を超える場合はエラーメッセージを表示する</t>
    <phoneticPr fontId="9"/>
  </si>
  <si>
    <t>一覧表示の上限値(管理者ユーザー)</t>
    <phoneticPr fontId="9"/>
  </si>
  <si>
    <t>照会・検索画面の一覧表示の上限値を超えて検索できるようにする。</t>
  </si>
  <si>
    <t>Web管理マスタ(web.config等)に上限値を設定し、上限値を超える場合は警告メッセージを表示する</t>
  </si>
  <si>
    <t>メッセージID.007</t>
    <phoneticPr fontId="9"/>
  </si>
  <si>
    <t>「検索件数の上限値を超えました。(設定値) \n 処理を続ける場合は、[はい]を選択してください</t>
  </si>
  <si>
    <t>メッセージID.008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</si>
</sst>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#,##0_ "/>
    <numFmt numFmtId="184" formatCode="0_ "/>
  </numFmts>
  <fonts count="115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11"/>
      <color theme="0"/>
      <name val="ＭＳ Ｐゴシック"/>
      <family val="2"/>
      <charset val="128"/>
      <scheme val="minor"/>
    </font>
    <font>
      <b/>
      <sz val="9"/>
      <color theme="1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theme="0"/>
      <name val="Meiryo UI"/>
      <family val="3"/>
      <charset val="128"/>
    </font>
    <font>
      <sz val="9"/>
      <color rgb="FF003399"/>
      <name val="Meiryo UI"/>
      <family val="3"/>
      <charset val="128"/>
    </font>
    <font>
      <sz val="8"/>
      <color rgb="FFFFFFFF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7.5"/>
      <name val="Meiryo UI"/>
      <family val="3"/>
      <charset val="128"/>
    </font>
    <font>
      <sz val="7.5"/>
      <name val="Meiryo UI"/>
      <family val="3"/>
      <charset val="128"/>
    </font>
    <font>
      <sz val="9"/>
      <name val="Segoe UI Symbol"/>
      <family val="3"/>
    </font>
    <font>
      <b/>
      <sz val="8"/>
      <name val="メイリオ"/>
      <family val="3"/>
      <charset val="128"/>
    </font>
    <font>
      <sz val="8"/>
      <name val="メイリオ"/>
      <family val="3"/>
      <charset val="128"/>
    </font>
    <font>
      <sz val="8"/>
      <color rgb="FFFF0000"/>
      <name val="メイリオ"/>
      <family val="3"/>
      <charset val="128"/>
    </font>
    <font>
      <b/>
      <sz val="8"/>
      <color rgb="FF0000FF"/>
      <name val="メイリオ"/>
      <family val="3"/>
      <charset val="128"/>
    </font>
    <font>
      <sz val="9"/>
      <color rgb="FF0000FF"/>
      <name val="Meiryo UI"/>
      <family val="3"/>
      <charset val="128"/>
    </font>
    <font>
      <sz val="9"/>
      <name val="メイリオ"/>
      <family val="3"/>
      <charset val="128"/>
    </font>
    <font>
      <b/>
      <sz val="8"/>
      <color rgb="FF0000FF"/>
      <name val="Meiryo UI"/>
      <family val="3"/>
      <charset val="128"/>
    </font>
    <font>
      <strike/>
      <sz val="9"/>
      <color rgb="FFFF0000"/>
      <name val="Meiryo UI"/>
      <family val="3"/>
      <charset val="128"/>
    </font>
    <font>
      <strike/>
      <sz val="8"/>
      <color rgb="FFFF0000"/>
      <name val="Meiryo UI"/>
      <family val="3"/>
      <charset val="128"/>
    </font>
    <font>
      <sz val="8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</fonts>
  <fills count="6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339966"/>
        <bgColor theme="0"/>
      </patternFill>
    </fill>
    <fill>
      <patternFill patternType="solid">
        <fgColor rgb="FFFFCCFF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0070C0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EFFFEF"/>
        <bgColor indexed="64"/>
      </patternFill>
    </fill>
    <fill>
      <patternFill patternType="solid">
        <fgColor indexed="65"/>
        <bgColor rgb="FFFFFFFF"/>
      </patternFill>
    </fill>
    <fill>
      <patternFill patternType="solid">
        <fgColor theme="0" tint="-0.14999847407452621"/>
        <bgColor indexed="64"/>
      </patternFill>
    </fill>
  </fills>
  <borders count="1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58480">
    <xf numFmtId="0" fontId="0" fillId="0" borderId="0"/>
    <xf numFmtId="0" fontId="8" fillId="0" borderId="0"/>
    <xf numFmtId="0" fontId="8" fillId="0" borderId="0"/>
    <xf numFmtId="0" fontId="6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24" fillId="0" borderId="0"/>
    <xf numFmtId="0" fontId="7" fillId="0" borderId="0"/>
    <xf numFmtId="0" fontId="7" fillId="0" borderId="0">
      <alignment vertical="center"/>
    </xf>
    <xf numFmtId="0" fontId="24" fillId="0" borderId="0"/>
    <xf numFmtId="0" fontId="12" fillId="0" borderId="0">
      <alignment vertical="top" wrapText="1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179" fontId="37" fillId="0" borderId="0" applyFill="0" applyBorder="0" applyAlignment="0"/>
    <xf numFmtId="0" fontId="38" fillId="0" borderId="11" applyNumberFormat="0" applyAlignment="0" applyProtection="0">
      <alignment horizontal="left" vertical="center"/>
    </xf>
    <xf numFmtId="0" fontId="38" fillId="0" borderId="2">
      <alignment horizontal="left" vertical="center"/>
    </xf>
    <xf numFmtId="0" fontId="39" fillId="0" borderId="0"/>
    <xf numFmtId="0" fontId="40" fillId="0" borderId="0" applyNumberFormat="0" applyFont="0" applyFill="0" applyBorder="0" applyAlignment="0" applyProtection="0">
      <alignment horizontal="left"/>
    </xf>
    <xf numFmtId="0" fontId="41" fillId="0" borderId="7">
      <alignment horizontal="center"/>
    </xf>
    <xf numFmtId="0" fontId="21" fillId="0" borderId="0">
      <alignment wrapText="1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9" fillId="19" borderId="31" applyNumberFormat="0" applyAlignment="0" applyProtection="0">
      <alignment vertical="center"/>
    </xf>
    <xf numFmtId="0" fontId="29" fillId="19" borderId="31" applyNumberFormat="0" applyAlignment="0" applyProtection="0">
      <alignment vertical="center"/>
    </xf>
    <xf numFmtId="0" fontId="29" fillId="19" borderId="31" applyNumberFormat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7" fillId="8" borderId="32" applyNumberFormat="0" applyFont="0" applyAlignment="0" applyProtection="0">
      <alignment vertical="center"/>
    </xf>
    <xf numFmtId="0" fontId="7" fillId="8" borderId="32" applyNumberFormat="0" applyFont="0" applyAlignment="0" applyProtection="0">
      <alignment vertical="center"/>
    </xf>
    <xf numFmtId="0" fontId="7" fillId="8" borderId="32" applyNumberFormat="0" applyFont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13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44" fillId="20" borderId="34" applyNumberFormat="0" applyAlignment="0" applyProtection="0">
      <alignment vertical="center"/>
    </xf>
    <xf numFmtId="0" fontId="44" fillId="20" borderId="34" applyNumberFormat="0" applyAlignment="0" applyProtection="0">
      <alignment vertical="center"/>
    </xf>
    <xf numFmtId="0" fontId="44" fillId="20" borderId="3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0" borderId="38" applyNumberFormat="0" applyFill="0" applyAlignment="0" applyProtection="0">
      <alignment vertical="center"/>
    </xf>
    <xf numFmtId="0" fontId="32" fillId="0" borderId="38" applyNumberFormat="0" applyFill="0" applyAlignment="0" applyProtection="0">
      <alignment vertical="center"/>
    </xf>
    <xf numFmtId="0" fontId="32" fillId="0" borderId="38" applyNumberFormat="0" applyFill="0" applyAlignment="0" applyProtection="0">
      <alignment vertical="center"/>
    </xf>
    <xf numFmtId="0" fontId="33" fillId="20" borderId="39" applyNumberFormat="0" applyAlignment="0" applyProtection="0">
      <alignment vertical="center"/>
    </xf>
    <xf numFmtId="0" fontId="33" fillId="20" borderId="39" applyNumberFormat="0" applyAlignment="0" applyProtection="0">
      <alignment vertical="center"/>
    </xf>
    <xf numFmtId="0" fontId="33" fillId="20" borderId="39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34" applyNumberFormat="0" applyAlignment="0" applyProtection="0">
      <alignment vertical="center"/>
    </xf>
    <xf numFmtId="0" fontId="35" fillId="12" borderId="34" applyNumberFormat="0" applyAlignment="0" applyProtection="0">
      <alignment vertical="center"/>
    </xf>
    <xf numFmtId="0" fontId="35" fillId="12" borderId="34" applyNumberFormat="0" applyAlignment="0" applyProtection="0">
      <alignment vertical="center"/>
    </xf>
    <xf numFmtId="0" fontId="27" fillId="0" borderId="0">
      <alignment vertical="center"/>
    </xf>
    <xf numFmtId="0" fontId="7" fillId="0" borderId="0"/>
    <xf numFmtId="0" fontId="24" fillId="0" borderId="0"/>
    <xf numFmtId="0" fontId="7" fillId="0" borderId="0"/>
    <xf numFmtId="0" fontId="7" fillId="0" borderId="0"/>
    <xf numFmtId="0" fontId="48" fillId="0" borderId="0"/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9" fillId="0" borderId="0"/>
    <xf numFmtId="0" fontId="13" fillId="0" borderId="0"/>
    <xf numFmtId="0" fontId="27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2" fillId="8" borderId="32" applyNumberFormat="0" applyFont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3" fillId="29" borderId="34" applyNumberFormat="0" applyAlignment="0" applyProtection="0">
      <alignment vertical="center"/>
    </xf>
    <xf numFmtId="0" fontId="54" fillId="0" borderId="41" applyNumberFormat="0" applyFill="0" applyAlignment="0" applyProtection="0">
      <alignment vertical="center"/>
    </xf>
    <xf numFmtId="0" fontId="55" fillId="0" borderId="42" applyNumberFormat="0" applyFill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3" fillId="29" borderId="39" applyNumberFormat="0" applyAlignment="0" applyProtection="0">
      <alignment vertical="center"/>
    </xf>
    <xf numFmtId="0" fontId="35" fillId="10" borderId="34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9" fillId="0" borderId="0"/>
    <xf numFmtId="0" fontId="13" fillId="0" borderId="0"/>
    <xf numFmtId="38" fontId="59" fillId="0" borderId="0" applyFont="0" applyFill="0" applyBorder="0" applyAlignment="0" applyProtection="0"/>
    <xf numFmtId="0" fontId="12" fillId="0" borderId="0">
      <alignment vertical="top"/>
    </xf>
    <xf numFmtId="0" fontId="57" fillId="0" borderId="0">
      <alignment vertical="center"/>
    </xf>
    <xf numFmtId="38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38" fontId="11" fillId="30" borderId="0" applyNumberFormat="0" applyBorder="0" applyAlignment="0" applyProtection="0"/>
    <xf numFmtId="10" fontId="11" fillId="2" borderId="3" applyNumberFormat="0" applyBorder="0" applyAlignment="0" applyProtection="0"/>
    <xf numFmtId="181" fontId="60" fillId="0" borderId="0"/>
    <xf numFmtId="10" fontId="3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12" fillId="0" borderId="0"/>
    <xf numFmtId="0" fontId="12" fillId="0" borderId="0" applyNumberFormat="0"/>
    <xf numFmtId="0" fontId="58" fillId="0" borderId="0" applyBorder="0" applyAlignment="0"/>
    <xf numFmtId="0" fontId="12" fillId="0" borderId="0">
      <alignment vertical="top" wrapText="1"/>
    </xf>
    <xf numFmtId="0" fontId="26" fillId="0" borderId="0"/>
    <xf numFmtId="0" fontId="12" fillId="0" borderId="0" applyNumberFormat="0"/>
    <xf numFmtId="0" fontId="58" fillId="0" borderId="0">
      <alignment vertical="center"/>
    </xf>
    <xf numFmtId="0" fontId="12" fillId="0" borderId="0" applyNumberFormat="0"/>
    <xf numFmtId="0" fontId="13" fillId="0" borderId="0"/>
    <xf numFmtId="0" fontId="7" fillId="0" borderId="0"/>
    <xf numFmtId="0" fontId="12" fillId="0" borderId="0">
      <alignment vertical="top"/>
    </xf>
    <xf numFmtId="0" fontId="61" fillId="0" borderId="0">
      <alignment vertical="center"/>
    </xf>
    <xf numFmtId="38" fontId="7" fillId="0" borderId="0" applyFont="0" applyFill="0" applyBorder="0" applyAlignment="0" applyProtection="0"/>
    <xf numFmtId="0" fontId="12" fillId="0" borderId="0">
      <alignment vertical="top"/>
    </xf>
    <xf numFmtId="0" fontId="13" fillId="0" borderId="0"/>
    <xf numFmtId="0" fontId="12" fillId="0" borderId="0">
      <alignment vertical="top"/>
    </xf>
    <xf numFmtId="38" fontId="7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7" fillId="0" borderId="0"/>
    <xf numFmtId="0" fontId="24" fillId="0" borderId="0"/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57" fillId="0" borderId="0">
      <alignment vertical="center"/>
    </xf>
    <xf numFmtId="0" fontId="49" fillId="0" borderId="0"/>
    <xf numFmtId="0" fontId="49" fillId="0" borderId="0"/>
    <xf numFmtId="0" fontId="12" fillId="0" borderId="0">
      <alignment vertical="top" wrapText="1"/>
    </xf>
    <xf numFmtId="0" fontId="26" fillId="0" borderId="0"/>
    <xf numFmtId="0" fontId="12" fillId="0" borderId="0">
      <alignment vertical="top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>
      <alignment vertical="center"/>
    </xf>
    <xf numFmtId="0" fontId="49" fillId="0" borderId="0"/>
    <xf numFmtId="0" fontId="49" fillId="0" borderId="0"/>
    <xf numFmtId="0" fontId="12" fillId="0" borderId="0">
      <alignment vertical="top" wrapText="1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9" fillId="0" borderId="0"/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2" fillId="8" borderId="32" applyNumberFormat="0" applyFont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3" fillId="29" borderId="34" applyNumberFormat="0" applyAlignment="0" applyProtection="0">
      <alignment vertical="center"/>
    </xf>
    <xf numFmtId="0" fontId="54" fillId="0" borderId="41" applyNumberFormat="0" applyFill="0" applyAlignment="0" applyProtection="0">
      <alignment vertical="center"/>
    </xf>
    <xf numFmtId="0" fontId="55" fillId="0" borderId="42" applyNumberFormat="0" applyFill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3" fillId="29" borderId="39" applyNumberFormat="0" applyAlignment="0" applyProtection="0">
      <alignment vertical="center"/>
    </xf>
    <xf numFmtId="0" fontId="35" fillId="10" borderId="34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 wrapText="1"/>
    </xf>
    <xf numFmtId="0" fontId="49" fillId="0" borderId="0"/>
    <xf numFmtId="0" fontId="4" fillId="0" borderId="0">
      <alignment vertical="center"/>
    </xf>
    <xf numFmtId="0" fontId="13" fillId="0" borderId="0"/>
    <xf numFmtId="0" fontId="49" fillId="0" borderId="0"/>
    <xf numFmtId="0" fontId="4" fillId="0" borderId="0">
      <alignment vertical="center"/>
    </xf>
    <xf numFmtId="0" fontId="12" fillId="0" borderId="0">
      <alignment vertical="top" wrapText="1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9" borderId="31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61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57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49" fillId="0" borderId="0"/>
    <xf numFmtId="0" fontId="26" fillId="0" borderId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3" fillId="0" borderId="0"/>
    <xf numFmtId="0" fontId="6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57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>
      <alignment vertical="center"/>
    </xf>
    <xf numFmtId="0" fontId="12" fillId="0" borderId="0">
      <alignment vertical="top" wrapText="1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27" fillId="0" borderId="0">
      <alignment vertical="center"/>
    </xf>
    <xf numFmtId="0" fontId="7" fillId="0" borderId="0"/>
    <xf numFmtId="0" fontId="24" fillId="0" borderId="0"/>
    <xf numFmtId="0" fontId="13" fillId="0" borderId="0"/>
    <xf numFmtId="0" fontId="13" fillId="0" borderId="0"/>
    <xf numFmtId="0" fontId="49" fillId="0" borderId="0"/>
    <xf numFmtId="0" fontId="49" fillId="0" borderId="0"/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9" fillId="0" borderId="0"/>
    <xf numFmtId="0" fontId="6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>
      <alignment vertical="center"/>
    </xf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7" fillId="0" borderId="0"/>
    <xf numFmtId="0" fontId="24" fillId="0" borderId="0"/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3" fillId="0" borderId="0"/>
    <xf numFmtId="0" fontId="13" fillId="0" borderId="0"/>
    <xf numFmtId="0" fontId="61" fillId="0" borderId="0">
      <alignment vertical="center"/>
    </xf>
    <xf numFmtId="0" fontId="12" fillId="0" borderId="0">
      <alignment vertical="top" wrapText="1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2" fillId="0" borderId="0">
      <alignment vertical="top" wrapText="1"/>
    </xf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61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>
      <alignment vertical="center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1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57" fillId="0" borderId="0">
      <alignment vertical="center"/>
    </xf>
    <xf numFmtId="0" fontId="49" fillId="0" borderId="0"/>
    <xf numFmtId="0" fontId="12" fillId="0" borderId="0">
      <alignment vertical="top" wrapText="1"/>
    </xf>
    <xf numFmtId="0" fontId="26" fillId="0" borderId="0"/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57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7" fillId="8" borderId="32" applyNumberFormat="0" applyFont="0" applyAlignment="0" applyProtection="0">
      <alignment vertical="center"/>
    </xf>
    <xf numFmtId="0" fontId="7" fillId="8" borderId="32" applyNumberFormat="0" applyFont="0" applyAlignment="0" applyProtection="0">
      <alignment vertical="center"/>
    </xf>
    <xf numFmtId="0" fontId="7" fillId="8" borderId="32" applyNumberFormat="0" applyFont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38" fontId="2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65" fillId="0" borderId="0"/>
    <xf numFmtId="0" fontId="57" fillId="0" borderId="0">
      <alignment vertical="center"/>
    </xf>
    <xf numFmtId="0" fontId="65" fillId="0" borderId="0"/>
    <xf numFmtId="0" fontId="65" fillId="0" borderId="0"/>
    <xf numFmtId="0" fontId="12" fillId="0" borderId="0">
      <alignment vertical="top" wrapText="1"/>
    </xf>
    <xf numFmtId="0" fontId="12" fillId="0" borderId="0">
      <alignment vertical="top"/>
    </xf>
    <xf numFmtId="0" fontId="65" fillId="0" borderId="0"/>
    <xf numFmtId="0" fontId="12" fillId="0" borderId="0">
      <alignment vertical="top"/>
    </xf>
    <xf numFmtId="0" fontId="65" fillId="0" borderId="0"/>
    <xf numFmtId="0" fontId="65" fillId="0" borderId="0"/>
    <xf numFmtId="0" fontId="26" fillId="0" borderId="0"/>
    <xf numFmtId="0" fontId="12" fillId="0" borderId="0">
      <alignment vertical="top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" fillId="0" borderId="0"/>
    <xf numFmtId="0" fontId="7" fillId="0" borderId="0"/>
    <xf numFmtId="0" fontId="12" fillId="0" borderId="0">
      <alignment vertical="top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4" fillId="0" borderId="0"/>
    <xf numFmtId="0" fontId="24" fillId="0" borderId="0"/>
    <xf numFmtId="0" fontId="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65" fillId="0" borderId="0"/>
    <xf numFmtId="0" fontId="65" fillId="0" borderId="0"/>
    <xf numFmtId="0" fontId="65" fillId="0" borderId="0"/>
    <xf numFmtId="0" fontId="7" fillId="0" borderId="0"/>
    <xf numFmtId="0" fontId="65" fillId="0" borderId="0"/>
    <xf numFmtId="0" fontId="65" fillId="0" borderId="0"/>
    <xf numFmtId="0" fontId="65" fillId="0" borderId="0"/>
    <xf numFmtId="0" fontId="12" fillId="0" borderId="0">
      <alignment vertical="top"/>
    </xf>
    <xf numFmtId="0" fontId="12" fillId="0" borderId="0">
      <alignment vertical="top" wrapText="1"/>
    </xf>
    <xf numFmtId="0" fontId="7" fillId="0" borderId="0">
      <alignment vertical="center"/>
    </xf>
    <xf numFmtId="0" fontId="12" fillId="0" borderId="0">
      <alignment vertical="top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27" fillId="0" borderId="0" applyFont="0" applyFill="0" applyBorder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62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66" fillId="0" borderId="0" applyBorder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3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38" fontId="59" fillId="0" borderId="0" applyFont="0" applyFill="0" applyBorder="0" applyAlignment="0" applyProtection="0"/>
    <xf numFmtId="0" fontId="4" fillId="0" borderId="0">
      <alignment vertical="center"/>
    </xf>
    <xf numFmtId="0" fontId="12" fillId="0" borderId="0">
      <alignment vertical="top" wrapText="1"/>
    </xf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6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6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9" fillId="0" borderId="0">
      <alignment vertical="center"/>
    </xf>
    <xf numFmtId="0" fontId="70" fillId="0" borderId="0"/>
    <xf numFmtId="0" fontId="7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57" fillId="0" borderId="0">
      <alignment vertical="center"/>
    </xf>
    <xf numFmtId="0" fontId="49" fillId="0" borderId="0"/>
    <xf numFmtId="0" fontId="26" fillId="0" borderId="0"/>
    <xf numFmtId="0" fontId="6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57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>
      <alignment vertical="center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27" fillId="0" borderId="0">
      <alignment vertical="center"/>
    </xf>
    <xf numFmtId="0" fontId="7" fillId="0" borderId="0"/>
    <xf numFmtId="0" fontId="24" fillId="0" borderId="0"/>
    <xf numFmtId="0" fontId="12" fillId="0" borderId="0">
      <alignment vertical="top" wrapText="1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7" fillId="0" borderId="0"/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61" fillId="0" borderId="0">
      <alignment vertical="center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2" fillId="0" borderId="0">
      <alignment vertical="top" wrapText="1"/>
    </xf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61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61" fillId="0" borderId="0">
      <alignment vertical="center"/>
    </xf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>
      <alignment vertical="center"/>
    </xf>
    <xf numFmtId="0" fontId="49" fillId="0" borderId="0"/>
    <xf numFmtId="0" fontId="49" fillId="0" borderId="0"/>
    <xf numFmtId="0" fontId="12" fillId="0" borderId="0">
      <alignment vertical="top" wrapText="1"/>
    </xf>
    <xf numFmtId="0" fontId="26" fillId="0" borderId="0"/>
    <xf numFmtId="0" fontId="6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>
      <alignment vertical="center"/>
    </xf>
    <xf numFmtId="0" fontId="12" fillId="0" borderId="0">
      <alignment vertical="top" wrapText="1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5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6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57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7" fillId="0" borderId="0"/>
    <xf numFmtId="0" fontId="24" fillId="0" borderId="0"/>
    <xf numFmtId="0" fontId="70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3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12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41" fillId="0" borderId="54">
      <alignment horizontal="center"/>
    </xf>
    <xf numFmtId="0" fontId="41" fillId="0" borderId="54">
      <alignment horizont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79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12" fillId="0" borderId="0">
      <alignment vertical="top" wrapText="1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41" fillId="0" borderId="54">
      <alignment horizont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7" fillId="0" borderId="0"/>
    <xf numFmtId="0" fontId="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7" fillId="0" borderId="0"/>
    <xf numFmtId="0" fontId="65" fillId="0" borderId="0">
      <alignment vertical="center"/>
    </xf>
    <xf numFmtId="0" fontId="65" fillId="0" borderId="0">
      <alignment vertical="center"/>
    </xf>
    <xf numFmtId="0" fontId="7" fillId="0" borderId="0"/>
    <xf numFmtId="0" fontId="7" fillId="0" borderId="0"/>
    <xf numFmtId="0" fontId="12" fillId="0" borderId="0">
      <alignment vertical="top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/>
    <xf numFmtId="38" fontId="7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1" fillId="3" borderId="0" applyNumberFormat="0" applyBorder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41" fillId="0" borderId="54">
      <alignment horizont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24" fillId="0" borderId="0"/>
    <xf numFmtId="0" fontId="70" fillId="0" borderId="0"/>
    <xf numFmtId="0" fontId="7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</cellStyleXfs>
  <cellXfs count="1056">
    <xf numFmtId="0" fontId="0" fillId="0" borderId="0" xfId="0"/>
    <xf numFmtId="0" fontId="15" fillId="31" borderId="0" xfId="224" applyFont="1" applyFill="1"/>
    <xf numFmtId="0" fontId="15" fillId="31" borderId="0" xfId="224" applyFont="1" applyFill="1" applyAlignment="1">
      <alignment vertical="top"/>
    </xf>
    <xf numFmtId="0" fontId="15" fillId="31" borderId="0" xfId="224" applyFont="1" applyFill="1" applyAlignment="1">
      <alignment horizontal="center" vertical="center"/>
    </xf>
    <xf numFmtId="0" fontId="15" fillId="31" borderId="0" xfId="224" applyFont="1" applyFill="1" applyAlignment="1">
      <alignment vertical="center"/>
    </xf>
    <xf numFmtId="0" fontId="15" fillId="31" borderId="0" xfId="224" applyFont="1" applyFill="1" applyAlignment="1">
      <alignment vertical="center" wrapText="1"/>
    </xf>
    <xf numFmtId="0" fontId="16" fillId="35" borderId="12" xfId="7" applyFont="1" applyFill="1" applyBorder="1" applyAlignment="1">
      <alignment vertical="center"/>
    </xf>
    <xf numFmtId="0" fontId="16" fillId="35" borderId="14" xfId="7" applyFont="1" applyFill="1" applyBorder="1" applyAlignment="1">
      <alignment vertical="center"/>
    </xf>
    <xf numFmtId="0" fontId="16" fillId="35" borderId="15" xfId="7" applyFont="1" applyFill="1" applyBorder="1"/>
    <xf numFmtId="0" fontId="15" fillId="0" borderId="0" xfId="7" applyFont="1"/>
    <xf numFmtId="0" fontId="18" fillId="0" borderId="9" xfId="7" applyFont="1" applyBorder="1" applyAlignment="1">
      <alignment vertical="center"/>
    </xf>
    <xf numFmtId="0" fontId="18" fillId="0" borderId="0" xfId="7" applyFont="1" applyAlignment="1">
      <alignment vertical="center"/>
    </xf>
    <xf numFmtId="0" fontId="18" fillId="0" borderId="0" xfId="7" applyFont="1" applyAlignment="1">
      <alignment vertical="center" wrapText="1"/>
    </xf>
    <xf numFmtId="0" fontId="18" fillId="0" borderId="10" xfId="7" applyFont="1" applyBorder="1" applyAlignment="1">
      <alignment vertical="center"/>
    </xf>
    <xf numFmtId="0" fontId="18" fillId="31" borderId="0" xfId="224" applyFont="1" applyFill="1" applyAlignment="1">
      <alignment vertical="center"/>
    </xf>
    <xf numFmtId="0" fontId="18" fillId="31" borderId="0" xfId="224" applyFont="1" applyFill="1" applyAlignment="1">
      <alignment horizontal="center" vertical="center"/>
    </xf>
    <xf numFmtId="0" fontId="18" fillId="31" borderId="0" xfId="224" applyFont="1" applyFill="1" applyAlignment="1">
      <alignment vertical="center" wrapText="1"/>
    </xf>
    <xf numFmtId="0" fontId="18" fillId="0" borderId="0" xfId="57482" applyFont="1" applyProtection="1">
      <protection locked="0"/>
    </xf>
    <xf numFmtId="0" fontId="14" fillId="0" borderId="0" xfId="57482" applyFont="1" applyProtection="1"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4" fillId="0" borderId="0" xfId="57482" applyFont="1" applyAlignment="1" applyProtection="1">
      <alignment vertical="center"/>
      <protection locked="0"/>
    </xf>
    <xf numFmtId="0" fontId="73" fillId="0" borderId="0" xfId="57482" applyFont="1" applyProtection="1">
      <protection locked="0"/>
    </xf>
    <xf numFmtId="0" fontId="74" fillId="0" borderId="0" xfId="57482" applyFont="1" applyProtection="1">
      <protection locked="0"/>
    </xf>
    <xf numFmtId="177" fontId="17" fillId="0" borderId="0" xfId="57482" applyNumberFormat="1" applyFont="1" applyAlignment="1" applyProtection="1">
      <alignment horizontal="center" vertical="center"/>
      <protection locked="0"/>
    </xf>
    <xf numFmtId="0" fontId="75" fillId="0" borderId="0" xfId="57482" applyFont="1" applyProtection="1">
      <protection locked="0"/>
    </xf>
    <xf numFmtId="0" fontId="76" fillId="0" borderId="1" xfId="57482" applyFont="1" applyBorder="1" applyAlignment="1" applyProtection="1">
      <alignment vertical="center" wrapText="1"/>
      <protection locked="0"/>
    </xf>
    <xf numFmtId="0" fontId="80" fillId="0" borderId="0" xfId="57483" applyFont="1"/>
    <xf numFmtId="182" fontId="81" fillId="0" borderId="0" xfId="57482" applyNumberFormat="1" applyFont="1" applyAlignment="1" applyProtection="1">
      <alignment vertical="center"/>
      <protection locked="0"/>
    </xf>
    <xf numFmtId="182" fontId="19" fillId="0" borderId="0" xfId="57482" applyNumberFormat="1" applyFont="1" applyAlignment="1" applyProtection="1">
      <alignment vertical="center"/>
      <protection locked="0"/>
    </xf>
    <xf numFmtId="182" fontId="79" fillId="0" borderId="26" xfId="57482" applyNumberFormat="1" applyFont="1" applyBorder="1" applyAlignment="1" applyProtection="1">
      <alignment vertical="center"/>
      <protection locked="0"/>
    </xf>
    <xf numFmtId="182" fontId="14" fillId="0" borderId="0" xfId="57482" applyNumberFormat="1" applyFont="1" applyAlignment="1" applyProtection="1">
      <alignment vertical="center"/>
      <protection locked="0"/>
    </xf>
    <xf numFmtId="182" fontId="19" fillId="0" borderId="26" xfId="57482" applyNumberFormat="1" applyFont="1" applyBorder="1" applyAlignment="1" applyProtection="1">
      <alignment vertical="center"/>
      <protection locked="0"/>
    </xf>
    <xf numFmtId="0" fontId="17" fillId="0" borderId="0" xfId="57482" applyFont="1" applyProtection="1">
      <protection locked="0"/>
    </xf>
    <xf numFmtId="0" fontId="82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 vertical="center"/>
      <protection locked="0"/>
    </xf>
    <xf numFmtId="0" fontId="18" fillId="0" borderId="0" xfId="57482" applyFont="1" applyAlignment="1" applyProtection="1">
      <alignment horizontal="center"/>
      <protection locked="0"/>
    </xf>
    <xf numFmtId="178" fontId="18" fillId="0" borderId="0" xfId="57482" applyNumberFormat="1" applyFont="1" applyAlignment="1" applyProtection="1">
      <alignment horizontal="center"/>
      <protection locked="0"/>
    </xf>
    <xf numFmtId="0" fontId="17" fillId="0" borderId="0" xfId="6" applyFont="1"/>
    <xf numFmtId="0" fontId="7" fillId="0" borderId="0" xfId="224" applyAlignment="1">
      <alignment horizontal="center" vertical="center" wrapText="1"/>
    </xf>
    <xf numFmtId="0" fontId="16" fillId="0" borderId="0" xfId="8" applyFont="1" applyAlignment="1">
      <alignment horizontal="center" vertical="center"/>
    </xf>
    <xf numFmtId="0" fontId="7" fillId="0" borderId="0" xfId="224" applyAlignment="1">
      <alignment horizontal="center" vertical="center"/>
    </xf>
    <xf numFmtId="0" fontId="7" fillId="0" borderId="0" xfId="224" applyAlignment="1">
      <alignment horizontal="center" shrinkToFit="1"/>
    </xf>
    <xf numFmtId="0" fontId="18" fillId="0" borderId="0" xfId="8" applyFont="1" applyAlignment="1">
      <alignment horizontal="center"/>
    </xf>
    <xf numFmtId="0" fontId="7" fillId="0" borderId="0" xfId="224" applyAlignment="1">
      <alignment horizontal="center"/>
    </xf>
    <xf numFmtId="0" fontId="18" fillId="0" borderId="0" xfId="8" applyFont="1" applyAlignment="1">
      <alignment horizontal="center" shrinkToFit="1"/>
    </xf>
    <xf numFmtId="14" fontId="17" fillId="0" borderId="0" xfId="9" applyNumberFormat="1" applyFont="1" applyAlignment="1">
      <alignment horizontal="center" vertical="center"/>
    </xf>
    <xf numFmtId="0" fontId="17" fillId="0" borderId="0" xfId="57485" applyFont="1">
      <alignment vertical="center"/>
    </xf>
    <xf numFmtId="0" fontId="17" fillId="42" borderId="0" xfId="57485" applyFont="1" applyFill="1">
      <alignment vertical="center"/>
    </xf>
    <xf numFmtId="0" fontId="17" fillId="42" borderId="0" xfId="57485" applyFont="1" applyFill="1" applyAlignment="1">
      <alignment horizontal="center" vertical="center"/>
    </xf>
    <xf numFmtId="0" fontId="78" fillId="42" borderId="0" xfId="57485" applyFont="1" applyFill="1">
      <alignment vertical="center"/>
    </xf>
    <xf numFmtId="0" fontId="19" fillId="0" borderId="0" xfId="0" applyFont="1" applyAlignment="1">
      <alignment vertical="center"/>
    </xf>
    <xf numFmtId="0" fontId="87" fillId="0" borderId="0" xfId="57489" applyFont="1">
      <alignment vertical="center"/>
    </xf>
    <xf numFmtId="0" fontId="88" fillId="0" borderId="0" xfId="57489" applyFont="1">
      <alignment vertical="center"/>
    </xf>
    <xf numFmtId="0" fontId="89" fillId="0" borderId="0" xfId="57489" applyFont="1">
      <alignment vertical="center"/>
    </xf>
    <xf numFmtId="0" fontId="89" fillId="0" borderId="0" xfId="57489" quotePrefix="1" applyFont="1">
      <alignment vertical="center"/>
    </xf>
    <xf numFmtId="0" fontId="89" fillId="0" borderId="26" xfId="57489" applyFont="1" applyBorder="1">
      <alignment vertical="center"/>
    </xf>
    <xf numFmtId="0" fontId="88" fillId="0" borderId="27" xfId="57489" applyFont="1" applyBorder="1">
      <alignment vertical="center"/>
    </xf>
    <xf numFmtId="0" fontId="90" fillId="0" borderId="0" xfId="57489" applyFont="1">
      <alignment vertical="center"/>
    </xf>
    <xf numFmtId="0" fontId="89" fillId="45" borderId="25" xfId="57489" applyFont="1" applyFill="1" applyBorder="1">
      <alignment vertical="center"/>
    </xf>
    <xf numFmtId="0" fontId="89" fillId="45" borderId="1" xfId="57489" applyFont="1" applyFill="1" applyBorder="1">
      <alignment vertical="center"/>
    </xf>
    <xf numFmtId="0" fontId="89" fillId="0" borderId="1" xfId="57489" applyFont="1" applyBorder="1">
      <alignment vertical="center"/>
    </xf>
    <xf numFmtId="0" fontId="88" fillId="0" borderId="1" xfId="57489" applyFont="1" applyBorder="1">
      <alignment vertical="center"/>
    </xf>
    <xf numFmtId="0" fontId="88" fillId="0" borderId="24" xfId="57489" applyFont="1" applyBorder="1">
      <alignment vertical="center"/>
    </xf>
    <xf numFmtId="0" fontId="89" fillId="36" borderId="25" xfId="57489" applyFont="1" applyFill="1" applyBorder="1">
      <alignment vertical="center"/>
    </xf>
    <xf numFmtId="0" fontId="89" fillId="36" borderId="1" xfId="57489" applyFont="1" applyFill="1" applyBorder="1">
      <alignment vertical="center"/>
    </xf>
    <xf numFmtId="0" fontId="89" fillId="36" borderId="24" xfId="57489" applyFont="1" applyFill="1" applyBorder="1">
      <alignment vertical="center"/>
    </xf>
    <xf numFmtId="0" fontId="87" fillId="36" borderId="1" xfId="57489" applyFont="1" applyFill="1" applyBorder="1">
      <alignment vertical="center"/>
    </xf>
    <xf numFmtId="0" fontId="87" fillId="36" borderId="24" xfId="57489" applyFont="1" applyFill="1" applyBorder="1">
      <alignment vertical="center"/>
    </xf>
    <xf numFmtId="0" fontId="18" fillId="0" borderId="0" xfId="57482" quotePrefix="1" applyFont="1" applyProtection="1">
      <protection locked="0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/>
    <xf numFmtId="0" fontId="18" fillId="0" borderId="54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26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quotePrefix="1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0" borderId="0" xfId="0" quotePrefix="1" applyFont="1" applyAlignment="1">
      <alignment horizontal="center" vertical="center"/>
    </xf>
    <xf numFmtId="49" fontId="18" fillId="0" borderId="0" xfId="0" applyNumberFormat="1" applyFont="1" applyAlignment="1">
      <alignment vertical="center"/>
    </xf>
    <xf numFmtId="0" fontId="23" fillId="0" borderId="84" xfId="0" applyFont="1" applyBorder="1" applyAlignment="1">
      <alignment vertical="center"/>
    </xf>
    <xf numFmtId="0" fontId="23" fillId="0" borderId="81" xfId="0" applyFont="1" applyBorder="1" applyAlignment="1">
      <alignment vertical="center"/>
    </xf>
    <xf numFmtId="0" fontId="18" fillId="0" borderId="84" xfId="0" applyFont="1" applyBorder="1" applyAlignment="1">
      <alignment vertical="center" wrapText="1"/>
    </xf>
    <xf numFmtId="0" fontId="23" fillId="0" borderId="83" xfId="0" applyFont="1" applyBorder="1" applyAlignment="1">
      <alignment vertical="center"/>
    </xf>
    <xf numFmtId="0" fontId="23" fillId="0" borderId="85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23" fillId="0" borderId="87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18" fillId="0" borderId="0" xfId="0" applyFont="1" applyAlignment="1">
      <alignment vertical="center" shrinkToFit="1"/>
    </xf>
    <xf numFmtId="0" fontId="19" fillId="36" borderId="0" xfId="0" applyFont="1" applyFill="1" applyAlignment="1">
      <alignment vertical="center"/>
    </xf>
    <xf numFmtId="0" fontId="18" fillId="36" borderId="0" xfId="0" applyFont="1" applyFill="1" applyAlignment="1">
      <alignment vertical="center"/>
    </xf>
    <xf numFmtId="0" fontId="18" fillId="0" borderId="54" xfId="0" applyFont="1" applyBorder="1" applyAlignment="1">
      <alignment vertical="center" wrapText="1"/>
    </xf>
    <xf numFmtId="0" fontId="18" fillId="0" borderId="84" xfId="7" applyFont="1" applyBorder="1" applyAlignment="1">
      <alignment vertical="center"/>
    </xf>
    <xf numFmtId="0" fontId="18" fillId="0" borderId="84" xfId="7" quotePrefix="1" applyFont="1" applyBorder="1" applyAlignment="1">
      <alignment vertical="center"/>
    </xf>
    <xf numFmtId="0" fontId="18" fillId="0" borderId="81" xfId="7" applyFont="1" applyBorder="1" applyAlignment="1">
      <alignment vertical="center"/>
    </xf>
    <xf numFmtId="0" fontId="18" fillId="0" borderId="25" xfId="7" applyFont="1" applyBorder="1" applyAlignment="1">
      <alignment vertical="center"/>
    </xf>
    <xf numFmtId="0" fontId="18" fillId="0" borderId="1" xfId="7" applyFont="1" applyBorder="1" applyAlignment="1">
      <alignment vertical="center"/>
    </xf>
    <xf numFmtId="0" fontId="18" fillId="0" borderId="24" xfId="7" applyFont="1" applyBorder="1" applyAlignment="1">
      <alignment vertical="center"/>
    </xf>
    <xf numFmtId="49" fontId="18" fillId="0" borderId="25" xfId="7" applyNumberFormat="1" applyFont="1" applyBorder="1" applyAlignment="1">
      <alignment vertical="center"/>
    </xf>
    <xf numFmtId="0" fontId="18" fillId="33" borderId="84" xfId="7" applyFont="1" applyFill="1" applyBorder="1" applyAlignment="1">
      <alignment vertical="center"/>
    </xf>
    <xf numFmtId="0" fontId="18" fillId="33" borderId="84" xfId="7" quotePrefix="1" applyFont="1" applyFill="1" applyBorder="1" applyAlignment="1">
      <alignment vertical="center"/>
    </xf>
    <xf numFmtId="0" fontId="88" fillId="0" borderId="84" xfId="57489" applyFont="1" applyBorder="1">
      <alignment vertical="center"/>
    </xf>
    <xf numFmtId="0" fontId="89" fillId="0" borderId="84" xfId="57489" applyFont="1" applyBorder="1">
      <alignment vertical="center"/>
    </xf>
    <xf numFmtId="0" fontId="88" fillId="0" borderId="81" xfId="57489" applyFont="1" applyBorder="1">
      <alignment vertical="center"/>
    </xf>
    <xf numFmtId="0" fontId="89" fillId="36" borderId="84" xfId="57489" applyFont="1" applyFill="1" applyBorder="1">
      <alignment vertical="center"/>
    </xf>
    <xf numFmtId="0" fontId="89" fillId="36" borderId="81" xfId="57489" applyFont="1" applyFill="1" applyBorder="1">
      <alignment vertical="center"/>
    </xf>
    <xf numFmtId="0" fontId="89" fillId="36" borderId="100" xfId="57489" applyFont="1" applyFill="1" applyBorder="1">
      <alignment vertical="center"/>
    </xf>
    <xf numFmtId="0" fontId="89" fillId="36" borderId="97" xfId="57489" applyFont="1" applyFill="1" applyBorder="1">
      <alignment vertical="center"/>
    </xf>
    <xf numFmtId="0" fontId="89" fillId="36" borderId="98" xfId="57489" applyFont="1" applyFill="1" applyBorder="1">
      <alignment vertical="center"/>
    </xf>
    <xf numFmtId="0" fontId="87" fillId="36" borderId="97" xfId="57489" applyFont="1" applyFill="1" applyBorder="1">
      <alignment vertical="center"/>
    </xf>
    <xf numFmtId="0" fontId="87" fillId="36" borderId="98" xfId="57489" applyFont="1" applyFill="1" applyBorder="1">
      <alignment vertical="center"/>
    </xf>
    <xf numFmtId="0" fontId="89" fillId="0" borderId="100" xfId="57489" applyFont="1" applyBorder="1">
      <alignment vertical="center"/>
    </xf>
    <xf numFmtId="0" fontId="89" fillId="0" borderId="97" xfId="57489" applyFont="1" applyBorder="1">
      <alignment vertical="center"/>
    </xf>
    <xf numFmtId="0" fontId="89" fillId="0" borderId="98" xfId="57489" applyFont="1" applyBorder="1">
      <alignment vertical="center"/>
    </xf>
    <xf numFmtId="0" fontId="87" fillId="0" borderId="97" xfId="57489" applyFont="1" applyBorder="1">
      <alignment vertical="center"/>
    </xf>
    <xf numFmtId="0" fontId="87" fillId="0" borderId="98" xfId="57489" applyFont="1" applyBorder="1">
      <alignment vertical="center"/>
    </xf>
    <xf numFmtId="0" fontId="89" fillId="45" borderId="100" xfId="57489" applyFont="1" applyFill="1" applyBorder="1">
      <alignment vertical="center"/>
    </xf>
    <xf numFmtId="0" fontId="89" fillId="45" borderId="97" xfId="57489" applyFont="1" applyFill="1" applyBorder="1">
      <alignment vertical="center"/>
    </xf>
    <xf numFmtId="0" fontId="89" fillId="45" borderId="98" xfId="57489" applyFont="1" applyFill="1" applyBorder="1">
      <alignment vertical="center"/>
    </xf>
    <xf numFmtId="0" fontId="87" fillId="45" borderId="97" xfId="57489" applyFont="1" applyFill="1" applyBorder="1">
      <alignment vertical="center"/>
    </xf>
    <xf numFmtId="0" fontId="87" fillId="45" borderId="98" xfId="57489" applyFont="1" applyFill="1" applyBorder="1">
      <alignment vertical="center"/>
    </xf>
    <xf numFmtId="0" fontId="18" fillId="0" borderId="84" xfId="0" applyFont="1" applyBorder="1" applyAlignment="1">
      <alignment vertical="center"/>
    </xf>
    <xf numFmtId="0" fontId="18" fillId="33" borderId="97" xfId="7" applyFont="1" applyFill="1" applyBorder="1" applyAlignment="1">
      <alignment vertical="center"/>
    </xf>
    <xf numFmtId="0" fontId="18" fillId="33" borderId="98" xfId="7" applyFont="1" applyFill="1" applyBorder="1" applyAlignment="1">
      <alignment vertical="center"/>
    </xf>
    <xf numFmtId="0" fontId="18" fillId="0" borderId="100" xfId="0" applyFont="1" applyBorder="1" applyAlignment="1">
      <alignment vertical="center"/>
    </xf>
    <xf numFmtId="0" fontId="18" fillId="0" borderId="97" xfId="0" applyFont="1" applyBorder="1" applyAlignment="1">
      <alignment vertical="center"/>
    </xf>
    <xf numFmtId="0" fontId="18" fillId="0" borderId="98" xfId="0" applyFont="1" applyBorder="1" applyAlignment="1">
      <alignment vertical="center"/>
    </xf>
    <xf numFmtId="49" fontId="23" fillId="0" borderId="86" xfId="0" applyNumberFormat="1" applyFont="1" applyBorder="1" applyAlignment="1">
      <alignment vertical="center"/>
    </xf>
    <xf numFmtId="0" fontId="18" fillId="0" borderId="81" xfId="0" applyFont="1" applyBorder="1" applyAlignment="1">
      <alignment vertical="center"/>
    </xf>
    <xf numFmtId="0" fontId="18" fillId="31" borderId="113" xfId="224" applyFont="1" applyFill="1" applyBorder="1" applyAlignment="1">
      <alignment vertical="center"/>
    </xf>
    <xf numFmtId="0" fontId="18" fillId="31" borderId="114" xfId="224" applyFont="1" applyFill="1" applyBorder="1" applyAlignment="1">
      <alignment vertical="center"/>
    </xf>
    <xf numFmtId="0" fontId="18" fillId="31" borderId="115" xfId="224" applyFont="1" applyFill="1" applyBorder="1" applyAlignment="1">
      <alignment vertical="center"/>
    </xf>
    <xf numFmtId="0" fontId="18" fillId="31" borderId="116" xfId="224" applyFont="1" applyFill="1" applyBorder="1" applyAlignment="1">
      <alignment vertical="center"/>
    </xf>
    <xf numFmtId="0" fontId="18" fillId="49" borderId="113" xfId="224" applyFont="1" applyFill="1" applyBorder="1" applyAlignment="1">
      <alignment vertical="center"/>
    </xf>
    <xf numFmtId="0" fontId="18" fillId="49" borderId="114" xfId="224" applyFont="1" applyFill="1" applyBorder="1" applyAlignment="1">
      <alignment vertical="center"/>
    </xf>
    <xf numFmtId="0" fontId="18" fillId="49" borderId="115" xfId="224" applyFont="1" applyFill="1" applyBorder="1" applyAlignment="1">
      <alignment vertical="center"/>
    </xf>
    <xf numFmtId="0" fontId="18" fillId="31" borderId="84" xfId="224" applyFont="1" applyFill="1" applyBorder="1" applyAlignment="1">
      <alignment vertical="center"/>
    </xf>
    <xf numFmtId="0" fontId="18" fillId="31" borderId="84" xfId="224" applyFont="1" applyFill="1" applyBorder="1" applyAlignment="1">
      <alignment vertical="center" wrapText="1"/>
    </xf>
    <xf numFmtId="0" fontId="18" fillId="31" borderId="25" xfId="224" applyFont="1" applyFill="1" applyBorder="1" applyAlignment="1">
      <alignment vertical="center"/>
    </xf>
    <xf numFmtId="0" fontId="18" fillId="31" borderId="1" xfId="224" applyFont="1" applyFill="1" applyBorder="1" applyAlignment="1">
      <alignment vertical="center"/>
    </xf>
    <xf numFmtId="0" fontId="18" fillId="31" borderId="1" xfId="224" applyFont="1" applyFill="1" applyBorder="1" applyAlignment="1">
      <alignment vertical="center" wrapText="1"/>
    </xf>
    <xf numFmtId="0" fontId="18" fillId="31" borderId="26" xfId="224" applyFont="1" applyFill="1" applyBorder="1" applyAlignment="1">
      <alignment vertical="center"/>
    </xf>
    <xf numFmtId="0" fontId="97" fillId="50" borderId="0" xfId="224" applyFont="1" applyFill="1" applyAlignment="1">
      <alignment vertical="center"/>
    </xf>
    <xf numFmtId="0" fontId="18" fillId="50" borderId="0" xfId="224" applyFont="1" applyFill="1" applyAlignment="1">
      <alignment vertical="center"/>
    </xf>
    <xf numFmtId="0" fontId="18" fillId="49" borderId="0" xfId="224" applyFont="1" applyFill="1" applyAlignment="1">
      <alignment vertical="center"/>
    </xf>
    <xf numFmtId="0" fontId="18" fillId="51" borderId="113" xfId="224" applyFont="1" applyFill="1" applyBorder="1" applyAlignment="1">
      <alignment vertical="center"/>
    </xf>
    <xf numFmtId="0" fontId="18" fillId="52" borderId="114" xfId="224" applyFont="1" applyFill="1" applyBorder="1" applyAlignment="1">
      <alignment vertical="center"/>
    </xf>
    <xf numFmtId="0" fontId="18" fillId="53" borderId="113" xfId="224" applyFont="1" applyFill="1" applyBorder="1" applyAlignment="1">
      <alignment vertical="center"/>
    </xf>
    <xf numFmtId="0" fontId="18" fillId="53" borderId="114" xfId="224" applyFont="1" applyFill="1" applyBorder="1" applyAlignment="1">
      <alignment vertical="center"/>
    </xf>
    <xf numFmtId="0" fontId="18" fillId="53" borderId="115" xfId="224" applyFont="1" applyFill="1" applyBorder="1" applyAlignment="1">
      <alignment vertical="center"/>
    </xf>
    <xf numFmtId="0" fontId="18" fillId="54" borderId="112" xfId="224" applyFont="1" applyFill="1" applyBorder="1" applyAlignment="1">
      <alignment vertical="center"/>
    </xf>
    <xf numFmtId="0" fontId="18" fillId="54" borderId="84" xfId="224" applyFont="1" applyFill="1" applyBorder="1" applyAlignment="1">
      <alignment vertical="center"/>
    </xf>
    <xf numFmtId="0" fontId="18" fillId="54" borderId="84" xfId="224" applyFont="1" applyFill="1" applyBorder="1" applyAlignment="1">
      <alignment vertical="center" wrapText="1"/>
    </xf>
    <xf numFmtId="0" fontId="97" fillId="55" borderId="118" xfId="224" applyFont="1" applyFill="1" applyBorder="1" applyAlignment="1">
      <alignment horizontal="center" vertical="center"/>
    </xf>
    <xf numFmtId="0" fontId="18" fillId="47" borderId="114" xfId="224" applyFont="1" applyFill="1" applyBorder="1" applyAlignment="1">
      <alignment vertical="center"/>
    </xf>
    <xf numFmtId="0" fontId="18" fillId="0" borderId="114" xfId="224" applyFont="1" applyBorder="1" applyAlignment="1">
      <alignment vertical="center"/>
    </xf>
    <xf numFmtId="0" fontId="18" fillId="0" borderId="115" xfId="224" applyFont="1" applyBorder="1" applyAlignment="1">
      <alignment vertical="center"/>
    </xf>
    <xf numFmtId="0" fontId="18" fillId="52" borderId="113" xfId="224" applyFont="1" applyFill="1" applyBorder="1" applyAlignment="1">
      <alignment vertical="center"/>
    </xf>
    <xf numFmtId="0" fontId="18" fillId="52" borderId="115" xfId="224" applyFont="1" applyFill="1" applyBorder="1" applyAlignment="1">
      <alignment vertical="center"/>
    </xf>
    <xf numFmtId="0" fontId="18" fillId="0" borderId="0" xfId="224" applyFont="1" applyAlignment="1">
      <alignment vertical="center"/>
    </xf>
    <xf numFmtId="0" fontId="18" fillId="53" borderId="0" xfId="224" applyFont="1" applyFill="1" applyAlignment="1">
      <alignment vertical="center"/>
    </xf>
    <xf numFmtId="0" fontId="98" fillId="31" borderId="0" xfId="224" applyFont="1" applyFill="1" applyAlignment="1">
      <alignment vertical="center"/>
    </xf>
    <xf numFmtId="0" fontId="14" fillId="52" borderId="119" xfId="224" applyFont="1" applyFill="1" applyBorder="1" applyAlignment="1">
      <alignment vertical="center"/>
    </xf>
    <xf numFmtId="0" fontId="18" fillId="52" borderId="120" xfId="224" applyFont="1" applyFill="1" applyBorder="1" applyAlignment="1">
      <alignment vertical="center"/>
    </xf>
    <xf numFmtId="0" fontId="18" fillId="52" borderId="121" xfId="224" applyFont="1" applyFill="1" applyBorder="1" applyAlignment="1">
      <alignment vertical="center"/>
    </xf>
    <xf numFmtId="0" fontId="18" fillId="56" borderId="120" xfId="224" applyFont="1" applyFill="1" applyBorder="1" applyAlignment="1">
      <alignment vertical="center"/>
    </xf>
    <xf numFmtId="0" fontId="18" fillId="56" borderId="121" xfId="224" applyFont="1" applyFill="1" applyBorder="1" applyAlignment="1">
      <alignment vertical="center"/>
    </xf>
    <xf numFmtId="0" fontId="14" fillId="52" borderId="113" xfId="224" applyFont="1" applyFill="1" applyBorder="1" applyAlignment="1">
      <alignment vertical="center"/>
    </xf>
    <xf numFmtId="0" fontId="18" fillId="56" borderId="114" xfId="224" applyFont="1" applyFill="1" applyBorder="1" applyAlignment="1">
      <alignment vertical="center"/>
    </xf>
    <xf numFmtId="0" fontId="18" fillId="56" borderId="115" xfId="224" applyFont="1" applyFill="1" applyBorder="1" applyAlignment="1">
      <alignment vertical="center"/>
    </xf>
    <xf numFmtId="0" fontId="99" fillId="50" borderId="100" xfId="224" applyFont="1" applyFill="1" applyBorder="1" applyAlignment="1">
      <alignment vertical="center"/>
    </xf>
    <xf numFmtId="0" fontId="99" fillId="50" borderId="97" xfId="224" applyFont="1" applyFill="1" applyBorder="1" applyAlignment="1">
      <alignment vertical="center"/>
    </xf>
    <xf numFmtId="0" fontId="99" fillId="50" borderId="98" xfId="224" applyFont="1" applyFill="1" applyBorder="1" applyAlignment="1">
      <alignment vertical="center"/>
    </xf>
    <xf numFmtId="0" fontId="14" fillId="31" borderId="100" xfId="224" quotePrefix="1" applyFont="1" applyFill="1" applyBorder="1" applyAlignment="1">
      <alignment vertical="center"/>
    </xf>
    <xf numFmtId="0" fontId="14" fillId="31" borderId="97" xfId="224" applyFont="1" applyFill="1" applyBorder="1" applyAlignment="1">
      <alignment vertical="center"/>
    </xf>
    <xf numFmtId="0" fontId="14" fillId="31" borderId="98" xfId="224" applyFont="1" applyFill="1" applyBorder="1" applyAlignment="1">
      <alignment vertical="center"/>
    </xf>
    <xf numFmtId="0" fontId="14" fillId="31" borderId="100" xfId="224" applyFont="1" applyFill="1" applyBorder="1" applyAlignment="1">
      <alignment vertical="center"/>
    </xf>
    <xf numFmtId="0" fontId="14" fillId="31" borderId="122" xfId="224" applyFont="1" applyFill="1" applyBorder="1" applyAlignment="1">
      <alignment vertical="center"/>
    </xf>
    <xf numFmtId="0" fontId="14" fillId="31" borderId="123" xfId="224" applyFont="1" applyFill="1" applyBorder="1" applyAlignment="1">
      <alignment vertical="center"/>
    </xf>
    <xf numFmtId="0" fontId="18" fillId="31" borderId="112" xfId="224" applyFont="1" applyFill="1" applyBorder="1" applyAlignment="1">
      <alignment vertical="center"/>
    </xf>
    <xf numFmtId="0" fontId="14" fillId="31" borderId="0" xfId="224" applyFont="1" applyFill="1" applyAlignment="1">
      <alignment vertical="center"/>
    </xf>
    <xf numFmtId="0" fontId="99" fillId="50" borderId="112" xfId="224" applyFont="1" applyFill="1" applyBorder="1" applyAlignment="1">
      <alignment vertical="center"/>
    </xf>
    <xf numFmtId="0" fontId="99" fillId="50" borderId="84" xfId="224" applyFont="1" applyFill="1" applyBorder="1" applyAlignment="1">
      <alignment vertical="center"/>
    </xf>
    <xf numFmtId="0" fontId="99" fillId="50" borderId="81" xfId="224" applyFont="1" applyFill="1" applyBorder="1" applyAlignment="1">
      <alignment vertical="center"/>
    </xf>
    <xf numFmtId="0" fontId="99" fillId="50" borderId="25" xfId="224" applyFont="1" applyFill="1" applyBorder="1" applyAlignment="1">
      <alignment vertical="center"/>
    </xf>
    <xf numFmtId="0" fontId="99" fillId="50" borderId="1" xfId="224" applyFont="1" applyFill="1" applyBorder="1" applyAlignment="1">
      <alignment vertical="center"/>
    </xf>
    <xf numFmtId="0" fontId="99" fillId="50" borderId="24" xfId="224" applyFont="1" applyFill="1" applyBorder="1" applyAlignment="1">
      <alignment vertical="center"/>
    </xf>
    <xf numFmtId="0" fontId="18" fillId="52" borderId="114" xfId="224" quotePrefix="1" applyFont="1" applyFill="1" applyBorder="1" applyAlignment="1">
      <alignment vertical="center"/>
    </xf>
    <xf numFmtId="0" fontId="19" fillId="40" borderId="12" xfId="0" applyFont="1" applyFill="1" applyBorder="1" applyAlignment="1">
      <alignment vertical="center"/>
    </xf>
    <xf numFmtId="0" fontId="19" fillId="40" borderId="14" xfId="0" applyFont="1" applyFill="1" applyBorder="1" applyAlignment="1">
      <alignment vertical="center"/>
    </xf>
    <xf numFmtId="0" fontId="19" fillId="42" borderId="17" xfId="0" applyFont="1" applyFill="1" applyBorder="1" applyAlignment="1">
      <alignment vertical="center"/>
    </xf>
    <xf numFmtId="0" fontId="19" fillId="42" borderId="14" xfId="0" applyFont="1" applyFill="1" applyBorder="1" applyAlignment="1">
      <alignment vertical="center"/>
    </xf>
    <xf numFmtId="0" fontId="19" fillId="42" borderId="16" xfId="0" applyFont="1" applyFill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40" borderId="13" xfId="0" applyFont="1" applyFill="1" applyBorder="1" applyAlignment="1">
      <alignment horizontal="left" vertical="center"/>
    </xf>
    <xf numFmtId="0" fontId="19" fillId="40" borderId="14" xfId="0" applyFont="1" applyFill="1" applyBorder="1" applyAlignment="1">
      <alignment horizontal="left" vertical="center"/>
    </xf>
    <xf numFmtId="0" fontId="19" fillId="40" borderId="16" xfId="0" applyFont="1" applyFill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40" borderId="17" xfId="0" applyFont="1" applyFill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9" fillId="40" borderId="124" xfId="0" applyFont="1" applyFill="1" applyBorder="1" applyAlignment="1">
      <alignment horizontal="left" vertical="center"/>
    </xf>
    <xf numFmtId="0" fontId="19" fillId="40" borderId="97" xfId="0" applyFont="1" applyFill="1" applyBorder="1" applyAlignment="1">
      <alignment horizontal="left" vertical="center"/>
    </xf>
    <xf numFmtId="0" fontId="19" fillId="40" borderId="97" xfId="0" applyFont="1" applyFill="1" applyBorder="1" applyAlignment="1">
      <alignment vertical="center"/>
    </xf>
    <xf numFmtId="0" fontId="19" fillId="42" borderId="100" xfId="0" applyFont="1" applyFill="1" applyBorder="1" applyAlignment="1">
      <alignment vertical="center"/>
    </xf>
    <xf numFmtId="0" fontId="19" fillId="42" borderId="97" xfId="0" applyFont="1" applyFill="1" applyBorder="1" applyAlignment="1">
      <alignment vertical="center"/>
    </xf>
    <xf numFmtId="0" fontId="19" fillId="0" borderId="97" xfId="0" applyFont="1" applyBorder="1" applyAlignment="1">
      <alignment horizontal="left" vertical="center"/>
    </xf>
    <xf numFmtId="0" fontId="19" fillId="0" borderId="97" xfId="0" applyFont="1" applyBorder="1" applyAlignment="1">
      <alignment vertical="center"/>
    </xf>
    <xf numFmtId="0" fontId="19" fillId="40" borderId="99" xfId="0" applyFont="1" applyFill="1" applyBorder="1" applyAlignment="1">
      <alignment horizontal="left" vertical="center"/>
    </xf>
    <xf numFmtId="0" fontId="19" fillId="40" borderId="98" xfId="0" applyFont="1" applyFill="1" applyBorder="1" applyAlignment="1">
      <alignment horizontal="left" vertical="center"/>
    </xf>
    <xf numFmtId="0" fontId="19" fillId="42" borderId="101" xfId="0" applyFont="1" applyFill="1" applyBorder="1" applyAlignment="1">
      <alignment vertical="center"/>
    </xf>
    <xf numFmtId="0" fontId="19" fillId="48" borderId="9" xfId="0" applyFont="1" applyFill="1" applyBorder="1" applyAlignment="1">
      <alignment vertical="center"/>
    </xf>
    <xf numFmtId="0" fontId="19" fillId="48" borderId="0" xfId="0" applyFont="1" applyFill="1" applyAlignment="1">
      <alignment vertical="center"/>
    </xf>
    <xf numFmtId="0" fontId="19" fillId="48" borderId="100" xfId="0" applyFont="1" applyFill="1" applyBorder="1" applyAlignment="1">
      <alignment vertical="center"/>
    </xf>
    <xf numFmtId="0" fontId="19" fillId="48" borderId="97" xfId="0" applyFont="1" applyFill="1" applyBorder="1" applyAlignment="1">
      <alignment vertical="center"/>
    </xf>
    <xf numFmtId="0" fontId="19" fillId="48" borderId="1" xfId="0" applyFont="1" applyFill="1" applyBorder="1" applyAlignment="1">
      <alignment vertical="center"/>
    </xf>
    <xf numFmtId="0" fontId="19" fillId="48" borderId="112" xfId="0" applyFont="1" applyFill="1" applyBorder="1" applyAlignment="1">
      <alignment vertical="center"/>
    </xf>
    <xf numFmtId="0" fontId="19" fillId="48" borderId="10" xfId="0" applyFont="1" applyFill="1" applyBorder="1" applyAlignment="1">
      <alignment vertical="center"/>
    </xf>
    <xf numFmtId="0" fontId="19" fillId="48" borderId="102" xfId="0" applyFont="1" applyFill="1" applyBorder="1" applyAlignment="1">
      <alignment vertical="center"/>
    </xf>
    <xf numFmtId="0" fontId="19" fillId="48" borderId="125" xfId="0" applyFont="1" applyFill="1" applyBorder="1" applyAlignment="1">
      <alignment vertical="center"/>
    </xf>
    <xf numFmtId="0" fontId="19" fillId="48" borderId="57" xfId="0" applyFont="1" applyFill="1" applyBorder="1" applyAlignment="1">
      <alignment horizontal="center" vertical="center"/>
    </xf>
    <xf numFmtId="0" fontId="19" fillId="48" borderId="103" xfId="0" applyFont="1" applyFill="1" applyBorder="1" applyAlignment="1">
      <alignment vertical="center"/>
    </xf>
    <xf numFmtId="0" fontId="19" fillId="48" borderId="104" xfId="0" applyFont="1" applyFill="1" applyBorder="1" applyAlignment="1">
      <alignment vertical="center"/>
    </xf>
    <xf numFmtId="0" fontId="19" fillId="48" borderId="105" xfId="0" applyFont="1" applyFill="1" applyBorder="1" applyAlignment="1">
      <alignment vertical="center"/>
    </xf>
    <xf numFmtId="0" fontId="19" fillId="48" borderId="57" xfId="0" applyFont="1" applyFill="1" applyBorder="1" applyAlignment="1">
      <alignment vertical="center"/>
    </xf>
    <xf numFmtId="0" fontId="19" fillId="48" borderId="106" xfId="0" applyFont="1" applyFill="1" applyBorder="1" applyAlignment="1">
      <alignment vertical="center"/>
    </xf>
    <xf numFmtId="0" fontId="18" fillId="0" borderId="109" xfId="0" applyFont="1" applyBorder="1" applyAlignment="1">
      <alignment horizontal="center" vertical="center" wrapText="1"/>
    </xf>
    <xf numFmtId="0" fontId="18" fillId="0" borderId="109" xfId="0" applyFont="1" applyBorder="1" applyAlignment="1">
      <alignment vertical="center"/>
    </xf>
    <xf numFmtId="0" fontId="18" fillId="0" borderId="110" xfId="0" applyFont="1" applyBorder="1" applyAlignment="1">
      <alignment vertical="center"/>
    </xf>
    <xf numFmtId="0" fontId="18" fillId="0" borderId="108" xfId="0" applyFont="1" applyBorder="1" applyAlignment="1">
      <alignment vertical="center"/>
    </xf>
    <xf numFmtId="0" fontId="18" fillId="0" borderId="109" xfId="0" applyFont="1" applyBorder="1" applyAlignment="1">
      <alignment horizontal="center" vertical="center"/>
    </xf>
    <xf numFmtId="0" fontId="18" fillId="0" borderId="111" xfId="0" applyFont="1" applyBorder="1" applyAlignment="1">
      <alignment vertical="center"/>
    </xf>
    <xf numFmtId="0" fontId="18" fillId="0" borderId="112" xfId="0" applyFont="1" applyBorder="1" applyAlignment="1">
      <alignment horizontal="center" vertical="center" wrapText="1"/>
    </xf>
    <xf numFmtId="0" fontId="18" fillId="0" borderId="112" xfId="0" applyFont="1" applyBorder="1" applyAlignment="1">
      <alignment vertical="center"/>
    </xf>
    <xf numFmtId="0" fontId="18" fillId="0" borderId="112" xfId="0" applyFont="1" applyBorder="1" applyAlignment="1">
      <alignment horizontal="center" vertical="center"/>
    </xf>
    <xf numFmtId="0" fontId="18" fillId="0" borderId="112" xfId="0" applyFont="1" applyBorder="1" applyAlignment="1">
      <alignment vertical="top"/>
    </xf>
    <xf numFmtId="0" fontId="18" fillId="0" borderId="84" xfId="0" applyFont="1" applyBorder="1" applyAlignment="1">
      <alignment vertical="top"/>
    </xf>
    <xf numFmtId="0" fontId="18" fillId="0" borderId="82" xfId="0" applyFont="1" applyBorder="1" applyAlignment="1">
      <alignment vertical="top"/>
    </xf>
    <xf numFmtId="0" fontId="18" fillId="0" borderId="72" xfId="0" applyFont="1" applyBorder="1" applyAlignment="1">
      <alignment horizontal="right" vertical="center" wrapText="1"/>
    </xf>
    <xf numFmtId="0" fontId="18" fillId="0" borderId="24" xfId="0" applyFont="1" applyBorder="1" applyAlignment="1">
      <alignment horizontal="right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/>
    </xf>
    <xf numFmtId="0" fontId="18" fillId="0" borderId="25" xfId="0" applyFont="1" applyBorder="1" applyAlignment="1">
      <alignment vertical="top"/>
    </xf>
    <xf numFmtId="0" fontId="18" fillId="0" borderId="1" xfId="0" applyFont="1" applyBorder="1" applyAlignment="1">
      <alignment vertical="top"/>
    </xf>
    <xf numFmtId="0" fontId="18" fillId="0" borderId="78" xfId="0" applyFont="1" applyBorder="1" applyAlignment="1">
      <alignment vertical="top"/>
    </xf>
    <xf numFmtId="0" fontId="18" fillId="0" borderId="100" xfId="0" applyFont="1" applyBorder="1" applyAlignment="1">
      <alignment horizontal="center" vertical="center" wrapText="1"/>
    </xf>
    <xf numFmtId="0" fontId="18" fillId="0" borderId="100" xfId="0" applyFont="1" applyBorder="1" applyAlignment="1">
      <alignment horizontal="center" vertical="center"/>
    </xf>
    <xf numFmtId="0" fontId="18" fillId="0" borderId="100" xfId="0" applyFont="1" applyBorder="1" applyAlignment="1">
      <alignment vertical="top"/>
    </xf>
    <xf numFmtId="0" fontId="18" fillId="0" borderId="97" xfId="0" applyFont="1" applyBorder="1" applyAlignment="1">
      <alignment vertical="top"/>
    </xf>
    <xf numFmtId="0" fontId="18" fillId="0" borderId="101" xfId="0" applyFont="1" applyBorder="1" applyAlignment="1">
      <alignment vertical="top"/>
    </xf>
    <xf numFmtId="0" fontId="18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vertical="top"/>
    </xf>
    <xf numFmtId="0" fontId="18" fillId="0" borderId="20" xfId="0" applyFont="1" applyBorder="1" applyAlignment="1">
      <alignment vertical="top"/>
    </xf>
    <xf numFmtId="0" fontId="18" fillId="0" borderId="21" xfId="0" applyFont="1" applyBorder="1" applyAlignment="1">
      <alignment vertical="top"/>
    </xf>
    <xf numFmtId="0" fontId="19" fillId="40" borderId="95" xfId="0" applyFont="1" applyFill="1" applyBorder="1" applyAlignment="1">
      <alignment horizontal="left" vertical="center"/>
    </xf>
    <xf numFmtId="0" fontId="19" fillId="40" borderId="1" xfId="0" applyFont="1" applyFill="1" applyBorder="1" applyAlignment="1">
      <alignment horizontal="left" vertical="center"/>
    </xf>
    <xf numFmtId="0" fontId="19" fillId="40" borderId="1" xfId="0" applyFont="1" applyFill="1" applyBorder="1" applyAlignment="1">
      <alignment vertical="center"/>
    </xf>
    <xf numFmtId="0" fontId="19" fillId="42" borderId="25" xfId="0" applyFont="1" applyFill="1" applyBorder="1" applyAlignment="1">
      <alignment vertical="center"/>
    </xf>
    <xf numFmtId="0" fontId="19" fillId="42" borderId="1" xfId="0" applyFont="1" applyFill="1" applyBorder="1" applyAlignment="1">
      <alignment vertical="center"/>
    </xf>
    <xf numFmtId="0" fontId="18" fillId="0" borderId="0" xfId="24894" applyFont="1">
      <alignment vertical="center"/>
    </xf>
    <xf numFmtId="0" fontId="100" fillId="57" borderId="126" xfId="0" applyFont="1" applyFill="1" applyBorder="1" applyAlignment="1">
      <alignment vertical="center"/>
    </xf>
    <xf numFmtId="0" fontId="92" fillId="57" borderId="11" xfId="0" applyFont="1" applyFill="1" applyBorder="1" applyAlignment="1">
      <alignment vertical="center"/>
    </xf>
    <xf numFmtId="0" fontId="92" fillId="57" borderId="127" xfId="0" applyFont="1" applyFill="1" applyBorder="1" applyAlignment="1">
      <alignment vertical="center"/>
    </xf>
    <xf numFmtId="0" fontId="92" fillId="35" borderId="4" xfId="0" applyFont="1" applyFill="1" applyBorder="1" applyAlignment="1">
      <alignment vertical="center"/>
    </xf>
    <xf numFmtId="49" fontId="92" fillId="35" borderId="128" xfId="0" applyNumberFormat="1" applyFont="1" applyFill="1" applyBorder="1" applyAlignment="1">
      <alignment vertical="center"/>
    </xf>
    <xf numFmtId="0" fontId="92" fillId="35" borderId="5" xfId="0" applyFont="1" applyFill="1" applyBorder="1" applyAlignment="1">
      <alignment vertical="center"/>
    </xf>
    <xf numFmtId="0" fontId="92" fillId="35" borderId="28" xfId="0" applyFont="1" applyFill="1" applyBorder="1" applyAlignment="1">
      <alignment vertical="center"/>
    </xf>
    <xf numFmtId="49" fontId="92" fillId="35" borderId="5" xfId="0" applyNumberFormat="1" applyFont="1" applyFill="1" applyBorder="1" applyAlignment="1">
      <alignment vertical="center"/>
    </xf>
    <xf numFmtId="49" fontId="23" fillId="0" borderId="96" xfId="0" applyNumberFormat="1" applyFont="1" applyBorder="1" applyAlignment="1">
      <alignment vertical="center"/>
    </xf>
    <xf numFmtId="49" fontId="23" fillId="0" borderId="85" xfId="0" applyNumberFormat="1" applyFont="1" applyBorder="1" applyAlignment="1">
      <alignment vertical="center"/>
    </xf>
    <xf numFmtId="0" fontId="23" fillId="0" borderId="97" xfId="0" applyFont="1" applyBorder="1" applyAlignment="1">
      <alignment vertical="center"/>
    </xf>
    <xf numFmtId="0" fontId="23" fillId="0" borderId="98" xfId="0" applyFont="1" applyBorder="1" applyAlignment="1">
      <alignment vertical="center"/>
    </xf>
    <xf numFmtId="49" fontId="23" fillId="0" borderId="99" xfId="0" applyNumberFormat="1" applyFont="1" applyBorder="1" applyAlignment="1">
      <alignment vertical="center"/>
    </xf>
    <xf numFmtId="0" fontId="23" fillId="0" borderId="99" xfId="0" applyFont="1" applyBorder="1" applyAlignment="1">
      <alignment vertical="center"/>
    </xf>
    <xf numFmtId="0" fontId="23" fillId="0" borderId="80" xfId="0" applyFont="1" applyBorder="1" applyAlignment="1">
      <alignment vertical="center"/>
    </xf>
    <xf numFmtId="0" fontId="23" fillId="0" borderId="96" xfId="0" applyFont="1" applyBorder="1" applyAlignment="1">
      <alignment vertical="center"/>
    </xf>
    <xf numFmtId="0" fontId="23" fillId="0" borderId="100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88" xfId="0" applyFont="1" applyBorder="1" applyAlignment="1">
      <alignment vertical="center"/>
    </xf>
    <xf numFmtId="0" fontId="92" fillId="35" borderId="129" xfId="0" applyFont="1" applyFill="1" applyBorder="1" applyAlignment="1">
      <alignment vertical="center"/>
    </xf>
    <xf numFmtId="0" fontId="92" fillId="35" borderId="130" xfId="0" applyFont="1" applyFill="1" applyBorder="1" applyAlignment="1">
      <alignment vertical="center"/>
    </xf>
    <xf numFmtId="0" fontId="19" fillId="42" borderId="78" xfId="0" applyFont="1" applyFill="1" applyBorder="1" applyAlignment="1">
      <alignment vertical="center"/>
    </xf>
    <xf numFmtId="49" fontId="23" fillId="0" borderId="100" xfId="0" applyNumberFormat="1" applyFont="1" applyBorder="1" applyAlignment="1">
      <alignment vertical="center"/>
    </xf>
    <xf numFmtId="0" fontId="18" fillId="0" borderId="25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78" xfId="0" applyBorder="1" applyAlignment="1">
      <alignment vertical="center" wrapText="1"/>
    </xf>
    <xf numFmtId="49" fontId="23" fillId="0" borderId="1" xfId="0" applyNumberFormat="1" applyFont="1" applyBorder="1" applyAlignment="1">
      <alignment vertical="center"/>
    </xf>
    <xf numFmtId="0" fontId="15" fillId="0" borderId="0" xfId="57481" applyFont="1"/>
    <xf numFmtId="0" fontId="18" fillId="0" borderId="96" xfId="0" applyFont="1" applyBorder="1" applyAlignment="1">
      <alignment horizontal="center" vertical="center" wrapText="1"/>
    </xf>
    <xf numFmtId="0" fontId="18" fillId="0" borderId="98" xfId="0" applyFont="1" applyBorder="1" applyAlignment="1">
      <alignment horizontal="center" vertical="center" wrapText="1"/>
    </xf>
    <xf numFmtId="49" fontId="19" fillId="58" borderId="126" xfId="0" applyNumberFormat="1" applyFont="1" applyFill="1" applyBorder="1" applyAlignment="1">
      <alignment vertical="center"/>
    </xf>
    <xf numFmtId="0" fontId="18" fillId="58" borderId="11" xfId="0" applyFont="1" applyFill="1" applyBorder="1" applyAlignment="1">
      <alignment vertical="center"/>
    </xf>
    <xf numFmtId="49" fontId="19" fillId="58" borderId="11" xfId="0" applyNumberFormat="1" applyFont="1" applyFill="1" applyBorder="1" applyAlignment="1">
      <alignment vertical="center"/>
    </xf>
    <xf numFmtId="49" fontId="18" fillId="58" borderId="11" xfId="0" applyNumberFormat="1" applyFont="1" applyFill="1" applyBorder="1" applyAlignment="1">
      <alignment vertical="center"/>
    </xf>
    <xf numFmtId="49" fontId="18" fillId="58" borderId="127" xfId="0" applyNumberFormat="1" applyFont="1" applyFill="1" applyBorder="1" applyAlignment="1">
      <alignment vertical="center"/>
    </xf>
    <xf numFmtId="0" fontId="16" fillId="35" borderId="12" xfId="0" applyFont="1" applyFill="1" applyBorder="1" applyAlignment="1">
      <alignment vertical="center"/>
    </xf>
    <xf numFmtId="0" fontId="16" fillId="35" borderId="14" xfId="0" applyFont="1" applyFill="1" applyBorder="1" applyAlignment="1">
      <alignment vertical="center"/>
    </xf>
    <xf numFmtId="0" fontId="16" fillId="35" borderId="17" xfId="0" applyFont="1" applyFill="1" applyBorder="1" applyAlignment="1">
      <alignment vertical="center"/>
    </xf>
    <xf numFmtId="0" fontId="16" fillId="34" borderId="14" xfId="0" applyFont="1" applyFill="1" applyBorder="1" applyAlignment="1">
      <alignment vertical="center"/>
    </xf>
    <xf numFmtId="0" fontId="16" fillId="34" borderId="15" xfId="0" applyFont="1" applyFill="1" applyBorder="1"/>
    <xf numFmtId="0" fontId="18" fillId="0" borderId="96" xfId="0" applyFont="1" applyBorder="1" applyAlignment="1">
      <alignment vertical="center"/>
    </xf>
    <xf numFmtId="0" fontId="18" fillId="0" borderId="101" xfId="0" applyFont="1" applyBorder="1" applyAlignment="1">
      <alignment vertical="center"/>
    </xf>
    <xf numFmtId="0" fontId="18" fillId="0" borderId="83" xfId="0" applyFont="1" applyBorder="1" applyAlignment="1">
      <alignment vertical="center"/>
    </xf>
    <xf numFmtId="0" fontId="18" fillId="0" borderId="84" xfId="0" applyFont="1" applyBorder="1" applyAlignment="1">
      <alignment horizontal="center" vertical="center"/>
    </xf>
    <xf numFmtId="0" fontId="18" fillId="0" borderId="82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101" fillId="33" borderId="100" xfId="0" applyFont="1" applyFill="1" applyBorder="1" applyAlignment="1">
      <alignment vertical="center"/>
    </xf>
    <xf numFmtId="0" fontId="101" fillId="33" borderId="98" xfId="0" applyFont="1" applyFill="1" applyBorder="1" applyAlignment="1">
      <alignment vertical="center"/>
    </xf>
    <xf numFmtId="0" fontId="101" fillId="33" borderId="97" xfId="0" applyFont="1" applyFill="1" applyBorder="1" applyAlignment="1">
      <alignment vertical="center"/>
    </xf>
    <xf numFmtId="0" fontId="101" fillId="33" borderId="97" xfId="0" applyFont="1" applyFill="1" applyBorder="1" applyAlignment="1">
      <alignment horizontal="left" vertical="center"/>
    </xf>
    <xf numFmtId="0" fontId="101" fillId="33" borderId="97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01" fillId="0" borderId="100" xfId="0" applyFont="1" applyBorder="1" applyAlignment="1">
      <alignment vertical="center"/>
    </xf>
    <xf numFmtId="0" fontId="101" fillId="0" borderId="97" xfId="0" applyFont="1" applyBorder="1" applyAlignment="1">
      <alignment vertical="center"/>
    </xf>
    <xf numFmtId="0" fontId="101" fillId="0" borderId="97" xfId="0" applyFont="1" applyBorder="1" applyAlignment="1">
      <alignment horizontal="left" vertical="center"/>
    </xf>
    <xf numFmtId="0" fontId="101" fillId="0" borderId="98" xfId="0" applyFont="1" applyBorder="1" applyAlignment="1">
      <alignment vertical="center"/>
    </xf>
    <xf numFmtId="0" fontId="101" fillId="0" borderId="97" xfId="0" applyFont="1" applyBorder="1" applyAlignment="1">
      <alignment horizontal="center" vertical="center"/>
    </xf>
    <xf numFmtId="0" fontId="19" fillId="0" borderId="5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0" fontId="14" fillId="0" borderId="0" xfId="57481" applyFont="1"/>
    <xf numFmtId="0" fontId="14" fillId="0" borderId="0" xfId="57481" applyFont="1" applyAlignment="1">
      <alignment vertical="top"/>
    </xf>
    <xf numFmtId="0" fontId="14" fillId="0" borderId="0" xfId="57481" applyFont="1" applyAlignment="1">
      <alignment vertical="center"/>
    </xf>
    <xf numFmtId="0" fontId="14" fillId="0" borderId="0" xfId="57481" applyFont="1" applyAlignment="1">
      <alignment vertical="center" wrapText="1"/>
    </xf>
    <xf numFmtId="0" fontId="14" fillId="0" borderId="10" xfId="57481" applyFont="1" applyBorder="1" applyAlignment="1">
      <alignment vertical="center"/>
    </xf>
    <xf numFmtId="0" fontId="101" fillId="40" borderId="17" xfId="58479" applyFont="1" applyFill="1" applyBorder="1">
      <alignment vertical="center"/>
    </xf>
    <xf numFmtId="0" fontId="101" fillId="40" borderId="14" xfId="58479" applyFont="1" applyFill="1" applyBorder="1">
      <alignment vertical="center"/>
    </xf>
    <xf numFmtId="0" fontId="101" fillId="40" borderId="16" xfId="58479" applyFont="1" applyFill="1" applyBorder="1">
      <alignment vertical="center"/>
    </xf>
    <xf numFmtId="0" fontId="101" fillId="40" borderId="15" xfId="58479" applyFont="1" applyFill="1" applyBorder="1">
      <alignment vertical="center"/>
    </xf>
    <xf numFmtId="0" fontId="102" fillId="0" borderId="0" xfId="58479" applyFont="1" applyAlignment="1"/>
    <xf numFmtId="0" fontId="14" fillId="0" borderId="112" xfId="58475" applyFont="1" applyBorder="1">
      <alignment vertical="center"/>
    </xf>
    <xf numFmtId="0" fontId="14" fillId="0" borderId="84" xfId="58475" applyFont="1" applyBorder="1">
      <alignment vertical="center"/>
    </xf>
    <xf numFmtId="0" fontId="14" fillId="0" borderId="81" xfId="58475" applyFont="1" applyBorder="1">
      <alignment vertical="center"/>
    </xf>
    <xf numFmtId="0" fontId="14" fillId="0" borderId="82" xfId="58475" applyFont="1" applyBorder="1">
      <alignment vertical="center"/>
    </xf>
    <xf numFmtId="0" fontId="14" fillId="0" borderId="0" xfId="58479" applyFont="1" applyAlignment="1">
      <alignment horizontal="right" vertical="center"/>
    </xf>
    <xf numFmtId="0" fontId="14" fillId="0" borderId="25" xfId="58475" applyFont="1" applyBorder="1">
      <alignment vertical="center"/>
    </xf>
    <xf numFmtId="0" fontId="14" fillId="0" borderId="1" xfId="58475" applyFont="1" applyBorder="1">
      <alignment vertical="center"/>
    </xf>
    <xf numFmtId="0" fontId="14" fillId="0" borderId="24" xfId="58475" applyFont="1" applyBorder="1">
      <alignment vertical="center"/>
    </xf>
    <xf numFmtId="0" fontId="14" fillId="0" borderId="25" xfId="58479" applyFont="1" applyBorder="1">
      <alignment vertical="center"/>
    </xf>
    <xf numFmtId="0" fontId="14" fillId="0" borderId="1" xfId="58479" applyFont="1" applyBorder="1">
      <alignment vertical="center"/>
    </xf>
    <xf numFmtId="0" fontId="14" fillId="0" borderId="24" xfId="58479" applyFont="1" applyBorder="1">
      <alignment vertical="center"/>
    </xf>
    <xf numFmtId="0" fontId="14" fillId="0" borderId="78" xfId="58479" applyFont="1" applyBorder="1">
      <alignment vertical="center"/>
    </xf>
    <xf numFmtId="0" fontId="14" fillId="0" borderId="100" xfId="58475" applyFont="1" applyBorder="1">
      <alignment vertical="center"/>
    </xf>
    <xf numFmtId="0" fontId="14" fillId="0" borderId="97" xfId="58475" applyFont="1" applyBorder="1">
      <alignment vertical="center"/>
    </xf>
    <xf numFmtId="0" fontId="14" fillId="0" borderId="98" xfId="58475" applyFont="1" applyBorder="1">
      <alignment vertical="center"/>
    </xf>
    <xf numFmtId="0" fontId="14" fillId="0" borderId="100" xfId="58479" applyFont="1" applyBorder="1">
      <alignment vertical="center"/>
    </xf>
    <xf numFmtId="0" fontId="14" fillId="0" borderId="97" xfId="58479" applyFont="1" applyBorder="1">
      <alignment vertical="center"/>
    </xf>
    <xf numFmtId="0" fontId="14" fillId="0" borderId="98" xfId="58479" applyFont="1" applyBorder="1">
      <alignment vertical="center"/>
    </xf>
    <xf numFmtId="0" fontId="14" fillId="0" borderId="101" xfId="58479" applyFont="1" applyBorder="1">
      <alignment vertical="center"/>
    </xf>
    <xf numFmtId="0" fontId="14" fillId="0" borderId="101" xfId="58475" applyFont="1" applyBorder="1">
      <alignment vertical="center"/>
    </xf>
    <xf numFmtId="0" fontId="14" fillId="0" borderId="22" xfId="58475" applyFont="1" applyBorder="1">
      <alignment vertical="center"/>
    </xf>
    <xf numFmtId="0" fontId="14" fillId="0" borderId="20" xfId="58475" applyFont="1" applyBorder="1">
      <alignment vertical="center"/>
    </xf>
    <xf numFmtId="0" fontId="14" fillId="0" borderId="18" xfId="58475" applyFont="1" applyBorder="1">
      <alignment vertical="center"/>
    </xf>
    <xf numFmtId="0" fontId="14" fillId="0" borderId="22" xfId="58479" applyFont="1" applyBorder="1">
      <alignment vertical="center"/>
    </xf>
    <xf numFmtId="0" fontId="14" fillId="0" borderId="20" xfId="58479" applyFont="1" applyBorder="1">
      <alignment vertical="center"/>
    </xf>
    <xf numFmtId="0" fontId="14" fillId="0" borderId="18" xfId="58479" applyFont="1" applyBorder="1">
      <alignment vertical="center"/>
    </xf>
    <xf numFmtId="0" fontId="14" fillId="0" borderId="21" xfId="58479" applyFont="1" applyBorder="1">
      <alignment vertical="center"/>
    </xf>
    <xf numFmtId="0" fontId="14" fillId="0" borderId="0" xfId="57481" applyFont="1" applyAlignment="1">
      <alignment vertical="center" shrinkToFit="1"/>
    </xf>
    <xf numFmtId="0" fontId="18" fillId="59" borderId="0" xfId="224" applyFont="1" applyFill="1" applyAlignment="1">
      <alignment horizontal="center" vertical="center"/>
    </xf>
    <xf numFmtId="0" fontId="103" fillId="59" borderId="0" xfId="224" applyFont="1" applyFill="1" applyAlignment="1">
      <alignment horizontal="center" vertical="center"/>
    </xf>
    <xf numFmtId="49" fontId="92" fillId="35" borderId="129" xfId="0" applyNumberFormat="1" applyFont="1" applyFill="1" applyBorder="1" applyAlignment="1">
      <alignment vertical="center"/>
    </xf>
    <xf numFmtId="49" fontId="92" fillId="35" borderId="130" xfId="0" applyNumberFormat="1" applyFont="1" applyFill="1" applyBorder="1" applyAlignment="1">
      <alignment vertical="center"/>
    </xf>
    <xf numFmtId="0" fontId="23" fillId="0" borderId="97" xfId="0" applyFont="1" applyBorder="1" applyAlignment="1">
      <alignment vertical="center" wrapText="1"/>
    </xf>
    <xf numFmtId="0" fontId="23" fillId="0" borderId="98" xfId="0" applyFont="1" applyBorder="1" applyAlignment="1">
      <alignment vertical="center" wrapText="1"/>
    </xf>
    <xf numFmtId="0" fontId="23" fillId="0" borderId="133" xfId="0" applyFont="1" applyBorder="1" applyAlignment="1">
      <alignment vertical="center"/>
    </xf>
    <xf numFmtId="49" fontId="23" fillId="0" borderId="133" xfId="0" applyNumberFormat="1" applyFont="1" applyBorder="1" applyAlignment="1">
      <alignment vertical="center"/>
    </xf>
    <xf numFmtId="0" fontId="23" fillId="0" borderId="135" xfId="0" applyFont="1" applyBorder="1" applyAlignment="1">
      <alignment vertical="center"/>
    </xf>
    <xf numFmtId="49" fontId="104" fillId="40" borderId="89" xfId="0" applyNumberFormat="1" applyFont="1" applyFill="1" applyBorder="1" applyAlignment="1">
      <alignment vertical="center" shrinkToFit="1"/>
    </xf>
    <xf numFmtId="49" fontId="104" fillId="40" borderId="90" xfId="0" applyNumberFormat="1" applyFont="1" applyFill="1" applyBorder="1" applyAlignment="1">
      <alignment vertical="center"/>
    </xf>
    <xf numFmtId="49" fontId="104" fillId="40" borderId="91" xfId="0" applyNumberFormat="1" applyFont="1" applyFill="1" applyBorder="1" applyAlignment="1">
      <alignment vertical="center"/>
    </xf>
    <xf numFmtId="49" fontId="104" fillId="40" borderId="92" xfId="0" applyNumberFormat="1" applyFont="1" applyFill="1" applyBorder="1" applyAlignment="1">
      <alignment vertical="center"/>
    </xf>
    <xf numFmtId="49" fontId="105" fillId="0" borderId="93" xfId="0" applyNumberFormat="1" applyFont="1" applyBorder="1" applyAlignment="1">
      <alignment vertical="center" shrinkToFit="1"/>
    </xf>
    <xf numFmtId="49" fontId="104" fillId="41" borderId="97" xfId="0" applyNumberFormat="1" applyFont="1" applyFill="1" applyBorder="1" applyAlignment="1">
      <alignment vertical="center"/>
    </xf>
    <xf numFmtId="49" fontId="105" fillId="41" borderId="97" xfId="0" applyNumberFormat="1" applyFont="1" applyFill="1" applyBorder="1" applyAlignment="1">
      <alignment vertical="center"/>
    </xf>
    <xf numFmtId="49" fontId="105" fillId="41" borderId="101" xfId="0" applyNumberFormat="1" applyFont="1" applyFill="1" applyBorder="1" applyAlignment="1">
      <alignment vertical="center"/>
    </xf>
    <xf numFmtId="49" fontId="105" fillId="0" borderId="94" xfId="0" applyNumberFormat="1" applyFont="1" applyBorder="1" applyAlignment="1">
      <alignment vertical="center" shrinkToFit="1"/>
    </xf>
    <xf numFmtId="49" fontId="105" fillId="0" borderId="26" xfId="0" applyNumberFormat="1" applyFont="1" applyBorder="1" applyAlignment="1">
      <alignment vertical="center"/>
    </xf>
    <xf numFmtId="49" fontId="105" fillId="0" borderId="0" xfId="0" applyNumberFormat="1" applyFont="1" applyAlignment="1">
      <alignment vertical="center"/>
    </xf>
    <xf numFmtId="49" fontId="105" fillId="0" borderId="27" xfId="0" applyNumberFormat="1" applyFont="1" applyBorder="1" applyAlignment="1">
      <alignment vertical="center"/>
    </xf>
    <xf numFmtId="0" fontId="105" fillId="0" borderId="0" xfId="57491" applyFont="1" applyAlignment="1">
      <alignment vertical="center"/>
    </xf>
    <xf numFmtId="49" fontId="105" fillId="0" borderId="10" xfId="0" applyNumberFormat="1" applyFont="1" applyBorder="1" applyAlignment="1">
      <alignment vertical="center"/>
    </xf>
    <xf numFmtId="49" fontId="105" fillId="0" borderId="0" xfId="0" applyNumberFormat="1" applyFont="1" applyAlignment="1">
      <alignment horizontal="left" vertical="center"/>
    </xf>
    <xf numFmtId="0" fontId="105" fillId="0" borderId="26" xfId="0" applyFont="1" applyBorder="1" applyAlignment="1">
      <alignment vertical="center"/>
    </xf>
    <xf numFmtId="49" fontId="105" fillId="0" borderId="95" xfId="0" applyNumberFormat="1" applyFont="1" applyBorder="1" applyAlignment="1">
      <alignment vertical="center" shrinkToFit="1"/>
    </xf>
    <xf numFmtId="49" fontId="105" fillId="0" borderId="25" xfId="0" applyNumberFormat="1" applyFont="1" applyBorder="1" applyAlignment="1">
      <alignment vertical="center"/>
    </xf>
    <xf numFmtId="49" fontId="105" fillId="0" borderId="1" xfId="0" applyNumberFormat="1" applyFont="1" applyBorder="1" applyAlignment="1">
      <alignment vertical="center"/>
    </xf>
    <xf numFmtId="49" fontId="105" fillId="0" borderId="24" xfId="0" applyNumberFormat="1" applyFont="1" applyBorder="1" applyAlignment="1">
      <alignment vertical="center"/>
    </xf>
    <xf numFmtId="49" fontId="105" fillId="0" borderId="26" xfId="57490" applyNumberFormat="1" applyFont="1" applyBorder="1">
      <alignment vertical="center"/>
    </xf>
    <xf numFmtId="49" fontId="105" fillId="0" borderId="0" xfId="57490" applyNumberFormat="1" applyFont="1">
      <alignment vertical="center"/>
    </xf>
    <xf numFmtId="0" fontId="105" fillId="0" borderId="0" xfId="0" applyFont="1" applyAlignment="1">
      <alignment vertical="center" shrinkToFit="1"/>
    </xf>
    <xf numFmtId="0" fontId="105" fillId="0" borderId="0" xfId="0" applyFont="1" applyAlignment="1">
      <alignment vertical="center"/>
    </xf>
    <xf numFmtId="0" fontId="105" fillId="0" borderId="27" xfId="0" applyFont="1" applyBorder="1" applyAlignment="1">
      <alignment vertical="center"/>
    </xf>
    <xf numFmtId="0" fontId="106" fillId="0" borderId="0" xfId="0" applyFont="1" applyAlignment="1">
      <alignment vertical="center"/>
    </xf>
    <xf numFmtId="49" fontId="106" fillId="0" borderId="0" xfId="57490" applyNumberFormat="1" applyFont="1">
      <alignment vertical="center"/>
    </xf>
    <xf numFmtId="49" fontId="107" fillId="0" borderId="0" xfId="57490" applyNumberFormat="1" applyFont="1">
      <alignment vertical="center"/>
    </xf>
    <xf numFmtId="0" fontId="18" fillId="0" borderId="0" xfId="0" applyFont="1" applyAlignment="1">
      <alignment horizontal="center" vertical="center" wrapText="1"/>
    </xf>
    <xf numFmtId="49" fontId="23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18" fillId="0" borderId="83" xfId="0" applyFont="1" applyBorder="1" applyAlignment="1">
      <alignment horizontal="center" vertical="center" wrapText="1"/>
    </xf>
    <xf numFmtId="0" fontId="18" fillId="0" borderId="84" xfId="0" applyFont="1" applyBorder="1" applyAlignment="1">
      <alignment horizontal="center" vertical="center" wrapText="1"/>
    </xf>
    <xf numFmtId="49" fontId="23" fillId="0" borderId="84" xfId="0" applyNumberFormat="1" applyFont="1" applyBorder="1" applyAlignment="1">
      <alignment vertical="center"/>
    </xf>
    <xf numFmtId="0" fontId="0" fillId="0" borderId="84" xfId="0" applyBorder="1" applyAlignment="1">
      <alignment vertical="center" wrapText="1"/>
    </xf>
    <xf numFmtId="0" fontId="0" fillId="0" borderId="82" xfId="0" applyBorder="1" applyAlignment="1">
      <alignment vertical="center" wrapText="1"/>
    </xf>
    <xf numFmtId="0" fontId="18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49" fontId="23" fillId="0" borderId="26" xfId="0" applyNumberFormat="1" applyFont="1" applyBorder="1" applyAlignment="1">
      <alignment vertical="center"/>
    </xf>
    <xf numFmtId="0" fontId="18" fillId="0" borderId="27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vertical="center"/>
    </xf>
    <xf numFmtId="0" fontId="18" fillId="0" borderId="24" xfId="0" applyFont="1" applyBorder="1" applyAlignment="1">
      <alignment horizontal="center" vertical="center"/>
    </xf>
    <xf numFmtId="0" fontId="0" fillId="0" borderId="27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49" fontId="23" fillId="0" borderId="97" xfId="0" applyNumberFormat="1" applyFont="1" applyBorder="1" applyAlignment="1">
      <alignment vertical="center"/>
    </xf>
    <xf numFmtId="0" fontId="18" fillId="0" borderId="97" xfId="0" applyFont="1" applyBorder="1" applyAlignment="1">
      <alignment horizontal="center" vertical="center"/>
    </xf>
    <xf numFmtId="0" fontId="18" fillId="0" borderId="97" xfId="0" applyFont="1" applyBorder="1" applyAlignment="1">
      <alignment vertical="center" wrapText="1"/>
    </xf>
    <xf numFmtId="0" fontId="0" fillId="0" borderId="97" xfId="0" applyBorder="1" applyAlignment="1">
      <alignment vertical="center" wrapText="1"/>
    </xf>
    <xf numFmtId="0" fontId="0" fillId="0" borderId="98" xfId="0" applyBorder="1" applyAlignment="1">
      <alignment vertical="center" wrapText="1"/>
    </xf>
    <xf numFmtId="49" fontId="23" fillId="60" borderId="100" xfId="0" applyNumberFormat="1" applyFont="1" applyFill="1" applyBorder="1" applyAlignment="1">
      <alignment vertical="center"/>
    </xf>
    <xf numFmtId="0" fontId="18" fillId="60" borderId="97" xfId="0" applyFont="1" applyFill="1" applyBorder="1" applyAlignment="1">
      <alignment vertical="center"/>
    </xf>
    <xf numFmtId="49" fontId="23" fillId="60" borderId="97" xfId="0" applyNumberFormat="1" applyFont="1" applyFill="1" applyBorder="1" applyAlignment="1">
      <alignment vertical="center"/>
    </xf>
    <xf numFmtId="0" fontId="18" fillId="60" borderId="97" xfId="0" applyFont="1" applyFill="1" applyBorder="1" applyAlignment="1">
      <alignment horizontal="center" vertical="center"/>
    </xf>
    <xf numFmtId="0" fontId="18" fillId="60" borderId="97" xfId="0" applyFont="1" applyFill="1" applyBorder="1" applyAlignment="1">
      <alignment vertical="center" wrapText="1"/>
    </xf>
    <xf numFmtId="0" fontId="0" fillId="60" borderId="97" xfId="0" applyFill="1" applyBorder="1" applyAlignment="1">
      <alignment vertical="center" wrapText="1"/>
    </xf>
    <xf numFmtId="0" fontId="0" fillId="60" borderId="98" xfId="0" applyFill="1" applyBorder="1" applyAlignment="1">
      <alignment vertical="center" wrapText="1"/>
    </xf>
    <xf numFmtId="0" fontId="18" fillId="46" borderId="84" xfId="0" applyFont="1" applyFill="1" applyBorder="1" applyAlignment="1">
      <alignment vertical="center"/>
    </xf>
    <xf numFmtId="0" fontId="18" fillId="46" borderId="81" xfId="0" applyFont="1" applyFill="1" applyBorder="1" applyAlignment="1">
      <alignment vertical="center"/>
    </xf>
    <xf numFmtId="0" fontId="18" fillId="46" borderId="84" xfId="0" applyFont="1" applyFill="1" applyBorder="1" applyAlignment="1">
      <alignment vertical="center" wrapText="1"/>
    </xf>
    <xf numFmtId="0" fontId="18" fillId="46" borderId="25" xfId="0" applyFont="1" applyFill="1" applyBorder="1" applyAlignment="1">
      <alignment vertical="center"/>
    </xf>
    <xf numFmtId="0" fontId="18" fillId="46" borderId="1" xfId="0" applyFont="1" applyFill="1" applyBorder="1" applyAlignment="1">
      <alignment vertical="center"/>
    </xf>
    <xf numFmtId="0" fontId="18" fillId="46" borderId="24" xfId="0" applyFont="1" applyFill="1" applyBorder="1" applyAlignment="1">
      <alignment vertical="center"/>
    </xf>
    <xf numFmtId="0" fontId="18" fillId="46" borderId="1" xfId="0" applyFont="1" applyFill="1" applyBorder="1" applyAlignment="1">
      <alignment vertical="center" wrapText="1"/>
    </xf>
    <xf numFmtId="0" fontId="18" fillId="33" borderId="100" xfId="7" applyFont="1" applyFill="1" applyBorder="1" applyAlignment="1">
      <alignment vertical="center"/>
    </xf>
    <xf numFmtId="0" fontId="18" fillId="0" borderId="9" xfId="224" applyFont="1" applyBorder="1" applyAlignment="1">
      <alignment vertical="center"/>
    </xf>
    <xf numFmtId="0" fontId="20" fillId="0" borderId="0" xfId="224" applyFont="1" applyAlignment="1">
      <alignment vertical="center"/>
    </xf>
    <xf numFmtId="0" fontId="18" fillId="0" borderId="10" xfId="224" applyFont="1" applyBorder="1" applyAlignment="1">
      <alignment vertical="center"/>
    </xf>
    <xf numFmtId="0" fontId="19" fillId="0" borderId="0" xfId="7" applyFont="1" applyAlignment="1">
      <alignment vertical="center"/>
    </xf>
    <xf numFmtId="20" fontId="18" fillId="0" borderId="0" xfId="7" applyNumberFormat="1" applyFont="1" applyAlignment="1">
      <alignment vertical="center"/>
    </xf>
    <xf numFmtId="0" fontId="18" fillId="0" borderId="26" xfId="7" applyFont="1" applyBorder="1" applyAlignment="1">
      <alignment vertical="center"/>
    </xf>
    <xf numFmtId="0" fontId="18" fillId="0" borderId="27" xfId="7" applyFont="1" applyBorder="1" applyAlignment="1">
      <alignment vertical="center"/>
    </xf>
    <xf numFmtId="49" fontId="18" fillId="0" borderId="26" xfId="7" applyNumberFormat="1" applyFont="1" applyBorder="1" applyAlignment="1">
      <alignment vertical="center"/>
    </xf>
    <xf numFmtId="49" fontId="105" fillId="0" borderId="132" xfId="0" applyNumberFormat="1" applyFont="1" applyBorder="1" applyAlignment="1">
      <alignment vertical="center" shrinkToFit="1"/>
    </xf>
    <xf numFmtId="49" fontId="105" fillId="47" borderId="117" xfId="0" applyNumberFormat="1" applyFont="1" applyFill="1" applyBorder="1" applyAlignment="1">
      <alignment vertical="center"/>
    </xf>
    <xf numFmtId="49" fontId="105" fillId="47" borderId="0" xfId="0" applyNumberFormat="1" applyFont="1" applyFill="1" applyAlignment="1">
      <alignment vertical="center"/>
    </xf>
    <xf numFmtId="49" fontId="105" fillId="47" borderId="136" xfId="0" applyNumberFormat="1" applyFont="1" applyFill="1" applyBorder="1" applyAlignment="1">
      <alignment vertical="center"/>
    </xf>
    <xf numFmtId="49" fontId="105" fillId="47" borderId="137" xfId="0" applyNumberFormat="1" applyFont="1" applyFill="1" applyBorder="1" applyAlignment="1">
      <alignment vertical="center"/>
    </xf>
    <xf numFmtId="49" fontId="105" fillId="47" borderId="138" xfId="0" applyNumberFormat="1" applyFont="1" applyFill="1" applyBorder="1" applyAlignment="1">
      <alignment vertical="center"/>
    </xf>
    <xf numFmtId="49" fontId="105" fillId="47" borderId="139" xfId="0" applyNumberFormat="1" applyFont="1" applyFill="1" applyBorder="1" applyAlignment="1">
      <alignment vertical="center"/>
    </xf>
    <xf numFmtId="0" fontId="105" fillId="49" borderId="0" xfId="224" applyFont="1" applyFill="1" applyAlignment="1">
      <alignment vertical="center"/>
    </xf>
    <xf numFmtId="0" fontId="105" fillId="52" borderId="113" xfId="224" applyFont="1" applyFill="1" applyBorder="1" applyAlignment="1">
      <alignment vertical="center"/>
    </xf>
    <xf numFmtId="0" fontId="105" fillId="52" borderId="114" xfId="224" applyFont="1" applyFill="1" applyBorder="1" applyAlignment="1">
      <alignment vertical="center"/>
    </xf>
    <xf numFmtId="0" fontId="105" fillId="52" borderId="115" xfId="224" applyFont="1" applyFill="1" applyBorder="1" applyAlignment="1">
      <alignment vertical="center"/>
    </xf>
    <xf numFmtId="49" fontId="107" fillId="0" borderId="0" xfId="0" applyNumberFormat="1" applyFont="1" applyAlignment="1">
      <alignment vertical="center"/>
    </xf>
    <xf numFmtId="0" fontId="18" fillId="33" borderId="112" xfId="7" applyFont="1" applyFill="1" applyBorder="1" applyAlignment="1">
      <alignment vertical="center"/>
    </xf>
    <xf numFmtId="0" fontId="18" fillId="0" borderId="112" xfId="7" applyFont="1" applyBorder="1" applyAlignment="1">
      <alignment vertical="center"/>
    </xf>
    <xf numFmtId="49" fontId="18" fillId="0" borderId="112" xfId="7" applyNumberFormat="1" applyFont="1" applyBorder="1" applyAlignment="1">
      <alignment vertical="center"/>
    </xf>
    <xf numFmtId="0" fontId="105" fillId="0" borderId="72" xfId="0" applyFont="1" applyBorder="1" applyAlignment="1">
      <alignment vertical="center" shrinkToFit="1"/>
    </xf>
    <xf numFmtId="0" fontId="105" fillId="0" borderId="25" xfId="0" applyFont="1" applyBorder="1" applyAlignment="1">
      <alignment vertical="center"/>
    </xf>
    <xf numFmtId="0" fontId="105" fillId="0" borderId="1" xfId="0" applyFont="1" applyBorder="1" applyAlignment="1">
      <alignment vertical="center"/>
    </xf>
    <xf numFmtId="0" fontId="105" fillId="0" borderId="24" xfId="0" applyFont="1" applyBorder="1" applyAlignment="1">
      <alignment vertical="center"/>
    </xf>
    <xf numFmtId="0" fontId="105" fillId="0" borderId="78" xfId="0" applyFont="1" applyBorder="1" applyAlignment="1">
      <alignment vertical="center"/>
    </xf>
    <xf numFmtId="0" fontId="89" fillId="0" borderId="112" xfId="57489" applyFont="1" applyBorder="1">
      <alignment vertical="center"/>
    </xf>
    <xf numFmtId="0" fontId="89" fillId="36" borderId="112" xfId="57489" applyFont="1" applyFill="1" applyBorder="1">
      <alignment vertical="center"/>
    </xf>
    <xf numFmtId="0" fontId="18" fillId="46" borderId="112" xfId="0" applyFont="1" applyFill="1" applyBorder="1" applyAlignment="1">
      <alignment vertical="center"/>
    </xf>
    <xf numFmtId="0" fontId="108" fillId="31" borderId="0" xfId="224" applyFont="1" applyFill="1" applyAlignment="1">
      <alignment vertical="center"/>
    </xf>
    <xf numFmtId="0" fontId="108" fillId="0" borderId="0" xfId="0" applyFont="1" applyAlignment="1">
      <alignment vertical="center"/>
    </xf>
    <xf numFmtId="0" fontId="20" fillId="31" borderId="0" xfId="224" applyFont="1" applyFill="1" applyAlignment="1">
      <alignment vertical="center"/>
    </xf>
    <xf numFmtId="49" fontId="18" fillId="0" borderId="94" xfId="0" applyNumberFormat="1" applyFont="1" applyBorder="1" applyAlignment="1">
      <alignment vertical="center" shrinkToFit="1"/>
    </xf>
    <xf numFmtId="49" fontId="19" fillId="41" borderId="97" xfId="0" applyNumberFormat="1" applyFont="1" applyFill="1" applyBorder="1" applyAlignment="1">
      <alignment vertical="center"/>
    </xf>
    <xf numFmtId="49" fontId="18" fillId="41" borderId="97" xfId="0" applyNumberFormat="1" applyFont="1" applyFill="1" applyBorder="1" applyAlignment="1">
      <alignment vertical="center"/>
    </xf>
    <xf numFmtId="49" fontId="18" fillId="41" borderId="101" xfId="0" applyNumberFormat="1" applyFont="1" applyFill="1" applyBorder="1" applyAlignment="1">
      <alignment vertical="center"/>
    </xf>
    <xf numFmtId="49" fontId="18" fillId="0" borderId="9" xfId="0" applyNumberFormat="1" applyFont="1" applyBorder="1" applyAlignment="1">
      <alignment vertical="center"/>
    </xf>
    <xf numFmtId="49" fontId="18" fillId="0" borderId="26" xfId="0" applyNumberFormat="1" applyFont="1" applyBorder="1" applyAlignment="1">
      <alignment vertical="center"/>
    </xf>
    <xf numFmtId="49" fontId="18" fillId="0" borderId="27" xfId="0" applyNumberFormat="1" applyFont="1" applyBorder="1" applyAlignment="1">
      <alignment vertical="center"/>
    </xf>
    <xf numFmtId="49" fontId="14" fillId="0" borderId="0" xfId="57490" applyNumberFormat="1" applyFont="1">
      <alignment vertical="center"/>
    </xf>
    <xf numFmtId="49" fontId="109" fillId="0" borderId="0" xfId="57490" applyNumberFormat="1" applyFont="1">
      <alignment vertical="center"/>
    </xf>
    <xf numFmtId="49" fontId="109" fillId="0" borderId="0" xfId="0" applyNumberFormat="1" applyFont="1" applyAlignment="1">
      <alignment vertical="center"/>
    </xf>
    <xf numFmtId="49" fontId="18" fillId="0" borderId="10" xfId="0" applyNumberFormat="1" applyFont="1" applyBorder="1" applyAlignment="1">
      <alignment vertical="center"/>
    </xf>
    <xf numFmtId="0" fontId="105" fillId="0" borderId="0" xfId="57491" quotePrefix="1" applyFont="1" applyAlignment="1">
      <alignment vertical="center"/>
    </xf>
    <xf numFmtId="49" fontId="110" fillId="0" borderId="0" xfId="57490" applyNumberFormat="1" applyFont="1">
      <alignment vertical="center"/>
    </xf>
    <xf numFmtId="49" fontId="18" fillId="0" borderId="0" xfId="57490" applyNumberFormat="1" applyFont="1">
      <alignment vertical="center"/>
    </xf>
    <xf numFmtId="0" fontId="20" fillId="0" borderId="84" xfId="0" applyFont="1" applyBorder="1" applyAlignment="1">
      <alignment vertical="center"/>
    </xf>
    <xf numFmtId="0" fontId="20" fillId="0" borderId="97" xfId="0" applyFont="1" applyBorder="1" applyAlignment="1">
      <alignment vertical="center"/>
    </xf>
    <xf numFmtId="0" fontId="111" fillId="0" borderId="100" xfId="0" applyFont="1" applyBorder="1" applyAlignment="1">
      <alignment vertical="center"/>
    </xf>
    <xf numFmtId="0" fontId="20" fillId="0" borderId="112" xfId="0" applyFont="1" applyBorder="1" applyAlignment="1">
      <alignment vertical="top"/>
    </xf>
    <xf numFmtId="0" fontId="20" fillId="0" borderId="1" xfId="0" applyFont="1" applyBorder="1" applyAlignment="1">
      <alignment vertical="center"/>
    </xf>
    <xf numFmtId="0" fontId="20" fillId="0" borderId="25" xfId="0" applyFont="1" applyBorder="1" applyAlignment="1">
      <alignment vertical="top"/>
    </xf>
    <xf numFmtId="0" fontId="18" fillId="0" borderId="132" xfId="0" applyFont="1" applyBorder="1" applyAlignment="1">
      <alignment vertical="center" shrinkToFit="1"/>
    </xf>
    <xf numFmtId="0" fontId="18" fillId="61" borderId="0" xfId="0" applyFont="1" applyFill="1"/>
    <xf numFmtId="0" fontId="20" fillId="61" borderId="0" xfId="0" applyFont="1" applyFill="1"/>
    <xf numFmtId="0" fontId="18" fillId="0" borderId="94" xfId="0" applyFont="1" applyBorder="1" applyAlignment="1">
      <alignment vertical="center" shrinkToFit="1"/>
    </xf>
    <xf numFmtId="0" fontId="18" fillId="0" borderId="9" xfId="0" applyFont="1" applyBorder="1" applyAlignment="1">
      <alignment vertical="center" shrinkToFit="1"/>
    </xf>
    <xf numFmtId="49" fontId="18" fillId="0" borderId="0" xfId="0" applyNumberFormat="1" applyFont="1" applyAlignment="1">
      <alignment horizontal="left" vertical="center"/>
    </xf>
    <xf numFmtId="0" fontId="18" fillId="0" borderId="0" xfId="0" applyFont="1"/>
    <xf numFmtId="0" fontId="18" fillId="0" borderId="0" xfId="0" quotePrefix="1" applyFont="1"/>
    <xf numFmtId="0" fontId="112" fillId="0" borderId="100" xfId="58475" applyFont="1" applyBorder="1">
      <alignment vertical="center"/>
    </xf>
    <xf numFmtId="0" fontId="112" fillId="0" borderId="97" xfId="58475" applyFont="1" applyBorder="1">
      <alignment vertical="center"/>
    </xf>
    <xf numFmtId="0" fontId="112" fillId="0" borderId="98" xfId="58475" applyFont="1" applyBorder="1">
      <alignment vertical="center"/>
    </xf>
    <xf numFmtId="0" fontId="112" fillId="0" borderId="100" xfId="58479" applyFont="1" applyBorder="1">
      <alignment vertical="center"/>
    </xf>
    <xf numFmtId="0" fontId="112" fillId="0" borderId="97" xfId="58479" applyFont="1" applyBorder="1">
      <alignment vertical="center"/>
    </xf>
    <xf numFmtId="0" fontId="112" fillId="0" borderId="98" xfId="58479" applyFont="1" applyBorder="1">
      <alignment vertical="center"/>
    </xf>
    <xf numFmtId="0" fontId="112" fillId="0" borderId="101" xfId="58479" applyFont="1" applyBorder="1">
      <alignment vertical="center"/>
    </xf>
    <xf numFmtId="49" fontId="14" fillId="62" borderId="112" xfId="0" applyNumberFormat="1" applyFont="1" applyFill="1" applyBorder="1" applyAlignment="1">
      <alignment vertical="center"/>
    </xf>
    <xf numFmtId="49" fontId="18" fillId="62" borderId="84" xfId="0" applyNumberFormat="1" applyFont="1" applyFill="1" applyBorder="1" applyAlignment="1">
      <alignment vertical="center"/>
    </xf>
    <xf numFmtId="49" fontId="14" fillId="62" borderId="84" xfId="0" applyNumberFormat="1" applyFont="1" applyFill="1" applyBorder="1" applyAlignment="1">
      <alignment vertical="center"/>
    </xf>
    <xf numFmtId="49" fontId="14" fillId="62" borderId="112" xfId="0" applyNumberFormat="1" applyFont="1" applyFill="1" applyBorder="1" applyAlignment="1">
      <alignment horizontal="center" vertical="center"/>
    </xf>
    <xf numFmtId="49" fontId="14" fillId="62" borderId="84" xfId="0" applyNumberFormat="1" applyFont="1" applyFill="1" applyBorder="1" applyAlignment="1">
      <alignment horizontal="center" vertical="center"/>
    </xf>
    <xf numFmtId="49" fontId="14" fillId="62" borderId="81" xfId="0" applyNumberFormat="1" applyFont="1" applyFill="1" applyBorder="1" applyAlignment="1">
      <alignment horizontal="center" vertical="center"/>
    </xf>
    <xf numFmtId="49" fontId="14" fillId="62" borderId="25" xfId="0" applyNumberFormat="1" applyFont="1" applyFill="1" applyBorder="1" applyAlignment="1">
      <alignment vertical="center"/>
    </xf>
    <xf numFmtId="49" fontId="18" fillId="62" borderId="1" xfId="0" applyNumberFormat="1" applyFont="1" applyFill="1" applyBorder="1" applyAlignment="1">
      <alignment vertical="center"/>
    </xf>
    <xf numFmtId="49" fontId="14" fillId="62" borderId="1" xfId="0" applyNumberFormat="1" applyFont="1" applyFill="1" applyBorder="1" applyAlignment="1">
      <alignment vertical="center"/>
    </xf>
    <xf numFmtId="49" fontId="14" fillId="62" borderId="25" xfId="0" applyNumberFormat="1" applyFont="1" applyFill="1" applyBorder="1" applyAlignment="1">
      <alignment horizontal="center" vertical="center"/>
    </xf>
    <xf numFmtId="49" fontId="14" fillId="62" borderId="1" xfId="0" applyNumberFormat="1" applyFont="1" applyFill="1" applyBorder="1" applyAlignment="1">
      <alignment horizontal="center" vertical="center"/>
    </xf>
    <xf numFmtId="49" fontId="14" fillId="62" borderId="24" xfId="0" applyNumberFormat="1" applyFont="1" applyFill="1" applyBorder="1" applyAlignment="1">
      <alignment horizontal="center" vertical="center"/>
    </xf>
    <xf numFmtId="49" fontId="14" fillId="0" borderId="112" xfId="0" applyNumberFormat="1" applyFont="1" applyBorder="1" applyAlignment="1">
      <alignment vertical="center"/>
    </xf>
    <xf numFmtId="49" fontId="18" fillId="0" borderId="84" xfId="0" applyNumberFormat="1" applyFont="1" applyBorder="1" applyAlignment="1">
      <alignment vertical="center"/>
    </xf>
    <xf numFmtId="49" fontId="14" fillId="0" borderId="84" xfId="0" applyNumberFormat="1" applyFont="1" applyBorder="1" applyAlignment="1">
      <alignment vertical="center"/>
    </xf>
    <xf numFmtId="49" fontId="18" fillId="0" borderId="81" xfId="0" applyNumberFormat="1" applyFont="1" applyBorder="1" applyAlignment="1">
      <alignment vertical="center"/>
    </xf>
    <xf numFmtId="49" fontId="14" fillId="0" borderId="100" xfId="0" applyNumberFormat="1" applyFont="1" applyBorder="1" applyAlignment="1">
      <alignment horizontal="center" vertical="center"/>
    </xf>
    <xf numFmtId="49" fontId="14" fillId="0" borderId="97" xfId="0" applyNumberFormat="1" applyFont="1" applyBorder="1" applyAlignment="1">
      <alignment horizontal="center" vertical="center"/>
    </xf>
    <xf numFmtId="49" fontId="14" fillId="0" borderId="98" xfId="0" applyNumberFormat="1" applyFont="1" applyBorder="1" applyAlignment="1">
      <alignment horizontal="center" vertical="center"/>
    </xf>
    <xf numFmtId="0" fontId="7" fillId="0" borderId="0" xfId="0" applyFont="1"/>
    <xf numFmtId="49" fontId="14" fillId="0" borderId="26" xfId="0" applyNumberFormat="1" applyFont="1" applyBorder="1" applyAlignment="1">
      <alignment vertical="center"/>
    </xf>
    <xf numFmtId="49" fontId="18" fillId="0" borderId="100" xfId="0" applyNumberFormat="1" applyFont="1" applyBorder="1" applyAlignment="1">
      <alignment vertical="center"/>
    </xf>
    <xf numFmtId="49" fontId="18" fillId="0" borderId="97" xfId="0" applyNumberFormat="1" applyFont="1" applyBorder="1" applyAlignment="1">
      <alignment vertical="center"/>
    </xf>
    <xf numFmtId="49" fontId="14" fillId="0" borderId="97" xfId="0" applyNumberFormat="1" applyFont="1" applyBorder="1" applyAlignment="1">
      <alignment vertical="center"/>
    </xf>
    <xf numFmtId="49" fontId="14" fillId="0" borderId="25" xfId="0" applyNumberFormat="1" applyFont="1" applyBorder="1" applyAlignment="1">
      <alignment vertical="center"/>
    </xf>
    <xf numFmtId="49" fontId="18" fillId="0" borderId="1" xfId="0" applyNumberFormat="1" applyFont="1" applyBorder="1" applyAlignment="1">
      <alignment vertical="center"/>
    </xf>
    <xf numFmtId="49" fontId="18" fillId="0" borderId="24" xfId="0" applyNumberFormat="1" applyFont="1" applyBorder="1" applyAlignment="1">
      <alignment vertical="center"/>
    </xf>
    <xf numFmtId="49" fontId="14" fillId="0" borderId="0" xfId="0" applyNumberFormat="1" applyFont="1" applyAlignment="1">
      <alignment vertical="center"/>
    </xf>
    <xf numFmtId="0" fontId="113" fillId="0" borderId="100" xfId="58475" applyFont="1" applyBorder="1">
      <alignment vertical="center"/>
    </xf>
    <xf numFmtId="0" fontId="113" fillId="0" borderId="98" xfId="58475" applyFont="1" applyBorder="1">
      <alignment vertical="center"/>
    </xf>
    <xf numFmtId="0" fontId="113" fillId="0" borderId="97" xfId="58475" applyFont="1" applyBorder="1">
      <alignment vertical="center"/>
    </xf>
    <xf numFmtId="0" fontId="113" fillId="0" borderId="100" xfId="58479" applyFont="1" applyBorder="1">
      <alignment vertical="center"/>
    </xf>
    <xf numFmtId="0" fontId="113" fillId="0" borderId="101" xfId="58475" applyFont="1" applyBorder="1">
      <alignment vertical="center"/>
    </xf>
    <xf numFmtId="0" fontId="113" fillId="0" borderId="97" xfId="58479" applyFont="1" applyBorder="1">
      <alignment vertical="center"/>
    </xf>
    <xf numFmtId="0" fontId="113" fillId="0" borderId="98" xfId="58479" applyFont="1" applyBorder="1">
      <alignment vertical="center"/>
    </xf>
    <xf numFmtId="0" fontId="113" fillId="0" borderId="101" xfId="58479" applyFont="1" applyBorder="1">
      <alignment vertical="center"/>
    </xf>
    <xf numFmtId="49" fontId="20" fillId="0" borderId="0" xfId="57490" applyNumberFormat="1" applyFont="1">
      <alignment vertical="center"/>
    </xf>
    <xf numFmtId="49" fontId="114" fillId="0" borderId="0" xfId="57490" applyNumberFormat="1" applyFont="1">
      <alignment vertical="center"/>
    </xf>
    <xf numFmtId="0" fontId="20" fillId="0" borderId="0" xfId="0" applyFont="1"/>
    <xf numFmtId="49" fontId="20" fillId="0" borderId="0" xfId="0" applyNumberFormat="1" applyFont="1" applyAlignment="1">
      <alignment vertical="center"/>
    </xf>
    <xf numFmtId="49" fontId="20" fillId="0" borderId="26" xfId="0" applyNumberFormat="1" applyFont="1" applyBorder="1" applyAlignment="1">
      <alignment vertical="center"/>
    </xf>
    <xf numFmtId="0" fontId="20" fillId="0" borderId="26" xfId="0" applyFont="1" applyBorder="1" applyAlignment="1">
      <alignment vertical="center"/>
    </xf>
    <xf numFmtId="0" fontId="16" fillId="34" borderId="17" xfId="9" applyFont="1" applyFill="1" applyBorder="1" applyAlignment="1">
      <alignment horizontal="center" wrapText="1"/>
    </xf>
    <xf numFmtId="0" fontId="7" fillId="0" borderId="14" xfId="224" applyBorder="1" applyAlignment="1">
      <alignment horizontal="center" wrapText="1"/>
    </xf>
    <xf numFmtId="0" fontId="7" fillId="0" borderId="16" xfId="224" applyBorder="1" applyAlignment="1">
      <alignment horizontal="center" wrapText="1"/>
    </xf>
    <xf numFmtId="0" fontId="16" fillId="34" borderId="17" xfId="9" applyFont="1" applyFill="1" applyBorder="1" applyAlignment="1">
      <alignment horizontal="center"/>
    </xf>
    <xf numFmtId="0" fontId="7" fillId="0" borderId="14" xfId="224" applyBorder="1" applyAlignment="1">
      <alignment horizontal="center"/>
    </xf>
    <xf numFmtId="0" fontId="7" fillId="0" borderId="16" xfId="224" applyBorder="1" applyAlignment="1">
      <alignment horizontal="center"/>
    </xf>
    <xf numFmtId="0" fontId="7" fillId="0" borderId="15" xfId="224" applyBorder="1" applyAlignment="1">
      <alignment horizontal="center"/>
    </xf>
    <xf numFmtId="0" fontId="16" fillId="0" borderId="112" xfId="8" applyFont="1" applyBorder="1" applyAlignment="1">
      <alignment horizontal="center" vertical="center" wrapText="1"/>
    </xf>
    <xf numFmtId="0" fontId="7" fillId="0" borderId="84" xfId="224" applyBorder="1" applyAlignment="1">
      <alignment horizontal="center" vertical="center" wrapText="1"/>
    </xf>
    <xf numFmtId="0" fontId="16" fillId="34" borderId="100" xfId="8" applyFont="1" applyFill="1" applyBorder="1" applyAlignment="1">
      <alignment horizontal="center" wrapText="1"/>
    </xf>
    <xf numFmtId="0" fontId="7" fillId="0" borderId="97" xfId="224" applyBorder="1" applyAlignment="1">
      <alignment horizontal="center" wrapText="1"/>
    </xf>
    <xf numFmtId="0" fontId="7" fillId="0" borderId="98" xfId="224" applyBorder="1" applyAlignment="1">
      <alignment horizontal="center" wrapText="1"/>
    </xf>
    <xf numFmtId="0" fontId="17" fillId="0" borderId="100" xfId="8" applyFont="1" applyBorder="1" applyAlignment="1">
      <alignment horizontal="center" wrapText="1"/>
    </xf>
    <xf numFmtId="0" fontId="17" fillId="0" borderId="97" xfId="8" applyFont="1" applyBorder="1" applyAlignment="1">
      <alignment horizontal="center" wrapText="1"/>
    </xf>
    <xf numFmtId="0" fontId="17" fillId="0" borderId="98" xfId="8" applyFont="1" applyBorder="1" applyAlignment="1">
      <alignment horizontal="center" wrapText="1"/>
    </xf>
    <xf numFmtId="0" fontId="17" fillId="0" borderId="100" xfId="224" applyFont="1" applyBorder="1" applyAlignment="1">
      <alignment horizontal="center" wrapText="1"/>
    </xf>
    <xf numFmtId="14" fontId="17" fillId="0" borderId="112" xfId="9" applyNumberFormat="1" applyFont="1" applyBorder="1" applyAlignment="1">
      <alignment horizontal="center" vertical="center" wrapText="1"/>
    </xf>
    <xf numFmtId="0" fontId="7" fillId="0" borderId="81" xfId="224" applyBorder="1" applyAlignment="1">
      <alignment horizontal="center" vertical="center" wrapText="1"/>
    </xf>
    <xf numFmtId="0" fontId="7" fillId="0" borderId="30" xfId="224" applyBorder="1" applyAlignment="1">
      <alignment horizontal="center" vertical="center" wrapText="1"/>
    </xf>
    <xf numFmtId="0" fontId="7" fillId="0" borderId="54" xfId="224" applyBorder="1" applyAlignment="1">
      <alignment horizontal="center" vertical="center" wrapText="1"/>
    </xf>
    <xf numFmtId="0" fontId="7" fillId="0" borderId="29" xfId="224" applyBorder="1" applyAlignment="1">
      <alignment horizontal="center" vertical="center" wrapText="1"/>
    </xf>
    <xf numFmtId="0" fontId="17" fillId="0" borderId="112" xfId="9" applyFont="1" applyBorder="1" applyAlignment="1">
      <alignment horizontal="center" vertical="center" wrapText="1"/>
    </xf>
    <xf numFmtId="0" fontId="17" fillId="0" borderId="17" xfId="8" applyFont="1" applyBorder="1" applyAlignment="1">
      <alignment horizontal="center" wrapText="1"/>
    </xf>
    <xf numFmtId="176" fontId="17" fillId="0" borderId="112" xfId="9" applyNumberFormat="1" applyFont="1" applyBorder="1" applyAlignment="1">
      <alignment horizontal="center" vertical="center" wrapText="1"/>
    </xf>
    <xf numFmtId="0" fontId="7" fillId="0" borderId="82" xfId="224" applyBorder="1" applyAlignment="1">
      <alignment horizontal="center" vertical="center" wrapText="1"/>
    </xf>
    <xf numFmtId="0" fontId="7" fillId="0" borderId="8" xfId="224" applyBorder="1" applyAlignment="1">
      <alignment horizontal="center" vertical="center" wrapText="1"/>
    </xf>
    <xf numFmtId="0" fontId="19" fillId="0" borderId="30" xfId="8" applyFont="1" applyBorder="1" applyAlignment="1">
      <alignment horizontal="center" vertical="center" shrinkToFit="1"/>
    </xf>
    <xf numFmtId="0" fontId="24" fillId="0" borderId="54" xfId="224" applyFont="1" applyBorder="1" applyAlignment="1">
      <alignment horizontal="center" vertical="center" shrinkToFit="1"/>
    </xf>
    <xf numFmtId="0" fontId="16" fillId="34" borderId="22" xfId="8" applyFont="1" applyFill="1" applyBorder="1" applyAlignment="1">
      <alignment horizontal="center" wrapText="1"/>
    </xf>
    <xf numFmtId="0" fontId="7" fillId="0" borderId="20" xfId="224" applyBorder="1" applyAlignment="1">
      <alignment horizontal="center" wrapText="1"/>
    </xf>
    <xf numFmtId="0" fontId="7" fillId="0" borderId="18" xfId="224" applyBorder="1" applyAlignment="1">
      <alignment horizontal="center" wrapText="1"/>
    </xf>
    <xf numFmtId="0" fontId="18" fillId="0" borderId="22" xfId="6" applyFont="1" applyBorder="1" applyAlignment="1">
      <alignment horizontal="center" wrapText="1"/>
    </xf>
    <xf numFmtId="0" fontId="18" fillId="0" borderId="20" xfId="6" applyFont="1" applyBorder="1" applyAlignment="1">
      <alignment horizontal="center" wrapText="1"/>
    </xf>
    <xf numFmtId="0" fontId="18" fillId="0" borderId="20" xfId="6" quotePrefix="1" applyFont="1" applyBorder="1" applyAlignment="1">
      <alignment wrapText="1"/>
    </xf>
    <xf numFmtId="0" fontId="24" fillId="0" borderId="20" xfId="224" applyFont="1" applyBorder="1" applyAlignment="1">
      <alignment wrapText="1"/>
    </xf>
    <xf numFmtId="0" fontId="24" fillId="0" borderId="18" xfId="224" applyFont="1" applyBorder="1" applyAlignment="1">
      <alignment wrapText="1"/>
    </xf>
    <xf numFmtId="0" fontId="25" fillId="0" borderId="4" xfId="8" applyFont="1" applyBorder="1" applyAlignment="1">
      <alignment horizontal="center" vertical="center" wrapText="1"/>
    </xf>
    <xf numFmtId="0" fontId="22" fillId="0" borderId="5" xfId="224" applyFont="1" applyBorder="1" applyAlignment="1">
      <alignment horizontal="center" vertical="center" wrapText="1"/>
    </xf>
    <xf numFmtId="0" fontId="22" fillId="0" borderId="28" xfId="224" applyFont="1" applyBorder="1" applyAlignment="1">
      <alignment horizontal="center" vertical="center" wrapText="1"/>
    </xf>
    <xf numFmtId="0" fontId="22" fillId="0" borderId="9" xfId="224" applyFont="1" applyBorder="1" applyAlignment="1">
      <alignment horizontal="center" vertical="center" wrapText="1"/>
    </xf>
    <xf numFmtId="0" fontId="22" fillId="0" borderId="0" xfId="224" applyFont="1" applyAlignment="1">
      <alignment horizontal="center" vertical="center" wrapText="1"/>
    </xf>
    <xf numFmtId="0" fontId="22" fillId="0" borderId="27" xfId="224" applyFont="1" applyBorder="1" applyAlignment="1">
      <alignment horizontal="center" vertical="center" wrapText="1"/>
    </xf>
    <xf numFmtId="0" fontId="22" fillId="0" borderId="6" xfId="224" applyFont="1" applyBorder="1" applyAlignment="1">
      <alignment horizontal="center" vertical="center" wrapText="1"/>
    </xf>
    <xf numFmtId="0" fontId="22" fillId="0" borderId="54" xfId="224" applyFont="1" applyBorder="1" applyAlignment="1">
      <alignment horizontal="center" vertical="center" wrapText="1"/>
    </xf>
    <xf numFmtId="0" fontId="22" fillId="0" borderId="29" xfId="224" applyFont="1" applyBorder="1" applyAlignment="1">
      <alignment horizontal="center" vertical="center" wrapText="1"/>
    </xf>
    <xf numFmtId="0" fontId="16" fillId="34" borderId="17" xfId="8" applyFont="1" applyFill="1" applyBorder="1" applyAlignment="1">
      <alignment horizontal="center" vertical="center" wrapText="1"/>
    </xf>
    <xf numFmtId="0" fontId="7" fillId="0" borderId="14" xfId="224" applyBorder="1" applyAlignment="1">
      <alignment horizontal="center" vertical="center" wrapText="1"/>
    </xf>
    <xf numFmtId="0" fontId="16" fillId="34" borderId="17" xfId="8" applyFont="1" applyFill="1" applyBorder="1" applyAlignment="1">
      <alignment horizontal="center" wrapText="1"/>
    </xf>
    <xf numFmtId="0" fontId="17" fillId="0" borderId="17" xfId="8" applyFont="1" applyBorder="1" applyAlignment="1">
      <alignment horizontal="center" shrinkToFit="1"/>
    </xf>
    <xf numFmtId="0" fontId="7" fillId="0" borderId="14" xfId="224" applyBorder="1" applyAlignment="1">
      <alignment horizontal="center" shrinkToFit="1"/>
    </xf>
    <xf numFmtId="0" fontId="7" fillId="0" borderId="16" xfId="224" applyBorder="1" applyAlignment="1">
      <alignment horizontal="center" shrinkToFit="1"/>
    </xf>
    <xf numFmtId="0" fontId="16" fillId="34" borderId="13" xfId="9" applyFont="1" applyFill="1" applyBorder="1" applyAlignment="1">
      <alignment horizontal="center"/>
    </xf>
    <xf numFmtId="0" fontId="7" fillId="0" borderId="15" xfId="224" applyBorder="1" applyAlignment="1">
      <alignment horizontal="center" wrapText="1"/>
    </xf>
    <xf numFmtId="0" fontId="16" fillId="34" borderId="100" xfId="8" applyFont="1" applyFill="1" applyBorder="1" applyAlignment="1">
      <alignment horizontal="center" shrinkToFit="1"/>
    </xf>
    <xf numFmtId="0" fontId="7" fillId="0" borderId="97" xfId="224" applyBorder="1" applyAlignment="1">
      <alignment horizontal="center" shrinkToFit="1"/>
    </xf>
    <xf numFmtId="0" fontId="7" fillId="0" borderId="98" xfId="224" applyBorder="1" applyAlignment="1">
      <alignment horizontal="center" shrinkToFit="1"/>
    </xf>
    <xf numFmtId="0" fontId="17" fillId="0" borderId="97" xfId="224" applyFont="1" applyBorder="1" applyAlignment="1">
      <alignment horizontal="center" wrapText="1"/>
    </xf>
    <xf numFmtId="0" fontId="17" fillId="0" borderId="98" xfId="224" applyFont="1" applyBorder="1" applyAlignment="1">
      <alignment horizontal="center" wrapText="1"/>
    </xf>
    <xf numFmtId="14" fontId="17" fillId="0" borderId="99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0" borderId="23" xfId="9" applyFont="1" applyBorder="1" applyAlignment="1">
      <alignment horizontal="center" vertical="center"/>
    </xf>
    <xf numFmtId="0" fontId="24" fillId="0" borderId="29" xfId="224" applyFont="1" applyBorder="1" applyAlignment="1">
      <alignment horizontal="center" vertical="center" shrinkToFit="1"/>
    </xf>
    <xf numFmtId="0" fontId="16" fillId="34" borderId="22" xfId="8" applyFont="1" applyFill="1" applyBorder="1" applyAlignment="1">
      <alignment horizontal="center" shrinkToFit="1"/>
    </xf>
    <xf numFmtId="0" fontId="7" fillId="0" borderId="20" xfId="224" applyBorder="1" applyAlignment="1">
      <alignment horizontal="center" shrinkToFit="1"/>
    </xf>
    <xf numFmtId="0" fontId="7" fillId="0" borderId="18" xfId="224" applyBorder="1" applyAlignment="1">
      <alignment horizontal="center" shrinkToFit="1"/>
    </xf>
    <xf numFmtId="0" fontId="18" fillId="0" borderId="22" xfId="8" applyFont="1" applyBorder="1" applyAlignment="1">
      <alignment horizontal="center" wrapText="1"/>
    </xf>
    <xf numFmtId="0" fontId="18" fillId="0" borderId="20" xfId="8" applyFont="1" applyBorder="1" applyAlignment="1">
      <alignment horizontal="center" wrapText="1"/>
    </xf>
    <xf numFmtId="0" fontId="18" fillId="0" borderId="20" xfId="8" quotePrefix="1" applyFont="1" applyBorder="1" applyAlignment="1">
      <alignment horizontal="left" wrapText="1"/>
    </xf>
    <xf numFmtId="0" fontId="24" fillId="0" borderId="20" xfId="224" applyFont="1" applyBorder="1" applyAlignment="1">
      <alignment horizontal="left" wrapText="1"/>
    </xf>
    <xf numFmtId="0" fontId="24" fillId="0" borderId="18" xfId="224" applyFont="1" applyBorder="1" applyAlignment="1">
      <alignment horizontal="left" wrapText="1"/>
    </xf>
    <xf numFmtId="14" fontId="17" fillId="31" borderId="112" xfId="6" applyNumberFormat="1" applyFont="1" applyFill="1" applyBorder="1" applyAlignment="1">
      <alignment horizontal="center" vertical="center" wrapText="1"/>
    </xf>
    <xf numFmtId="14" fontId="17" fillId="31" borderId="84" xfId="6" applyNumberFormat="1" applyFont="1" applyFill="1" applyBorder="1" applyAlignment="1">
      <alignment horizontal="center" vertical="center" wrapText="1"/>
    </xf>
    <xf numFmtId="14" fontId="17" fillId="31" borderId="81" xfId="6" applyNumberFormat="1" applyFont="1" applyFill="1" applyBorder="1" applyAlignment="1">
      <alignment horizontal="center" vertical="center" wrapText="1"/>
    </xf>
    <xf numFmtId="14" fontId="17" fillId="31" borderId="25" xfId="6" applyNumberFormat="1" applyFont="1" applyFill="1" applyBorder="1" applyAlignment="1">
      <alignment horizontal="center" vertical="center" wrapText="1"/>
    </xf>
    <xf numFmtId="14" fontId="17" fillId="31" borderId="1" xfId="6" applyNumberFormat="1" applyFont="1" applyFill="1" applyBorder="1" applyAlignment="1">
      <alignment horizontal="center" vertical="center" wrapText="1"/>
    </xf>
    <xf numFmtId="14" fontId="17" fillId="31" borderId="24" xfId="6" applyNumberFormat="1" applyFont="1" applyFill="1" applyBorder="1" applyAlignment="1">
      <alignment horizontal="center" vertical="center" wrapText="1"/>
    </xf>
    <xf numFmtId="14" fontId="18" fillId="31" borderId="112" xfId="6" quotePrefix="1" applyNumberFormat="1" applyFont="1" applyFill="1" applyBorder="1" applyAlignment="1">
      <alignment horizontal="center" vertical="center" wrapText="1" shrinkToFit="1"/>
    </xf>
    <xf numFmtId="0" fontId="7" fillId="31" borderId="84" xfId="7" applyFill="1" applyBorder="1" applyAlignment="1">
      <alignment horizontal="center" vertical="center" wrapText="1" shrinkToFit="1"/>
    </xf>
    <xf numFmtId="0" fontId="7" fillId="31" borderId="81" xfId="7" applyFill="1" applyBorder="1" applyAlignment="1">
      <alignment horizontal="center" vertical="center" wrapText="1" shrinkToFit="1"/>
    </xf>
    <xf numFmtId="0" fontId="7" fillId="31" borderId="25" xfId="7" applyFill="1" applyBorder="1" applyAlignment="1">
      <alignment horizontal="center" vertical="center" wrapText="1" shrinkToFit="1"/>
    </xf>
    <xf numFmtId="0" fontId="7" fillId="31" borderId="1" xfId="7" applyFill="1" applyBorder="1" applyAlignment="1">
      <alignment horizontal="center" vertical="center" wrapText="1" shrinkToFit="1"/>
    </xf>
    <xf numFmtId="0" fontId="7" fillId="31" borderId="24" xfId="7" applyFill="1" applyBorder="1" applyAlignment="1">
      <alignment horizontal="center" vertical="center" wrapText="1" shrinkToFit="1"/>
    </xf>
    <xf numFmtId="0" fontId="17" fillId="31" borderId="112" xfId="6" applyFont="1" applyFill="1" applyBorder="1" applyAlignment="1">
      <alignment horizontal="center" vertical="center"/>
    </xf>
    <xf numFmtId="0" fontId="17" fillId="31" borderId="84" xfId="6" applyFont="1" applyFill="1" applyBorder="1" applyAlignment="1">
      <alignment horizontal="center" vertical="center"/>
    </xf>
    <xf numFmtId="0" fontId="17" fillId="31" borderId="81" xfId="6" applyFont="1" applyFill="1" applyBorder="1" applyAlignment="1">
      <alignment horizontal="center" vertical="center"/>
    </xf>
    <xf numFmtId="0" fontId="17" fillId="31" borderId="25" xfId="6" applyFont="1" applyFill="1" applyBorder="1" applyAlignment="1">
      <alignment horizontal="center" vertical="center"/>
    </xf>
    <xf numFmtId="0" fontId="17" fillId="31" borderId="1" xfId="6" applyFont="1" applyFill="1" applyBorder="1" applyAlignment="1">
      <alignment horizontal="center" vertical="center"/>
    </xf>
    <xf numFmtId="0" fontId="17" fillId="31" borderId="24" xfId="6" applyFont="1" applyFill="1" applyBorder="1" applyAlignment="1">
      <alignment horizontal="center" vertical="center"/>
    </xf>
    <xf numFmtId="177" fontId="17" fillId="31" borderId="112" xfId="6" quotePrefix="1" applyNumberFormat="1" applyFont="1" applyFill="1" applyBorder="1" applyAlignment="1">
      <alignment horizontal="center" vertical="center"/>
    </xf>
    <xf numFmtId="177" fontId="17" fillId="31" borderId="84" xfId="6" quotePrefix="1" applyNumberFormat="1" applyFont="1" applyFill="1" applyBorder="1" applyAlignment="1">
      <alignment horizontal="center" vertical="center"/>
    </xf>
    <xf numFmtId="177" fontId="17" fillId="31" borderId="81" xfId="6" quotePrefix="1" applyNumberFormat="1" applyFont="1" applyFill="1" applyBorder="1" applyAlignment="1">
      <alignment horizontal="center" vertical="center"/>
    </xf>
    <xf numFmtId="177" fontId="17" fillId="31" borderId="25" xfId="6" quotePrefix="1" applyNumberFormat="1" applyFont="1" applyFill="1" applyBorder="1" applyAlignment="1">
      <alignment horizontal="center" vertical="center"/>
    </xf>
    <xf numFmtId="177" fontId="17" fillId="31" borderId="1" xfId="6" quotePrefix="1" applyNumberFormat="1" applyFont="1" applyFill="1" applyBorder="1" applyAlignment="1">
      <alignment horizontal="center" vertical="center"/>
    </xf>
    <xf numFmtId="177" fontId="17" fillId="31" borderId="24" xfId="6" quotePrefix="1" applyNumberFormat="1" applyFont="1" applyFill="1" applyBorder="1" applyAlignment="1">
      <alignment horizontal="center" vertical="center"/>
    </xf>
    <xf numFmtId="0" fontId="7" fillId="0" borderId="16" xfId="224" applyBorder="1" applyAlignment="1">
      <alignment horizontal="center" vertical="center" wrapText="1"/>
    </xf>
    <xf numFmtId="0" fontId="16" fillId="34" borderId="17" xfId="8" applyFont="1" applyFill="1" applyBorder="1" applyAlignment="1">
      <alignment horizontal="center" shrinkToFit="1"/>
    </xf>
    <xf numFmtId="178" fontId="14" fillId="0" borderId="45" xfId="57482" applyNumberFormat="1" applyFont="1" applyBorder="1" applyAlignment="1">
      <alignment horizontal="center" vertical="center"/>
    </xf>
    <xf numFmtId="178" fontId="14" fillId="0" borderId="46" xfId="57482" applyNumberFormat="1" applyFont="1" applyBorder="1" applyAlignment="1">
      <alignment horizontal="center" vertical="center"/>
    </xf>
    <xf numFmtId="178" fontId="14" fillId="0" borderId="47" xfId="57482" applyNumberFormat="1" applyFont="1" applyBorder="1" applyAlignment="1">
      <alignment horizontal="center" vertical="center"/>
    </xf>
    <xf numFmtId="178" fontId="14" fillId="0" borderId="48" xfId="57482" applyNumberFormat="1" applyFont="1" applyBorder="1" applyAlignment="1">
      <alignment horizontal="center" vertical="center"/>
    </xf>
    <xf numFmtId="178" fontId="14" fillId="0" borderId="49" xfId="57482" applyNumberFormat="1" applyFont="1" applyBorder="1" applyAlignment="1">
      <alignment horizontal="center" vertical="center"/>
    </xf>
    <xf numFmtId="178" fontId="14" fillId="0" borderId="50" xfId="57482" applyNumberFormat="1" applyFont="1" applyBorder="1" applyAlignment="1">
      <alignment horizontal="center" vertical="center"/>
    </xf>
    <xf numFmtId="178" fontId="18" fillId="0" borderId="45" xfId="57482" applyNumberFormat="1" applyFont="1" applyBorder="1" applyAlignment="1">
      <alignment horizontal="center" vertical="center"/>
    </xf>
    <xf numFmtId="178" fontId="18" fillId="0" borderId="46" xfId="57482" applyNumberFormat="1" applyFont="1" applyBorder="1" applyAlignment="1">
      <alignment horizontal="center" vertical="center"/>
    </xf>
    <xf numFmtId="178" fontId="18" fillId="0" borderId="47" xfId="57482" applyNumberFormat="1" applyFont="1" applyBorder="1" applyAlignment="1">
      <alignment horizontal="center" vertical="center"/>
    </xf>
    <xf numFmtId="178" fontId="18" fillId="0" borderId="48" xfId="57482" applyNumberFormat="1" applyFont="1" applyBorder="1" applyAlignment="1">
      <alignment horizontal="center" vertical="center"/>
    </xf>
    <xf numFmtId="178" fontId="18" fillId="0" borderId="49" xfId="57482" applyNumberFormat="1" applyFont="1" applyBorder="1" applyAlignment="1">
      <alignment horizontal="center" vertical="center"/>
    </xf>
    <xf numFmtId="178" fontId="18" fillId="0" borderId="50" xfId="57482" applyNumberFormat="1" applyFont="1" applyBorder="1" applyAlignment="1">
      <alignment horizontal="center" vertical="center"/>
    </xf>
    <xf numFmtId="178" fontId="18" fillId="2" borderId="45" xfId="57482" applyNumberFormat="1" applyFont="1" applyFill="1" applyBorder="1" applyAlignment="1" applyProtection="1">
      <alignment horizontal="center" vertical="center"/>
      <protection locked="0"/>
    </xf>
    <xf numFmtId="178" fontId="18" fillId="2" borderId="46" xfId="57482" applyNumberFormat="1" applyFont="1" applyFill="1" applyBorder="1" applyAlignment="1" applyProtection="1">
      <alignment horizontal="center" vertical="center"/>
      <protection locked="0"/>
    </xf>
    <xf numFmtId="178" fontId="18" fillId="2" borderId="47" xfId="57482" applyNumberFormat="1" applyFont="1" applyFill="1" applyBorder="1" applyAlignment="1" applyProtection="1">
      <alignment horizontal="center" vertical="center"/>
      <protection locked="0"/>
    </xf>
    <xf numFmtId="178" fontId="18" fillId="2" borderId="48" xfId="57482" applyNumberFormat="1" applyFont="1" applyFill="1" applyBorder="1" applyAlignment="1" applyProtection="1">
      <alignment horizontal="center" vertical="center"/>
      <protection locked="0"/>
    </xf>
    <xf numFmtId="178" fontId="18" fillId="2" borderId="49" xfId="57482" applyNumberFormat="1" applyFont="1" applyFill="1" applyBorder="1" applyAlignment="1" applyProtection="1">
      <alignment horizontal="center" vertical="center"/>
      <protection locked="0"/>
    </xf>
    <xf numFmtId="178" fontId="18" fillId="2" borderId="50" xfId="57482" applyNumberFormat="1" applyFont="1" applyFill="1" applyBorder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4" fontId="17" fillId="0" borderId="0" xfId="57482" applyNumberFormat="1" applyFont="1" applyAlignment="1" applyProtection="1">
      <alignment horizontal="center" vertical="center"/>
      <protection locked="0"/>
    </xf>
    <xf numFmtId="0" fontId="16" fillId="34" borderId="112" xfId="6" applyFont="1" applyFill="1" applyBorder="1" applyAlignment="1">
      <alignment horizontal="center" vertical="center" wrapText="1"/>
    </xf>
    <xf numFmtId="0" fontId="16" fillId="34" borderId="84" xfId="6" applyFont="1" applyFill="1" applyBorder="1" applyAlignment="1">
      <alignment horizontal="center" vertical="center" wrapText="1"/>
    </xf>
    <xf numFmtId="0" fontId="16" fillId="34" borderId="81" xfId="6" applyFont="1" applyFill="1" applyBorder="1" applyAlignment="1">
      <alignment horizontal="center" vertical="center" wrapText="1"/>
    </xf>
    <xf numFmtId="0" fontId="16" fillId="34" borderId="25" xfId="6" applyFont="1" applyFill="1" applyBorder="1" applyAlignment="1">
      <alignment horizontal="center" vertical="center" wrapText="1"/>
    </xf>
    <xf numFmtId="0" fontId="16" fillId="34" borderId="1" xfId="6" applyFont="1" applyFill="1" applyBorder="1" applyAlignment="1">
      <alignment horizontal="center" vertical="center" wrapText="1"/>
    </xf>
    <xf numFmtId="0" fontId="16" fillId="34" borderId="24" xfId="6" applyFont="1" applyFill="1" applyBorder="1" applyAlignment="1">
      <alignment horizontal="center" vertical="center" wrapText="1"/>
    </xf>
    <xf numFmtId="0" fontId="7" fillId="0" borderId="84" xfId="5" applyBorder="1" applyAlignment="1">
      <alignment horizontal="center" vertical="center" wrapText="1"/>
    </xf>
    <xf numFmtId="0" fontId="7" fillId="0" borderId="81" xfId="5" applyBorder="1" applyAlignment="1">
      <alignment horizontal="center" vertical="center" wrapText="1"/>
    </xf>
    <xf numFmtId="0" fontId="7" fillId="0" borderId="25" xfId="5" applyBorder="1" applyAlignment="1">
      <alignment horizontal="center" vertical="center" wrapText="1"/>
    </xf>
    <xf numFmtId="0" fontId="7" fillId="0" borderId="1" xfId="5" applyBorder="1" applyAlignment="1">
      <alignment horizontal="center" vertical="center" wrapText="1"/>
    </xf>
    <xf numFmtId="0" fontId="7" fillId="0" borderId="24" xfId="5" applyBorder="1" applyAlignment="1">
      <alignment horizontal="center" vertical="center" wrapText="1"/>
    </xf>
    <xf numFmtId="0" fontId="16" fillId="34" borderId="112" xfId="6" applyFont="1" applyFill="1" applyBorder="1" applyAlignment="1">
      <alignment horizontal="center" vertical="center"/>
    </xf>
    <xf numFmtId="0" fontId="16" fillId="34" borderId="84" xfId="6" applyFont="1" applyFill="1" applyBorder="1" applyAlignment="1">
      <alignment horizontal="center" vertical="center"/>
    </xf>
    <xf numFmtId="0" fontId="16" fillId="34" borderId="81" xfId="6" applyFont="1" applyFill="1" applyBorder="1" applyAlignment="1">
      <alignment horizontal="center" vertical="center"/>
    </xf>
    <xf numFmtId="0" fontId="16" fillId="34" borderId="25" xfId="6" applyFont="1" applyFill="1" applyBorder="1" applyAlignment="1">
      <alignment horizontal="center" vertical="center"/>
    </xf>
    <xf numFmtId="0" fontId="16" fillId="34" borderId="1" xfId="6" applyFont="1" applyFill="1" applyBorder="1" applyAlignment="1">
      <alignment horizontal="center" vertical="center"/>
    </xf>
    <xf numFmtId="0" fontId="16" fillId="34" borderId="24" xfId="6" applyFont="1" applyFill="1" applyBorder="1" applyAlignment="1">
      <alignment horizontal="center" vertical="center"/>
    </xf>
    <xf numFmtId="0" fontId="18" fillId="0" borderId="51" xfId="57482" applyFont="1" applyBorder="1" applyAlignment="1">
      <alignment horizontal="center" vertical="center"/>
    </xf>
    <xf numFmtId="0" fontId="18" fillId="0" borderId="52" xfId="57482" applyFont="1" applyBorder="1" applyAlignment="1">
      <alignment horizontal="center" vertical="center"/>
    </xf>
    <xf numFmtId="0" fontId="18" fillId="0" borderId="53" xfId="57482" applyFont="1" applyBorder="1" applyAlignment="1">
      <alignment horizontal="center" vertical="center"/>
    </xf>
    <xf numFmtId="0" fontId="18" fillId="0" borderId="45" xfId="57482" applyFont="1" applyBorder="1" applyAlignment="1">
      <alignment horizontal="center" vertical="center"/>
    </xf>
    <xf numFmtId="0" fontId="18" fillId="0" borderId="46" xfId="57482" applyFont="1" applyBorder="1" applyAlignment="1">
      <alignment horizontal="center" vertical="center"/>
    </xf>
    <xf numFmtId="0" fontId="18" fillId="0" borderId="47" xfId="57482" applyFont="1" applyBorder="1" applyAlignment="1">
      <alignment horizontal="center" vertical="center"/>
    </xf>
    <xf numFmtId="0" fontId="18" fillId="2" borderId="51" xfId="57482" applyFont="1" applyFill="1" applyBorder="1" applyAlignment="1" applyProtection="1">
      <alignment horizontal="center" vertical="center"/>
      <protection locked="0"/>
    </xf>
    <xf numFmtId="0" fontId="18" fillId="2" borderId="52" xfId="57482" applyFont="1" applyFill="1" applyBorder="1" applyAlignment="1" applyProtection="1">
      <alignment horizontal="center" vertical="center"/>
      <protection locked="0"/>
    </xf>
    <xf numFmtId="0" fontId="18" fillId="2" borderId="53" xfId="57482" applyFont="1" applyFill="1" applyBorder="1" applyAlignment="1" applyProtection="1">
      <alignment horizontal="center" vertical="center"/>
      <protection locked="0"/>
    </xf>
    <xf numFmtId="0" fontId="18" fillId="2" borderId="45" xfId="57482" applyFont="1" applyFill="1" applyBorder="1" applyAlignment="1" applyProtection="1">
      <alignment horizontal="center" vertical="center"/>
      <protection locked="0"/>
    </xf>
    <xf numFmtId="0" fontId="18" fillId="2" borderId="46" xfId="57482" applyFont="1" applyFill="1" applyBorder="1" applyAlignment="1" applyProtection="1">
      <alignment horizontal="center" vertical="center"/>
      <protection locked="0"/>
    </xf>
    <xf numFmtId="0" fontId="18" fillId="2" borderId="47" xfId="57482" applyFont="1" applyFill="1" applyBorder="1" applyAlignment="1" applyProtection="1">
      <alignment horizontal="center" vertical="center"/>
      <protection locked="0"/>
    </xf>
    <xf numFmtId="0" fontId="78" fillId="39" borderId="112" xfId="57482" applyFont="1" applyFill="1" applyBorder="1" applyAlignment="1" applyProtection="1">
      <alignment horizontal="left" vertical="center" indent="1"/>
      <protection locked="0"/>
    </xf>
    <xf numFmtId="0" fontId="78" fillId="39" borderId="84" xfId="57482" applyFont="1" applyFill="1" applyBorder="1" applyAlignment="1" applyProtection="1">
      <alignment horizontal="left" vertical="center" indent="1"/>
      <protection locked="0"/>
    </xf>
    <xf numFmtId="0" fontId="78" fillId="39" borderId="81" xfId="57482" applyFont="1" applyFill="1" applyBorder="1" applyAlignment="1" applyProtection="1">
      <alignment horizontal="left" vertical="center" indent="1"/>
      <protection locked="0"/>
    </xf>
    <xf numFmtId="0" fontId="78" fillId="39" borderId="25" xfId="57482" applyFont="1" applyFill="1" applyBorder="1" applyAlignment="1" applyProtection="1">
      <alignment horizontal="left" vertical="center" indent="1"/>
      <protection locked="0"/>
    </xf>
    <xf numFmtId="0" fontId="78" fillId="39" borderId="1" xfId="57482" applyFont="1" applyFill="1" applyBorder="1" applyAlignment="1" applyProtection="1">
      <alignment horizontal="left" vertical="center" indent="1"/>
      <protection locked="0"/>
    </xf>
    <xf numFmtId="0" fontId="78" fillId="39" borderId="24" xfId="57482" applyFont="1" applyFill="1" applyBorder="1" applyAlignment="1" applyProtection="1">
      <alignment horizontal="left" vertical="center" indent="1"/>
      <protection locked="0"/>
    </xf>
    <xf numFmtId="14" fontId="79" fillId="2" borderId="112" xfId="57482" applyNumberFormat="1" applyFont="1" applyFill="1" applyBorder="1" applyAlignment="1" applyProtection="1">
      <alignment horizontal="left" vertical="center" indent="1"/>
      <protection locked="0"/>
    </xf>
    <xf numFmtId="0" fontId="19" fillId="2" borderId="84" xfId="57482" applyFont="1" applyFill="1" applyBorder="1" applyAlignment="1" applyProtection="1">
      <alignment horizontal="left" vertical="center" indent="1"/>
      <protection locked="0"/>
    </xf>
    <xf numFmtId="0" fontId="19" fillId="2" borderId="81" xfId="57482" applyFont="1" applyFill="1" applyBorder="1" applyAlignment="1" applyProtection="1">
      <alignment horizontal="left" vertical="center" indent="1"/>
      <protection locked="0"/>
    </xf>
    <xf numFmtId="0" fontId="19" fillId="2" borderId="25" xfId="57482" applyFont="1" applyFill="1" applyBorder="1" applyAlignment="1" applyProtection="1">
      <alignment horizontal="left" vertical="center" indent="1"/>
      <protection locked="0"/>
    </xf>
    <xf numFmtId="0" fontId="19" fillId="2" borderId="1" xfId="57482" applyFont="1" applyFill="1" applyBorder="1" applyAlignment="1" applyProtection="1">
      <alignment horizontal="left" vertical="center" indent="1"/>
      <protection locked="0"/>
    </xf>
    <xf numFmtId="0" fontId="19" fillId="2" borderId="24" xfId="57482" applyFont="1" applyFill="1" applyBorder="1" applyAlignment="1" applyProtection="1">
      <alignment horizontal="left" vertical="center" indent="1"/>
      <protection locked="0"/>
    </xf>
    <xf numFmtId="182" fontId="79" fillId="2" borderId="112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84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81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5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4" xfId="57482" applyNumberFormat="1" applyFont="1" applyFill="1" applyBorder="1" applyAlignment="1" applyProtection="1">
      <alignment horizontal="left" vertical="center" indent="1"/>
      <protection locked="0"/>
    </xf>
    <xf numFmtId="0" fontId="18" fillId="38" borderId="100" xfId="57482" applyFont="1" applyFill="1" applyBorder="1" applyAlignment="1" applyProtection="1">
      <alignment horizontal="center" vertical="center"/>
      <protection locked="0"/>
    </xf>
    <xf numFmtId="0" fontId="18" fillId="38" borderId="97" xfId="57482" applyFont="1" applyFill="1" applyBorder="1" applyAlignment="1" applyProtection="1">
      <alignment horizontal="center" vertical="center"/>
      <protection locked="0"/>
    </xf>
    <xf numFmtId="0" fontId="18" fillId="38" borderId="98" xfId="57482" applyFont="1" applyFill="1" applyBorder="1" applyAlignment="1" applyProtection="1">
      <alignment horizontal="center" vertical="center"/>
      <protection locked="0"/>
    </xf>
    <xf numFmtId="182" fontId="79" fillId="0" borderId="112" xfId="57482" applyNumberFormat="1" applyFont="1" applyBorder="1" applyAlignment="1" applyProtection="1">
      <alignment horizontal="left" vertical="center" indent="1"/>
      <protection locked="0"/>
    </xf>
    <xf numFmtId="182" fontId="79" fillId="0" borderId="84" xfId="57482" applyNumberFormat="1" applyFont="1" applyBorder="1" applyAlignment="1" applyProtection="1">
      <alignment horizontal="left" vertical="center" indent="1"/>
      <protection locked="0"/>
    </xf>
    <xf numFmtId="182" fontId="79" fillId="0" borderId="81" xfId="57482" applyNumberFormat="1" applyFont="1" applyBorder="1" applyAlignment="1" applyProtection="1">
      <alignment horizontal="left" vertical="center" indent="1"/>
      <protection locked="0"/>
    </xf>
    <xf numFmtId="182" fontId="79" fillId="0" borderId="25" xfId="57482" applyNumberFormat="1" applyFont="1" applyBorder="1" applyAlignment="1" applyProtection="1">
      <alignment horizontal="left" vertical="center" indent="1"/>
      <protection locked="0"/>
    </xf>
    <xf numFmtId="182" fontId="79" fillId="0" borderId="1" xfId="57482" applyNumberFormat="1" applyFont="1" applyBorder="1" applyAlignment="1" applyProtection="1">
      <alignment horizontal="left" vertical="center" indent="1"/>
      <protection locked="0"/>
    </xf>
    <xf numFmtId="182" fontId="79" fillId="0" borderId="24" xfId="57482" applyNumberFormat="1" applyFont="1" applyBorder="1" applyAlignment="1" applyProtection="1">
      <alignment horizontal="left" vertical="center" indent="1"/>
      <protection locked="0"/>
    </xf>
    <xf numFmtId="182" fontId="78" fillId="38" borderId="112" xfId="57482" applyNumberFormat="1" applyFont="1" applyFill="1" applyBorder="1" applyAlignment="1" applyProtection="1">
      <alignment horizontal="center" vertical="center"/>
      <protection locked="0"/>
    </xf>
    <xf numFmtId="182" fontId="78" fillId="38" borderId="81" xfId="57482" applyNumberFormat="1" applyFont="1" applyFill="1" applyBorder="1" applyAlignment="1" applyProtection="1">
      <alignment horizontal="center" vertical="center"/>
      <protection locked="0"/>
    </xf>
    <xf numFmtId="182" fontId="78" fillId="38" borderId="25" xfId="57482" applyNumberFormat="1" applyFont="1" applyFill="1" applyBorder="1" applyAlignment="1" applyProtection="1">
      <alignment horizontal="center" vertical="center"/>
      <protection locked="0"/>
    </xf>
    <xf numFmtId="182" fontId="78" fillId="38" borderId="24" xfId="57482" applyNumberFormat="1" applyFont="1" applyFill="1" applyBorder="1" applyAlignment="1" applyProtection="1">
      <alignment horizontal="center" vertical="center"/>
      <protection locked="0"/>
    </xf>
    <xf numFmtId="0" fontId="79" fillId="2" borderId="112" xfId="57482" applyFont="1" applyFill="1" applyBorder="1" applyAlignment="1" applyProtection="1">
      <alignment horizontal="left" vertical="center" indent="1"/>
      <protection locked="0"/>
    </xf>
    <xf numFmtId="0" fontId="79" fillId="0" borderId="112" xfId="57482" applyFont="1" applyBorder="1" applyAlignment="1" applyProtection="1">
      <alignment horizontal="left" vertical="center" indent="1"/>
      <protection locked="0"/>
    </xf>
    <xf numFmtId="0" fontId="79" fillId="0" borderId="84" xfId="57482" applyFont="1" applyBorder="1" applyAlignment="1" applyProtection="1">
      <alignment horizontal="left" vertical="center" indent="1"/>
      <protection locked="0"/>
    </xf>
    <xf numFmtId="0" fontId="79" fillId="0" borderId="81" xfId="57482" applyFont="1" applyBorder="1" applyAlignment="1" applyProtection="1">
      <alignment horizontal="left" vertical="center" indent="1"/>
      <protection locked="0"/>
    </xf>
    <xf numFmtId="0" fontId="79" fillId="0" borderId="25" xfId="57482" applyFont="1" applyBorder="1" applyAlignment="1" applyProtection="1">
      <alignment horizontal="left" vertical="center" indent="1"/>
      <protection locked="0"/>
    </xf>
    <xf numFmtId="0" fontId="79" fillId="0" borderId="1" xfId="57482" applyFont="1" applyBorder="1" applyAlignment="1" applyProtection="1">
      <alignment horizontal="left" vertical="center" indent="1"/>
      <protection locked="0"/>
    </xf>
    <xf numFmtId="0" fontId="79" fillId="0" borderId="24" xfId="57482" applyFont="1" applyBorder="1" applyAlignment="1" applyProtection="1">
      <alignment horizontal="left" vertical="center" indent="1"/>
      <protection locked="0"/>
    </xf>
    <xf numFmtId="2" fontId="79" fillId="0" borderId="112" xfId="57482" applyNumberFormat="1" applyFont="1" applyBorder="1" applyAlignment="1">
      <alignment horizontal="left" vertical="center" indent="1"/>
    </xf>
    <xf numFmtId="2" fontId="19" fillId="0" borderId="84" xfId="57482" applyNumberFormat="1" applyFont="1" applyBorder="1" applyAlignment="1">
      <alignment horizontal="left" vertical="center" indent="1"/>
    </xf>
    <xf numFmtId="2" fontId="19" fillId="0" borderId="81" xfId="57482" applyNumberFormat="1" applyFont="1" applyBorder="1" applyAlignment="1">
      <alignment horizontal="left" vertical="center" indent="1"/>
    </xf>
    <xf numFmtId="2" fontId="19" fillId="0" borderId="25" xfId="57482" applyNumberFormat="1" applyFont="1" applyBorder="1" applyAlignment="1">
      <alignment horizontal="left" vertical="center" indent="1"/>
    </xf>
    <xf numFmtId="2" fontId="19" fillId="0" borderId="1" xfId="57482" applyNumberFormat="1" applyFont="1" applyBorder="1" applyAlignment="1">
      <alignment horizontal="left" vertical="center" indent="1"/>
    </xf>
    <xf numFmtId="2" fontId="19" fillId="0" borderId="24" xfId="57482" applyNumberFormat="1" applyFont="1" applyBorder="1" applyAlignment="1">
      <alignment horizontal="left" vertical="center" indent="1"/>
    </xf>
    <xf numFmtId="182" fontId="19" fillId="0" borderId="84" xfId="57482" applyNumberFormat="1" applyFont="1" applyBorder="1" applyAlignment="1" applyProtection="1">
      <alignment horizontal="left" vertical="center" indent="1"/>
      <protection locked="0"/>
    </xf>
    <xf numFmtId="182" fontId="19" fillId="0" borderId="81" xfId="57482" applyNumberFormat="1" applyFont="1" applyBorder="1" applyAlignment="1" applyProtection="1">
      <alignment horizontal="left" vertical="center" indent="1"/>
      <protection locked="0"/>
    </xf>
    <xf numFmtId="182" fontId="19" fillId="0" borderId="25" xfId="57482" applyNumberFormat="1" applyFont="1" applyBorder="1" applyAlignment="1" applyProtection="1">
      <alignment horizontal="left" vertical="center" indent="1"/>
      <protection locked="0"/>
    </xf>
    <xf numFmtId="182" fontId="19" fillId="0" borderId="1" xfId="57482" applyNumberFormat="1" applyFont="1" applyBorder="1" applyAlignment="1" applyProtection="1">
      <alignment horizontal="left" vertical="center" indent="1"/>
      <protection locked="0"/>
    </xf>
    <xf numFmtId="182" fontId="19" fillId="0" borderId="24" xfId="57482" applyNumberFormat="1" applyFont="1" applyBorder="1" applyAlignment="1" applyProtection="1">
      <alignment horizontal="left" vertical="center" indent="1"/>
      <protection locked="0"/>
    </xf>
    <xf numFmtId="0" fontId="76" fillId="0" borderId="26" xfId="57482" applyFont="1" applyBorder="1" applyAlignment="1" applyProtection="1">
      <alignment horizontal="center" vertical="center" wrapText="1"/>
      <protection locked="0"/>
    </xf>
    <xf numFmtId="0" fontId="76" fillId="0" borderId="0" xfId="57482" applyFont="1" applyAlignment="1" applyProtection="1">
      <alignment horizontal="center" vertical="center" wrapText="1"/>
      <protection locked="0"/>
    </xf>
    <xf numFmtId="0" fontId="76" fillId="0" borderId="27" xfId="57482" applyFont="1" applyBorder="1" applyAlignment="1" applyProtection="1">
      <alignment horizontal="center" vertical="center" wrapText="1"/>
      <protection locked="0"/>
    </xf>
    <xf numFmtId="0" fontId="77" fillId="0" borderId="26" xfId="57482" applyFont="1" applyBorder="1" applyAlignment="1" applyProtection="1">
      <alignment horizontal="center" vertical="center"/>
      <protection locked="0"/>
    </xf>
    <xf numFmtId="0" fontId="77" fillId="0" borderId="0" xfId="57482" applyFont="1" applyAlignment="1" applyProtection="1">
      <alignment horizontal="center" vertical="center"/>
      <protection locked="0"/>
    </xf>
    <xf numFmtId="0" fontId="77" fillId="0" borderId="27" xfId="57482" applyFont="1" applyBorder="1" applyAlignment="1" applyProtection="1">
      <alignment horizontal="center" vertical="center"/>
      <protection locked="0"/>
    </xf>
    <xf numFmtId="0" fontId="77" fillId="0" borderId="25" xfId="57482" applyFont="1" applyBorder="1" applyAlignment="1" applyProtection="1">
      <alignment horizontal="center" vertical="center"/>
      <protection locked="0"/>
    </xf>
    <xf numFmtId="0" fontId="77" fillId="0" borderId="1" xfId="57482" applyFont="1" applyBorder="1" applyAlignment="1" applyProtection="1">
      <alignment horizontal="center" vertical="center"/>
      <protection locked="0"/>
    </xf>
    <xf numFmtId="0" fontId="77" fillId="0" borderId="24" xfId="57482" applyFont="1" applyBorder="1" applyAlignment="1" applyProtection="1">
      <alignment horizontal="center" vertical="center"/>
      <protection locked="0"/>
    </xf>
    <xf numFmtId="0" fontId="19" fillId="0" borderId="84" xfId="57482" applyFont="1" applyBorder="1" applyAlignment="1" applyProtection="1">
      <alignment horizontal="left" vertical="center" indent="1"/>
      <protection locked="0"/>
    </xf>
    <xf numFmtId="0" fontId="19" fillId="0" borderId="81" xfId="57482" applyFont="1" applyBorder="1" applyAlignment="1" applyProtection="1">
      <alignment horizontal="left" vertical="center" indent="1"/>
      <protection locked="0"/>
    </xf>
    <xf numFmtId="0" fontId="19" fillId="0" borderId="25" xfId="57482" applyFont="1" applyBorder="1" applyAlignment="1" applyProtection="1">
      <alignment horizontal="left" vertical="center" indent="1"/>
      <protection locked="0"/>
    </xf>
    <xf numFmtId="0" fontId="19" fillId="0" borderId="1" xfId="57482" applyFont="1" applyBorder="1" applyAlignment="1" applyProtection="1">
      <alignment horizontal="left" vertical="center" indent="1"/>
      <protection locked="0"/>
    </xf>
    <xf numFmtId="0" fontId="19" fillId="0" borderId="24" xfId="57482" applyFont="1" applyBorder="1" applyAlignment="1" applyProtection="1">
      <alignment horizontal="left" vertical="center" indent="1"/>
      <protection locked="0"/>
    </xf>
    <xf numFmtId="0" fontId="16" fillId="0" borderId="0" xfId="57482" applyFont="1" applyAlignment="1" applyProtection="1">
      <alignment horizontal="center" vertical="center" wrapText="1"/>
      <protection locked="0"/>
    </xf>
    <xf numFmtId="0" fontId="18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/>
      <protection locked="0"/>
    </xf>
    <xf numFmtId="177" fontId="17" fillId="0" borderId="0" xfId="57482" applyNumberFormat="1" applyFont="1" applyAlignment="1" applyProtection="1">
      <alignment horizontal="center" vertical="center"/>
      <protection locked="0"/>
    </xf>
    <xf numFmtId="0" fontId="17" fillId="0" borderId="83" xfId="57485" applyFont="1" applyBorder="1" applyAlignment="1">
      <alignment horizontal="center" vertical="center"/>
    </xf>
    <xf numFmtId="0" fontId="17" fillId="0" borderId="84" xfId="57485" applyFont="1" applyBorder="1" applyAlignment="1">
      <alignment horizontal="center" vertical="center"/>
    </xf>
    <xf numFmtId="0" fontId="17" fillId="0" borderId="81" xfId="57485" applyFont="1" applyBorder="1" applyAlignment="1">
      <alignment horizontal="center" vertical="center"/>
    </xf>
    <xf numFmtId="0" fontId="17" fillId="0" borderId="6" xfId="57485" applyFont="1" applyBorder="1" applyAlignment="1">
      <alignment horizontal="center" vertical="center"/>
    </xf>
    <xf numFmtId="0" fontId="17" fillId="0" borderId="54" xfId="57485" applyFont="1" applyBorder="1" applyAlignment="1">
      <alignment horizontal="center" vertical="center"/>
    </xf>
    <xf numFmtId="0" fontId="17" fillId="0" borderId="29" xfId="57485" applyFont="1" applyBorder="1" applyAlignment="1">
      <alignment horizontal="center" vertical="center"/>
    </xf>
    <xf numFmtId="0" fontId="17" fillId="0" borderId="112" xfId="57485" applyFont="1" applyBorder="1" applyAlignment="1">
      <alignment horizontal="center" vertical="center"/>
    </xf>
    <xf numFmtId="0" fontId="17" fillId="0" borderId="30" xfId="57485" applyFont="1" applyBorder="1" applyAlignment="1">
      <alignment horizontal="center" vertical="center"/>
    </xf>
    <xf numFmtId="0" fontId="17" fillId="0" borderId="51" xfId="57485" applyFont="1" applyBorder="1" applyAlignment="1">
      <alignment horizontal="center" vertical="center"/>
    </xf>
    <xf numFmtId="0" fontId="17" fillId="0" borderId="52" xfId="57485" applyFont="1" applyBorder="1" applyAlignment="1">
      <alignment horizontal="center" vertical="center"/>
    </xf>
    <xf numFmtId="0" fontId="17" fillId="0" borderId="53" xfId="57485" applyFont="1" applyBorder="1" applyAlignment="1">
      <alignment horizontal="center" vertical="center"/>
    </xf>
    <xf numFmtId="0" fontId="17" fillId="0" borderId="71" xfId="57485" applyFont="1" applyBorder="1" applyAlignment="1">
      <alignment horizontal="center" vertical="center"/>
    </xf>
    <xf numFmtId="0" fontId="17" fillId="0" borderId="74" xfId="57485" applyFont="1" applyBorder="1" applyAlignment="1">
      <alignment horizontal="center" vertical="center"/>
    </xf>
    <xf numFmtId="0" fontId="17" fillId="0" borderId="75" xfId="57485" applyFont="1" applyBorder="1" applyAlignment="1">
      <alignment horizontal="center" vertical="center"/>
    </xf>
    <xf numFmtId="0" fontId="17" fillId="0" borderId="76" xfId="57485" applyFont="1" applyBorder="1" applyAlignment="1">
      <alignment horizontal="center" vertical="center"/>
    </xf>
    <xf numFmtId="0" fontId="17" fillId="0" borderId="77" xfId="57485" applyFont="1" applyBorder="1" applyAlignment="1">
      <alignment horizontal="center" vertical="center"/>
    </xf>
    <xf numFmtId="0" fontId="17" fillId="0" borderId="9" xfId="57485" applyFont="1" applyBorder="1" applyAlignment="1">
      <alignment horizontal="center" vertical="center"/>
    </xf>
    <xf numFmtId="0" fontId="17" fillId="0" borderId="0" xfId="57485" applyFont="1" applyAlignment="1">
      <alignment horizontal="center" vertical="center"/>
    </xf>
    <xf numFmtId="0" fontId="17" fillId="0" borderId="27" xfId="57485" applyFont="1" applyBorder="1" applyAlignment="1">
      <alignment horizontal="center" vertical="center"/>
    </xf>
    <xf numFmtId="0" fontId="17" fillId="0" borderId="26" xfId="57485" applyFont="1" applyBorder="1" applyAlignment="1">
      <alignment horizontal="center" vertical="center"/>
    </xf>
    <xf numFmtId="0" fontId="17" fillId="0" borderId="67" xfId="57485" applyFont="1" applyBorder="1" applyAlignment="1">
      <alignment horizontal="center" vertical="center"/>
    </xf>
    <xf numFmtId="0" fontId="17" fillId="0" borderId="68" xfId="57485" applyFont="1" applyBorder="1" applyAlignment="1">
      <alignment horizontal="center" vertical="center"/>
    </xf>
    <xf numFmtId="0" fontId="17" fillId="0" borderId="69" xfId="57485" applyFont="1" applyBorder="1" applyAlignment="1">
      <alignment horizontal="center" vertical="center"/>
    </xf>
    <xf numFmtId="0" fontId="17" fillId="0" borderId="70" xfId="57485" applyFont="1" applyBorder="1" applyAlignment="1">
      <alignment horizontal="center" vertical="center"/>
    </xf>
    <xf numFmtId="0" fontId="17" fillId="0" borderId="72" xfId="57485" applyFont="1" applyBorder="1" applyAlignment="1">
      <alignment horizontal="center" vertical="center"/>
    </xf>
    <xf numFmtId="0" fontId="17" fillId="0" borderId="1" xfId="57485" applyFont="1" applyBorder="1" applyAlignment="1">
      <alignment horizontal="center" vertical="center"/>
    </xf>
    <xf numFmtId="0" fontId="17" fillId="0" borderId="24" xfId="57485" applyFont="1" applyBorder="1" applyAlignment="1">
      <alignment horizontal="center" vertical="center"/>
    </xf>
    <xf numFmtId="0" fontId="17" fillId="0" borderId="25" xfId="57485" applyFont="1" applyBorder="1" applyAlignment="1">
      <alignment horizontal="center" vertical="center"/>
    </xf>
    <xf numFmtId="0" fontId="17" fillId="0" borderId="48" xfId="57485" applyFont="1" applyBorder="1" applyAlignment="1">
      <alignment horizontal="center" vertical="center"/>
    </xf>
    <xf numFmtId="0" fontId="17" fillId="0" borderId="49" xfId="57485" applyFont="1" applyBorder="1" applyAlignment="1">
      <alignment horizontal="center" vertical="center"/>
    </xf>
    <xf numFmtId="0" fontId="17" fillId="0" borderId="50" xfId="57485" applyFont="1" applyBorder="1" applyAlignment="1">
      <alignment horizontal="center" vertical="center"/>
    </xf>
    <xf numFmtId="0" fontId="17" fillId="0" borderId="73" xfId="57485" applyFont="1" applyBorder="1" applyAlignment="1">
      <alignment horizontal="center" vertical="center"/>
    </xf>
    <xf numFmtId="0" fontId="17" fillId="0" borderId="112" xfId="57485" applyFont="1" applyBorder="1" applyAlignment="1">
      <alignment horizontal="left" vertical="center"/>
    </xf>
    <xf numFmtId="0" fontId="17" fillId="0" borderId="84" xfId="57485" applyFont="1" applyBorder="1" applyAlignment="1">
      <alignment horizontal="left" vertical="center"/>
    </xf>
    <xf numFmtId="0" fontId="17" fillId="0" borderId="81" xfId="57485" applyFont="1" applyBorder="1" applyAlignment="1">
      <alignment horizontal="left" vertical="center"/>
    </xf>
    <xf numFmtId="0" fontId="17" fillId="0" borderId="25" xfId="57485" applyFont="1" applyBorder="1" applyAlignment="1">
      <alignment horizontal="left" vertical="center"/>
    </xf>
    <xf numFmtId="0" fontId="17" fillId="0" borderId="1" xfId="57485" applyFont="1" applyBorder="1" applyAlignment="1">
      <alignment horizontal="left" vertical="center"/>
    </xf>
    <xf numFmtId="0" fontId="17" fillId="0" borderId="24" xfId="57485" applyFont="1" applyBorder="1" applyAlignment="1">
      <alignment horizontal="left" vertical="center"/>
    </xf>
    <xf numFmtId="56" fontId="17" fillId="0" borderId="51" xfId="57485" quotePrefix="1" applyNumberFormat="1" applyFont="1" applyBorder="1" applyAlignment="1">
      <alignment horizontal="center" vertical="center"/>
    </xf>
    <xf numFmtId="0" fontId="17" fillId="0" borderId="26" xfId="57485" applyFont="1" applyBorder="1" applyAlignment="1">
      <alignment horizontal="left" vertical="center"/>
    </xf>
    <xf numFmtId="0" fontId="17" fillId="0" borderId="0" xfId="57485" applyFont="1" applyAlignment="1">
      <alignment horizontal="left" vertical="center"/>
    </xf>
    <xf numFmtId="0" fontId="17" fillId="0" borderId="27" xfId="57485" applyFont="1" applyBorder="1" applyAlignment="1">
      <alignment horizontal="left" vertical="center"/>
    </xf>
    <xf numFmtId="56" fontId="17" fillId="0" borderId="51" xfId="57485" applyNumberFormat="1" applyFont="1" applyBorder="1" applyAlignment="1">
      <alignment horizontal="center" vertical="center"/>
    </xf>
    <xf numFmtId="0" fontId="17" fillId="43" borderId="4" xfId="57482" applyFont="1" applyFill="1" applyBorder="1" applyAlignment="1">
      <alignment horizontal="center" vertical="center"/>
    </xf>
    <xf numFmtId="0" fontId="17" fillId="43" borderId="5" xfId="57482" applyFont="1" applyFill="1" applyBorder="1" applyAlignment="1">
      <alignment horizontal="center" vertical="center"/>
    </xf>
    <xf numFmtId="0" fontId="17" fillId="43" borderId="28" xfId="57482" applyFont="1" applyFill="1" applyBorder="1" applyAlignment="1">
      <alignment horizontal="center" vertical="center"/>
    </xf>
    <xf numFmtId="0" fontId="17" fillId="43" borderId="9" xfId="57482" applyFont="1" applyFill="1" applyBorder="1" applyAlignment="1">
      <alignment horizontal="center" vertical="center"/>
    </xf>
    <xf numFmtId="0" fontId="17" fillId="43" borderId="0" xfId="57482" applyFont="1" applyFill="1" applyAlignment="1">
      <alignment horizontal="center" vertical="center"/>
    </xf>
    <xf numFmtId="0" fontId="17" fillId="43" borderId="27" xfId="57482" applyFont="1" applyFill="1" applyBorder="1" applyAlignment="1">
      <alignment horizontal="center" vertical="center"/>
    </xf>
    <xf numFmtId="0" fontId="17" fillId="43" borderId="55" xfId="57485" applyFont="1" applyFill="1" applyBorder="1" applyAlignment="1">
      <alignment horizontal="center" vertical="center"/>
    </xf>
    <xf numFmtId="0" fontId="17" fillId="43" borderId="5" xfId="57485" applyFont="1" applyFill="1" applyBorder="1" applyAlignment="1">
      <alignment horizontal="center" vertical="center"/>
    </xf>
    <xf numFmtId="0" fontId="17" fillId="43" borderId="28" xfId="57485" applyFont="1" applyFill="1" applyBorder="1" applyAlignment="1">
      <alignment horizontal="center" vertical="center"/>
    </xf>
    <xf numFmtId="0" fontId="17" fillId="43" borderId="57" xfId="57485" applyFont="1" applyFill="1" applyBorder="1" applyAlignment="1">
      <alignment horizontal="center" vertical="center"/>
    </xf>
    <xf numFmtId="0" fontId="17" fillId="43" borderId="125" xfId="57485" applyFont="1" applyFill="1" applyBorder="1" applyAlignment="1">
      <alignment horizontal="center" vertical="center"/>
    </xf>
    <xf numFmtId="0" fontId="17" fillId="43" borderId="58" xfId="57485" applyFont="1" applyFill="1" applyBorder="1" applyAlignment="1">
      <alignment horizontal="center" vertical="center"/>
    </xf>
    <xf numFmtId="0" fontId="17" fillId="43" borderId="55" xfId="57482" applyFont="1" applyFill="1" applyBorder="1" applyAlignment="1">
      <alignment horizontal="center" vertical="center"/>
    </xf>
    <xf numFmtId="0" fontId="17" fillId="43" borderId="57" xfId="57482" applyFont="1" applyFill="1" applyBorder="1" applyAlignment="1">
      <alignment horizontal="center" vertical="center"/>
    </xf>
    <xf numFmtId="0" fontId="17" fillId="43" borderId="125" xfId="57482" applyFont="1" applyFill="1" applyBorder="1" applyAlignment="1">
      <alignment horizontal="center" vertical="center"/>
    </xf>
    <xf numFmtId="0" fontId="17" fillId="43" borderId="58" xfId="57482" applyFont="1" applyFill="1" applyBorder="1" applyAlignment="1">
      <alignment horizontal="center" vertical="center"/>
    </xf>
    <xf numFmtId="0" fontId="17" fillId="43" borderId="55" xfId="57482" applyFont="1" applyFill="1" applyBorder="1" applyAlignment="1">
      <alignment horizontal="center" vertical="center" wrapText="1"/>
    </xf>
    <xf numFmtId="0" fontId="17" fillId="43" borderId="26" xfId="57482" applyFont="1" applyFill="1" applyBorder="1" applyAlignment="1">
      <alignment horizontal="center" vertical="center"/>
    </xf>
    <xf numFmtId="0" fontId="17" fillId="43" borderId="56" xfId="57482" applyFont="1" applyFill="1" applyBorder="1" applyAlignment="1">
      <alignment horizontal="center" vertical="center"/>
    </xf>
    <xf numFmtId="0" fontId="17" fillId="43" borderId="10" xfId="57482" applyFont="1" applyFill="1" applyBorder="1" applyAlignment="1">
      <alignment horizontal="center" vertical="center"/>
    </xf>
    <xf numFmtId="176" fontId="17" fillId="0" borderId="59" xfId="57485" applyNumberFormat="1" applyFont="1" applyBorder="1" applyAlignment="1">
      <alignment horizontal="center" vertical="center"/>
    </xf>
    <xf numFmtId="176" fontId="17" fillId="0" borderId="60" xfId="57485" applyNumberFormat="1" applyFont="1" applyBorder="1" applyAlignment="1">
      <alignment horizontal="center" vertical="center"/>
    </xf>
    <xf numFmtId="176" fontId="17" fillId="0" borderId="61" xfId="57485" applyNumberFormat="1" applyFont="1" applyBorder="1" applyAlignment="1">
      <alignment horizontal="center" vertical="center"/>
    </xf>
    <xf numFmtId="176" fontId="17" fillId="0" borderId="9" xfId="57485" applyNumberFormat="1" applyFont="1" applyBorder="1" applyAlignment="1">
      <alignment horizontal="center" vertical="center"/>
    </xf>
    <xf numFmtId="176" fontId="17" fillId="0" borderId="0" xfId="57485" applyNumberFormat="1" applyFont="1" applyAlignment="1">
      <alignment horizontal="center" vertical="center"/>
    </xf>
    <xf numFmtId="176" fontId="17" fillId="0" borderId="27" xfId="57485" applyNumberFormat="1" applyFont="1" applyBorder="1" applyAlignment="1">
      <alignment horizontal="center" vertical="center"/>
    </xf>
    <xf numFmtId="0" fontId="17" fillId="0" borderId="62" xfId="57485" applyFont="1" applyBorder="1" applyAlignment="1">
      <alignment horizontal="left" vertical="center"/>
    </xf>
    <xf numFmtId="0" fontId="17" fillId="0" borderId="60" xfId="57485" applyFont="1" applyBorder="1" applyAlignment="1">
      <alignment horizontal="left" vertical="center"/>
    </xf>
    <xf numFmtId="0" fontId="17" fillId="0" borderId="61" xfId="57485" applyFont="1" applyBorder="1" applyAlignment="1">
      <alignment horizontal="left" vertical="center"/>
    </xf>
    <xf numFmtId="0" fontId="17" fillId="0" borderId="62" xfId="57485" applyFont="1" applyBorder="1" applyAlignment="1">
      <alignment horizontal="center" vertical="center"/>
    </xf>
    <xf numFmtId="0" fontId="17" fillId="0" borderId="60" xfId="57485" applyFont="1" applyBorder="1" applyAlignment="1">
      <alignment horizontal="center" vertical="center"/>
    </xf>
    <xf numFmtId="0" fontId="17" fillId="0" borderId="61" xfId="57485" applyFont="1" applyBorder="1" applyAlignment="1">
      <alignment horizontal="center" vertical="center"/>
    </xf>
    <xf numFmtId="56" fontId="17" fillId="0" borderId="63" xfId="57485" quotePrefix="1" applyNumberFormat="1" applyFont="1" applyBorder="1" applyAlignment="1">
      <alignment horizontal="center" vertical="center"/>
    </xf>
    <xf numFmtId="0" fontId="17" fillId="0" borderId="64" xfId="57485" applyFont="1" applyBorder="1" applyAlignment="1">
      <alignment horizontal="center" vertical="center"/>
    </xf>
    <xf numFmtId="0" fontId="17" fillId="0" borderId="65" xfId="57485" applyFont="1" applyBorder="1" applyAlignment="1">
      <alignment horizontal="center" vertical="center"/>
    </xf>
    <xf numFmtId="56" fontId="17" fillId="0" borderId="63" xfId="57485" applyNumberFormat="1" applyFont="1" applyBorder="1" applyAlignment="1">
      <alignment horizontal="center" vertical="center"/>
    </xf>
    <xf numFmtId="0" fontId="17" fillId="0" borderId="66" xfId="57485" applyFont="1" applyBorder="1" applyAlignment="1">
      <alignment horizontal="center" vertical="center"/>
    </xf>
    <xf numFmtId="0" fontId="79" fillId="41" borderId="17" xfId="57485" applyFont="1" applyFill="1" applyBorder="1" applyAlignment="1">
      <alignment horizontal="center" vertical="center"/>
    </xf>
    <xf numFmtId="0" fontId="79" fillId="41" borderId="14" xfId="57485" applyFont="1" applyFill="1" applyBorder="1" applyAlignment="1">
      <alignment horizontal="center" vertical="center"/>
    </xf>
    <xf numFmtId="0" fontId="79" fillId="41" borderId="15" xfId="57485" applyFont="1" applyFill="1" applyBorder="1" applyAlignment="1">
      <alignment horizontal="center" vertical="center"/>
    </xf>
    <xf numFmtId="0" fontId="79" fillId="41" borderId="22" xfId="57485" applyFont="1" applyFill="1" applyBorder="1" applyAlignment="1">
      <alignment horizontal="center" vertical="center"/>
    </xf>
    <xf numFmtId="0" fontId="79" fillId="41" borderId="20" xfId="57485" applyFont="1" applyFill="1" applyBorder="1" applyAlignment="1">
      <alignment horizontal="center" vertical="center"/>
    </xf>
    <xf numFmtId="0" fontId="79" fillId="41" borderId="18" xfId="57485" applyFont="1" applyFill="1" applyBorder="1" applyAlignment="1">
      <alignment horizontal="center" vertical="center"/>
    </xf>
    <xf numFmtId="0" fontId="78" fillId="0" borderId="22" xfId="57485" applyFont="1" applyBorder="1" applyAlignment="1">
      <alignment horizontal="center" vertical="center"/>
    </xf>
    <xf numFmtId="0" fontId="78" fillId="0" borderId="20" xfId="57485" applyFont="1" applyBorder="1" applyAlignment="1">
      <alignment horizontal="center" vertical="center"/>
    </xf>
    <xf numFmtId="0" fontId="78" fillId="0" borderId="18" xfId="57485" applyFont="1" applyBorder="1" applyAlignment="1">
      <alignment horizontal="center" vertical="center"/>
    </xf>
    <xf numFmtId="14" fontId="79" fillId="41" borderId="22" xfId="57485" applyNumberFormat="1" applyFont="1" applyFill="1" applyBorder="1" applyAlignment="1">
      <alignment horizontal="center" vertical="center"/>
    </xf>
    <xf numFmtId="14" fontId="79" fillId="41" borderId="20" xfId="57485" applyNumberFormat="1" applyFont="1" applyFill="1" applyBorder="1" applyAlignment="1">
      <alignment horizontal="center" vertical="center"/>
    </xf>
    <xf numFmtId="14" fontId="79" fillId="41" borderId="18" xfId="57485" applyNumberFormat="1" applyFont="1" applyFill="1" applyBorder="1" applyAlignment="1">
      <alignment horizontal="center" vertical="center"/>
    </xf>
    <xf numFmtId="14" fontId="78" fillId="0" borderId="22" xfId="57485" applyNumberFormat="1" applyFont="1" applyBorder="1" applyAlignment="1">
      <alignment horizontal="center" vertical="center"/>
    </xf>
    <xf numFmtId="14" fontId="78" fillId="0" borderId="20" xfId="57485" applyNumberFormat="1" applyFont="1" applyBorder="1" applyAlignment="1">
      <alignment horizontal="center" vertical="center"/>
    </xf>
    <xf numFmtId="14" fontId="78" fillId="0" borderId="18" xfId="57485" applyNumberFormat="1" applyFont="1" applyBorder="1" applyAlignment="1">
      <alignment horizontal="center" vertical="center"/>
    </xf>
    <xf numFmtId="0" fontId="78" fillId="0" borderId="22" xfId="57485" quotePrefix="1" applyFont="1" applyBorder="1" applyAlignment="1">
      <alignment horizontal="center" vertical="center"/>
    </xf>
    <xf numFmtId="0" fontId="78" fillId="0" borderId="21" xfId="57485" applyFont="1" applyBorder="1" applyAlignment="1">
      <alignment horizontal="center" vertical="center"/>
    </xf>
    <xf numFmtId="0" fontId="84" fillId="40" borderId="4" xfId="57484" applyFont="1" applyFill="1" applyBorder="1" applyAlignment="1" applyProtection="1">
      <alignment horizontal="center" vertical="center"/>
    </xf>
    <xf numFmtId="0" fontId="84" fillId="40" borderId="5" xfId="57484" applyFont="1" applyFill="1" applyBorder="1" applyAlignment="1" applyProtection="1">
      <alignment horizontal="center" vertical="center"/>
    </xf>
    <xf numFmtId="0" fontId="84" fillId="40" borderId="28" xfId="57484" applyFont="1" applyFill="1" applyBorder="1" applyAlignment="1" applyProtection="1">
      <alignment horizontal="center" vertical="center"/>
    </xf>
    <xf numFmtId="0" fontId="84" fillId="40" borderId="6" xfId="57484" applyFont="1" applyFill="1" applyBorder="1" applyAlignment="1" applyProtection="1">
      <alignment horizontal="center" vertical="center"/>
    </xf>
    <xf numFmtId="0" fontId="84" fillId="40" borderId="54" xfId="57484" applyFont="1" applyFill="1" applyBorder="1" applyAlignment="1" applyProtection="1">
      <alignment horizontal="center" vertical="center"/>
    </xf>
    <xf numFmtId="0" fontId="84" fillId="40" borderId="29" xfId="57484" applyFont="1" applyFill="1" applyBorder="1" applyAlignment="1" applyProtection="1">
      <alignment horizontal="center" vertical="center"/>
    </xf>
    <xf numFmtId="0" fontId="85" fillId="0" borderId="55" xfId="57485" applyFont="1" applyBorder="1" applyAlignment="1">
      <alignment horizontal="center" vertical="center" shrinkToFit="1"/>
    </xf>
    <xf numFmtId="0" fontId="85" fillId="0" borderId="5" xfId="57485" applyFont="1" applyBorder="1" applyAlignment="1">
      <alignment horizontal="center" vertical="center" shrinkToFit="1"/>
    </xf>
    <xf numFmtId="0" fontId="85" fillId="0" borderId="28" xfId="57485" applyFont="1" applyBorder="1" applyAlignment="1">
      <alignment horizontal="center" vertical="center" shrinkToFit="1"/>
    </xf>
    <xf numFmtId="0" fontId="85" fillId="0" borderId="30" xfId="57485" applyFont="1" applyBorder="1" applyAlignment="1">
      <alignment horizontal="center" vertical="center" shrinkToFit="1"/>
    </xf>
    <xf numFmtId="0" fontId="85" fillId="0" borderId="54" xfId="57485" applyFont="1" applyBorder="1" applyAlignment="1">
      <alignment horizontal="center" vertical="center" shrinkToFit="1"/>
    </xf>
    <xf numFmtId="0" fontId="85" fillId="0" borderId="29" xfId="57485" applyFont="1" applyBorder="1" applyAlignment="1">
      <alignment horizontal="center" vertical="center" shrinkToFit="1"/>
    </xf>
    <xf numFmtId="0" fontId="79" fillId="41" borderId="16" xfId="57485" applyFont="1" applyFill="1" applyBorder="1" applyAlignment="1">
      <alignment horizontal="center" vertical="center"/>
    </xf>
    <xf numFmtId="0" fontId="78" fillId="0" borderId="17" xfId="57485" applyFont="1" applyBorder="1" applyAlignment="1">
      <alignment horizontal="center" vertical="center" shrinkToFit="1"/>
    </xf>
    <xf numFmtId="0" fontId="78" fillId="0" borderId="14" xfId="57485" applyFont="1" applyBorder="1" applyAlignment="1">
      <alignment horizontal="center" vertical="center" shrinkToFit="1"/>
    </xf>
    <xf numFmtId="0" fontId="78" fillId="0" borderId="16" xfId="57485" applyFont="1" applyBorder="1" applyAlignment="1">
      <alignment horizontal="center" vertical="center" shrinkToFit="1"/>
    </xf>
    <xf numFmtId="14" fontId="78" fillId="0" borderId="17" xfId="57485" applyNumberFormat="1" applyFont="1" applyBorder="1" applyAlignment="1">
      <alignment horizontal="center" vertical="center"/>
    </xf>
    <xf numFmtId="14" fontId="78" fillId="0" borderId="14" xfId="57485" applyNumberFormat="1" applyFont="1" applyBorder="1" applyAlignment="1">
      <alignment horizontal="center" vertical="center"/>
    </xf>
    <xf numFmtId="14" fontId="78" fillId="0" borderId="16" xfId="57485" applyNumberFormat="1" applyFont="1" applyBorder="1" applyAlignment="1">
      <alignment horizontal="center" vertical="center"/>
    </xf>
    <xf numFmtId="0" fontId="18" fillId="0" borderId="112" xfId="0" applyFont="1" applyBorder="1" applyAlignment="1">
      <alignment horizontal="right" vertical="center"/>
    </xf>
    <xf numFmtId="0" fontId="18" fillId="0" borderId="84" xfId="0" applyFont="1" applyBorder="1" applyAlignment="1">
      <alignment horizontal="right" vertical="center"/>
    </xf>
    <xf numFmtId="0" fontId="18" fillId="0" borderId="81" xfId="0" applyFont="1" applyBorder="1" applyAlignment="1">
      <alignment horizontal="right" vertical="center"/>
    </xf>
    <xf numFmtId="0" fontId="25" fillId="0" borderId="5" xfId="8" applyFont="1" applyBorder="1" applyAlignment="1">
      <alignment horizontal="center" vertical="center" wrapText="1"/>
    </xf>
    <xf numFmtId="0" fontId="25" fillId="0" borderId="28" xfId="8" applyFont="1" applyBorder="1" applyAlignment="1">
      <alignment horizontal="center" vertical="center" wrapText="1"/>
    </xf>
    <xf numFmtId="0" fontId="25" fillId="0" borderId="9" xfId="8" applyFont="1" applyBorder="1" applyAlignment="1">
      <alignment horizontal="center" vertical="center" wrapText="1"/>
    </xf>
    <xf numFmtId="0" fontId="25" fillId="0" borderId="0" xfId="8" applyFont="1" applyAlignment="1">
      <alignment horizontal="center" vertical="center" wrapText="1"/>
    </xf>
    <xf numFmtId="0" fontId="25" fillId="0" borderId="27" xfId="8" applyFont="1" applyBorder="1" applyAlignment="1">
      <alignment horizontal="center" vertical="center" wrapText="1"/>
    </xf>
    <xf numFmtId="0" fontId="25" fillId="0" borderId="6" xfId="8" applyFont="1" applyBorder="1" applyAlignment="1">
      <alignment horizontal="center" vertical="center" wrapText="1"/>
    </xf>
    <xf numFmtId="0" fontId="25" fillId="0" borderId="54" xfId="8" applyFont="1" applyBorder="1" applyAlignment="1">
      <alignment horizontal="center" vertical="center" wrapText="1"/>
    </xf>
    <xf numFmtId="0" fontId="25" fillId="0" borderId="29" xfId="8" applyFont="1" applyBorder="1" applyAlignment="1">
      <alignment horizontal="center" vertical="center" wrapText="1"/>
    </xf>
    <xf numFmtId="0" fontId="16" fillId="44" borderId="17" xfId="8" applyFont="1" applyFill="1" applyBorder="1" applyAlignment="1">
      <alignment horizontal="center" vertical="center" wrapText="1"/>
    </xf>
    <xf numFmtId="0" fontId="16" fillId="44" borderId="14" xfId="8" applyFont="1" applyFill="1" applyBorder="1" applyAlignment="1">
      <alignment horizontal="center" vertical="center" wrapText="1"/>
    </xf>
    <xf numFmtId="0" fontId="16" fillId="44" borderId="16" xfId="8" applyFont="1" applyFill="1" applyBorder="1" applyAlignment="1">
      <alignment horizontal="center" vertical="center" wrapText="1"/>
    </xf>
    <xf numFmtId="0" fontId="16" fillId="44" borderId="17" xfId="8" applyFont="1" applyFill="1" applyBorder="1" applyAlignment="1">
      <alignment horizontal="center" wrapText="1"/>
    </xf>
    <xf numFmtId="0" fontId="16" fillId="44" borderId="14" xfId="8" applyFont="1" applyFill="1" applyBorder="1" applyAlignment="1">
      <alignment horizontal="center" wrapText="1"/>
    </xf>
    <xf numFmtId="0" fontId="16" fillId="44" borderId="16" xfId="8" applyFont="1" applyFill="1" applyBorder="1" applyAlignment="1">
      <alignment horizontal="center" wrapText="1"/>
    </xf>
    <xf numFmtId="0" fontId="16" fillId="0" borderId="84" xfId="8" applyFont="1" applyBorder="1" applyAlignment="1">
      <alignment horizontal="center" vertical="center" wrapText="1"/>
    </xf>
    <xf numFmtId="0" fontId="16" fillId="0" borderId="81" xfId="8" applyFont="1" applyBorder="1" applyAlignment="1">
      <alignment horizontal="center" vertical="center" wrapText="1"/>
    </xf>
    <xf numFmtId="0" fontId="16" fillId="44" borderId="100" xfId="8" applyFont="1" applyFill="1" applyBorder="1" applyAlignment="1">
      <alignment horizontal="center" wrapText="1"/>
    </xf>
    <xf numFmtId="0" fontId="16" fillId="44" borderId="97" xfId="8" applyFont="1" applyFill="1" applyBorder="1" applyAlignment="1">
      <alignment horizontal="center" wrapText="1"/>
    </xf>
    <xf numFmtId="0" fontId="16" fillId="44" borderId="98" xfId="8" applyFont="1" applyFill="1" applyBorder="1" applyAlignment="1">
      <alignment horizontal="center" wrapText="1"/>
    </xf>
    <xf numFmtId="0" fontId="17" fillId="0" borderId="14" xfId="8" applyFont="1" applyBorder="1" applyAlignment="1">
      <alignment horizontal="center" wrapText="1"/>
    </xf>
    <xf numFmtId="0" fontId="17" fillId="0" borderId="16" xfId="8" applyFont="1" applyBorder="1" applyAlignment="1">
      <alignment horizontal="center" wrapText="1"/>
    </xf>
    <xf numFmtId="0" fontId="16" fillId="44" borderId="17" xfId="9" applyFont="1" applyFill="1" applyBorder="1" applyAlignment="1">
      <alignment horizontal="center" wrapText="1"/>
    </xf>
    <xf numFmtId="0" fontId="7" fillId="44" borderId="14" xfId="224" applyFill="1" applyBorder="1" applyAlignment="1">
      <alignment horizontal="center" wrapText="1"/>
    </xf>
    <xf numFmtId="0" fontId="7" fillId="44" borderId="16" xfId="224" applyFill="1" applyBorder="1" applyAlignment="1">
      <alignment horizontal="center" wrapText="1"/>
    </xf>
    <xf numFmtId="0" fontId="16" fillId="44" borderId="17" xfId="9" applyFont="1" applyFill="1" applyBorder="1" applyAlignment="1">
      <alignment horizontal="center"/>
    </xf>
    <xf numFmtId="0" fontId="7" fillId="44" borderId="14" xfId="224" applyFill="1" applyBorder="1" applyAlignment="1">
      <alignment horizontal="center"/>
    </xf>
    <xf numFmtId="0" fontId="7" fillId="44" borderId="16" xfId="224" applyFill="1" applyBorder="1" applyAlignment="1">
      <alignment horizontal="center"/>
    </xf>
    <xf numFmtId="0" fontId="7" fillId="44" borderId="15" xfId="224" applyFill="1" applyBorder="1" applyAlignment="1">
      <alignment horizont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9" fillId="0" borderId="54" xfId="8" applyFont="1" applyBorder="1" applyAlignment="1">
      <alignment horizontal="center" vertical="center" shrinkToFit="1"/>
    </xf>
    <xf numFmtId="0" fontId="19" fillId="0" borderId="29" xfId="8" applyFont="1" applyBorder="1" applyAlignment="1">
      <alignment horizontal="center" vertical="center" shrinkToFit="1"/>
    </xf>
    <xf numFmtId="0" fontId="16" fillId="44" borderId="22" xfId="8" applyFont="1" applyFill="1" applyBorder="1" applyAlignment="1">
      <alignment horizontal="center" wrapText="1"/>
    </xf>
    <xf numFmtId="0" fontId="16" fillId="44" borderId="20" xfId="8" applyFont="1" applyFill="1" applyBorder="1" applyAlignment="1">
      <alignment horizontal="center" wrapText="1"/>
    </xf>
    <xf numFmtId="0" fontId="16" fillId="44" borderId="18" xfId="8" applyFont="1" applyFill="1" applyBorder="1" applyAlignment="1">
      <alignment horizontal="center" wrapText="1"/>
    </xf>
    <xf numFmtId="0" fontId="18" fillId="0" borderId="18" xfId="6" quotePrefix="1" applyFont="1" applyBorder="1" applyAlignment="1">
      <alignment wrapText="1"/>
    </xf>
    <xf numFmtId="0" fontId="14" fillId="52" borderId="100" xfId="224" applyFont="1" applyFill="1" applyBorder="1" applyAlignment="1">
      <alignment horizontal="center" vertical="center"/>
    </xf>
    <xf numFmtId="0" fontId="14" fillId="52" borderId="98" xfId="224" applyFont="1" applyFill="1" applyBorder="1" applyAlignment="1">
      <alignment horizontal="center" vertical="center"/>
    </xf>
    <xf numFmtId="183" fontId="14" fillId="31" borderId="100" xfId="224" applyNumberFormat="1" applyFont="1" applyFill="1" applyBorder="1" applyAlignment="1">
      <alignment vertical="center"/>
    </xf>
    <xf numFmtId="183" fontId="14" fillId="31" borderId="97" xfId="224" applyNumberFormat="1" applyFont="1" applyFill="1" applyBorder="1" applyAlignment="1">
      <alignment vertical="center"/>
    </xf>
    <xf numFmtId="183" fontId="14" fillId="31" borderId="98" xfId="224" applyNumberFormat="1" applyFont="1" applyFill="1" applyBorder="1" applyAlignment="1">
      <alignment vertical="center"/>
    </xf>
    <xf numFmtId="0" fontId="99" fillId="50" borderId="112" xfId="224" applyFont="1" applyFill="1" applyBorder="1" applyAlignment="1">
      <alignment horizontal="center" vertical="center" shrinkToFit="1"/>
    </xf>
    <xf numFmtId="0" fontId="99" fillId="50" borderId="81" xfId="224" applyFont="1" applyFill="1" applyBorder="1" applyAlignment="1">
      <alignment horizontal="center" vertical="center" shrinkToFit="1"/>
    </xf>
    <xf numFmtId="0" fontId="99" fillId="50" borderId="25" xfId="224" applyFont="1" applyFill="1" applyBorder="1" applyAlignment="1">
      <alignment horizontal="center" vertical="center" shrinkToFit="1"/>
    </xf>
    <xf numFmtId="0" fontId="99" fillId="50" borderId="24" xfId="224" applyFont="1" applyFill="1" applyBorder="1" applyAlignment="1">
      <alignment horizontal="center" vertical="center" shrinkToFit="1"/>
    </xf>
    <xf numFmtId="0" fontId="14" fillId="31" borderId="100" xfId="224" applyFont="1" applyFill="1" applyBorder="1" applyAlignment="1">
      <alignment horizontal="center" vertical="center"/>
    </xf>
    <xf numFmtId="0" fontId="14" fillId="31" borderId="98" xfId="224" applyFont="1" applyFill="1" applyBorder="1" applyAlignment="1">
      <alignment horizontal="center" vertical="center"/>
    </xf>
    <xf numFmtId="0" fontId="99" fillId="50" borderId="100" xfId="224" applyFont="1" applyFill="1" applyBorder="1" applyAlignment="1">
      <alignment horizontal="center" vertical="center" shrinkToFit="1"/>
    </xf>
    <xf numFmtId="0" fontId="99" fillId="50" borderId="98" xfId="224" applyFont="1" applyFill="1" applyBorder="1" applyAlignment="1">
      <alignment horizontal="center" vertical="center" shrinkToFit="1"/>
    </xf>
    <xf numFmtId="0" fontId="18" fillId="31" borderId="117" xfId="224" applyFont="1" applyFill="1" applyBorder="1" applyAlignment="1">
      <alignment horizontal="center" vertical="center"/>
    </xf>
    <xf numFmtId="0" fontId="18" fillId="31" borderId="0" xfId="224" applyFont="1" applyFill="1" applyAlignment="1">
      <alignment horizontal="center" vertical="center"/>
    </xf>
    <xf numFmtId="176" fontId="17" fillId="31" borderId="112" xfId="9" applyNumberFormat="1" applyFont="1" applyFill="1" applyBorder="1" applyAlignment="1">
      <alignment horizontal="center" vertical="center" wrapText="1"/>
    </xf>
    <xf numFmtId="0" fontId="7" fillId="31" borderId="84" xfId="224" applyFill="1" applyBorder="1" applyAlignment="1">
      <alignment horizontal="center" vertical="center" wrapText="1"/>
    </xf>
    <xf numFmtId="0" fontId="7" fillId="31" borderId="82" xfId="224" applyFill="1" applyBorder="1" applyAlignment="1">
      <alignment horizontal="center" vertical="center" wrapText="1"/>
    </xf>
    <xf numFmtId="0" fontId="7" fillId="31" borderId="30" xfId="224" applyFill="1" applyBorder="1" applyAlignment="1">
      <alignment horizontal="center" vertical="center" wrapText="1"/>
    </xf>
    <xf numFmtId="0" fontId="7" fillId="31" borderId="54" xfId="224" applyFill="1" applyBorder="1" applyAlignment="1">
      <alignment horizontal="center" vertical="center" wrapText="1"/>
    </xf>
    <xf numFmtId="0" fontId="7" fillId="31" borderId="8" xfId="224" applyFill="1" applyBorder="1" applyAlignment="1">
      <alignment horizontal="center" vertical="center" wrapText="1"/>
    </xf>
    <xf numFmtId="0" fontId="19" fillId="31" borderId="30" xfId="8" applyFont="1" applyFill="1" applyBorder="1" applyAlignment="1">
      <alignment horizontal="center" vertical="center" shrinkToFit="1"/>
    </xf>
    <xf numFmtId="0" fontId="24" fillId="31" borderId="54" xfId="224" applyFont="1" applyFill="1" applyBorder="1" applyAlignment="1">
      <alignment horizontal="center" vertical="center" shrinkToFit="1"/>
    </xf>
    <xf numFmtId="0" fontId="24" fillId="31" borderId="29" xfId="224" applyFont="1" applyFill="1" applyBorder="1" applyAlignment="1">
      <alignment horizontal="center" vertical="center" shrinkToFit="1"/>
    </xf>
    <xf numFmtId="0" fontId="16" fillId="37" borderId="22" xfId="8" applyFont="1" applyFill="1" applyBorder="1" applyAlignment="1">
      <alignment horizontal="center" shrinkToFit="1"/>
    </xf>
    <xf numFmtId="0" fontId="7" fillId="37" borderId="20" xfId="224" applyFill="1" applyBorder="1" applyAlignment="1">
      <alignment horizontal="center" shrinkToFit="1"/>
    </xf>
    <xf numFmtId="0" fontId="7" fillId="37" borderId="18" xfId="224" applyFill="1" applyBorder="1" applyAlignment="1">
      <alignment horizontal="center" shrinkToFit="1"/>
    </xf>
    <xf numFmtId="0" fontId="18" fillId="31" borderId="22" xfId="8" applyFont="1" applyFill="1" applyBorder="1" applyAlignment="1">
      <alignment horizontal="center" wrapText="1"/>
    </xf>
    <xf numFmtId="0" fontId="7" fillId="31" borderId="20" xfId="224" applyFill="1" applyBorder="1" applyAlignment="1">
      <alignment horizontal="center" wrapText="1"/>
    </xf>
    <xf numFmtId="0" fontId="18" fillId="31" borderId="20" xfId="8" quotePrefix="1" applyFont="1" applyFill="1" applyBorder="1" applyAlignment="1">
      <alignment horizontal="left" wrapText="1"/>
    </xf>
    <xf numFmtId="0" fontId="24" fillId="31" borderId="20" xfId="224" applyFont="1" applyFill="1" applyBorder="1" applyAlignment="1">
      <alignment horizontal="left" wrapText="1"/>
    </xf>
    <xf numFmtId="0" fontId="24" fillId="31" borderId="18" xfId="224" applyFont="1" applyFill="1" applyBorder="1" applyAlignment="1">
      <alignment horizontal="left" wrapText="1"/>
    </xf>
    <xf numFmtId="0" fontId="16" fillId="32" borderId="12" xfId="224" applyFont="1" applyFill="1" applyBorder="1" applyAlignment="1">
      <alignment horizontal="center" vertical="center"/>
    </xf>
    <xf numFmtId="0" fontId="16" fillId="32" borderId="14" xfId="224" applyFont="1" applyFill="1" applyBorder="1" applyAlignment="1">
      <alignment horizontal="center" vertical="center"/>
    </xf>
    <xf numFmtId="0" fontId="16" fillId="32" borderId="15" xfId="224" applyFont="1" applyFill="1" applyBorder="1" applyAlignment="1">
      <alignment horizontal="center" vertical="center"/>
    </xf>
    <xf numFmtId="0" fontId="25" fillId="31" borderId="4" xfId="8" applyFont="1" applyFill="1" applyBorder="1" applyAlignment="1">
      <alignment horizontal="center" vertical="center" wrapText="1"/>
    </xf>
    <xf numFmtId="0" fontId="22" fillId="31" borderId="5" xfId="224" applyFont="1" applyFill="1" applyBorder="1" applyAlignment="1">
      <alignment horizontal="center" vertical="center" wrapText="1"/>
    </xf>
    <xf numFmtId="0" fontId="22" fillId="31" borderId="28" xfId="224" applyFont="1" applyFill="1" applyBorder="1" applyAlignment="1">
      <alignment horizontal="center" vertical="center" wrapText="1"/>
    </xf>
    <xf numFmtId="0" fontId="22" fillId="31" borderId="9" xfId="224" applyFont="1" applyFill="1" applyBorder="1" applyAlignment="1">
      <alignment horizontal="center" vertical="center" wrapText="1"/>
    </xf>
    <xf numFmtId="0" fontId="22" fillId="31" borderId="0" xfId="224" applyFont="1" applyFill="1" applyAlignment="1">
      <alignment horizontal="center" vertical="center" wrapText="1"/>
    </xf>
    <xf numFmtId="0" fontId="22" fillId="31" borderId="27" xfId="224" applyFont="1" applyFill="1" applyBorder="1" applyAlignment="1">
      <alignment horizontal="center" vertical="center" wrapText="1"/>
    </xf>
    <xf numFmtId="0" fontId="22" fillId="31" borderId="6" xfId="224" applyFont="1" applyFill="1" applyBorder="1" applyAlignment="1">
      <alignment horizontal="center" vertical="center" wrapText="1"/>
    </xf>
    <xf numFmtId="0" fontId="22" fillId="31" borderId="54" xfId="224" applyFont="1" applyFill="1" applyBorder="1" applyAlignment="1">
      <alignment horizontal="center" vertical="center" wrapText="1"/>
    </xf>
    <xf numFmtId="0" fontId="22" fillId="31" borderId="29" xfId="224" applyFont="1" applyFill="1" applyBorder="1" applyAlignment="1">
      <alignment horizontal="center" vertical="center" wrapText="1"/>
    </xf>
    <xf numFmtId="0" fontId="16" fillId="37" borderId="13" xfId="9" applyFont="1" applyFill="1" applyBorder="1" applyAlignment="1">
      <alignment horizontal="center"/>
    </xf>
    <xf numFmtId="0" fontId="16" fillId="37" borderId="17" xfId="9" applyFont="1" applyFill="1" applyBorder="1" applyAlignment="1">
      <alignment horizontal="center" wrapText="1"/>
    </xf>
    <xf numFmtId="0" fontId="7" fillId="37" borderId="14" xfId="224" applyFill="1" applyBorder="1" applyAlignment="1">
      <alignment horizontal="center" wrapText="1"/>
    </xf>
    <xf numFmtId="0" fontId="7" fillId="37" borderId="16" xfId="224" applyFill="1" applyBorder="1" applyAlignment="1">
      <alignment horizontal="center" wrapText="1"/>
    </xf>
    <xf numFmtId="0" fontId="7" fillId="37" borderId="15" xfId="224" applyFill="1" applyBorder="1" applyAlignment="1">
      <alignment horizontal="center" wrapText="1"/>
    </xf>
    <xf numFmtId="0" fontId="16" fillId="31" borderId="112" xfId="8" applyFont="1" applyFill="1" applyBorder="1" applyAlignment="1">
      <alignment horizontal="center" vertical="center" wrapText="1"/>
    </xf>
    <xf numFmtId="0" fontId="7" fillId="31" borderId="81" xfId="224" applyFill="1" applyBorder="1" applyAlignment="1">
      <alignment horizontal="center" vertical="center" wrapText="1"/>
    </xf>
    <xf numFmtId="0" fontId="16" fillId="37" borderId="100" xfId="8" applyFont="1" applyFill="1" applyBorder="1" applyAlignment="1">
      <alignment horizontal="center" shrinkToFit="1"/>
    </xf>
    <xf numFmtId="0" fontId="7" fillId="37" borderId="97" xfId="224" applyFill="1" applyBorder="1" applyAlignment="1">
      <alignment horizontal="center" shrinkToFit="1"/>
    </xf>
    <xf numFmtId="0" fontId="7" fillId="37" borderId="98" xfId="224" applyFill="1" applyBorder="1" applyAlignment="1">
      <alignment horizontal="center" shrinkToFit="1"/>
    </xf>
    <xf numFmtId="0" fontId="17" fillId="31" borderId="100" xfId="8" applyFont="1" applyFill="1" applyBorder="1" applyAlignment="1">
      <alignment horizontal="center" wrapText="1"/>
    </xf>
    <xf numFmtId="0" fontId="7" fillId="31" borderId="97" xfId="224" applyFill="1" applyBorder="1" applyAlignment="1">
      <alignment horizontal="center" wrapText="1"/>
    </xf>
    <xf numFmtId="0" fontId="7" fillId="31" borderId="98" xfId="224" applyFill="1" applyBorder="1" applyAlignment="1">
      <alignment horizontal="center" wrapText="1"/>
    </xf>
    <xf numFmtId="0" fontId="16" fillId="37" borderId="100" xfId="8" applyFont="1" applyFill="1" applyBorder="1" applyAlignment="1">
      <alignment horizontal="center" wrapText="1"/>
    </xf>
    <xf numFmtId="0" fontId="7" fillId="37" borderId="97" xfId="224" applyFill="1" applyBorder="1" applyAlignment="1">
      <alignment horizontal="center" wrapText="1"/>
    </xf>
    <xf numFmtId="0" fontId="7" fillId="37" borderId="98" xfId="224" applyFill="1" applyBorder="1" applyAlignment="1">
      <alignment horizontal="center" wrapText="1"/>
    </xf>
    <xf numFmtId="0" fontId="16" fillId="37" borderId="17" xfId="8" applyFont="1" applyFill="1" applyBorder="1" applyAlignment="1">
      <alignment horizontal="center" vertical="center" wrapText="1"/>
    </xf>
    <xf numFmtId="0" fontId="7" fillId="37" borderId="14" xfId="224" applyFill="1" applyBorder="1" applyAlignment="1">
      <alignment horizontal="center" vertical="center" wrapText="1"/>
    </xf>
    <xf numFmtId="0" fontId="7" fillId="37" borderId="16" xfId="224" applyFill="1" applyBorder="1" applyAlignment="1">
      <alignment horizontal="center" vertical="center" wrapText="1"/>
    </xf>
    <xf numFmtId="0" fontId="16" fillId="37" borderId="17" xfId="8" applyFont="1" applyFill="1" applyBorder="1" applyAlignment="1">
      <alignment horizontal="center" shrinkToFit="1"/>
    </xf>
    <xf numFmtId="0" fontId="7" fillId="37" borderId="14" xfId="224" applyFill="1" applyBorder="1" applyAlignment="1">
      <alignment horizontal="center" shrinkToFit="1"/>
    </xf>
    <xf numFmtId="0" fontId="7" fillId="37" borderId="16" xfId="224" applyFill="1" applyBorder="1" applyAlignment="1">
      <alignment horizontal="center" shrinkToFit="1"/>
    </xf>
    <xf numFmtId="0" fontId="17" fillId="31" borderId="17" xfId="8" applyFont="1" applyFill="1" applyBorder="1" applyAlignment="1">
      <alignment horizontal="center" wrapText="1"/>
    </xf>
    <xf numFmtId="0" fontId="7" fillId="31" borderId="14" xfId="224" applyFill="1" applyBorder="1" applyAlignment="1">
      <alignment horizontal="center" wrapText="1"/>
    </xf>
    <xf numFmtId="0" fontId="7" fillId="31" borderId="16" xfId="224" applyFill="1" applyBorder="1" applyAlignment="1">
      <alignment horizontal="center" wrapText="1"/>
    </xf>
    <xf numFmtId="0" fontId="16" fillId="37" borderId="17" xfId="8" applyFont="1" applyFill="1" applyBorder="1" applyAlignment="1">
      <alignment horizontal="center" wrapText="1"/>
    </xf>
    <xf numFmtId="0" fontId="17" fillId="31" borderId="17" xfId="8" applyFont="1" applyFill="1" applyBorder="1" applyAlignment="1">
      <alignment horizontal="center" shrinkToFit="1"/>
    </xf>
    <xf numFmtId="0" fontId="7" fillId="31" borderId="14" xfId="224" applyFill="1" applyBorder="1" applyAlignment="1">
      <alignment horizontal="center" shrinkToFit="1"/>
    </xf>
    <xf numFmtId="0" fontId="7" fillId="31" borderId="16" xfId="224" applyFill="1" applyBorder="1" applyAlignment="1">
      <alignment horizontal="center" shrinkToFit="1"/>
    </xf>
    <xf numFmtId="0" fontId="20" fillId="31" borderId="0" xfId="224" applyFont="1" applyFill="1" applyAlignment="1">
      <alignment horizontal="left" vertical="center" wrapText="1"/>
    </xf>
    <xf numFmtId="0" fontId="17" fillId="31" borderId="100" xfId="224" applyFont="1" applyFill="1" applyBorder="1" applyAlignment="1">
      <alignment horizontal="center" wrapText="1"/>
    </xf>
    <xf numFmtId="0" fontId="17" fillId="31" borderId="97" xfId="224" applyFont="1" applyFill="1" applyBorder="1" applyAlignment="1">
      <alignment horizontal="center" wrapText="1"/>
    </xf>
    <xf numFmtId="0" fontId="17" fillId="31" borderId="98" xfId="224" applyFont="1" applyFill="1" applyBorder="1" applyAlignment="1">
      <alignment horizontal="center" wrapText="1"/>
    </xf>
    <xf numFmtId="14" fontId="17" fillId="31" borderId="99" xfId="9" applyNumberFormat="1" applyFont="1" applyFill="1" applyBorder="1" applyAlignment="1">
      <alignment horizontal="center" vertical="center"/>
    </xf>
    <xf numFmtId="0" fontId="17" fillId="31" borderId="99" xfId="9" applyFont="1" applyFill="1" applyBorder="1" applyAlignment="1">
      <alignment horizontal="center" vertical="center"/>
    </xf>
    <xf numFmtId="0" fontId="17" fillId="31" borderId="23" xfId="9" applyFont="1" applyFill="1" applyBorder="1" applyAlignment="1">
      <alignment horizontal="center" vertical="center"/>
    </xf>
    <xf numFmtId="0" fontId="17" fillId="31" borderId="112" xfId="9" applyFont="1" applyFill="1" applyBorder="1" applyAlignment="1">
      <alignment horizontal="center" vertical="center" wrapText="1"/>
    </xf>
    <xf numFmtId="0" fontId="7" fillId="31" borderId="29" xfId="224" applyFill="1" applyBorder="1" applyAlignment="1">
      <alignment horizontal="center" vertical="center" wrapText="1"/>
    </xf>
    <xf numFmtId="0" fontId="15" fillId="31" borderId="0" xfId="224" applyFont="1" applyFill="1" applyAlignment="1">
      <alignment vertical="center" wrapText="1"/>
    </xf>
    <xf numFmtId="0" fontId="18" fillId="0" borderId="96" xfId="0" applyFont="1" applyBorder="1" applyAlignment="1">
      <alignment horizontal="right" vertical="center" wrapText="1"/>
    </xf>
    <xf numFmtId="0" fontId="18" fillId="0" borderId="98" xfId="0" applyFont="1" applyBorder="1" applyAlignment="1">
      <alignment horizontal="right" vertical="center" wrapText="1"/>
    </xf>
    <xf numFmtId="0" fontId="18" fillId="0" borderId="19" xfId="0" applyFont="1" applyBorder="1" applyAlignment="1">
      <alignment horizontal="right" vertical="center" wrapText="1"/>
    </xf>
    <xf numFmtId="0" fontId="18" fillId="0" borderId="18" xfId="0" applyFont="1" applyBorder="1" applyAlignment="1">
      <alignment horizontal="right" vertical="center" wrapText="1"/>
    </xf>
    <xf numFmtId="0" fontId="18" fillId="0" borderId="107" xfId="0" applyFont="1" applyBorder="1" applyAlignment="1">
      <alignment horizontal="right" vertical="center" wrapText="1"/>
    </xf>
    <xf numFmtId="0" fontId="18" fillId="0" borderId="108" xfId="0" applyFont="1" applyBorder="1" applyAlignment="1">
      <alignment horizontal="right" vertical="center" wrapText="1"/>
    </xf>
    <xf numFmtId="0" fontId="18" fillId="0" borderId="83" xfId="0" applyFont="1" applyBorder="1" applyAlignment="1">
      <alignment horizontal="right" vertical="center" wrapText="1"/>
    </xf>
    <xf numFmtId="0" fontId="18" fillId="0" borderId="81" xfId="0" applyFont="1" applyBorder="1" applyAlignment="1">
      <alignment horizontal="right" vertical="center" wrapText="1"/>
    </xf>
    <xf numFmtId="0" fontId="18" fillId="0" borderId="7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96" xfId="0" applyFont="1" applyBorder="1" applyAlignment="1">
      <alignment horizontal="center" vertical="center" wrapText="1"/>
    </xf>
    <xf numFmtId="0" fontId="18" fillId="0" borderId="98" xfId="0" applyFont="1" applyBorder="1" applyAlignment="1">
      <alignment horizontal="center" vertical="center" wrapText="1"/>
    </xf>
    <xf numFmtId="0" fontId="101" fillId="0" borderId="100" xfId="0" applyFont="1" applyBorder="1" applyAlignment="1">
      <alignment vertical="center"/>
    </xf>
    <xf numFmtId="0" fontId="101" fillId="0" borderId="98" xfId="0" applyFont="1" applyBorder="1" applyAlignment="1">
      <alignment vertical="center"/>
    </xf>
    <xf numFmtId="0" fontId="101" fillId="40" borderId="131" xfId="58479" applyFont="1" applyFill="1" applyBorder="1">
      <alignment vertical="center"/>
    </xf>
    <xf numFmtId="0" fontId="102" fillId="0" borderId="17" xfId="58479" applyFont="1" applyBorder="1">
      <alignment vertical="center"/>
    </xf>
    <xf numFmtId="0" fontId="101" fillId="40" borderId="13" xfId="58479" applyFont="1" applyFill="1" applyBorder="1">
      <alignment vertical="center"/>
    </xf>
    <xf numFmtId="0" fontId="102" fillId="0" borderId="13" xfId="58479" applyFont="1" applyBorder="1">
      <alignment vertical="center"/>
    </xf>
    <xf numFmtId="184" fontId="14" fillId="0" borderId="124" xfId="58475" applyNumberFormat="1" applyFont="1" applyBorder="1" applyAlignment="1">
      <alignment horizontal="right" vertical="center"/>
    </xf>
    <xf numFmtId="184" fontId="14" fillId="0" borderId="99" xfId="58475" applyNumberFormat="1" applyFont="1" applyBorder="1" applyAlignment="1">
      <alignment horizontal="right" vertical="center"/>
    </xf>
    <xf numFmtId="0" fontId="14" fillId="0" borderId="99" xfId="58475" applyFont="1" applyBorder="1">
      <alignment vertical="center"/>
    </xf>
    <xf numFmtId="184" fontId="112" fillId="0" borderId="124" xfId="58479" applyNumberFormat="1" applyFont="1" applyBorder="1" applyAlignment="1">
      <alignment horizontal="right" vertical="center"/>
    </xf>
    <xf numFmtId="184" fontId="112" fillId="0" borderId="99" xfId="58479" applyNumberFormat="1" applyFont="1" applyBorder="1" applyAlignment="1">
      <alignment horizontal="right" vertical="center"/>
    </xf>
    <xf numFmtId="0" fontId="112" fillId="0" borderId="99" xfId="58475" applyFont="1" applyBorder="1">
      <alignment vertical="center"/>
    </xf>
    <xf numFmtId="184" fontId="14" fillId="0" borderId="72" xfId="58479" applyNumberFormat="1" applyFont="1" applyBorder="1" applyAlignment="1">
      <alignment horizontal="right" vertical="center"/>
    </xf>
    <xf numFmtId="184" fontId="14" fillId="0" borderId="24" xfId="58479" applyNumberFormat="1" applyFont="1" applyBorder="1" applyAlignment="1">
      <alignment horizontal="right" vertical="center"/>
    </xf>
    <xf numFmtId="0" fontId="14" fillId="0" borderId="25" xfId="58475" applyFont="1" applyBorder="1">
      <alignment vertical="center"/>
    </xf>
    <xf numFmtId="0" fontId="14" fillId="0" borderId="24" xfId="58475" applyFont="1" applyBorder="1">
      <alignment vertical="center"/>
    </xf>
    <xf numFmtId="184" fontId="14" fillId="0" borderId="124" xfId="58479" applyNumberFormat="1" applyFont="1" applyBorder="1" applyAlignment="1">
      <alignment horizontal="right" vertical="center"/>
    </xf>
    <xf numFmtId="184" fontId="14" fillId="0" borderId="99" xfId="58479" applyNumberFormat="1" applyFont="1" applyBorder="1" applyAlignment="1">
      <alignment horizontal="right" vertical="center"/>
    </xf>
    <xf numFmtId="184" fontId="14" fillId="0" borderId="132" xfId="58475" applyNumberFormat="1" applyFont="1" applyBorder="1" applyAlignment="1">
      <alignment horizontal="right" vertical="center"/>
    </xf>
    <xf numFmtId="184" fontId="14" fillId="0" borderId="133" xfId="58475" applyNumberFormat="1" applyFont="1" applyBorder="1" applyAlignment="1">
      <alignment horizontal="right" vertical="center"/>
    </xf>
    <xf numFmtId="0" fontId="14" fillId="0" borderId="133" xfId="58475" applyFont="1" applyBorder="1">
      <alignment vertical="center"/>
    </xf>
    <xf numFmtId="0" fontId="14" fillId="0" borderId="112" xfId="58475" applyFont="1" applyBorder="1">
      <alignment vertical="center"/>
    </xf>
    <xf numFmtId="0" fontId="14" fillId="0" borderId="81" xfId="58475" applyFont="1" applyBorder="1">
      <alignment vertical="center"/>
    </xf>
    <xf numFmtId="184" fontId="113" fillId="0" borderId="124" xfId="58479" applyNumberFormat="1" applyFont="1" applyBorder="1" applyAlignment="1">
      <alignment horizontal="right" vertical="center"/>
    </xf>
    <xf numFmtId="184" fontId="113" fillId="0" borderId="99" xfId="58479" applyNumberFormat="1" applyFont="1" applyBorder="1" applyAlignment="1">
      <alignment horizontal="right" vertical="center"/>
    </xf>
    <xf numFmtId="0" fontId="113" fillId="0" borderId="100" xfId="58475" applyFont="1" applyBorder="1">
      <alignment vertical="center"/>
    </xf>
    <xf numFmtId="0" fontId="113" fillId="0" borderId="98" xfId="58475" applyFont="1" applyBorder="1">
      <alignment vertical="center"/>
    </xf>
    <xf numFmtId="0" fontId="14" fillId="0" borderId="100" xfId="58475" applyFont="1" applyBorder="1">
      <alignment vertical="center"/>
    </xf>
    <xf numFmtId="0" fontId="14" fillId="0" borderId="98" xfId="58475" applyFont="1" applyBorder="1">
      <alignment vertical="center"/>
    </xf>
    <xf numFmtId="184" fontId="14" fillId="0" borderId="134" xfId="58479" applyNumberFormat="1" applyFont="1" applyBorder="1" applyAlignment="1">
      <alignment horizontal="right" vertical="center"/>
    </xf>
    <xf numFmtId="184" fontId="14" fillId="0" borderId="23" xfId="58479" applyNumberFormat="1" applyFont="1" applyBorder="1" applyAlignment="1">
      <alignment horizontal="right" vertical="center"/>
    </xf>
    <xf numFmtId="0" fontId="14" fillId="0" borderId="22" xfId="58475" applyFont="1" applyBorder="1">
      <alignment vertical="center"/>
    </xf>
    <xf numFmtId="0" fontId="14" fillId="0" borderId="18" xfId="58475" applyFont="1" applyBorder="1">
      <alignment vertical="center"/>
    </xf>
  </cellXfs>
  <cellStyles count="58480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Header2 2" xfId="57521" xr:uid="{9A23D794-4C7D-444A-A611-80293414F6B4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2 2 2" xfId="57642" xr:uid="{73D1D205-2358-4F7D-A5FB-A913320EF637}"/>
    <cellStyle name="PSHeading 2 2 2 2 2 2 2 2 2 3" xfId="57625" xr:uid="{2ADA666D-8332-428A-8AE2-768150F98739}"/>
    <cellStyle name="PSHeading 2 2 2 2 2 2 2 2 3" xfId="6285" xr:uid="{00000000-0005-0000-0000-000072000000}"/>
    <cellStyle name="PSHeading 2 2 2 2 2 2 2 2 3 2" xfId="6286" xr:uid="{00000000-0005-0000-0000-000073000000}"/>
    <cellStyle name="PSHeading 2 2 2 2 2 2 2 2 3 2 2" xfId="57621" xr:uid="{259D461A-6457-4D10-8869-5DD30C66CB8E}"/>
    <cellStyle name="PSHeading 2 2 2 2 2 2 2 2 3 3" xfId="57628" xr:uid="{F3047656-FBE5-4DE4-A9FE-B284AACD9727}"/>
    <cellStyle name="PSHeading 2 2 2 2 2 2 2 2 4" xfId="6287" xr:uid="{00000000-0005-0000-0000-000074000000}"/>
    <cellStyle name="PSHeading 2 2 2 2 2 2 2 2 4 2" xfId="57646" xr:uid="{97FC9494-A298-44C6-8313-D5AAC0A0DFF4}"/>
    <cellStyle name="PSHeading 2 2 2 2 2 2 2 2 5" xfId="57620" xr:uid="{3B9C74B0-8FC4-411C-9CAD-C8F3DBF0876E}"/>
    <cellStyle name="PSHeading 2 2 2 2 2 2 2 3" xfId="6288" xr:uid="{00000000-0005-0000-0000-000075000000}"/>
    <cellStyle name="PSHeading 2 2 2 2 2 2 2 3 2" xfId="57639" xr:uid="{863BEC4B-4B44-416C-B77B-524D82D4C8DB}"/>
    <cellStyle name="PSHeading 2 2 2 2 2 2 2 4" xfId="6289" xr:uid="{00000000-0005-0000-0000-000076000000}"/>
    <cellStyle name="PSHeading 2 2 2 2 2 2 2 4 2" xfId="6290" xr:uid="{00000000-0005-0000-0000-000077000000}"/>
    <cellStyle name="PSHeading 2 2 2 2 2 2 2 4 2 2" xfId="57626" xr:uid="{E409F370-1BA3-47BA-9DCD-7B271291B000}"/>
    <cellStyle name="PSHeading 2 2 2 2 2 2 2 4 3" xfId="57631" xr:uid="{F9565615-633F-4108-913C-CE6F2FB0AE64}"/>
    <cellStyle name="PSHeading 2 2 2 2 2 2 2 5" xfId="57495" xr:uid="{66907FA5-BDFF-4032-ACD8-174EF5AEF02D}"/>
    <cellStyle name="PSHeading 2 2 2 2 2 2 3" xfId="6291" xr:uid="{00000000-0005-0000-0000-000078000000}"/>
    <cellStyle name="PSHeading 2 2 2 2 2 2 3 2" xfId="6292" xr:uid="{00000000-0005-0000-0000-000079000000}"/>
    <cellStyle name="PSHeading 2 2 2 2 2 2 3 2 2" xfId="57622" xr:uid="{4D171C82-359F-433B-ACDF-335B28C26B37}"/>
    <cellStyle name="PSHeading 2 2 2 2 2 2 3 3" xfId="57641" xr:uid="{12C7AE48-5450-4901-97E3-914A06710DD0}"/>
    <cellStyle name="PSHeading 2 2 2 2 2 2 4" xfId="57632" xr:uid="{8F63F3DF-0626-43B1-9E64-4CE91279902C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2 2 2" xfId="57623" xr:uid="{5E3E0C07-11EB-46EA-B5D7-3B5C2A54EEC7}"/>
    <cellStyle name="PSHeading 2 2 2 2 2 3 2 2 3" xfId="57638" xr:uid="{66C5AE64-D757-4E44-948B-2F269C7551EF}"/>
    <cellStyle name="PSHeading 2 2 2 2 2 3 2 3" xfId="6297" xr:uid="{00000000-0005-0000-0000-00007E000000}"/>
    <cellStyle name="PSHeading 2 2 2 2 2 3 2 3 2" xfId="6298" xr:uid="{00000000-0005-0000-0000-00007F000000}"/>
    <cellStyle name="PSHeading 2 2 2 2 2 3 2 3 2 2" xfId="57643" xr:uid="{768DC64A-18B5-485E-8C47-8945A7C2C94C}"/>
    <cellStyle name="PSHeading 2 2 2 2 2 3 2 3 3" xfId="57627" xr:uid="{9EC8478F-94C3-4D77-AA45-7209E784590D}"/>
    <cellStyle name="PSHeading 2 2 2 2 2 3 2 4" xfId="6299" xr:uid="{00000000-0005-0000-0000-000080000000}"/>
    <cellStyle name="PSHeading 2 2 2 2 2 3 2 4 2" xfId="57633" xr:uid="{DEC49866-5ED0-4CF5-A4DF-32F596A37F7B}"/>
    <cellStyle name="PSHeading 2 2 2 2 2 3 2 5" xfId="57635" xr:uid="{16C3EEDF-74BE-45F7-B2D8-ED44541EF603}"/>
    <cellStyle name="PSHeading 2 2 2 2 2 3 3" xfId="6300" xr:uid="{00000000-0005-0000-0000-000081000000}"/>
    <cellStyle name="PSHeading 2 2 2 2 2 3 3 2" xfId="57637" xr:uid="{4B41F7B8-6FB0-40E9-9745-FC73124B1490}"/>
    <cellStyle name="PSHeading 2 2 2 2 2 3 4" xfId="6301" xr:uid="{00000000-0005-0000-0000-000082000000}"/>
    <cellStyle name="PSHeading 2 2 2 2 2 3 4 2" xfId="6302" xr:uid="{00000000-0005-0000-0000-000083000000}"/>
    <cellStyle name="PSHeading 2 2 2 2 2 3 4 2 2" xfId="57619" xr:uid="{21DFA60B-7805-4F66-A993-8F9D514EC523}"/>
    <cellStyle name="PSHeading 2 2 2 2 2 3 4 3" xfId="57636" xr:uid="{938BC584-6E20-465D-A953-014E264FAD16}"/>
    <cellStyle name="PSHeading 2 2 2 2 2 3 5" xfId="57618" xr:uid="{1878D11B-437E-48A7-84D0-A78D405AA2E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2 2 2" xfId="57649" xr:uid="{4413CBC7-5AB0-495F-9AFB-948655CCAA17}"/>
    <cellStyle name="PSHeading 2 2 2 2 2 4 2 2 3" xfId="57648" xr:uid="{6563B234-54B9-45BD-8EF1-16F8041C866A}"/>
    <cellStyle name="PSHeading 2 2 2 2 2 4 2 3" xfId="6307" xr:uid="{00000000-0005-0000-0000-000088000000}"/>
    <cellStyle name="PSHeading 2 2 2 2 2 4 2 3 2" xfId="6308" xr:uid="{00000000-0005-0000-0000-000089000000}"/>
    <cellStyle name="PSHeading 2 2 2 2 2 4 2 3 2 2" xfId="57651" xr:uid="{F79B54DB-9D00-4F71-84FF-D4A3F5149223}"/>
    <cellStyle name="PSHeading 2 2 2 2 2 4 2 3 3" xfId="57650" xr:uid="{9504BAA2-D4A5-40DC-988C-4887128F0913}"/>
    <cellStyle name="PSHeading 2 2 2 2 2 4 2 4" xfId="6309" xr:uid="{00000000-0005-0000-0000-00008A000000}"/>
    <cellStyle name="PSHeading 2 2 2 2 2 4 2 4 2" xfId="57652" xr:uid="{E64A3145-090E-465E-8656-D0BB379B5F36}"/>
    <cellStyle name="PSHeading 2 2 2 2 2 4 2 5" xfId="57647" xr:uid="{FAC30624-11AB-4679-B336-6DFB9BEC43B3}"/>
    <cellStyle name="PSHeading 2 2 2 2 2 4 3" xfId="6310" xr:uid="{00000000-0005-0000-0000-00008B000000}"/>
    <cellStyle name="PSHeading 2 2 2 2 2 4 3 2" xfId="57653" xr:uid="{616E048F-320B-4316-88E9-9652FF8ABF88}"/>
    <cellStyle name="PSHeading 2 2 2 2 2 4 4" xfId="6311" xr:uid="{00000000-0005-0000-0000-00008C000000}"/>
    <cellStyle name="PSHeading 2 2 2 2 2 4 4 2" xfId="6312" xr:uid="{00000000-0005-0000-0000-00008D000000}"/>
    <cellStyle name="PSHeading 2 2 2 2 2 4 4 2 2" xfId="57655" xr:uid="{9AE230E0-510D-4017-95CE-B834B193D0F6}"/>
    <cellStyle name="PSHeading 2 2 2 2 2 4 4 3" xfId="57654" xr:uid="{1CE48F31-3326-407F-B5A1-8385D74BD3FA}"/>
    <cellStyle name="PSHeading 2 2 2 2 2 4 5" xfId="57640" xr:uid="{7338BA02-8B21-49BF-999B-4AD94BF4CB5A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2 2 2" xfId="57659" xr:uid="{893EBFA1-45E0-4F0C-AF58-252CD1D2F422}"/>
    <cellStyle name="PSHeading 2 2 2 2 2 5 2 2 3" xfId="57658" xr:uid="{18DA0173-D27E-438D-AB9A-A67A4638453E}"/>
    <cellStyle name="PSHeading 2 2 2 2 2 5 2 3" xfId="6317" xr:uid="{00000000-0005-0000-0000-000092000000}"/>
    <cellStyle name="PSHeading 2 2 2 2 2 5 2 3 2" xfId="6318" xr:uid="{00000000-0005-0000-0000-000093000000}"/>
    <cellStyle name="PSHeading 2 2 2 2 2 5 2 3 2 2" xfId="57661" xr:uid="{162C5E0F-EBFB-439A-A8BE-82E4CD92E0C0}"/>
    <cellStyle name="PSHeading 2 2 2 2 2 5 2 3 3" xfId="57660" xr:uid="{DB377568-6C37-4893-B8B7-719CB8D23FBF}"/>
    <cellStyle name="PSHeading 2 2 2 2 2 5 2 4" xfId="6319" xr:uid="{00000000-0005-0000-0000-000094000000}"/>
    <cellStyle name="PSHeading 2 2 2 2 2 5 2 4 2" xfId="57662" xr:uid="{FBDCDCB7-71A1-4AB8-A1B8-7B104050224A}"/>
    <cellStyle name="PSHeading 2 2 2 2 2 5 2 5" xfId="57657" xr:uid="{BEBE90AA-A6C8-4CA9-AAB2-BED6EFABE7B8}"/>
    <cellStyle name="PSHeading 2 2 2 2 2 5 3" xfId="6320" xr:uid="{00000000-0005-0000-0000-000095000000}"/>
    <cellStyle name="PSHeading 2 2 2 2 2 5 3 2" xfId="57663" xr:uid="{4FFFDF10-E80B-4E0C-A3A3-CCBF99286795}"/>
    <cellStyle name="PSHeading 2 2 2 2 2 5 4" xfId="6321" xr:uid="{00000000-0005-0000-0000-000096000000}"/>
    <cellStyle name="PSHeading 2 2 2 2 2 5 4 2" xfId="6322" xr:uid="{00000000-0005-0000-0000-000097000000}"/>
    <cellStyle name="PSHeading 2 2 2 2 2 5 4 2 2" xfId="57665" xr:uid="{27AD99A9-9153-4023-A428-3655F0887488}"/>
    <cellStyle name="PSHeading 2 2 2 2 2 5 4 3" xfId="57664" xr:uid="{0B758D53-92C9-4447-89B0-6AABB9A71632}"/>
    <cellStyle name="PSHeading 2 2 2 2 2 5 5" xfId="57656" xr:uid="{B2C90EA7-B86E-46E5-90F6-C494463A0C82}"/>
    <cellStyle name="PSHeading 2 2 2 2 2 6" xfId="6323" xr:uid="{00000000-0005-0000-0000-000098000000}"/>
    <cellStyle name="PSHeading 2 2 2 2 2 6 2" xfId="57666" xr:uid="{2BE0704F-2296-4B47-8D15-DFA98BD40ADC}"/>
    <cellStyle name="PSHeading 2 2 2 2 2 7" xfId="57629" xr:uid="{056D7A70-5ED3-4C1E-881D-0B4474C009B4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2 2 2" xfId="57670" xr:uid="{D6A0AFB8-ADDB-441E-816E-528959A43398}"/>
    <cellStyle name="PSHeading 2 2 2 2 3 2 2 3" xfId="57669" xr:uid="{8DDCC9B1-865C-49A2-B640-A7F67A07C26F}"/>
    <cellStyle name="PSHeading 2 2 2 2 3 2 3" xfId="6328" xr:uid="{00000000-0005-0000-0000-00009D000000}"/>
    <cellStyle name="PSHeading 2 2 2 2 3 2 3 2" xfId="6329" xr:uid="{00000000-0005-0000-0000-00009E000000}"/>
    <cellStyle name="PSHeading 2 2 2 2 3 2 3 2 2" xfId="57672" xr:uid="{E9BC21CB-447E-493D-9F54-E9B0CF90822F}"/>
    <cellStyle name="PSHeading 2 2 2 2 3 2 3 3" xfId="57671" xr:uid="{C1E4FADB-5238-461B-AF67-CBA1CBAA18B3}"/>
    <cellStyle name="PSHeading 2 2 2 2 3 2 4" xfId="6330" xr:uid="{00000000-0005-0000-0000-00009F000000}"/>
    <cellStyle name="PSHeading 2 2 2 2 3 2 4 2" xfId="57673" xr:uid="{55D461F1-706C-4647-B921-049F804DEED5}"/>
    <cellStyle name="PSHeading 2 2 2 2 3 2 5" xfId="57668" xr:uid="{1EAD21FE-1784-40F6-AE62-E8F175C7752F}"/>
    <cellStyle name="PSHeading 2 2 2 2 3 3" xfId="6331" xr:uid="{00000000-0005-0000-0000-0000A0000000}"/>
    <cellStyle name="PSHeading 2 2 2 2 3 3 2" xfId="57674" xr:uid="{A8EB02E6-EA82-42C2-B783-0310630B40EB}"/>
    <cellStyle name="PSHeading 2 2 2 2 3 4" xfId="6332" xr:uid="{00000000-0005-0000-0000-0000A1000000}"/>
    <cellStyle name="PSHeading 2 2 2 2 3 4 2" xfId="6333" xr:uid="{00000000-0005-0000-0000-0000A2000000}"/>
    <cellStyle name="PSHeading 2 2 2 2 3 4 2 2" xfId="57676" xr:uid="{E23F5460-EF2B-4A60-B482-E20B3CC59508}"/>
    <cellStyle name="PSHeading 2 2 2 2 3 4 3" xfId="57675" xr:uid="{79C1201D-DCF4-478D-89C9-A043F45868B0}"/>
    <cellStyle name="PSHeading 2 2 2 2 3 5" xfId="57667" xr:uid="{93BA6A70-2F4E-4A98-8677-EF5813302338}"/>
    <cellStyle name="PSHeading 2 2 2 2 4" xfId="6334" xr:uid="{00000000-0005-0000-0000-0000A3000000}"/>
    <cellStyle name="PSHeading 2 2 2 2 4 2" xfId="6335" xr:uid="{00000000-0005-0000-0000-0000A4000000}"/>
    <cellStyle name="PSHeading 2 2 2 2 4 2 2" xfId="57678" xr:uid="{79E2553F-1A0D-42A0-A494-49E61F7E5B4F}"/>
    <cellStyle name="PSHeading 2 2 2 2 4 3" xfId="57677" xr:uid="{2B0617EC-833D-495D-8714-B5CD638FC20A}"/>
    <cellStyle name="PSHeading 2 2 2 2 5" xfId="57624" xr:uid="{FAE4FE5E-2F02-4FB4-B311-A155BBE764EF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2 2 2" xfId="57686" xr:uid="{11C1D060-7DAF-4822-96B2-6E6C5F776FBB}"/>
    <cellStyle name="PSHeading 2 2 2 3 2 2 2 2 2 2 3" xfId="57685" xr:uid="{880825F2-9FC7-4854-82E7-5C14130D458F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3 2 2" xfId="57688" xr:uid="{16A74568-248B-4B00-A89B-6AD652401037}"/>
    <cellStyle name="PSHeading 2 2 2 3 2 2 2 2 2 3 3" xfId="57687" xr:uid="{296762D2-EEA3-4C84-A4FF-6E5F892653D3}"/>
    <cellStyle name="PSHeading 2 2 2 3 2 2 2 2 2 4" xfId="6346" xr:uid="{00000000-0005-0000-0000-0000AF000000}"/>
    <cellStyle name="PSHeading 2 2 2 3 2 2 2 2 2 4 2" xfId="57689" xr:uid="{888B4DF5-14AF-4C20-BCC7-7CFA162D2E04}"/>
    <cellStyle name="PSHeading 2 2 2 3 2 2 2 2 2 5" xfId="57684" xr:uid="{3ED63981-3C1E-4249-B76D-A8C00E03BC62}"/>
    <cellStyle name="PSHeading 2 2 2 3 2 2 2 2 3" xfId="6347" xr:uid="{00000000-0005-0000-0000-0000B0000000}"/>
    <cellStyle name="PSHeading 2 2 2 3 2 2 2 2 3 2" xfId="57690" xr:uid="{23D858D7-0646-4C86-A366-80BD3DE6559E}"/>
    <cellStyle name="PSHeading 2 2 2 3 2 2 2 2 4" xfId="6348" xr:uid="{00000000-0005-0000-0000-0000B1000000}"/>
    <cellStyle name="PSHeading 2 2 2 3 2 2 2 2 4 2" xfId="6349" xr:uid="{00000000-0005-0000-0000-0000B2000000}"/>
    <cellStyle name="PSHeading 2 2 2 3 2 2 2 2 4 2 2" xfId="57692" xr:uid="{710471A9-CB8D-489E-AD70-5293DED408AB}"/>
    <cellStyle name="PSHeading 2 2 2 3 2 2 2 2 4 3" xfId="57691" xr:uid="{22A3372F-A48F-4EB0-904D-071B699EBFF1}"/>
    <cellStyle name="PSHeading 2 2 2 3 2 2 2 2 5" xfId="57683" xr:uid="{56E43D1E-7209-4908-80D4-42FAC08AC1F9}"/>
    <cellStyle name="PSHeading 2 2 2 3 2 2 2 3" xfId="6350" xr:uid="{00000000-0005-0000-0000-0000B3000000}"/>
    <cellStyle name="PSHeading 2 2 2 3 2 2 2 3 2" xfId="6351" xr:uid="{00000000-0005-0000-0000-0000B4000000}"/>
    <cellStyle name="PSHeading 2 2 2 3 2 2 2 3 2 2" xfId="57694" xr:uid="{1F58F9A4-6BEF-4ABB-A7C0-1BB322715343}"/>
    <cellStyle name="PSHeading 2 2 2 3 2 2 2 3 3" xfId="57693" xr:uid="{A19FCEA3-B66B-476F-BA18-9D434DC4A896}"/>
    <cellStyle name="PSHeading 2 2 2 3 2 2 2 4" xfId="57682" xr:uid="{9C0C045A-0978-47FA-AAC4-4CB82BE3B94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2 2 2" xfId="57698" xr:uid="{3F3B5805-4041-4127-9D24-1D466E1E79A5}"/>
    <cellStyle name="PSHeading 2 2 2 3 2 2 3 2 2 3" xfId="57697" xr:uid="{37D6546C-30B2-4292-A7D7-834AD76D81AE}"/>
    <cellStyle name="PSHeading 2 2 2 3 2 2 3 2 3" xfId="6356" xr:uid="{00000000-0005-0000-0000-0000B9000000}"/>
    <cellStyle name="PSHeading 2 2 2 3 2 2 3 2 3 2" xfId="6357" xr:uid="{00000000-0005-0000-0000-0000BA000000}"/>
    <cellStyle name="PSHeading 2 2 2 3 2 2 3 2 3 2 2" xfId="57700" xr:uid="{15BFC3CB-B5AC-416C-A60C-681E01F69332}"/>
    <cellStyle name="PSHeading 2 2 2 3 2 2 3 2 3 3" xfId="57699" xr:uid="{027B3BE5-094F-43B4-9C7B-75B7768FB4F6}"/>
    <cellStyle name="PSHeading 2 2 2 3 2 2 3 2 4" xfId="6358" xr:uid="{00000000-0005-0000-0000-0000BB000000}"/>
    <cellStyle name="PSHeading 2 2 2 3 2 2 3 2 4 2" xfId="57701" xr:uid="{9E6BD43C-0896-464D-A7AF-4B4F74794F0E}"/>
    <cellStyle name="PSHeading 2 2 2 3 2 2 3 2 5" xfId="57696" xr:uid="{29DCA408-2AE4-485A-9A0F-30AACDC256C5}"/>
    <cellStyle name="PSHeading 2 2 2 3 2 2 3 3" xfId="6359" xr:uid="{00000000-0005-0000-0000-0000BC000000}"/>
    <cellStyle name="PSHeading 2 2 2 3 2 2 3 3 2" xfId="57702" xr:uid="{A51F2E60-4105-49FB-B7C7-7CEA2810629B}"/>
    <cellStyle name="PSHeading 2 2 2 3 2 2 3 4" xfId="6360" xr:uid="{00000000-0005-0000-0000-0000BD000000}"/>
    <cellStyle name="PSHeading 2 2 2 3 2 2 3 4 2" xfId="6361" xr:uid="{00000000-0005-0000-0000-0000BE000000}"/>
    <cellStyle name="PSHeading 2 2 2 3 2 2 3 4 2 2" xfId="57704" xr:uid="{EF12BCEE-D07F-46BA-8B01-6FE94A8DFEDB}"/>
    <cellStyle name="PSHeading 2 2 2 3 2 2 3 4 3" xfId="57703" xr:uid="{C423BB50-928C-43B2-98A7-F0C24934CFA9}"/>
    <cellStyle name="PSHeading 2 2 2 3 2 2 3 5" xfId="57695" xr:uid="{743CE1CF-8592-4267-825E-A0CEED81C9D6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2 2 2" xfId="57708" xr:uid="{68B026EC-51A6-42E8-86EA-36A5D90291EC}"/>
    <cellStyle name="PSHeading 2 2 2 3 2 2 4 2 2 3" xfId="57707" xr:uid="{E05EBF62-B5EA-4A26-9056-332F79F87E1F}"/>
    <cellStyle name="PSHeading 2 2 2 3 2 2 4 2 3" xfId="6366" xr:uid="{00000000-0005-0000-0000-0000C3000000}"/>
    <cellStyle name="PSHeading 2 2 2 3 2 2 4 2 3 2" xfId="6367" xr:uid="{00000000-0005-0000-0000-0000C4000000}"/>
    <cellStyle name="PSHeading 2 2 2 3 2 2 4 2 3 2 2" xfId="57710" xr:uid="{6D363C82-B67C-4482-908A-5B62717304F8}"/>
    <cellStyle name="PSHeading 2 2 2 3 2 2 4 2 3 3" xfId="57709" xr:uid="{3B4BE975-013C-4C7A-91CF-3E4FE3A18AE0}"/>
    <cellStyle name="PSHeading 2 2 2 3 2 2 4 2 4" xfId="6368" xr:uid="{00000000-0005-0000-0000-0000C5000000}"/>
    <cellStyle name="PSHeading 2 2 2 3 2 2 4 2 4 2" xfId="57711" xr:uid="{0364EB87-7F8E-43C9-88A2-97DB23F06D4A}"/>
    <cellStyle name="PSHeading 2 2 2 3 2 2 4 2 5" xfId="57706" xr:uid="{34F35262-F49A-4C9B-B71D-694D201A2334}"/>
    <cellStyle name="PSHeading 2 2 2 3 2 2 4 3" xfId="6369" xr:uid="{00000000-0005-0000-0000-0000C6000000}"/>
    <cellStyle name="PSHeading 2 2 2 3 2 2 4 3 2" xfId="57712" xr:uid="{69740A7A-45EE-4F22-B51A-732AAAD26492}"/>
    <cellStyle name="PSHeading 2 2 2 3 2 2 4 4" xfId="6370" xr:uid="{00000000-0005-0000-0000-0000C7000000}"/>
    <cellStyle name="PSHeading 2 2 2 3 2 2 4 4 2" xfId="6371" xr:uid="{00000000-0005-0000-0000-0000C8000000}"/>
    <cellStyle name="PSHeading 2 2 2 3 2 2 4 4 2 2" xfId="57714" xr:uid="{EB8B74CE-E1F5-4B2F-9B12-29C2D3702C8E}"/>
    <cellStyle name="PSHeading 2 2 2 3 2 2 4 4 3" xfId="57713" xr:uid="{623FE83B-41E5-46A9-B609-CC1A2B9A06FB}"/>
    <cellStyle name="PSHeading 2 2 2 3 2 2 4 5" xfId="57705" xr:uid="{E0C561D5-40B2-4D32-A358-9278597B0CCD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2 2 2" xfId="57718" xr:uid="{ED104059-2AEA-44EC-A255-EF9C37D1EC26}"/>
    <cellStyle name="PSHeading 2 2 2 3 2 2 5 2 2 3" xfId="57717" xr:uid="{1972CC14-6AB0-4B84-A22D-8A447410B24C}"/>
    <cellStyle name="PSHeading 2 2 2 3 2 2 5 2 3" xfId="6376" xr:uid="{00000000-0005-0000-0000-0000CD000000}"/>
    <cellStyle name="PSHeading 2 2 2 3 2 2 5 2 3 2" xfId="6377" xr:uid="{00000000-0005-0000-0000-0000CE000000}"/>
    <cellStyle name="PSHeading 2 2 2 3 2 2 5 2 3 2 2" xfId="57720" xr:uid="{C1886035-C6C6-4C42-A563-3CB242CA096F}"/>
    <cellStyle name="PSHeading 2 2 2 3 2 2 5 2 3 3" xfId="57719" xr:uid="{0C13DFBA-3A64-4B50-95F9-C02C88C6C561}"/>
    <cellStyle name="PSHeading 2 2 2 3 2 2 5 2 4" xfId="6378" xr:uid="{00000000-0005-0000-0000-0000CF000000}"/>
    <cellStyle name="PSHeading 2 2 2 3 2 2 5 2 4 2" xfId="57721" xr:uid="{FEDC9940-C0A1-4949-B581-87C43D4C4518}"/>
    <cellStyle name="PSHeading 2 2 2 3 2 2 5 2 5" xfId="57716" xr:uid="{C3E56D56-A8C1-45A0-BCC4-8C9CDF7677AF}"/>
    <cellStyle name="PSHeading 2 2 2 3 2 2 5 3" xfId="6379" xr:uid="{00000000-0005-0000-0000-0000D0000000}"/>
    <cellStyle name="PSHeading 2 2 2 3 2 2 5 3 2" xfId="57722" xr:uid="{3B103E15-DDB8-4F3F-AB23-323FB2CCF6A5}"/>
    <cellStyle name="PSHeading 2 2 2 3 2 2 5 4" xfId="6380" xr:uid="{00000000-0005-0000-0000-0000D1000000}"/>
    <cellStyle name="PSHeading 2 2 2 3 2 2 5 4 2" xfId="6381" xr:uid="{00000000-0005-0000-0000-0000D2000000}"/>
    <cellStyle name="PSHeading 2 2 2 3 2 2 5 4 2 2" xfId="57724" xr:uid="{27785A16-AE49-4895-B685-B53CBAAEEFF9}"/>
    <cellStyle name="PSHeading 2 2 2 3 2 2 5 4 3" xfId="57723" xr:uid="{02039DDA-1AAF-4BE5-89B6-3F5A8ADB3108}"/>
    <cellStyle name="PSHeading 2 2 2 3 2 2 5 5" xfId="57715" xr:uid="{8E816FBF-1EA1-426F-80C0-692482E9BE98}"/>
    <cellStyle name="PSHeading 2 2 2 3 2 2 6" xfId="6382" xr:uid="{00000000-0005-0000-0000-0000D3000000}"/>
    <cellStyle name="PSHeading 2 2 2 3 2 2 6 2" xfId="57725" xr:uid="{1820C9D4-DAA9-43D5-A83E-C890714148E4}"/>
    <cellStyle name="PSHeading 2 2 2 3 2 2 7" xfId="57681" xr:uid="{EA78F654-85FE-451B-8222-60D82CAF6307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2 2 2" xfId="57729" xr:uid="{E563CACB-BCD7-4BA9-9338-124D90884065}"/>
    <cellStyle name="PSHeading 2 2 2 3 2 3 2 2 3" xfId="57728" xr:uid="{95F4B697-4981-4AD1-8AD7-AF1A330A8931}"/>
    <cellStyle name="PSHeading 2 2 2 3 2 3 2 3" xfId="6387" xr:uid="{00000000-0005-0000-0000-0000D8000000}"/>
    <cellStyle name="PSHeading 2 2 2 3 2 3 2 3 2" xfId="6388" xr:uid="{00000000-0005-0000-0000-0000D9000000}"/>
    <cellStyle name="PSHeading 2 2 2 3 2 3 2 3 2 2" xfId="57731" xr:uid="{4B2279BB-D2F3-4ACF-AEE7-CFF9FD29D386}"/>
    <cellStyle name="PSHeading 2 2 2 3 2 3 2 3 3" xfId="57730" xr:uid="{E7B18AD9-9ECA-4C73-9F61-4834227EB222}"/>
    <cellStyle name="PSHeading 2 2 2 3 2 3 2 4" xfId="6389" xr:uid="{00000000-0005-0000-0000-0000DA000000}"/>
    <cellStyle name="PSHeading 2 2 2 3 2 3 2 4 2" xfId="57732" xr:uid="{D2B47B6D-28D1-47ED-AA78-6B1BDEB3B1C0}"/>
    <cellStyle name="PSHeading 2 2 2 3 2 3 2 5" xfId="57727" xr:uid="{417E6F18-CAD9-4C63-9E47-0282A7797667}"/>
    <cellStyle name="PSHeading 2 2 2 3 2 3 3" xfId="6390" xr:uid="{00000000-0005-0000-0000-0000DB000000}"/>
    <cellStyle name="PSHeading 2 2 2 3 2 3 3 2" xfId="57733" xr:uid="{9B90AB15-6E31-4382-8784-C8CBC0ACA367}"/>
    <cellStyle name="PSHeading 2 2 2 3 2 3 4" xfId="6391" xr:uid="{00000000-0005-0000-0000-0000DC000000}"/>
    <cellStyle name="PSHeading 2 2 2 3 2 3 4 2" xfId="6392" xr:uid="{00000000-0005-0000-0000-0000DD000000}"/>
    <cellStyle name="PSHeading 2 2 2 3 2 3 4 2 2" xfId="57735" xr:uid="{E9FAADA2-D1E1-4D32-923C-4D6240E8839C}"/>
    <cellStyle name="PSHeading 2 2 2 3 2 3 4 3" xfId="57734" xr:uid="{90E92F5F-D470-4E7B-AF07-3F15DB89A8DD}"/>
    <cellStyle name="PSHeading 2 2 2 3 2 3 5" xfId="57726" xr:uid="{4A0267A1-146F-4378-BEC8-BCFFA0CB0EDC}"/>
    <cellStyle name="PSHeading 2 2 2 3 2 4" xfId="6393" xr:uid="{00000000-0005-0000-0000-0000DE000000}"/>
    <cellStyle name="PSHeading 2 2 2 3 2 4 2" xfId="6394" xr:uid="{00000000-0005-0000-0000-0000DF000000}"/>
    <cellStyle name="PSHeading 2 2 2 3 2 4 2 2" xfId="57737" xr:uid="{A9CFE6F0-C829-43D5-84E6-641EF90A1161}"/>
    <cellStyle name="PSHeading 2 2 2 3 2 4 3" xfId="57736" xr:uid="{A60730D3-66E0-43E3-AA60-0B09849A36A1}"/>
    <cellStyle name="PSHeading 2 2 2 3 2 5" xfId="57680" xr:uid="{23FEE9A2-8D32-447C-AA45-FD4FEFA8EE9E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2 2 2" xfId="57741" xr:uid="{72D45CB3-F809-4D50-AB55-C89F1849D6B6}"/>
    <cellStyle name="PSHeading 2 2 2 3 3 2 2 3" xfId="57740" xr:uid="{883FA568-0F1D-451D-AEF5-05552032B712}"/>
    <cellStyle name="PSHeading 2 2 2 3 3 2 3" xfId="6399" xr:uid="{00000000-0005-0000-0000-0000E4000000}"/>
    <cellStyle name="PSHeading 2 2 2 3 3 2 3 2" xfId="6400" xr:uid="{00000000-0005-0000-0000-0000E5000000}"/>
    <cellStyle name="PSHeading 2 2 2 3 3 2 3 2 2" xfId="57743" xr:uid="{7B417B45-9289-45EF-A43F-00A74DB858FC}"/>
    <cellStyle name="PSHeading 2 2 2 3 3 2 3 3" xfId="57742" xr:uid="{6CD8B4FC-0CBC-4BBD-A430-0FF0242CD1A7}"/>
    <cellStyle name="PSHeading 2 2 2 3 3 2 4" xfId="6401" xr:uid="{00000000-0005-0000-0000-0000E6000000}"/>
    <cellStyle name="PSHeading 2 2 2 3 3 2 4 2" xfId="57744" xr:uid="{B3626385-721A-48BA-95B2-45ECE350B197}"/>
    <cellStyle name="PSHeading 2 2 2 3 3 2 5" xfId="57739" xr:uid="{8A1C627D-DCFA-4FFB-A7CB-FB2E33CB8F4D}"/>
    <cellStyle name="PSHeading 2 2 2 3 3 3" xfId="6402" xr:uid="{00000000-0005-0000-0000-0000E7000000}"/>
    <cellStyle name="PSHeading 2 2 2 3 3 3 2" xfId="57745" xr:uid="{CC768EC6-E4AC-4CD0-950F-0F7AA647D8FF}"/>
    <cellStyle name="PSHeading 2 2 2 3 3 4" xfId="6403" xr:uid="{00000000-0005-0000-0000-0000E8000000}"/>
    <cellStyle name="PSHeading 2 2 2 3 3 4 2" xfId="6404" xr:uid="{00000000-0005-0000-0000-0000E9000000}"/>
    <cellStyle name="PSHeading 2 2 2 3 3 4 2 2" xfId="57747" xr:uid="{AAB41622-481A-424F-8744-153D991F7EF2}"/>
    <cellStyle name="PSHeading 2 2 2 3 3 4 3" xfId="57746" xr:uid="{F73D0FB9-E56F-4499-BF91-E87334CBF475}"/>
    <cellStyle name="PSHeading 2 2 2 3 3 5" xfId="57738" xr:uid="{0B45C15D-1232-4415-A28D-CD5170A9DC57}"/>
    <cellStyle name="PSHeading 2 2 2 3 4" xfId="6405" xr:uid="{00000000-0005-0000-0000-0000EA000000}"/>
    <cellStyle name="PSHeading 2 2 2 3 4 2" xfId="6406" xr:uid="{00000000-0005-0000-0000-0000EB000000}"/>
    <cellStyle name="PSHeading 2 2 2 3 4 2 2" xfId="57749" xr:uid="{A32D8BC9-E11C-4180-92C6-BD473869F663}"/>
    <cellStyle name="PSHeading 2 2 2 3 4 3" xfId="57748" xr:uid="{C39FC295-7567-4E79-8D96-10FEC0BC881C}"/>
    <cellStyle name="PSHeading 2 2 2 3 5" xfId="57679" xr:uid="{2E155EDC-5DC4-48F0-AF90-39A1422AE0EF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2 2 2" xfId="57753" xr:uid="{47882BD7-6FD7-41AB-99FA-BCE83313A149}"/>
    <cellStyle name="PSHeading 2 2 2 4 2 2 3" xfId="57752" xr:uid="{DF098FEE-D04C-42AF-A412-7C871D245A54}"/>
    <cellStyle name="PSHeading 2 2 2 4 2 3" xfId="6411" xr:uid="{00000000-0005-0000-0000-0000F0000000}"/>
    <cellStyle name="PSHeading 2 2 2 4 2 3 2" xfId="6412" xr:uid="{00000000-0005-0000-0000-0000F1000000}"/>
    <cellStyle name="PSHeading 2 2 2 4 2 3 2 2" xfId="57755" xr:uid="{A9AAF794-9914-487F-B64E-AB5D0EF63320}"/>
    <cellStyle name="PSHeading 2 2 2 4 2 3 3" xfId="57754" xr:uid="{23C5C530-4557-4B9C-81A1-1E6A87CB499A}"/>
    <cellStyle name="PSHeading 2 2 2 4 2 4" xfId="6413" xr:uid="{00000000-0005-0000-0000-0000F2000000}"/>
    <cellStyle name="PSHeading 2 2 2 4 2 4 2" xfId="57756" xr:uid="{9A28C8C5-22FD-4CC5-8E91-611A75853B83}"/>
    <cellStyle name="PSHeading 2 2 2 4 2 5" xfId="57751" xr:uid="{5EE31F69-518F-46FD-8E24-D1E92CA4AB81}"/>
    <cellStyle name="PSHeading 2 2 2 4 3" xfId="6414" xr:uid="{00000000-0005-0000-0000-0000F3000000}"/>
    <cellStyle name="PSHeading 2 2 2 4 3 2" xfId="57757" xr:uid="{E42EE0D1-D736-4BD6-9F50-DEF1A4A9673F}"/>
    <cellStyle name="PSHeading 2 2 2 4 4" xfId="6415" xr:uid="{00000000-0005-0000-0000-0000F4000000}"/>
    <cellStyle name="PSHeading 2 2 2 4 4 2" xfId="6416" xr:uid="{00000000-0005-0000-0000-0000F5000000}"/>
    <cellStyle name="PSHeading 2 2 2 4 4 2 2" xfId="57759" xr:uid="{313E3565-F5C6-4A1A-BE08-D53A65A0CF0E}"/>
    <cellStyle name="PSHeading 2 2 2 4 4 3" xfId="57758" xr:uid="{CD39E5AA-1169-41B0-81B1-5B57FED45991}"/>
    <cellStyle name="PSHeading 2 2 2 4 5" xfId="57750" xr:uid="{E2B95042-3B7F-429C-BE07-ED655DC2CFDD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2 2 2" xfId="57763" xr:uid="{761A0EC2-0909-48E9-B3B4-F3C494A65559}"/>
    <cellStyle name="PSHeading 2 2 2 5 2 2 3" xfId="57762" xr:uid="{13102566-B3FA-47B2-973F-FC24F7F6C6EB}"/>
    <cellStyle name="PSHeading 2 2 2 5 2 3" xfId="6421" xr:uid="{00000000-0005-0000-0000-0000FA000000}"/>
    <cellStyle name="PSHeading 2 2 2 5 2 3 2" xfId="6422" xr:uid="{00000000-0005-0000-0000-0000FB000000}"/>
    <cellStyle name="PSHeading 2 2 2 5 2 3 2 2" xfId="57765" xr:uid="{EFA4994D-07C5-47FD-9788-88FECCC34E29}"/>
    <cellStyle name="PSHeading 2 2 2 5 2 3 3" xfId="57764" xr:uid="{E0677DB9-ED4E-4C48-8D80-E35DE79E472B}"/>
    <cellStyle name="PSHeading 2 2 2 5 2 4" xfId="6423" xr:uid="{00000000-0005-0000-0000-0000FC000000}"/>
    <cellStyle name="PSHeading 2 2 2 5 2 4 2" xfId="57766" xr:uid="{8770341B-2EBC-4BFC-AFAE-51ECDD9F6BDE}"/>
    <cellStyle name="PSHeading 2 2 2 5 2 5" xfId="57761" xr:uid="{01E4B134-D880-4C44-9811-4853C5EAA79F}"/>
    <cellStyle name="PSHeading 2 2 2 5 3" xfId="6424" xr:uid="{00000000-0005-0000-0000-0000FD000000}"/>
    <cellStyle name="PSHeading 2 2 2 5 3 2" xfId="57767" xr:uid="{B72E43E9-3E38-40D1-ACE3-5456A4E22AFE}"/>
    <cellStyle name="PSHeading 2 2 2 5 4" xfId="6425" xr:uid="{00000000-0005-0000-0000-0000FE000000}"/>
    <cellStyle name="PSHeading 2 2 2 5 4 2" xfId="6426" xr:uid="{00000000-0005-0000-0000-0000FF000000}"/>
    <cellStyle name="PSHeading 2 2 2 5 4 2 2" xfId="57769" xr:uid="{A89D0D6A-A9AB-4284-ADC0-0768ADF4CB33}"/>
    <cellStyle name="PSHeading 2 2 2 5 4 3" xfId="57768" xr:uid="{4ED5C265-B3B4-4A7B-AB95-9076F25D8CBE}"/>
    <cellStyle name="PSHeading 2 2 2 5 5" xfId="57760" xr:uid="{1931276A-687F-443E-9A7A-89BE9A2AE315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2 2 2" xfId="57773" xr:uid="{6F2E1F60-F270-4693-89DD-0ED4D145F87A}"/>
    <cellStyle name="PSHeading 2 2 2 6 2 2 3" xfId="57772" xr:uid="{37A4A911-C3E8-444D-A116-355F907012E6}"/>
    <cellStyle name="PSHeading 2 2 2 6 2 3" xfId="6431" xr:uid="{00000000-0005-0000-0000-000004010000}"/>
    <cellStyle name="PSHeading 2 2 2 6 2 3 2" xfId="6432" xr:uid="{00000000-0005-0000-0000-000005010000}"/>
    <cellStyle name="PSHeading 2 2 2 6 2 3 2 2" xfId="57775" xr:uid="{9CA6CF7E-8F3E-406D-B3C7-FADBC5E35383}"/>
    <cellStyle name="PSHeading 2 2 2 6 2 3 3" xfId="57774" xr:uid="{9BD099E9-E8E6-477B-BE76-4B3067C9AA6D}"/>
    <cellStyle name="PSHeading 2 2 2 6 2 4" xfId="6433" xr:uid="{00000000-0005-0000-0000-000006010000}"/>
    <cellStyle name="PSHeading 2 2 2 6 2 4 2" xfId="57776" xr:uid="{CF1FC12D-FD9F-417B-B98E-224C3623A3AD}"/>
    <cellStyle name="PSHeading 2 2 2 6 2 5" xfId="57771" xr:uid="{6D123F5C-2EEA-4024-B229-975416AAF789}"/>
    <cellStyle name="PSHeading 2 2 2 6 3" xfId="6434" xr:uid="{00000000-0005-0000-0000-000007010000}"/>
    <cellStyle name="PSHeading 2 2 2 6 3 2" xfId="57777" xr:uid="{01D043F9-2833-4AE1-8DCA-EC2CDF7E1512}"/>
    <cellStyle name="PSHeading 2 2 2 6 4" xfId="6435" xr:uid="{00000000-0005-0000-0000-000008010000}"/>
    <cellStyle name="PSHeading 2 2 2 6 4 2" xfId="6436" xr:uid="{00000000-0005-0000-0000-000009010000}"/>
    <cellStyle name="PSHeading 2 2 2 6 4 2 2" xfId="57779" xr:uid="{78C92E72-7115-4ADA-AB41-EE5E21EFC354}"/>
    <cellStyle name="PSHeading 2 2 2 6 4 3" xfId="57778" xr:uid="{A4F5B10F-8E99-4BFE-BB33-54181E71199C}"/>
    <cellStyle name="PSHeading 2 2 2 6 5" xfId="57770" xr:uid="{9EE0E566-DAAE-4DBB-AAB7-462D72F3DCAF}"/>
    <cellStyle name="PSHeading 2 2 2 7" xfId="6437" xr:uid="{00000000-0005-0000-0000-00000A010000}"/>
    <cellStyle name="PSHeading 2 2 2 7 2" xfId="57780" xr:uid="{0C0299A3-1E9C-49A1-8128-2B0BC1703571}"/>
    <cellStyle name="PSHeading 2 2 2 8" xfId="57645" xr:uid="{027430AE-C33E-4DEF-B580-A7ED6AD18884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2 2 2" xfId="57784" xr:uid="{D209AE84-1740-4782-835C-CA0F3E8637A2}"/>
    <cellStyle name="PSHeading 2 2 3 2 2 3" xfId="57783" xr:uid="{B62714E7-1747-4B3A-BF92-9957C9338E8D}"/>
    <cellStyle name="PSHeading 2 2 3 2 3" xfId="6442" xr:uid="{00000000-0005-0000-0000-00000F010000}"/>
    <cellStyle name="PSHeading 2 2 3 2 3 2" xfId="6443" xr:uid="{00000000-0005-0000-0000-000010010000}"/>
    <cellStyle name="PSHeading 2 2 3 2 3 2 2" xfId="57786" xr:uid="{2A5D4EBE-C530-4964-994C-C1FFBF29F620}"/>
    <cellStyle name="PSHeading 2 2 3 2 3 3" xfId="57785" xr:uid="{1A0EAAC5-E479-4B96-9A1C-807FCB65A66C}"/>
    <cellStyle name="PSHeading 2 2 3 2 4" xfId="6444" xr:uid="{00000000-0005-0000-0000-000011010000}"/>
    <cellStyle name="PSHeading 2 2 3 2 4 2" xfId="57787" xr:uid="{90405E74-48F7-45E7-A698-7BC745C4490E}"/>
    <cellStyle name="PSHeading 2 2 3 2 5" xfId="57782" xr:uid="{AF3D87CC-56EF-42C4-BA5E-9DCB4FBF3DA5}"/>
    <cellStyle name="PSHeading 2 2 3 3" xfId="6445" xr:uid="{00000000-0005-0000-0000-000012010000}"/>
    <cellStyle name="PSHeading 2 2 3 3 2" xfId="57788" xr:uid="{D91531EA-CD65-4D72-BB66-B1CC962D1CCF}"/>
    <cellStyle name="PSHeading 2 2 3 4" xfId="6446" xr:uid="{00000000-0005-0000-0000-000013010000}"/>
    <cellStyle name="PSHeading 2 2 3 4 2" xfId="6447" xr:uid="{00000000-0005-0000-0000-000014010000}"/>
    <cellStyle name="PSHeading 2 2 3 4 2 2" xfId="57790" xr:uid="{D7847773-4DD5-49E0-B380-6777026E5DB2}"/>
    <cellStyle name="PSHeading 2 2 3 4 3" xfId="57789" xr:uid="{F18B7955-695E-43BA-AC5C-63E424230CF6}"/>
    <cellStyle name="PSHeading 2 2 3 5" xfId="57781" xr:uid="{5EF17248-6F0D-40CB-85A2-55938555180B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2 2 2" xfId="57794" xr:uid="{8C56D580-0CEC-4AEC-84E9-F943F4437636}"/>
    <cellStyle name="PSHeading 2 2 4 2 2 3" xfId="57793" xr:uid="{047E3B44-51F7-4004-80AA-91BDA943C4D6}"/>
    <cellStyle name="PSHeading 2 2 4 2 3" xfId="6452" xr:uid="{00000000-0005-0000-0000-000019010000}"/>
    <cellStyle name="PSHeading 2 2 4 2 3 2" xfId="6453" xr:uid="{00000000-0005-0000-0000-00001A010000}"/>
    <cellStyle name="PSHeading 2 2 4 2 3 2 2" xfId="57796" xr:uid="{F15F2667-49BF-45D8-B484-76C9A5370DF0}"/>
    <cellStyle name="PSHeading 2 2 4 2 3 3" xfId="57795" xr:uid="{D5329650-AD9A-495C-B02C-F48A59612E43}"/>
    <cellStyle name="PSHeading 2 2 4 2 4" xfId="6454" xr:uid="{00000000-0005-0000-0000-00001B010000}"/>
    <cellStyle name="PSHeading 2 2 4 2 4 2" xfId="57797" xr:uid="{442B98C3-C925-4BD8-9890-D4934FD4E221}"/>
    <cellStyle name="PSHeading 2 2 4 2 5" xfId="57792" xr:uid="{006CE30E-A6EA-4FB2-8A60-CEE777468EFC}"/>
    <cellStyle name="PSHeading 2 2 4 3" xfId="6455" xr:uid="{00000000-0005-0000-0000-00001C010000}"/>
    <cellStyle name="PSHeading 2 2 4 3 2" xfId="57798" xr:uid="{C093DCC8-E75A-4C04-8831-A0ED14EEB261}"/>
    <cellStyle name="PSHeading 2 2 4 4" xfId="6456" xr:uid="{00000000-0005-0000-0000-00001D010000}"/>
    <cellStyle name="PSHeading 2 2 4 4 2" xfId="6457" xr:uid="{00000000-0005-0000-0000-00001E010000}"/>
    <cellStyle name="PSHeading 2 2 4 4 2 2" xfId="57800" xr:uid="{BC485BE7-4F00-4FE7-9B64-F9F2D932CC19}"/>
    <cellStyle name="PSHeading 2 2 4 4 3" xfId="57799" xr:uid="{8DE5DF1F-08F1-43E6-B3C4-D0FA003EC0AD}"/>
    <cellStyle name="PSHeading 2 2 4 5" xfId="57791" xr:uid="{9E58CCC0-540E-42E9-ADF1-B964AAFC7868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2 2 2" xfId="57804" xr:uid="{2039C355-847F-45A7-9B2D-E9D3019BA5E8}"/>
    <cellStyle name="PSHeading 2 2 5 2 2 3" xfId="57803" xr:uid="{6F201676-7D3F-4AF7-8583-5B2E0A97C691}"/>
    <cellStyle name="PSHeading 2 2 5 2 3" xfId="6462" xr:uid="{00000000-0005-0000-0000-000023010000}"/>
    <cellStyle name="PSHeading 2 2 5 2 3 2" xfId="6463" xr:uid="{00000000-0005-0000-0000-000024010000}"/>
    <cellStyle name="PSHeading 2 2 5 2 3 2 2" xfId="57806" xr:uid="{B1CD6123-5F18-41D0-AB90-CD0F0A5C5979}"/>
    <cellStyle name="PSHeading 2 2 5 2 3 3" xfId="57805" xr:uid="{EA5D0E2A-3B55-4C90-9EB5-1637E60D5231}"/>
    <cellStyle name="PSHeading 2 2 5 2 4" xfId="6464" xr:uid="{00000000-0005-0000-0000-000025010000}"/>
    <cellStyle name="PSHeading 2 2 5 2 4 2" xfId="57807" xr:uid="{B59873D6-C6D4-428C-A0BB-51E43FD981C4}"/>
    <cellStyle name="PSHeading 2 2 5 2 5" xfId="57802" xr:uid="{888AC5CA-CB2C-4845-9FC3-513AE6A37947}"/>
    <cellStyle name="PSHeading 2 2 5 3" xfId="6465" xr:uid="{00000000-0005-0000-0000-000026010000}"/>
    <cellStyle name="PSHeading 2 2 5 3 2" xfId="57808" xr:uid="{43DC51F4-E0AF-49F4-9C1F-56C2276F6FB3}"/>
    <cellStyle name="PSHeading 2 2 5 4" xfId="6466" xr:uid="{00000000-0005-0000-0000-000027010000}"/>
    <cellStyle name="PSHeading 2 2 5 4 2" xfId="6467" xr:uid="{00000000-0005-0000-0000-000028010000}"/>
    <cellStyle name="PSHeading 2 2 5 4 2 2" xfId="57810" xr:uid="{AE64B5A9-C1F2-4AB3-A54A-E480EDD25A84}"/>
    <cellStyle name="PSHeading 2 2 5 4 3" xfId="57809" xr:uid="{572880B6-C9A9-4FD9-8906-9EF7783DB7A9}"/>
    <cellStyle name="PSHeading 2 2 5 5" xfId="57801" xr:uid="{D60A0A89-21F9-43E8-B6E1-1448C64B05AD}"/>
    <cellStyle name="PSHeading 2 2 6" xfId="6468" xr:uid="{00000000-0005-0000-0000-000029010000}"/>
    <cellStyle name="PSHeading 2 2 6 2" xfId="57811" xr:uid="{6DCE3414-4375-47BE-8685-7D37A30BC8D9}"/>
    <cellStyle name="PSHeading 2 2 7" xfId="57634" xr:uid="{06F8712A-71DA-49F4-8286-C0EFA00E0F2B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2 2 2" xfId="57816" xr:uid="{52606004-18A3-41E4-8894-073A196299DD}"/>
    <cellStyle name="PSHeading 2 3 2 2 2 3" xfId="57815" xr:uid="{D17D2E4F-0E89-44F8-9F72-B0AB493D0B49}"/>
    <cellStyle name="PSHeading 2 3 2 2 3" xfId="6474" xr:uid="{00000000-0005-0000-0000-00002F010000}"/>
    <cellStyle name="PSHeading 2 3 2 2 3 2" xfId="6475" xr:uid="{00000000-0005-0000-0000-000030010000}"/>
    <cellStyle name="PSHeading 2 3 2 2 3 2 2" xfId="57818" xr:uid="{17E1CDF4-5171-4155-9B1F-291B27D54F01}"/>
    <cellStyle name="PSHeading 2 3 2 2 3 3" xfId="57817" xr:uid="{6A7EE08F-20AD-4AF7-A23D-488AD8D478AD}"/>
    <cellStyle name="PSHeading 2 3 2 2 4" xfId="6476" xr:uid="{00000000-0005-0000-0000-000031010000}"/>
    <cellStyle name="PSHeading 2 3 2 2 4 2" xfId="57819" xr:uid="{B9D229AF-A60D-448E-971D-34E8A0AF9AD3}"/>
    <cellStyle name="PSHeading 2 3 2 2 5" xfId="57814" xr:uid="{DBFE96D7-20F8-4018-9772-617209244E9C}"/>
    <cellStyle name="PSHeading 2 3 2 3" xfId="6477" xr:uid="{00000000-0005-0000-0000-000032010000}"/>
    <cellStyle name="PSHeading 2 3 2 3 2" xfId="57820" xr:uid="{D33A8577-FF12-41FC-9633-1AC86766DC27}"/>
    <cellStyle name="PSHeading 2 3 2 4" xfId="6478" xr:uid="{00000000-0005-0000-0000-000033010000}"/>
    <cellStyle name="PSHeading 2 3 2 4 2" xfId="6479" xr:uid="{00000000-0005-0000-0000-000034010000}"/>
    <cellStyle name="PSHeading 2 3 2 4 2 2" xfId="57822" xr:uid="{499E4083-5D66-4973-B01E-5D1E4C92B874}"/>
    <cellStyle name="PSHeading 2 3 2 4 3" xfId="57821" xr:uid="{8F081E70-0C68-4DAA-9A62-5EA557D0F7DE}"/>
    <cellStyle name="PSHeading 2 3 2 5" xfId="57813" xr:uid="{79625ECA-3FDF-4022-9AC8-30A1A174053F}"/>
    <cellStyle name="PSHeading 2 3 3" xfId="6480" xr:uid="{00000000-0005-0000-0000-000035010000}"/>
    <cellStyle name="PSHeading 2 3 3 2" xfId="6481" xr:uid="{00000000-0005-0000-0000-000036010000}"/>
    <cellStyle name="PSHeading 2 3 3 2 2" xfId="57824" xr:uid="{B0DEEC8D-5ADD-490C-8277-F37F073F6024}"/>
    <cellStyle name="PSHeading 2 3 3 3" xfId="57823" xr:uid="{022C2DBB-8EBE-40AE-B7E9-9DA4E62BFDB5}"/>
    <cellStyle name="PSHeading 2 3 4" xfId="57812" xr:uid="{D1D37A0D-E626-403F-9034-49BD3E216B7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2 2 2" xfId="57828" xr:uid="{D83E8C06-BCFD-4920-BDE6-57D17E00B41A}"/>
    <cellStyle name="PSHeading 2 4 2 2 3" xfId="57827" xr:uid="{7671D65A-3ACB-4771-826C-E7D7E2D940B2}"/>
    <cellStyle name="PSHeading 2 4 2 3" xfId="6486" xr:uid="{00000000-0005-0000-0000-00003B010000}"/>
    <cellStyle name="PSHeading 2 4 2 3 2" xfId="6487" xr:uid="{00000000-0005-0000-0000-00003C010000}"/>
    <cellStyle name="PSHeading 2 4 2 3 2 2" xfId="57830" xr:uid="{30659B5A-B7BB-431D-A924-745D0099E42A}"/>
    <cellStyle name="PSHeading 2 4 2 3 3" xfId="57829" xr:uid="{F7314FE6-02F9-41BC-9BED-7896EA527C06}"/>
    <cellStyle name="PSHeading 2 4 2 4" xfId="6488" xr:uid="{00000000-0005-0000-0000-00003D010000}"/>
    <cellStyle name="PSHeading 2 4 2 4 2" xfId="57831" xr:uid="{07860ECE-4E70-471A-8451-9BC7670D14E3}"/>
    <cellStyle name="PSHeading 2 4 2 5" xfId="57826" xr:uid="{FFE4251F-FB72-4CD9-B3BF-B34085A3300E}"/>
    <cellStyle name="PSHeading 2 4 3" xfId="6489" xr:uid="{00000000-0005-0000-0000-00003E010000}"/>
    <cellStyle name="PSHeading 2 4 3 2" xfId="57832" xr:uid="{4B0B90F6-59C6-4A52-BE6D-F10BCC7E8B26}"/>
    <cellStyle name="PSHeading 2 4 4" xfId="6490" xr:uid="{00000000-0005-0000-0000-00003F010000}"/>
    <cellStyle name="PSHeading 2 4 4 2" xfId="6491" xr:uid="{00000000-0005-0000-0000-000040010000}"/>
    <cellStyle name="PSHeading 2 4 4 2 2" xfId="57834" xr:uid="{8C451681-F984-4036-AD90-4705999C28F0}"/>
    <cellStyle name="PSHeading 2 4 4 3" xfId="57833" xr:uid="{696AD457-A0D3-403A-88F6-496EA3C4F13A}"/>
    <cellStyle name="PSHeading 2 4 5" xfId="57825" xr:uid="{CF944F65-785C-4B54-B342-44FE22E7AB2B}"/>
    <cellStyle name="PSHeading 2 5" xfId="58467" xr:uid="{CB027C2C-F71D-49D2-8F9A-DC6D3062116F}"/>
    <cellStyle name="PSHeading 2 6" xfId="57630" xr:uid="{D316CDA4-9F6F-48A3-A1BD-13DBCFB213EF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2 2 2" xfId="57838" xr:uid="{0E842331-FC14-4BDD-A4FC-D736992BC5EE}"/>
    <cellStyle name="PSHeading 3 2 2 3" xfId="57837" xr:uid="{5EE5CF24-A80D-419A-9111-A62F7B52BEBD}"/>
    <cellStyle name="PSHeading 3 2 3" xfId="6496" xr:uid="{00000000-0005-0000-0000-000045010000}"/>
    <cellStyle name="PSHeading 3 2 3 2" xfId="6497" xr:uid="{00000000-0005-0000-0000-000046010000}"/>
    <cellStyle name="PSHeading 3 2 3 2 2" xfId="57840" xr:uid="{16365737-9A54-4A67-8B2B-14C91C13EA86}"/>
    <cellStyle name="PSHeading 3 2 3 3" xfId="57839" xr:uid="{3DE473A3-8371-4F22-897F-97EEACF4DF08}"/>
    <cellStyle name="PSHeading 3 2 4" xfId="6498" xr:uid="{00000000-0005-0000-0000-000047010000}"/>
    <cellStyle name="PSHeading 3 2 4 2" xfId="57841" xr:uid="{E6B656D7-13EC-4D86-972C-AEE285214061}"/>
    <cellStyle name="PSHeading 3 2 5" xfId="57836" xr:uid="{B2EA7BAD-49F9-4E85-B860-68AB03DDA055}"/>
    <cellStyle name="PSHeading 3 3" xfId="6499" xr:uid="{00000000-0005-0000-0000-000048010000}"/>
    <cellStyle name="PSHeading 3 3 2" xfId="57842" xr:uid="{D352285A-025E-4668-B9CF-2AF5D096FAA6}"/>
    <cellStyle name="PSHeading 3 4" xfId="6500" xr:uid="{00000000-0005-0000-0000-000049010000}"/>
    <cellStyle name="PSHeading 3 4 2" xfId="6501" xr:uid="{00000000-0005-0000-0000-00004A010000}"/>
    <cellStyle name="PSHeading 3 4 2 2" xfId="57844" xr:uid="{367E2E54-990A-42E3-8BF1-8E4FE897A9A6}"/>
    <cellStyle name="PSHeading 3 4 3" xfId="57843" xr:uid="{DC3A2B51-1091-40C1-A421-334B8EF9367D}"/>
    <cellStyle name="PSHeading 3 5" xfId="57835" xr:uid="{3A10E52B-05C6-4717-AC27-60F44339F5DC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2 2 2" xfId="57848" xr:uid="{EF256B11-A1DE-4D54-9549-1501723C66FF}"/>
    <cellStyle name="PSHeading 4 2 2 3" xfId="57847" xr:uid="{37269AC8-61F0-46D5-995D-51C50770227F}"/>
    <cellStyle name="PSHeading 4 2 3" xfId="6506" xr:uid="{00000000-0005-0000-0000-00004F010000}"/>
    <cellStyle name="PSHeading 4 2 3 2" xfId="6507" xr:uid="{00000000-0005-0000-0000-000050010000}"/>
    <cellStyle name="PSHeading 4 2 3 2 2" xfId="57850" xr:uid="{B7585501-1C5E-4A54-81FD-92267B258EF9}"/>
    <cellStyle name="PSHeading 4 2 3 3" xfId="57849" xr:uid="{ACA33BFA-B9FA-4C50-A0C7-FB1F761F743F}"/>
    <cellStyle name="PSHeading 4 2 4" xfId="6508" xr:uid="{00000000-0005-0000-0000-000051010000}"/>
    <cellStyle name="PSHeading 4 2 4 2" xfId="57851" xr:uid="{67BE33FA-68F9-4B3A-A43C-29D7DAA51FDF}"/>
    <cellStyle name="PSHeading 4 2 5" xfId="57846" xr:uid="{0DBE1927-EC75-4818-A48E-D775643914FB}"/>
    <cellStyle name="PSHeading 4 3" xfId="6509" xr:uid="{00000000-0005-0000-0000-000052010000}"/>
    <cellStyle name="PSHeading 4 3 2" xfId="57852" xr:uid="{5920610E-5762-4286-919F-E2C1DABD0B12}"/>
    <cellStyle name="PSHeading 4 4" xfId="6510" xr:uid="{00000000-0005-0000-0000-000053010000}"/>
    <cellStyle name="PSHeading 4 4 2" xfId="6511" xr:uid="{00000000-0005-0000-0000-000054010000}"/>
    <cellStyle name="PSHeading 4 4 2 2" xfId="57854" xr:uid="{466EC7C8-92AC-4110-816D-926A62E317B5}"/>
    <cellStyle name="PSHeading 4 4 3" xfId="57853" xr:uid="{9F4EEE58-4A16-4E4F-85B5-97A5102881BE}"/>
    <cellStyle name="PSHeading 4 5" xfId="57845" xr:uid="{B23C57E7-8E01-4876-8E1C-8A03AD3686BE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2 2 2" xfId="57858" xr:uid="{220D0CCF-8E5F-4B44-8253-AB0739B729C3}"/>
    <cellStyle name="PSHeading 5 2 2 3" xfId="57857" xr:uid="{7B0A318A-99CA-491D-A928-EA314453B60C}"/>
    <cellStyle name="PSHeading 5 2 3" xfId="6516" xr:uid="{00000000-0005-0000-0000-000059010000}"/>
    <cellStyle name="PSHeading 5 2 3 2" xfId="6517" xr:uid="{00000000-0005-0000-0000-00005A010000}"/>
    <cellStyle name="PSHeading 5 2 3 2 2" xfId="57860" xr:uid="{EBAE3490-4B6B-404F-AB61-EF9D244EBEF1}"/>
    <cellStyle name="PSHeading 5 2 3 3" xfId="57859" xr:uid="{B6F2A4F4-22B1-4B62-8BA0-326AD9E0C6C2}"/>
    <cellStyle name="PSHeading 5 2 4" xfId="6518" xr:uid="{00000000-0005-0000-0000-00005B010000}"/>
    <cellStyle name="PSHeading 5 2 4 2" xfId="57861" xr:uid="{BD9B4A14-1F7F-4C97-8367-2DA3608C147D}"/>
    <cellStyle name="PSHeading 5 2 5" xfId="57856" xr:uid="{050FC511-460B-460A-BF31-1A658792390F}"/>
    <cellStyle name="PSHeading 5 3" xfId="6519" xr:uid="{00000000-0005-0000-0000-00005C010000}"/>
    <cellStyle name="PSHeading 5 3 2" xfId="57862" xr:uid="{C2F8EA73-5037-48CB-B228-564F6BE33716}"/>
    <cellStyle name="PSHeading 5 4" xfId="6520" xr:uid="{00000000-0005-0000-0000-00005D010000}"/>
    <cellStyle name="PSHeading 5 4 2" xfId="6521" xr:uid="{00000000-0005-0000-0000-00005E010000}"/>
    <cellStyle name="PSHeading 5 4 2 2" xfId="57864" xr:uid="{4235A7CD-6372-4453-82E6-9D3DF1E651B9}"/>
    <cellStyle name="PSHeading 5 4 3" xfId="57863" xr:uid="{4D4DBDC3-F1E1-4FEC-BD42-11A9B4A71831}"/>
    <cellStyle name="PSHeading 5 5" xfId="57855" xr:uid="{3195D1C4-DD95-45DC-B29A-DB1AEFD4FA68}"/>
    <cellStyle name="PSHeading 6" xfId="6522" xr:uid="{00000000-0005-0000-0000-00005F010000}"/>
    <cellStyle name="PSHeading 6 2" xfId="57865" xr:uid="{AC44DCE7-587F-4FF4-815A-BA4C8A34904C}"/>
    <cellStyle name="PSHeading 7" xfId="57496" xr:uid="{C41321A1-A159-4980-89D2-4EAAA840C3EB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2 5" xfId="58465" xr:uid="{C6514AD2-42FF-4F38-93E4-05AA3CDD5916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2 5" xfId="58466" xr:uid="{9F170C31-C954-478A-A906-C5991AEE37D2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3 7 2" xfId="58462" xr:uid="{79CE0B2E-7F0D-4B58-ACD8-4920392846D6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常规_S005_プロトタイプデータまとめ_r07 " xfId="58477" xr:uid="{0A4B76E1-F4C1-42D1-A74A-864394F31E8B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2 6" xfId="58453" xr:uid="{58A8546F-3C8D-46ED-B0C6-9C9FA16D32A2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3 6" xfId="58313" xr:uid="{C91A5FD4-3EB7-4269-AACC-A54C2B5E8EFC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5 7" xfId="57987" xr:uid="{CC25F39B-630A-4D08-AF25-8B13314D12C3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10" xfId="57974" xr:uid="{A7544D62-956D-4A58-849F-A95F576DE948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2 6" xfId="58440" xr:uid="{F165AB0E-5AC0-4BB2-A598-7E72A66D5548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3 6" xfId="58300" xr:uid="{1FD6D3DA-7F05-49B0-AD57-B20721C1EEFD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2 6" xfId="58446" xr:uid="{1F2EADEC-B18F-49F6-A9BF-874F4D2ABA8C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3 6" xfId="58306" xr:uid="{DFA0EC7F-FE70-4EB7-9986-25D5214807DA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7 8" xfId="57980" xr:uid="{D4CE09EB-03B9-48FB-A89F-E194D62B0046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2 6" xfId="58435" xr:uid="{09244393-5232-46EC-B6A2-0A0116E915CE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3 6" xfId="58295" xr:uid="{478BA637-A69E-4AF1-B782-781E921A6E99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3 8" xfId="57969" xr:uid="{91494850-AC87-4EF1-BD53-691A4BF2075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2 6" xfId="58454" xr:uid="{BD86DAA1-11CB-403C-9787-B3120300D5C7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3 6" xfId="58314" xr:uid="{9D0BBBDE-601A-464B-8326-02F699AE8DD3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4 8" xfId="57988" xr:uid="{FF89F1B0-E413-4897-A2BE-0212BF8B46DA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2 6" xfId="58441" xr:uid="{661016DE-C151-463A-8A39-AEEE3F9C8973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3 6" xfId="58301" xr:uid="{F5A56C35-C26E-4D30-841A-1A43ACF012DD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6 8" xfId="57975" xr:uid="{FC5448C1-25DD-4326-A7D8-611665AD009E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2 6" xfId="58447" xr:uid="{1A91C4E1-A148-4C7D-ADDF-D57EFF6848FB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3 6" xfId="58307" xr:uid="{07D86B08-AC0D-4DFB-A0D1-B2C4E1FC55C3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6 8" xfId="57981" xr:uid="{9C6547E2-05FD-46B4-96DB-0CF4F5BDE14A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2 6" xfId="58455" xr:uid="{099A1CB4-38C5-46CB-BC14-0F77A4E8AB05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3 6" xfId="58315" xr:uid="{D051B593-CBD6-4C65-9CCB-17EA0CE450B1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7 8" xfId="57989" xr:uid="{11FC0457-0631-4D56-AFF4-4BF107C9F66D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11" xfId="57982" xr:uid="{0A3C3AF0-65CF-4CEE-B3F1-3EA585E0303B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2 6" xfId="58448" xr:uid="{A97F43DA-0528-4882-B1C1-1ABFBFA6176C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3 6" xfId="58308" xr:uid="{68B5D194-0DE9-4B7F-95D2-8A3E92C1989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2 6" xfId="58442" xr:uid="{D9C06843-EE84-4FA1-96F9-C478D5747C48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3 6" xfId="58302" xr:uid="{8AD7543A-0ACE-49B2-910B-110AE48B6624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 9 8" xfId="57976" xr:uid="{72B9354D-10ED-46A5-B6E1-F915E66FD764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2 6" xfId="58452" xr:uid="{AE8F9F05-5A66-484F-B4FD-C36839A796B4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3 6" xfId="58312" xr:uid="{686FD9FB-26B4-479D-9135-7763BE035C37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7 8" xfId="57986" xr:uid="{23B8A41A-F599-4CCF-8088-B6BFC284CCD1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2 6" xfId="58445" xr:uid="{C1DE6E82-A34E-4FEC-AACA-89F5B35E59DE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3 6" xfId="58305" xr:uid="{B9E6FF48-253F-43E1-BD3E-10DDC2E1D5E9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4 9" xfId="57979" xr:uid="{D19A0D74-93F1-4060-98C6-59A4BEB1973A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2 6" xfId="58439" xr:uid="{FD0D243C-E389-4C4A-9B12-2EA8C7308E2F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3 6" xfId="58299" xr:uid="{F663E253-11B1-4B93-8815-2DB976824DE8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 9 8" xfId="57973" xr:uid="{0DE7DB71-E19C-4A72-8D5F-C1CC37386878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2 6" xfId="58449" xr:uid="{43CFC663-D199-4FB6-A890-6E1073A07157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3 6" xfId="58309" xr:uid="{6473B3CB-947C-41C0-BA60-5ABF36CE0384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5 8" xfId="57983" xr:uid="{9B5B6067-B478-4624-96F9-66467958474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2 6" xfId="58437" xr:uid="{CD64048C-05DB-4D91-B10A-F9C2A9C50FC9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3 6" xfId="58297" xr:uid="{4AD4EC21-C90E-4AC7-AD5A-C7B5513E4A4D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8 8" xfId="57971" xr:uid="{B8A8661F-945E-4A95-AB38-29308ACEF686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2 6" xfId="58450" xr:uid="{3C115A05-0346-492E-BF62-E5448FA754B4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3 6" xfId="58310" xr:uid="{A7D8ACFA-C01B-47A6-A949-925859771E2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8 8" xfId="57984" xr:uid="{DCFB03A2-5C32-4348-A6EE-1508B6EFCC0D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11" xfId="57977" xr:uid="{9CFFE570-CB31-4F9E-B9CF-7ACDECDA1859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2 6" xfId="58443" xr:uid="{D1AF8970-887E-4178-BFA3-9BD72214C644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3 6" xfId="58303" xr:uid="{76128A76-1635-42C4-ABEB-8722D7F2FF85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10 6" xfId="58205" xr:uid="{1AF2D01A-B391-4BB4-89F7-856CC9BB05B0}"/>
    <cellStyle name="標準 2 10 11" xfId="57867" xr:uid="{B8C39B5A-C1D0-413E-8D58-0711D1C192EE}"/>
    <cellStyle name="標準 2 10 12" xfId="57546" xr:uid="{A833F427-D7DB-4771-9D1B-1E2694D54FF1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2 6" xfId="58108" xr:uid="{B0BD23C4-9AD1-40DE-9AE6-6FF178D6674C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3 6" xfId="58340" xr:uid="{AA910A6C-F91C-4B5B-90DD-7D851DC13366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0 9 8" xfId="58014" xr:uid="{2D58DF32-A7DF-4DB3-99C7-D26C37EF13F1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1 7" xfId="57868" xr:uid="{FDB2E3EC-052F-4F41-986B-F4FE7189BECA}"/>
    <cellStyle name="標準 2 11 8" xfId="57497" xr:uid="{80C944C3-2FE0-4512-AA57-31F2709FB9A8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2 4" xfId="58088" xr:uid="{18DA2E75-AF61-428A-8C1C-EB343F060E37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4 3 6" xfId="58320" xr:uid="{5850AC2E-3F3F-4DF9-B24C-1724070431EF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5 6" xfId="57994" xr:uid="{E9BB7102-084F-42D9-936D-8BA47C5DD24E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6 6" xfId="58185" xr:uid="{FA51B012-F75E-4381-8979-421B01E868B3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7 6" xfId="57869" xr:uid="{5B73B13A-FD8B-4D2B-A30A-1032628E151E}"/>
    <cellStyle name="標準 2 2 18" xfId="7385" xr:uid="{00000000-0005-0000-0000-00009A0C0000}"/>
    <cellStyle name="標準 2 2 19" xfId="57501" xr:uid="{842241E7-21C6-4EA6-A75F-3D6B2F4401A6}"/>
    <cellStyle name="標準 2 2 2" xfId="6237" xr:uid="{00000000-0005-0000-0000-00009B0C0000}"/>
    <cellStyle name="標準 2 2 2 10" xfId="57513" xr:uid="{2C397252-D327-4DB3-A4C4-22509DDC30E1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2 3" xfId="57944" xr:uid="{D4920444-6052-4111-9673-507F7A1926FF}"/>
    <cellStyle name="標準 2 2 2 2 2 4" xfId="57610" xr:uid="{38A1E294-A4E9-467A-B1E0-EF99745AE9BE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2 6" xfId="58148" xr:uid="{EBCF44ED-296A-4C7A-A737-4FA6EDF80BE1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3 6" xfId="58380" xr:uid="{102303F6-F83E-49BB-84B1-0B7EE8B5597E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4 8" xfId="58052" xr:uid="{5DDBA1FC-6218-4454-ADBE-782A0A3DBAED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2 6 6" xfId="58245" xr:uid="{52A6FC0B-C1BB-475D-B9F0-52F3A6546E97}"/>
    <cellStyle name="標準 2 2 2 2 7" xfId="57943" xr:uid="{17271576-5345-46B8-8214-6B685183CC46}"/>
    <cellStyle name="標準 2 2 2 2 8" xfId="57538" xr:uid="{FC473A11-C669-4460-BDD1-644D358B4E2E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2 6" xfId="58167" xr:uid="{2ED56972-39FB-4700-A91E-19AC7B095872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3 6" xfId="58400" xr:uid="{FCF529E4-584C-429B-98D9-AB4DC9B7C761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3 8" xfId="58071" xr:uid="{F071F6B2-D383-46EA-85B9-56AAEBBB0D4A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3 4 6" xfId="58265" xr:uid="{560A3FDD-8CE1-4ECE-8B9E-303DC5845BC2}"/>
    <cellStyle name="標準 2 2 2 3 5" xfId="57945" xr:uid="{B2F656FC-A782-4517-A329-B03F4D8EEA70}"/>
    <cellStyle name="標準 2 2 2 3 6" xfId="57586" xr:uid="{BD94FAB9-FB3E-48A4-BF88-BF4A5601934D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2 6" xfId="58120" xr:uid="{0323E0C5-1FCF-4C61-90CD-84FFD49C381D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3 6" xfId="58352" xr:uid="{0D43CF94-AD99-42BA-8A59-9DC1607AB45F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3 8" xfId="58026" xr:uid="{B8BA98F6-81A4-48F6-99FE-7508EFF824D5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4 4 6" xfId="58217" xr:uid="{35DA449F-0975-4B88-9A6C-7007F3C485A9}"/>
    <cellStyle name="標準 2 2 2 4 5" xfId="57946" xr:uid="{60952363-C99D-44B1-9FDB-D7F80D728F7F}"/>
    <cellStyle name="標準 2 2 2 4 6" xfId="57562" xr:uid="{75BCBC03-ED73-44A1-8FBE-78EBED34C367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2 6" xfId="58096" xr:uid="{BE6EDD4D-8E5B-4526-B020-7BB2DB117C47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3 6" xfId="58328" xr:uid="{722407D5-1059-47B4-96D3-C6848B1DB5E4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7 8" xfId="58002" xr:uid="{26B5B13B-FE19-4C0A-9800-B69C2799C555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2 8 6" xfId="58193" xr:uid="{09B3B7B1-E551-4EE1-8F47-735BD4F998E9}"/>
    <cellStyle name="標準 2 2 2 9" xfId="57870" xr:uid="{C6FD70A5-D9F8-423D-993D-7B5F1B5D66AC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2 4" xfId="57948" xr:uid="{29FE1848-5B84-4D2C-A3F1-1FC20E43A1B1}"/>
    <cellStyle name="標準 2 2 3 2 5" xfId="57598" xr:uid="{FE6DC742-058F-4D68-A826-A160696EAE3D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2 6" xfId="58136" xr:uid="{3D06AAFD-0186-4795-9042-1AD3ECAAFEBF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3 6" xfId="58368" xr:uid="{450D28B3-47A1-4CA5-900A-1377BF1D317B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6 8" xfId="58041" xr:uid="{F1AE9FE4-6E17-4C9E-9C3B-B435C37CE0DE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3 7 6" xfId="58233" xr:uid="{52F37143-10C4-44C2-BBF9-B17A5EA8F6A0}"/>
    <cellStyle name="標準 2 2 3 8" xfId="57947" xr:uid="{05050DB5-E3C1-4BFF-97EA-DF113A6742B2}"/>
    <cellStyle name="標準 2 2 3 9" xfId="57526" xr:uid="{19441433-72E3-4BEF-BC92-BAA1205958AD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2 6" xfId="58159" xr:uid="{46703873-9FE9-4C7A-8DE3-DEFC03F46818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3 6" xfId="58392" xr:uid="{14E7C563-595D-4B59-B8DD-78F2AA29AA2F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6 8" xfId="58063" xr:uid="{87543632-0B4D-46EA-9ED3-3D30087EB65C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4 7 6" xfId="58257" xr:uid="{5F16988F-6549-4C90-8C76-C8EEFFD4B611}"/>
    <cellStyle name="標準 2 2 4 8" xfId="57949" xr:uid="{7CC15FE0-806C-4E92-9217-0733EDD6608E}"/>
    <cellStyle name="標準 2 2 4 9" xfId="57574" xr:uid="{3A56C5AE-4964-4BF8-91D2-405E31C84E69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2 6" xfId="58112" xr:uid="{D99845EA-4A9A-46E1-8CD4-4308B5EE2CF5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3 6" xfId="58344" xr:uid="{148A5922-4039-4715-BDEB-E9B300E280B9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6 8" xfId="58018" xr:uid="{897A1900-06AA-4110-81B9-AD2B8C309648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5 7 6" xfId="58209" xr:uid="{8A932736-285E-4697-9F57-C8A6F33DC544}"/>
    <cellStyle name="標準 2 2 5 8" xfId="57950" xr:uid="{33575441-B3AD-4838-8483-30DB0A8DBDC9}"/>
    <cellStyle name="標準 2 2 5 9" xfId="57550" xr:uid="{06983511-2F10-4688-9D2E-C356939703CF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2 6" xfId="58433" xr:uid="{C4D43588-3B78-4EBA-B1D2-640E6296F5B8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2 7" xfId="58090" xr:uid="{76B75A28-F8E2-4ACB-9941-93936A9234D4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3 6" xfId="58322" xr:uid="{51659BF9-020F-4932-A0EF-2C7B13F04F71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4 6" xfId="58293" xr:uid="{74C28D2A-6758-4C52-AEEB-E1F153960013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3 9" xfId="57968" xr:uid="{0AD45327-F431-4F42-A84B-E9F8061DED1F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4 6" xfId="57996" xr:uid="{DC786246-EF42-447C-B26D-6FEA2B643EC8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5 6" xfId="58082" xr:uid="{C71FE6E7-0BEA-4DC0-B19F-94AF8EF0AE86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6 6" xfId="58187" xr:uid="{3235DBE5-F913-46EE-803E-AC3D264F9298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7 6" xfId="57871" xr:uid="{3D2602C9-2008-4D57-9051-FB8A396674CB}"/>
    <cellStyle name="標準 2 3 18" xfId="7386" xr:uid="{00000000-0005-0000-0000-0000610E0000}"/>
    <cellStyle name="標準 2 3 18 2" xfId="58464" xr:uid="{B470667C-6A72-48D0-A00A-A06ABD61F1BC}"/>
    <cellStyle name="標準 2 3 19" xfId="57503" xr:uid="{7A69DB4E-7BA0-493F-B869-3860804539E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2 9" xfId="58097" xr:uid="{1892EFAC-AEF4-4D1A-9009-5F8D70F25643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3 7" xfId="58329" xr:uid="{41E81D3D-FD8D-4F7E-898F-39FB521591ED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2 8" xfId="58003" xr:uid="{AEBADF2B-06F1-4309-9474-6EDC9D7DDDDE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3 9" xfId="58194" xr:uid="{7021F038-9367-438D-867D-215C12E6D80B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0 7" xfId="58247" xr:uid="{1FD28694-DDB5-4B8E-B33E-F2ECDDB8BDAA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20" xfId="57612" xr:uid="{3F7FFAEF-2542-4150-8142-24B3FDACDD1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22" xfId="57540" xr:uid="{598D27EB-06A0-422F-9515-AA9BB365A9CF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10" xfId="58053" xr:uid="{87CD18B9-2B76-4703-94D3-FCAE029686B1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2 7" xfId="58149" xr:uid="{6A886D1D-321E-4670-8838-1D56D463E53E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3 6" xfId="58382" xr:uid="{DD447BD4-5DAD-4EB8-B4E7-9BCF4356650B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25" xfId="57515" xr:uid="{FDD00F9A-B28D-4869-A5BF-580776ACD8E4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20" xfId="57588" xr:uid="{31002CF2-0ACB-4754-8FFD-4536C4031113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11" xfId="58072" xr:uid="{61832B7D-EA1B-4DA0-8218-E27E0483819D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2 7" xfId="58168" xr:uid="{1ABAC9D9-C396-4A5C-B6EA-F2ED7FA8CB94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3 7" xfId="58401" xr:uid="{67D00400-6DD3-4C3E-8E04-7D479A9FA79A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8 7" xfId="58266" xr:uid="{7142C2F9-6FA6-4289-8663-9D6897E1AB94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20" xfId="57564" xr:uid="{B89C1DBB-194E-4027-87DF-B99ACE54E737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10" xfId="58027" xr:uid="{5C1FED4E-25C6-4339-B2FA-3A3C6CDBE528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2 7" xfId="58121" xr:uid="{D2888259-13F6-4700-986A-69B8CC057922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3 7" xfId="58353" xr:uid="{95EC73AB-77AC-4819-B820-49E193D64AFF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7 8" xfId="58218" xr:uid="{0E4B794B-281E-4D58-BB2B-AAD6C245C80E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0 6" xfId="58235" xr:uid="{382B6E98-0CC0-4B57-878E-C2A18016CE24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1 5" xfId="57872" xr:uid="{D1322112-4F0B-4237-9ED9-78B4BC083464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16" xfId="57528" xr:uid="{7F33E2DA-4E2C-42FF-91F9-5386E4F0A9A1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14" xfId="57600" xr:uid="{951CC824-1D28-4E5F-AE68-057864D350FE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7 5" xfId="57873" xr:uid="{9E95DDE4-0D5F-40AE-ABA2-93CE33CA5DC7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2 6" xfId="58138" xr:uid="{2CE065C4-DF8A-4717-BE26-F38D7FB96E6E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3 6" xfId="58370" xr:uid="{9D07B0C4-AA83-4688-A3C8-75C6E79C7575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3 9 8" xfId="58042" xr:uid="{514873D6-7F40-4511-8A28-E934B1C4746E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0 6" xfId="58259" xr:uid="{17C5B478-15D9-4874-A843-9941247B033F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1 5" xfId="57874" xr:uid="{4334BE28-86D0-44E2-AB0E-87C3903ADC42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18" xfId="57576" xr:uid="{D1AFC02B-8E51-4C19-BFAB-B0964C1C82E1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2 6" xfId="58161" xr:uid="{951BEF11-438B-44F2-A649-76041F4BC953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3 6" xfId="58394" xr:uid="{FFED019A-F1BE-4AEB-9F9A-7A1E5C61153C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4 9 8" xfId="58065" xr:uid="{308B273A-221A-4ECD-A56B-618BC3B7C5C4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16" xfId="57552" xr:uid="{3DD1B045-1445-4E1C-B400-A15F4766AE13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2 6" xfId="58114" xr:uid="{57E057BA-15EE-43EE-AC99-A465542A765E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3 6" xfId="58346" xr:uid="{4E0537BA-D203-4C43-B4B9-40A31B6806C4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7 8" xfId="58020" xr:uid="{59438282-A9BF-4A93-BEEC-9CF20AE16491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8 6" xfId="58211" xr:uid="{2B958A16-5466-42B7-8902-EE1E384824DA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5 9 5" xfId="57875" xr:uid="{49577B27-18A2-4333-B5B7-771F0AA056E2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2 6" xfId="58084" xr:uid="{345799B0-083C-4535-9286-31E642EA680F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3 6" xfId="58316" xr:uid="{10E81F53-037D-487A-9AE7-D9797EECCB24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4 8" xfId="57990" xr:uid="{6DA07CF8-BFB7-476A-AAF1-B41748C53194}"/>
    <cellStyle name="標準 2 35" xfId="10844" xr:uid="{00000000-0005-0000-0000-00001A1B0000}"/>
    <cellStyle name="標準 2 35 10" xfId="58479" xr:uid="{16503AF8-742F-427C-9B00-8E3AC8E59026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5 6" xfId="58179" xr:uid="{260BA879-A6C9-4235-BD74-5974E549E348}"/>
    <cellStyle name="標準 2 35 6 2" xfId="58478" xr:uid="{59488B19-D2DD-42C8-B00E-7B4F9BC4122B}"/>
    <cellStyle name="標準 2 35 7" xfId="58474" xr:uid="{30615A0C-BC63-47DE-880A-2195E98B34E9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6 6" xfId="58181" xr:uid="{C91A78D9-1195-48A5-91BE-016D0B5D4E19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7 4" xfId="57866" xr:uid="{AC8A8B0F-86CD-4FF0-867D-005EE32D5E04}"/>
    <cellStyle name="標準 2 38" xfId="139" xr:uid="{00000000-0005-0000-0000-0000321B0000}"/>
    <cellStyle name="標準 2 38 2" xfId="58456" xr:uid="{2B9ECC2F-0F6A-4406-B67E-328CC4D595B8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15" xfId="57953" xr:uid="{6F1A5D51-600C-48CB-8CE2-9E4F0525B259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2 6" xfId="58418" xr:uid="{B4B89F5F-386F-46E4-9D3B-6BFE0499FEDC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2 9" xfId="58092" xr:uid="{0AEAB92C-FB02-4301-969D-AF7F95057663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3 7" xfId="58324" xr:uid="{EAB917B8-522E-45ED-8C0D-C0605BEBEA58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4 7" xfId="58278" xr:uid="{90BE6A0A-40CA-415E-B551-C6FED5176BEA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10" xfId="57998" xr:uid="{17ADD85E-700A-4532-A6CD-B58A709E2994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6 9" xfId="58189" xr:uid="{97BE1425-55B1-4DBE-BD58-3A2F7171ED59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8 8" xfId="58460" xr:uid="{4A0D7AEB-BB59-4143-BAE3-7DE5DA52626A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15" xfId="57956" xr:uid="{C0E0DCFD-BFED-44BC-948E-0846C3287E0C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2 6" xfId="58421" xr:uid="{BA699C18-EB86-4A24-9577-2E1689506088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2 9" xfId="58098" xr:uid="{88E6BA22-1D02-4894-9A47-669C8C1200ED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3 7" xfId="58330" xr:uid="{8F2972E0-605C-4C71-9399-546559D94C32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4 7" xfId="58281" xr:uid="{7530764D-BE26-4D21-A6C8-67FF5F5FCB1F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10" xfId="58004" xr:uid="{51913ADD-4CAB-4EFB-9CB1-A55727050821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3 9" xfId="58195" xr:uid="{4C95D719-0E37-4E6F-BC2F-73C2ED57BEE7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0 9" xfId="58055" xr:uid="{3128A47F-339F-4EAC-B0CF-2EF79AB0421E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1 7" xfId="58249" xr:uid="{FFE78A1D-C470-467E-968D-246B4B562B37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21" xfId="57614" xr:uid="{E3779A5C-D56D-41B6-8276-0CE742BFFA82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23" xfId="57542" xr:uid="{EA36BA0E-3ED7-4D5C-8A82-E81B62AD11AE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14" xfId="57962" xr:uid="{A2AB7E11-6B87-49A9-BC38-84A91BC0ECDF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2 6" xfId="58427" xr:uid="{4B8AA3F3-2250-47E6-8BC3-B5760BAD950F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2 8" xfId="58151" xr:uid="{59866A6D-BD06-424B-89A6-608F9C3C3418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3 7" xfId="58384" xr:uid="{47E79876-6158-44A6-826A-3C6FEEFE3279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4 7" xfId="58287" xr:uid="{55BF1BB3-F264-466E-B992-3DDB17A86D64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25" xfId="57517" xr:uid="{4A99A521-4F71-4E49-9A62-B32082E0A3A9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21" xfId="57590" xr:uid="{AC02EB9B-3CE2-4CC5-95F8-0DBD9C91E747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13" xfId="58073" xr:uid="{C9BBFC61-04E8-4EDA-BA4F-18F998D0399F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2 7" xfId="58169" xr:uid="{73757345-DF05-4E52-91F3-51380E5E3226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3 7" xfId="58402" xr:uid="{6336FC03-6F1D-461E-B050-154954900B02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8 9" xfId="58267" xr:uid="{D520BA36-DD9C-4020-A75E-D7046B091CA4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20" xfId="57566" xr:uid="{DAF77ECA-8097-4294-8A35-493D06782DE4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13" xfId="58028" xr:uid="{239D5E02-0F61-44CB-BC91-343830100111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2 7" xfId="58122" xr:uid="{41FD1F71-917A-4184-8E6A-F20B01CE8B95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3 7" xfId="58354" xr:uid="{FACA32F4-AEC5-4D3E-935C-4319866322F1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7 9" xfId="58219" xr:uid="{0B326BB1-4FFF-44F2-A407-304257D9D0D1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28" xfId="57505" xr:uid="{11247DCF-026A-40E7-BA48-930CEA33E73A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15" xfId="57959" xr:uid="{96FFB04D-493F-45BA-97E5-49A80518E8ED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2 6" xfId="58424" xr:uid="{F870A07C-F7ED-4933-A991-4B44FD859EAF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2 9" xfId="58140" xr:uid="{1A2218AA-CD65-4E7F-A13A-E6FA66A54D12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3 7" xfId="58372" xr:uid="{A0CCF101-DA95-461C-9888-C1780CD80133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4 7" xfId="58284" xr:uid="{1E4F05C4-F053-4F34-85A4-38A1AD9F1F44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10" xfId="58044" xr:uid="{2999459F-55A9-4F29-B454-3722CCDC6A39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2 9" xfId="58237" xr:uid="{D3B4C60A-3E7A-4926-95A3-D2AFFAFCB115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21" xfId="57602" xr:uid="{493DDB14-986D-4A81-AE8E-7E1F3FE1EDBD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24" xfId="57530" xr:uid="{55C118D1-7AB9-4FE3-B8B9-C8E185644D8E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10" xfId="58067" xr:uid="{D613224C-6332-4607-9842-6A355B7F4527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1 8" xfId="58261" xr:uid="{B429C7DA-8DE5-4B12-8B14-A20BCDA20F75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23" xfId="57578" xr:uid="{BE054B59-2747-436E-BA0D-9F482A313026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14" xfId="57965" xr:uid="{F2700495-E485-43D0-B02B-02AA6DF616C6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2 6" xfId="58430" xr:uid="{6EBDB2D1-AF8E-4D60-AAF7-57D57136ABBD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2 8" xfId="58163" xr:uid="{E2BD4981-0DA7-42E0-AE6A-132BD36771D4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3 7" xfId="58396" xr:uid="{C4A016B9-6179-4EA1-AE3E-6A69B9F15488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4 7" xfId="58290" xr:uid="{0342243E-BDF7-4FF3-AE43-877E6963C11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23" xfId="57554" xr:uid="{CFF65016-9D6B-49AB-9274-7FA8F7754CFC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15" xfId="58022" xr:uid="{CEED7D29-CBF4-4EA3-A86D-EBF642D50BCD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2 8" xfId="58116" xr:uid="{4C2E754F-F9C7-49B3-902F-6B848129AD43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3 7" xfId="58348" xr:uid="{15A72AF8-E392-4FE1-8845-9E8424C67916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11" xfId="58213" xr:uid="{CF9CB64E-6B7D-4344-B09D-38F90B304DFC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40" xfId="57493" xr:uid="{1191B7D2-4D2E-45F1-8D40-CEC9E8531CB5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2 6" xfId="58094" xr:uid="{D74BB402-7D9A-4D56-B250-67B036C5C81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3 6" xfId="58326" xr:uid="{849A3097-E071-49E2-A988-9BF82A087A78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4 8" xfId="58000" xr:uid="{D032AF80-C741-4755-9BC7-23CC6C9F14DB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15 6" xfId="58191" xr:uid="{F4C4FF4A-6970-44BD-BA56-43D36882BB6D}"/>
    <cellStyle name="標準 2 5 16" xfId="57876" xr:uid="{DE94CA8D-A5B3-448D-B3EE-BD24C6CDC3DE}"/>
    <cellStyle name="標準 2 5 17" xfId="58458" xr:uid="{BB191A00-DDF3-4377-B2BF-DB3314CC5B0B}"/>
    <cellStyle name="標準 2 5 18" xfId="57507" xr:uid="{93F2028C-E0E8-41A2-A9CF-F53E52F104B7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2 6" xfId="58099" xr:uid="{F58A2947-1896-4CFA-98F4-4B3779FF5D3C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3 6" xfId="58331" xr:uid="{EA451260-FF2A-4102-8F30-1C790B250CAE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0 8" xfId="58005" xr:uid="{633810A6-7709-4031-9EE2-7535BE2AFA81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11 6" xfId="58196" xr:uid="{ACCA7461-0D67-4DD2-9DA0-417025D55EA7}"/>
    <cellStyle name="標準 2 5 2 12" xfId="57877" xr:uid="{F10BE46D-A56B-48A7-93B4-1784F3021FE9}"/>
    <cellStyle name="標準 2 5 2 13" xfId="57519" xr:uid="{8C84FF55-8D8A-4C76-A73B-E5D9F780340D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10 6" xfId="58251" xr:uid="{C16470FC-19DB-4C51-99AB-7839E655B29C}"/>
    <cellStyle name="標準 2 5 2 2 11" xfId="57878" xr:uid="{906DDA72-1D6D-4E07-BE34-F2D3B18D7ABC}"/>
    <cellStyle name="標準 2 5 2 2 12" xfId="57544" xr:uid="{78E492D6-8955-42CE-9DB3-EDCD7E927B3C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2 7" xfId="57879" xr:uid="{C543A772-2AE3-46E6-A84F-C3B0D2E3AF1C}"/>
    <cellStyle name="標準 2 5 2 2 2 8" xfId="57616" xr:uid="{7CF76DFF-DC64-40F4-AFEC-53E031436AD5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2 6" xfId="58153" xr:uid="{8A2D18D2-F755-436A-9597-3C58A5876A9D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3 6" xfId="58386" xr:uid="{5D4ED205-A615-4784-A539-BC5BE22816A6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2 9 8" xfId="58057" xr:uid="{ABE96361-B70C-41D4-98D5-F8C1FAE13D50}"/>
    <cellStyle name="標準 2 5 2 3" xfId="7666" xr:uid="{00000000-0005-0000-0000-000093530000}"/>
    <cellStyle name="標準 2 5 2 3 10" xfId="57592" xr:uid="{B81B25DE-88C5-4942-BD7F-9FD0B04FCCE5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2 6" xfId="58170" xr:uid="{3BFD1BDC-1878-4001-8CC1-4D2EFABE7029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3 6" xfId="58403" xr:uid="{BC54C09E-653C-4750-ABF3-8A410013782B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7 8" xfId="58074" xr:uid="{BA79E2C9-A3A2-408C-A021-0D74C030428A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3 8 6" xfId="58268" xr:uid="{A1E76C14-32AA-456B-9DAE-61015DE55087}"/>
    <cellStyle name="標準 2 5 2 3 9" xfId="57880" xr:uid="{9D596FA8-3C19-45AE-988B-E4D3B774ACBA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2 6" xfId="58123" xr:uid="{80DC1822-2167-4F27-A0EF-1009A3CD2DAD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3 6" xfId="58355" xr:uid="{3B6C1484-03E5-4DD9-B13C-5DC90850E3C4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6 8" xfId="58029" xr:uid="{F544B9F3-F753-42A5-977E-49D7ACBB24AC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4 7 6" xfId="58220" xr:uid="{8A153073-0590-4BE9-8595-654012CE7224}"/>
    <cellStyle name="標準 2 5 2 4 8" xfId="57881" xr:uid="{41C5B727-7BF4-43C5-B568-054DA02B487B}"/>
    <cellStyle name="標準 2 5 2 4 9" xfId="57568" xr:uid="{4352BD87-AC58-4AB7-9892-BDE3B3F28A1D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10 6" xfId="58239" xr:uid="{2A4CA9F0-C2A6-483C-85CF-4D70F97B018C}"/>
    <cellStyle name="標準 2 5 3 11" xfId="57882" xr:uid="{3E057F91-3E26-4670-9C92-D64E9D78F245}"/>
    <cellStyle name="標準 2 5 3 12" xfId="57532" xr:uid="{5A756BB7-CF71-43C6-A16D-3F9870E9AEEE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2 7" xfId="57883" xr:uid="{A2181B91-74F5-41BB-B42B-9201368DF3D4}"/>
    <cellStyle name="標準 2 5 3 2 8" xfId="57604" xr:uid="{FB2CC18A-EEBC-47FA-878A-08424510AC4D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2 6" xfId="58142" xr:uid="{144271B0-3E09-4D1F-A4E1-15666F2EC6B9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3 6" xfId="58374" xr:uid="{8DFD45D9-2647-40DB-AE49-47FD8A07279D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3 9 8" xfId="58046" xr:uid="{57CD8E40-600E-45FD-86B1-3B41B9229B68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10 6" xfId="58263" xr:uid="{68407B5D-F0D7-4998-908B-8458CC906D19}"/>
    <cellStyle name="標準 2 5 4 11" xfId="57884" xr:uid="{1C0C25EE-2801-4B83-824E-8D6A976A4698}"/>
    <cellStyle name="標準 2 5 4 12" xfId="57580" xr:uid="{C6E724B1-2B6A-473F-B363-70CB1FDFA6EE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2 6" xfId="58165" xr:uid="{36A9D6E8-7A65-4929-ACB6-6EB4773DD0D1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3 6" xfId="58398" xr:uid="{D182999A-BCBC-422E-B087-9CD20D6983F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4 9 8" xfId="58069" xr:uid="{44E0B4FE-93E9-4A32-8871-99DD53B52E0B}"/>
    <cellStyle name="標準 2 5 5" xfId="7737" xr:uid="{00000000-0005-0000-0000-000092540000}"/>
    <cellStyle name="標準 2 5 5 10" xfId="57556" xr:uid="{BCE5CAFA-8966-4661-9061-856D1C9AB089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2 6" xfId="58118" xr:uid="{6998E0F7-CBD2-485B-BCE0-0C97B31ADAC3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3 6" xfId="58350" xr:uid="{15564379-A3C1-4E57-B099-EA01F55579F8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7 8" xfId="58024" xr:uid="{E574D694-A64F-48F8-8F57-D865292E56EF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5 8 6" xfId="58215" xr:uid="{075AEC71-514D-4E2D-A9DD-71D2A463D2CB}"/>
    <cellStyle name="標準 2 5 5 9" xfId="57885" xr:uid="{04666B0A-476D-42AA-9B32-0CA43F4B875A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2 6" xfId="58086" xr:uid="{D43A1B09-1D66-4C00-B61F-A3438F12EF5B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3 6" xfId="58318" xr:uid="{41412928-3D81-4D38-9BCA-4F1BB1D32A73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2 8" xfId="57992" xr:uid="{2A169537-EC4D-4FAE-A2D3-2ABB77E3925C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13 6" xfId="58183" xr:uid="{1DB81CBE-E9AF-4A53-86BB-EB20D391D7B8}"/>
    <cellStyle name="標準 2 6 14" xfId="57886" xr:uid="{E3D0AA88-2118-493C-BC9B-509BB34A8B46}"/>
    <cellStyle name="標準 2 6 15" xfId="58468" xr:uid="{E2E99828-6AFD-4ED2-8177-B7B6515DDEA0}"/>
    <cellStyle name="標準 2 6 16" xfId="57499" xr:uid="{F50CA2C3-E151-4565-A9F8-D0F4020AECDA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2 6" xfId="58100" xr:uid="{C593CE7E-0D02-424E-93E9-277A2CAD1139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3 6" xfId="58332" xr:uid="{5D3EFF0E-317A-4D73-8C5E-6EB0796958B8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0 8" xfId="58006" xr:uid="{F2806C2A-EAB2-4900-A2A3-8200FEF51881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11 6" xfId="58197" xr:uid="{1646AA59-26AF-457F-A85C-B77CFA719961}"/>
    <cellStyle name="標準 2 6 2 12" xfId="57887" xr:uid="{423D58E4-3EF5-4826-B4D6-72EFD35C472F}"/>
    <cellStyle name="標準 2 6 2 13" xfId="57511" xr:uid="{E5B16881-7652-47BC-A0E2-538002E0A1F5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10 6" xfId="58243" xr:uid="{43DE5170-0083-48AF-B04E-CF0265E2F76D}"/>
    <cellStyle name="標準 2 6 2 2 11" xfId="57888" xr:uid="{F750F48C-A917-4451-9B5B-8ECEA0DB137F}"/>
    <cellStyle name="標準 2 6 2 2 12" xfId="57536" xr:uid="{DB08ED73-5CC3-43A0-BDCC-3E859E967572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2 7" xfId="57889" xr:uid="{5587ECD3-06AA-4C08-8C6F-3396EFD05862}"/>
    <cellStyle name="標準 2 6 2 2 2 8" xfId="57608" xr:uid="{ABF4F30C-AC45-4D55-9F24-08E247653CFB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2 6" xfId="58146" xr:uid="{CC6D46B8-645B-45C3-AED4-F5E07A621D78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3 6" xfId="58378" xr:uid="{B77D4A76-CC96-4E46-B3EB-40A08212005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2 9 8" xfId="58050" xr:uid="{98E92A86-E737-47CF-A7D6-72CE4F159E34}"/>
    <cellStyle name="標準 2 6 2 3" xfId="7786" xr:uid="{00000000-0005-0000-0000-000083550000}"/>
    <cellStyle name="標準 2 6 2 3 10" xfId="57584" xr:uid="{AA45B6D9-C5B7-494A-853C-C0D33C6FB751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2 6" xfId="58171" xr:uid="{71C0BD00-9215-4923-9B10-1FE330D02979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3 6" xfId="58404" xr:uid="{86C57D57-DC0F-439C-ABE0-28534520B451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7 8" xfId="58075" xr:uid="{A4ADAA16-2619-4B9B-8152-8537B1663281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3 8 6" xfId="58269" xr:uid="{ECEB10EA-E022-4765-91A7-B92A2D2714C1}"/>
    <cellStyle name="標準 2 6 2 3 9" xfId="57890" xr:uid="{6036CBE6-3BCA-4D01-9C77-6A2E88801921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2 6" xfId="58124" xr:uid="{32BC9DB6-DCEE-40CC-8214-9CFBC031F9A8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3 6" xfId="58356" xr:uid="{57F6FFC3-E3AC-4D02-9BFC-E0D88A34FD8D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6 8" xfId="58030" xr:uid="{E5C3BF8C-6228-4F61-AB0D-D2C395372A99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4 7 6" xfId="58221" xr:uid="{59891FC6-8FC1-4FCF-9F38-9BB2AE990157}"/>
    <cellStyle name="標準 2 6 2 4 8" xfId="57891" xr:uid="{F536BCA9-5617-4013-B721-92D20B146C84}"/>
    <cellStyle name="標準 2 6 2 4 9" xfId="57560" xr:uid="{F56C28E2-DBF1-4223-B517-0C1412060A73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10 6" xfId="58231" xr:uid="{0D204B37-E0EB-43A3-A027-4DF321FA50EB}"/>
    <cellStyle name="標準 2 6 3 11" xfId="57892" xr:uid="{DDA89D7C-2B14-4A70-AE78-702903B5E2AA}"/>
    <cellStyle name="標準 2 6 3 12" xfId="57524" xr:uid="{42BBCD4F-3AAA-4182-B2B5-C7755274BA4F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2 7" xfId="57893" xr:uid="{5A74BA09-EDC4-4B39-A0D1-395838A97550}"/>
    <cellStyle name="標準 2 6 3 2 8" xfId="57596" xr:uid="{DFAD434C-3718-48A6-96A0-9F9E9171F1F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2 6" xfId="58134" xr:uid="{7D11B948-1E51-4AD5-ACC9-CCA8F9DFC2AA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3 6" xfId="58366" xr:uid="{22CD668D-DA5B-4A0A-908C-EA1E68E902B2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3 9 8" xfId="58039" xr:uid="{46008E41-339E-4F31-A4C6-814ED79680B8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10 6" xfId="58255" xr:uid="{0555027D-147B-452D-ADC0-99456D66BCF6}"/>
    <cellStyle name="標準 2 6 4 11" xfId="57894" xr:uid="{405462D4-39FD-45BF-9664-B60B9DAAC5D6}"/>
    <cellStyle name="標準 2 6 4 12" xfId="57572" xr:uid="{F2FCB558-CC4C-40A8-A71D-B5E9A6CA08E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2 6" xfId="58157" xr:uid="{09CE12AE-3BA7-46C4-B388-3B98C2C6453E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3 6" xfId="58390" xr:uid="{F73E6B32-93CE-4C71-A930-AEB90FFC02ED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4 9 8" xfId="58061" xr:uid="{D499C253-0079-4AF8-8266-96224A16EC90}"/>
    <cellStyle name="標準 2 6 5" xfId="7857" xr:uid="{00000000-0005-0000-0000-000080560000}"/>
    <cellStyle name="標準 2 6 5 10" xfId="57548" xr:uid="{51215C48-CEDF-457F-A4E1-1245A418BF0D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2 6" xfId="58110" xr:uid="{A11CB59A-3D45-412A-9FC6-452F07A9BFA7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3 6" xfId="58342" xr:uid="{5B0B9114-2245-46E6-8878-9F7A1743FE8F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7 8" xfId="58016" xr:uid="{A9EF1492-27A7-41C3-95BE-A5125A525B93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5 8 6" xfId="58207" xr:uid="{549EADB8-8D3E-46DF-9393-CDFF7C97342D}"/>
    <cellStyle name="標準 2 6 5 9" xfId="57895" xr:uid="{D0803FBC-DF35-4F19-A0B6-BC4EA1C7435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2 6" xfId="58101" xr:uid="{B960D2E5-25F7-4373-A822-03F1CEAACEE4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3 6" xfId="58333" xr:uid="{44909F2B-279F-424B-B173-31BD814311CC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2 8" xfId="58007" xr:uid="{1D813774-2B78-4663-B8A9-D1CACB919ECA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13 6" xfId="58198" xr:uid="{5F65241A-1B2A-4D25-A892-7D5A3D550595}"/>
    <cellStyle name="標準 2 7 14" xfId="57896" xr:uid="{E95177BA-2A6C-439F-8808-B6366556A159}"/>
    <cellStyle name="標準 2 7 15" xfId="57509" xr:uid="{3FF6C113-013C-4C0F-8026-B5B25A550609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2 6" xfId="58144" xr:uid="{F82C5ED2-1149-490E-8D75-54304FBC6C03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3 6" xfId="58376" xr:uid="{AE3D0EAA-1C04-44CF-8367-7B12F69E68E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0 8" xfId="58048" xr:uid="{641FD95F-71ED-4438-AE9C-B0F8AA3594E7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11 6" xfId="58241" xr:uid="{D63359A2-C56C-4ED8-9B65-19A9C468BBD7}"/>
    <cellStyle name="標準 2 7 2 12" xfId="57897" xr:uid="{21D2D3DB-D45F-4901-842D-5288E26D6AA9}"/>
    <cellStyle name="標準 2 7 2 13" xfId="57534" xr:uid="{7F4070EB-93C0-4866-812B-18A3AC84AA9D}"/>
    <cellStyle name="標準 2 7 2 2" xfId="7881" xr:uid="{00000000-0005-0000-0000-000024570000}"/>
    <cellStyle name="標準 2 7 2 2 10" xfId="57606" xr:uid="{AE6D6FF8-AD13-408B-A1AB-1D8D1C65358D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2 9" xfId="57898" xr:uid="{E41AF2BA-ED29-4488-92F1-9FD048511262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10 6" xfId="58270" xr:uid="{E2631202-D42B-4E0D-9793-00217600786D}"/>
    <cellStyle name="標準 2 7 3 11" xfId="57899" xr:uid="{0AE61F6F-9B26-4DA3-A5A3-FA8833BD9697}"/>
    <cellStyle name="標準 2 7 3 12" xfId="57582" xr:uid="{80F2361C-9E5C-49EF-B56A-7A3CC7BD9DE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2 6" xfId="58172" xr:uid="{BCD15DD7-C509-4EF9-A125-83DA7D7B0D0F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3 6" xfId="58405" xr:uid="{F2572E6B-FD92-4013-BE02-1EE09F198BA3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3 9 8" xfId="58076" xr:uid="{828C674E-5FC5-41E2-A22C-8DA5C58CDD94}"/>
    <cellStyle name="標準 2 7 4" xfId="7952" xr:uid="{00000000-0005-0000-0000-0000A3570000}"/>
    <cellStyle name="標準 2 7 4 10" xfId="57558" xr:uid="{DD62515D-8425-4B9F-A5B6-33C414155F6C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2 6" xfId="58125" xr:uid="{78CB9BED-552F-4126-9BE9-5C90CDA1515F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3 6" xfId="58357" xr:uid="{FF297FD3-E252-4B7E-B19A-537C25798EDE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7 8" xfId="58031" xr:uid="{18276395-C5B6-4A8A-A2DC-87BB8FB8B906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4 8 6" xfId="58222" xr:uid="{9F17FD6E-0C08-4DA6-A068-E0B030ACEF28}"/>
    <cellStyle name="標準 2 7 4 9" xfId="57900" xr:uid="{B2554913-9037-4F74-B88A-D0B557A621B7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2 6" xfId="58132" xr:uid="{E2B6541A-C5ED-4007-9E77-6C8CBB4B5D09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3 6" xfId="58364" xr:uid="{F21EB9CB-2355-4573-8941-8C1053A819AE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1 8" xfId="58037" xr:uid="{F52C301E-7A5C-4B8A-AAF1-25E2939DF3B4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12 6" xfId="58229" xr:uid="{5BBD4D11-ED66-4137-A0E3-7B19C225F2E5}"/>
    <cellStyle name="標準 2 8 13" xfId="57901" xr:uid="{F37BB900-57DB-477F-A7A5-A3534845BBE8}"/>
    <cellStyle name="標準 2 8 14" xfId="57522" xr:uid="{73F5FEFC-9A39-4925-99A8-C265E3403A35}"/>
    <cellStyle name="標準 2 8 2" xfId="7976" xr:uid="{00000000-0005-0000-0000-000026580000}"/>
    <cellStyle name="標準 2 8 2 10" xfId="57594" xr:uid="{76648367-A14D-499D-B893-E3F5AB8B7019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2 9" xfId="57902" xr:uid="{71984FB1-7CE8-4951-9F2E-40AFA2DBF602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10 6" xfId="58253" xr:uid="{DC61A519-EB5E-4CC4-94B9-84C4326E344A}"/>
    <cellStyle name="標準 2 9 11" xfId="57903" xr:uid="{BDD04EEE-B805-4BD2-9B45-4EB9DD51CADC}"/>
    <cellStyle name="標準 2 9 12" xfId="57570" xr:uid="{601ED52A-2E17-4F1C-90EA-E7B5AE37A072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2 6" xfId="58155" xr:uid="{B7728E3E-691B-42EA-93FE-A2C6196E97F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3 6" xfId="58388" xr:uid="{D0C6CB9E-332C-48D8-AE23-9C988978F523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 9 9 8" xfId="58059" xr:uid="{7A8C71EE-73DE-40B8-A78A-85ECFCDAAA13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2 6" xfId="58109" xr:uid="{16C7F903-F9DE-4532-8683-61E368F65B06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3 6" xfId="58341" xr:uid="{B2C4FAE1-2230-4A6A-B90A-5B23211C566D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4 8" xfId="58015" xr:uid="{1EF9820E-A370-47F3-B410-227009B2D2C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0 5 6" xfId="58206" xr:uid="{FFB1FB78-948B-425A-AFC6-0F0761DBB49D}"/>
    <cellStyle name="標準 3 10 6" xfId="57905" xr:uid="{95EF2EDF-27C7-4C69-85C9-6AF11F3EBB79}"/>
    <cellStyle name="標準 3 10 7" xfId="57547" xr:uid="{C9B6620D-7B7C-48AE-853D-7E5DEC920D46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1 4" xfId="57906" xr:uid="{455B02B3-6C75-4B3C-B397-A818DBD172B5}"/>
    <cellStyle name="標準 3 11 5" xfId="57498" xr:uid="{8C176F4D-99E7-4B91-A200-CDD343C4763A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2 6" xfId="58085" xr:uid="{1C45A1F7-A81D-41A9-B7C5-9CF91B7F10EC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3 6" xfId="58317" xr:uid="{1B6CD9E8-FF52-4F2C-8BCD-E09A1ACC45A2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3 8" xfId="57991" xr:uid="{2FABE3CE-CC7A-4E5D-AA18-2952F991D76C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4 6" xfId="58180" xr:uid="{123E83B5-BB23-492A-B4FF-6F9B03953DB1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5 6" xfId="58182" xr:uid="{450B4419-CB03-4301-BD2A-CE3F2A5DAF94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6 4" xfId="57904" xr:uid="{E22E9343-F929-4482-B437-3D5A8F1E96CD}"/>
    <cellStyle name="標準 3 17" xfId="140" xr:uid="{00000000-0005-0000-0000-00004D590000}"/>
    <cellStyle name="標準 3 17 2" xfId="58457" xr:uid="{FFCA5453-006B-4DD8-9728-054077462DA2}"/>
    <cellStyle name="標準 3 18" xfId="57494" xr:uid="{00A6DECB-AA4D-4CA4-88AD-F65B19781C5F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12" xfId="57502" xr:uid="{88F793BC-B8FA-4420-BDE7-4DFACA37BEB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2 6" xfId="57611" xr:uid="{7C6133BF-E4C8-4EA1-A778-5550D2874F8E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3 6" xfId="58246" xr:uid="{2B571744-0AEC-484B-944C-133D7AFD614C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4 6" xfId="58381" xr:uid="{89C74A4B-591F-4EA7-9520-D250947C1183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2 9" xfId="57539" xr:uid="{063B6348-DADE-40F0-BB69-987051339F8A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2 6" xfId="58173" xr:uid="{B8C62997-2466-41D8-A83B-A9AED3F09948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3 6" xfId="58271" xr:uid="{EA7553C7-75D6-4CEF-B80C-8CC7CAEC7CA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4 6" xfId="58406" xr:uid="{0F7ACD2C-14F6-47F5-9CDA-AA6F8719A3A5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3 9" xfId="57587" xr:uid="{AABE40E1-7763-4755-A1AF-052642F8C0EC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2 6" xfId="58126" xr:uid="{F4D2F424-872F-423C-8BD6-4868876B034E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3 6" xfId="58223" xr:uid="{410B9601-05EE-43EB-999D-1DE624F925E4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4 6" xfId="58358" xr:uid="{CEB656AF-9F34-4A87-BC7B-EA19A6BDFE3F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4 9" xfId="57563" xr:uid="{521C5C63-39B7-4BC5-930B-75716E5E9914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2 6" xfId="58102" xr:uid="{D77EEEA7-822E-4DF7-A153-9684E6D8ACE8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3 6" xfId="58334" xr:uid="{69B414A7-CBAA-4B19-864D-DD7C447A234D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5 8" xfId="58008" xr:uid="{C57A7F93-F8A0-4630-87E1-200D861CCE6C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2 6 6" xfId="58199" xr:uid="{0BA4A7EE-32B8-4FD0-B90B-5BCA162EB3E7}"/>
    <cellStyle name="標準 3 2 2 7" xfId="57908" xr:uid="{46FDCE8F-6D2C-479C-B6C8-3A2D295B1B8C}"/>
    <cellStyle name="標準 3 2 2 8" xfId="57514" xr:uid="{E7192C60-6F9E-460E-A1DB-CE21562F247B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2 6" xfId="58137" xr:uid="{18D1D93C-6E48-45BE-BA6B-53ED1FA9EFED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3 6" xfId="58369" xr:uid="{0E0065A8-20C5-4AFC-9AAD-36AD40B85A25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2 8" xfId="57599" xr:uid="{FBCC612B-FF09-4B77-9D22-69EA07729487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3 3 6" xfId="58234" xr:uid="{103D0013-94D3-4C54-B2FA-837AF1884EEA}"/>
    <cellStyle name="標準 3 2 3 4" xfId="57909" xr:uid="{F0962E9D-39F1-4B22-9014-C5C052B6E8B8}"/>
    <cellStyle name="標準 3 2 3 5" xfId="57527" xr:uid="{677FEE8B-19D1-4F6C-BC4A-5B0290793CF0}"/>
    <cellStyle name="標準 3 2 3 6" xfId="58472" xr:uid="{D4FE62D2-2FC1-4C4C-A133-267B84DD73CE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2 6" xfId="58160" xr:uid="{6AD85826-23E3-41AF-A624-7EA63001E30E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3 6" xfId="58393" xr:uid="{545A8777-322B-4703-B3C0-18ABF04F781B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2 8" xfId="58064" xr:uid="{30BE1CF0-6E0A-4978-B826-E5E6D1E887CE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4 3 6" xfId="58258" xr:uid="{6F603702-C3B9-44E5-97F0-BF958BC973DF}"/>
    <cellStyle name="標準 3 2 4 4" xfId="57951" xr:uid="{740ECBA2-E093-465B-88DC-D5758175A28C}"/>
    <cellStyle name="標準 3 2 4 5" xfId="57575" xr:uid="{3C5FB1B0-884A-4751-B3C9-C1B622182474}"/>
    <cellStyle name="標準 3 2 5" xfId="10619" xr:uid="{00000000-0005-0000-0000-0000435A0000}"/>
    <cellStyle name="標準 3 2 5 10" xfId="57551" xr:uid="{4E1C6BAF-91B5-462A-8694-58D21A23ED4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2 6" xfId="58434" xr:uid="{D8809D68-F017-4ABC-A689-BF60FA36E2C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2 7" xfId="58019" xr:uid="{83775BD0-17D3-43BB-B656-4511A70A1399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2 6" xfId="58345" xr:uid="{0EF3C37A-E55E-4135-9829-680C83B178BE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3 7" xfId="58113" xr:uid="{7DFF0B99-8438-4A29-B2D4-406D4A53888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4 6" xfId="58210" xr:uid="{9E00BDBE-242C-454F-AC00-4EE076723EC2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5 6" xfId="58294" xr:uid="{6D37E72F-917C-43C5-BA82-754A2576132C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2 6" xfId="58089" xr:uid="{9E57A397-EA5D-48AF-8C80-2DA1B38965D8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3 6" xfId="58321" xr:uid="{5BCBF466-C3FA-4BC6-BA29-62B18E5AF14D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6 8" xfId="57995" xr:uid="{E299B53C-7D92-4180-B6F5-EF531AD05CB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7 6" xfId="58083" xr:uid="{DFB0C5DE-FE12-440B-9FFB-181315444561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8 6" xfId="58186" xr:uid="{EE3873B3-C048-4AF6-88A1-D5BACE8086B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2 9 6" xfId="57907" xr:uid="{970B75CA-E93F-4D77-9072-8FE28074FF82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2 6" xfId="58091" xr:uid="{A62340EF-ADE5-404B-B138-1854B70BD937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3 6" xfId="58323" xr:uid="{0BAF6288-A727-4075-9ABA-3A0EE18DE15D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2 8" xfId="57997" xr:uid="{B1E065CA-D22D-4D04-AD1C-38AB22267AEF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3 6" xfId="58188" xr:uid="{FE245421-0EE0-494D-8471-4F716DD8FC8F}"/>
    <cellStyle name="標準 3 3 14" xfId="8036" xr:uid="{00000000-0005-0000-0000-0000F05A0000}"/>
    <cellStyle name="標準 3 3 15" xfId="57483" xr:uid="{1301BCA8-9A24-497A-AB54-B59F166DB3FF}"/>
    <cellStyle name="標準 3 3 15 2" xfId="58459" xr:uid="{BA0F3BF0-F5E7-4131-B035-3C3F6F18D8CF}"/>
    <cellStyle name="標準 3 3 16" xfId="57504" xr:uid="{94A604B4-BE13-4989-A208-55CE3FD2DF8B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14" xfId="58009" xr:uid="{8F2C3B33-8AD1-44FC-8534-8BDB09DD2B7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2 8" xfId="58103" xr:uid="{D5438385-BDD0-48CA-9929-FFEEB0B32708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3 7" xfId="58335" xr:uid="{1F2BC7A8-2E65-4231-9EDC-9BE09032328C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10" xfId="58200" xr:uid="{40A2B427-0ACF-460F-9ABE-66DFA14DFE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20" xfId="57613" xr:uid="{81D83C34-9682-4DB4-AFEA-1D3918C09501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21" xfId="57541" xr:uid="{CB60BE0D-ADFC-4C4F-A5B4-FF73909F9F2C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11" xfId="58054" xr:uid="{D5F2F761-6657-43B4-9761-4234289E69CA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2 7" xfId="58150" xr:uid="{1720C71C-3E61-49EC-9CD7-7D3D58AC02AA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3 7" xfId="58383" xr:uid="{361E1FC0-0BA8-4160-B9D3-BEDBA257589F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 9 8" xfId="58248" xr:uid="{75BA9008-A6C9-44E0-82AF-5BC43959ACB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24" xfId="57516" xr:uid="{42EB8665-881C-496D-87BC-8FA2097ABB7E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20" xfId="57589" xr:uid="{CA37141E-9E72-4046-8063-280F871DA291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13" xfId="58077" xr:uid="{C4E392D3-6162-4E82-BF4A-71F855989913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2 7" xfId="58174" xr:uid="{76BD849E-5774-4432-8112-9DE0B00DAD66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3 7" xfId="58407" xr:uid="{E0CE8ABD-7ADD-475D-8A38-D91FBA143C2B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7 9" xfId="58272" xr:uid="{A8056485-3213-4C2C-B73D-0532ED005EFD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20" xfId="57565" xr:uid="{A4300AAD-E760-4140-9EF9-D399A303C641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11" xfId="58032" xr:uid="{574626FD-B63C-4564-8BE8-53E6EA49A49B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2 7" xfId="58127" xr:uid="{A0130BC1-A415-483D-859B-C9CA80ACF87D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3 7" xfId="58359" xr:uid="{7B994DBF-8FD9-40A0-ABD1-8B229927929A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6 9" xfId="58224" xr:uid="{EE97235A-C201-4EB2-AC0A-78A7B841B85A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0 5" xfId="57910" xr:uid="{EF232DB3-56D5-4ACA-B583-9B6DE5BF039D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17" xfId="57529" xr:uid="{050EDF05-0610-4777-82E1-AD25CCB3C824}"/>
    <cellStyle name="標準 3 3 3 18" xfId="58473" xr:uid="{54262F9E-486A-46F4-8C7A-B045755381F4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13" xfId="57601" xr:uid="{7F9A428E-3AFC-4A1A-A6E8-ABDDCAEB4C8C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6 5" xfId="57911" xr:uid="{2DB64905-6A4D-4369-9908-E2E8B13330E4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2 6" xfId="58139" xr:uid="{C172BE0D-2E9F-4C29-B6C1-28628C910956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3 6" xfId="58371" xr:uid="{934CA8CD-36B8-4B63-9D8C-A883216A8B55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8 8" xfId="58043" xr:uid="{D7B35D22-5CF6-4EBD-AD24-960400E8E014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3 9 6" xfId="58236" xr:uid="{4527105F-5B95-40B1-AE67-A7E92103F99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0 5" xfId="57912" xr:uid="{002C3AD4-BBE9-4ADD-BE9B-FE23818BA063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17" xfId="57577" xr:uid="{AB5C8370-23D6-47F8-A78B-FCDB141E8535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2 6" xfId="58162" xr:uid="{D1A048F5-AA4E-453B-AEEC-C8BC618D1ED9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3 6" xfId="58395" xr:uid="{0F7DD405-7F13-4785-8C50-ED8C692460F3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8 8" xfId="58066" xr:uid="{8EE23213-BA96-4C59-8ADE-6EDB528CC2CB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4 9 6" xfId="58260" xr:uid="{323B0091-1819-48A1-A879-7DE510C68631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15" xfId="57553" xr:uid="{A7387FB5-196A-4A7B-B8BD-8450F3C372DA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2 6" xfId="58115" xr:uid="{184C543B-FE8D-4DF0-93B1-94CDE9A1795B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3 6" xfId="58347" xr:uid="{F708F076-512A-49E8-8ADD-0B7B690D20A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6 8" xfId="58021" xr:uid="{2BF04C2C-EFED-486E-8263-92FD744555EC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7 6" xfId="58212" xr:uid="{523796C5-C46B-4977-A88F-C57AC7E9214F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8 5" xfId="57913" xr:uid="{3B9CB705-D865-4510-9282-D0E65D0EAF68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16" xfId="57954" xr:uid="{487B84C9-4A45-4684-BDB0-DA2CB0EF2949}"/>
    <cellStyle name="標準 3 4 12 2" xfId="1100" xr:uid="{00000000-0005-0000-0000-00005A680000}"/>
    <cellStyle name="標準 3 4 12 2 10" xfId="57121" xr:uid="{00000000-0005-0000-0000-00005B680000}"/>
    <cellStyle name="標準 3 4 12 2 11" xfId="58093" xr:uid="{5BC3420F-BE20-4A99-880C-1C8C5319192F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2 8" xfId="58419" xr:uid="{70B1EB5D-F143-4BF7-82DB-3609C7A0B5C8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3 8" xfId="58325" xr:uid="{37502099-3DA1-41BF-9417-BE92A9236EC5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4 7" xfId="58279" xr:uid="{E541767E-4FC5-49A9-B83B-F07ACD6848AF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12" xfId="57999" xr:uid="{4AB5BCE5-FF69-421D-B21F-08D4595BF5EC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12" xfId="58190" xr:uid="{7B336C80-250D-4FF1-BD0E-8F04A3979249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6 9" xfId="58469" xr:uid="{B97AE637-03B1-4E79-9301-411F3E997606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15" xfId="57957" xr:uid="{2896D89C-BD41-4C7B-97DE-5B82998E56A7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2 7" xfId="58422" xr:uid="{564E637E-6046-46D6-AB92-B542545E414E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2 9" xfId="58104" xr:uid="{F5A87F85-8785-44AE-84D7-7B8C9F5ED4A6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3 7" xfId="58336" xr:uid="{230D0427-FCEE-4AB2-B30E-74D220AE1B33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4 7" xfId="58282" xr:uid="{FC3B33A3-2567-4C2C-B1E6-C34A88B865E5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12" xfId="58010" xr:uid="{5C265FB7-F701-485B-A2C0-ADF5F5116538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10" xfId="58201" xr:uid="{32FBD199-FF0C-4C35-80C3-1A5084339459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0 9" xfId="58250" xr:uid="{0DA201A8-222E-4367-AB74-FE53CB2A1A94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21" xfId="57615" xr:uid="{302F429E-813A-4655-BF2A-876F1C7BEE5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23" xfId="57543" xr:uid="{61A8A93F-0694-406A-9235-60325ADB245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16" xfId="57963" xr:uid="{20060AAF-DE68-4E9E-B376-81A163B6DB96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2 7" xfId="58428" xr:uid="{624AA508-0B66-432D-9237-0E81BFDD3D4F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2 9" xfId="58152" xr:uid="{046A824D-6E35-461B-9673-06A31E8D427F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3 7" xfId="58385" xr:uid="{81517F2E-BF15-4402-B246-4D985DE6036B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4 7" xfId="58288" xr:uid="{CDFED6BE-2DB6-46B3-92AA-3CB9C3A1ED2C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11" xfId="58056" xr:uid="{69C8A980-19D7-4AF7-B7AA-7289C8700A2E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25" xfId="57518" xr:uid="{62A4E83F-8820-43DC-82A6-FC4E2A39F70D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21" xfId="57591" xr:uid="{656508B5-A45F-41E8-86F6-856E454084EA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15" xfId="58078" xr:uid="{1F12205E-42C2-4307-B0D4-B7B9FCC7F396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2 8" xfId="58175" xr:uid="{B72BC202-ACB9-44FF-912B-43265F3825FC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3 7" xfId="58408" xr:uid="{C6E0EC80-6478-4926-A5CB-A64BD9F96B37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11" xfId="58273" xr:uid="{9A5A53CB-9A52-4686-96A4-A98D2D2C1E01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20" xfId="57567" xr:uid="{28D4E8B7-E2A1-4A71-901B-71E437043A34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14" xfId="58033" xr:uid="{2A1F29BC-2D72-41F0-86D1-E7EF353608CC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2 8" xfId="58128" xr:uid="{B4CCA356-F49F-476C-9432-5D20B290A408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3 7" xfId="58360" xr:uid="{0F4AEF11-977A-48D8-9B41-968785F99554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11" xfId="58225" xr:uid="{EE745FC3-4E1D-4ACB-A968-449AE8F24823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28" xfId="57506" xr:uid="{334AAA52-D3C8-4C98-A2F2-D46566676E52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12" xfId="58045" xr:uid="{BE0E3BD7-5F37-4B41-8E44-9F5AA2BFE4F1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10" xfId="58238" xr:uid="{06ADEC37-C815-491A-BCCC-567D75A856E3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21" xfId="57603" xr:uid="{82E8C026-E0E6-4AFC-82BA-A30106595466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11" xfId="57914" xr:uid="{31E50AAD-F5AB-41F2-B1DA-97ADFFBF3528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24" xfId="57531" xr:uid="{1B1C2CB0-9916-4C39-B39B-78C824C6318D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15" xfId="57960" xr:uid="{A6A99211-723C-48ED-8E55-80B42D30A637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2 7" xfId="58425" xr:uid="{096234DE-CCCD-4AFB-8A65-D635EAB5CE39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2 9" xfId="58141" xr:uid="{401B0E5C-B61F-4911-A9D4-5D1014C8FDD6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3 7" xfId="58373" xr:uid="{41237881-09DD-49DB-A9BE-245F6A6F4ACB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4 7" xfId="58285" xr:uid="{C1117F0D-8361-4D81-A685-20051F25C5E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10" xfId="58262" xr:uid="{1F85BB22-4105-45A2-A980-0DD88B361D62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23" xfId="57579" xr:uid="{3CB1D00D-9721-4104-A672-C0D6815A7C8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16" xfId="57966" xr:uid="{DF592782-55AD-4094-AE93-557A532A711F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2 7" xfId="58431" xr:uid="{499F3947-6FD2-43ED-890B-520B3EC5D457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2 9" xfId="58164" xr:uid="{05630127-0EDE-402B-B709-3A79EBAD22E1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3 7" xfId="58397" xr:uid="{9F69C63B-8620-40D4-8784-5F5B511A719D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4 7" xfId="58291" xr:uid="{CA90B295-D36A-4AE8-B857-A840373C5A9B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11" xfId="58068" xr:uid="{E2626838-4F67-4BA9-B595-CA45FDED7311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23" xfId="57555" xr:uid="{9FC782A6-15F3-43D8-B2A5-8C5097B51D6F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15" xfId="58023" xr:uid="{67D863E6-7957-49C3-8000-5F9CF87716C7}"/>
    <cellStyle name="標準 3 4 5 7 2" xfId="2572" xr:uid="{00000000-0005-0000-0000-000054960000}"/>
    <cellStyle name="標準 3 4 5 7 2 10" xfId="58117" xr:uid="{DC58B019-DF26-4475-83FA-B4E7BFE872CD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3 7" xfId="58349" xr:uid="{CA870B2C-E0E7-4DE0-8291-FABE7000A1CD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13" xfId="58214" xr:uid="{D4DCCE7B-E414-428F-8877-798CF29A2DA5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2 6" xfId="58095" xr:uid="{BA27BC43-F775-49EF-8505-B8964E603026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3 6" xfId="58327" xr:uid="{0C4F60B7-2EB5-4781-AAB0-9B0DBE9B7CCA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0 8" xfId="58001" xr:uid="{3BA7BDBD-87E1-4613-8CFC-E728D69D8ED2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11 6" xfId="58192" xr:uid="{EAACB0B1-A114-4136-B27D-3D607912BDDC}"/>
    <cellStyle name="標準 3 5 12" xfId="57915" xr:uid="{A940B761-3514-4797-85E3-CD75CD3D6AD1}"/>
    <cellStyle name="標準 3 5 13" xfId="57508" xr:uid="{660FF3BA-BEC0-423B-9B86-392038ABA864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10 6" xfId="58202" xr:uid="{B0EB7609-513D-4478-8A96-0056C111BEFC}"/>
    <cellStyle name="標準 3 5 2 11" xfId="57916" xr:uid="{E314AFAE-40EE-459B-B6B0-BD24CF5D38B3}"/>
    <cellStyle name="標準 3 5 2 12" xfId="57520" xr:uid="{B6BD62F2-1509-4A38-AE71-F7E270A7A890}"/>
    <cellStyle name="標準 3 5 2 2" xfId="8289" xr:uid="{00000000-0005-0000-0000-0000D39E0000}"/>
    <cellStyle name="標準 3 5 2 2 10" xfId="57917" xr:uid="{4DF7946F-9C84-416E-BC72-1F784781A463}"/>
    <cellStyle name="標準 3 5 2 2 11" xfId="57545" xr:uid="{A1A5C0BB-076A-444D-8914-B3BCE4B1F83D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2 6" xfId="57918" xr:uid="{26670557-1B86-41B5-AA80-AD9651171B08}"/>
    <cellStyle name="標準 3 5 2 2 2 7" xfId="57617" xr:uid="{A68C5265-EC8E-424E-9E1B-2FD254F1F7B6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2 6" xfId="58154" xr:uid="{A3FDCA2D-25F9-4507-8ED0-51EAB8B0952C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3 6" xfId="58387" xr:uid="{0CC28026-9B76-46AF-A4F0-3D551BB3E5C8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8 8" xfId="58058" xr:uid="{72653D6C-F170-46F6-ACF4-7CCE0BE35598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2 9 6" xfId="58252" xr:uid="{FAFB1790-A890-4BCD-AE87-F2022E25EC7E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2 6" xfId="58176" xr:uid="{359B06DC-37FE-407E-A286-4B92468A4FD4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3 6" xfId="58409" xr:uid="{1B2F6BAC-10C8-43F7-9F7B-C1B252EC0D8B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6 8" xfId="58079" xr:uid="{4C64B3E0-3D18-4EBA-924A-F76D462A68C1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3 7 6" xfId="58274" xr:uid="{F3E5C0D3-C84D-4346-950B-13E741BBD535}"/>
    <cellStyle name="標準 3 5 2 3 8" xfId="57919" xr:uid="{DB616C7F-D2E5-4871-B1FB-0B6653C1680F}"/>
    <cellStyle name="標準 3 5 2 3 9" xfId="57593" xr:uid="{AD764158-366E-4F6C-B71F-D25BECEBD6F3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2 6" xfId="58129" xr:uid="{F2346DF3-65A0-489A-96C1-9D6BE9D5514A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3 6" xfId="58361" xr:uid="{C249D8CE-857F-4480-AFB7-D8176BC60CF2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5 8" xfId="58034" xr:uid="{2520B023-3BBE-4654-991B-EAA516CC0142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4 6 6" xfId="58226" xr:uid="{263DC02E-41E7-424B-87E4-AD1B29A62FE2}"/>
    <cellStyle name="標準 3 5 2 4 7" xfId="57920" xr:uid="{6E773F6A-20C9-4592-ACB0-DF88F5307C4D}"/>
    <cellStyle name="標準 3 5 2 4 8" xfId="57569" xr:uid="{1896859B-0172-4C43-977D-ED846B33B343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2 6" xfId="58105" xr:uid="{28826E37-28BA-42AB-8042-8A3ECC84C698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3 6" xfId="58337" xr:uid="{62808587-42CC-415A-936D-253C13611778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2 9 8" xfId="58011" xr:uid="{DDECDCDC-9C5B-4A20-B5D4-D6100666C25F}"/>
    <cellStyle name="標準 3 5 3" xfId="8336" xr:uid="{00000000-0005-0000-0000-0000989F0000}"/>
    <cellStyle name="標準 3 5 3 10" xfId="57921" xr:uid="{1DD0A7BA-1B27-43A7-88A4-0D9F1FA600BC}"/>
    <cellStyle name="標準 3 5 3 11" xfId="57533" xr:uid="{91C283DE-7ADE-482F-91D4-5679885D63D1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2 6" xfId="57922" xr:uid="{9CDFA946-817F-49EC-8CC3-3C6293E3A379}"/>
    <cellStyle name="標準 3 5 3 2 7" xfId="57605" xr:uid="{A2617D88-1001-4A24-87C8-4C890DAA3B89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2 6" xfId="58143" xr:uid="{DCECD155-E0E5-4DC5-9518-23569746A92B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3 6" xfId="58375" xr:uid="{3D6D14C6-C3E3-4F50-8335-78A90221A01E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8 8" xfId="58047" xr:uid="{E7743A7E-D403-4B65-ACC7-F132D8DE1E3B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3 9 6" xfId="58240" xr:uid="{68DA1B9F-73E1-42C8-B0FC-3A3D39628243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2 6" xfId="58166" xr:uid="{4902EDA8-14EE-46B6-94E1-08121474AF75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3 6" xfId="58399" xr:uid="{C00B22CF-CFBB-4603-B480-5EA79DED2465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6 8" xfId="58070" xr:uid="{17779AAC-4C81-4803-A8C6-AF27613E9DDE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4 7 6" xfId="58264" xr:uid="{6CE519AC-3BF0-4396-96C7-86AD975E460F}"/>
    <cellStyle name="標準 3 5 4 8" xfId="57923" xr:uid="{95EBEFC3-D79B-469C-A694-83B740581390}"/>
    <cellStyle name="標準 3 5 4 9" xfId="57581" xr:uid="{2A098446-1B83-474D-93B8-57FA6AE77A34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2 6" xfId="58119" xr:uid="{EB28A09C-4370-40EC-B3CE-C00CE4A546BB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3 6" xfId="58351" xr:uid="{AEDEC442-2367-4FFF-944C-CC78DCB05A3C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5 8" xfId="58025" xr:uid="{E377F5D9-53B2-4D40-9C77-1505A968901D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5 6 6" xfId="58216" xr:uid="{56E3233C-F381-4FCF-963D-F402FBCFF9BE}"/>
    <cellStyle name="標準 3 5 5 7" xfId="57924" xr:uid="{D618B2D2-DAA7-451A-93A3-2AABDA4F5317}"/>
    <cellStyle name="標準 3 5 5 8" xfId="57557" xr:uid="{F50980D1-9861-45F6-BA26-1F5051CEBDF2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10 6" xfId="58184" xr:uid="{613D88A5-D8C2-4130-A9C9-35A1370ECBB1}"/>
    <cellStyle name="標準 3 6 11" xfId="57925" xr:uid="{695848DE-6E27-4DFB-97F6-AB6B0F3D95EB}"/>
    <cellStyle name="標準 3 6 12" xfId="57500" xr:uid="{B74552CF-90EF-4196-A42E-AE15EF0968A3}"/>
    <cellStyle name="標準 3 6 2" xfId="8384" xr:uid="{00000000-0005-0000-0000-00004AA00000}"/>
    <cellStyle name="標準 3 6 2 10" xfId="57926" xr:uid="{674CAD83-DEE5-4B5D-B971-80D5CC60A20F}"/>
    <cellStyle name="標準 3 6 2 11" xfId="57512" xr:uid="{0CEEDC70-5830-421D-A08D-20F82E84725B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2 4" xfId="57928" xr:uid="{EB44ECEA-F431-4480-AB9B-5ECA3048495B}"/>
    <cellStyle name="標準 3 6 2 2 2 5" xfId="57609" xr:uid="{2B28F5D4-60B9-4670-98ED-948BADAA6D3D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2 6" xfId="58147" xr:uid="{70FEC660-6410-44A3-9223-E4A64AC745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3 6" xfId="58379" xr:uid="{B70D2AF5-A3BD-42CB-920E-7775FAB0EEB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6 8" xfId="58051" xr:uid="{EA64214F-E231-4367-8FFB-C979FA059CD9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2 7 6" xfId="58244" xr:uid="{41467E87-ECA7-4A77-8C22-463C67B025A5}"/>
    <cellStyle name="標準 3 6 2 2 8" xfId="57927" xr:uid="{253D2352-5D54-4157-8F51-5C3F4A56D04C}"/>
    <cellStyle name="標準 3 6 2 2 9" xfId="57537" xr:uid="{82B6A9AE-BB4B-4FE2-9285-758DA0A0D07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2 6" xfId="58177" xr:uid="{124F0E36-F391-4B87-8501-5A6EB8A71A33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3 6" xfId="58410" xr:uid="{F20BBC9E-0CA9-4CA4-94D4-C179AC76475A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5 8" xfId="58080" xr:uid="{F185C2E4-E7CE-4DF0-895E-2FAFFE749B2A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3 6 6" xfId="58275" xr:uid="{E78F709B-3764-4A65-9BD0-A66C6B238140}"/>
    <cellStyle name="標準 3 6 2 3 7" xfId="57929" xr:uid="{46D7BD24-6878-43DD-9B89-187A1FD44F55}"/>
    <cellStyle name="標準 3 6 2 3 8" xfId="57585" xr:uid="{F7C44A86-2AB5-4589-81E8-D0F1C853C66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2 6" xfId="58130" xr:uid="{4B718B75-803E-4D69-9D00-6B85AC53A04D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3 6" xfId="58362" xr:uid="{517AE2B5-E328-4EC7-BF61-992F43775E32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4 8" xfId="58035" xr:uid="{A467B4BD-82F8-48FC-A09C-D07A6D350CFF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4 5 6" xfId="58227" xr:uid="{92C8F964-3FB6-41D3-89F5-52EB20125398}"/>
    <cellStyle name="標準 3 6 2 4 6" xfId="57930" xr:uid="{82BD61B0-8365-4895-8ECA-123DC59E6643}"/>
    <cellStyle name="標準 3 6 2 4 7" xfId="57561" xr:uid="{0E98EBFE-5344-4D71-BCD8-581AC3FF34AC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2 6" xfId="58106" xr:uid="{1F41C69F-A86A-45B9-9AD9-C9D18E72BBA2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3 6" xfId="58338" xr:uid="{38D5F24F-4EB3-4064-A833-01CAE43E58F3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8 8" xfId="58012" xr:uid="{C8E6D9F9-06EB-4381-BD76-C2EAA5DCFD1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2 9 6" xfId="58203" xr:uid="{CCA63D4B-477A-42DF-A741-A9283E61F38C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2 4" xfId="57932" xr:uid="{7C26AC86-0EF0-4FAA-AAFD-823FA77EA838}"/>
    <cellStyle name="標準 3 6 3 2 5" xfId="57597" xr:uid="{2FD06AAD-AD22-42C4-BAB5-4628ABC6B3DE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2 6" xfId="58135" xr:uid="{4AA3FF29-B8DF-4FD9-B716-FE81562B1719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3 6" xfId="58367" xr:uid="{4EB40B7E-8A40-4C2F-BD19-72CA4CB91115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6 8" xfId="58040" xr:uid="{1A828238-90F7-46F6-8096-4B6B39800DD7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3 7 6" xfId="58232" xr:uid="{3CE467D1-CF2D-46B4-9FF2-034848C6F2CA}"/>
    <cellStyle name="標準 3 6 3 8" xfId="57931" xr:uid="{A392FAEC-258C-4EAE-BAF7-7AC22C803560}"/>
    <cellStyle name="標準 3 6 3 9" xfId="57525" xr:uid="{AD5D08CB-4375-48D0-A018-C3B286FBB38D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2 6" xfId="58158" xr:uid="{9C8142E4-003B-4E91-A351-C31EC4FDDF3D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3 6" xfId="58391" xr:uid="{B54D51DD-B358-4B3F-A5D4-731661172A85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5 8" xfId="58062" xr:uid="{B4B69DDB-EE0C-476A-8B82-B6976FC971D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4 6 6" xfId="58256" xr:uid="{69A32723-BBA6-40E2-B491-A1BCDD2A417A}"/>
    <cellStyle name="標準 3 6 4 7" xfId="57933" xr:uid="{55D79588-6E45-4CF8-B2D1-D08ADECB4545}"/>
    <cellStyle name="標準 3 6 4 8" xfId="57573" xr:uid="{069B32D9-8BC5-4B0F-8947-A102A12DDBFD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2 6" xfId="58111" xr:uid="{2830A35D-02BD-47CD-98E6-402F9D79EDDC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3 6" xfId="58343" xr:uid="{328046E4-40F0-43FE-A719-2A6D5C8F1498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4 8" xfId="58017" xr:uid="{B54D77D8-6429-4DC0-891C-F691E44B3A73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5 5 6" xfId="58208" xr:uid="{39EE0FA6-8F21-4869-99B9-899A0DDB544B}"/>
    <cellStyle name="標準 3 6 5 6" xfId="57934" xr:uid="{2B9F57B6-D31A-4A08-9DEC-655099FD2172}"/>
    <cellStyle name="標準 3 6 5 7" xfId="57549" xr:uid="{A4762588-87B9-44D1-ACF2-CEA970F152C8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2 6" xfId="58087" xr:uid="{1BB07C91-9023-41F3-A4F2-19B96E4C7B4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3 6" xfId="58319" xr:uid="{FFEAECF1-141A-45C1-8181-8B251FEB04F5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6 9 8" xfId="57993" xr:uid="{A094238B-384C-4B8F-ACC4-A8BBFB61999F}"/>
    <cellStyle name="標準 3 7" xfId="8431" xr:uid="{00000000-0005-0000-0000-0000AFA10000}"/>
    <cellStyle name="標準 3 7 10" xfId="57935" xr:uid="{141CCC06-3CD5-44B9-8DFB-E94002A3DE01}"/>
    <cellStyle name="標準 3 7 11" xfId="57510" xr:uid="{ED08528F-A1EF-4095-9C84-EBB351BDAF5D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2 4" xfId="57937" xr:uid="{5F3A898B-1074-4296-A894-885F52C0268A}"/>
    <cellStyle name="標準 3 7 2 2 5" xfId="57607" xr:uid="{BEAB4DF6-BCE8-48CF-8574-A1DAA879A20D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2 6" xfId="58145" xr:uid="{C6F12487-9EA1-4E7B-8138-30E4099F0B15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3 6" xfId="58377" xr:uid="{BDD6132B-F612-4819-A15F-C727206B030F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6 8" xfId="58049" xr:uid="{98B3A26C-0480-487A-ABC9-B165ADFE59F1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2 7 6" xfId="58242" xr:uid="{C84E382B-1EB3-4710-9788-7CEB4ACBCE03}"/>
    <cellStyle name="標準 3 7 2 8" xfId="57936" xr:uid="{E465B651-9A39-45FA-AE6D-F1253FFF2CD2}"/>
    <cellStyle name="標準 3 7 2 9" xfId="57535" xr:uid="{8E21315D-A082-4A23-B4A8-AF8A23294EE4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2 6" xfId="58178" xr:uid="{1C1BE51B-2152-4935-ABC5-FF42DDFEDD2B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3 6" xfId="58411" xr:uid="{A628B3E8-8FFF-47B4-BDA9-5FD998C08029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5 8" xfId="58081" xr:uid="{1DD66214-B404-4D61-99AA-2671E48D1D52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3 6 6" xfId="58276" xr:uid="{96706113-7DC6-407C-8C79-CA1F0A773C5A}"/>
    <cellStyle name="標準 3 7 3 7" xfId="57938" xr:uid="{4C4AA523-379F-405A-BCEF-3FE4BEBDAE7B}"/>
    <cellStyle name="標準 3 7 3 8" xfId="57583" xr:uid="{E906FD06-31D9-4138-A0B3-B7E7269C9AD5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2 6" xfId="58131" xr:uid="{FB5DFF2C-12DD-4630-95AD-10DF5A96DB5C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3 6" xfId="58363" xr:uid="{DC514560-7031-4421-AB8C-AA24A505BA69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4 8" xfId="58036" xr:uid="{B5C35D50-1A26-4293-A66B-ED50243E2D5A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4 5 6" xfId="58228" xr:uid="{E99C3AD9-305E-4BA9-8236-7A45F1C6142A}"/>
    <cellStyle name="標準 3 7 4 6" xfId="57939" xr:uid="{537CB5CD-CCFD-4984-AB82-A47C92F90194}"/>
    <cellStyle name="標準 3 7 4 7" xfId="57559" xr:uid="{1947D96B-7457-41BB-80F8-9B110606481C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2 6" xfId="58107" xr:uid="{EF9FA13E-95F8-4BC9-A0BE-81FDAF8FBC79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3 6" xfId="58339" xr:uid="{5FB7E910-4BDE-4DAB-8F69-1AD67548AAED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8 8" xfId="58013" xr:uid="{E47B4CF4-5CFD-4C61-AA00-21B5F4010D88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7 9 6" xfId="58204" xr:uid="{00885745-178E-4FC7-99AD-D2B5C1C4DADA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2 4" xfId="57941" xr:uid="{F574E7D2-0924-48D4-A80E-57A42DA6724A}"/>
    <cellStyle name="標準 3 8 2 5" xfId="57595" xr:uid="{EA0556F4-4504-4804-8C5A-5D4AAC627A3C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2 6" xfId="58133" xr:uid="{10EA5C39-FEDD-476C-877B-7DA5CEF1EE0A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3 6" xfId="58365" xr:uid="{913DBD5D-568A-4E36-9EDE-795B8F2EBF47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6 8" xfId="58038" xr:uid="{3EC39C47-2D31-4EFC-9A8D-70F239782487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8 7 6" xfId="58230" xr:uid="{655DE467-4091-4A9D-A435-13A88F128CDE}"/>
    <cellStyle name="標準 3 8 8" xfId="57940" xr:uid="{6F226CF4-4B21-4E6F-B2DA-6E1A8143F217}"/>
    <cellStyle name="標準 3 8 9" xfId="57523" xr:uid="{73E213AE-BC83-43ED-8A20-5D8D01674936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2 6" xfId="58156" xr:uid="{5F85BA82-E2EB-44CF-A83A-4482B6CE76F6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3 6" xfId="58389" xr:uid="{D2355389-190E-41B5-B9EE-7AAFFC04FD55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5 8" xfId="58060" xr:uid="{711AA2BF-53BC-4D91-BBAF-77B39D49BCB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 9 6 6" xfId="58254" xr:uid="{3E00E63E-868B-4860-94AF-4AB545EA3E5F}"/>
    <cellStyle name="標準 3 9 7" xfId="57942" xr:uid="{4A427D77-4C7F-4E31-A150-40B055B6A969}"/>
    <cellStyle name="標準 3 9 8" xfId="57571" xr:uid="{CB148C8D-992B-437E-A39A-534F4B30DD0E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2 6" xfId="58417" xr:uid="{1CF55F46-917B-4181-AE75-0DEE3C57AEAC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3 6" xfId="58277" xr:uid="{871B5E79-05E9-4F96-B2A8-AC058868461F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4 7" xfId="57952" xr:uid="{1C277D4D-77E5-4C7C-A219-3E3EE5430012}"/>
    <cellStyle name="標準 35" xfId="661" xr:uid="{00000000-0005-0000-0000-0000F5A20000}"/>
    <cellStyle name="標準 35 2" xfId="57644" xr:uid="{FBB033C1-5FF5-4412-8933-FEC9968C5C6C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16 2" xfId="58463" xr:uid="{28544849-5496-4C00-9E6E-98A16D01A86D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A4867FA2-69CD-46DF-AA07-F21BAB81D94C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15" xfId="58470" xr:uid="{4C7FBDAA-1E6A-405F-BCC9-B02250483F9D}"/>
    <cellStyle name="標準 5 2 2" xfId="8594" xr:uid="{00000000-0005-0000-0000-0000B9A40000}"/>
    <cellStyle name="標準 5 2 2 10" xfId="57491" xr:uid="{B670E977-7920-475F-B683-651F02C698E7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15" xfId="57955" xr:uid="{1606C4CB-E7BB-4151-B321-15FAE8E04108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2 8" xfId="58420" xr:uid="{70CA1E30-B3D3-4A18-AB85-EF7B1BCA92B9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3 7" xfId="58412" xr:uid="{836CAEAB-F38D-46DE-870F-C68871997303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4 7" xfId="58280" xr:uid="{3F25921F-213B-4A97-B3BF-230312EEE2AB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11" xfId="58471" xr:uid="{C3578B9A-3430-44F6-95F3-C9A14F2F8648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16" xfId="57964" xr:uid="{7CD5A5CC-4778-4DC8-B0BE-08903C1D1314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2 8" xfId="58429" xr:uid="{9D14A07D-684E-4298-9697-8C70BF383ACC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3 7" xfId="58415" xr:uid="{8A97F848-0F28-42C1-869A-EF37680AC5BE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4 7" xfId="58289" xr:uid="{DDDA79EA-2659-42CB-B31C-1CB2EA94FE88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16" xfId="57958" xr:uid="{FBD39733-1CE8-40B5-9EC9-0529C1A76BF4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2 8" xfId="58423" xr:uid="{BCF6CBAD-F9EC-4506-8145-DD2CB4E087AF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3 7" xfId="58413" xr:uid="{C396B6A0-197F-4BC9-A256-DD452C27CD37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4 7" xfId="58283" xr:uid="{E5F5AACA-5039-478D-8466-C41C7FCDD7E4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16" xfId="57961" xr:uid="{51A4CD2D-179C-43BA-B196-12B27C6D4BE6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2 8" xfId="58426" xr:uid="{51F36599-7B10-4A09-8A4C-2F4009883875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3 7" xfId="58414" xr:uid="{BDF3343A-B489-45CB-904F-4A79DC761718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4 7" xfId="58286" xr:uid="{16DE431C-C890-4318-8576-556E7B1E8124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16" xfId="57967" xr:uid="{1DC1AE2D-8FFF-4954-8B55-335919EE5589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2 8" xfId="58432" xr:uid="{3634735F-2E19-4D9E-A144-30E2F74EEF98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3 7" xfId="58416" xr:uid="{019D8990-DCFA-44C7-80B4-AC0B45C628A1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4 7" xfId="58292" xr:uid="{5AFD050F-2E52-4DDF-8379-2759AEC38B68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1 2" xfId="58475" xr:uid="{122514A0-34DD-4477-A029-489C80385C22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18 2" xfId="58461" xr:uid="{3C34E52E-4E3F-4E06-82C8-1D0FC7AE69A6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2 6" xfId="58451" xr:uid="{BCDD3DE7-85BA-481E-BAF7-A5A65EB84774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3 6" xfId="58311" xr:uid="{B815008A-9575-4E3A-AED5-18C61163148B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5 8" xfId="57985" xr:uid="{B74EC397-E051-4E14-895E-E3B0C67DFECB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10" xfId="57492" xr:uid="{5480A216-9894-45FF-A65A-78540C991F35}"/>
    <cellStyle name="標準 8 2 7 11" xfId="57972" xr:uid="{4B947E58-65DB-4B73-96E4-D06DD2621837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2 6" xfId="58438" xr:uid="{235F473C-4017-4039-B405-FD952CFE0DEB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3 6" xfId="58298" xr:uid="{FE605D32-6F6B-4DC6-96DD-7355CF442D7B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2 6" xfId="58444" xr:uid="{FFC7DE9B-F327-42A1-A54F-93C6D0709AE8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4 6" xfId="58304" xr:uid="{D5C4D819-E971-4F54-8B9C-DD0438C04C17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7 9" xfId="57978" xr:uid="{2A65F42B-A149-44DF-BCAA-2DE1786148E4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14" xfId="58476" xr:uid="{CBBC2A5B-D88E-4044-9461-B96E27CF9C96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2 6" xfId="58436" xr:uid="{154A15F5-220C-4BB6-8203-D1287DD0C96D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3 6" xfId="58296" xr:uid="{C75D6A52-56C9-4DFC-B74D-E2C77ED7C276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7 8" xfId="57970" xr:uid="{19DE3120-5682-41B4-B526-4DD26F660DA9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0"/>
  <tableStyles count="0" defaultTableStyle="TableStyleMedium9" defaultPivotStyle="PivotStyleLight16"/>
  <colors>
    <mruColors>
      <color rgb="FF0000FF"/>
      <color rgb="FFFFFFCC"/>
      <color rgb="FFEFFFEF"/>
      <color rgb="FFFFFFFF"/>
      <color rgb="FF0033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7327</xdr:colOff>
      <xdr:row>29</xdr:row>
      <xdr:rowOff>175846</xdr:rowOff>
    </xdr:from>
    <xdr:to>
      <xdr:col>29</xdr:col>
      <xdr:colOff>4722961</xdr:colOff>
      <xdr:row>60</xdr:row>
      <xdr:rowOff>90920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807420F9-257F-4728-9077-BDB7BEECC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177" y="5462221"/>
          <a:ext cx="9173334" cy="6112674"/>
        </a:xfrm>
        <a:prstGeom prst="rect">
          <a:avLst/>
        </a:prstGeom>
      </xdr:spPr>
    </xdr:pic>
    <xdr:clientData/>
  </xdr:twoCellAnchor>
  <xdr:oneCellAnchor>
    <xdr:from>
      <xdr:col>13</xdr:col>
      <xdr:colOff>109904</xdr:colOff>
      <xdr:row>29</xdr:row>
      <xdr:rowOff>14654</xdr:rowOff>
    </xdr:from>
    <xdr:ext cx="1926981" cy="671915"/>
    <xdr:sp macro="" textlink="">
      <xdr:nvSpPr>
        <xdr:cNvPr id="74" name="吹き出し: 四角形 73">
          <a:extLst>
            <a:ext uri="{FF2B5EF4-FFF2-40B4-BE49-F238E27FC236}">
              <a16:creationId xmlns:a16="http://schemas.microsoft.com/office/drawing/2014/main" id="{F2CF2F73-573F-452D-AEB2-757C59C11AF3}"/>
            </a:ext>
          </a:extLst>
        </xdr:cNvPr>
        <xdr:cNvSpPr/>
      </xdr:nvSpPr>
      <xdr:spPr>
        <a:xfrm>
          <a:off x="2293327" y="4850423"/>
          <a:ext cx="1926981" cy="671915"/>
        </a:xfrm>
        <a:prstGeom prst="wedgeRectCallout">
          <a:avLst>
            <a:gd name="adj1" fmla="val -55652"/>
            <a:gd name="adj2" fmla="val 105039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FSC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製品区分が該当時に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ワークフローを分岐する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FSC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製品区分≠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0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：非該当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29</xdr:col>
      <xdr:colOff>1340827</xdr:colOff>
      <xdr:row>40</xdr:row>
      <xdr:rowOff>163391</xdr:rowOff>
    </xdr:from>
    <xdr:ext cx="5431448" cy="671915"/>
    <xdr:sp macro="" textlink="">
      <xdr:nvSpPr>
        <xdr:cNvPr id="75" name="吹き出し: 四角形 74">
          <a:extLst>
            <a:ext uri="{FF2B5EF4-FFF2-40B4-BE49-F238E27FC236}">
              <a16:creationId xmlns:a16="http://schemas.microsoft.com/office/drawing/2014/main" id="{6DF76A8A-1AFF-4E8C-87B3-5D97A4E1CD32}"/>
            </a:ext>
          </a:extLst>
        </xdr:cNvPr>
        <xdr:cNvSpPr/>
      </xdr:nvSpPr>
      <xdr:spPr>
        <a:xfrm>
          <a:off x="6122377" y="8050091"/>
          <a:ext cx="5431448" cy="671915"/>
        </a:xfrm>
        <a:prstGeom prst="wedgeRectCallout">
          <a:avLst>
            <a:gd name="adj1" fmla="val -41434"/>
            <a:gd name="adj2" fmla="val 9115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出力した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FSC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製品化チェックシートを確認・追記していく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※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出力した「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FSC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製品化チェックシート」は、添付ファイルやファイルサーバパスにて管理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4</xdr:col>
      <xdr:colOff>165588</xdr:colOff>
      <xdr:row>35</xdr:row>
      <xdr:rowOff>148737</xdr:rowOff>
    </xdr:from>
    <xdr:ext cx="3072912" cy="285527"/>
    <xdr:sp macro="" textlink="">
      <xdr:nvSpPr>
        <xdr:cNvPr id="139" name="吹き出し: 四角形 138">
          <a:extLst>
            <a:ext uri="{FF2B5EF4-FFF2-40B4-BE49-F238E27FC236}">
              <a16:creationId xmlns:a16="http://schemas.microsoft.com/office/drawing/2014/main" id="{C1BA91A0-BF45-4483-AA8E-C7FAB1C0BEEE}"/>
            </a:ext>
          </a:extLst>
        </xdr:cNvPr>
        <xdr:cNvSpPr/>
      </xdr:nvSpPr>
      <xdr:spPr>
        <a:xfrm>
          <a:off x="832338" y="6635262"/>
          <a:ext cx="3072912" cy="285527"/>
        </a:xfrm>
        <a:prstGeom prst="wedgeRectCallout">
          <a:avLst>
            <a:gd name="adj1" fmla="val -19386"/>
            <a:gd name="adj2" fmla="val -65094"/>
          </a:avLst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見積確定入力→御見積書登録の一部機能となった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99518E9C-30B9-4A22-9E92-79117CA1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3327" y="135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33A1637D-069A-41A1-AA77-08B1F4B81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383" y="19599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6</xdr:row>
      <xdr:rowOff>133351</xdr:rowOff>
    </xdr:from>
    <xdr:to>
      <xdr:col>12</xdr:col>
      <xdr:colOff>66675</xdr:colOff>
      <xdr:row>7</xdr:row>
      <xdr:rowOff>133351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D43DA07A-D86F-460D-838B-BB6335049C5A}"/>
            </a:ext>
          </a:extLst>
        </xdr:cNvPr>
        <xdr:cNvSpPr/>
      </xdr:nvSpPr>
      <xdr:spPr bwMode="auto">
        <a:xfrm>
          <a:off x="1333500" y="1171576"/>
          <a:ext cx="695325" cy="15240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13</xdr:col>
      <xdr:colOff>0</xdr:colOff>
      <xdr:row>15</xdr:row>
      <xdr:rowOff>0</xdr:rowOff>
    </xdr:from>
    <xdr:ext cx="152400" cy="152400"/>
    <xdr:pic>
      <xdr:nvPicPr>
        <xdr:cNvPr id="5" name="図 4">
          <a:extLst>
            <a:ext uri="{FF2B5EF4-FFF2-40B4-BE49-F238E27FC236}">
              <a16:creationId xmlns:a16="http://schemas.microsoft.com/office/drawing/2014/main" id="{A7C540E3-7B54-4AA2-BBAA-F977E2F1D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5" y="2409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38100</xdr:colOff>
      <xdr:row>14</xdr:row>
      <xdr:rowOff>123827</xdr:rowOff>
    </xdr:from>
    <xdr:to>
      <xdr:col>30</xdr:col>
      <xdr:colOff>6928</xdr:colOff>
      <xdr:row>17</xdr:row>
      <xdr:rowOff>76201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0CD6F54-8967-4F83-8EEC-CF5C188A0B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7909"/>
        <a:stretch/>
      </xdr:blipFill>
      <xdr:spPr bwMode="auto">
        <a:xfrm>
          <a:off x="3781425" y="2381252"/>
          <a:ext cx="1102303" cy="409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76</xdr:col>
      <xdr:colOff>67408</xdr:colOff>
      <xdr:row>25</xdr:row>
      <xdr:rowOff>19050</xdr:rowOff>
    </xdr:from>
    <xdr:to>
      <xdr:col>79</xdr:col>
      <xdr:colOff>1465</xdr:colOff>
      <xdr:row>37</xdr:row>
      <xdr:rowOff>123825</xdr:rowOff>
    </xdr:to>
    <xdr:sp macro="" textlink="">
      <xdr:nvSpPr>
        <xdr:cNvPr id="7" name="右中かっこ 6">
          <a:extLst>
            <a:ext uri="{FF2B5EF4-FFF2-40B4-BE49-F238E27FC236}">
              <a16:creationId xmlns:a16="http://schemas.microsoft.com/office/drawing/2014/main" id="{D2E19E25-7582-4755-9E64-0AFF53D669E6}"/>
            </a:ext>
          </a:extLst>
        </xdr:cNvPr>
        <xdr:cNvSpPr/>
      </xdr:nvSpPr>
      <xdr:spPr bwMode="auto">
        <a:xfrm>
          <a:off x="12526108" y="3648075"/>
          <a:ext cx="448407" cy="4676775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76</xdr:col>
      <xdr:colOff>29308</xdr:colOff>
      <xdr:row>38</xdr:row>
      <xdr:rowOff>2932</xdr:rowOff>
    </xdr:from>
    <xdr:to>
      <xdr:col>78</xdr:col>
      <xdr:colOff>134815</xdr:colOff>
      <xdr:row>56</xdr:row>
      <xdr:rowOff>0</xdr:rowOff>
    </xdr:to>
    <xdr:sp macro="" textlink="">
      <xdr:nvSpPr>
        <xdr:cNvPr id="8" name="右中かっこ 7">
          <a:extLst>
            <a:ext uri="{FF2B5EF4-FFF2-40B4-BE49-F238E27FC236}">
              <a16:creationId xmlns:a16="http://schemas.microsoft.com/office/drawing/2014/main" id="{1AF0E830-4E20-4BA1-ACA2-B0F615BD0576}"/>
            </a:ext>
          </a:extLst>
        </xdr:cNvPr>
        <xdr:cNvSpPr/>
      </xdr:nvSpPr>
      <xdr:spPr bwMode="auto">
        <a:xfrm>
          <a:off x="12488008" y="8356357"/>
          <a:ext cx="448407" cy="2130668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79</xdr:col>
      <xdr:colOff>104775</xdr:colOff>
      <xdr:row>28</xdr:row>
      <xdr:rowOff>1</xdr:rowOff>
    </xdr:from>
    <xdr:ext cx="648000" cy="190565"/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96FF6AC-F3ED-417E-ADD0-B94B7F7BEF5D}"/>
            </a:ext>
          </a:extLst>
        </xdr:cNvPr>
        <xdr:cNvSpPr/>
      </xdr:nvSpPr>
      <xdr:spPr bwMode="auto">
        <a:xfrm>
          <a:off x="13077825" y="4086226"/>
          <a:ext cx="648000" cy="1905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抽出条件</a:t>
          </a:r>
        </a:p>
      </xdr:txBody>
    </xdr:sp>
    <xdr:clientData/>
  </xdr:oneCellAnchor>
  <xdr:oneCellAnchor>
    <xdr:from>
      <xdr:col>79</xdr:col>
      <xdr:colOff>104775</xdr:colOff>
      <xdr:row>39</xdr:row>
      <xdr:rowOff>141408</xdr:rowOff>
    </xdr:from>
    <xdr:ext cx="1736482" cy="381130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C090ABC-63B0-49E9-9841-94DF543ACB63}"/>
            </a:ext>
          </a:extLst>
        </xdr:cNvPr>
        <xdr:cNvSpPr/>
      </xdr:nvSpPr>
      <xdr:spPr bwMode="auto">
        <a:xfrm>
          <a:off x="13077825" y="8647233"/>
          <a:ext cx="1736482" cy="38113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一覧表示部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→データを一覧表示する。</a:t>
          </a:r>
        </a:p>
      </xdr:txBody>
    </xdr:sp>
    <xdr:clientData/>
  </xdr:oneCellAnchor>
  <xdr:oneCellAnchor>
    <xdr:from>
      <xdr:col>45</xdr:col>
      <xdr:colOff>124238</xdr:colOff>
      <xdr:row>25</xdr:row>
      <xdr:rowOff>61705</xdr:rowOff>
    </xdr:from>
    <xdr:ext cx="1780761" cy="587652"/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11C6DA7B-FDE7-4D0B-84A0-7177EA2B4E2D}"/>
            </a:ext>
          </a:extLst>
        </xdr:cNvPr>
        <xdr:cNvSpPr/>
      </xdr:nvSpPr>
      <xdr:spPr>
        <a:xfrm>
          <a:off x="7429913" y="3690730"/>
          <a:ext cx="1780761" cy="587652"/>
        </a:xfrm>
        <a:prstGeom prst="wedgeRectCallout">
          <a:avLst>
            <a:gd name="adj1" fmla="val -59434"/>
            <a:gd name="adj2" fmla="val -4879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拠点　：管理者のみ変更可能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担当者：拠点に紐づく担当者を表示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　　　　初期値はログイン担当者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twoCellAnchor>
    <xdr:from>
      <xdr:col>2</xdr:col>
      <xdr:colOff>5382</xdr:colOff>
      <xdr:row>63</xdr:row>
      <xdr:rowOff>132522</xdr:rowOff>
    </xdr:from>
    <xdr:to>
      <xdr:col>10</xdr:col>
      <xdr:colOff>38100</xdr:colOff>
      <xdr:row>66</xdr:row>
      <xdr:rowOff>24848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4BAFDEF8-0F0F-455F-8135-560264B9B9FE}"/>
            </a:ext>
          </a:extLst>
        </xdr:cNvPr>
        <xdr:cNvSpPr/>
      </xdr:nvSpPr>
      <xdr:spPr bwMode="auto">
        <a:xfrm>
          <a:off x="329232" y="9857547"/>
          <a:ext cx="1347168" cy="349526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46</xdr:col>
      <xdr:colOff>24849</xdr:colOff>
      <xdr:row>10</xdr:row>
      <xdr:rowOff>0</xdr:rowOff>
    </xdr:from>
    <xdr:ext cx="121422" cy="146538"/>
    <xdr:pic>
      <xdr:nvPicPr>
        <xdr:cNvPr id="20" name="図 19">
          <a:extLst>
            <a:ext uri="{FF2B5EF4-FFF2-40B4-BE49-F238E27FC236}">
              <a16:creationId xmlns:a16="http://schemas.microsoft.com/office/drawing/2014/main" id="{C1E6C757-9758-49E9-958C-D57BD291F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2449" y="16478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34374</xdr:colOff>
      <xdr:row>27</xdr:row>
      <xdr:rowOff>9525</xdr:rowOff>
    </xdr:from>
    <xdr:ext cx="121422" cy="146538"/>
    <xdr:pic>
      <xdr:nvPicPr>
        <xdr:cNvPr id="22" name="図 21">
          <a:extLst>
            <a:ext uri="{FF2B5EF4-FFF2-40B4-BE49-F238E27FC236}">
              <a16:creationId xmlns:a16="http://schemas.microsoft.com/office/drawing/2014/main" id="{87D56709-B91A-4B56-B82E-B6FC1CCF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6574" y="39433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7327</xdr:colOff>
      <xdr:row>32</xdr:row>
      <xdr:rowOff>7327</xdr:rowOff>
    </xdr:from>
    <xdr:ext cx="154736" cy="144000"/>
    <xdr:pic>
      <xdr:nvPicPr>
        <xdr:cNvPr id="23" name="図 22">
          <a:extLst>
            <a:ext uri="{FF2B5EF4-FFF2-40B4-BE49-F238E27FC236}">
              <a16:creationId xmlns:a16="http://schemas.microsoft.com/office/drawing/2014/main" id="{9A005D67-2842-463A-879C-4594903F4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4703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17808</xdr:colOff>
      <xdr:row>56</xdr:row>
      <xdr:rowOff>38100</xdr:rowOff>
    </xdr:from>
    <xdr:to>
      <xdr:col>7</xdr:col>
      <xdr:colOff>65432</xdr:colOff>
      <xdr:row>57</xdr:row>
      <xdr:rowOff>119940</xdr:rowOff>
    </xdr:to>
    <xdr:sp macro="" textlink="">
      <xdr:nvSpPr>
        <xdr:cNvPr id="41" name="フローチャート: 代替処理 40">
          <a:extLst>
            <a:ext uri="{FF2B5EF4-FFF2-40B4-BE49-F238E27FC236}">
              <a16:creationId xmlns:a16="http://schemas.microsoft.com/office/drawing/2014/main" id="{D0998BFD-1D08-45D7-AE6B-EB90BB53687C}"/>
            </a:ext>
          </a:extLst>
        </xdr:cNvPr>
        <xdr:cNvSpPr/>
      </xdr:nvSpPr>
      <xdr:spPr bwMode="auto">
        <a:xfrm>
          <a:off x="522633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62</xdr:col>
      <xdr:colOff>57149</xdr:colOff>
      <xdr:row>56</xdr:row>
      <xdr:rowOff>38100</xdr:rowOff>
    </xdr:from>
    <xdr:to>
      <xdr:col>69</xdr:col>
      <xdr:colOff>66674</xdr:colOff>
      <xdr:row>57</xdr:row>
      <xdr:rowOff>119940</xdr:rowOff>
    </xdr:to>
    <xdr:sp macro="" textlink="">
      <xdr:nvSpPr>
        <xdr:cNvPr id="43" name="フローチャート: 代替処理 42">
          <a:extLst>
            <a:ext uri="{FF2B5EF4-FFF2-40B4-BE49-F238E27FC236}">
              <a16:creationId xmlns:a16="http://schemas.microsoft.com/office/drawing/2014/main" id="{65C91F07-52B7-4F89-8F24-3133EDE2ADDA}"/>
            </a:ext>
          </a:extLst>
        </xdr:cNvPr>
        <xdr:cNvSpPr/>
      </xdr:nvSpPr>
      <xdr:spPr bwMode="auto">
        <a:xfrm>
          <a:off x="10115549" y="8391525"/>
          <a:ext cx="1209675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チェックシート発行</a:t>
          </a:r>
        </a:p>
      </xdr:txBody>
    </xdr:sp>
    <xdr:clientData/>
  </xdr:twoCellAnchor>
  <xdr:twoCellAnchor>
    <xdr:from>
      <xdr:col>8</xdr:col>
      <xdr:colOff>84483</xdr:colOff>
      <xdr:row>56</xdr:row>
      <xdr:rowOff>38100</xdr:rowOff>
    </xdr:from>
    <xdr:to>
      <xdr:col>12</xdr:col>
      <xdr:colOff>132107</xdr:colOff>
      <xdr:row>57</xdr:row>
      <xdr:rowOff>119940</xdr:rowOff>
    </xdr:to>
    <xdr:sp macro="" textlink="">
      <xdr:nvSpPr>
        <xdr:cNvPr id="49" name="フローチャート: 代替処理 48">
          <a:extLst>
            <a:ext uri="{FF2B5EF4-FFF2-40B4-BE49-F238E27FC236}">
              <a16:creationId xmlns:a16="http://schemas.microsoft.com/office/drawing/2014/main" id="{34CD8281-C4A6-4E56-A7B7-18756730D672}"/>
            </a:ext>
          </a:extLst>
        </xdr:cNvPr>
        <xdr:cNvSpPr/>
      </xdr:nvSpPr>
      <xdr:spPr bwMode="auto">
        <a:xfrm>
          <a:off x="1398933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twoCellAnchor>
    <xdr:from>
      <xdr:col>2</xdr:col>
      <xdr:colOff>47625</xdr:colOff>
      <xdr:row>64</xdr:row>
      <xdr:rowOff>38100</xdr:rowOff>
    </xdr:from>
    <xdr:to>
      <xdr:col>9</xdr:col>
      <xdr:colOff>133350</xdr:colOff>
      <xdr:row>65</xdr:row>
      <xdr:rowOff>119940</xdr:rowOff>
    </xdr:to>
    <xdr:sp macro="" textlink="">
      <xdr:nvSpPr>
        <xdr:cNvPr id="51" name="フローチャート: 代替処理 50">
          <a:extLst>
            <a:ext uri="{FF2B5EF4-FFF2-40B4-BE49-F238E27FC236}">
              <a16:creationId xmlns:a16="http://schemas.microsoft.com/office/drawing/2014/main" id="{8565462D-C152-41E0-A9D5-01CB4C5EEF1E}"/>
            </a:ext>
          </a:extLst>
        </xdr:cNvPr>
        <xdr:cNvSpPr/>
      </xdr:nvSpPr>
      <xdr:spPr bwMode="auto">
        <a:xfrm>
          <a:off x="371475" y="9915525"/>
          <a:ext cx="1238250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チェックシート発行</a:t>
          </a:r>
        </a:p>
      </xdr:txBody>
    </xdr:sp>
    <xdr:clientData/>
  </xdr:twoCellAnchor>
  <xdr:oneCellAnchor>
    <xdr:from>
      <xdr:col>15</xdr:col>
      <xdr:colOff>7327</xdr:colOff>
      <xdr:row>33</xdr:row>
      <xdr:rowOff>7327</xdr:rowOff>
    </xdr:from>
    <xdr:ext cx="154736" cy="144000"/>
    <xdr:pic>
      <xdr:nvPicPr>
        <xdr:cNvPr id="62" name="図 61">
          <a:extLst>
            <a:ext uri="{FF2B5EF4-FFF2-40B4-BE49-F238E27FC236}">
              <a16:creationId xmlns:a16="http://schemas.microsoft.com/office/drawing/2014/main" id="{AF69CE08-F528-40F3-95BD-9DF990C60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4855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36349</xdr:colOff>
      <xdr:row>33</xdr:row>
      <xdr:rowOff>5256</xdr:rowOff>
    </xdr:from>
    <xdr:ext cx="121422" cy="146538"/>
    <xdr:pic>
      <xdr:nvPicPr>
        <xdr:cNvPr id="63" name="図 62">
          <a:extLst>
            <a:ext uri="{FF2B5EF4-FFF2-40B4-BE49-F238E27FC236}">
              <a16:creationId xmlns:a16="http://schemas.microsoft.com/office/drawing/2014/main" id="{6B0AADF9-2398-4216-A791-78E110AD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2349" y="4853481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38100</xdr:colOff>
      <xdr:row>27</xdr:row>
      <xdr:rowOff>9525</xdr:rowOff>
    </xdr:from>
    <xdr:ext cx="121422" cy="146538"/>
    <xdr:pic>
      <xdr:nvPicPr>
        <xdr:cNvPr id="64" name="図 63">
          <a:extLst>
            <a:ext uri="{FF2B5EF4-FFF2-40B4-BE49-F238E27FC236}">
              <a16:creationId xmlns:a16="http://schemas.microsoft.com/office/drawing/2014/main" id="{6926907D-1EEA-490D-BD44-2BF42F851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39433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19050</xdr:colOff>
      <xdr:row>18</xdr:row>
      <xdr:rowOff>38100</xdr:rowOff>
    </xdr:from>
    <xdr:ext cx="5886450" cy="832004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A1617118-C7EE-41DC-BCF7-4250B750F6C5}"/>
            </a:ext>
          </a:extLst>
        </xdr:cNvPr>
        <xdr:cNvSpPr txBox="1"/>
      </xdr:nvSpPr>
      <xdr:spPr>
        <a:xfrm>
          <a:off x="342900" y="2905125"/>
          <a:ext cx="5886450" cy="83200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FSC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認証区分：客、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CP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、マーク無し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(0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：非該当以外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時に出力する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→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FSC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認証区分</a:t>
          </a:r>
          <a:r>
            <a:rPr kumimoji="1" lang="ja-JP" altLang="en-US" sz="800" b="1" baseline="0">
              <a:latin typeface="游ゴシック" panose="020B0400000000000000" pitchFamily="50" charset="-128"/>
              <a:ea typeface="游ゴシック" panose="020B0400000000000000" pitchFamily="50" charset="-128"/>
            </a:rPr>
            <a:t> </a:t>
          </a:r>
          <a:r>
            <a:rPr kumimoji="1" lang="en-US" altLang="ja-JP" sz="800" b="1" baseline="0">
              <a:latin typeface="游ゴシック" panose="020B0400000000000000" pitchFamily="50" charset="-128"/>
              <a:ea typeface="游ゴシック" panose="020B0400000000000000" pitchFamily="50" charset="-128"/>
            </a:rPr>
            <a:t>= </a:t>
          </a:r>
          <a:r>
            <a:rPr kumimoji="1" lang="ja-JP" altLang="en-US" sz="800" b="1" baseline="0">
              <a:latin typeface="游ゴシック" panose="020B0400000000000000" pitchFamily="50" charset="-128"/>
              <a:ea typeface="游ゴシック" panose="020B0400000000000000" pitchFamily="50" charset="-128"/>
            </a:rPr>
            <a:t>客、</a:t>
          </a:r>
          <a:r>
            <a:rPr kumimoji="1" lang="en-US" altLang="ja-JP" sz="800" b="1" baseline="0">
              <a:latin typeface="游ゴシック" panose="020B0400000000000000" pitchFamily="50" charset="-128"/>
              <a:ea typeface="游ゴシック" panose="020B0400000000000000" pitchFamily="50" charset="-128"/>
            </a:rPr>
            <a:t>CP</a:t>
          </a:r>
          <a:r>
            <a:rPr kumimoji="1" lang="ja-JP" altLang="en-US" sz="800" b="1" baseline="0">
              <a:latin typeface="游ゴシック" panose="020B0400000000000000" pitchFamily="50" charset="-128"/>
              <a:ea typeface="游ゴシック" panose="020B0400000000000000" pitchFamily="50" charset="-128"/>
            </a:rPr>
            <a:t>、マーク無しを出力条件とする</a:t>
          </a:r>
          <a:endParaRPr kumimoji="1" lang="en-US" altLang="ja-JP" sz="800" b="1" baseline="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800" b="1" baseline="0">
              <a:latin typeface="游ゴシック" panose="020B0400000000000000" pitchFamily="50" charset="-128"/>
              <a:ea typeface="游ゴシック" panose="020B0400000000000000" pitchFamily="50" charset="-128"/>
            </a:rPr>
            <a:t>　</a:t>
          </a:r>
          <a:r>
            <a:rPr kumimoji="1" lang="ja-JP" altLang="en-US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→</a:t>
          </a:r>
          <a:r>
            <a:rPr kumimoji="1" lang="en-US" altLang="ja-JP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FSC</a:t>
          </a:r>
          <a:r>
            <a:rPr kumimoji="1" lang="ja-JP" altLang="en-US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の対象は身、蓋、仕切りの部材の内代表の部材となる</a:t>
          </a:r>
          <a:endParaRPr kumimoji="1" lang="en-US" altLang="ja-JP" sz="800" b="1" baseline="0">
            <a:solidFill>
              <a:srgbClr val="FF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　　御見積書№単位に</a:t>
          </a:r>
          <a:r>
            <a:rPr kumimoji="1" lang="en-US" altLang="ja-JP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FSC</a:t>
          </a:r>
          <a:r>
            <a:rPr kumimoji="1" lang="ja-JP" altLang="en-US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管理</a:t>
          </a:r>
          <a:r>
            <a:rPr kumimoji="1" lang="en-US" altLang="ja-JP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NO</a:t>
          </a:r>
          <a:r>
            <a:rPr kumimoji="1" lang="ja-JP" altLang="en-US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を採番する、紐づく見積計算書</a:t>
          </a:r>
          <a:r>
            <a:rPr kumimoji="1" lang="en-US" altLang="ja-JP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NO</a:t>
          </a:r>
          <a:r>
            <a:rPr kumimoji="1" lang="ja-JP" altLang="en-US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に</a:t>
          </a:r>
          <a:r>
            <a:rPr kumimoji="1" lang="en-US" altLang="ja-JP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FSC</a:t>
          </a:r>
          <a:r>
            <a:rPr kumimoji="1" lang="ja-JP" altLang="en-US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管理</a:t>
          </a:r>
          <a:r>
            <a:rPr kumimoji="1" lang="en-US" altLang="ja-JP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NO</a:t>
          </a:r>
          <a:r>
            <a:rPr kumimoji="1" lang="ja-JP" altLang="en-US" sz="800" b="1" baseline="0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を更新する</a:t>
          </a:r>
          <a:endParaRPr kumimoji="1" lang="en-US" altLang="ja-JP" sz="800" b="1">
            <a:solidFill>
              <a:srgbClr val="FF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oneCellAnchor>
  <xdr:oneCellAnchor>
    <xdr:from>
      <xdr:col>14</xdr:col>
      <xdr:colOff>47625</xdr:colOff>
      <xdr:row>32</xdr:row>
      <xdr:rowOff>9525</xdr:rowOff>
    </xdr:from>
    <xdr:ext cx="121422" cy="146538"/>
    <xdr:pic>
      <xdr:nvPicPr>
        <xdr:cNvPr id="69" name="図 68">
          <a:extLst>
            <a:ext uri="{FF2B5EF4-FFF2-40B4-BE49-F238E27FC236}">
              <a16:creationId xmlns:a16="http://schemas.microsoft.com/office/drawing/2014/main" id="{A6275A7C-1218-4ED2-8C5C-6642D668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47053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137160</xdr:colOff>
      <xdr:row>30</xdr:row>
      <xdr:rowOff>15240</xdr:rowOff>
    </xdr:from>
    <xdr:ext cx="152400" cy="152400"/>
    <xdr:pic>
      <xdr:nvPicPr>
        <xdr:cNvPr id="11" name="図 10">
          <a:extLst>
            <a:ext uri="{FF2B5EF4-FFF2-40B4-BE49-F238E27FC236}">
              <a16:creationId xmlns:a16="http://schemas.microsoft.com/office/drawing/2014/main" id="{66B60540-B4D2-4DB8-895E-67C82170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4701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30</xdr:row>
      <xdr:rowOff>0</xdr:rowOff>
    </xdr:from>
    <xdr:ext cx="152400" cy="152400"/>
    <xdr:pic>
      <xdr:nvPicPr>
        <xdr:cNvPr id="12" name="図 11">
          <a:extLst>
            <a:ext uri="{FF2B5EF4-FFF2-40B4-BE49-F238E27FC236}">
              <a16:creationId xmlns:a16="http://schemas.microsoft.com/office/drawing/2014/main" id="{BD1F247F-9B30-49E8-86DF-16E0B27D4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468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95250</xdr:colOff>
      <xdr:row>52</xdr:row>
      <xdr:rowOff>104775</xdr:rowOff>
    </xdr:from>
    <xdr:ext cx="2819400" cy="416002"/>
    <xdr:sp macro="" textlink="">
      <xdr:nvSpPr>
        <xdr:cNvPr id="30" name="吹き出し: 四角形 29">
          <a:extLst>
            <a:ext uri="{FF2B5EF4-FFF2-40B4-BE49-F238E27FC236}">
              <a16:creationId xmlns:a16="http://schemas.microsoft.com/office/drawing/2014/main" id="{8D54252F-C8B0-4BDC-83B6-8B28970435DF}"/>
            </a:ext>
          </a:extLst>
        </xdr:cNvPr>
        <xdr:cNvSpPr/>
      </xdr:nvSpPr>
      <xdr:spPr>
        <a:xfrm>
          <a:off x="4972050" y="8153400"/>
          <a:ext cx="2819400" cy="416002"/>
        </a:xfrm>
        <a:prstGeom prst="wedgeRectCallout">
          <a:avLst>
            <a:gd name="adj1" fmla="val -39461"/>
            <a:gd name="adj2" fmla="val -91445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表示項目数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項目長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により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1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画面に収まりきらない場合、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横スクロールバーを表示する。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twoCellAnchor>
    <xdr:from>
      <xdr:col>66</xdr:col>
      <xdr:colOff>142875</xdr:colOff>
      <xdr:row>38</xdr:row>
      <xdr:rowOff>123824</xdr:rowOff>
    </xdr:from>
    <xdr:to>
      <xdr:col>71</xdr:col>
      <xdr:colOff>47625</xdr:colOff>
      <xdr:row>51</xdr:row>
      <xdr:rowOff>57149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217B649A-039F-4F8C-BFA5-C2FAFAB889E5}"/>
            </a:ext>
          </a:extLst>
        </xdr:cNvPr>
        <xdr:cNvSpPr/>
      </xdr:nvSpPr>
      <xdr:spPr bwMode="auto">
        <a:xfrm>
          <a:off x="10887075" y="6038849"/>
          <a:ext cx="762000" cy="1914525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69</xdr:col>
      <xdr:colOff>85724</xdr:colOff>
      <xdr:row>45</xdr:row>
      <xdr:rowOff>47625</xdr:rowOff>
    </xdr:from>
    <xdr:ext cx="2847976" cy="587652"/>
    <xdr:sp macro="" textlink="">
      <xdr:nvSpPr>
        <xdr:cNvPr id="68" name="吹き出し: 四角形 67">
          <a:extLst>
            <a:ext uri="{FF2B5EF4-FFF2-40B4-BE49-F238E27FC236}">
              <a16:creationId xmlns:a16="http://schemas.microsoft.com/office/drawing/2014/main" id="{FD6D27EC-11BF-48FC-8663-CE43B92EFAD1}"/>
            </a:ext>
          </a:extLst>
        </xdr:cNvPr>
        <xdr:cNvSpPr/>
      </xdr:nvSpPr>
      <xdr:spPr>
        <a:xfrm>
          <a:off x="11344274" y="7029450"/>
          <a:ext cx="2847976" cy="587652"/>
        </a:xfrm>
        <a:prstGeom prst="wedgeRectCallout">
          <a:avLst>
            <a:gd name="adj1" fmla="val -45387"/>
            <a:gd name="adj2" fmla="val -77818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発行時に管理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NO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を採番する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※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自動採番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→開始番号を指定しての連番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※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製袋システムと重複しないように開始番号を設定する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twoCellAnchor editAs="oneCell">
    <xdr:from>
      <xdr:col>65</xdr:col>
      <xdr:colOff>0</xdr:colOff>
      <xdr:row>52</xdr:row>
      <xdr:rowOff>47625</xdr:rowOff>
    </xdr:from>
    <xdr:to>
      <xdr:col>66</xdr:col>
      <xdr:colOff>148590</xdr:colOff>
      <xdr:row>53</xdr:row>
      <xdr:rowOff>95250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BBA5537B-15E1-41E5-A6A5-21ACDDA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72750" y="8096250"/>
          <a:ext cx="320040" cy="200025"/>
        </a:xfrm>
        <a:prstGeom prst="rect">
          <a:avLst/>
        </a:prstGeom>
      </xdr:spPr>
    </xdr:pic>
    <xdr:clientData/>
  </xdr:twoCellAnchor>
  <xdr:oneCellAnchor>
    <xdr:from>
      <xdr:col>73</xdr:col>
      <xdr:colOff>28575</xdr:colOff>
      <xdr:row>54</xdr:row>
      <xdr:rowOff>9525</xdr:rowOff>
    </xdr:from>
    <xdr:ext cx="121422" cy="146538"/>
    <xdr:pic>
      <xdr:nvPicPr>
        <xdr:cNvPr id="34" name="図 33">
          <a:extLst>
            <a:ext uri="{FF2B5EF4-FFF2-40B4-BE49-F238E27FC236}">
              <a16:creationId xmlns:a16="http://schemas.microsoft.com/office/drawing/2014/main" id="{E891177C-731E-4362-890A-7692C25E6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57721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37</xdr:row>
      <xdr:rowOff>28575</xdr:rowOff>
    </xdr:from>
    <xdr:to>
      <xdr:col>1</xdr:col>
      <xdr:colOff>5024</xdr:colOff>
      <xdr:row>37</xdr:row>
      <xdr:rowOff>180956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20BFA97-3ACF-41F1-8A86-EF01FC458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7477125"/>
          <a:ext cx="157424" cy="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38</xdr:row>
      <xdr:rowOff>39781</xdr:rowOff>
    </xdr:from>
    <xdr:to>
      <xdr:col>0</xdr:col>
      <xdr:colOff>146032</xdr:colOff>
      <xdr:row>39</xdr:row>
      <xdr:rowOff>1661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A8ECF4F-DDC0-4CEB-A782-15399D8AA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7688356"/>
          <a:ext cx="136507" cy="1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28575</xdr:colOff>
      <xdr:row>18</xdr:row>
      <xdr:rowOff>9525</xdr:rowOff>
    </xdr:from>
    <xdr:ext cx="121422" cy="146538"/>
    <xdr:pic>
      <xdr:nvPicPr>
        <xdr:cNvPr id="2" name="図 1">
          <a:extLst>
            <a:ext uri="{FF2B5EF4-FFF2-40B4-BE49-F238E27FC236}">
              <a16:creationId xmlns:a16="http://schemas.microsoft.com/office/drawing/2014/main" id="{31B4520E-2EF7-4DF7-97B4-969D7BCC6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57721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28575</xdr:colOff>
      <xdr:row>18</xdr:row>
      <xdr:rowOff>9525</xdr:rowOff>
    </xdr:from>
    <xdr:ext cx="121422" cy="146538"/>
    <xdr:pic>
      <xdr:nvPicPr>
        <xdr:cNvPr id="2" name="図 1">
          <a:extLst>
            <a:ext uri="{FF2B5EF4-FFF2-40B4-BE49-F238E27FC236}">
              <a16:creationId xmlns:a16="http://schemas.microsoft.com/office/drawing/2014/main" id="{73516C8D-0046-41C3-8D7E-37962B393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3150" y="33909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123825</xdr:rowOff>
    </xdr:from>
    <xdr:to>
      <xdr:col>17</xdr:col>
      <xdr:colOff>0</xdr:colOff>
      <xdr:row>17</xdr:row>
      <xdr:rowOff>123825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4A433642-4DE0-40D6-8C8C-6C08D389C73F}"/>
            </a:ext>
          </a:extLst>
        </xdr:cNvPr>
        <xdr:cNvSpPr/>
      </xdr:nvSpPr>
      <xdr:spPr bwMode="auto">
        <a:xfrm>
          <a:off x="666750" y="2809875"/>
          <a:ext cx="2171700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en-US" altLang="ja-JP" sz="80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WebFSC</a:t>
          </a:r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製品化チェックシート出力</a:t>
          </a:r>
        </a:p>
      </xdr:txBody>
    </xdr:sp>
    <xdr:clientData/>
  </xdr:twoCellAnchor>
  <xdr:twoCellAnchor>
    <xdr:from>
      <xdr:col>4</xdr:col>
      <xdr:colOff>5041</xdr:colOff>
      <xdr:row>7</xdr:row>
      <xdr:rowOff>0</xdr:rowOff>
    </xdr:from>
    <xdr:to>
      <xdr:col>58</xdr:col>
      <xdr:colOff>145675</xdr:colOff>
      <xdr:row>12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C67FF72-BAEB-4186-8862-5D10D83C706F}"/>
            </a:ext>
          </a:extLst>
        </xdr:cNvPr>
        <xdr:cNvSpPr/>
      </xdr:nvSpPr>
      <xdr:spPr bwMode="auto">
        <a:xfrm>
          <a:off x="654982" y="1299882"/>
          <a:ext cx="8679517" cy="100853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133350</xdr:colOff>
      <xdr:row>8</xdr:row>
      <xdr:rowOff>0</xdr:rowOff>
    </xdr:from>
    <xdr:to>
      <xdr:col>29</xdr:col>
      <xdr:colOff>38100</xdr:colOff>
      <xdr:row>11</xdr:row>
      <xdr:rowOff>0</xdr:rowOff>
    </xdr:to>
    <xdr:sp macro="" textlink="">
      <xdr:nvSpPr>
        <xdr:cNvPr id="4" name="Text Box 56">
          <a:extLst>
            <a:ext uri="{FF2B5EF4-FFF2-40B4-BE49-F238E27FC236}">
              <a16:creationId xmlns:a16="http://schemas.microsoft.com/office/drawing/2014/main" id="{D8A109E7-EFE1-4121-B960-06388CF5BB56}"/>
            </a:ext>
          </a:extLst>
        </xdr:cNvPr>
        <xdr:cNvSpPr txBox="1">
          <a:spLocks noChangeArrowheads="1"/>
        </xdr:cNvSpPr>
      </xdr:nvSpPr>
      <xdr:spPr bwMode="auto">
        <a:xfrm>
          <a:off x="2971800" y="1485900"/>
          <a:ext cx="1847850" cy="6000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御見積書見積計算書</a:t>
          </a:r>
          <a:endParaRPr lang="en-US" altLang="ja-JP" sz="800" b="0" i="0" u="none" strike="noStrike" baseline="0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28575</xdr:colOff>
      <xdr:row>8</xdr:row>
      <xdr:rowOff>0</xdr:rowOff>
    </xdr:from>
    <xdr:to>
      <xdr:col>41</xdr:col>
      <xdr:colOff>28575</xdr:colOff>
      <xdr:row>11</xdr:row>
      <xdr:rowOff>0</xdr:rowOff>
    </xdr:to>
    <xdr:sp macro="" textlink="">
      <xdr:nvSpPr>
        <xdr:cNvPr id="5" name="Text Box 56">
          <a:extLst>
            <a:ext uri="{FF2B5EF4-FFF2-40B4-BE49-F238E27FC236}">
              <a16:creationId xmlns:a16="http://schemas.microsoft.com/office/drawing/2014/main" id="{0C4F815D-CA46-4FBE-90B8-E0600A822DF5}"/>
            </a:ext>
          </a:extLst>
        </xdr:cNvPr>
        <xdr:cNvSpPr txBox="1">
          <a:spLocks noChangeArrowheads="1"/>
        </xdr:cNvSpPr>
      </xdr:nvSpPr>
      <xdr:spPr bwMode="auto">
        <a:xfrm>
          <a:off x="4824693" y="1501588"/>
          <a:ext cx="1725706" cy="60511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御見積書明細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印字用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9</xdr:col>
      <xdr:colOff>133350</xdr:colOff>
      <xdr:row>12</xdr:row>
      <xdr:rowOff>0</xdr:rowOff>
    </xdr:from>
    <xdr:to>
      <xdr:col>9</xdr:col>
      <xdr:colOff>133350</xdr:colOff>
      <xdr:row>14</xdr:row>
      <xdr:rowOff>123825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8B18DDC0-BF84-4453-9BFC-B0EE5FDBA804}"/>
            </a:ext>
          </a:extLst>
        </xdr:cNvPr>
        <xdr:cNvCxnSpPr/>
      </xdr:nvCxnSpPr>
      <xdr:spPr bwMode="auto">
        <a:xfrm>
          <a:off x="1676400" y="2286000"/>
          <a:ext cx="0" cy="5238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</xdr:col>
      <xdr:colOff>9525</xdr:colOff>
      <xdr:row>8</xdr:row>
      <xdr:rowOff>0</xdr:rowOff>
    </xdr:from>
    <xdr:to>
      <xdr:col>16</xdr:col>
      <xdr:colOff>76200</xdr:colOff>
      <xdr:row>11</xdr:row>
      <xdr:rowOff>0</xdr:rowOff>
    </xdr:to>
    <xdr:sp macro="" textlink="">
      <xdr:nvSpPr>
        <xdr:cNvPr id="7" name="Text Box 56">
          <a:extLst>
            <a:ext uri="{FF2B5EF4-FFF2-40B4-BE49-F238E27FC236}">
              <a16:creationId xmlns:a16="http://schemas.microsoft.com/office/drawing/2014/main" id="{1F7C0FF9-9D28-4EC0-8487-A3C5EB73E6A3}"/>
            </a:ext>
          </a:extLst>
        </xdr:cNvPr>
        <xdr:cNvSpPr txBox="1">
          <a:spLocks noChangeArrowheads="1"/>
        </xdr:cNvSpPr>
      </xdr:nvSpPr>
      <xdr:spPr bwMode="auto">
        <a:xfrm>
          <a:off x="904875" y="1485900"/>
          <a:ext cx="1847850" cy="6000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御見積書</a:t>
          </a:r>
          <a:endParaRPr lang="en-US" altLang="ja-JP" sz="800" b="0" i="0" u="none" strike="noStrike" baseline="0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8</xdr:row>
      <xdr:rowOff>0</xdr:rowOff>
    </xdr:from>
    <xdr:to>
      <xdr:col>53</xdr:col>
      <xdr:colOff>0</xdr:colOff>
      <xdr:row>11</xdr:row>
      <xdr:rowOff>0</xdr:rowOff>
    </xdr:to>
    <xdr:sp macro="" textlink="">
      <xdr:nvSpPr>
        <xdr:cNvPr id="8" name="Text Box 56">
          <a:extLst>
            <a:ext uri="{FF2B5EF4-FFF2-40B4-BE49-F238E27FC236}">
              <a16:creationId xmlns:a16="http://schemas.microsoft.com/office/drawing/2014/main" id="{6492E326-6158-4A21-9DBD-24B1AB964513}"/>
            </a:ext>
          </a:extLst>
        </xdr:cNvPr>
        <xdr:cNvSpPr txBox="1">
          <a:spLocks noChangeArrowheads="1"/>
        </xdr:cNvSpPr>
      </xdr:nvSpPr>
      <xdr:spPr bwMode="auto">
        <a:xfrm>
          <a:off x="6678706" y="1501588"/>
          <a:ext cx="1725706" cy="60511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見積計算書</a:t>
          </a:r>
          <a:endParaRPr lang="en-US" altLang="ja-JP" sz="800" b="0" i="0" u="none" strike="noStrike" baseline="0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12</xdr:row>
      <xdr:rowOff>0</xdr:rowOff>
    </xdr:from>
    <xdr:to>
      <xdr:col>20</xdr:col>
      <xdr:colOff>93637</xdr:colOff>
      <xdr:row>14</xdr:row>
      <xdr:rowOff>42007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2C1FAA6E-EF80-4055-9B5E-F0A3AC780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6</xdr:col>
      <xdr:colOff>26962</xdr:colOff>
      <xdr:row>12</xdr:row>
      <xdr:rowOff>42007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8710E548-E381-48C0-8417-5101D2197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88595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6</xdr:col>
      <xdr:colOff>26962</xdr:colOff>
      <xdr:row>18</xdr:row>
      <xdr:rowOff>42007</xdr:rowOff>
    </xdr:to>
    <xdr:pic>
      <xdr:nvPicPr>
        <xdr:cNvPr id="6" name="Picture 20">
          <a:extLst>
            <a:ext uri="{FF2B5EF4-FFF2-40B4-BE49-F238E27FC236}">
              <a16:creationId xmlns:a16="http://schemas.microsoft.com/office/drawing/2014/main" id="{A2F16EFF-6770-4637-B680-D6DCD5776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30861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26962</xdr:colOff>
      <xdr:row>13</xdr:row>
      <xdr:rowOff>21004</xdr:rowOff>
    </xdr:from>
    <xdr:to>
      <xdr:col>17</xdr:col>
      <xdr:colOff>0</xdr:colOff>
      <xdr:row>17</xdr:row>
      <xdr:rowOff>21004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1AA984DB-4803-4611-8312-696999D63D96}"/>
            </a:ext>
          </a:extLst>
        </xdr:cNvPr>
        <xdr:cNvCxnSpPr>
          <a:stCxn id="6" idx="3"/>
          <a:endCxn id="2" idx="1"/>
        </xdr:cNvCxnSpPr>
      </xdr:nvCxnSpPr>
      <xdr:spPr bwMode="auto">
        <a:xfrm flipV="1">
          <a:off x="1084237" y="2507029"/>
          <a:ext cx="1754213" cy="80010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  <xdr:twoCellAnchor>
    <xdr:from>
      <xdr:col>6</xdr:col>
      <xdr:colOff>26962</xdr:colOff>
      <xdr:row>11</xdr:row>
      <xdr:rowOff>21004</xdr:rowOff>
    </xdr:from>
    <xdr:to>
      <xdr:col>17</xdr:col>
      <xdr:colOff>0</xdr:colOff>
      <xdr:row>13</xdr:row>
      <xdr:rowOff>21004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854FBBCC-F804-46DD-9FF8-E265D3F0832B}"/>
            </a:ext>
          </a:extLst>
        </xdr:cNvPr>
        <xdr:cNvCxnSpPr>
          <a:stCxn id="5" idx="3"/>
          <a:endCxn id="2" idx="1"/>
        </xdr:cNvCxnSpPr>
      </xdr:nvCxnSpPr>
      <xdr:spPr bwMode="auto">
        <a:xfrm>
          <a:off x="1084237" y="2106979"/>
          <a:ext cx="1754213" cy="40005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51"/>
  </cols>
  <sheetData>
    <row r="1" spans="1:48">
      <c r="A1" s="51" t="s">
        <v>0</v>
      </c>
    </row>
    <row r="3" spans="1:48">
      <c r="C3" s="51" t="s">
        <v>1</v>
      </c>
    </row>
    <row r="4" spans="1:48">
      <c r="D4" s="51" t="s">
        <v>2</v>
      </c>
    </row>
    <row r="5" spans="1:48">
      <c r="D5" s="51" t="s">
        <v>3</v>
      </c>
    </row>
    <row r="7" spans="1:48">
      <c r="C7" s="51" t="s">
        <v>4</v>
      </c>
    </row>
    <row r="8" spans="1:48">
      <c r="D8" s="51" t="s">
        <v>5</v>
      </c>
    </row>
    <row r="9" spans="1:48">
      <c r="D9" s="51" t="s">
        <v>6</v>
      </c>
    </row>
    <row r="10" spans="1:48">
      <c r="B10" s="52"/>
      <c r="C10" s="53"/>
      <c r="D10" s="52"/>
      <c r="E10" s="52"/>
      <c r="F10" s="52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2"/>
      <c r="AT10" s="52"/>
      <c r="AU10" s="52"/>
    </row>
    <row r="11" spans="1:48">
      <c r="B11" s="52"/>
      <c r="C11" s="53"/>
      <c r="D11" s="52"/>
      <c r="E11" s="52"/>
      <c r="F11" s="52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478" t="s">
        <v>7</v>
      </c>
      <c r="V11" s="114"/>
      <c r="W11" s="115" t="s">
        <v>8</v>
      </c>
      <c r="X11" s="115" t="s">
        <v>9</v>
      </c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6"/>
    </row>
    <row r="12" spans="1:48">
      <c r="B12" s="52"/>
      <c r="C12" s="54"/>
      <c r="D12" s="52"/>
      <c r="E12" s="52"/>
      <c r="F12" s="52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5" t="s">
        <v>10</v>
      </c>
      <c r="V12" s="52"/>
      <c r="W12" s="53" t="s">
        <v>8</v>
      </c>
      <c r="X12" s="53" t="s">
        <v>11</v>
      </c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6"/>
    </row>
    <row r="13" spans="1:48">
      <c r="B13" s="52"/>
      <c r="C13" s="53"/>
      <c r="D13" s="52"/>
      <c r="E13" s="52"/>
      <c r="F13" s="52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5" t="s">
        <v>12</v>
      </c>
      <c r="V13" s="52"/>
      <c r="W13" s="53" t="s">
        <v>8</v>
      </c>
      <c r="X13" s="53" t="s">
        <v>13</v>
      </c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6"/>
    </row>
    <row r="14" spans="1:48">
      <c r="B14" s="52"/>
      <c r="C14" s="57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5" t="s">
        <v>14</v>
      </c>
      <c r="V14" s="52"/>
      <c r="W14" s="53" t="s">
        <v>8</v>
      </c>
      <c r="X14" s="53" t="s">
        <v>15</v>
      </c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6"/>
    </row>
    <row r="15" spans="1:48">
      <c r="B15" s="52"/>
      <c r="C15" s="54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8"/>
      <c r="V15" s="59"/>
      <c r="W15" s="60" t="s">
        <v>8</v>
      </c>
      <c r="X15" s="60" t="s">
        <v>16</v>
      </c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2"/>
    </row>
    <row r="16" spans="1:48">
      <c r="B16" s="52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</row>
    <row r="17" spans="2:81">
      <c r="B17" s="52"/>
      <c r="C17" s="54"/>
      <c r="D17" s="53" t="s">
        <v>17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 t="s">
        <v>18</v>
      </c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2"/>
      <c r="AT17" s="52"/>
      <c r="AU17" s="52"/>
    </row>
    <row r="18" spans="2:81">
      <c r="B18" s="52"/>
      <c r="C18" s="54"/>
      <c r="D18" s="479" t="s">
        <v>19</v>
      </c>
      <c r="E18" s="117"/>
      <c r="F18" s="117"/>
      <c r="G18" s="117"/>
      <c r="H18" s="117"/>
      <c r="I18" s="117"/>
      <c r="J18" s="117"/>
      <c r="K18" s="117"/>
      <c r="L18" s="117"/>
      <c r="M18" s="118"/>
      <c r="N18" s="119" t="s">
        <v>20</v>
      </c>
      <c r="O18" s="120"/>
      <c r="P18" s="120"/>
      <c r="Q18" s="120"/>
      <c r="R18" s="120"/>
      <c r="S18" s="120"/>
      <c r="T18" s="120"/>
      <c r="U18" s="120"/>
      <c r="V18" s="121"/>
      <c r="W18" s="119" t="s">
        <v>21</v>
      </c>
      <c r="X18" s="120"/>
      <c r="Y18" s="120"/>
      <c r="Z18" s="120"/>
      <c r="AA18" s="120"/>
      <c r="AB18" s="120"/>
      <c r="AC18" s="120"/>
      <c r="AD18" s="120"/>
      <c r="AE18" s="121"/>
      <c r="AF18" s="119" t="s">
        <v>22</v>
      </c>
      <c r="AG18" s="120"/>
      <c r="AH18" s="120"/>
      <c r="AI18" s="120"/>
      <c r="AJ18" s="120"/>
      <c r="AK18" s="120"/>
      <c r="AL18" s="120"/>
      <c r="AM18" s="120"/>
      <c r="AN18" s="121"/>
      <c r="AO18" s="119" t="s">
        <v>23</v>
      </c>
      <c r="AP18" s="120"/>
      <c r="AQ18" s="120"/>
      <c r="AR18" s="120"/>
      <c r="AS18" s="121"/>
      <c r="AT18" s="119" t="s">
        <v>24</v>
      </c>
      <c r="AU18" s="120"/>
      <c r="AV18" s="120"/>
      <c r="AW18" s="120"/>
      <c r="AX18" s="121"/>
      <c r="BB18" s="479" t="s">
        <v>19</v>
      </c>
      <c r="BC18" s="117"/>
      <c r="BD18" s="117"/>
      <c r="BE18" s="117"/>
      <c r="BF18" s="117"/>
      <c r="BG18" s="117"/>
      <c r="BH18" s="117"/>
      <c r="BI18" s="117"/>
      <c r="BJ18" s="117"/>
      <c r="BK18" s="118"/>
      <c r="BL18" s="119" t="s">
        <v>25</v>
      </c>
      <c r="BM18" s="120"/>
      <c r="BN18" s="120"/>
      <c r="BO18" s="120"/>
      <c r="BP18" s="120"/>
      <c r="BQ18" s="120"/>
      <c r="BR18" s="119" t="s">
        <v>26</v>
      </c>
      <c r="BS18" s="120"/>
      <c r="BT18" s="120"/>
      <c r="BU18" s="122"/>
      <c r="BV18" s="122"/>
      <c r="BW18" s="123"/>
      <c r="BX18" s="119" t="s">
        <v>27</v>
      </c>
      <c r="BY18" s="120"/>
      <c r="BZ18" s="120"/>
      <c r="CA18" s="120"/>
      <c r="CB18" s="120"/>
      <c r="CC18" s="121"/>
    </row>
    <row r="19" spans="2:81">
      <c r="B19" s="52"/>
      <c r="C19" s="53"/>
      <c r="D19" s="63"/>
      <c r="E19" s="64"/>
      <c r="F19" s="64"/>
      <c r="G19" s="64"/>
      <c r="H19" s="64"/>
      <c r="I19" s="64"/>
      <c r="J19" s="64"/>
      <c r="K19" s="64"/>
      <c r="L19" s="64"/>
      <c r="M19" s="65"/>
      <c r="N19" s="119" t="s">
        <v>28</v>
      </c>
      <c r="O19" s="120"/>
      <c r="P19" s="120"/>
      <c r="Q19" s="120"/>
      <c r="R19" s="121"/>
      <c r="S19" s="119" t="s">
        <v>29</v>
      </c>
      <c r="T19" s="120"/>
      <c r="U19" s="120"/>
      <c r="V19" s="121"/>
      <c r="W19" s="119" t="s">
        <v>28</v>
      </c>
      <c r="X19" s="120"/>
      <c r="Y19" s="120"/>
      <c r="Z19" s="120"/>
      <c r="AA19" s="121"/>
      <c r="AB19" s="119" t="s">
        <v>29</v>
      </c>
      <c r="AC19" s="120"/>
      <c r="AD19" s="120"/>
      <c r="AE19" s="121"/>
      <c r="AF19" s="119" t="s">
        <v>28</v>
      </c>
      <c r="AG19" s="120"/>
      <c r="AH19" s="120"/>
      <c r="AI19" s="120"/>
      <c r="AJ19" s="121"/>
      <c r="AK19" s="119" t="s">
        <v>29</v>
      </c>
      <c r="AL19" s="120"/>
      <c r="AM19" s="120"/>
      <c r="AN19" s="121"/>
      <c r="AO19" s="119" t="s">
        <v>29</v>
      </c>
      <c r="AP19" s="120"/>
      <c r="AQ19" s="120"/>
      <c r="AR19" s="120"/>
      <c r="AS19" s="121"/>
      <c r="AT19" s="119" t="s">
        <v>29</v>
      </c>
      <c r="AU19" s="120"/>
      <c r="AV19" s="120"/>
      <c r="AW19" s="120"/>
      <c r="AX19" s="121"/>
      <c r="BB19" s="63"/>
      <c r="BC19" s="64"/>
      <c r="BD19" s="64"/>
      <c r="BE19" s="64"/>
      <c r="BF19" s="64"/>
      <c r="BG19" s="64"/>
      <c r="BH19" s="64"/>
      <c r="BI19" s="64"/>
      <c r="BJ19" s="64"/>
      <c r="BK19" s="65"/>
      <c r="BL19" s="63" t="s">
        <v>30</v>
      </c>
      <c r="BM19" s="64"/>
      <c r="BN19" s="64"/>
      <c r="BO19" s="64"/>
      <c r="BP19" s="64"/>
      <c r="BQ19" s="64"/>
      <c r="BR19" s="63" t="s">
        <v>30</v>
      </c>
      <c r="BS19" s="64"/>
      <c r="BT19" s="64"/>
      <c r="BU19" s="66"/>
      <c r="BV19" s="66"/>
      <c r="BW19" s="67"/>
      <c r="BX19" s="63" t="s">
        <v>30</v>
      </c>
      <c r="BY19" s="64"/>
      <c r="BZ19" s="64"/>
      <c r="CA19" s="64"/>
      <c r="CB19" s="64"/>
      <c r="CC19" s="65"/>
    </row>
    <row r="20" spans="2:81">
      <c r="B20" s="52"/>
      <c r="C20" s="53"/>
      <c r="D20" s="119" t="s">
        <v>31</v>
      </c>
      <c r="E20" s="120"/>
      <c r="F20" s="120"/>
      <c r="G20" s="120"/>
      <c r="H20" s="120"/>
      <c r="I20" s="120"/>
      <c r="J20" s="120"/>
      <c r="K20" s="120"/>
      <c r="L20" s="120"/>
      <c r="M20" s="121"/>
      <c r="N20" s="124" t="s">
        <v>32</v>
      </c>
      <c r="O20" s="125" t="s">
        <v>33</v>
      </c>
      <c r="P20" s="125"/>
      <c r="Q20" s="125"/>
      <c r="R20" s="125"/>
      <c r="S20" s="124" t="s">
        <v>32</v>
      </c>
      <c r="T20" s="125"/>
      <c r="U20" s="125"/>
      <c r="V20" s="126"/>
      <c r="W20" s="124" t="s">
        <v>32</v>
      </c>
      <c r="X20" s="125" t="s">
        <v>33</v>
      </c>
      <c r="Y20" s="125"/>
      <c r="Z20" s="125"/>
      <c r="AA20" s="126"/>
      <c r="AB20" s="124" t="s">
        <v>32</v>
      </c>
      <c r="AC20" s="125"/>
      <c r="AD20" s="125"/>
      <c r="AE20" s="126"/>
      <c r="AF20" s="124" t="s">
        <v>32</v>
      </c>
      <c r="AG20" s="125" t="s">
        <v>33</v>
      </c>
      <c r="AH20" s="125"/>
      <c r="AI20" s="125"/>
      <c r="AJ20" s="126"/>
      <c r="AK20" s="124" t="s">
        <v>32</v>
      </c>
      <c r="AL20" s="125"/>
      <c r="AM20" s="125"/>
      <c r="AN20" s="126"/>
      <c r="AO20" s="124" t="s">
        <v>32</v>
      </c>
      <c r="AP20" s="125"/>
      <c r="AQ20" s="125"/>
      <c r="AR20" s="125"/>
      <c r="AS20" s="126"/>
      <c r="AT20" s="124" t="s">
        <v>32</v>
      </c>
      <c r="AU20" s="125"/>
      <c r="AV20" s="125"/>
      <c r="AW20" s="125"/>
      <c r="AX20" s="126"/>
      <c r="BB20" s="119" t="s">
        <v>34</v>
      </c>
      <c r="BC20" s="120"/>
      <c r="BD20" s="120"/>
      <c r="BE20" s="120"/>
      <c r="BF20" s="120"/>
      <c r="BG20" s="120"/>
      <c r="BH20" s="120"/>
      <c r="BI20" s="120"/>
      <c r="BJ20" s="120"/>
      <c r="BK20" s="121"/>
      <c r="BL20" s="124" t="s">
        <v>35</v>
      </c>
      <c r="BM20" s="125"/>
      <c r="BN20" s="125"/>
      <c r="BO20" s="125"/>
      <c r="BP20" s="125"/>
      <c r="BQ20" s="125"/>
      <c r="BR20" s="124" t="s">
        <v>35</v>
      </c>
      <c r="BS20" s="125"/>
      <c r="BT20" s="125"/>
      <c r="BU20" s="127"/>
      <c r="BV20" s="127"/>
      <c r="BW20" s="128"/>
      <c r="BX20" s="124" t="s">
        <v>35</v>
      </c>
      <c r="BY20" s="125"/>
      <c r="BZ20" s="125"/>
      <c r="CA20" s="125"/>
      <c r="CB20" s="125"/>
      <c r="CC20" s="126"/>
    </row>
    <row r="21" spans="2:81">
      <c r="B21" s="52"/>
      <c r="C21" s="53"/>
      <c r="D21" s="119" t="s">
        <v>36</v>
      </c>
      <c r="E21" s="120"/>
      <c r="F21" s="120"/>
      <c r="G21" s="120"/>
      <c r="H21" s="120"/>
      <c r="I21" s="120"/>
      <c r="J21" s="120"/>
      <c r="K21" s="120"/>
      <c r="L21" s="120"/>
      <c r="M21" s="121"/>
      <c r="N21" s="124" t="s">
        <v>32</v>
      </c>
      <c r="O21" s="125" t="s">
        <v>37</v>
      </c>
      <c r="P21" s="125"/>
      <c r="Q21" s="125"/>
      <c r="R21" s="125"/>
      <c r="S21" s="124" t="s">
        <v>32</v>
      </c>
      <c r="T21" s="125"/>
      <c r="U21" s="125"/>
      <c r="V21" s="126"/>
      <c r="W21" s="124" t="s">
        <v>38</v>
      </c>
      <c r="X21" s="125"/>
      <c r="Y21" s="125"/>
      <c r="Z21" s="125"/>
      <c r="AA21" s="126"/>
      <c r="AB21" s="124" t="s">
        <v>38</v>
      </c>
      <c r="AC21" s="125"/>
      <c r="AD21" s="125"/>
      <c r="AE21" s="126"/>
      <c r="AF21" s="124" t="s">
        <v>32</v>
      </c>
      <c r="AG21" s="125" t="s">
        <v>37</v>
      </c>
      <c r="AH21" s="125"/>
      <c r="AI21" s="125"/>
      <c r="AJ21" s="126"/>
      <c r="AK21" s="124" t="s">
        <v>32</v>
      </c>
      <c r="AL21" s="125"/>
      <c r="AM21" s="125"/>
      <c r="AN21" s="126"/>
      <c r="AO21" s="124" t="s">
        <v>32</v>
      </c>
      <c r="AP21" s="125"/>
      <c r="AQ21" s="125"/>
      <c r="AR21" s="125"/>
      <c r="AS21" s="126"/>
      <c r="AT21" s="124" t="s">
        <v>32</v>
      </c>
      <c r="AU21" s="125"/>
      <c r="AV21" s="125"/>
      <c r="AW21" s="125"/>
      <c r="AX21" s="126"/>
      <c r="BB21" s="119" t="s">
        <v>39</v>
      </c>
      <c r="BC21" s="120"/>
      <c r="BD21" s="120"/>
      <c r="BE21" s="120"/>
      <c r="BF21" s="120"/>
      <c r="BG21" s="120"/>
      <c r="BH21" s="120"/>
      <c r="BI21" s="120"/>
      <c r="BJ21" s="120"/>
      <c r="BK21" s="121"/>
      <c r="BL21" s="124" t="s">
        <v>35</v>
      </c>
      <c r="BM21" s="125"/>
      <c r="BN21" s="125"/>
      <c r="BO21" s="125"/>
      <c r="BP21" s="125"/>
      <c r="BQ21" s="125"/>
      <c r="BR21" s="124" t="s">
        <v>40</v>
      </c>
      <c r="BS21" s="125"/>
      <c r="BT21" s="125"/>
      <c r="BU21" s="127"/>
      <c r="BV21" s="127"/>
      <c r="BW21" s="128"/>
      <c r="BX21" s="124" t="s">
        <v>35</v>
      </c>
      <c r="BY21" s="125"/>
      <c r="BZ21" s="125"/>
      <c r="CA21" s="125"/>
      <c r="CB21" s="125"/>
      <c r="CC21" s="126"/>
    </row>
    <row r="22" spans="2:81">
      <c r="B22" s="52"/>
      <c r="C22" s="53"/>
      <c r="D22" s="119" t="s">
        <v>41</v>
      </c>
      <c r="E22" s="120"/>
      <c r="F22" s="120"/>
      <c r="G22" s="120"/>
      <c r="H22" s="120"/>
      <c r="I22" s="120"/>
      <c r="J22" s="120"/>
      <c r="K22" s="120"/>
      <c r="L22" s="120"/>
      <c r="M22" s="121"/>
      <c r="N22" s="124" t="s">
        <v>42</v>
      </c>
      <c r="O22" s="125"/>
      <c r="P22" s="125"/>
      <c r="Q22" s="125"/>
      <c r="R22" s="125"/>
      <c r="S22" s="124" t="s">
        <v>43</v>
      </c>
      <c r="T22" s="125"/>
      <c r="U22" s="125"/>
      <c r="V22" s="126"/>
      <c r="W22" s="124" t="s">
        <v>38</v>
      </c>
      <c r="X22" s="125"/>
      <c r="Y22" s="125"/>
      <c r="Z22" s="125"/>
      <c r="AA22" s="126"/>
      <c r="AB22" s="124" t="s">
        <v>38</v>
      </c>
      <c r="AC22" s="125"/>
      <c r="AD22" s="125"/>
      <c r="AE22" s="126"/>
      <c r="AF22" s="124" t="s">
        <v>42</v>
      </c>
      <c r="AG22" s="125"/>
      <c r="AH22" s="125"/>
      <c r="AI22" s="125"/>
      <c r="AJ22" s="126"/>
      <c r="AK22" s="124" t="s">
        <v>43</v>
      </c>
      <c r="AL22" s="125"/>
      <c r="AM22" s="125"/>
      <c r="AN22" s="126"/>
      <c r="AO22" s="124" t="s">
        <v>43</v>
      </c>
      <c r="AP22" s="125"/>
      <c r="AQ22" s="125"/>
      <c r="AR22" s="125"/>
      <c r="AS22" s="126"/>
      <c r="AT22" s="124" t="s">
        <v>43</v>
      </c>
      <c r="AU22" s="125"/>
      <c r="AV22" s="125"/>
      <c r="AW22" s="125"/>
      <c r="AX22" s="126"/>
      <c r="BB22" s="119" t="s">
        <v>44</v>
      </c>
      <c r="BC22" s="120"/>
      <c r="BD22" s="120"/>
      <c r="BE22" s="120"/>
      <c r="BF22" s="120"/>
      <c r="BG22" s="120"/>
      <c r="BH22" s="120"/>
      <c r="BI22" s="120"/>
      <c r="BJ22" s="120"/>
      <c r="BK22" s="121"/>
      <c r="BL22" s="124" t="s">
        <v>35</v>
      </c>
      <c r="BM22" s="125"/>
      <c r="BN22" s="125"/>
      <c r="BO22" s="125"/>
      <c r="BP22" s="125"/>
      <c r="BQ22" s="125"/>
      <c r="BR22" s="124" t="s">
        <v>40</v>
      </c>
      <c r="BS22" s="125"/>
      <c r="BT22" s="125"/>
      <c r="BU22" s="127"/>
      <c r="BV22" s="127"/>
      <c r="BW22" s="128"/>
      <c r="BX22" s="124" t="s">
        <v>35</v>
      </c>
      <c r="BY22" s="125"/>
      <c r="BZ22" s="125"/>
      <c r="CA22" s="125"/>
      <c r="CB22" s="125"/>
      <c r="CC22" s="126"/>
    </row>
    <row r="23" spans="2:81">
      <c r="B23" s="52"/>
      <c r="C23" s="53"/>
      <c r="D23" s="119" t="s">
        <v>45</v>
      </c>
      <c r="E23" s="120"/>
      <c r="F23" s="120"/>
      <c r="G23" s="120"/>
      <c r="H23" s="120"/>
      <c r="I23" s="120"/>
      <c r="J23" s="120"/>
      <c r="K23" s="120"/>
      <c r="L23" s="120"/>
      <c r="M23" s="121"/>
      <c r="N23" s="124" t="s">
        <v>38</v>
      </c>
      <c r="O23" s="125"/>
      <c r="P23" s="125"/>
      <c r="Q23" s="125"/>
      <c r="R23" s="125"/>
      <c r="S23" s="124" t="s">
        <v>38</v>
      </c>
      <c r="T23" s="125"/>
      <c r="U23" s="125"/>
      <c r="V23" s="126"/>
      <c r="W23" s="124" t="s">
        <v>42</v>
      </c>
      <c r="X23" s="125"/>
      <c r="Y23" s="125"/>
      <c r="Z23" s="125"/>
      <c r="AA23" s="126"/>
      <c r="AB23" s="124" t="s">
        <v>32</v>
      </c>
      <c r="AC23" s="125"/>
      <c r="AD23" s="125"/>
      <c r="AE23" s="126"/>
      <c r="AF23" s="124" t="s">
        <v>38</v>
      </c>
      <c r="AG23" s="125"/>
      <c r="AH23" s="125"/>
      <c r="AI23" s="125"/>
      <c r="AJ23" s="126"/>
      <c r="AK23" s="124" t="s">
        <v>38</v>
      </c>
      <c r="AL23" s="125"/>
      <c r="AM23" s="125"/>
      <c r="AN23" s="126"/>
      <c r="AO23" s="124" t="s">
        <v>38</v>
      </c>
      <c r="AP23" s="125"/>
      <c r="AQ23" s="125"/>
      <c r="AR23" s="125"/>
      <c r="AS23" s="126"/>
      <c r="AT23" s="124" t="s">
        <v>32</v>
      </c>
      <c r="AU23" s="125"/>
      <c r="AV23" s="125"/>
      <c r="AW23" s="125"/>
      <c r="AX23" s="126"/>
      <c r="BB23" s="119" t="s">
        <v>46</v>
      </c>
      <c r="BC23" s="120"/>
      <c r="BD23" s="120"/>
      <c r="BE23" s="120"/>
      <c r="BF23" s="120"/>
      <c r="BG23" s="120"/>
      <c r="BH23" s="120"/>
      <c r="BI23" s="120"/>
      <c r="BJ23" s="120"/>
      <c r="BK23" s="121"/>
      <c r="BL23" s="124" t="s">
        <v>35</v>
      </c>
      <c r="BM23" s="125"/>
      <c r="BN23" s="125"/>
      <c r="BO23" s="125"/>
      <c r="BP23" s="125"/>
      <c r="BQ23" s="125"/>
      <c r="BR23" s="124" t="s">
        <v>40</v>
      </c>
      <c r="BS23" s="125"/>
      <c r="BT23" s="125"/>
      <c r="BU23" s="127"/>
      <c r="BV23" s="127"/>
      <c r="BW23" s="128"/>
      <c r="BX23" s="124" t="s">
        <v>35</v>
      </c>
      <c r="BY23" s="125"/>
      <c r="BZ23" s="125"/>
      <c r="CA23" s="125"/>
      <c r="CB23" s="125"/>
      <c r="CC23" s="126"/>
    </row>
    <row r="24" spans="2:81">
      <c r="B24" s="52"/>
      <c r="C24" s="53"/>
      <c r="D24" s="119" t="s">
        <v>47</v>
      </c>
      <c r="E24" s="120"/>
      <c r="F24" s="120"/>
      <c r="G24" s="120"/>
      <c r="H24" s="120"/>
      <c r="I24" s="120"/>
      <c r="J24" s="120"/>
      <c r="K24" s="120"/>
      <c r="L24" s="120"/>
      <c r="M24" s="121"/>
      <c r="N24" s="124" t="s">
        <v>32</v>
      </c>
      <c r="O24" s="125"/>
      <c r="P24" s="125"/>
      <c r="Q24" s="125"/>
      <c r="R24" s="125"/>
      <c r="S24" s="124" t="s">
        <v>32</v>
      </c>
      <c r="T24" s="125"/>
      <c r="U24" s="125"/>
      <c r="V24" s="126"/>
      <c r="W24" s="124" t="s">
        <v>32</v>
      </c>
      <c r="X24" s="125"/>
      <c r="Y24" s="125"/>
      <c r="Z24" s="125"/>
      <c r="AA24" s="126"/>
      <c r="AB24" s="124" t="s">
        <v>32</v>
      </c>
      <c r="AC24" s="125"/>
      <c r="AD24" s="125"/>
      <c r="AE24" s="126"/>
      <c r="AF24" s="124" t="s">
        <v>32</v>
      </c>
      <c r="AG24" s="125"/>
      <c r="AH24" s="125"/>
      <c r="AI24" s="125"/>
      <c r="AJ24" s="126"/>
      <c r="AK24" s="124" t="s">
        <v>32</v>
      </c>
      <c r="AL24" s="125"/>
      <c r="AM24" s="125"/>
      <c r="AN24" s="126"/>
      <c r="AO24" s="124" t="s">
        <v>32</v>
      </c>
      <c r="AP24" s="125"/>
      <c r="AQ24" s="125"/>
      <c r="AR24" s="125"/>
      <c r="AS24" s="126"/>
      <c r="AT24" s="124" t="s">
        <v>32</v>
      </c>
      <c r="AU24" s="125"/>
      <c r="AV24" s="125"/>
      <c r="AW24" s="125"/>
      <c r="AX24" s="126"/>
      <c r="BB24" s="119" t="s">
        <v>48</v>
      </c>
      <c r="BC24" s="120"/>
      <c r="BD24" s="120"/>
      <c r="BE24" s="120"/>
      <c r="BF24" s="120"/>
      <c r="BG24" s="120"/>
      <c r="BH24" s="120"/>
      <c r="BI24" s="120"/>
      <c r="BJ24" s="120"/>
      <c r="BK24" s="121"/>
      <c r="BL24" s="124" t="s">
        <v>35</v>
      </c>
      <c r="BM24" s="125"/>
      <c r="BN24" s="125"/>
      <c r="BO24" s="125"/>
      <c r="BP24" s="125"/>
      <c r="BQ24" s="125"/>
      <c r="BR24" s="124" t="s">
        <v>40</v>
      </c>
      <c r="BS24" s="125"/>
      <c r="BT24" s="125"/>
      <c r="BU24" s="127"/>
      <c r="BV24" s="127"/>
      <c r="BW24" s="128"/>
      <c r="BX24" s="124" t="s">
        <v>35</v>
      </c>
      <c r="BY24" s="125"/>
      <c r="BZ24" s="125"/>
      <c r="CA24" s="125"/>
      <c r="CB24" s="125"/>
      <c r="CC24" s="126"/>
    </row>
    <row r="25" spans="2:81">
      <c r="B25" s="52"/>
      <c r="C25" s="53"/>
      <c r="D25" s="119" t="s">
        <v>49</v>
      </c>
      <c r="E25" s="120"/>
      <c r="F25" s="120"/>
      <c r="G25" s="120"/>
      <c r="H25" s="120"/>
      <c r="I25" s="120"/>
      <c r="J25" s="120"/>
      <c r="K25" s="120"/>
      <c r="L25" s="120"/>
      <c r="M25" s="121"/>
      <c r="N25" s="129"/>
      <c r="O25" s="130"/>
      <c r="P25" s="130"/>
      <c r="Q25" s="130"/>
      <c r="R25" s="130"/>
      <c r="S25" s="129"/>
      <c r="T25" s="130"/>
      <c r="U25" s="130"/>
      <c r="V25" s="131"/>
      <c r="W25" s="129"/>
      <c r="X25" s="130"/>
      <c r="Y25" s="130"/>
      <c r="Z25" s="130"/>
      <c r="AA25" s="131"/>
      <c r="AB25" s="129"/>
      <c r="AC25" s="130"/>
      <c r="AD25" s="130"/>
      <c r="AE25" s="131"/>
      <c r="AF25" s="129"/>
      <c r="AG25" s="130"/>
      <c r="AH25" s="130"/>
      <c r="AI25" s="130"/>
      <c r="AJ25" s="131"/>
      <c r="AK25" s="129"/>
      <c r="AL25" s="130"/>
      <c r="AM25" s="130"/>
      <c r="AN25" s="131"/>
      <c r="AO25" s="129"/>
      <c r="AP25" s="130"/>
      <c r="AQ25" s="130"/>
      <c r="AR25" s="130"/>
      <c r="AS25" s="131"/>
      <c r="AT25" s="129"/>
      <c r="AU25" s="130"/>
      <c r="AV25" s="130"/>
      <c r="AW25" s="130"/>
      <c r="AX25" s="131"/>
      <c r="BB25" s="119" t="s">
        <v>50</v>
      </c>
      <c r="BC25" s="120"/>
      <c r="BD25" s="120"/>
      <c r="BE25" s="120"/>
      <c r="BF25" s="120"/>
      <c r="BG25" s="120"/>
      <c r="BH25" s="120"/>
      <c r="BI25" s="120"/>
      <c r="BJ25" s="120"/>
      <c r="BK25" s="121"/>
      <c r="BL25" s="124" t="s">
        <v>35</v>
      </c>
      <c r="BM25" s="125"/>
      <c r="BN25" s="125"/>
      <c r="BO25" s="125"/>
      <c r="BP25" s="125"/>
      <c r="BQ25" s="125"/>
      <c r="BR25" s="124" t="s">
        <v>40</v>
      </c>
      <c r="BS25" s="125"/>
      <c r="BT25" s="125"/>
      <c r="BU25" s="127"/>
      <c r="BV25" s="127"/>
      <c r="BW25" s="128"/>
      <c r="BX25" s="124" t="s">
        <v>35</v>
      </c>
      <c r="BY25" s="125"/>
      <c r="BZ25" s="125"/>
      <c r="CA25" s="125"/>
      <c r="CB25" s="125"/>
      <c r="CC25" s="126"/>
    </row>
    <row r="26" spans="2:81">
      <c r="B26" s="52"/>
      <c r="C26" s="53"/>
      <c r="D26" s="119" t="s">
        <v>51</v>
      </c>
      <c r="E26" s="120"/>
      <c r="F26" s="120"/>
      <c r="G26" s="120"/>
      <c r="H26" s="120"/>
      <c r="I26" s="120"/>
      <c r="J26" s="120"/>
      <c r="K26" s="120"/>
      <c r="L26" s="120"/>
      <c r="M26" s="121"/>
      <c r="N26" s="124" t="s">
        <v>42</v>
      </c>
      <c r="O26" s="125"/>
      <c r="P26" s="125"/>
      <c r="Q26" s="125"/>
      <c r="R26" s="125"/>
      <c r="S26" s="124" t="s">
        <v>32</v>
      </c>
      <c r="T26" s="125"/>
      <c r="U26" s="125"/>
      <c r="V26" s="126"/>
      <c r="W26" s="124" t="s">
        <v>42</v>
      </c>
      <c r="X26" s="125"/>
      <c r="Y26" s="125"/>
      <c r="Z26" s="125"/>
      <c r="AA26" s="126"/>
      <c r="AB26" s="124" t="s">
        <v>32</v>
      </c>
      <c r="AC26" s="125"/>
      <c r="AD26" s="125"/>
      <c r="AE26" s="126"/>
      <c r="AF26" s="124" t="s">
        <v>38</v>
      </c>
      <c r="AG26" s="125"/>
      <c r="AH26" s="125"/>
      <c r="AI26" s="125"/>
      <c r="AJ26" s="126"/>
      <c r="AK26" s="124" t="s">
        <v>38</v>
      </c>
      <c r="AL26" s="125"/>
      <c r="AM26" s="125"/>
      <c r="AN26" s="126"/>
      <c r="AO26" s="124" t="s">
        <v>38</v>
      </c>
      <c r="AP26" s="125"/>
      <c r="AQ26" s="125"/>
      <c r="AR26" s="125"/>
      <c r="AS26" s="126"/>
      <c r="AT26" s="124" t="s">
        <v>32</v>
      </c>
      <c r="AU26" s="125"/>
      <c r="AV26" s="125"/>
      <c r="AW26" s="125"/>
      <c r="AX26" s="126"/>
      <c r="BB26" s="119" t="s">
        <v>52</v>
      </c>
      <c r="BC26" s="120"/>
      <c r="BD26" s="120"/>
      <c r="BE26" s="120"/>
      <c r="BF26" s="120"/>
      <c r="BG26" s="120"/>
      <c r="BH26" s="120"/>
      <c r="BI26" s="120"/>
      <c r="BJ26" s="120"/>
      <c r="BK26" s="121"/>
      <c r="BL26" s="124" t="s">
        <v>53</v>
      </c>
      <c r="BM26" s="125"/>
      <c r="BN26" s="125" t="s">
        <v>54</v>
      </c>
      <c r="BO26" s="125"/>
      <c r="BP26" s="125"/>
      <c r="BQ26" s="125"/>
      <c r="BR26" s="124" t="s">
        <v>40</v>
      </c>
      <c r="BS26" s="125"/>
      <c r="BT26" s="125"/>
      <c r="BU26" s="127"/>
      <c r="BV26" s="127"/>
      <c r="BW26" s="128"/>
      <c r="BX26" s="124" t="s">
        <v>53</v>
      </c>
      <c r="BY26" s="125"/>
      <c r="BZ26" s="125" t="s">
        <v>54</v>
      </c>
      <c r="CA26" s="125"/>
      <c r="CB26" s="125"/>
      <c r="CC26" s="126"/>
    </row>
    <row r="27" spans="2:81">
      <c r="B27" s="52"/>
      <c r="C27" s="53"/>
      <c r="D27" s="119" t="s">
        <v>55</v>
      </c>
      <c r="E27" s="120"/>
      <c r="F27" s="120"/>
      <c r="G27" s="120"/>
      <c r="H27" s="120"/>
      <c r="I27" s="120"/>
      <c r="J27" s="120"/>
      <c r="K27" s="120"/>
      <c r="L27" s="120"/>
      <c r="M27" s="121"/>
      <c r="N27" s="124" t="s">
        <v>42</v>
      </c>
      <c r="O27" s="125"/>
      <c r="P27" s="125"/>
      <c r="Q27" s="125"/>
      <c r="R27" s="125"/>
      <c r="S27" s="124" t="s">
        <v>43</v>
      </c>
      <c r="T27" s="125"/>
      <c r="U27" s="125"/>
      <c r="V27" s="126"/>
      <c r="W27" s="124" t="s">
        <v>42</v>
      </c>
      <c r="X27" s="125"/>
      <c r="Y27" s="125"/>
      <c r="Z27" s="125"/>
      <c r="AA27" s="126"/>
      <c r="AB27" s="124" t="s">
        <v>43</v>
      </c>
      <c r="AC27" s="125"/>
      <c r="AD27" s="125"/>
      <c r="AE27" s="126"/>
      <c r="AF27" s="124" t="s">
        <v>38</v>
      </c>
      <c r="AG27" s="125"/>
      <c r="AH27" s="125"/>
      <c r="AI27" s="125"/>
      <c r="AJ27" s="126"/>
      <c r="AK27" s="124" t="s">
        <v>38</v>
      </c>
      <c r="AL27" s="125"/>
      <c r="AM27" s="125"/>
      <c r="AN27" s="126"/>
      <c r="AO27" s="124" t="s">
        <v>38</v>
      </c>
      <c r="AP27" s="125"/>
      <c r="AQ27" s="125"/>
      <c r="AR27" s="125"/>
      <c r="AS27" s="126"/>
      <c r="AT27" s="124" t="s">
        <v>43</v>
      </c>
      <c r="AU27" s="125"/>
      <c r="AV27" s="125"/>
      <c r="AW27" s="125"/>
      <c r="AX27" s="126"/>
      <c r="BB27" s="119" t="s">
        <v>56</v>
      </c>
      <c r="BC27" s="120"/>
      <c r="BD27" s="120"/>
      <c r="BE27" s="120"/>
      <c r="BF27" s="120"/>
      <c r="BG27" s="120"/>
      <c r="BH27" s="120"/>
      <c r="BI27" s="120"/>
      <c r="BJ27" s="120"/>
      <c r="BK27" s="121"/>
      <c r="BL27" s="124" t="s">
        <v>53</v>
      </c>
      <c r="BM27" s="125"/>
      <c r="BN27" s="125" t="s">
        <v>57</v>
      </c>
      <c r="BO27" s="125"/>
      <c r="BP27" s="125"/>
      <c r="BQ27" s="125"/>
      <c r="BR27" s="124" t="s">
        <v>40</v>
      </c>
      <c r="BS27" s="125"/>
      <c r="BT27" s="125"/>
      <c r="BU27" s="127"/>
      <c r="BV27" s="127"/>
      <c r="BW27" s="128"/>
      <c r="BX27" s="124" t="s">
        <v>53</v>
      </c>
      <c r="BY27" s="125"/>
      <c r="BZ27" s="125" t="s">
        <v>57</v>
      </c>
      <c r="CA27" s="125"/>
      <c r="CB27" s="125"/>
      <c r="CC27" s="126"/>
    </row>
    <row r="28" spans="2:81">
      <c r="B28" s="52"/>
      <c r="C28" s="53"/>
      <c r="D28" s="119" t="s">
        <v>58</v>
      </c>
      <c r="E28" s="120"/>
      <c r="F28" s="120"/>
      <c r="G28" s="120"/>
      <c r="H28" s="120"/>
      <c r="I28" s="120"/>
      <c r="J28" s="120"/>
      <c r="K28" s="120"/>
      <c r="L28" s="120"/>
      <c r="M28" s="121"/>
      <c r="N28" s="124" t="s">
        <v>42</v>
      </c>
      <c r="O28" s="125"/>
      <c r="P28" s="125"/>
      <c r="Q28" s="125"/>
      <c r="R28" s="125"/>
      <c r="S28" s="124" t="s">
        <v>43</v>
      </c>
      <c r="T28" s="125"/>
      <c r="U28" s="125"/>
      <c r="V28" s="126"/>
      <c r="W28" s="124" t="s">
        <v>42</v>
      </c>
      <c r="X28" s="125"/>
      <c r="Y28" s="125"/>
      <c r="Z28" s="125"/>
      <c r="AA28" s="126"/>
      <c r="AB28" s="124" t="s">
        <v>43</v>
      </c>
      <c r="AC28" s="125"/>
      <c r="AD28" s="125"/>
      <c r="AE28" s="126"/>
      <c r="AF28" s="124" t="s">
        <v>38</v>
      </c>
      <c r="AG28" s="125"/>
      <c r="AH28" s="125"/>
      <c r="AI28" s="125"/>
      <c r="AJ28" s="126"/>
      <c r="AK28" s="124" t="s">
        <v>38</v>
      </c>
      <c r="AL28" s="125"/>
      <c r="AM28" s="125"/>
      <c r="AN28" s="126"/>
      <c r="AO28" s="124" t="s">
        <v>38</v>
      </c>
      <c r="AP28" s="125"/>
      <c r="AQ28" s="125"/>
      <c r="AR28" s="125"/>
      <c r="AS28" s="126"/>
      <c r="AT28" s="124" t="s">
        <v>43</v>
      </c>
      <c r="AU28" s="125"/>
      <c r="AV28" s="125"/>
      <c r="AW28" s="125"/>
      <c r="AX28" s="126"/>
      <c r="BB28" s="119" t="s">
        <v>59</v>
      </c>
      <c r="BC28" s="120"/>
      <c r="BD28" s="120"/>
      <c r="BE28" s="120"/>
      <c r="BF28" s="120"/>
      <c r="BG28" s="120"/>
      <c r="BH28" s="120"/>
      <c r="BI28" s="120"/>
      <c r="BJ28" s="120"/>
      <c r="BK28" s="121"/>
      <c r="BL28" s="124" t="s">
        <v>53</v>
      </c>
      <c r="BM28" s="125"/>
      <c r="BN28" s="125" t="s">
        <v>60</v>
      </c>
      <c r="BO28" s="125"/>
      <c r="BP28" s="125"/>
      <c r="BQ28" s="125"/>
      <c r="BR28" s="124" t="s">
        <v>40</v>
      </c>
      <c r="BS28" s="125"/>
      <c r="BT28" s="125"/>
      <c r="BU28" s="127"/>
      <c r="BV28" s="127"/>
      <c r="BW28" s="128"/>
      <c r="BX28" s="124" t="s">
        <v>53</v>
      </c>
      <c r="BY28" s="125"/>
      <c r="BZ28" s="125" t="s">
        <v>60</v>
      </c>
      <c r="CA28" s="125"/>
      <c r="CB28" s="125"/>
      <c r="CC28" s="126"/>
    </row>
    <row r="29" spans="2:81">
      <c r="B29" s="52"/>
      <c r="C29" s="53"/>
      <c r="D29" s="119" t="s">
        <v>61</v>
      </c>
      <c r="E29" s="120"/>
      <c r="F29" s="120"/>
      <c r="G29" s="120"/>
      <c r="H29" s="120"/>
      <c r="I29" s="120"/>
      <c r="J29" s="120"/>
      <c r="K29" s="120"/>
      <c r="L29" s="120"/>
      <c r="M29" s="121"/>
      <c r="N29" s="124" t="s">
        <v>42</v>
      </c>
      <c r="O29" s="125"/>
      <c r="P29" s="125"/>
      <c r="Q29" s="125"/>
      <c r="R29" s="125"/>
      <c r="S29" s="124" t="s">
        <v>42</v>
      </c>
      <c r="T29" s="125"/>
      <c r="U29" s="125"/>
      <c r="V29" s="126"/>
      <c r="W29" s="124" t="s">
        <v>38</v>
      </c>
      <c r="X29" s="125"/>
      <c r="Y29" s="125"/>
      <c r="Z29" s="125"/>
      <c r="AA29" s="126"/>
      <c r="AB29" s="124" t="s">
        <v>38</v>
      </c>
      <c r="AC29" s="125"/>
      <c r="AD29" s="125"/>
      <c r="AE29" s="126"/>
      <c r="AF29" s="124" t="s">
        <v>38</v>
      </c>
      <c r="AG29" s="125"/>
      <c r="AH29" s="125"/>
      <c r="AI29" s="125"/>
      <c r="AJ29" s="126"/>
      <c r="AK29" s="124" t="s">
        <v>38</v>
      </c>
      <c r="AL29" s="125"/>
      <c r="AM29" s="125"/>
      <c r="AN29" s="126"/>
      <c r="AO29" s="124" t="s">
        <v>38</v>
      </c>
      <c r="AP29" s="125"/>
      <c r="AQ29" s="125"/>
      <c r="AR29" s="125"/>
      <c r="AS29" s="126"/>
      <c r="AT29" s="124" t="s">
        <v>42</v>
      </c>
      <c r="AU29" s="125"/>
      <c r="AV29" s="125"/>
      <c r="AW29" s="125"/>
      <c r="AX29" s="126"/>
      <c r="BB29" s="119" t="s">
        <v>62</v>
      </c>
      <c r="BC29" s="120"/>
      <c r="BD29" s="120"/>
      <c r="BE29" s="120"/>
      <c r="BF29" s="120"/>
      <c r="BG29" s="120"/>
      <c r="BH29" s="120"/>
      <c r="BI29" s="120"/>
      <c r="BJ29" s="120"/>
      <c r="BK29" s="121"/>
      <c r="BL29" s="129"/>
      <c r="BM29" s="130"/>
      <c r="BN29" s="130"/>
      <c r="BO29" s="130"/>
      <c r="BP29" s="130"/>
      <c r="BQ29" s="130"/>
      <c r="BR29" s="124" t="s">
        <v>40</v>
      </c>
      <c r="BS29" s="125"/>
      <c r="BT29" s="125"/>
      <c r="BU29" s="127"/>
      <c r="BV29" s="127"/>
      <c r="BW29" s="128"/>
      <c r="BX29" s="129"/>
      <c r="BY29" s="130"/>
      <c r="BZ29" s="130"/>
      <c r="CA29" s="130"/>
      <c r="CB29" s="130"/>
      <c r="CC29" s="131"/>
    </row>
    <row r="30" spans="2:81">
      <c r="B30" s="52"/>
      <c r="C30" s="53"/>
      <c r="D30" s="119" t="s">
        <v>63</v>
      </c>
      <c r="E30" s="120"/>
      <c r="F30" s="120"/>
      <c r="G30" s="120"/>
      <c r="H30" s="120"/>
      <c r="I30" s="120"/>
      <c r="J30" s="120"/>
      <c r="K30" s="120"/>
      <c r="L30" s="120"/>
      <c r="M30" s="121"/>
      <c r="N30" s="124" t="s">
        <v>42</v>
      </c>
      <c r="O30" s="125"/>
      <c r="P30" s="125"/>
      <c r="Q30" s="125"/>
      <c r="R30" s="125"/>
      <c r="S30" s="124" t="s">
        <v>32</v>
      </c>
      <c r="T30" s="125"/>
      <c r="U30" s="125"/>
      <c r="V30" s="126"/>
      <c r="W30" s="124" t="s">
        <v>38</v>
      </c>
      <c r="X30" s="125"/>
      <c r="Y30" s="125"/>
      <c r="Z30" s="125"/>
      <c r="AA30" s="126"/>
      <c r="AB30" s="124" t="s">
        <v>38</v>
      </c>
      <c r="AC30" s="125"/>
      <c r="AD30" s="125"/>
      <c r="AE30" s="126"/>
      <c r="AF30" s="124" t="s">
        <v>38</v>
      </c>
      <c r="AG30" s="125"/>
      <c r="AH30" s="125"/>
      <c r="AI30" s="125"/>
      <c r="AJ30" s="126"/>
      <c r="AK30" s="124" t="s">
        <v>38</v>
      </c>
      <c r="AL30" s="125"/>
      <c r="AM30" s="125"/>
      <c r="AN30" s="126"/>
      <c r="AO30" s="124" t="s">
        <v>38</v>
      </c>
      <c r="AP30" s="125"/>
      <c r="AQ30" s="125"/>
      <c r="AR30" s="125"/>
      <c r="AS30" s="126"/>
      <c r="AT30" s="124" t="s">
        <v>32</v>
      </c>
      <c r="AU30" s="125"/>
      <c r="AV30" s="125"/>
      <c r="AW30" s="125"/>
      <c r="AX30" s="126"/>
      <c r="BB30" s="119" t="s">
        <v>64</v>
      </c>
      <c r="BC30" s="120"/>
      <c r="BD30" s="120"/>
      <c r="BE30" s="120"/>
      <c r="BF30" s="120"/>
      <c r="BG30" s="120"/>
      <c r="BH30" s="120"/>
      <c r="BI30" s="120"/>
      <c r="BJ30" s="120"/>
      <c r="BK30" s="121"/>
      <c r="BL30" s="124" t="s">
        <v>40</v>
      </c>
      <c r="BM30" s="125"/>
      <c r="BN30" s="125"/>
      <c r="BO30" s="125"/>
      <c r="BP30" s="125"/>
      <c r="BQ30" s="125"/>
      <c r="BR30" s="124" t="s">
        <v>35</v>
      </c>
      <c r="BS30" s="125"/>
      <c r="BT30" s="125"/>
      <c r="BU30" s="127"/>
      <c r="BV30" s="127"/>
      <c r="BW30" s="128"/>
      <c r="BX30" s="124" t="s">
        <v>40</v>
      </c>
      <c r="BY30" s="125"/>
      <c r="BZ30" s="125"/>
      <c r="CA30" s="125"/>
      <c r="CB30" s="125"/>
      <c r="CC30" s="126"/>
    </row>
    <row r="31" spans="2:81">
      <c r="B31" s="52"/>
      <c r="C31" s="53"/>
      <c r="D31" s="119" t="s">
        <v>65</v>
      </c>
      <c r="E31" s="120"/>
      <c r="F31" s="120"/>
      <c r="G31" s="120"/>
      <c r="H31" s="120"/>
      <c r="I31" s="120"/>
      <c r="J31" s="120"/>
      <c r="K31" s="120"/>
      <c r="L31" s="120"/>
      <c r="M31" s="121"/>
      <c r="N31" s="124" t="s">
        <v>42</v>
      </c>
      <c r="O31" s="125"/>
      <c r="P31" s="125"/>
      <c r="Q31" s="125"/>
      <c r="R31" s="125"/>
      <c r="S31" s="124" t="s">
        <v>42</v>
      </c>
      <c r="T31" s="125"/>
      <c r="U31" s="125"/>
      <c r="V31" s="126"/>
      <c r="W31" s="124" t="s">
        <v>42</v>
      </c>
      <c r="X31" s="125"/>
      <c r="Y31" s="125"/>
      <c r="Z31" s="125"/>
      <c r="AA31" s="126"/>
      <c r="AB31" s="124" t="s">
        <v>42</v>
      </c>
      <c r="AC31" s="125"/>
      <c r="AD31" s="125"/>
      <c r="AE31" s="126"/>
      <c r="AF31" s="124" t="s">
        <v>38</v>
      </c>
      <c r="AG31" s="125"/>
      <c r="AH31" s="125"/>
      <c r="AI31" s="125"/>
      <c r="AJ31" s="126"/>
      <c r="AK31" s="124" t="s">
        <v>38</v>
      </c>
      <c r="AL31" s="125"/>
      <c r="AM31" s="125"/>
      <c r="AN31" s="126"/>
      <c r="AO31" s="124" t="s">
        <v>38</v>
      </c>
      <c r="AP31" s="125"/>
      <c r="AQ31" s="125"/>
      <c r="AR31" s="125"/>
      <c r="AS31" s="126"/>
      <c r="AT31" s="124" t="s">
        <v>42</v>
      </c>
      <c r="AU31" s="125"/>
      <c r="AV31" s="125"/>
      <c r="AW31" s="125"/>
      <c r="AX31" s="126"/>
      <c r="BB31" s="119" t="s">
        <v>66</v>
      </c>
      <c r="BC31" s="120"/>
      <c r="BD31" s="120"/>
      <c r="BE31" s="120"/>
      <c r="BF31" s="120"/>
      <c r="BG31" s="120"/>
      <c r="BH31" s="120"/>
      <c r="BI31" s="120"/>
      <c r="BJ31" s="120"/>
      <c r="BK31" s="121"/>
      <c r="BL31" s="124" t="s">
        <v>40</v>
      </c>
      <c r="BM31" s="125"/>
      <c r="BN31" s="125"/>
      <c r="BO31" s="125"/>
      <c r="BP31" s="125"/>
      <c r="BQ31" s="125"/>
      <c r="BR31" s="124" t="s">
        <v>35</v>
      </c>
      <c r="BS31" s="125"/>
      <c r="BT31" s="125"/>
      <c r="BU31" s="127"/>
      <c r="BV31" s="127"/>
      <c r="BW31" s="128"/>
      <c r="BX31" s="124" t="s">
        <v>40</v>
      </c>
      <c r="BY31" s="125"/>
      <c r="BZ31" s="125"/>
      <c r="CA31" s="125"/>
      <c r="CB31" s="125"/>
      <c r="CC31" s="126"/>
    </row>
    <row r="32" spans="2:81">
      <c r="B32" s="52"/>
      <c r="C32" s="53"/>
      <c r="D32" s="119" t="s">
        <v>67</v>
      </c>
      <c r="E32" s="120"/>
      <c r="F32" s="120"/>
      <c r="G32" s="120"/>
      <c r="H32" s="120"/>
      <c r="I32" s="120"/>
      <c r="J32" s="120"/>
      <c r="K32" s="120"/>
      <c r="L32" s="120"/>
      <c r="M32" s="121"/>
      <c r="N32" s="124" t="s">
        <v>42</v>
      </c>
      <c r="O32" s="125"/>
      <c r="P32" s="125"/>
      <c r="Q32" s="125"/>
      <c r="R32" s="125"/>
      <c r="S32" s="124" t="s">
        <v>42</v>
      </c>
      <c r="T32" s="125"/>
      <c r="U32" s="125"/>
      <c r="V32" s="126"/>
      <c r="W32" s="124" t="s">
        <v>42</v>
      </c>
      <c r="X32" s="125"/>
      <c r="Y32" s="125"/>
      <c r="Z32" s="125"/>
      <c r="AA32" s="126"/>
      <c r="AB32" s="124" t="s">
        <v>42</v>
      </c>
      <c r="AC32" s="125"/>
      <c r="AD32" s="125"/>
      <c r="AE32" s="126"/>
      <c r="AF32" s="124" t="s">
        <v>42</v>
      </c>
      <c r="AG32" s="125"/>
      <c r="AH32" s="125"/>
      <c r="AI32" s="125"/>
      <c r="AJ32" s="126"/>
      <c r="AK32" s="124" t="s">
        <v>42</v>
      </c>
      <c r="AL32" s="125"/>
      <c r="AM32" s="125"/>
      <c r="AN32" s="126"/>
      <c r="AO32" s="124" t="s">
        <v>42</v>
      </c>
      <c r="AP32" s="125"/>
      <c r="AQ32" s="125"/>
      <c r="AR32" s="125"/>
      <c r="AS32" s="126"/>
      <c r="AT32" s="124" t="s">
        <v>42</v>
      </c>
      <c r="AU32" s="125"/>
      <c r="AV32" s="125"/>
      <c r="AW32" s="125"/>
      <c r="AX32" s="126"/>
      <c r="BB32" s="119" t="s">
        <v>68</v>
      </c>
      <c r="BC32" s="120"/>
      <c r="BD32" s="120"/>
      <c r="BE32" s="120"/>
      <c r="BF32" s="120"/>
      <c r="BG32" s="120"/>
      <c r="BH32" s="120"/>
      <c r="BI32" s="120"/>
      <c r="BJ32" s="120"/>
      <c r="BK32" s="121"/>
      <c r="BL32" s="124" t="s">
        <v>42</v>
      </c>
      <c r="BM32" s="125"/>
      <c r="BN32" s="125"/>
      <c r="BO32" s="125"/>
      <c r="BP32" s="125"/>
      <c r="BQ32" s="125"/>
      <c r="BR32" s="124" t="s">
        <v>42</v>
      </c>
      <c r="BS32" s="125"/>
      <c r="BT32" s="125"/>
      <c r="BU32" s="127"/>
      <c r="BV32" s="127"/>
      <c r="BW32" s="128"/>
      <c r="BX32" s="124" t="s">
        <v>42</v>
      </c>
      <c r="BY32" s="125"/>
      <c r="BZ32" s="125"/>
      <c r="CA32" s="125"/>
      <c r="CB32" s="125"/>
      <c r="CC32" s="126"/>
    </row>
    <row r="33" spans="2:81">
      <c r="B33" s="53"/>
      <c r="C33" s="53"/>
      <c r="D33" s="119" t="s">
        <v>69</v>
      </c>
      <c r="E33" s="120"/>
      <c r="F33" s="120"/>
      <c r="G33" s="120"/>
      <c r="H33" s="120"/>
      <c r="I33" s="120"/>
      <c r="J33" s="120"/>
      <c r="K33" s="120"/>
      <c r="L33" s="120"/>
      <c r="M33" s="121"/>
      <c r="N33" s="129" t="s">
        <v>70</v>
      </c>
      <c r="O33" s="130"/>
      <c r="P33" s="130"/>
      <c r="Q33" s="130"/>
      <c r="R33" s="130"/>
      <c r="S33" s="129" t="s">
        <v>70</v>
      </c>
      <c r="T33" s="130"/>
      <c r="U33" s="130"/>
      <c r="V33" s="131"/>
      <c r="W33" s="129" t="s">
        <v>70</v>
      </c>
      <c r="X33" s="130"/>
      <c r="Y33" s="130"/>
      <c r="Z33" s="130"/>
      <c r="AA33" s="131"/>
      <c r="AB33" s="129" t="s">
        <v>70</v>
      </c>
      <c r="AC33" s="130"/>
      <c r="AD33" s="130"/>
      <c r="AE33" s="131"/>
      <c r="AF33" s="129" t="s">
        <v>70</v>
      </c>
      <c r="AG33" s="130"/>
      <c r="AH33" s="130"/>
      <c r="AI33" s="130"/>
      <c r="AJ33" s="131"/>
      <c r="AK33" s="129" t="s">
        <v>70</v>
      </c>
      <c r="AL33" s="130"/>
      <c r="AM33" s="130"/>
      <c r="AN33" s="131"/>
      <c r="AO33" s="129" t="s">
        <v>70</v>
      </c>
      <c r="AP33" s="130"/>
      <c r="AQ33" s="130"/>
      <c r="AR33" s="130"/>
      <c r="AS33" s="131"/>
      <c r="AT33" s="129" t="s">
        <v>71</v>
      </c>
      <c r="AU33" s="130"/>
      <c r="AV33" s="130"/>
      <c r="AW33" s="130"/>
      <c r="AX33" s="131"/>
      <c r="BB33" s="119" t="s">
        <v>72</v>
      </c>
      <c r="BC33" s="120"/>
      <c r="BD33" s="120"/>
      <c r="BE33" s="120"/>
      <c r="BF33" s="120"/>
      <c r="BG33" s="120"/>
      <c r="BH33" s="120"/>
      <c r="BI33" s="120"/>
      <c r="BJ33" s="120"/>
      <c r="BK33" s="121"/>
      <c r="BL33" s="129"/>
      <c r="BM33" s="130"/>
      <c r="BN33" s="130"/>
      <c r="BO33" s="130"/>
      <c r="BP33" s="130"/>
      <c r="BQ33" s="130"/>
      <c r="BR33" s="129"/>
      <c r="BS33" s="130"/>
      <c r="BT33" s="130"/>
      <c r="BU33" s="132"/>
      <c r="BV33" s="132"/>
      <c r="BW33" s="133"/>
      <c r="BX33" s="129"/>
      <c r="BY33" s="130"/>
      <c r="BZ33" s="130"/>
      <c r="CA33" s="130"/>
      <c r="CB33" s="130"/>
      <c r="CC33" s="131"/>
    </row>
    <row r="35" spans="2:81">
      <c r="D35" s="53" t="s">
        <v>33</v>
      </c>
      <c r="G35" s="51" t="s">
        <v>73</v>
      </c>
      <c r="BB35" s="53" t="s">
        <v>54</v>
      </c>
      <c r="BE35" s="51" t="s">
        <v>74</v>
      </c>
    </row>
    <row r="36" spans="2:81">
      <c r="D36" s="53" t="s">
        <v>37</v>
      </c>
      <c r="G36" s="51" t="s">
        <v>75</v>
      </c>
      <c r="BB36" s="53" t="s">
        <v>57</v>
      </c>
      <c r="BE36" s="51" t="s">
        <v>76</v>
      </c>
    </row>
    <row r="37" spans="2:81">
      <c r="BB37" s="53" t="s">
        <v>60</v>
      </c>
      <c r="BE37" s="51" t="s">
        <v>77</v>
      </c>
    </row>
    <row r="39" spans="2:81" ht="17.45" customHeight="1"/>
  </sheetData>
  <phoneticPr fontId="9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topLeftCell="A19" zoomScale="85" zoomScaleNormal="100" zoomScaleSheetLayoutView="85" workbookViewId="0">
      <selection activeCell="G52" sqref="G52"/>
    </sheetView>
  </sheetViews>
  <sheetFormatPr defaultRowHeight="12"/>
  <cols>
    <col min="1" max="48" width="2.5" style="17" customWidth="1"/>
    <col min="49" max="49" width="9.625" style="17" hidden="1" customWidth="1"/>
    <col min="50" max="50" width="8.75" style="17" hidden="1" customWidth="1"/>
    <col min="51" max="86" width="2.5" style="17" customWidth="1"/>
    <col min="87" max="256" width="9" style="17"/>
    <col min="257" max="305" width="2.5" style="17" customWidth="1"/>
    <col min="306" max="306" width="0" style="17" hidden="1" customWidth="1"/>
    <col min="307" max="512" width="9" style="17"/>
    <col min="513" max="561" width="2.5" style="17" customWidth="1"/>
    <col min="562" max="562" width="0" style="17" hidden="1" customWidth="1"/>
    <col min="563" max="768" width="9" style="17"/>
    <col min="769" max="817" width="2.5" style="17" customWidth="1"/>
    <col min="818" max="818" width="0" style="17" hidden="1" customWidth="1"/>
    <col min="819" max="1024" width="9" style="17"/>
    <col min="1025" max="1073" width="2.5" style="17" customWidth="1"/>
    <col min="1074" max="1074" width="0" style="17" hidden="1" customWidth="1"/>
    <col min="1075" max="1280" width="9" style="17"/>
    <col min="1281" max="1329" width="2.5" style="17" customWidth="1"/>
    <col min="1330" max="1330" width="0" style="17" hidden="1" customWidth="1"/>
    <col min="1331" max="1536" width="9" style="17"/>
    <col min="1537" max="1585" width="2.5" style="17" customWidth="1"/>
    <col min="1586" max="1586" width="0" style="17" hidden="1" customWidth="1"/>
    <col min="1587" max="1792" width="9" style="17"/>
    <col min="1793" max="1841" width="2.5" style="17" customWidth="1"/>
    <col min="1842" max="1842" width="0" style="17" hidden="1" customWidth="1"/>
    <col min="1843" max="2048" width="9" style="17"/>
    <col min="2049" max="2097" width="2.5" style="17" customWidth="1"/>
    <col min="2098" max="2098" width="0" style="17" hidden="1" customWidth="1"/>
    <col min="2099" max="2304" width="9" style="17"/>
    <col min="2305" max="2353" width="2.5" style="17" customWidth="1"/>
    <col min="2354" max="2354" width="0" style="17" hidden="1" customWidth="1"/>
    <col min="2355" max="2560" width="9" style="17"/>
    <col min="2561" max="2609" width="2.5" style="17" customWidth="1"/>
    <col min="2610" max="2610" width="0" style="17" hidden="1" customWidth="1"/>
    <col min="2611" max="2816" width="9" style="17"/>
    <col min="2817" max="2865" width="2.5" style="17" customWidth="1"/>
    <col min="2866" max="2866" width="0" style="17" hidden="1" customWidth="1"/>
    <col min="2867" max="3072" width="9" style="17"/>
    <col min="3073" max="3121" width="2.5" style="17" customWidth="1"/>
    <col min="3122" max="3122" width="0" style="17" hidden="1" customWidth="1"/>
    <col min="3123" max="3328" width="9" style="17"/>
    <col min="3329" max="3377" width="2.5" style="17" customWidth="1"/>
    <col min="3378" max="3378" width="0" style="17" hidden="1" customWidth="1"/>
    <col min="3379" max="3584" width="9" style="17"/>
    <col min="3585" max="3633" width="2.5" style="17" customWidth="1"/>
    <col min="3634" max="3634" width="0" style="17" hidden="1" customWidth="1"/>
    <col min="3635" max="3840" width="9" style="17"/>
    <col min="3841" max="3889" width="2.5" style="17" customWidth="1"/>
    <col min="3890" max="3890" width="0" style="17" hidden="1" customWidth="1"/>
    <col min="3891" max="4096" width="9" style="17"/>
    <col min="4097" max="4145" width="2.5" style="17" customWidth="1"/>
    <col min="4146" max="4146" width="0" style="17" hidden="1" customWidth="1"/>
    <col min="4147" max="4352" width="9" style="17"/>
    <col min="4353" max="4401" width="2.5" style="17" customWidth="1"/>
    <col min="4402" max="4402" width="0" style="17" hidden="1" customWidth="1"/>
    <col min="4403" max="4608" width="9" style="17"/>
    <col min="4609" max="4657" width="2.5" style="17" customWidth="1"/>
    <col min="4658" max="4658" width="0" style="17" hidden="1" customWidth="1"/>
    <col min="4659" max="4864" width="9" style="17"/>
    <col min="4865" max="4913" width="2.5" style="17" customWidth="1"/>
    <col min="4914" max="4914" width="0" style="17" hidden="1" customWidth="1"/>
    <col min="4915" max="5120" width="9" style="17"/>
    <col min="5121" max="5169" width="2.5" style="17" customWidth="1"/>
    <col min="5170" max="5170" width="0" style="17" hidden="1" customWidth="1"/>
    <col min="5171" max="5376" width="9" style="17"/>
    <col min="5377" max="5425" width="2.5" style="17" customWidth="1"/>
    <col min="5426" max="5426" width="0" style="17" hidden="1" customWidth="1"/>
    <col min="5427" max="5632" width="9" style="17"/>
    <col min="5633" max="5681" width="2.5" style="17" customWidth="1"/>
    <col min="5682" max="5682" width="0" style="17" hidden="1" customWidth="1"/>
    <col min="5683" max="5888" width="9" style="17"/>
    <col min="5889" max="5937" width="2.5" style="17" customWidth="1"/>
    <col min="5938" max="5938" width="0" style="17" hidden="1" customWidth="1"/>
    <col min="5939" max="6144" width="9" style="17"/>
    <col min="6145" max="6193" width="2.5" style="17" customWidth="1"/>
    <col min="6194" max="6194" width="0" style="17" hidden="1" customWidth="1"/>
    <col min="6195" max="6400" width="9" style="17"/>
    <col min="6401" max="6449" width="2.5" style="17" customWidth="1"/>
    <col min="6450" max="6450" width="0" style="17" hidden="1" customWidth="1"/>
    <col min="6451" max="6656" width="9" style="17"/>
    <col min="6657" max="6705" width="2.5" style="17" customWidth="1"/>
    <col min="6706" max="6706" width="0" style="17" hidden="1" customWidth="1"/>
    <col min="6707" max="6912" width="9" style="17"/>
    <col min="6913" max="6961" width="2.5" style="17" customWidth="1"/>
    <col min="6962" max="6962" width="0" style="17" hidden="1" customWidth="1"/>
    <col min="6963" max="7168" width="9" style="17"/>
    <col min="7169" max="7217" width="2.5" style="17" customWidth="1"/>
    <col min="7218" max="7218" width="0" style="17" hidden="1" customWidth="1"/>
    <col min="7219" max="7424" width="9" style="17"/>
    <col min="7425" max="7473" width="2.5" style="17" customWidth="1"/>
    <col min="7474" max="7474" width="0" style="17" hidden="1" customWidth="1"/>
    <col min="7475" max="7680" width="9" style="17"/>
    <col min="7681" max="7729" width="2.5" style="17" customWidth="1"/>
    <col min="7730" max="7730" width="0" style="17" hidden="1" customWidth="1"/>
    <col min="7731" max="7936" width="9" style="17"/>
    <col min="7937" max="7985" width="2.5" style="17" customWidth="1"/>
    <col min="7986" max="7986" width="0" style="17" hidden="1" customWidth="1"/>
    <col min="7987" max="8192" width="9" style="17"/>
    <col min="8193" max="8241" width="2.5" style="17" customWidth="1"/>
    <col min="8242" max="8242" width="0" style="17" hidden="1" customWidth="1"/>
    <col min="8243" max="8448" width="9" style="17"/>
    <col min="8449" max="8497" width="2.5" style="17" customWidth="1"/>
    <col min="8498" max="8498" width="0" style="17" hidden="1" customWidth="1"/>
    <col min="8499" max="8704" width="9" style="17"/>
    <col min="8705" max="8753" width="2.5" style="17" customWidth="1"/>
    <col min="8754" max="8754" width="0" style="17" hidden="1" customWidth="1"/>
    <col min="8755" max="8960" width="9" style="17"/>
    <col min="8961" max="9009" width="2.5" style="17" customWidth="1"/>
    <col min="9010" max="9010" width="0" style="17" hidden="1" customWidth="1"/>
    <col min="9011" max="9216" width="9" style="17"/>
    <col min="9217" max="9265" width="2.5" style="17" customWidth="1"/>
    <col min="9266" max="9266" width="0" style="17" hidden="1" customWidth="1"/>
    <col min="9267" max="9472" width="9" style="17"/>
    <col min="9473" max="9521" width="2.5" style="17" customWidth="1"/>
    <col min="9522" max="9522" width="0" style="17" hidden="1" customWidth="1"/>
    <col min="9523" max="9728" width="9" style="17"/>
    <col min="9729" max="9777" width="2.5" style="17" customWidth="1"/>
    <col min="9778" max="9778" width="0" style="17" hidden="1" customWidth="1"/>
    <col min="9779" max="9984" width="9" style="17"/>
    <col min="9985" max="10033" width="2.5" style="17" customWidth="1"/>
    <col min="10034" max="10034" width="0" style="17" hidden="1" customWidth="1"/>
    <col min="10035" max="10240" width="9" style="17"/>
    <col min="10241" max="10289" width="2.5" style="17" customWidth="1"/>
    <col min="10290" max="10290" width="0" style="17" hidden="1" customWidth="1"/>
    <col min="10291" max="10496" width="9" style="17"/>
    <col min="10497" max="10545" width="2.5" style="17" customWidth="1"/>
    <col min="10546" max="10546" width="0" style="17" hidden="1" customWidth="1"/>
    <col min="10547" max="10752" width="9" style="17"/>
    <col min="10753" max="10801" width="2.5" style="17" customWidth="1"/>
    <col min="10802" max="10802" width="0" style="17" hidden="1" customWidth="1"/>
    <col min="10803" max="11008" width="9" style="17"/>
    <col min="11009" max="11057" width="2.5" style="17" customWidth="1"/>
    <col min="11058" max="11058" width="0" style="17" hidden="1" customWidth="1"/>
    <col min="11059" max="11264" width="9" style="17"/>
    <col min="11265" max="11313" width="2.5" style="17" customWidth="1"/>
    <col min="11314" max="11314" width="0" style="17" hidden="1" customWidth="1"/>
    <col min="11315" max="11520" width="9" style="17"/>
    <col min="11521" max="11569" width="2.5" style="17" customWidth="1"/>
    <col min="11570" max="11570" width="0" style="17" hidden="1" customWidth="1"/>
    <col min="11571" max="11776" width="9" style="17"/>
    <col min="11777" max="11825" width="2.5" style="17" customWidth="1"/>
    <col min="11826" max="11826" width="0" style="17" hidden="1" customWidth="1"/>
    <col min="11827" max="12032" width="9" style="17"/>
    <col min="12033" max="12081" width="2.5" style="17" customWidth="1"/>
    <col min="12082" max="12082" width="0" style="17" hidden="1" customWidth="1"/>
    <col min="12083" max="12288" width="9" style="17"/>
    <col min="12289" max="12337" width="2.5" style="17" customWidth="1"/>
    <col min="12338" max="12338" width="0" style="17" hidden="1" customWidth="1"/>
    <col min="12339" max="12544" width="9" style="17"/>
    <col min="12545" max="12593" width="2.5" style="17" customWidth="1"/>
    <col min="12594" max="12594" width="0" style="17" hidden="1" customWidth="1"/>
    <col min="12595" max="12800" width="9" style="17"/>
    <col min="12801" max="12849" width="2.5" style="17" customWidth="1"/>
    <col min="12850" max="12850" width="0" style="17" hidden="1" customWidth="1"/>
    <col min="12851" max="13056" width="9" style="17"/>
    <col min="13057" max="13105" width="2.5" style="17" customWidth="1"/>
    <col min="13106" max="13106" width="0" style="17" hidden="1" customWidth="1"/>
    <col min="13107" max="13312" width="9" style="17"/>
    <col min="13313" max="13361" width="2.5" style="17" customWidth="1"/>
    <col min="13362" max="13362" width="0" style="17" hidden="1" customWidth="1"/>
    <col min="13363" max="13568" width="9" style="17"/>
    <col min="13569" max="13617" width="2.5" style="17" customWidth="1"/>
    <col min="13618" max="13618" width="0" style="17" hidden="1" customWidth="1"/>
    <col min="13619" max="13824" width="9" style="17"/>
    <col min="13825" max="13873" width="2.5" style="17" customWidth="1"/>
    <col min="13874" max="13874" width="0" style="17" hidden="1" customWidth="1"/>
    <col min="13875" max="14080" width="9" style="17"/>
    <col min="14081" max="14129" width="2.5" style="17" customWidth="1"/>
    <col min="14130" max="14130" width="0" style="17" hidden="1" customWidth="1"/>
    <col min="14131" max="14336" width="9" style="17"/>
    <col min="14337" max="14385" width="2.5" style="17" customWidth="1"/>
    <col min="14386" max="14386" width="0" style="17" hidden="1" customWidth="1"/>
    <col min="14387" max="14592" width="9" style="17"/>
    <col min="14593" max="14641" width="2.5" style="17" customWidth="1"/>
    <col min="14642" max="14642" width="0" style="17" hidden="1" customWidth="1"/>
    <col min="14643" max="14848" width="9" style="17"/>
    <col min="14849" max="14897" width="2.5" style="17" customWidth="1"/>
    <col min="14898" max="14898" width="0" style="17" hidden="1" customWidth="1"/>
    <col min="14899" max="15104" width="9" style="17"/>
    <col min="15105" max="15153" width="2.5" style="17" customWidth="1"/>
    <col min="15154" max="15154" width="0" style="17" hidden="1" customWidth="1"/>
    <col min="15155" max="15360" width="9" style="17"/>
    <col min="15361" max="15409" width="2.5" style="17" customWidth="1"/>
    <col min="15410" max="15410" width="0" style="17" hidden="1" customWidth="1"/>
    <col min="15411" max="15616" width="9" style="17"/>
    <col min="15617" max="15665" width="2.5" style="17" customWidth="1"/>
    <col min="15666" max="15666" width="0" style="17" hidden="1" customWidth="1"/>
    <col min="15667" max="15872" width="9" style="17"/>
    <col min="15873" max="15921" width="2.5" style="17" customWidth="1"/>
    <col min="15922" max="15922" width="0" style="17" hidden="1" customWidth="1"/>
    <col min="15923" max="16128" width="9" style="17"/>
    <col min="16129" max="16177" width="2.5" style="17" customWidth="1"/>
    <col min="16178" max="16178" width="0" style="17" hidden="1" customWidth="1"/>
    <col min="16179" max="16384" width="9" style="17"/>
  </cols>
  <sheetData>
    <row r="2" spans="2:49">
      <c r="AW2" s="18" t="s">
        <v>78</v>
      </c>
    </row>
    <row r="3" spans="2:49" ht="11.25" customHeight="1">
      <c r="AC3" s="769"/>
      <c r="AD3" s="770"/>
      <c r="AE3" s="770"/>
      <c r="AF3" s="770"/>
      <c r="AG3" s="770"/>
      <c r="AH3" s="770"/>
      <c r="AI3" s="769"/>
      <c r="AJ3" s="769"/>
      <c r="AK3" s="769"/>
      <c r="AL3" s="769"/>
      <c r="AM3" s="769"/>
      <c r="AN3" s="675"/>
      <c r="AO3" s="675"/>
      <c r="AP3" s="675"/>
      <c r="AQ3" s="675"/>
      <c r="AR3" s="675"/>
      <c r="AS3" s="675"/>
      <c r="AT3" s="675"/>
      <c r="AU3" s="19"/>
      <c r="AW3" s="20" t="s">
        <v>79</v>
      </c>
    </row>
    <row r="4" spans="2:49" ht="11.1" customHeight="1">
      <c r="B4" s="21"/>
      <c r="C4" s="22"/>
      <c r="D4" s="22"/>
      <c r="E4" s="22"/>
      <c r="F4" s="22"/>
      <c r="G4" s="22"/>
      <c r="H4" s="22"/>
      <c r="I4" s="22"/>
      <c r="J4" s="22"/>
      <c r="AC4" s="770"/>
      <c r="AD4" s="770"/>
      <c r="AE4" s="770"/>
      <c r="AF4" s="770"/>
      <c r="AG4" s="770"/>
      <c r="AH4" s="770"/>
      <c r="AI4" s="769"/>
      <c r="AJ4" s="769"/>
      <c r="AK4" s="769"/>
      <c r="AL4" s="769"/>
      <c r="AM4" s="769"/>
      <c r="AN4" s="675"/>
      <c r="AO4" s="675"/>
      <c r="AP4" s="675"/>
      <c r="AQ4" s="675"/>
      <c r="AR4" s="675"/>
      <c r="AS4" s="675"/>
      <c r="AT4" s="675"/>
      <c r="AU4" s="19"/>
      <c r="AW4" s="20" t="s">
        <v>80</v>
      </c>
    </row>
    <row r="5" spans="2:49" ht="11.25" customHeight="1">
      <c r="AC5" s="770"/>
      <c r="AD5" s="770"/>
      <c r="AE5" s="770"/>
      <c r="AF5" s="770"/>
      <c r="AG5" s="770"/>
      <c r="AH5" s="770"/>
      <c r="AI5" s="771"/>
      <c r="AJ5" s="771"/>
      <c r="AK5" s="771"/>
      <c r="AL5" s="771"/>
      <c r="AM5" s="771"/>
      <c r="AN5" s="772"/>
      <c r="AO5" s="772"/>
      <c r="AP5" s="772"/>
      <c r="AQ5" s="772"/>
      <c r="AR5" s="772"/>
      <c r="AS5" s="772"/>
      <c r="AT5" s="772"/>
      <c r="AU5" s="23"/>
      <c r="AW5" s="20" t="s">
        <v>81</v>
      </c>
    </row>
    <row r="6" spans="2:49" ht="12.75" customHeight="1">
      <c r="B6" s="24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W6" s="20" t="s">
        <v>82</v>
      </c>
    </row>
    <row r="7" spans="2:49" ht="11.25" customHeight="1">
      <c r="M7" s="755" t="s">
        <v>83</v>
      </c>
      <c r="N7" s="756"/>
      <c r="O7" s="756"/>
      <c r="P7" s="756"/>
      <c r="Q7" s="756"/>
      <c r="R7" s="756"/>
      <c r="S7" s="756"/>
      <c r="T7" s="756"/>
      <c r="U7" s="756"/>
      <c r="V7" s="756"/>
      <c r="W7" s="756"/>
      <c r="X7" s="756"/>
      <c r="Y7" s="756"/>
      <c r="Z7" s="756"/>
      <c r="AA7" s="756"/>
      <c r="AB7" s="756"/>
      <c r="AC7" s="756"/>
      <c r="AD7" s="756"/>
      <c r="AE7" s="756"/>
      <c r="AF7" s="756"/>
      <c r="AG7" s="756"/>
      <c r="AH7" s="756"/>
      <c r="AI7" s="756"/>
      <c r="AJ7" s="757"/>
      <c r="AW7" s="20" t="s">
        <v>84</v>
      </c>
    </row>
    <row r="8" spans="2:49" ht="11.25" customHeight="1">
      <c r="M8" s="755"/>
      <c r="N8" s="756"/>
      <c r="O8" s="756"/>
      <c r="P8" s="756"/>
      <c r="Q8" s="756"/>
      <c r="R8" s="756"/>
      <c r="S8" s="756"/>
      <c r="T8" s="756"/>
      <c r="U8" s="756"/>
      <c r="V8" s="756"/>
      <c r="W8" s="756"/>
      <c r="X8" s="756"/>
      <c r="Y8" s="756"/>
      <c r="Z8" s="756"/>
      <c r="AA8" s="756"/>
      <c r="AB8" s="756"/>
      <c r="AC8" s="756"/>
      <c r="AD8" s="756"/>
      <c r="AE8" s="756"/>
      <c r="AF8" s="756"/>
      <c r="AG8" s="756"/>
      <c r="AH8" s="756"/>
      <c r="AI8" s="756"/>
      <c r="AJ8" s="757"/>
      <c r="AW8" s="20" t="s">
        <v>85</v>
      </c>
    </row>
    <row r="9" spans="2:49" ht="11.25" customHeight="1">
      <c r="M9" s="755"/>
      <c r="N9" s="756"/>
      <c r="O9" s="756"/>
      <c r="P9" s="756"/>
      <c r="Q9" s="756"/>
      <c r="R9" s="756"/>
      <c r="S9" s="756"/>
      <c r="T9" s="756"/>
      <c r="U9" s="756"/>
      <c r="V9" s="756"/>
      <c r="W9" s="756"/>
      <c r="X9" s="756"/>
      <c r="Y9" s="756"/>
      <c r="Z9" s="756"/>
      <c r="AA9" s="756"/>
      <c r="AB9" s="756"/>
      <c r="AC9" s="756"/>
      <c r="AD9" s="756"/>
      <c r="AE9" s="756"/>
      <c r="AF9" s="756"/>
      <c r="AG9" s="756"/>
      <c r="AH9" s="756"/>
      <c r="AI9" s="756"/>
      <c r="AJ9" s="757"/>
      <c r="AW9" s="20" t="s">
        <v>86</v>
      </c>
    </row>
    <row r="10" spans="2:49" ht="11.25" customHeight="1">
      <c r="M10" s="758" t="s">
        <v>87</v>
      </c>
      <c r="N10" s="759"/>
      <c r="O10" s="759"/>
      <c r="P10" s="759"/>
      <c r="Q10" s="759"/>
      <c r="R10" s="759"/>
      <c r="S10" s="759"/>
      <c r="T10" s="759"/>
      <c r="U10" s="759"/>
      <c r="V10" s="759"/>
      <c r="W10" s="759"/>
      <c r="X10" s="759"/>
      <c r="Y10" s="759"/>
      <c r="Z10" s="759"/>
      <c r="AA10" s="759"/>
      <c r="AB10" s="759"/>
      <c r="AC10" s="759"/>
      <c r="AD10" s="759"/>
      <c r="AE10" s="759"/>
      <c r="AF10" s="759"/>
      <c r="AG10" s="759"/>
      <c r="AH10" s="759"/>
      <c r="AI10" s="759"/>
      <c r="AJ10" s="760"/>
      <c r="AW10" s="20" t="s">
        <v>88</v>
      </c>
    </row>
    <row r="11" spans="2:49" ht="11.25" customHeight="1">
      <c r="M11" s="758"/>
      <c r="N11" s="759"/>
      <c r="O11" s="759"/>
      <c r="P11" s="759"/>
      <c r="Q11" s="759"/>
      <c r="R11" s="759"/>
      <c r="S11" s="759"/>
      <c r="T11" s="759"/>
      <c r="U11" s="759"/>
      <c r="V11" s="759"/>
      <c r="W11" s="759"/>
      <c r="X11" s="759"/>
      <c r="Y11" s="759"/>
      <c r="Z11" s="759"/>
      <c r="AA11" s="759"/>
      <c r="AB11" s="759"/>
      <c r="AC11" s="759"/>
      <c r="AD11" s="759"/>
      <c r="AE11" s="759"/>
      <c r="AF11" s="759"/>
      <c r="AG11" s="759"/>
      <c r="AH11" s="759"/>
      <c r="AI11" s="759"/>
      <c r="AJ11" s="760"/>
      <c r="AW11" s="20" t="s">
        <v>89</v>
      </c>
    </row>
    <row r="12" spans="2:49" ht="11.25" customHeight="1">
      <c r="M12" s="761"/>
      <c r="N12" s="762"/>
      <c r="O12" s="762"/>
      <c r="P12" s="762"/>
      <c r="Q12" s="762"/>
      <c r="R12" s="762"/>
      <c r="S12" s="762"/>
      <c r="T12" s="762"/>
      <c r="U12" s="762"/>
      <c r="V12" s="762"/>
      <c r="W12" s="762"/>
      <c r="X12" s="762"/>
      <c r="Y12" s="762"/>
      <c r="Z12" s="762"/>
      <c r="AA12" s="762"/>
      <c r="AB12" s="762"/>
      <c r="AC12" s="762"/>
      <c r="AD12" s="762"/>
      <c r="AE12" s="762"/>
      <c r="AF12" s="762"/>
      <c r="AG12" s="762"/>
      <c r="AH12" s="762"/>
      <c r="AI12" s="762"/>
      <c r="AJ12" s="763"/>
      <c r="AW12" s="20" t="s">
        <v>90</v>
      </c>
    </row>
    <row r="13" spans="2:49">
      <c r="AW13" s="20" t="s">
        <v>91</v>
      </c>
    </row>
    <row r="14" spans="2:49">
      <c r="AW14" s="20" t="s">
        <v>92</v>
      </c>
    </row>
    <row r="15" spans="2:49">
      <c r="AW15" s="20" t="s">
        <v>93</v>
      </c>
    </row>
    <row r="16" spans="2:49">
      <c r="M16" s="706" t="s">
        <v>94</v>
      </c>
      <c r="N16" s="707"/>
      <c r="O16" s="707"/>
      <c r="P16" s="707"/>
      <c r="Q16" s="707"/>
      <c r="R16" s="707"/>
      <c r="S16" s="707"/>
      <c r="T16" s="708"/>
      <c r="U16" s="738" t="s">
        <v>95</v>
      </c>
      <c r="V16" s="764"/>
      <c r="W16" s="764"/>
      <c r="X16" s="764"/>
      <c r="Y16" s="764"/>
      <c r="Z16" s="764"/>
      <c r="AA16" s="764"/>
      <c r="AB16" s="764"/>
      <c r="AC16" s="764"/>
      <c r="AD16" s="764"/>
      <c r="AE16" s="764"/>
      <c r="AF16" s="764"/>
      <c r="AG16" s="764"/>
      <c r="AH16" s="764"/>
      <c r="AI16" s="764"/>
      <c r="AJ16" s="765"/>
      <c r="AW16" s="20" t="s">
        <v>96</v>
      </c>
    </row>
    <row r="17" spans="13:52">
      <c r="M17" s="709"/>
      <c r="N17" s="710"/>
      <c r="O17" s="710"/>
      <c r="P17" s="710"/>
      <c r="Q17" s="710"/>
      <c r="R17" s="710"/>
      <c r="S17" s="710"/>
      <c r="T17" s="711"/>
      <c r="U17" s="766"/>
      <c r="V17" s="767"/>
      <c r="W17" s="767"/>
      <c r="X17" s="767"/>
      <c r="Y17" s="767"/>
      <c r="Z17" s="767"/>
      <c r="AA17" s="767"/>
      <c r="AB17" s="767"/>
      <c r="AC17" s="767"/>
      <c r="AD17" s="767"/>
      <c r="AE17" s="767"/>
      <c r="AF17" s="767"/>
      <c r="AG17" s="767"/>
      <c r="AH17" s="767"/>
      <c r="AI17" s="767"/>
      <c r="AJ17" s="768"/>
      <c r="AL17" s="26"/>
      <c r="AM17" s="18"/>
      <c r="AN17" s="18"/>
      <c r="AO17" s="18"/>
      <c r="AP17" s="18"/>
      <c r="AQ17" s="18"/>
      <c r="AR17" s="18"/>
      <c r="AW17" s="18"/>
    </row>
    <row r="18" spans="13:52">
      <c r="M18" s="706" t="s">
        <v>97</v>
      </c>
      <c r="N18" s="707"/>
      <c r="O18" s="707"/>
      <c r="P18" s="707"/>
      <c r="Q18" s="707"/>
      <c r="R18" s="707"/>
      <c r="S18" s="707"/>
      <c r="T18" s="708"/>
      <c r="U18" s="738" t="s">
        <v>98</v>
      </c>
      <c r="V18" s="764"/>
      <c r="W18" s="764"/>
      <c r="X18" s="764"/>
      <c r="Y18" s="764"/>
      <c r="Z18" s="764"/>
      <c r="AA18" s="764"/>
      <c r="AB18" s="764"/>
      <c r="AC18" s="764"/>
      <c r="AD18" s="764"/>
      <c r="AE18" s="764"/>
      <c r="AF18" s="764"/>
      <c r="AG18" s="764"/>
      <c r="AH18" s="764"/>
      <c r="AI18" s="764"/>
      <c r="AJ18" s="765"/>
      <c r="AL18" s="26"/>
      <c r="AM18" s="18"/>
      <c r="AN18" s="18"/>
      <c r="AO18" s="18"/>
      <c r="AP18" s="18"/>
      <c r="AQ18" s="18"/>
      <c r="AR18" s="18"/>
      <c r="AW18" s="18" t="s">
        <v>99</v>
      </c>
    </row>
    <row r="19" spans="13:52">
      <c r="M19" s="709"/>
      <c r="N19" s="710"/>
      <c r="O19" s="710"/>
      <c r="P19" s="710"/>
      <c r="Q19" s="710"/>
      <c r="R19" s="710"/>
      <c r="S19" s="710"/>
      <c r="T19" s="711"/>
      <c r="U19" s="766"/>
      <c r="V19" s="767"/>
      <c r="W19" s="767"/>
      <c r="X19" s="767"/>
      <c r="Y19" s="767"/>
      <c r="Z19" s="767"/>
      <c r="AA19" s="767"/>
      <c r="AB19" s="767"/>
      <c r="AC19" s="767"/>
      <c r="AD19" s="767"/>
      <c r="AE19" s="767"/>
      <c r="AF19" s="767"/>
      <c r="AG19" s="767"/>
      <c r="AH19" s="767"/>
      <c r="AI19" s="767"/>
      <c r="AJ19" s="768"/>
      <c r="AL19" s="26"/>
      <c r="AM19" s="18"/>
      <c r="AN19" s="18"/>
      <c r="AO19" s="18"/>
      <c r="AP19" s="18"/>
      <c r="AQ19" s="18"/>
      <c r="AR19" s="18"/>
      <c r="AW19" s="18" t="s">
        <v>100</v>
      </c>
    </row>
    <row r="20" spans="13:52" ht="11.25" customHeight="1">
      <c r="M20" s="706" t="s">
        <v>101</v>
      </c>
      <c r="N20" s="707"/>
      <c r="O20" s="707"/>
      <c r="P20" s="707"/>
      <c r="Q20" s="707"/>
      <c r="R20" s="707"/>
      <c r="S20" s="707"/>
      <c r="T20" s="708"/>
      <c r="U20" s="738"/>
      <c r="V20" s="739"/>
      <c r="W20" s="739"/>
      <c r="X20" s="739"/>
      <c r="Y20" s="739"/>
      <c r="Z20" s="739"/>
      <c r="AA20" s="739"/>
      <c r="AB20" s="739"/>
      <c r="AC20" s="739"/>
      <c r="AD20" s="739"/>
      <c r="AE20" s="739"/>
      <c r="AF20" s="739"/>
      <c r="AG20" s="739"/>
      <c r="AH20" s="739"/>
      <c r="AI20" s="739"/>
      <c r="AJ20" s="740"/>
      <c r="AL20" s="26"/>
      <c r="AM20" s="18"/>
      <c r="AN20" s="18"/>
      <c r="AO20" s="18"/>
      <c r="AP20" s="18"/>
      <c r="AQ20" s="18"/>
      <c r="AR20" s="18"/>
      <c r="AW20" s="18" t="s">
        <v>102</v>
      </c>
    </row>
    <row r="21" spans="13:52" ht="11.25" customHeight="1">
      <c r="M21" s="709"/>
      <c r="N21" s="710"/>
      <c r="O21" s="710"/>
      <c r="P21" s="710"/>
      <c r="Q21" s="710"/>
      <c r="R21" s="710"/>
      <c r="S21" s="710"/>
      <c r="T21" s="711"/>
      <c r="U21" s="741"/>
      <c r="V21" s="742"/>
      <c r="W21" s="742"/>
      <c r="X21" s="742"/>
      <c r="Y21" s="742"/>
      <c r="Z21" s="742"/>
      <c r="AA21" s="742"/>
      <c r="AB21" s="742"/>
      <c r="AC21" s="742"/>
      <c r="AD21" s="742"/>
      <c r="AE21" s="742"/>
      <c r="AF21" s="742"/>
      <c r="AG21" s="742"/>
      <c r="AH21" s="742"/>
      <c r="AI21" s="742"/>
      <c r="AJ21" s="743"/>
      <c r="AL21" s="26"/>
      <c r="AM21" s="18"/>
      <c r="AN21" s="18"/>
      <c r="AO21" s="18"/>
      <c r="AP21" s="18"/>
      <c r="AQ21" s="18"/>
      <c r="AR21" s="18"/>
      <c r="AW21" s="18" t="s">
        <v>103</v>
      </c>
    </row>
    <row r="22" spans="13:52">
      <c r="M22" s="706" t="s">
        <v>104</v>
      </c>
      <c r="N22" s="707"/>
      <c r="O22" s="707"/>
      <c r="P22" s="707"/>
      <c r="Q22" s="707"/>
      <c r="R22" s="707"/>
      <c r="S22" s="707"/>
      <c r="T22" s="708"/>
      <c r="U22" s="744" cm="1">
        <f t="array" ref="U22">MAX(_xlfn.NUMBERVALUE(改訂!A7:E44))</f>
        <v>1</v>
      </c>
      <c r="V22" s="745"/>
      <c r="W22" s="745"/>
      <c r="X22" s="745"/>
      <c r="Y22" s="745"/>
      <c r="Z22" s="745"/>
      <c r="AA22" s="745"/>
      <c r="AB22" s="745"/>
      <c r="AC22" s="745"/>
      <c r="AD22" s="745"/>
      <c r="AE22" s="745"/>
      <c r="AF22" s="745"/>
      <c r="AG22" s="745"/>
      <c r="AH22" s="745"/>
      <c r="AI22" s="745"/>
      <c r="AJ22" s="746"/>
      <c r="AL22" s="26"/>
      <c r="AM22" s="18"/>
      <c r="AN22" s="18"/>
      <c r="AO22" s="18"/>
      <c r="AP22" s="18"/>
      <c r="AQ22" s="18"/>
      <c r="AR22" s="18"/>
      <c r="AW22" s="18" t="s">
        <v>105</v>
      </c>
    </row>
    <row r="23" spans="13:52">
      <c r="M23" s="709"/>
      <c r="N23" s="710"/>
      <c r="O23" s="710"/>
      <c r="P23" s="710"/>
      <c r="Q23" s="710"/>
      <c r="R23" s="710"/>
      <c r="S23" s="710"/>
      <c r="T23" s="711"/>
      <c r="U23" s="747"/>
      <c r="V23" s="748"/>
      <c r="W23" s="748"/>
      <c r="X23" s="748"/>
      <c r="Y23" s="748"/>
      <c r="Z23" s="748"/>
      <c r="AA23" s="748"/>
      <c r="AB23" s="748"/>
      <c r="AC23" s="748"/>
      <c r="AD23" s="748"/>
      <c r="AE23" s="748"/>
      <c r="AF23" s="748"/>
      <c r="AG23" s="748"/>
      <c r="AH23" s="748"/>
      <c r="AI23" s="748"/>
      <c r="AJ23" s="749"/>
      <c r="AL23" s="26"/>
      <c r="AM23" s="18"/>
      <c r="AN23" s="18"/>
      <c r="AO23" s="18"/>
      <c r="AP23" s="18"/>
      <c r="AQ23" s="18"/>
      <c r="AR23" s="18"/>
      <c r="AW23" s="18"/>
    </row>
    <row r="24" spans="13:52">
      <c r="M24" s="706" t="s">
        <v>106</v>
      </c>
      <c r="N24" s="707"/>
      <c r="O24" s="707"/>
      <c r="P24" s="707"/>
      <c r="Q24" s="707"/>
      <c r="R24" s="707"/>
      <c r="S24" s="707"/>
      <c r="T24" s="708"/>
      <c r="U24" s="727" t="s">
        <v>107</v>
      </c>
      <c r="V24" s="750"/>
      <c r="W24" s="750"/>
      <c r="X24" s="750"/>
      <c r="Y24" s="750"/>
      <c r="Z24" s="750"/>
      <c r="AA24" s="750"/>
      <c r="AB24" s="750"/>
      <c r="AC24" s="750"/>
      <c r="AD24" s="750"/>
      <c r="AE24" s="750"/>
      <c r="AF24" s="750"/>
      <c r="AG24" s="750"/>
      <c r="AH24" s="750"/>
      <c r="AI24" s="750"/>
      <c r="AJ24" s="751"/>
      <c r="AL24" s="26"/>
      <c r="AM24" s="18"/>
      <c r="AN24" s="18"/>
      <c r="AO24" s="18"/>
      <c r="AP24" s="18"/>
      <c r="AQ24" s="18"/>
      <c r="AR24" s="18"/>
      <c r="AW24" s="18" t="s">
        <v>108</v>
      </c>
    </row>
    <row r="25" spans="13:52">
      <c r="M25" s="709"/>
      <c r="N25" s="710"/>
      <c r="O25" s="710"/>
      <c r="P25" s="710"/>
      <c r="Q25" s="710"/>
      <c r="R25" s="710"/>
      <c r="S25" s="710"/>
      <c r="T25" s="711"/>
      <c r="U25" s="752"/>
      <c r="V25" s="753"/>
      <c r="W25" s="753"/>
      <c r="X25" s="753"/>
      <c r="Y25" s="753"/>
      <c r="Z25" s="753"/>
      <c r="AA25" s="753"/>
      <c r="AB25" s="753"/>
      <c r="AC25" s="753"/>
      <c r="AD25" s="753"/>
      <c r="AE25" s="753"/>
      <c r="AF25" s="753"/>
      <c r="AG25" s="753"/>
      <c r="AH25" s="753"/>
      <c r="AI25" s="753"/>
      <c r="AJ25" s="754"/>
      <c r="AL25" s="26"/>
      <c r="AM25" s="27"/>
      <c r="AN25" s="27"/>
      <c r="AO25" s="27"/>
      <c r="AP25" s="27"/>
      <c r="AQ25" s="27"/>
      <c r="AR25" s="27"/>
      <c r="AS25" s="28"/>
      <c r="AU25" s="28"/>
      <c r="AW25" s="18" t="s">
        <v>28</v>
      </c>
    </row>
    <row r="26" spans="13:52" ht="11.25" customHeight="1">
      <c r="M26" s="706" t="s">
        <v>109</v>
      </c>
      <c r="N26" s="707"/>
      <c r="O26" s="707"/>
      <c r="P26" s="707"/>
      <c r="Q26" s="707"/>
      <c r="R26" s="707"/>
      <c r="S26" s="707"/>
      <c r="T26" s="708"/>
      <c r="U26" s="727" t="s">
        <v>110</v>
      </c>
      <c r="V26" s="728"/>
      <c r="W26" s="728"/>
      <c r="X26" s="728"/>
      <c r="Y26" s="728"/>
      <c r="Z26" s="728"/>
      <c r="AA26" s="728"/>
      <c r="AB26" s="729"/>
      <c r="AC26" s="733" t="s">
        <v>111</v>
      </c>
      <c r="AD26" s="734"/>
      <c r="AE26" s="727" t="s">
        <v>112</v>
      </c>
      <c r="AF26" s="728"/>
      <c r="AG26" s="728"/>
      <c r="AH26" s="728"/>
      <c r="AI26" s="728"/>
      <c r="AJ26" s="729"/>
      <c r="AK26" s="29"/>
      <c r="AL26" s="26"/>
      <c r="AM26" s="27"/>
      <c r="AN26" s="27"/>
      <c r="AO26" s="27"/>
      <c r="AP26" s="27"/>
      <c r="AQ26" s="27"/>
      <c r="AR26" s="27"/>
      <c r="AS26" s="28"/>
      <c r="AU26" s="28"/>
      <c r="AV26" s="28"/>
      <c r="AW26" s="30" t="s">
        <v>29</v>
      </c>
      <c r="AX26" s="28"/>
      <c r="AY26" s="28"/>
      <c r="AZ26" s="28"/>
    </row>
    <row r="27" spans="13:52">
      <c r="M27" s="709"/>
      <c r="N27" s="710"/>
      <c r="O27" s="710"/>
      <c r="P27" s="710"/>
      <c r="Q27" s="710"/>
      <c r="R27" s="710"/>
      <c r="S27" s="710"/>
      <c r="T27" s="711"/>
      <c r="U27" s="730"/>
      <c r="V27" s="731"/>
      <c r="W27" s="731"/>
      <c r="X27" s="731"/>
      <c r="Y27" s="731"/>
      <c r="Z27" s="731"/>
      <c r="AA27" s="731"/>
      <c r="AB27" s="732"/>
      <c r="AC27" s="735"/>
      <c r="AD27" s="736"/>
      <c r="AE27" s="730"/>
      <c r="AF27" s="731"/>
      <c r="AG27" s="731"/>
      <c r="AH27" s="731"/>
      <c r="AI27" s="731"/>
      <c r="AJ27" s="732"/>
      <c r="AK27" s="31"/>
      <c r="AL27" s="26"/>
      <c r="AM27" s="18"/>
      <c r="AN27" s="18"/>
      <c r="AO27" s="18"/>
      <c r="AP27" s="18"/>
      <c r="AQ27" s="18"/>
      <c r="AR27" s="18"/>
      <c r="AV27" s="28"/>
      <c r="AW27" s="30" t="s">
        <v>113</v>
      </c>
      <c r="AX27" s="28"/>
      <c r="AY27" s="28"/>
      <c r="AZ27" s="28"/>
    </row>
    <row r="28" spans="13:52" ht="12" customHeight="1">
      <c r="M28" s="706" t="s">
        <v>78</v>
      </c>
      <c r="N28" s="707"/>
      <c r="O28" s="707"/>
      <c r="P28" s="707"/>
      <c r="Q28" s="707"/>
      <c r="R28" s="707"/>
      <c r="S28" s="707"/>
      <c r="T28" s="708"/>
      <c r="U28" s="737" t="s">
        <v>114</v>
      </c>
      <c r="V28" s="713"/>
      <c r="W28" s="713"/>
      <c r="X28" s="713"/>
      <c r="Y28" s="713"/>
      <c r="Z28" s="713"/>
      <c r="AA28" s="713"/>
      <c r="AB28" s="713"/>
      <c r="AC28" s="713"/>
      <c r="AD28" s="713"/>
      <c r="AE28" s="713"/>
      <c r="AF28" s="713"/>
      <c r="AG28" s="713"/>
      <c r="AH28" s="713"/>
      <c r="AI28" s="713"/>
      <c r="AJ28" s="714"/>
      <c r="AL28" s="26"/>
      <c r="AM28" s="18"/>
      <c r="AN28" s="18"/>
      <c r="AO28" s="18"/>
      <c r="AP28" s="18"/>
      <c r="AQ28" s="18"/>
      <c r="AR28" s="18"/>
    </row>
    <row r="29" spans="13:52" ht="11.25" customHeight="1">
      <c r="M29" s="709"/>
      <c r="N29" s="710"/>
      <c r="O29" s="710"/>
      <c r="P29" s="710"/>
      <c r="Q29" s="710"/>
      <c r="R29" s="710"/>
      <c r="S29" s="710"/>
      <c r="T29" s="711"/>
      <c r="U29" s="715"/>
      <c r="V29" s="716"/>
      <c r="W29" s="716"/>
      <c r="X29" s="716"/>
      <c r="Y29" s="716"/>
      <c r="Z29" s="716"/>
      <c r="AA29" s="716"/>
      <c r="AB29" s="716"/>
      <c r="AC29" s="716"/>
      <c r="AD29" s="716"/>
      <c r="AE29" s="716"/>
      <c r="AF29" s="716"/>
      <c r="AG29" s="716"/>
      <c r="AH29" s="716"/>
      <c r="AI29" s="716"/>
      <c r="AJ29" s="717"/>
      <c r="AL29" s="26"/>
      <c r="AM29" s="18"/>
      <c r="AN29" s="18"/>
      <c r="AO29" s="18"/>
      <c r="AP29" s="18"/>
      <c r="AQ29" s="18"/>
      <c r="AR29" s="18"/>
      <c r="AX29" s="32"/>
    </row>
    <row r="30" spans="13:52" ht="11.25" customHeight="1">
      <c r="M30" s="706" t="s">
        <v>115</v>
      </c>
      <c r="N30" s="707"/>
      <c r="O30" s="707"/>
      <c r="P30" s="707"/>
      <c r="Q30" s="707"/>
      <c r="R30" s="707"/>
      <c r="S30" s="707"/>
      <c r="T30" s="708"/>
      <c r="U30" s="712" t="str">
        <f>M50</f>
        <v>WebFSC製品化チェックシート出力</v>
      </c>
      <c r="V30" s="713"/>
      <c r="W30" s="713"/>
      <c r="X30" s="713"/>
      <c r="Y30" s="713"/>
      <c r="Z30" s="713"/>
      <c r="AA30" s="713"/>
      <c r="AB30" s="713"/>
      <c r="AC30" s="713"/>
      <c r="AD30" s="713"/>
      <c r="AE30" s="713"/>
      <c r="AF30" s="713"/>
      <c r="AG30" s="713"/>
      <c r="AH30" s="713"/>
      <c r="AI30" s="713"/>
      <c r="AJ30" s="714"/>
      <c r="AL30" s="26"/>
      <c r="AM30" s="18"/>
      <c r="AN30" s="18"/>
      <c r="AO30" s="18"/>
      <c r="AP30" s="18"/>
      <c r="AQ30" s="18"/>
      <c r="AR30" s="18"/>
      <c r="AW30" s="32"/>
      <c r="AX30" s="32"/>
    </row>
    <row r="31" spans="13:52" ht="11.25" customHeight="1">
      <c r="M31" s="709"/>
      <c r="N31" s="710"/>
      <c r="O31" s="710"/>
      <c r="P31" s="710"/>
      <c r="Q31" s="710"/>
      <c r="R31" s="710"/>
      <c r="S31" s="710"/>
      <c r="T31" s="711"/>
      <c r="U31" s="715"/>
      <c r="V31" s="716"/>
      <c r="W31" s="716"/>
      <c r="X31" s="716"/>
      <c r="Y31" s="716"/>
      <c r="Z31" s="716"/>
      <c r="AA31" s="716"/>
      <c r="AB31" s="716"/>
      <c r="AC31" s="716"/>
      <c r="AD31" s="716"/>
      <c r="AE31" s="716"/>
      <c r="AF31" s="716"/>
      <c r="AG31" s="716"/>
      <c r="AH31" s="716"/>
      <c r="AI31" s="716"/>
      <c r="AJ31" s="717"/>
      <c r="AL31" s="26"/>
      <c r="AM31" s="18"/>
      <c r="AN31" s="18"/>
      <c r="AO31" s="18"/>
      <c r="AP31" s="18"/>
      <c r="AQ31" s="18"/>
      <c r="AR31" s="18"/>
      <c r="AW31" s="32"/>
    </row>
    <row r="32" spans="13:52" ht="11.25" customHeight="1">
      <c r="M32" s="706" t="s">
        <v>116</v>
      </c>
      <c r="N32" s="707"/>
      <c r="O32" s="707"/>
      <c r="P32" s="707"/>
      <c r="Q32" s="707"/>
      <c r="R32" s="707"/>
      <c r="S32" s="707"/>
      <c r="T32" s="708"/>
      <c r="U32" s="712" t="str">
        <f>G50</f>
        <v>MSBBPA100</v>
      </c>
      <c r="V32" s="713"/>
      <c r="W32" s="713"/>
      <c r="X32" s="713"/>
      <c r="Y32" s="713"/>
      <c r="Z32" s="713"/>
      <c r="AA32" s="713"/>
      <c r="AB32" s="713"/>
      <c r="AC32" s="713"/>
      <c r="AD32" s="713"/>
      <c r="AE32" s="713"/>
      <c r="AF32" s="713"/>
      <c r="AG32" s="713"/>
      <c r="AH32" s="713"/>
      <c r="AI32" s="713"/>
      <c r="AJ32" s="714"/>
      <c r="AL32" s="26"/>
      <c r="AM32" s="18"/>
      <c r="AN32" s="18"/>
      <c r="AO32" s="18"/>
      <c r="AP32" s="18"/>
      <c r="AQ32" s="18"/>
      <c r="AR32" s="18"/>
    </row>
    <row r="33" spans="1:49" ht="11.25" customHeight="1">
      <c r="M33" s="709"/>
      <c r="N33" s="710"/>
      <c r="O33" s="710"/>
      <c r="P33" s="710"/>
      <c r="Q33" s="710"/>
      <c r="R33" s="710"/>
      <c r="S33" s="710"/>
      <c r="T33" s="711"/>
      <c r="U33" s="715"/>
      <c r="V33" s="716"/>
      <c r="W33" s="716"/>
      <c r="X33" s="716"/>
      <c r="Y33" s="716"/>
      <c r="Z33" s="716"/>
      <c r="AA33" s="716"/>
      <c r="AB33" s="716"/>
      <c r="AC33" s="716"/>
      <c r="AD33" s="716"/>
      <c r="AE33" s="716"/>
      <c r="AF33" s="716"/>
      <c r="AG33" s="716"/>
      <c r="AH33" s="716"/>
      <c r="AI33" s="716"/>
      <c r="AJ33" s="717"/>
      <c r="AL33" s="26"/>
      <c r="AM33" s="18"/>
      <c r="AN33" s="18"/>
      <c r="AO33" s="18"/>
      <c r="AP33" s="18"/>
      <c r="AQ33" s="18"/>
      <c r="AR33" s="18"/>
    </row>
    <row r="34" spans="1:49" ht="13.5" customHeight="1">
      <c r="M34" s="706" t="s">
        <v>99</v>
      </c>
      <c r="N34" s="707"/>
      <c r="O34" s="707"/>
      <c r="P34" s="707"/>
      <c r="Q34" s="707"/>
      <c r="R34" s="707"/>
      <c r="S34" s="707"/>
      <c r="T34" s="708"/>
      <c r="U34" s="718" t="s">
        <v>100</v>
      </c>
      <c r="V34" s="719"/>
      <c r="W34" s="719"/>
      <c r="X34" s="719"/>
      <c r="Y34" s="719"/>
      <c r="Z34" s="719"/>
      <c r="AA34" s="719"/>
      <c r="AB34" s="719"/>
      <c r="AC34" s="719"/>
      <c r="AD34" s="719"/>
      <c r="AE34" s="719"/>
      <c r="AF34" s="719"/>
      <c r="AG34" s="719"/>
      <c r="AH34" s="719"/>
      <c r="AI34" s="719"/>
      <c r="AJ34" s="720"/>
      <c r="AL34" s="26"/>
      <c r="AM34" s="18"/>
      <c r="AN34" s="18"/>
      <c r="AO34" s="18"/>
      <c r="AP34" s="18"/>
      <c r="AQ34" s="18"/>
      <c r="AR34" s="18"/>
      <c r="AW34" s="32"/>
    </row>
    <row r="35" spans="1:49" ht="11.25" customHeight="1">
      <c r="M35" s="709"/>
      <c r="N35" s="710"/>
      <c r="O35" s="710"/>
      <c r="P35" s="710"/>
      <c r="Q35" s="710"/>
      <c r="R35" s="710"/>
      <c r="S35" s="710"/>
      <c r="T35" s="711"/>
      <c r="U35" s="721"/>
      <c r="V35" s="722"/>
      <c r="W35" s="722"/>
      <c r="X35" s="722"/>
      <c r="Y35" s="722"/>
      <c r="Z35" s="722"/>
      <c r="AA35" s="722"/>
      <c r="AB35" s="722"/>
      <c r="AC35" s="722"/>
      <c r="AD35" s="722"/>
      <c r="AE35" s="722"/>
      <c r="AF35" s="722"/>
      <c r="AG35" s="722"/>
      <c r="AH35" s="722"/>
      <c r="AI35" s="722"/>
      <c r="AJ35" s="723"/>
      <c r="AL35" s="26"/>
      <c r="AM35" s="18"/>
      <c r="AN35" s="18"/>
      <c r="AO35" s="18"/>
      <c r="AP35" s="18"/>
      <c r="AQ35" s="18"/>
      <c r="AR35" s="18"/>
      <c r="AW35" s="32"/>
    </row>
    <row r="36" spans="1:49" ht="11.25" customHeight="1">
      <c r="M36" s="706" t="s">
        <v>108</v>
      </c>
      <c r="N36" s="707"/>
      <c r="O36" s="707"/>
      <c r="P36" s="707"/>
      <c r="Q36" s="707"/>
      <c r="R36" s="707"/>
      <c r="S36" s="707"/>
      <c r="T36" s="708"/>
      <c r="U36" s="718" t="s">
        <v>117</v>
      </c>
      <c r="V36" s="719"/>
      <c r="W36" s="719"/>
      <c r="X36" s="719"/>
      <c r="Y36" s="719"/>
      <c r="Z36" s="719"/>
      <c r="AA36" s="719"/>
      <c r="AB36" s="719"/>
      <c r="AC36" s="719"/>
      <c r="AD36" s="719"/>
      <c r="AE36" s="719"/>
      <c r="AF36" s="719"/>
      <c r="AG36" s="719"/>
      <c r="AH36" s="719"/>
      <c r="AI36" s="719"/>
      <c r="AJ36" s="720"/>
      <c r="AL36" s="26"/>
      <c r="AM36" s="18"/>
      <c r="AN36" s="18"/>
      <c r="AO36" s="18"/>
      <c r="AP36" s="18"/>
      <c r="AQ36" s="18"/>
      <c r="AR36" s="18"/>
      <c r="AW36" s="32"/>
    </row>
    <row r="37" spans="1:49" ht="11.25" customHeight="1">
      <c r="B37" s="33"/>
      <c r="C37" s="33"/>
      <c r="D37" s="33"/>
      <c r="M37" s="709"/>
      <c r="N37" s="710"/>
      <c r="O37" s="710"/>
      <c r="P37" s="710"/>
      <c r="Q37" s="710"/>
      <c r="R37" s="710"/>
      <c r="S37" s="710"/>
      <c r="T37" s="711"/>
      <c r="U37" s="721"/>
      <c r="V37" s="722"/>
      <c r="W37" s="722"/>
      <c r="X37" s="722"/>
      <c r="Y37" s="722"/>
      <c r="Z37" s="722"/>
      <c r="AA37" s="722"/>
      <c r="AB37" s="722"/>
      <c r="AC37" s="722"/>
      <c r="AD37" s="722"/>
      <c r="AE37" s="722"/>
      <c r="AF37" s="722"/>
      <c r="AG37" s="722"/>
      <c r="AH37" s="722"/>
      <c r="AI37" s="722"/>
      <c r="AJ37" s="723"/>
      <c r="AL37" s="26"/>
      <c r="AM37" s="18"/>
      <c r="AN37" s="18"/>
      <c r="AO37" s="18"/>
      <c r="AP37" s="18"/>
      <c r="AQ37" s="18"/>
      <c r="AR37" s="18"/>
    </row>
    <row r="38" spans="1:49" ht="13.5" customHeight="1"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49" ht="13.5" customHeight="1">
      <c r="M39" s="35"/>
      <c r="N39" s="35"/>
      <c r="O39" s="35"/>
      <c r="P39" s="35"/>
      <c r="R39" s="35"/>
      <c r="S39" s="35"/>
      <c r="T39" s="35"/>
      <c r="U39" s="35"/>
      <c r="W39" s="724" t="s">
        <v>118</v>
      </c>
      <c r="X39" s="725"/>
      <c r="Y39" s="725"/>
      <c r="Z39" s="726"/>
      <c r="AB39" s="724" t="s">
        <v>119</v>
      </c>
      <c r="AC39" s="725"/>
      <c r="AD39" s="725"/>
      <c r="AE39" s="726"/>
      <c r="AG39" s="724" t="s">
        <v>120</v>
      </c>
      <c r="AH39" s="725"/>
      <c r="AI39" s="725"/>
      <c r="AJ39" s="726"/>
    </row>
    <row r="40" spans="1:49" ht="11.25" customHeight="1">
      <c r="M40" s="35"/>
      <c r="N40" s="35"/>
      <c r="O40" s="35"/>
      <c r="P40" s="35"/>
      <c r="R40" s="35"/>
      <c r="S40" s="35"/>
      <c r="T40" s="35"/>
      <c r="U40" s="35"/>
      <c r="W40" s="694" t="s">
        <v>121</v>
      </c>
      <c r="X40" s="695"/>
      <c r="Y40" s="695"/>
      <c r="Z40" s="696"/>
      <c r="AB40" s="694"/>
      <c r="AC40" s="695"/>
      <c r="AD40" s="695"/>
      <c r="AE40" s="696"/>
      <c r="AG40" s="700"/>
      <c r="AH40" s="701"/>
      <c r="AI40" s="701"/>
      <c r="AJ40" s="702"/>
    </row>
    <row r="41" spans="1:49">
      <c r="M41" s="35"/>
      <c r="N41" s="35"/>
      <c r="O41" s="35"/>
      <c r="P41" s="35"/>
      <c r="R41" s="35"/>
      <c r="S41" s="35"/>
      <c r="T41" s="35"/>
      <c r="U41" s="35"/>
      <c r="W41" s="697"/>
      <c r="X41" s="698"/>
      <c r="Y41" s="698"/>
      <c r="Z41" s="699"/>
      <c r="AB41" s="697"/>
      <c r="AC41" s="698"/>
      <c r="AD41" s="698"/>
      <c r="AE41" s="699"/>
      <c r="AG41" s="703"/>
      <c r="AH41" s="704"/>
      <c r="AI41" s="704"/>
      <c r="AJ41" s="705"/>
    </row>
    <row r="42" spans="1:49">
      <c r="M42" s="36"/>
      <c r="N42" s="36"/>
      <c r="O42" s="36"/>
      <c r="P42" s="36"/>
      <c r="R42" s="36"/>
      <c r="S42" s="36"/>
      <c r="T42" s="36"/>
      <c r="U42" s="36"/>
      <c r="W42" s="657">
        <v>44824</v>
      </c>
      <c r="X42" s="658"/>
      <c r="Y42" s="658"/>
      <c r="Z42" s="659"/>
      <c r="AB42" s="663"/>
      <c r="AC42" s="664"/>
      <c r="AD42" s="664"/>
      <c r="AE42" s="665"/>
      <c r="AG42" s="669"/>
      <c r="AH42" s="670"/>
      <c r="AI42" s="670"/>
      <c r="AJ42" s="671"/>
    </row>
    <row r="43" spans="1:49">
      <c r="C43" s="675"/>
      <c r="D43" s="675"/>
      <c r="E43" s="675"/>
      <c r="F43" s="675"/>
      <c r="G43" s="675"/>
      <c r="H43" s="675"/>
      <c r="M43" s="36"/>
      <c r="N43" s="36"/>
      <c r="O43" s="36"/>
      <c r="P43" s="36"/>
      <c r="R43" s="36"/>
      <c r="S43" s="36"/>
      <c r="T43" s="36"/>
      <c r="U43" s="36"/>
      <c r="W43" s="660"/>
      <c r="X43" s="661"/>
      <c r="Y43" s="661"/>
      <c r="Z43" s="662"/>
      <c r="AB43" s="666"/>
      <c r="AC43" s="667"/>
      <c r="AD43" s="667"/>
      <c r="AE43" s="668"/>
      <c r="AG43" s="672"/>
      <c r="AH43" s="673"/>
      <c r="AI43" s="673"/>
      <c r="AJ43" s="674"/>
    </row>
    <row r="44" spans="1:49">
      <c r="C44" s="675"/>
      <c r="D44" s="675"/>
      <c r="E44" s="675"/>
      <c r="F44" s="675"/>
      <c r="G44" s="675"/>
      <c r="H44" s="675"/>
    </row>
    <row r="45" spans="1:49" ht="15.75">
      <c r="C45" s="676"/>
      <c r="D45" s="676"/>
      <c r="E45" s="676"/>
      <c r="F45" s="676"/>
      <c r="G45" s="676"/>
      <c r="H45" s="676"/>
    </row>
    <row r="48" spans="1:49" ht="12" customHeight="1">
      <c r="A48" s="677" t="s">
        <v>101</v>
      </c>
      <c r="B48" s="678"/>
      <c r="C48" s="678"/>
      <c r="D48" s="678"/>
      <c r="E48" s="678"/>
      <c r="F48" s="679"/>
      <c r="G48" s="677" t="s">
        <v>122</v>
      </c>
      <c r="H48" s="678"/>
      <c r="I48" s="678"/>
      <c r="J48" s="678"/>
      <c r="K48" s="678"/>
      <c r="L48" s="679"/>
      <c r="M48" s="677" t="s">
        <v>123</v>
      </c>
      <c r="N48" s="683"/>
      <c r="O48" s="683"/>
      <c r="P48" s="683"/>
      <c r="Q48" s="683"/>
      <c r="R48" s="683"/>
      <c r="S48" s="683"/>
      <c r="T48" s="683"/>
      <c r="U48" s="684"/>
      <c r="V48" s="677" t="s">
        <v>124</v>
      </c>
      <c r="W48" s="678"/>
      <c r="X48" s="678"/>
      <c r="Y48" s="678"/>
      <c r="Z48" s="678"/>
      <c r="AA48" s="679"/>
      <c r="AB48" s="688" t="s">
        <v>125</v>
      </c>
      <c r="AC48" s="689"/>
      <c r="AD48" s="689"/>
      <c r="AE48" s="689"/>
      <c r="AF48" s="689"/>
      <c r="AG48" s="690"/>
    </row>
    <row r="49" spans="1:86" ht="12" customHeight="1">
      <c r="A49" s="680"/>
      <c r="B49" s="681"/>
      <c r="C49" s="681"/>
      <c r="D49" s="681"/>
      <c r="E49" s="681"/>
      <c r="F49" s="682"/>
      <c r="G49" s="680"/>
      <c r="H49" s="681"/>
      <c r="I49" s="681"/>
      <c r="J49" s="681"/>
      <c r="K49" s="681"/>
      <c r="L49" s="682"/>
      <c r="M49" s="685"/>
      <c r="N49" s="686"/>
      <c r="O49" s="686"/>
      <c r="P49" s="686"/>
      <c r="Q49" s="686"/>
      <c r="R49" s="686"/>
      <c r="S49" s="686"/>
      <c r="T49" s="686"/>
      <c r="U49" s="687"/>
      <c r="V49" s="680"/>
      <c r="W49" s="681"/>
      <c r="X49" s="681"/>
      <c r="Y49" s="681"/>
      <c r="Z49" s="681"/>
      <c r="AA49" s="682"/>
      <c r="AB49" s="691"/>
      <c r="AC49" s="692"/>
      <c r="AD49" s="692"/>
      <c r="AE49" s="692"/>
      <c r="AF49" s="692"/>
      <c r="AG49" s="693"/>
    </row>
    <row r="50" spans="1:86" ht="12" customHeight="1">
      <c r="A50" s="631" t="s">
        <v>126</v>
      </c>
      <c r="B50" s="632"/>
      <c r="C50" s="632"/>
      <c r="D50" s="632"/>
      <c r="E50" s="632"/>
      <c r="F50" s="633"/>
      <c r="G50" s="631" t="s">
        <v>766</v>
      </c>
      <c r="H50" s="632"/>
      <c r="I50" s="632"/>
      <c r="J50" s="632"/>
      <c r="K50" s="632"/>
      <c r="L50" s="633"/>
      <c r="M50" s="637" t="s">
        <v>128</v>
      </c>
      <c r="N50" s="638"/>
      <c r="O50" s="638"/>
      <c r="P50" s="638"/>
      <c r="Q50" s="638"/>
      <c r="R50" s="638"/>
      <c r="S50" s="638"/>
      <c r="T50" s="638"/>
      <c r="U50" s="639"/>
      <c r="V50" s="643" t="s">
        <v>129</v>
      </c>
      <c r="W50" s="644"/>
      <c r="X50" s="644"/>
      <c r="Y50" s="644"/>
      <c r="Z50" s="644"/>
      <c r="AA50" s="645"/>
      <c r="AB50" s="649" t="s">
        <v>130</v>
      </c>
      <c r="AC50" s="650"/>
      <c r="AD50" s="650"/>
      <c r="AE50" s="650"/>
      <c r="AF50" s="650"/>
      <c r="AG50" s="651"/>
    </row>
    <row r="51" spans="1:86" ht="12" customHeight="1">
      <c r="A51" s="634"/>
      <c r="B51" s="635"/>
      <c r="C51" s="635"/>
      <c r="D51" s="635"/>
      <c r="E51" s="635"/>
      <c r="F51" s="636"/>
      <c r="G51" s="634"/>
      <c r="H51" s="635"/>
      <c r="I51" s="635"/>
      <c r="J51" s="635"/>
      <c r="K51" s="635"/>
      <c r="L51" s="636"/>
      <c r="M51" s="640"/>
      <c r="N51" s="641"/>
      <c r="O51" s="641"/>
      <c r="P51" s="641"/>
      <c r="Q51" s="641"/>
      <c r="R51" s="641"/>
      <c r="S51" s="641"/>
      <c r="T51" s="641"/>
      <c r="U51" s="642"/>
      <c r="V51" s="646"/>
      <c r="W51" s="647"/>
      <c r="X51" s="647"/>
      <c r="Y51" s="647"/>
      <c r="Z51" s="647"/>
      <c r="AA51" s="648"/>
      <c r="AB51" s="652"/>
      <c r="AC51" s="653"/>
      <c r="AD51" s="653"/>
      <c r="AE51" s="653"/>
      <c r="AF51" s="653"/>
      <c r="AG51" s="654"/>
    </row>
    <row r="53" spans="1:86" s="37" customFormat="1" ht="15.75">
      <c r="A53" s="37" t="s">
        <v>131</v>
      </c>
    </row>
    <row r="54" spans="1:86" s="37" customFormat="1" ht="15.75" customHeight="1">
      <c r="A54" s="17" t="s">
        <v>132</v>
      </c>
      <c r="B54" s="17"/>
      <c r="C54" s="17"/>
      <c r="D54" s="17"/>
      <c r="E54" s="17"/>
      <c r="F54" s="17"/>
      <c r="G54" s="17"/>
      <c r="H54" s="17"/>
      <c r="I54" s="17"/>
      <c r="J54" s="17"/>
      <c r="K54" s="17" t="s">
        <v>133</v>
      </c>
      <c r="L54" s="17"/>
      <c r="M54" s="17"/>
      <c r="N54" s="17"/>
      <c r="O54" s="17"/>
      <c r="P54" s="17"/>
      <c r="Q54" s="17"/>
      <c r="R54" s="17"/>
      <c r="S54" s="17"/>
      <c r="T54" s="17"/>
      <c r="U54" s="17" t="s">
        <v>134</v>
      </c>
      <c r="V54" s="17"/>
      <c r="W54" s="17"/>
      <c r="X54" s="17"/>
      <c r="Y54" s="17"/>
      <c r="Z54" s="17" t="s">
        <v>135</v>
      </c>
      <c r="AA54" s="17"/>
      <c r="AB54" s="17"/>
      <c r="AC54" s="17"/>
      <c r="AD54" s="17"/>
      <c r="AE54" s="17" t="s">
        <v>136</v>
      </c>
      <c r="AF54" s="17"/>
      <c r="AG54" s="17"/>
      <c r="AH54" s="17"/>
      <c r="AI54" s="17"/>
      <c r="AJ54" s="17" t="s">
        <v>137</v>
      </c>
      <c r="AK54" s="17"/>
      <c r="AL54" s="17"/>
      <c r="AM54" s="17"/>
      <c r="AN54" s="17"/>
      <c r="AO54" s="17"/>
      <c r="AP54" s="17"/>
      <c r="AQ54" s="17"/>
      <c r="AR54" s="17"/>
      <c r="AS54" s="17" t="s">
        <v>138</v>
      </c>
      <c r="AT54" s="17"/>
      <c r="AU54" s="17"/>
      <c r="AV54" s="17"/>
      <c r="AW54" s="17"/>
      <c r="AX54" s="17"/>
      <c r="AY54" s="17"/>
      <c r="AZ54" s="17" t="s">
        <v>139</v>
      </c>
      <c r="BA54" s="17"/>
      <c r="BB54" s="17"/>
      <c r="BC54" s="17"/>
      <c r="BD54" s="17"/>
      <c r="BE54" s="17"/>
      <c r="BF54" s="17" t="s">
        <v>140</v>
      </c>
      <c r="BG54" s="17"/>
      <c r="BH54" s="17"/>
      <c r="BI54" s="17"/>
      <c r="BJ54" s="17"/>
      <c r="BK54" s="17"/>
    </row>
    <row r="55" spans="1:86" s="37" customFormat="1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 t="s">
        <v>141</v>
      </c>
      <c r="L55" s="17"/>
      <c r="M55" s="17"/>
      <c r="N55" s="17"/>
      <c r="O55" s="17"/>
      <c r="P55" s="17"/>
      <c r="Q55" s="17"/>
      <c r="R55" s="17"/>
      <c r="S55" s="17"/>
      <c r="T55" s="17"/>
      <c r="U55" s="17" t="s">
        <v>142</v>
      </c>
      <c r="V55" s="17"/>
      <c r="W55" s="17"/>
      <c r="X55" s="17"/>
      <c r="Y55" s="17"/>
      <c r="Z55" s="17" t="s">
        <v>143</v>
      </c>
      <c r="AA55" s="17"/>
      <c r="AB55" s="17"/>
      <c r="AC55" s="17"/>
      <c r="AD55" s="17"/>
      <c r="AE55" s="17" t="s">
        <v>144</v>
      </c>
      <c r="AF55" s="17"/>
      <c r="AG55" s="17"/>
      <c r="AH55" s="17"/>
      <c r="AI55" s="17"/>
      <c r="AJ55" s="17" t="s">
        <v>145</v>
      </c>
      <c r="AK55" s="17"/>
      <c r="AL55" s="17"/>
      <c r="AM55" s="17"/>
      <c r="AN55" s="17"/>
      <c r="AO55" s="17"/>
      <c r="AP55" s="17"/>
      <c r="AQ55" s="17"/>
      <c r="AR55" s="17"/>
      <c r="AS55" s="17" t="s">
        <v>146</v>
      </c>
      <c r="AT55" s="17"/>
      <c r="AU55" s="17"/>
      <c r="AV55" s="17"/>
      <c r="AW55" s="17"/>
      <c r="AX55" s="17"/>
      <c r="AY55" s="17"/>
      <c r="AZ55" s="17" t="s">
        <v>147</v>
      </c>
      <c r="BA55" s="17"/>
      <c r="BB55" s="17"/>
      <c r="BC55" s="17"/>
      <c r="BD55" s="17"/>
      <c r="BE55" s="17"/>
      <c r="BF55" s="17" t="s">
        <v>148</v>
      </c>
      <c r="BG55" s="17"/>
      <c r="BH55" s="17"/>
      <c r="BI55" s="17"/>
      <c r="BJ55" s="17"/>
      <c r="BK55" s="17"/>
    </row>
    <row r="56" spans="1:86" s="37" customFormat="1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 t="s">
        <v>149</v>
      </c>
      <c r="L56" s="17"/>
      <c r="M56" s="17"/>
      <c r="N56" s="17"/>
      <c r="O56" s="17"/>
      <c r="P56" s="17"/>
      <c r="Q56" s="17"/>
      <c r="R56" s="17"/>
      <c r="S56" s="17"/>
      <c r="T56" s="17"/>
      <c r="U56" s="17" t="s">
        <v>150</v>
      </c>
      <c r="V56" s="17"/>
      <c r="W56" s="17"/>
      <c r="X56" s="17"/>
      <c r="Y56" s="17"/>
      <c r="Z56" s="17" t="s">
        <v>766</v>
      </c>
      <c r="AA56" s="17"/>
      <c r="AB56" s="17"/>
      <c r="AC56" s="17"/>
      <c r="AD56" s="17"/>
      <c r="AE56" s="68" t="s">
        <v>128</v>
      </c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</row>
    <row r="57" spans="1:86" s="37" customFormat="1" ht="16.5" thickBot="1">
      <c r="A57" s="37" t="s">
        <v>151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9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1"/>
      <c r="AB57" s="42"/>
      <c r="AC57" s="43"/>
      <c r="AD57" s="43"/>
      <c r="AE57" s="43"/>
      <c r="AF57" s="43"/>
      <c r="AG57" s="43"/>
      <c r="AH57" s="44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5"/>
      <c r="AV57" s="45"/>
      <c r="AW57" s="45"/>
      <c r="AX57" s="45"/>
      <c r="AY57" s="45"/>
      <c r="AZ57" s="45"/>
      <c r="BA57" s="45"/>
      <c r="BB57" s="38"/>
      <c r="BC57" s="38"/>
      <c r="BD57" s="38"/>
      <c r="BE57" s="38"/>
      <c r="BF57" s="38"/>
      <c r="BG57" s="40"/>
      <c r="BH57" s="40"/>
      <c r="BI57" s="40"/>
      <c r="BJ57" s="40"/>
      <c r="BK57" s="40"/>
    </row>
    <row r="58" spans="1:86" s="37" customFormat="1" ht="15.75">
      <c r="A58" s="597" t="str">
        <f>A54</f>
        <v>Webシステム</v>
      </c>
      <c r="B58" s="598"/>
      <c r="C58" s="598"/>
      <c r="D58" s="598"/>
      <c r="E58" s="598"/>
      <c r="F58" s="598"/>
      <c r="G58" s="598"/>
      <c r="H58" s="598"/>
      <c r="I58" s="598"/>
      <c r="J58" s="599"/>
      <c r="K58" s="606" t="s">
        <v>152</v>
      </c>
      <c r="L58" s="607"/>
      <c r="M58" s="607"/>
      <c r="N58" s="607"/>
      <c r="O58" s="607"/>
      <c r="P58" s="607"/>
      <c r="Q58" s="607"/>
      <c r="R58" s="607"/>
      <c r="S58" s="607"/>
      <c r="T58" s="655"/>
      <c r="U58" s="656" t="s">
        <v>153</v>
      </c>
      <c r="V58" s="610"/>
      <c r="W58" s="610"/>
      <c r="X58" s="610"/>
      <c r="Y58" s="611"/>
      <c r="Z58" s="583" t="str">
        <f>Z54</f>
        <v>MS</v>
      </c>
      <c r="AA58" s="562"/>
      <c r="AB58" s="562"/>
      <c r="AC58" s="562"/>
      <c r="AD58" s="563"/>
      <c r="AE58" s="608" t="s">
        <v>154</v>
      </c>
      <c r="AF58" s="562"/>
      <c r="AG58" s="562"/>
      <c r="AH58" s="562"/>
      <c r="AI58" s="563"/>
      <c r="AJ58" s="609" t="str">
        <f>AJ54</f>
        <v>Webシステム</v>
      </c>
      <c r="AK58" s="610"/>
      <c r="AL58" s="610"/>
      <c r="AM58" s="610"/>
      <c r="AN58" s="610"/>
      <c r="AO58" s="610"/>
      <c r="AP58" s="610"/>
      <c r="AQ58" s="610"/>
      <c r="AR58" s="611"/>
      <c r="AS58" s="612" t="s">
        <v>101</v>
      </c>
      <c r="AT58" s="612"/>
      <c r="AU58" s="612"/>
      <c r="AV58" s="612"/>
      <c r="AW58" s="612"/>
      <c r="AX58" s="612"/>
      <c r="AY58" s="612"/>
      <c r="AZ58" s="561" t="s">
        <v>124</v>
      </c>
      <c r="BA58" s="562"/>
      <c r="BB58" s="562"/>
      <c r="BC58" s="562"/>
      <c r="BD58" s="562"/>
      <c r="BE58" s="563"/>
      <c r="BF58" s="561" t="s">
        <v>155</v>
      </c>
      <c r="BG58" s="562"/>
      <c r="BH58" s="562"/>
      <c r="BI58" s="562"/>
      <c r="BJ58" s="562"/>
      <c r="BK58" s="613"/>
    </row>
    <row r="59" spans="1:86" s="37" customFormat="1" ht="15.75" customHeight="1">
      <c r="A59" s="600"/>
      <c r="B59" s="601"/>
      <c r="C59" s="601"/>
      <c r="D59" s="601"/>
      <c r="E59" s="601"/>
      <c r="F59" s="601"/>
      <c r="G59" s="601"/>
      <c r="H59" s="601"/>
      <c r="I59" s="601"/>
      <c r="J59" s="602"/>
      <c r="K59" s="568" t="str">
        <f>文書名</f>
        <v>アドオン設計書</v>
      </c>
      <c r="L59" s="569"/>
      <c r="M59" s="569"/>
      <c r="N59" s="569"/>
      <c r="O59" s="569"/>
      <c r="P59" s="569"/>
      <c r="Q59" s="569"/>
      <c r="R59" s="569"/>
      <c r="S59" s="569"/>
      <c r="T59" s="578"/>
      <c r="U59" s="614" t="s">
        <v>156</v>
      </c>
      <c r="V59" s="615"/>
      <c r="W59" s="615"/>
      <c r="X59" s="615"/>
      <c r="Y59" s="616"/>
      <c r="Z59" s="573" t="str">
        <f>Z55</f>
        <v>MSBB</v>
      </c>
      <c r="AA59" s="574"/>
      <c r="AB59" s="574"/>
      <c r="AC59" s="574"/>
      <c r="AD59" s="575"/>
      <c r="AE59" s="570" t="s">
        <v>157</v>
      </c>
      <c r="AF59" s="571"/>
      <c r="AG59" s="571"/>
      <c r="AH59" s="571"/>
      <c r="AI59" s="572"/>
      <c r="AJ59" s="576" t="str">
        <f>AJ55</f>
        <v>Web販売管理</v>
      </c>
      <c r="AK59" s="617"/>
      <c r="AL59" s="617"/>
      <c r="AM59" s="617"/>
      <c r="AN59" s="617"/>
      <c r="AO59" s="617"/>
      <c r="AP59" s="617"/>
      <c r="AQ59" s="617"/>
      <c r="AR59" s="618"/>
      <c r="AS59" s="619" t="str">
        <f>AS55</f>
        <v>M7-US-1140</v>
      </c>
      <c r="AT59" s="620"/>
      <c r="AU59" s="620"/>
      <c r="AV59" s="620"/>
      <c r="AW59" s="620"/>
      <c r="AX59" s="620"/>
      <c r="AY59" s="620"/>
      <c r="AZ59" s="582" t="str">
        <f>AZ55</f>
        <v>1.0.0</v>
      </c>
      <c r="BA59" s="569"/>
      <c r="BB59" s="569"/>
      <c r="BC59" s="569"/>
      <c r="BD59" s="569"/>
      <c r="BE59" s="578"/>
      <c r="BF59" s="584" t="str">
        <f>BF55</f>
        <v>r00.00</v>
      </c>
      <c r="BG59" s="569"/>
      <c r="BH59" s="569"/>
      <c r="BI59" s="569"/>
      <c r="BJ59" s="569"/>
      <c r="BK59" s="585"/>
    </row>
    <row r="60" spans="1:86" s="37" customFormat="1" ht="16.5" customHeight="1" thickBot="1">
      <c r="A60" s="603"/>
      <c r="B60" s="604"/>
      <c r="C60" s="604"/>
      <c r="D60" s="604"/>
      <c r="E60" s="604"/>
      <c r="F60" s="604"/>
      <c r="G60" s="604"/>
      <c r="H60" s="604"/>
      <c r="I60" s="604"/>
      <c r="J60" s="605"/>
      <c r="K60" s="587" t="str">
        <f ca="1">RIGHT(CELL("filename",$A$1),LEN(CELL("filename",$A$1))-FIND("]",CELL("filename",$A$1)))</f>
        <v>表紙</v>
      </c>
      <c r="L60" s="588"/>
      <c r="M60" s="588"/>
      <c r="N60" s="588"/>
      <c r="O60" s="588"/>
      <c r="P60" s="588"/>
      <c r="Q60" s="588"/>
      <c r="R60" s="588"/>
      <c r="S60" s="588"/>
      <c r="T60" s="622"/>
      <c r="U60" s="623" t="s">
        <v>158</v>
      </c>
      <c r="V60" s="624"/>
      <c r="W60" s="624"/>
      <c r="X60" s="624"/>
      <c r="Y60" s="625"/>
      <c r="Z60" s="626" t="str">
        <f>Z56</f>
        <v>MSBBPA100</v>
      </c>
      <c r="AA60" s="627"/>
      <c r="AB60" s="627"/>
      <c r="AC60" s="627"/>
      <c r="AD60" s="627"/>
      <c r="AE60" s="628" t="str">
        <f>AE56</f>
        <v>WebFSC製品化チェックシート出力</v>
      </c>
      <c r="AF60" s="629"/>
      <c r="AG60" s="629"/>
      <c r="AH60" s="629"/>
      <c r="AI60" s="629"/>
      <c r="AJ60" s="629"/>
      <c r="AK60" s="629"/>
      <c r="AL60" s="629"/>
      <c r="AM60" s="629"/>
      <c r="AN60" s="629"/>
      <c r="AO60" s="629"/>
      <c r="AP60" s="629"/>
      <c r="AQ60" s="629"/>
      <c r="AR60" s="630"/>
      <c r="AS60" s="621"/>
      <c r="AT60" s="621"/>
      <c r="AU60" s="621"/>
      <c r="AV60" s="621"/>
      <c r="AW60" s="621"/>
      <c r="AX60" s="621"/>
      <c r="AY60" s="621"/>
      <c r="AZ60" s="579"/>
      <c r="BA60" s="580"/>
      <c r="BB60" s="580"/>
      <c r="BC60" s="580"/>
      <c r="BD60" s="580"/>
      <c r="BE60" s="581"/>
      <c r="BF60" s="579"/>
      <c r="BG60" s="580"/>
      <c r="BH60" s="580"/>
      <c r="BI60" s="580"/>
      <c r="BJ60" s="580"/>
      <c r="BK60" s="586"/>
    </row>
    <row r="61" spans="1:86" s="37" customFormat="1" ht="15.7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9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1"/>
      <c r="AB61" s="42"/>
      <c r="AC61" s="43"/>
      <c r="AD61" s="43"/>
      <c r="AE61" s="43"/>
      <c r="AF61" s="43"/>
      <c r="AG61" s="43"/>
      <c r="AH61" s="44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5"/>
      <c r="AV61" s="45"/>
      <c r="AW61" s="45"/>
      <c r="AX61" s="45"/>
      <c r="AY61" s="45"/>
      <c r="AZ61" s="45"/>
      <c r="BA61" s="45"/>
      <c r="BB61" s="38"/>
      <c r="BC61" s="38"/>
      <c r="BD61" s="38"/>
      <c r="BE61" s="38"/>
      <c r="BF61" s="38"/>
      <c r="BG61" s="40"/>
      <c r="BH61" s="40"/>
      <c r="BI61" s="40"/>
      <c r="BJ61" s="40"/>
      <c r="BK61" s="40"/>
    </row>
    <row r="62" spans="1:86" s="37" customFormat="1" ht="16.5" thickBot="1">
      <c r="A62" s="37" t="s">
        <v>159</v>
      </c>
    </row>
    <row r="63" spans="1:86" s="37" customFormat="1" ht="15.75" customHeight="1">
      <c r="A63" s="597" t="str">
        <f>A58</f>
        <v>Webシステム</v>
      </c>
      <c r="B63" s="598"/>
      <c r="C63" s="598"/>
      <c r="D63" s="598"/>
      <c r="E63" s="598"/>
      <c r="F63" s="598"/>
      <c r="G63" s="598"/>
      <c r="H63" s="598"/>
      <c r="I63" s="598"/>
      <c r="J63" s="598"/>
      <c r="K63" s="598"/>
      <c r="L63" s="598"/>
      <c r="M63" s="598"/>
      <c r="N63" s="599"/>
      <c r="O63" s="606" t="s">
        <v>152</v>
      </c>
      <c r="P63" s="607"/>
      <c r="Q63" s="607"/>
      <c r="R63" s="607"/>
      <c r="S63" s="607"/>
      <c r="T63" s="607"/>
      <c r="U63" s="607"/>
      <c r="V63" s="607"/>
      <c r="W63" s="607"/>
      <c r="X63" s="607"/>
      <c r="Y63" s="607"/>
      <c r="Z63" s="607"/>
      <c r="AA63" s="607"/>
      <c r="AB63" s="607"/>
      <c r="AC63" s="608" t="s">
        <v>153</v>
      </c>
      <c r="AD63" s="562"/>
      <c r="AE63" s="562"/>
      <c r="AF63" s="562"/>
      <c r="AG63" s="562"/>
      <c r="AH63" s="562"/>
      <c r="AI63" s="563"/>
      <c r="AJ63" s="583" t="str">
        <f>Z58</f>
        <v>MS</v>
      </c>
      <c r="AK63" s="562"/>
      <c r="AL63" s="562"/>
      <c r="AM63" s="562"/>
      <c r="AN63" s="562"/>
      <c r="AO63" s="562"/>
      <c r="AP63" s="563"/>
      <c r="AQ63" s="608" t="s">
        <v>154</v>
      </c>
      <c r="AR63" s="562"/>
      <c r="AS63" s="562"/>
      <c r="AT63" s="562"/>
      <c r="AU63" s="562"/>
      <c r="AV63" s="562"/>
      <c r="AW63" s="563"/>
      <c r="AX63" s="583" t="str">
        <f>AJ58</f>
        <v>Webシステム</v>
      </c>
      <c r="AY63" s="562"/>
      <c r="AZ63" s="562"/>
      <c r="BA63" s="562"/>
      <c r="BB63" s="562"/>
      <c r="BC63" s="562"/>
      <c r="BD63" s="562"/>
      <c r="BE63" s="562"/>
      <c r="BF63" s="562"/>
      <c r="BG63" s="562"/>
      <c r="BH63" s="562"/>
      <c r="BI63" s="562"/>
      <c r="BJ63" s="562"/>
      <c r="BK63" s="563"/>
      <c r="BL63" s="561" t="s">
        <v>101</v>
      </c>
      <c r="BM63" s="562"/>
      <c r="BN63" s="562"/>
      <c r="BO63" s="562"/>
      <c r="BP63" s="562"/>
      <c r="BQ63" s="562"/>
      <c r="BR63" s="562"/>
      <c r="BS63" s="562"/>
      <c r="BT63" s="563"/>
      <c r="BU63" s="564" t="s">
        <v>124</v>
      </c>
      <c r="BV63" s="565"/>
      <c r="BW63" s="565"/>
      <c r="BX63" s="565"/>
      <c r="BY63" s="565"/>
      <c r="BZ63" s="565"/>
      <c r="CA63" s="566"/>
      <c r="CB63" s="564" t="s">
        <v>155</v>
      </c>
      <c r="CC63" s="565"/>
      <c r="CD63" s="565"/>
      <c r="CE63" s="565"/>
      <c r="CF63" s="565"/>
      <c r="CG63" s="565"/>
      <c r="CH63" s="567"/>
    </row>
    <row r="64" spans="1:86" s="37" customFormat="1" ht="15.75" customHeight="1">
      <c r="A64" s="600"/>
      <c r="B64" s="601"/>
      <c r="C64" s="601"/>
      <c r="D64" s="601"/>
      <c r="E64" s="601"/>
      <c r="F64" s="601"/>
      <c r="G64" s="601"/>
      <c r="H64" s="601"/>
      <c r="I64" s="601"/>
      <c r="J64" s="601"/>
      <c r="K64" s="601"/>
      <c r="L64" s="601"/>
      <c r="M64" s="601"/>
      <c r="N64" s="602"/>
      <c r="O64" s="568" t="str">
        <f>K59</f>
        <v>アドオン設計書</v>
      </c>
      <c r="P64" s="569"/>
      <c r="Q64" s="569"/>
      <c r="R64" s="569"/>
      <c r="S64" s="569"/>
      <c r="T64" s="569"/>
      <c r="U64" s="569"/>
      <c r="V64" s="569"/>
      <c r="W64" s="569"/>
      <c r="X64" s="569"/>
      <c r="Y64" s="569"/>
      <c r="Z64" s="569"/>
      <c r="AA64" s="569"/>
      <c r="AB64" s="569"/>
      <c r="AC64" s="570" t="s">
        <v>160</v>
      </c>
      <c r="AD64" s="571"/>
      <c r="AE64" s="571"/>
      <c r="AF64" s="571"/>
      <c r="AG64" s="571"/>
      <c r="AH64" s="571"/>
      <c r="AI64" s="572"/>
      <c r="AJ64" s="573" t="str">
        <f>Z59</f>
        <v>MSBB</v>
      </c>
      <c r="AK64" s="574"/>
      <c r="AL64" s="574"/>
      <c r="AM64" s="574"/>
      <c r="AN64" s="574"/>
      <c r="AO64" s="574"/>
      <c r="AP64" s="575"/>
      <c r="AQ64" s="570" t="s">
        <v>161</v>
      </c>
      <c r="AR64" s="571"/>
      <c r="AS64" s="571"/>
      <c r="AT64" s="571"/>
      <c r="AU64" s="571"/>
      <c r="AV64" s="571"/>
      <c r="AW64" s="572"/>
      <c r="AX64" s="576" t="str">
        <f>AJ59</f>
        <v>Web販売管理</v>
      </c>
      <c r="AY64" s="571"/>
      <c r="AZ64" s="571"/>
      <c r="BA64" s="571"/>
      <c r="BB64" s="571"/>
      <c r="BC64" s="571"/>
      <c r="BD64" s="571"/>
      <c r="BE64" s="571"/>
      <c r="BF64" s="571"/>
      <c r="BG64" s="571"/>
      <c r="BH64" s="571"/>
      <c r="BI64" s="571"/>
      <c r="BJ64" s="571"/>
      <c r="BK64" s="572"/>
      <c r="BL64" s="577" t="str">
        <f>AS59</f>
        <v>M7-US-1140</v>
      </c>
      <c r="BM64" s="569"/>
      <c r="BN64" s="569"/>
      <c r="BO64" s="569"/>
      <c r="BP64" s="569"/>
      <c r="BQ64" s="569"/>
      <c r="BR64" s="569"/>
      <c r="BS64" s="569"/>
      <c r="BT64" s="578"/>
      <c r="BU64" s="582" t="s">
        <v>162</v>
      </c>
      <c r="BV64" s="569"/>
      <c r="BW64" s="569"/>
      <c r="BX64" s="569"/>
      <c r="BY64" s="569"/>
      <c r="BZ64" s="569"/>
      <c r="CA64" s="578"/>
      <c r="CB64" s="584" cm="1">
        <f t="array" ref="CB64">MAX(_xlfn.NUMBERVALUE(改訂!A7:E44))</f>
        <v>1</v>
      </c>
      <c r="CC64" s="569"/>
      <c r="CD64" s="569"/>
      <c r="CE64" s="569"/>
      <c r="CF64" s="569"/>
      <c r="CG64" s="569"/>
      <c r="CH64" s="585"/>
    </row>
    <row r="65" spans="1:86" s="37" customFormat="1" ht="16.5" customHeight="1" thickBot="1">
      <c r="A65" s="603"/>
      <c r="B65" s="604"/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05"/>
      <c r="O65" s="587" t="str">
        <f ca="1">RIGHT(CELL("filename",$A$1),LEN(CELL("filename",$A$1))-FIND("]",CELL("filename",$A$1)))</f>
        <v>表紙</v>
      </c>
      <c r="P65" s="588"/>
      <c r="Q65" s="588"/>
      <c r="R65" s="588"/>
      <c r="S65" s="588"/>
      <c r="T65" s="588"/>
      <c r="U65" s="588"/>
      <c r="V65" s="588"/>
      <c r="W65" s="588"/>
      <c r="X65" s="588"/>
      <c r="Y65" s="588"/>
      <c r="Z65" s="588"/>
      <c r="AA65" s="588"/>
      <c r="AB65" s="588"/>
      <c r="AC65" s="589" t="s">
        <v>158</v>
      </c>
      <c r="AD65" s="590"/>
      <c r="AE65" s="590"/>
      <c r="AF65" s="590"/>
      <c r="AG65" s="590"/>
      <c r="AH65" s="590"/>
      <c r="AI65" s="591"/>
      <c r="AJ65" s="592" t="str">
        <f>Z60</f>
        <v>MSBBPA100</v>
      </c>
      <c r="AK65" s="593"/>
      <c r="AL65" s="593"/>
      <c r="AM65" s="593"/>
      <c r="AN65" s="593"/>
      <c r="AO65" s="593"/>
      <c r="AP65" s="593"/>
      <c r="AQ65" s="594" t="str">
        <f>AE60</f>
        <v>WebFSC製品化チェックシート出力</v>
      </c>
      <c r="AR65" s="595"/>
      <c r="AS65" s="595"/>
      <c r="AT65" s="595"/>
      <c r="AU65" s="595"/>
      <c r="AV65" s="595"/>
      <c r="AW65" s="595"/>
      <c r="AX65" s="595"/>
      <c r="AY65" s="595"/>
      <c r="AZ65" s="595"/>
      <c r="BA65" s="595"/>
      <c r="BB65" s="595"/>
      <c r="BC65" s="595"/>
      <c r="BD65" s="595"/>
      <c r="BE65" s="595"/>
      <c r="BF65" s="595"/>
      <c r="BG65" s="595"/>
      <c r="BH65" s="595"/>
      <c r="BI65" s="595"/>
      <c r="BJ65" s="595"/>
      <c r="BK65" s="596"/>
      <c r="BL65" s="579"/>
      <c r="BM65" s="580"/>
      <c r="BN65" s="580"/>
      <c r="BO65" s="580"/>
      <c r="BP65" s="580"/>
      <c r="BQ65" s="580"/>
      <c r="BR65" s="580"/>
      <c r="BS65" s="580"/>
      <c r="BT65" s="581"/>
      <c r="BU65" s="579"/>
      <c r="BV65" s="580"/>
      <c r="BW65" s="580"/>
      <c r="BX65" s="580"/>
      <c r="BY65" s="580"/>
      <c r="BZ65" s="580"/>
      <c r="CA65" s="581"/>
      <c r="CB65" s="579"/>
      <c r="CC65" s="580"/>
      <c r="CD65" s="580"/>
      <c r="CE65" s="580"/>
      <c r="CF65" s="580"/>
      <c r="CG65" s="580"/>
      <c r="CH65" s="586"/>
    </row>
  </sheetData>
  <mergeCells count="95">
    <mergeCell ref="AC3:AH4"/>
    <mergeCell ref="AI3:AM4"/>
    <mergeCell ref="AN3:AT4"/>
    <mergeCell ref="AC5:AH5"/>
    <mergeCell ref="AI5:AM5"/>
    <mergeCell ref="AN5:AT5"/>
    <mergeCell ref="M7:AJ9"/>
    <mergeCell ref="M10:AJ12"/>
    <mergeCell ref="M16:T17"/>
    <mergeCell ref="U16:AJ17"/>
    <mergeCell ref="M18:T19"/>
    <mergeCell ref="U18:AJ19"/>
    <mergeCell ref="M20:T21"/>
    <mergeCell ref="U20:AJ21"/>
    <mergeCell ref="M22:T23"/>
    <mergeCell ref="U22:AJ23"/>
    <mergeCell ref="M24:T25"/>
    <mergeCell ref="U24:AJ25"/>
    <mergeCell ref="M26:T27"/>
    <mergeCell ref="U26:AB27"/>
    <mergeCell ref="AC26:AD27"/>
    <mergeCell ref="AE26:AJ27"/>
    <mergeCell ref="M28:T29"/>
    <mergeCell ref="U28:AJ2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A48:F49"/>
    <mergeCell ref="G48:L49"/>
    <mergeCell ref="M48:U49"/>
    <mergeCell ref="V48:AA49"/>
    <mergeCell ref="AB48:AG49"/>
    <mergeCell ref="W42:Z43"/>
    <mergeCell ref="AB42:AE43"/>
    <mergeCell ref="AG42:AJ43"/>
    <mergeCell ref="C43:H44"/>
    <mergeCell ref="C45:H45"/>
    <mergeCell ref="A58:J60"/>
    <mergeCell ref="K58:T58"/>
    <mergeCell ref="U58:Y58"/>
    <mergeCell ref="Z58:AD58"/>
    <mergeCell ref="AE58:AI58"/>
    <mergeCell ref="A50:F51"/>
    <mergeCell ref="G50:L51"/>
    <mergeCell ref="M50:U51"/>
    <mergeCell ref="V50:AA51"/>
    <mergeCell ref="AB50:AG51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63:N65"/>
    <mergeCell ref="O63:AB63"/>
    <mergeCell ref="AC63:AI63"/>
    <mergeCell ref="AJ63:AP63"/>
    <mergeCell ref="AQ63:AW63"/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</mergeCells>
  <phoneticPr fontId="9"/>
  <dataValidations count="6">
    <dataValidation type="list" allowBlank="1" showInputMessage="1" showErrorMessage="1" sqref="U36:AJ37" xr:uid="{F0572109-8191-462F-887C-A7889C7775C1}">
      <formula1>$AW$25:$AW$27</formula1>
    </dataValidation>
    <dataValidation type="list" allowBlank="1" showInputMessage="1" showErrorMessage="1" sqref="U34:AJ35" xr:uid="{529EFA51-9C87-4C61-A29B-F6EF5AEACA0B}">
      <formula1>$AW$19:$AW$22</formula1>
    </dataValidation>
    <dataValidation type="list" allowBlank="1" showInputMessage="1" showErrorMessage="1" sqref="U28:AJ29" xr:uid="{47703B91-8BEA-488F-A3FA-2FAD28F88989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78"/>
  <sheetViews>
    <sheetView view="pageBreakPreview" zoomScale="85" zoomScaleNormal="55" zoomScaleSheetLayoutView="85" zoomScalePageLayoutView="70" workbookViewId="0">
      <selection activeCell="F31" sqref="F31:BB32"/>
    </sheetView>
  </sheetViews>
  <sheetFormatPr defaultColWidth="2.125" defaultRowHeight="15.75"/>
  <cols>
    <col min="1" max="56" width="2.125" style="46" customWidth="1"/>
    <col min="57" max="16384" width="2.125" style="46"/>
  </cols>
  <sheetData>
    <row r="1" spans="1:74" ht="19.5" customHeight="1">
      <c r="A1" s="870" t="s">
        <v>163</v>
      </c>
      <c r="B1" s="871"/>
      <c r="C1" s="871"/>
      <c r="D1" s="871"/>
      <c r="E1" s="871"/>
      <c r="F1" s="871"/>
      <c r="G1" s="871"/>
      <c r="H1" s="871"/>
      <c r="I1" s="871"/>
      <c r="J1" s="872"/>
      <c r="K1" s="876" t="s">
        <v>164</v>
      </c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7"/>
      <c r="AL1" s="877"/>
      <c r="AM1" s="877"/>
      <c r="AN1" s="877"/>
      <c r="AO1" s="877"/>
      <c r="AP1" s="877"/>
      <c r="AQ1" s="877"/>
      <c r="AR1" s="877"/>
      <c r="AS1" s="877"/>
      <c r="AT1" s="878"/>
      <c r="AU1" s="853" t="s">
        <v>165</v>
      </c>
      <c r="AV1" s="854"/>
      <c r="AW1" s="854"/>
      <c r="AX1" s="854"/>
      <c r="AY1" s="882"/>
      <c r="AZ1" s="883" t="s">
        <v>166</v>
      </c>
      <c r="BA1" s="884"/>
      <c r="BB1" s="884"/>
      <c r="BC1" s="884"/>
      <c r="BD1" s="885"/>
      <c r="BE1" s="853" t="s">
        <v>167</v>
      </c>
      <c r="BF1" s="854"/>
      <c r="BG1" s="854"/>
      <c r="BH1" s="854"/>
      <c r="BI1" s="882"/>
      <c r="BJ1" s="886">
        <f>表紙!W42</f>
        <v>44824</v>
      </c>
      <c r="BK1" s="887"/>
      <c r="BL1" s="887"/>
      <c r="BM1" s="887"/>
      <c r="BN1" s="887"/>
      <c r="BO1" s="888"/>
      <c r="BP1" s="853" t="s">
        <v>155</v>
      </c>
      <c r="BQ1" s="854"/>
      <c r="BR1" s="854"/>
      <c r="BS1" s="854"/>
      <c r="BT1" s="854"/>
      <c r="BU1" s="854"/>
      <c r="BV1" s="855"/>
    </row>
    <row r="2" spans="1:74" ht="19.5" customHeight="1" thickBot="1">
      <c r="A2" s="873"/>
      <c r="B2" s="874"/>
      <c r="C2" s="874"/>
      <c r="D2" s="874"/>
      <c r="E2" s="874"/>
      <c r="F2" s="874"/>
      <c r="G2" s="874"/>
      <c r="H2" s="874"/>
      <c r="I2" s="874"/>
      <c r="J2" s="875"/>
      <c r="K2" s="879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880"/>
      <c r="AC2" s="880"/>
      <c r="AD2" s="880"/>
      <c r="AE2" s="880"/>
      <c r="AF2" s="880"/>
      <c r="AG2" s="880"/>
      <c r="AH2" s="880"/>
      <c r="AI2" s="880"/>
      <c r="AJ2" s="880"/>
      <c r="AK2" s="880"/>
      <c r="AL2" s="880"/>
      <c r="AM2" s="880"/>
      <c r="AN2" s="880"/>
      <c r="AO2" s="880"/>
      <c r="AP2" s="880"/>
      <c r="AQ2" s="880"/>
      <c r="AR2" s="880"/>
      <c r="AS2" s="880"/>
      <c r="AT2" s="881"/>
      <c r="AU2" s="856" t="s">
        <v>168</v>
      </c>
      <c r="AV2" s="857"/>
      <c r="AW2" s="857"/>
      <c r="AX2" s="857"/>
      <c r="AY2" s="858"/>
      <c r="AZ2" s="859"/>
      <c r="BA2" s="860"/>
      <c r="BB2" s="860"/>
      <c r="BC2" s="860"/>
      <c r="BD2" s="861"/>
      <c r="BE2" s="862" t="s">
        <v>169</v>
      </c>
      <c r="BF2" s="863"/>
      <c r="BG2" s="863"/>
      <c r="BH2" s="863"/>
      <c r="BI2" s="864"/>
      <c r="BJ2" s="865"/>
      <c r="BK2" s="866"/>
      <c r="BL2" s="866"/>
      <c r="BM2" s="866"/>
      <c r="BN2" s="866"/>
      <c r="BO2" s="867"/>
      <c r="BP2" s="868">
        <f>表紙!CB64</f>
        <v>1</v>
      </c>
      <c r="BQ2" s="860"/>
      <c r="BR2" s="860"/>
      <c r="BS2" s="860"/>
      <c r="BT2" s="860"/>
      <c r="BU2" s="860"/>
      <c r="BV2" s="869"/>
    </row>
    <row r="3" spans="1:74" ht="6.7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8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</row>
    <row r="4" spans="1:74" ht="17.25" thickBot="1">
      <c r="A4" s="49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8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</row>
    <row r="5" spans="1:74" ht="13.5" customHeight="1">
      <c r="A5" s="816" t="s">
        <v>155</v>
      </c>
      <c r="B5" s="817"/>
      <c r="C5" s="817"/>
      <c r="D5" s="817"/>
      <c r="E5" s="818"/>
      <c r="F5" s="822" t="s">
        <v>170</v>
      </c>
      <c r="G5" s="823"/>
      <c r="H5" s="823"/>
      <c r="I5" s="823"/>
      <c r="J5" s="823"/>
      <c r="K5" s="823"/>
      <c r="L5" s="823"/>
      <c r="M5" s="823"/>
      <c r="N5" s="823"/>
      <c r="O5" s="823"/>
      <c r="P5" s="823"/>
      <c r="Q5" s="823"/>
      <c r="R5" s="823"/>
      <c r="S5" s="823"/>
      <c r="T5" s="823"/>
      <c r="U5" s="823"/>
      <c r="V5" s="823"/>
      <c r="W5" s="823"/>
      <c r="X5" s="823"/>
      <c r="Y5" s="823"/>
      <c r="Z5" s="823"/>
      <c r="AA5" s="823"/>
      <c r="AB5" s="823"/>
      <c r="AC5" s="823"/>
      <c r="AD5" s="823"/>
      <c r="AE5" s="823"/>
      <c r="AF5" s="823"/>
      <c r="AG5" s="823"/>
      <c r="AH5" s="823"/>
      <c r="AI5" s="823"/>
      <c r="AJ5" s="823"/>
      <c r="AK5" s="823"/>
      <c r="AL5" s="823"/>
      <c r="AM5" s="823"/>
      <c r="AN5" s="823"/>
      <c r="AO5" s="823"/>
      <c r="AP5" s="823"/>
      <c r="AQ5" s="823"/>
      <c r="AR5" s="823"/>
      <c r="AS5" s="823"/>
      <c r="AT5" s="823"/>
      <c r="AU5" s="823"/>
      <c r="AV5" s="823"/>
      <c r="AW5" s="823"/>
      <c r="AX5" s="823"/>
      <c r="AY5" s="823"/>
      <c r="AZ5" s="823"/>
      <c r="BA5" s="823"/>
      <c r="BB5" s="824"/>
      <c r="BC5" s="828" t="s">
        <v>171</v>
      </c>
      <c r="BD5" s="817"/>
      <c r="BE5" s="817"/>
      <c r="BF5" s="817"/>
      <c r="BG5" s="817"/>
      <c r="BH5" s="817"/>
      <c r="BI5" s="817"/>
      <c r="BJ5" s="817"/>
      <c r="BK5" s="817"/>
      <c r="BL5" s="818"/>
      <c r="BM5" s="832" t="s">
        <v>172</v>
      </c>
      <c r="BN5" s="817"/>
      <c r="BO5" s="817"/>
      <c r="BP5" s="817"/>
      <c r="BQ5" s="818"/>
      <c r="BR5" s="832" t="s">
        <v>173</v>
      </c>
      <c r="BS5" s="817"/>
      <c r="BT5" s="817"/>
      <c r="BU5" s="817"/>
      <c r="BV5" s="834"/>
    </row>
    <row r="6" spans="1:74" ht="13.5" customHeight="1" thickBot="1">
      <c r="A6" s="819"/>
      <c r="B6" s="820"/>
      <c r="C6" s="820"/>
      <c r="D6" s="820"/>
      <c r="E6" s="821"/>
      <c r="F6" s="825"/>
      <c r="G6" s="826"/>
      <c r="H6" s="826"/>
      <c r="I6" s="826"/>
      <c r="J6" s="826"/>
      <c r="K6" s="826"/>
      <c r="L6" s="826"/>
      <c r="M6" s="826"/>
      <c r="N6" s="826"/>
      <c r="O6" s="826"/>
      <c r="P6" s="826"/>
      <c r="Q6" s="826"/>
      <c r="R6" s="826"/>
      <c r="S6" s="826"/>
      <c r="T6" s="826"/>
      <c r="U6" s="826"/>
      <c r="V6" s="826"/>
      <c r="W6" s="826"/>
      <c r="X6" s="826"/>
      <c r="Y6" s="826"/>
      <c r="Z6" s="826"/>
      <c r="AA6" s="826"/>
      <c r="AB6" s="826"/>
      <c r="AC6" s="826"/>
      <c r="AD6" s="826"/>
      <c r="AE6" s="826"/>
      <c r="AF6" s="826"/>
      <c r="AG6" s="826"/>
      <c r="AH6" s="826"/>
      <c r="AI6" s="826"/>
      <c r="AJ6" s="826"/>
      <c r="AK6" s="826"/>
      <c r="AL6" s="826"/>
      <c r="AM6" s="826"/>
      <c r="AN6" s="826"/>
      <c r="AO6" s="826"/>
      <c r="AP6" s="826"/>
      <c r="AQ6" s="826"/>
      <c r="AR6" s="826"/>
      <c r="AS6" s="826"/>
      <c r="AT6" s="826"/>
      <c r="AU6" s="826"/>
      <c r="AV6" s="826"/>
      <c r="AW6" s="826"/>
      <c r="AX6" s="826"/>
      <c r="AY6" s="826"/>
      <c r="AZ6" s="826"/>
      <c r="BA6" s="826"/>
      <c r="BB6" s="827"/>
      <c r="BC6" s="829"/>
      <c r="BD6" s="830"/>
      <c r="BE6" s="830"/>
      <c r="BF6" s="830"/>
      <c r="BG6" s="830"/>
      <c r="BH6" s="830"/>
      <c r="BI6" s="830"/>
      <c r="BJ6" s="830"/>
      <c r="BK6" s="830"/>
      <c r="BL6" s="831"/>
      <c r="BM6" s="833"/>
      <c r="BN6" s="820"/>
      <c r="BO6" s="820"/>
      <c r="BP6" s="820"/>
      <c r="BQ6" s="821"/>
      <c r="BR6" s="833"/>
      <c r="BS6" s="820"/>
      <c r="BT6" s="820"/>
      <c r="BU6" s="820"/>
      <c r="BV6" s="835"/>
    </row>
    <row r="7" spans="1:74" ht="13.5" customHeight="1" thickTop="1">
      <c r="A7" s="836">
        <v>1</v>
      </c>
      <c r="B7" s="837"/>
      <c r="C7" s="837"/>
      <c r="D7" s="837"/>
      <c r="E7" s="838"/>
      <c r="F7" s="842" t="s">
        <v>174</v>
      </c>
      <c r="G7" s="843"/>
      <c r="H7" s="843"/>
      <c r="I7" s="843"/>
      <c r="J7" s="843"/>
      <c r="K7" s="843"/>
      <c r="L7" s="843"/>
      <c r="M7" s="843"/>
      <c r="N7" s="843"/>
      <c r="O7" s="843"/>
      <c r="P7" s="843"/>
      <c r="Q7" s="843"/>
      <c r="R7" s="843"/>
      <c r="S7" s="843"/>
      <c r="T7" s="843"/>
      <c r="U7" s="843"/>
      <c r="V7" s="843"/>
      <c r="W7" s="843"/>
      <c r="X7" s="843"/>
      <c r="Y7" s="843"/>
      <c r="Z7" s="843"/>
      <c r="AA7" s="843"/>
      <c r="AB7" s="843"/>
      <c r="AC7" s="843"/>
      <c r="AD7" s="843"/>
      <c r="AE7" s="843"/>
      <c r="AF7" s="843"/>
      <c r="AG7" s="843"/>
      <c r="AH7" s="843"/>
      <c r="AI7" s="843"/>
      <c r="AJ7" s="843"/>
      <c r="AK7" s="843"/>
      <c r="AL7" s="843"/>
      <c r="AM7" s="843"/>
      <c r="AN7" s="843"/>
      <c r="AO7" s="843"/>
      <c r="AP7" s="843"/>
      <c r="AQ7" s="843"/>
      <c r="AR7" s="843"/>
      <c r="AS7" s="843"/>
      <c r="AT7" s="843"/>
      <c r="AU7" s="843"/>
      <c r="AV7" s="843"/>
      <c r="AW7" s="843"/>
      <c r="AX7" s="843"/>
      <c r="AY7" s="843"/>
      <c r="AZ7" s="843"/>
      <c r="BA7" s="843"/>
      <c r="BB7" s="844"/>
      <c r="BC7" s="845"/>
      <c r="BD7" s="846"/>
      <c r="BE7" s="846"/>
      <c r="BF7" s="846"/>
      <c r="BG7" s="846"/>
      <c r="BH7" s="846"/>
      <c r="BI7" s="846"/>
      <c r="BJ7" s="846"/>
      <c r="BK7" s="846"/>
      <c r="BL7" s="847"/>
      <c r="BM7" s="848"/>
      <c r="BN7" s="849"/>
      <c r="BO7" s="849"/>
      <c r="BP7" s="849"/>
      <c r="BQ7" s="850"/>
      <c r="BR7" s="851"/>
      <c r="BS7" s="849"/>
      <c r="BT7" s="849"/>
      <c r="BU7" s="849"/>
      <c r="BV7" s="852"/>
    </row>
    <row r="8" spans="1:74" ht="13.5" customHeight="1">
      <c r="A8" s="839"/>
      <c r="B8" s="840"/>
      <c r="C8" s="840"/>
      <c r="D8" s="840"/>
      <c r="E8" s="841"/>
      <c r="F8" s="812"/>
      <c r="G8" s="813"/>
      <c r="H8" s="813"/>
      <c r="I8" s="813"/>
      <c r="J8" s="813"/>
      <c r="K8" s="813"/>
      <c r="L8" s="813"/>
      <c r="M8" s="813"/>
      <c r="N8" s="813"/>
      <c r="O8" s="813"/>
      <c r="P8" s="813"/>
      <c r="Q8" s="813"/>
      <c r="R8" s="813"/>
      <c r="S8" s="813"/>
      <c r="T8" s="813"/>
      <c r="U8" s="813"/>
      <c r="V8" s="813"/>
      <c r="W8" s="813"/>
      <c r="X8" s="813"/>
      <c r="Y8" s="813"/>
      <c r="Z8" s="813"/>
      <c r="AA8" s="813"/>
      <c r="AB8" s="813"/>
      <c r="AC8" s="813"/>
      <c r="AD8" s="813"/>
      <c r="AE8" s="813"/>
      <c r="AF8" s="813"/>
      <c r="AG8" s="813"/>
      <c r="AH8" s="813"/>
      <c r="AI8" s="813"/>
      <c r="AJ8" s="813"/>
      <c r="AK8" s="813"/>
      <c r="AL8" s="813"/>
      <c r="AM8" s="813"/>
      <c r="AN8" s="813"/>
      <c r="AO8" s="813"/>
      <c r="AP8" s="813"/>
      <c r="AQ8" s="813"/>
      <c r="AR8" s="813"/>
      <c r="AS8" s="813"/>
      <c r="AT8" s="813"/>
      <c r="AU8" s="813"/>
      <c r="AV8" s="813"/>
      <c r="AW8" s="813"/>
      <c r="AX8" s="813"/>
      <c r="AY8" s="813"/>
      <c r="AZ8" s="813"/>
      <c r="BA8" s="813"/>
      <c r="BB8" s="814"/>
      <c r="BC8" s="792"/>
      <c r="BD8" s="790"/>
      <c r="BE8" s="790"/>
      <c r="BF8" s="790"/>
      <c r="BG8" s="790"/>
      <c r="BH8" s="790"/>
      <c r="BI8" s="790"/>
      <c r="BJ8" s="790"/>
      <c r="BK8" s="790"/>
      <c r="BL8" s="791"/>
      <c r="BM8" s="793"/>
      <c r="BN8" s="794"/>
      <c r="BO8" s="794"/>
      <c r="BP8" s="794"/>
      <c r="BQ8" s="795"/>
      <c r="BR8" s="793"/>
      <c r="BS8" s="794"/>
      <c r="BT8" s="794"/>
      <c r="BU8" s="794"/>
      <c r="BV8" s="796"/>
    </row>
    <row r="9" spans="1:74" ht="13.5" customHeight="1">
      <c r="A9" s="773"/>
      <c r="B9" s="774"/>
      <c r="C9" s="774"/>
      <c r="D9" s="774"/>
      <c r="E9" s="775"/>
      <c r="F9" s="805"/>
      <c r="G9" s="806"/>
      <c r="H9" s="806"/>
      <c r="I9" s="806"/>
      <c r="J9" s="806"/>
      <c r="K9" s="806"/>
      <c r="L9" s="806"/>
      <c r="M9" s="806"/>
      <c r="N9" s="806"/>
      <c r="O9" s="806"/>
      <c r="P9" s="806"/>
      <c r="Q9" s="806"/>
      <c r="R9" s="806"/>
      <c r="S9" s="806"/>
      <c r="T9" s="806"/>
      <c r="U9" s="806"/>
      <c r="V9" s="806"/>
      <c r="W9" s="806"/>
      <c r="X9" s="806"/>
      <c r="Y9" s="806"/>
      <c r="Z9" s="806"/>
      <c r="AA9" s="806"/>
      <c r="AB9" s="806"/>
      <c r="AC9" s="806"/>
      <c r="AD9" s="806"/>
      <c r="AE9" s="806"/>
      <c r="AF9" s="806"/>
      <c r="AG9" s="806"/>
      <c r="AH9" s="806"/>
      <c r="AI9" s="806"/>
      <c r="AJ9" s="806"/>
      <c r="AK9" s="806"/>
      <c r="AL9" s="806"/>
      <c r="AM9" s="806"/>
      <c r="AN9" s="806"/>
      <c r="AO9" s="806"/>
      <c r="AP9" s="806"/>
      <c r="AQ9" s="806"/>
      <c r="AR9" s="806"/>
      <c r="AS9" s="806"/>
      <c r="AT9" s="806"/>
      <c r="AU9" s="806"/>
      <c r="AV9" s="806"/>
      <c r="AW9" s="806"/>
      <c r="AX9" s="806"/>
      <c r="AY9" s="806"/>
      <c r="AZ9" s="806"/>
      <c r="BA9" s="806"/>
      <c r="BB9" s="807"/>
      <c r="BC9" s="779"/>
      <c r="BD9" s="774"/>
      <c r="BE9" s="774"/>
      <c r="BF9" s="774"/>
      <c r="BG9" s="774"/>
      <c r="BH9" s="774"/>
      <c r="BI9" s="774"/>
      <c r="BJ9" s="774"/>
      <c r="BK9" s="774"/>
      <c r="BL9" s="775"/>
      <c r="BM9" s="811"/>
      <c r="BN9" s="782"/>
      <c r="BO9" s="782"/>
      <c r="BP9" s="782"/>
      <c r="BQ9" s="783"/>
      <c r="BR9" s="815"/>
      <c r="BS9" s="782"/>
      <c r="BT9" s="782"/>
      <c r="BU9" s="782"/>
      <c r="BV9" s="784"/>
    </row>
    <row r="10" spans="1:74" ht="13.5" customHeight="1">
      <c r="A10" s="789"/>
      <c r="B10" s="790"/>
      <c r="C10" s="790"/>
      <c r="D10" s="790"/>
      <c r="E10" s="791"/>
      <c r="F10" s="812"/>
      <c r="G10" s="813"/>
      <c r="H10" s="813"/>
      <c r="I10" s="813"/>
      <c r="J10" s="813"/>
      <c r="K10" s="813"/>
      <c r="L10" s="813"/>
      <c r="M10" s="813"/>
      <c r="N10" s="813"/>
      <c r="O10" s="813"/>
      <c r="P10" s="813"/>
      <c r="Q10" s="813"/>
      <c r="R10" s="813"/>
      <c r="S10" s="813"/>
      <c r="T10" s="813"/>
      <c r="U10" s="813"/>
      <c r="V10" s="813"/>
      <c r="W10" s="813"/>
      <c r="X10" s="813"/>
      <c r="Y10" s="813"/>
      <c r="Z10" s="813"/>
      <c r="AA10" s="813"/>
      <c r="AB10" s="813"/>
      <c r="AC10" s="813"/>
      <c r="AD10" s="813"/>
      <c r="AE10" s="813"/>
      <c r="AF10" s="813"/>
      <c r="AG10" s="813"/>
      <c r="AH10" s="813"/>
      <c r="AI10" s="813"/>
      <c r="AJ10" s="813"/>
      <c r="AK10" s="813"/>
      <c r="AL10" s="813"/>
      <c r="AM10" s="813"/>
      <c r="AN10" s="813"/>
      <c r="AO10" s="813"/>
      <c r="AP10" s="813"/>
      <c r="AQ10" s="813"/>
      <c r="AR10" s="813"/>
      <c r="AS10" s="813"/>
      <c r="AT10" s="813"/>
      <c r="AU10" s="813"/>
      <c r="AV10" s="813"/>
      <c r="AW10" s="813"/>
      <c r="AX10" s="813"/>
      <c r="AY10" s="813"/>
      <c r="AZ10" s="813"/>
      <c r="BA10" s="813"/>
      <c r="BB10" s="814"/>
      <c r="BC10" s="792"/>
      <c r="BD10" s="790"/>
      <c r="BE10" s="790"/>
      <c r="BF10" s="790"/>
      <c r="BG10" s="790"/>
      <c r="BH10" s="790"/>
      <c r="BI10" s="790"/>
      <c r="BJ10" s="790"/>
      <c r="BK10" s="790"/>
      <c r="BL10" s="791"/>
      <c r="BM10" s="793"/>
      <c r="BN10" s="794"/>
      <c r="BO10" s="794"/>
      <c r="BP10" s="794"/>
      <c r="BQ10" s="795"/>
      <c r="BR10" s="793"/>
      <c r="BS10" s="794"/>
      <c r="BT10" s="794"/>
      <c r="BU10" s="794"/>
      <c r="BV10" s="796"/>
    </row>
    <row r="11" spans="1:74" ht="13.5" customHeight="1">
      <c r="A11" s="773"/>
      <c r="B11" s="774"/>
      <c r="C11" s="774"/>
      <c r="D11" s="774"/>
      <c r="E11" s="775"/>
      <c r="F11" s="805"/>
      <c r="G11" s="806"/>
      <c r="H11" s="806"/>
      <c r="I11" s="806"/>
      <c r="J11" s="806"/>
      <c r="K11" s="806"/>
      <c r="L11" s="806"/>
      <c r="M11" s="806"/>
      <c r="N11" s="806"/>
      <c r="O11" s="806"/>
      <c r="P11" s="806"/>
      <c r="Q11" s="806"/>
      <c r="R11" s="806"/>
      <c r="S11" s="806"/>
      <c r="T11" s="806"/>
      <c r="U11" s="806"/>
      <c r="V11" s="806"/>
      <c r="W11" s="806"/>
      <c r="X11" s="806"/>
      <c r="Y11" s="806"/>
      <c r="Z11" s="806"/>
      <c r="AA11" s="806"/>
      <c r="AB11" s="806"/>
      <c r="AC11" s="806"/>
      <c r="AD11" s="806"/>
      <c r="AE11" s="806"/>
      <c r="AF11" s="806"/>
      <c r="AG11" s="806"/>
      <c r="AH11" s="806"/>
      <c r="AI11" s="806"/>
      <c r="AJ11" s="806"/>
      <c r="AK11" s="806"/>
      <c r="AL11" s="806"/>
      <c r="AM11" s="806"/>
      <c r="AN11" s="806"/>
      <c r="AO11" s="806"/>
      <c r="AP11" s="806"/>
      <c r="AQ11" s="806"/>
      <c r="AR11" s="806"/>
      <c r="AS11" s="806"/>
      <c r="AT11" s="806"/>
      <c r="AU11" s="806"/>
      <c r="AV11" s="806"/>
      <c r="AW11" s="806"/>
      <c r="AX11" s="806"/>
      <c r="AY11" s="806"/>
      <c r="AZ11" s="806"/>
      <c r="BA11" s="806"/>
      <c r="BB11" s="807"/>
      <c r="BC11" s="779"/>
      <c r="BD11" s="774"/>
      <c r="BE11" s="774"/>
      <c r="BF11" s="774"/>
      <c r="BG11" s="774"/>
      <c r="BH11" s="774"/>
      <c r="BI11" s="774"/>
      <c r="BJ11" s="774"/>
      <c r="BK11" s="774"/>
      <c r="BL11" s="775"/>
      <c r="BM11" s="811"/>
      <c r="BN11" s="782"/>
      <c r="BO11" s="782"/>
      <c r="BP11" s="782"/>
      <c r="BQ11" s="783"/>
      <c r="BR11" s="781"/>
      <c r="BS11" s="782"/>
      <c r="BT11" s="782"/>
      <c r="BU11" s="782"/>
      <c r="BV11" s="784"/>
    </row>
    <row r="12" spans="1:74" ht="13.5" customHeight="1">
      <c r="A12" s="797"/>
      <c r="B12" s="798"/>
      <c r="C12" s="798"/>
      <c r="D12" s="798"/>
      <c r="E12" s="799"/>
      <c r="F12" s="808"/>
      <c r="G12" s="809"/>
      <c r="H12" s="809"/>
      <c r="I12" s="809"/>
      <c r="J12" s="809"/>
      <c r="K12" s="809"/>
      <c r="L12" s="809"/>
      <c r="M12" s="809"/>
      <c r="N12" s="809"/>
      <c r="O12" s="809"/>
      <c r="P12" s="809"/>
      <c r="Q12" s="809"/>
      <c r="R12" s="809"/>
      <c r="S12" s="809"/>
      <c r="T12" s="809"/>
      <c r="U12" s="809"/>
      <c r="V12" s="809"/>
      <c r="W12" s="809"/>
      <c r="X12" s="809"/>
      <c r="Y12" s="809"/>
      <c r="Z12" s="809"/>
      <c r="AA12" s="809"/>
      <c r="AB12" s="809"/>
      <c r="AC12" s="809"/>
      <c r="AD12" s="809"/>
      <c r="AE12" s="809"/>
      <c r="AF12" s="809"/>
      <c r="AG12" s="809"/>
      <c r="AH12" s="809"/>
      <c r="AI12" s="809"/>
      <c r="AJ12" s="809"/>
      <c r="AK12" s="809"/>
      <c r="AL12" s="809"/>
      <c r="AM12" s="809"/>
      <c r="AN12" s="809"/>
      <c r="AO12" s="809"/>
      <c r="AP12" s="809"/>
      <c r="AQ12" s="809"/>
      <c r="AR12" s="809"/>
      <c r="AS12" s="809"/>
      <c r="AT12" s="809"/>
      <c r="AU12" s="809"/>
      <c r="AV12" s="809"/>
      <c r="AW12" s="809"/>
      <c r="AX12" s="809"/>
      <c r="AY12" s="809"/>
      <c r="AZ12" s="809"/>
      <c r="BA12" s="809"/>
      <c r="BB12" s="810"/>
      <c r="BC12" s="800"/>
      <c r="BD12" s="798"/>
      <c r="BE12" s="798"/>
      <c r="BF12" s="798"/>
      <c r="BG12" s="798"/>
      <c r="BH12" s="798"/>
      <c r="BI12" s="798"/>
      <c r="BJ12" s="798"/>
      <c r="BK12" s="798"/>
      <c r="BL12" s="799"/>
      <c r="BM12" s="801"/>
      <c r="BN12" s="802"/>
      <c r="BO12" s="802"/>
      <c r="BP12" s="802"/>
      <c r="BQ12" s="803"/>
      <c r="BR12" s="801"/>
      <c r="BS12" s="802"/>
      <c r="BT12" s="802"/>
      <c r="BU12" s="802"/>
      <c r="BV12" s="804"/>
    </row>
    <row r="13" spans="1:74" ht="13.5" customHeight="1">
      <c r="A13" s="773"/>
      <c r="B13" s="774"/>
      <c r="C13" s="774"/>
      <c r="D13" s="774"/>
      <c r="E13" s="775"/>
      <c r="F13" s="779"/>
      <c r="G13" s="774"/>
      <c r="H13" s="774"/>
      <c r="I13" s="774"/>
      <c r="J13" s="774"/>
      <c r="K13" s="774"/>
      <c r="L13" s="774"/>
      <c r="M13" s="774"/>
      <c r="N13" s="774"/>
      <c r="O13" s="774"/>
      <c r="P13" s="774"/>
      <c r="Q13" s="774"/>
      <c r="R13" s="774"/>
      <c r="S13" s="774"/>
      <c r="T13" s="774"/>
      <c r="U13" s="774"/>
      <c r="V13" s="774"/>
      <c r="W13" s="774"/>
      <c r="X13" s="774"/>
      <c r="Y13" s="774"/>
      <c r="Z13" s="774"/>
      <c r="AA13" s="774"/>
      <c r="AB13" s="774"/>
      <c r="AC13" s="774"/>
      <c r="AD13" s="774"/>
      <c r="AE13" s="774"/>
      <c r="AF13" s="774"/>
      <c r="AG13" s="774"/>
      <c r="AH13" s="774"/>
      <c r="AI13" s="774"/>
      <c r="AJ13" s="774"/>
      <c r="AK13" s="774"/>
      <c r="AL13" s="774"/>
      <c r="AM13" s="774"/>
      <c r="AN13" s="774"/>
      <c r="AO13" s="774"/>
      <c r="AP13" s="774"/>
      <c r="AQ13" s="774"/>
      <c r="AR13" s="774"/>
      <c r="AS13" s="774"/>
      <c r="AT13" s="774"/>
      <c r="AU13" s="774"/>
      <c r="AV13" s="774"/>
      <c r="AW13" s="774"/>
      <c r="AX13" s="774"/>
      <c r="AY13" s="774"/>
      <c r="AZ13" s="774"/>
      <c r="BA13" s="774"/>
      <c r="BB13" s="775"/>
      <c r="BC13" s="779"/>
      <c r="BD13" s="774"/>
      <c r="BE13" s="774"/>
      <c r="BF13" s="774"/>
      <c r="BG13" s="774"/>
      <c r="BH13" s="774"/>
      <c r="BI13" s="774"/>
      <c r="BJ13" s="774"/>
      <c r="BK13" s="774"/>
      <c r="BL13" s="775"/>
      <c r="BM13" s="781"/>
      <c r="BN13" s="782"/>
      <c r="BO13" s="782"/>
      <c r="BP13" s="782"/>
      <c r="BQ13" s="783"/>
      <c r="BR13" s="781"/>
      <c r="BS13" s="782"/>
      <c r="BT13" s="782"/>
      <c r="BU13" s="782"/>
      <c r="BV13" s="784"/>
    </row>
    <row r="14" spans="1:74" ht="13.5" customHeight="1">
      <c r="A14" s="789"/>
      <c r="B14" s="790"/>
      <c r="C14" s="790"/>
      <c r="D14" s="790"/>
      <c r="E14" s="791"/>
      <c r="F14" s="792"/>
      <c r="G14" s="790"/>
      <c r="H14" s="790"/>
      <c r="I14" s="790"/>
      <c r="J14" s="790"/>
      <c r="K14" s="790"/>
      <c r="L14" s="790"/>
      <c r="M14" s="790"/>
      <c r="N14" s="790"/>
      <c r="O14" s="790"/>
      <c r="P14" s="790"/>
      <c r="Q14" s="790"/>
      <c r="R14" s="790"/>
      <c r="S14" s="790"/>
      <c r="T14" s="790"/>
      <c r="U14" s="790"/>
      <c r="V14" s="790"/>
      <c r="W14" s="790"/>
      <c r="X14" s="790"/>
      <c r="Y14" s="790"/>
      <c r="Z14" s="790"/>
      <c r="AA14" s="790"/>
      <c r="AB14" s="790"/>
      <c r="AC14" s="790"/>
      <c r="AD14" s="790"/>
      <c r="AE14" s="790"/>
      <c r="AF14" s="790"/>
      <c r="AG14" s="790"/>
      <c r="AH14" s="790"/>
      <c r="AI14" s="790"/>
      <c r="AJ14" s="790"/>
      <c r="AK14" s="790"/>
      <c r="AL14" s="790"/>
      <c r="AM14" s="790"/>
      <c r="AN14" s="790"/>
      <c r="AO14" s="790"/>
      <c r="AP14" s="790"/>
      <c r="AQ14" s="790"/>
      <c r="AR14" s="790"/>
      <c r="AS14" s="790"/>
      <c r="AT14" s="790"/>
      <c r="AU14" s="790"/>
      <c r="AV14" s="790"/>
      <c r="AW14" s="790"/>
      <c r="AX14" s="790"/>
      <c r="AY14" s="790"/>
      <c r="AZ14" s="790"/>
      <c r="BA14" s="790"/>
      <c r="BB14" s="791"/>
      <c r="BC14" s="792"/>
      <c r="BD14" s="790"/>
      <c r="BE14" s="790"/>
      <c r="BF14" s="790"/>
      <c r="BG14" s="790"/>
      <c r="BH14" s="790"/>
      <c r="BI14" s="790"/>
      <c r="BJ14" s="790"/>
      <c r="BK14" s="790"/>
      <c r="BL14" s="791"/>
      <c r="BM14" s="793"/>
      <c r="BN14" s="794"/>
      <c r="BO14" s="794"/>
      <c r="BP14" s="794"/>
      <c r="BQ14" s="795"/>
      <c r="BR14" s="793"/>
      <c r="BS14" s="794"/>
      <c r="BT14" s="794"/>
      <c r="BU14" s="794"/>
      <c r="BV14" s="796"/>
    </row>
    <row r="15" spans="1:74" ht="13.5" customHeight="1">
      <c r="A15" s="773"/>
      <c r="B15" s="774"/>
      <c r="C15" s="774"/>
      <c r="D15" s="774"/>
      <c r="E15" s="775"/>
      <c r="F15" s="779"/>
      <c r="G15" s="774"/>
      <c r="H15" s="774"/>
      <c r="I15" s="774"/>
      <c r="J15" s="774"/>
      <c r="K15" s="774"/>
      <c r="L15" s="774"/>
      <c r="M15" s="774"/>
      <c r="N15" s="774"/>
      <c r="O15" s="774"/>
      <c r="P15" s="774"/>
      <c r="Q15" s="774"/>
      <c r="R15" s="774"/>
      <c r="S15" s="774"/>
      <c r="T15" s="774"/>
      <c r="U15" s="774"/>
      <c r="V15" s="774"/>
      <c r="W15" s="774"/>
      <c r="X15" s="774"/>
      <c r="Y15" s="774"/>
      <c r="Z15" s="774"/>
      <c r="AA15" s="774"/>
      <c r="AB15" s="774"/>
      <c r="AC15" s="774"/>
      <c r="AD15" s="774"/>
      <c r="AE15" s="774"/>
      <c r="AF15" s="774"/>
      <c r="AG15" s="774"/>
      <c r="AH15" s="774"/>
      <c r="AI15" s="774"/>
      <c r="AJ15" s="774"/>
      <c r="AK15" s="774"/>
      <c r="AL15" s="774"/>
      <c r="AM15" s="774"/>
      <c r="AN15" s="774"/>
      <c r="AO15" s="774"/>
      <c r="AP15" s="774"/>
      <c r="AQ15" s="774"/>
      <c r="AR15" s="774"/>
      <c r="AS15" s="774"/>
      <c r="AT15" s="774"/>
      <c r="AU15" s="774"/>
      <c r="AV15" s="774"/>
      <c r="AW15" s="774"/>
      <c r="AX15" s="774"/>
      <c r="AY15" s="774"/>
      <c r="AZ15" s="774"/>
      <c r="BA15" s="774"/>
      <c r="BB15" s="775"/>
      <c r="BC15" s="779"/>
      <c r="BD15" s="774"/>
      <c r="BE15" s="774"/>
      <c r="BF15" s="774"/>
      <c r="BG15" s="774"/>
      <c r="BH15" s="774"/>
      <c r="BI15" s="774"/>
      <c r="BJ15" s="774"/>
      <c r="BK15" s="774"/>
      <c r="BL15" s="775"/>
      <c r="BM15" s="781"/>
      <c r="BN15" s="782"/>
      <c r="BO15" s="782"/>
      <c r="BP15" s="782"/>
      <c r="BQ15" s="783"/>
      <c r="BR15" s="781"/>
      <c r="BS15" s="782"/>
      <c r="BT15" s="782"/>
      <c r="BU15" s="782"/>
      <c r="BV15" s="784"/>
    </row>
    <row r="16" spans="1:74" ht="13.5" customHeight="1">
      <c r="A16" s="797"/>
      <c r="B16" s="798"/>
      <c r="C16" s="798"/>
      <c r="D16" s="798"/>
      <c r="E16" s="799"/>
      <c r="F16" s="800"/>
      <c r="G16" s="798"/>
      <c r="H16" s="798"/>
      <c r="I16" s="798"/>
      <c r="J16" s="798"/>
      <c r="K16" s="798"/>
      <c r="L16" s="798"/>
      <c r="M16" s="798"/>
      <c r="N16" s="798"/>
      <c r="O16" s="798"/>
      <c r="P16" s="798"/>
      <c r="Q16" s="798"/>
      <c r="R16" s="798"/>
      <c r="S16" s="798"/>
      <c r="T16" s="798"/>
      <c r="U16" s="798"/>
      <c r="V16" s="798"/>
      <c r="W16" s="798"/>
      <c r="X16" s="798"/>
      <c r="Y16" s="798"/>
      <c r="Z16" s="798"/>
      <c r="AA16" s="798"/>
      <c r="AB16" s="798"/>
      <c r="AC16" s="798"/>
      <c r="AD16" s="798"/>
      <c r="AE16" s="798"/>
      <c r="AF16" s="798"/>
      <c r="AG16" s="798"/>
      <c r="AH16" s="798"/>
      <c r="AI16" s="798"/>
      <c r="AJ16" s="798"/>
      <c r="AK16" s="798"/>
      <c r="AL16" s="798"/>
      <c r="AM16" s="798"/>
      <c r="AN16" s="798"/>
      <c r="AO16" s="798"/>
      <c r="AP16" s="798"/>
      <c r="AQ16" s="798"/>
      <c r="AR16" s="798"/>
      <c r="AS16" s="798"/>
      <c r="AT16" s="798"/>
      <c r="AU16" s="798"/>
      <c r="AV16" s="798"/>
      <c r="AW16" s="798"/>
      <c r="AX16" s="798"/>
      <c r="AY16" s="798"/>
      <c r="AZ16" s="798"/>
      <c r="BA16" s="798"/>
      <c r="BB16" s="799"/>
      <c r="BC16" s="800"/>
      <c r="BD16" s="798"/>
      <c r="BE16" s="798"/>
      <c r="BF16" s="798"/>
      <c r="BG16" s="798"/>
      <c r="BH16" s="798"/>
      <c r="BI16" s="798"/>
      <c r="BJ16" s="798"/>
      <c r="BK16" s="798"/>
      <c r="BL16" s="799"/>
      <c r="BM16" s="801"/>
      <c r="BN16" s="802"/>
      <c r="BO16" s="802"/>
      <c r="BP16" s="802"/>
      <c r="BQ16" s="803"/>
      <c r="BR16" s="801"/>
      <c r="BS16" s="802"/>
      <c r="BT16" s="802"/>
      <c r="BU16" s="802"/>
      <c r="BV16" s="804"/>
    </row>
    <row r="17" spans="1:74" ht="13.5" customHeight="1">
      <c r="A17" s="773"/>
      <c r="B17" s="774"/>
      <c r="C17" s="774"/>
      <c r="D17" s="774"/>
      <c r="E17" s="775"/>
      <c r="F17" s="779"/>
      <c r="G17" s="774"/>
      <c r="H17" s="774"/>
      <c r="I17" s="774"/>
      <c r="J17" s="774"/>
      <c r="K17" s="774"/>
      <c r="L17" s="774"/>
      <c r="M17" s="774"/>
      <c r="N17" s="774"/>
      <c r="O17" s="774"/>
      <c r="P17" s="774"/>
      <c r="Q17" s="774"/>
      <c r="R17" s="774"/>
      <c r="S17" s="774"/>
      <c r="T17" s="774"/>
      <c r="U17" s="774"/>
      <c r="V17" s="774"/>
      <c r="W17" s="774"/>
      <c r="X17" s="774"/>
      <c r="Y17" s="774"/>
      <c r="Z17" s="774"/>
      <c r="AA17" s="774"/>
      <c r="AB17" s="774"/>
      <c r="AC17" s="774"/>
      <c r="AD17" s="774"/>
      <c r="AE17" s="774"/>
      <c r="AF17" s="774"/>
      <c r="AG17" s="774"/>
      <c r="AH17" s="774"/>
      <c r="AI17" s="774"/>
      <c r="AJ17" s="774"/>
      <c r="AK17" s="774"/>
      <c r="AL17" s="774"/>
      <c r="AM17" s="774"/>
      <c r="AN17" s="774"/>
      <c r="AO17" s="774"/>
      <c r="AP17" s="774"/>
      <c r="AQ17" s="774"/>
      <c r="AR17" s="774"/>
      <c r="AS17" s="774"/>
      <c r="AT17" s="774"/>
      <c r="AU17" s="774"/>
      <c r="AV17" s="774"/>
      <c r="AW17" s="774"/>
      <c r="AX17" s="774"/>
      <c r="AY17" s="774"/>
      <c r="AZ17" s="774"/>
      <c r="BA17" s="774"/>
      <c r="BB17" s="775"/>
      <c r="BC17" s="779"/>
      <c r="BD17" s="774"/>
      <c r="BE17" s="774"/>
      <c r="BF17" s="774"/>
      <c r="BG17" s="774"/>
      <c r="BH17" s="774"/>
      <c r="BI17" s="774"/>
      <c r="BJ17" s="774"/>
      <c r="BK17" s="774"/>
      <c r="BL17" s="775"/>
      <c r="BM17" s="781"/>
      <c r="BN17" s="782"/>
      <c r="BO17" s="782"/>
      <c r="BP17" s="782"/>
      <c r="BQ17" s="783"/>
      <c r="BR17" s="781"/>
      <c r="BS17" s="782"/>
      <c r="BT17" s="782"/>
      <c r="BU17" s="782"/>
      <c r="BV17" s="784"/>
    </row>
    <row r="18" spans="1:74" ht="13.5" customHeight="1">
      <c r="A18" s="789"/>
      <c r="B18" s="790"/>
      <c r="C18" s="790"/>
      <c r="D18" s="790"/>
      <c r="E18" s="791"/>
      <c r="F18" s="792"/>
      <c r="G18" s="790"/>
      <c r="H18" s="790"/>
      <c r="I18" s="790"/>
      <c r="J18" s="790"/>
      <c r="K18" s="790"/>
      <c r="L18" s="790"/>
      <c r="M18" s="790"/>
      <c r="N18" s="790"/>
      <c r="O18" s="790"/>
      <c r="P18" s="790"/>
      <c r="Q18" s="790"/>
      <c r="R18" s="790"/>
      <c r="S18" s="790"/>
      <c r="T18" s="790"/>
      <c r="U18" s="790"/>
      <c r="V18" s="790"/>
      <c r="W18" s="790"/>
      <c r="X18" s="790"/>
      <c r="Y18" s="790"/>
      <c r="Z18" s="790"/>
      <c r="AA18" s="790"/>
      <c r="AB18" s="790"/>
      <c r="AC18" s="790"/>
      <c r="AD18" s="790"/>
      <c r="AE18" s="790"/>
      <c r="AF18" s="790"/>
      <c r="AG18" s="790"/>
      <c r="AH18" s="790"/>
      <c r="AI18" s="790"/>
      <c r="AJ18" s="790"/>
      <c r="AK18" s="790"/>
      <c r="AL18" s="790"/>
      <c r="AM18" s="790"/>
      <c r="AN18" s="790"/>
      <c r="AO18" s="790"/>
      <c r="AP18" s="790"/>
      <c r="AQ18" s="790"/>
      <c r="AR18" s="790"/>
      <c r="AS18" s="790"/>
      <c r="AT18" s="790"/>
      <c r="AU18" s="790"/>
      <c r="AV18" s="790"/>
      <c r="AW18" s="790"/>
      <c r="AX18" s="790"/>
      <c r="AY18" s="790"/>
      <c r="AZ18" s="790"/>
      <c r="BA18" s="790"/>
      <c r="BB18" s="791"/>
      <c r="BC18" s="792"/>
      <c r="BD18" s="790"/>
      <c r="BE18" s="790"/>
      <c r="BF18" s="790"/>
      <c r="BG18" s="790"/>
      <c r="BH18" s="790"/>
      <c r="BI18" s="790"/>
      <c r="BJ18" s="790"/>
      <c r="BK18" s="790"/>
      <c r="BL18" s="791"/>
      <c r="BM18" s="793"/>
      <c r="BN18" s="794"/>
      <c r="BO18" s="794"/>
      <c r="BP18" s="794"/>
      <c r="BQ18" s="795"/>
      <c r="BR18" s="793"/>
      <c r="BS18" s="794"/>
      <c r="BT18" s="794"/>
      <c r="BU18" s="794"/>
      <c r="BV18" s="796"/>
    </row>
    <row r="19" spans="1:74" ht="13.5" customHeight="1">
      <c r="A19" s="773"/>
      <c r="B19" s="774"/>
      <c r="C19" s="774"/>
      <c r="D19" s="774"/>
      <c r="E19" s="775"/>
      <c r="F19" s="779"/>
      <c r="G19" s="774"/>
      <c r="H19" s="774"/>
      <c r="I19" s="774"/>
      <c r="J19" s="774"/>
      <c r="K19" s="774"/>
      <c r="L19" s="774"/>
      <c r="M19" s="774"/>
      <c r="N19" s="774"/>
      <c r="O19" s="774"/>
      <c r="P19" s="774"/>
      <c r="Q19" s="774"/>
      <c r="R19" s="774"/>
      <c r="S19" s="774"/>
      <c r="T19" s="774"/>
      <c r="U19" s="774"/>
      <c r="V19" s="774"/>
      <c r="W19" s="774"/>
      <c r="X19" s="774"/>
      <c r="Y19" s="774"/>
      <c r="Z19" s="774"/>
      <c r="AA19" s="774"/>
      <c r="AB19" s="774"/>
      <c r="AC19" s="774"/>
      <c r="AD19" s="774"/>
      <c r="AE19" s="774"/>
      <c r="AF19" s="774"/>
      <c r="AG19" s="774"/>
      <c r="AH19" s="774"/>
      <c r="AI19" s="774"/>
      <c r="AJ19" s="774"/>
      <c r="AK19" s="774"/>
      <c r="AL19" s="774"/>
      <c r="AM19" s="774"/>
      <c r="AN19" s="774"/>
      <c r="AO19" s="774"/>
      <c r="AP19" s="774"/>
      <c r="AQ19" s="774"/>
      <c r="AR19" s="774"/>
      <c r="AS19" s="774"/>
      <c r="AT19" s="774"/>
      <c r="AU19" s="774"/>
      <c r="AV19" s="774"/>
      <c r="AW19" s="774"/>
      <c r="AX19" s="774"/>
      <c r="AY19" s="774"/>
      <c r="AZ19" s="774"/>
      <c r="BA19" s="774"/>
      <c r="BB19" s="775"/>
      <c r="BC19" s="779"/>
      <c r="BD19" s="774"/>
      <c r="BE19" s="774"/>
      <c r="BF19" s="774"/>
      <c r="BG19" s="774"/>
      <c r="BH19" s="774"/>
      <c r="BI19" s="774"/>
      <c r="BJ19" s="774"/>
      <c r="BK19" s="774"/>
      <c r="BL19" s="775"/>
      <c r="BM19" s="781"/>
      <c r="BN19" s="782"/>
      <c r="BO19" s="782"/>
      <c r="BP19" s="782"/>
      <c r="BQ19" s="783"/>
      <c r="BR19" s="781"/>
      <c r="BS19" s="782"/>
      <c r="BT19" s="782"/>
      <c r="BU19" s="782"/>
      <c r="BV19" s="784"/>
    </row>
    <row r="20" spans="1:74" ht="13.5" customHeight="1">
      <c r="A20" s="797"/>
      <c r="B20" s="798"/>
      <c r="C20" s="798"/>
      <c r="D20" s="798"/>
      <c r="E20" s="799"/>
      <c r="F20" s="800"/>
      <c r="G20" s="798"/>
      <c r="H20" s="798"/>
      <c r="I20" s="798"/>
      <c r="J20" s="798"/>
      <c r="K20" s="798"/>
      <c r="L20" s="798"/>
      <c r="M20" s="798"/>
      <c r="N20" s="798"/>
      <c r="O20" s="798"/>
      <c r="P20" s="798"/>
      <c r="Q20" s="798"/>
      <c r="R20" s="798"/>
      <c r="S20" s="798"/>
      <c r="T20" s="798"/>
      <c r="U20" s="798"/>
      <c r="V20" s="798"/>
      <c r="W20" s="798"/>
      <c r="X20" s="798"/>
      <c r="Y20" s="798"/>
      <c r="Z20" s="798"/>
      <c r="AA20" s="798"/>
      <c r="AB20" s="798"/>
      <c r="AC20" s="798"/>
      <c r="AD20" s="798"/>
      <c r="AE20" s="798"/>
      <c r="AF20" s="798"/>
      <c r="AG20" s="798"/>
      <c r="AH20" s="798"/>
      <c r="AI20" s="798"/>
      <c r="AJ20" s="798"/>
      <c r="AK20" s="798"/>
      <c r="AL20" s="798"/>
      <c r="AM20" s="798"/>
      <c r="AN20" s="798"/>
      <c r="AO20" s="798"/>
      <c r="AP20" s="798"/>
      <c r="AQ20" s="798"/>
      <c r="AR20" s="798"/>
      <c r="AS20" s="798"/>
      <c r="AT20" s="798"/>
      <c r="AU20" s="798"/>
      <c r="AV20" s="798"/>
      <c r="AW20" s="798"/>
      <c r="AX20" s="798"/>
      <c r="AY20" s="798"/>
      <c r="AZ20" s="798"/>
      <c r="BA20" s="798"/>
      <c r="BB20" s="799"/>
      <c r="BC20" s="800"/>
      <c r="BD20" s="798"/>
      <c r="BE20" s="798"/>
      <c r="BF20" s="798"/>
      <c r="BG20" s="798"/>
      <c r="BH20" s="798"/>
      <c r="BI20" s="798"/>
      <c r="BJ20" s="798"/>
      <c r="BK20" s="798"/>
      <c r="BL20" s="799"/>
      <c r="BM20" s="801"/>
      <c r="BN20" s="802"/>
      <c r="BO20" s="802"/>
      <c r="BP20" s="802"/>
      <c r="BQ20" s="803"/>
      <c r="BR20" s="801"/>
      <c r="BS20" s="802"/>
      <c r="BT20" s="802"/>
      <c r="BU20" s="802"/>
      <c r="BV20" s="804"/>
    </row>
    <row r="21" spans="1:74" ht="13.5" customHeight="1">
      <c r="A21" s="773"/>
      <c r="B21" s="774"/>
      <c r="C21" s="774"/>
      <c r="D21" s="774"/>
      <c r="E21" s="775"/>
      <c r="F21" s="779"/>
      <c r="G21" s="774"/>
      <c r="H21" s="774"/>
      <c r="I21" s="774"/>
      <c r="J21" s="774"/>
      <c r="K21" s="774"/>
      <c r="L21" s="774"/>
      <c r="M21" s="774"/>
      <c r="N21" s="774"/>
      <c r="O21" s="774"/>
      <c r="P21" s="774"/>
      <c r="Q21" s="774"/>
      <c r="R21" s="774"/>
      <c r="S21" s="774"/>
      <c r="T21" s="774"/>
      <c r="U21" s="774"/>
      <c r="V21" s="774"/>
      <c r="W21" s="774"/>
      <c r="X21" s="774"/>
      <c r="Y21" s="774"/>
      <c r="Z21" s="774"/>
      <c r="AA21" s="774"/>
      <c r="AB21" s="774"/>
      <c r="AC21" s="774"/>
      <c r="AD21" s="774"/>
      <c r="AE21" s="774"/>
      <c r="AF21" s="774"/>
      <c r="AG21" s="774"/>
      <c r="AH21" s="774"/>
      <c r="AI21" s="774"/>
      <c r="AJ21" s="774"/>
      <c r="AK21" s="774"/>
      <c r="AL21" s="774"/>
      <c r="AM21" s="774"/>
      <c r="AN21" s="774"/>
      <c r="AO21" s="774"/>
      <c r="AP21" s="774"/>
      <c r="AQ21" s="774"/>
      <c r="AR21" s="774"/>
      <c r="AS21" s="774"/>
      <c r="AT21" s="774"/>
      <c r="AU21" s="774"/>
      <c r="AV21" s="774"/>
      <c r="AW21" s="774"/>
      <c r="AX21" s="774"/>
      <c r="AY21" s="774"/>
      <c r="AZ21" s="774"/>
      <c r="BA21" s="774"/>
      <c r="BB21" s="775"/>
      <c r="BC21" s="779"/>
      <c r="BD21" s="774"/>
      <c r="BE21" s="774"/>
      <c r="BF21" s="774"/>
      <c r="BG21" s="774"/>
      <c r="BH21" s="774"/>
      <c r="BI21" s="774"/>
      <c r="BJ21" s="774"/>
      <c r="BK21" s="774"/>
      <c r="BL21" s="775"/>
      <c r="BM21" s="781"/>
      <c r="BN21" s="782"/>
      <c r="BO21" s="782"/>
      <c r="BP21" s="782"/>
      <c r="BQ21" s="783"/>
      <c r="BR21" s="781"/>
      <c r="BS21" s="782"/>
      <c r="BT21" s="782"/>
      <c r="BU21" s="782"/>
      <c r="BV21" s="784"/>
    </row>
    <row r="22" spans="1:74" ht="13.5" customHeight="1">
      <c r="A22" s="789"/>
      <c r="B22" s="790"/>
      <c r="C22" s="790"/>
      <c r="D22" s="790"/>
      <c r="E22" s="791"/>
      <c r="F22" s="792"/>
      <c r="G22" s="790"/>
      <c r="H22" s="790"/>
      <c r="I22" s="790"/>
      <c r="J22" s="790"/>
      <c r="K22" s="790"/>
      <c r="L22" s="790"/>
      <c r="M22" s="790"/>
      <c r="N22" s="790"/>
      <c r="O22" s="790"/>
      <c r="P22" s="790"/>
      <c r="Q22" s="790"/>
      <c r="R22" s="790"/>
      <c r="S22" s="790"/>
      <c r="T22" s="790"/>
      <c r="U22" s="790"/>
      <c r="V22" s="790"/>
      <c r="W22" s="790"/>
      <c r="X22" s="790"/>
      <c r="Y22" s="790"/>
      <c r="Z22" s="790"/>
      <c r="AA22" s="790"/>
      <c r="AB22" s="790"/>
      <c r="AC22" s="790"/>
      <c r="AD22" s="790"/>
      <c r="AE22" s="790"/>
      <c r="AF22" s="790"/>
      <c r="AG22" s="790"/>
      <c r="AH22" s="790"/>
      <c r="AI22" s="790"/>
      <c r="AJ22" s="790"/>
      <c r="AK22" s="790"/>
      <c r="AL22" s="790"/>
      <c r="AM22" s="790"/>
      <c r="AN22" s="790"/>
      <c r="AO22" s="790"/>
      <c r="AP22" s="790"/>
      <c r="AQ22" s="790"/>
      <c r="AR22" s="790"/>
      <c r="AS22" s="790"/>
      <c r="AT22" s="790"/>
      <c r="AU22" s="790"/>
      <c r="AV22" s="790"/>
      <c r="AW22" s="790"/>
      <c r="AX22" s="790"/>
      <c r="AY22" s="790"/>
      <c r="AZ22" s="790"/>
      <c r="BA22" s="790"/>
      <c r="BB22" s="791"/>
      <c r="BC22" s="792"/>
      <c r="BD22" s="790"/>
      <c r="BE22" s="790"/>
      <c r="BF22" s="790"/>
      <c r="BG22" s="790"/>
      <c r="BH22" s="790"/>
      <c r="BI22" s="790"/>
      <c r="BJ22" s="790"/>
      <c r="BK22" s="790"/>
      <c r="BL22" s="791"/>
      <c r="BM22" s="793"/>
      <c r="BN22" s="794"/>
      <c r="BO22" s="794"/>
      <c r="BP22" s="794"/>
      <c r="BQ22" s="795"/>
      <c r="BR22" s="793"/>
      <c r="BS22" s="794"/>
      <c r="BT22" s="794"/>
      <c r="BU22" s="794"/>
      <c r="BV22" s="796"/>
    </row>
    <row r="23" spans="1:74" ht="13.5" customHeight="1">
      <c r="A23" s="773"/>
      <c r="B23" s="774"/>
      <c r="C23" s="774"/>
      <c r="D23" s="774"/>
      <c r="E23" s="775"/>
      <c r="F23" s="779"/>
      <c r="G23" s="774"/>
      <c r="H23" s="774"/>
      <c r="I23" s="774"/>
      <c r="J23" s="774"/>
      <c r="K23" s="774"/>
      <c r="L23" s="774"/>
      <c r="M23" s="774"/>
      <c r="N23" s="774"/>
      <c r="O23" s="774"/>
      <c r="P23" s="774"/>
      <c r="Q23" s="774"/>
      <c r="R23" s="774"/>
      <c r="S23" s="774"/>
      <c r="T23" s="774"/>
      <c r="U23" s="774"/>
      <c r="V23" s="774"/>
      <c r="W23" s="774"/>
      <c r="X23" s="774"/>
      <c r="Y23" s="774"/>
      <c r="Z23" s="774"/>
      <c r="AA23" s="774"/>
      <c r="AB23" s="774"/>
      <c r="AC23" s="774"/>
      <c r="AD23" s="774"/>
      <c r="AE23" s="774"/>
      <c r="AF23" s="774"/>
      <c r="AG23" s="774"/>
      <c r="AH23" s="774"/>
      <c r="AI23" s="774"/>
      <c r="AJ23" s="774"/>
      <c r="AK23" s="774"/>
      <c r="AL23" s="774"/>
      <c r="AM23" s="774"/>
      <c r="AN23" s="774"/>
      <c r="AO23" s="774"/>
      <c r="AP23" s="774"/>
      <c r="AQ23" s="774"/>
      <c r="AR23" s="774"/>
      <c r="AS23" s="774"/>
      <c r="AT23" s="774"/>
      <c r="AU23" s="774"/>
      <c r="AV23" s="774"/>
      <c r="AW23" s="774"/>
      <c r="AX23" s="774"/>
      <c r="AY23" s="774"/>
      <c r="AZ23" s="774"/>
      <c r="BA23" s="774"/>
      <c r="BB23" s="775"/>
      <c r="BC23" s="779"/>
      <c r="BD23" s="774"/>
      <c r="BE23" s="774"/>
      <c r="BF23" s="774"/>
      <c r="BG23" s="774"/>
      <c r="BH23" s="774"/>
      <c r="BI23" s="774"/>
      <c r="BJ23" s="774"/>
      <c r="BK23" s="774"/>
      <c r="BL23" s="775"/>
      <c r="BM23" s="781"/>
      <c r="BN23" s="782"/>
      <c r="BO23" s="782"/>
      <c r="BP23" s="782"/>
      <c r="BQ23" s="783"/>
      <c r="BR23" s="781"/>
      <c r="BS23" s="782"/>
      <c r="BT23" s="782"/>
      <c r="BU23" s="782"/>
      <c r="BV23" s="784"/>
    </row>
    <row r="24" spans="1:74" ht="13.5" customHeight="1">
      <c r="A24" s="797"/>
      <c r="B24" s="798"/>
      <c r="C24" s="798"/>
      <c r="D24" s="798"/>
      <c r="E24" s="799"/>
      <c r="F24" s="800"/>
      <c r="G24" s="798"/>
      <c r="H24" s="798"/>
      <c r="I24" s="798"/>
      <c r="J24" s="798"/>
      <c r="K24" s="798"/>
      <c r="L24" s="798"/>
      <c r="M24" s="798"/>
      <c r="N24" s="798"/>
      <c r="O24" s="798"/>
      <c r="P24" s="798"/>
      <c r="Q24" s="798"/>
      <c r="R24" s="798"/>
      <c r="S24" s="798"/>
      <c r="T24" s="798"/>
      <c r="U24" s="798"/>
      <c r="V24" s="798"/>
      <c r="W24" s="798"/>
      <c r="X24" s="798"/>
      <c r="Y24" s="798"/>
      <c r="Z24" s="798"/>
      <c r="AA24" s="798"/>
      <c r="AB24" s="798"/>
      <c r="AC24" s="798"/>
      <c r="AD24" s="798"/>
      <c r="AE24" s="798"/>
      <c r="AF24" s="798"/>
      <c r="AG24" s="798"/>
      <c r="AH24" s="798"/>
      <c r="AI24" s="798"/>
      <c r="AJ24" s="798"/>
      <c r="AK24" s="798"/>
      <c r="AL24" s="798"/>
      <c r="AM24" s="798"/>
      <c r="AN24" s="798"/>
      <c r="AO24" s="798"/>
      <c r="AP24" s="798"/>
      <c r="AQ24" s="798"/>
      <c r="AR24" s="798"/>
      <c r="AS24" s="798"/>
      <c r="AT24" s="798"/>
      <c r="AU24" s="798"/>
      <c r="AV24" s="798"/>
      <c r="AW24" s="798"/>
      <c r="AX24" s="798"/>
      <c r="AY24" s="798"/>
      <c r="AZ24" s="798"/>
      <c r="BA24" s="798"/>
      <c r="BB24" s="799"/>
      <c r="BC24" s="800"/>
      <c r="BD24" s="798"/>
      <c r="BE24" s="798"/>
      <c r="BF24" s="798"/>
      <c r="BG24" s="798"/>
      <c r="BH24" s="798"/>
      <c r="BI24" s="798"/>
      <c r="BJ24" s="798"/>
      <c r="BK24" s="798"/>
      <c r="BL24" s="799"/>
      <c r="BM24" s="801"/>
      <c r="BN24" s="802"/>
      <c r="BO24" s="802"/>
      <c r="BP24" s="802"/>
      <c r="BQ24" s="803"/>
      <c r="BR24" s="801"/>
      <c r="BS24" s="802"/>
      <c r="BT24" s="802"/>
      <c r="BU24" s="802"/>
      <c r="BV24" s="804"/>
    </row>
    <row r="25" spans="1:74" ht="13.5" customHeight="1">
      <c r="A25" s="773"/>
      <c r="B25" s="774"/>
      <c r="C25" s="774"/>
      <c r="D25" s="774"/>
      <c r="E25" s="775"/>
      <c r="F25" s="779"/>
      <c r="G25" s="774"/>
      <c r="H25" s="774"/>
      <c r="I25" s="774"/>
      <c r="J25" s="774"/>
      <c r="K25" s="774"/>
      <c r="L25" s="774"/>
      <c r="M25" s="774"/>
      <c r="N25" s="774"/>
      <c r="O25" s="774"/>
      <c r="P25" s="774"/>
      <c r="Q25" s="774"/>
      <c r="R25" s="774"/>
      <c r="S25" s="774"/>
      <c r="T25" s="774"/>
      <c r="U25" s="774"/>
      <c r="V25" s="774"/>
      <c r="W25" s="774"/>
      <c r="X25" s="774"/>
      <c r="Y25" s="774"/>
      <c r="Z25" s="774"/>
      <c r="AA25" s="774"/>
      <c r="AB25" s="774"/>
      <c r="AC25" s="774"/>
      <c r="AD25" s="774"/>
      <c r="AE25" s="774"/>
      <c r="AF25" s="774"/>
      <c r="AG25" s="774"/>
      <c r="AH25" s="774"/>
      <c r="AI25" s="774"/>
      <c r="AJ25" s="774"/>
      <c r="AK25" s="774"/>
      <c r="AL25" s="774"/>
      <c r="AM25" s="774"/>
      <c r="AN25" s="774"/>
      <c r="AO25" s="774"/>
      <c r="AP25" s="774"/>
      <c r="AQ25" s="774"/>
      <c r="AR25" s="774"/>
      <c r="AS25" s="774"/>
      <c r="AT25" s="774"/>
      <c r="AU25" s="774"/>
      <c r="AV25" s="774"/>
      <c r="AW25" s="774"/>
      <c r="AX25" s="774"/>
      <c r="AY25" s="774"/>
      <c r="AZ25" s="774"/>
      <c r="BA25" s="774"/>
      <c r="BB25" s="775"/>
      <c r="BC25" s="779"/>
      <c r="BD25" s="774"/>
      <c r="BE25" s="774"/>
      <c r="BF25" s="774"/>
      <c r="BG25" s="774"/>
      <c r="BH25" s="774"/>
      <c r="BI25" s="774"/>
      <c r="BJ25" s="774"/>
      <c r="BK25" s="774"/>
      <c r="BL25" s="775"/>
      <c r="BM25" s="781"/>
      <c r="BN25" s="782"/>
      <c r="BO25" s="782"/>
      <c r="BP25" s="782"/>
      <c r="BQ25" s="783"/>
      <c r="BR25" s="781"/>
      <c r="BS25" s="782"/>
      <c r="BT25" s="782"/>
      <c r="BU25" s="782"/>
      <c r="BV25" s="784"/>
    </row>
    <row r="26" spans="1:74" ht="13.5" customHeight="1">
      <c r="A26" s="789"/>
      <c r="B26" s="790"/>
      <c r="C26" s="790"/>
      <c r="D26" s="790"/>
      <c r="E26" s="791"/>
      <c r="F26" s="792"/>
      <c r="G26" s="790"/>
      <c r="H26" s="790"/>
      <c r="I26" s="790"/>
      <c r="J26" s="790"/>
      <c r="K26" s="790"/>
      <c r="L26" s="790"/>
      <c r="M26" s="790"/>
      <c r="N26" s="790"/>
      <c r="O26" s="790"/>
      <c r="P26" s="790"/>
      <c r="Q26" s="790"/>
      <c r="R26" s="790"/>
      <c r="S26" s="790"/>
      <c r="T26" s="790"/>
      <c r="U26" s="790"/>
      <c r="V26" s="790"/>
      <c r="W26" s="790"/>
      <c r="X26" s="790"/>
      <c r="Y26" s="790"/>
      <c r="Z26" s="790"/>
      <c r="AA26" s="790"/>
      <c r="AB26" s="790"/>
      <c r="AC26" s="790"/>
      <c r="AD26" s="790"/>
      <c r="AE26" s="790"/>
      <c r="AF26" s="790"/>
      <c r="AG26" s="790"/>
      <c r="AH26" s="790"/>
      <c r="AI26" s="790"/>
      <c r="AJ26" s="790"/>
      <c r="AK26" s="790"/>
      <c r="AL26" s="790"/>
      <c r="AM26" s="790"/>
      <c r="AN26" s="790"/>
      <c r="AO26" s="790"/>
      <c r="AP26" s="790"/>
      <c r="AQ26" s="790"/>
      <c r="AR26" s="790"/>
      <c r="AS26" s="790"/>
      <c r="AT26" s="790"/>
      <c r="AU26" s="790"/>
      <c r="AV26" s="790"/>
      <c r="AW26" s="790"/>
      <c r="AX26" s="790"/>
      <c r="AY26" s="790"/>
      <c r="AZ26" s="790"/>
      <c r="BA26" s="790"/>
      <c r="BB26" s="791"/>
      <c r="BC26" s="792"/>
      <c r="BD26" s="790"/>
      <c r="BE26" s="790"/>
      <c r="BF26" s="790"/>
      <c r="BG26" s="790"/>
      <c r="BH26" s="790"/>
      <c r="BI26" s="790"/>
      <c r="BJ26" s="790"/>
      <c r="BK26" s="790"/>
      <c r="BL26" s="791"/>
      <c r="BM26" s="793"/>
      <c r="BN26" s="794"/>
      <c r="BO26" s="794"/>
      <c r="BP26" s="794"/>
      <c r="BQ26" s="795"/>
      <c r="BR26" s="793"/>
      <c r="BS26" s="794"/>
      <c r="BT26" s="794"/>
      <c r="BU26" s="794"/>
      <c r="BV26" s="796"/>
    </row>
    <row r="27" spans="1:74" ht="13.5" customHeight="1">
      <c r="A27" s="773"/>
      <c r="B27" s="774"/>
      <c r="C27" s="774"/>
      <c r="D27" s="774"/>
      <c r="E27" s="775"/>
      <c r="F27" s="779"/>
      <c r="G27" s="774"/>
      <c r="H27" s="774"/>
      <c r="I27" s="774"/>
      <c r="J27" s="774"/>
      <c r="K27" s="774"/>
      <c r="L27" s="774"/>
      <c r="M27" s="774"/>
      <c r="N27" s="774"/>
      <c r="O27" s="774"/>
      <c r="P27" s="774"/>
      <c r="Q27" s="774"/>
      <c r="R27" s="774"/>
      <c r="S27" s="774"/>
      <c r="T27" s="774"/>
      <c r="U27" s="774"/>
      <c r="V27" s="774"/>
      <c r="W27" s="774"/>
      <c r="X27" s="774"/>
      <c r="Y27" s="774"/>
      <c r="Z27" s="774"/>
      <c r="AA27" s="774"/>
      <c r="AB27" s="774"/>
      <c r="AC27" s="774"/>
      <c r="AD27" s="774"/>
      <c r="AE27" s="774"/>
      <c r="AF27" s="774"/>
      <c r="AG27" s="774"/>
      <c r="AH27" s="774"/>
      <c r="AI27" s="774"/>
      <c r="AJ27" s="774"/>
      <c r="AK27" s="774"/>
      <c r="AL27" s="774"/>
      <c r="AM27" s="774"/>
      <c r="AN27" s="774"/>
      <c r="AO27" s="774"/>
      <c r="AP27" s="774"/>
      <c r="AQ27" s="774"/>
      <c r="AR27" s="774"/>
      <c r="AS27" s="774"/>
      <c r="AT27" s="774"/>
      <c r="AU27" s="774"/>
      <c r="AV27" s="774"/>
      <c r="AW27" s="774"/>
      <c r="AX27" s="774"/>
      <c r="AY27" s="774"/>
      <c r="AZ27" s="774"/>
      <c r="BA27" s="774"/>
      <c r="BB27" s="775"/>
      <c r="BC27" s="779"/>
      <c r="BD27" s="774"/>
      <c r="BE27" s="774"/>
      <c r="BF27" s="774"/>
      <c r="BG27" s="774"/>
      <c r="BH27" s="774"/>
      <c r="BI27" s="774"/>
      <c r="BJ27" s="774"/>
      <c r="BK27" s="774"/>
      <c r="BL27" s="775"/>
      <c r="BM27" s="781"/>
      <c r="BN27" s="782"/>
      <c r="BO27" s="782"/>
      <c r="BP27" s="782"/>
      <c r="BQ27" s="783"/>
      <c r="BR27" s="781"/>
      <c r="BS27" s="782"/>
      <c r="BT27" s="782"/>
      <c r="BU27" s="782"/>
      <c r="BV27" s="784"/>
    </row>
    <row r="28" spans="1:74" ht="13.5" customHeight="1">
      <c r="A28" s="797"/>
      <c r="B28" s="798"/>
      <c r="C28" s="798"/>
      <c r="D28" s="798"/>
      <c r="E28" s="799"/>
      <c r="F28" s="800"/>
      <c r="G28" s="798"/>
      <c r="H28" s="798"/>
      <c r="I28" s="798"/>
      <c r="J28" s="798"/>
      <c r="K28" s="798"/>
      <c r="L28" s="798"/>
      <c r="M28" s="798"/>
      <c r="N28" s="798"/>
      <c r="O28" s="798"/>
      <c r="P28" s="798"/>
      <c r="Q28" s="798"/>
      <c r="R28" s="798"/>
      <c r="S28" s="798"/>
      <c r="T28" s="798"/>
      <c r="U28" s="798"/>
      <c r="V28" s="798"/>
      <c r="W28" s="798"/>
      <c r="X28" s="798"/>
      <c r="Y28" s="798"/>
      <c r="Z28" s="798"/>
      <c r="AA28" s="798"/>
      <c r="AB28" s="798"/>
      <c r="AC28" s="798"/>
      <c r="AD28" s="798"/>
      <c r="AE28" s="798"/>
      <c r="AF28" s="798"/>
      <c r="AG28" s="798"/>
      <c r="AH28" s="798"/>
      <c r="AI28" s="798"/>
      <c r="AJ28" s="798"/>
      <c r="AK28" s="798"/>
      <c r="AL28" s="798"/>
      <c r="AM28" s="798"/>
      <c r="AN28" s="798"/>
      <c r="AO28" s="798"/>
      <c r="AP28" s="798"/>
      <c r="AQ28" s="798"/>
      <c r="AR28" s="798"/>
      <c r="AS28" s="798"/>
      <c r="AT28" s="798"/>
      <c r="AU28" s="798"/>
      <c r="AV28" s="798"/>
      <c r="AW28" s="798"/>
      <c r="AX28" s="798"/>
      <c r="AY28" s="798"/>
      <c r="AZ28" s="798"/>
      <c r="BA28" s="798"/>
      <c r="BB28" s="799"/>
      <c r="BC28" s="800"/>
      <c r="BD28" s="798"/>
      <c r="BE28" s="798"/>
      <c r="BF28" s="798"/>
      <c r="BG28" s="798"/>
      <c r="BH28" s="798"/>
      <c r="BI28" s="798"/>
      <c r="BJ28" s="798"/>
      <c r="BK28" s="798"/>
      <c r="BL28" s="799"/>
      <c r="BM28" s="801"/>
      <c r="BN28" s="802"/>
      <c r="BO28" s="802"/>
      <c r="BP28" s="802"/>
      <c r="BQ28" s="803"/>
      <c r="BR28" s="801"/>
      <c r="BS28" s="802"/>
      <c r="BT28" s="802"/>
      <c r="BU28" s="802"/>
      <c r="BV28" s="804"/>
    </row>
    <row r="29" spans="1:74" ht="13.5" customHeight="1">
      <c r="A29" s="773"/>
      <c r="B29" s="774"/>
      <c r="C29" s="774"/>
      <c r="D29" s="774"/>
      <c r="E29" s="775"/>
      <c r="F29" s="779"/>
      <c r="G29" s="774"/>
      <c r="H29" s="774"/>
      <c r="I29" s="774"/>
      <c r="J29" s="774"/>
      <c r="K29" s="774"/>
      <c r="L29" s="774"/>
      <c r="M29" s="774"/>
      <c r="N29" s="774"/>
      <c r="O29" s="774"/>
      <c r="P29" s="774"/>
      <c r="Q29" s="774"/>
      <c r="R29" s="774"/>
      <c r="S29" s="774"/>
      <c r="T29" s="774"/>
      <c r="U29" s="774"/>
      <c r="V29" s="774"/>
      <c r="W29" s="774"/>
      <c r="X29" s="774"/>
      <c r="Y29" s="774"/>
      <c r="Z29" s="774"/>
      <c r="AA29" s="774"/>
      <c r="AB29" s="774"/>
      <c r="AC29" s="774"/>
      <c r="AD29" s="774"/>
      <c r="AE29" s="774"/>
      <c r="AF29" s="774"/>
      <c r="AG29" s="774"/>
      <c r="AH29" s="774"/>
      <c r="AI29" s="774"/>
      <c r="AJ29" s="774"/>
      <c r="AK29" s="774"/>
      <c r="AL29" s="774"/>
      <c r="AM29" s="774"/>
      <c r="AN29" s="774"/>
      <c r="AO29" s="774"/>
      <c r="AP29" s="774"/>
      <c r="AQ29" s="774"/>
      <c r="AR29" s="774"/>
      <c r="AS29" s="774"/>
      <c r="AT29" s="774"/>
      <c r="AU29" s="774"/>
      <c r="AV29" s="774"/>
      <c r="AW29" s="774"/>
      <c r="AX29" s="774"/>
      <c r="AY29" s="774"/>
      <c r="AZ29" s="774"/>
      <c r="BA29" s="774"/>
      <c r="BB29" s="775"/>
      <c r="BC29" s="779"/>
      <c r="BD29" s="774"/>
      <c r="BE29" s="774"/>
      <c r="BF29" s="774"/>
      <c r="BG29" s="774"/>
      <c r="BH29" s="774"/>
      <c r="BI29" s="774"/>
      <c r="BJ29" s="774"/>
      <c r="BK29" s="774"/>
      <c r="BL29" s="775"/>
      <c r="BM29" s="781"/>
      <c r="BN29" s="782"/>
      <c r="BO29" s="782"/>
      <c r="BP29" s="782"/>
      <c r="BQ29" s="783"/>
      <c r="BR29" s="781"/>
      <c r="BS29" s="782"/>
      <c r="BT29" s="782"/>
      <c r="BU29" s="782"/>
      <c r="BV29" s="784"/>
    </row>
    <row r="30" spans="1:74" ht="13.5" customHeight="1">
      <c r="A30" s="789"/>
      <c r="B30" s="790"/>
      <c r="C30" s="790"/>
      <c r="D30" s="790"/>
      <c r="E30" s="791"/>
      <c r="F30" s="792"/>
      <c r="G30" s="790"/>
      <c r="H30" s="790"/>
      <c r="I30" s="790"/>
      <c r="J30" s="790"/>
      <c r="K30" s="790"/>
      <c r="L30" s="790"/>
      <c r="M30" s="790"/>
      <c r="N30" s="790"/>
      <c r="O30" s="790"/>
      <c r="P30" s="790"/>
      <c r="Q30" s="790"/>
      <c r="R30" s="790"/>
      <c r="S30" s="790"/>
      <c r="T30" s="790"/>
      <c r="U30" s="790"/>
      <c r="V30" s="790"/>
      <c r="W30" s="790"/>
      <c r="X30" s="790"/>
      <c r="Y30" s="790"/>
      <c r="Z30" s="790"/>
      <c r="AA30" s="790"/>
      <c r="AB30" s="790"/>
      <c r="AC30" s="790"/>
      <c r="AD30" s="790"/>
      <c r="AE30" s="790"/>
      <c r="AF30" s="790"/>
      <c r="AG30" s="790"/>
      <c r="AH30" s="790"/>
      <c r="AI30" s="790"/>
      <c r="AJ30" s="790"/>
      <c r="AK30" s="790"/>
      <c r="AL30" s="790"/>
      <c r="AM30" s="790"/>
      <c r="AN30" s="790"/>
      <c r="AO30" s="790"/>
      <c r="AP30" s="790"/>
      <c r="AQ30" s="790"/>
      <c r="AR30" s="790"/>
      <c r="AS30" s="790"/>
      <c r="AT30" s="790"/>
      <c r="AU30" s="790"/>
      <c r="AV30" s="790"/>
      <c r="AW30" s="790"/>
      <c r="AX30" s="790"/>
      <c r="AY30" s="790"/>
      <c r="AZ30" s="790"/>
      <c r="BA30" s="790"/>
      <c r="BB30" s="791"/>
      <c r="BC30" s="792"/>
      <c r="BD30" s="790"/>
      <c r="BE30" s="790"/>
      <c r="BF30" s="790"/>
      <c r="BG30" s="790"/>
      <c r="BH30" s="790"/>
      <c r="BI30" s="790"/>
      <c r="BJ30" s="790"/>
      <c r="BK30" s="790"/>
      <c r="BL30" s="791"/>
      <c r="BM30" s="793"/>
      <c r="BN30" s="794"/>
      <c r="BO30" s="794"/>
      <c r="BP30" s="794"/>
      <c r="BQ30" s="795"/>
      <c r="BR30" s="793"/>
      <c r="BS30" s="794"/>
      <c r="BT30" s="794"/>
      <c r="BU30" s="794"/>
      <c r="BV30" s="796"/>
    </row>
    <row r="31" spans="1:74" ht="13.5" customHeight="1">
      <c r="A31" s="773"/>
      <c r="B31" s="774"/>
      <c r="C31" s="774"/>
      <c r="D31" s="774"/>
      <c r="E31" s="775"/>
      <c r="F31" s="779"/>
      <c r="G31" s="774"/>
      <c r="H31" s="774"/>
      <c r="I31" s="774"/>
      <c r="J31" s="774"/>
      <c r="K31" s="774"/>
      <c r="L31" s="774"/>
      <c r="M31" s="774"/>
      <c r="N31" s="774"/>
      <c r="O31" s="774"/>
      <c r="P31" s="774"/>
      <c r="Q31" s="774"/>
      <c r="R31" s="774"/>
      <c r="S31" s="774"/>
      <c r="T31" s="774"/>
      <c r="U31" s="774"/>
      <c r="V31" s="774"/>
      <c r="W31" s="774"/>
      <c r="X31" s="774"/>
      <c r="Y31" s="774"/>
      <c r="Z31" s="774"/>
      <c r="AA31" s="774"/>
      <c r="AB31" s="774"/>
      <c r="AC31" s="774"/>
      <c r="AD31" s="774"/>
      <c r="AE31" s="774"/>
      <c r="AF31" s="774"/>
      <c r="AG31" s="774"/>
      <c r="AH31" s="774"/>
      <c r="AI31" s="774"/>
      <c r="AJ31" s="774"/>
      <c r="AK31" s="774"/>
      <c r="AL31" s="774"/>
      <c r="AM31" s="774"/>
      <c r="AN31" s="774"/>
      <c r="AO31" s="774"/>
      <c r="AP31" s="774"/>
      <c r="AQ31" s="774"/>
      <c r="AR31" s="774"/>
      <c r="AS31" s="774"/>
      <c r="AT31" s="774"/>
      <c r="AU31" s="774"/>
      <c r="AV31" s="774"/>
      <c r="AW31" s="774"/>
      <c r="AX31" s="774"/>
      <c r="AY31" s="774"/>
      <c r="AZ31" s="774"/>
      <c r="BA31" s="774"/>
      <c r="BB31" s="775"/>
      <c r="BC31" s="779"/>
      <c r="BD31" s="774"/>
      <c r="BE31" s="774"/>
      <c r="BF31" s="774"/>
      <c r="BG31" s="774"/>
      <c r="BH31" s="774"/>
      <c r="BI31" s="774"/>
      <c r="BJ31" s="774"/>
      <c r="BK31" s="774"/>
      <c r="BL31" s="775"/>
      <c r="BM31" s="781"/>
      <c r="BN31" s="782"/>
      <c r="BO31" s="782"/>
      <c r="BP31" s="782"/>
      <c r="BQ31" s="783"/>
      <c r="BR31" s="781"/>
      <c r="BS31" s="782"/>
      <c r="BT31" s="782"/>
      <c r="BU31" s="782"/>
      <c r="BV31" s="784"/>
    </row>
    <row r="32" spans="1:74" ht="13.5" customHeight="1">
      <c r="A32" s="797"/>
      <c r="B32" s="798"/>
      <c r="C32" s="798"/>
      <c r="D32" s="798"/>
      <c r="E32" s="799"/>
      <c r="F32" s="800"/>
      <c r="G32" s="798"/>
      <c r="H32" s="798"/>
      <c r="I32" s="798"/>
      <c r="J32" s="798"/>
      <c r="K32" s="798"/>
      <c r="L32" s="798"/>
      <c r="M32" s="798"/>
      <c r="N32" s="798"/>
      <c r="O32" s="798"/>
      <c r="P32" s="798"/>
      <c r="Q32" s="798"/>
      <c r="R32" s="798"/>
      <c r="S32" s="798"/>
      <c r="T32" s="798"/>
      <c r="U32" s="798"/>
      <c r="V32" s="798"/>
      <c r="W32" s="798"/>
      <c r="X32" s="798"/>
      <c r="Y32" s="798"/>
      <c r="Z32" s="798"/>
      <c r="AA32" s="798"/>
      <c r="AB32" s="798"/>
      <c r="AC32" s="798"/>
      <c r="AD32" s="798"/>
      <c r="AE32" s="798"/>
      <c r="AF32" s="798"/>
      <c r="AG32" s="798"/>
      <c r="AH32" s="798"/>
      <c r="AI32" s="798"/>
      <c r="AJ32" s="798"/>
      <c r="AK32" s="798"/>
      <c r="AL32" s="798"/>
      <c r="AM32" s="798"/>
      <c r="AN32" s="798"/>
      <c r="AO32" s="798"/>
      <c r="AP32" s="798"/>
      <c r="AQ32" s="798"/>
      <c r="AR32" s="798"/>
      <c r="AS32" s="798"/>
      <c r="AT32" s="798"/>
      <c r="AU32" s="798"/>
      <c r="AV32" s="798"/>
      <c r="AW32" s="798"/>
      <c r="AX32" s="798"/>
      <c r="AY32" s="798"/>
      <c r="AZ32" s="798"/>
      <c r="BA32" s="798"/>
      <c r="BB32" s="799"/>
      <c r="BC32" s="800"/>
      <c r="BD32" s="798"/>
      <c r="BE32" s="798"/>
      <c r="BF32" s="798"/>
      <c r="BG32" s="798"/>
      <c r="BH32" s="798"/>
      <c r="BI32" s="798"/>
      <c r="BJ32" s="798"/>
      <c r="BK32" s="798"/>
      <c r="BL32" s="799"/>
      <c r="BM32" s="801"/>
      <c r="BN32" s="802"/>
      <c r="BO32" s="802"/>
      <c r="BP32" s="802"/>
      <c r="BQ32" s="803"/>
      <c r="BR32" s="801"/>
      <c r="BS32" s="802"/>
      <c r="BT32" s="802"/>
      <c r="BU32" s="802"/>
      <c r="BV32" s="804"/>
    </row>
    <row r="33" spans="1:74" ht="13.5" customHeight="1">
      <c r="A33" s="773"/>
      <c r="B33" s="774"/>
      <c r="C33" s="774"/>
      <c r="D33" s="774"/>
      <c r="E33" s="775"/>
      <c r="F33" s="779"/>
      <c r="G33" s="774"/>
      <c r="H33" s="774"/>
      <c r="I33" s="774"/>
      <c r="J33" s="774"/>
      <c r="K33" s="774"/>
      <c r="L33" s="774"/>
      <c r="M33" s="774"/>
      <c r="N33" s="774"/>
      <c r="O33" s="774"/>
      <c r="P33" s="774"/>
      <c r="Q33" s="774"/>
      <c r="R33" s="774"/>
      <c r="S33" s="774"/>
      <c r="T33" s="774"/>
      <c r="U33" s="774"/>
      <c r="V33" s="774"/>
      <c r="W33" s="774"/>
      <c r="X33" s="774"/>
      <c r="Y33" s="774"/>
      <c r="Z33" s="774"/>
      <c r="AA33" s="774"/>
      <c r="AB33" s="774"/>
      <c r="AC33" s="774"/>
      <c r="AD33" s="774"/>
      <c r="AE33" s="774"/>
      <c r="AF33" s="774"/>
      <c r="AG33" s="774"/>
      <c r="AH33" s="774"/>
      <c r="AI33" s="774"/>
      <c r="AJ33" s="774"/>
      <c r="AK33" s="774"/>
      <c r="AL33" s="774"/>
      <c r="AM33" s="774"/>
      <c r="AN33" s="774"/>
      <c r="AO33" s="774"/>
      <c r="AP33" s="774"/>
      <c r="AQ33" s="774"/>
      <c r="AR33" s="774"/>
      <c r="AS33" s="774"/>
      <c r="AT33" s="774"/>
      <c r="AU33" s="774"/>
      <c r="AV33" s="774"/>
      <c r="AW33" s="774"/>
      <c r="AX33" s="774"/>
      <c r="AY33" s="774"/>
      <c r="AZ33" s="774"/>
      <c r="BA33" s="774"/>
      <c r="BB33" s="775"/>
      <c r="BC33" s="779"/>
      <c r="BD33" s="774"/>
      <c r="BE33" s="774"/>
      <c r="BF33" s="774"/>
      <c r="BG33" s="774"/>
      <c r="BH33" s="774"/>
      <c r="BI33" s="774"/>
      <c r="BJ33" s="774"/>
      <c r="BK33" s="774"/>
      <c r="BL33" s="775"/>
      <c r="BM33" s="781"/>
      <c r="BN33" s="782"/>
      <c r="BO33" s="782"/>
      <c r="BP33" s="782"/>
      <c r="BQ33" s="783"/>
      <c r="BR33" s="781"/>
      <c r="BS33" s="782"/>
      <c r="BT33" s="782"/>
      <c r="BU33" s="782"/>
      <c r="BV33" s="784"/>
    </row>
    <row r="34" spans="1:74" ht="13.5" customHeight="1">
      <c r="A34" s="789"/>
      <c r="B34" s="790"/>
      <c r="C34" s="790"/>
      <c r="D34" s="790"/>
      <c r="E34" s="791"/>
      <c r="F34" s="792"/>
      <c r="G34" s="790"/>
      <c r="H34" s="790"/>
      <c r="I34" s="790"/>
      <c r="J34" s="790"/>
      <c r="K34" s="790"/>
      <c r="L34" s="790"/>
      <c r="M34" s="790"/>
      <c r="N34" s="790"/>
      <c r="O34" s="790"/>
      <c r="P34" s="790"/>
      <c r="Q34" s="790"/>
      <c r="R34" s="790"/>
      <c r="S34" s="790"/>
      <c r="T34" s="790"/>
      <c r="U34" s="790"/>
      <c r="V34" s="790"/>
      <c r="W34" s="790"/>
      <c r="X34" s="790"/>
      <c r="Y34" s="790"/>
      <c r="Z34" s="790"/>
      <c r="AA34" s="790"/>
      <c r="AB34" s="790"/>
      <c r="AC34" s="790"/>
      <c r="AD34" s="790"/>
      <c r="AE34" s="790"/>
      <c r="AF34" s="790"/>
      <c r="AG34" s="790"/>
      <c r="AH34" s="790"/>
      <c r="AI34" s="790"/>
      <c r="AJ34" s="790"/>
      <c r="AK34" s="790"/>
      <c r="AL34" s="790"/>
      <c r="AM34" s="790"/>
      <c r="AN34" s="790"/>
      <c r="AO34" s="790"/>
      <c r="AP34" s="790"/>
      <c r="AQ34" s="790"/>
      <c r="AR34" s="790"/>
      <c r="AS34" s="790"/>
      <c r="AT34" s="790"/>
      <c r="AU34" s="790"/>
      <c r="AV34" s="790"/>
      <c r="AW34" s="790"/>
      <c r="AX34" s="790"/>
      <c r="AY34" s="790"/>
      <c r="AZ34" s="790"/>
      <c r="BA34" s="790"/>
      <c r="BB34" s="791"/>
      <c r="BC34" s="792"/>
      <c r="BD34" s="790"/>
      <c r="BE34" s="790"/>
      <c r="BF34" s="790"/>
      <c r="BG34" s="790"/>
      <c r="BH34" s="790"/>
      <c r="BI34" s="790"/>
      <c r="BJ34" s="790"/>
      <c r="BK34" s="790"/>
      <c r="BL34" s="791"/>
      <c r="BM34" s="793"/>
      <c r="BN34" s="794"/>
      <c r="BO34" s="794"/>
      <c r="BP34" s="794"/>
      <c r="BQ34" s="795"/>
      <c r="BR34" s="793"/>
      <c r="BS34" s="794"/>
      <c r="BT34" s="794"/>
      <c r="BU34" s="794"/>
      <c r="BV34" s="796"/>
    </row>
    <row r="35" spans="1:74" ht="13.5" customHeight="1">
      <c r="A35" s="773"/>
      <c r="B35" s="774"/>
      <c r="C35" s="774"/>
      <c r="D35" s="774"/>
      <c r="E35" s="775"/>
      <c r="F35" s="779"/>
      <c r="G35" s="774"/>
      <c r="H35" s="774"/>
      <c r="I35" s="774"/>
      <c r="J35" s="774"/>
      <c r="K35" s="774"/>
      <c r="L35" s="774"/>
      <c r="M35" s="774"/>
      <c r="N35" s="774"/>
      <c r="O35" s="774"/>
      <c r="P35" s="774"/>
      <c r="Q35" s="774"/>
      <c r="R35" s="774"/>
      <c r="S35" s="774"/>
      <c r="T35" s="774"/>
      <c r="U35" s="774"/>
      <c r="V35" s="774"/>
      <c r="W35" s="774"/>
      <c r="X35" s="774"/>
      <c r="Y35" s="774"/>
      <c r="Z35" s="774"/>
      <c r="AA35" s="774"/>
      <c r="AB35" s="774"/>
      <c r="AC35" s="774"/>
      <c r="AD35" s="774"/>
      <c r="AE35" s="774"/>
      <c r="AF35" s="774"/>
      <c r="AG35" s="774"/>
      <c r="AH35" s="774"/>
      <c r="AI35" s="774"/>
      <c r="AJ35" s="774"/>
      <c r="AK35" s="774"/>
      <c r="AL35" s="774"/>
      <c r="AM35" s="774"/>
      <c r="AN35" s="774"/>
      <c r="AO35" s="774"/>
      <c r="AP35" s="774"/>
      <c r="AQ35" s="774"/>
      <c r="AR35" s="774"/>
      <c r="AS35" s="774"/>
      <c r="AT35" s="774"/>
      <c r="AU35" s="774"/>
      <c r="AV35" s="774"/>
      <c r="AW35" s="774"/>
      <c r="AX35" s="774"/>
      <c r="AY35" s="774"/>
      <c r="AZ35" s="774"/>
      <c r="BA35" s="774"/>
      <c r="BB35" s="775"/>
      <c r="BC35" s="779"/>
      <c r="BD35" s="774"/>
      <c r="BE35" s="774"/>
      <c r="BF35" s="774"/>
      <c r="BG35" s="774"/>
      <c r="BH35" s="774"/>
      <c r="BI35" s="774"/>
      <c r="BJ35" s="774"/>
      <c r="BK35" s="774"/>
      <c r="BL35" s="775"/>
      <c r="BM35" s="781"/>
      <c r="BN35" s="782"/>
      <c r="BO35" s="782"/>
      <c r="BP35" s="782"/>
      <c r="BQ35" s="783"/>
      <c r="BR35" s="781"/>
      <c r="BS35" s="782"/>
      <c r="BT35" s="782"/>
      <c r="BU35" s="782"/>
      <c r="BV35" s="784"/>
    </row>
    <row r="36" spans="1:74" ht="13.5" customHeight="1">
      <c r="A36" s="797"/>
      <c r="B36" s="798"/>
      <c r="C36" s="798"/>
      <c r="D36" s="798"/>
      <c r="E36" s="799"/>
      <c r="F36" s="800"/>
      <c r="G36" s="798"/>
      <c r="H36" s="798"/>
      <c r="I36" s="798"/>
      <c r="J36" s="798"/>
      <c r="K36" s="798"/>
      <c r="L36" s="798"/>
      <c r="M36" s="798"/>
      <c r="N36" s="798"/>
      <c r="O36" s="798"/>
      <c r="P36" s="798"/>
      <c r="Q36" s="798"/>
      <c r="R36" s="798"/>
      <c r="S36" s="798"/>
      <c r="T36" s="798"/>
      <c r="U36" s="798"/>
      <c r="V36" s="798"/>
      <c r="W36" s="798"/>
      <c r="X36" s="798"/>
      <c r="Y36" s="798"/>
      <c r="Z36" s="798"/>
      <c r="AA36" s="798"/>
      <c r="AB36" s="798"/>
      <c r="AC36" s="798"/>
      <c r="AD36" s="798"/>
      <c r="AE36" s="798"/>
      <c r="AF36" s="798"/>
      <c r="AG36" s="798"/>
      <c r="AH36" s="798"/>
      <c r="AI36" s="798"/>
      <c r="AJ36" s="798"/>
      <c r="AK36" s="798"/>
      <c r="AL36" s="798"/>
      <c r="AM36" s="798"/>
      <c r="AN36" s="798"/>
      <c r="AO36" s="798"/>
      <c r="AP36" s="798"/>
      <c r="AQ36" s="798"/>
      <c r="AR36" s="798"/>
      <c r="AS36" s="798"/>
      <c r="AT36" s="798"/>
      <c r="AU36" s="798"/>
      <c r="AV36" s="798"/>
      <c r="AW36" s="798"/>
      <c r="AX36" s="798"/>
      <c r="AY36" s="798"/>
      <c r="AZ36" s="798"/>
      <c r="BA36" s="798"/>
      <c r="BB36" s="799"/>
      <c r="BC36" s="800"/>
      <c r="BD36" s="798"/>
      <c r="BE36" s="798"/>
      <c r="BF36" s="798"/>
      <c r="BG36" s="798"/>
      <c r="BH36" s="798"/>
      <c r="BI36" s="798"/>
      <c r="BJ36" s="798"/>
      <c r="BK36" s="798"/>
      <c r="BL36" s="799"/>
      <c r="BM36" s="801"/>
      <c r="BN36" s="802"/>
      <c r="BO36" s="802"/>
      <c r="BP36" s="802"/>
      <c r="BQ36" s="803"/>
      <c r="BR36" s="801"/>
      <c r="BS36" s="802"/>
      <c r="BT36" s="802"/>
      <c r="BU36" s="802"/>
      <c r="BV36" s="804"/>
    </row>
    <row r="37" spans="1:74" ht="13.5" customHeight="1">
      <c r="A37" s="773"/>
      <c r="B37" s="774"/>
      <c r="C37" s="774"/>
      <c r="D37" s="774"/>
      <c r="E37" s="775"/>
      <c r="F37" s="779"/>
      <c r="G37" s="774"/>
      <c r="H37" s="774"/>
      <c r="I37" s="774"/>
      <c r="J37" s="774"/>
      <c r="K37" s="774"/>
      <c r="L37" s="774"/>
      <c r="M37" s="774"/>
      <c r="N37" s="774"/>
      <c r="O37" s="774"/>
      <c r="P37" s="774"/>
      <c r="Q37" s="774"/>
      <c r="R37" s="774"/>
      <c r="S37" s="774"/>
      <c r="T37" s="774"/>
      <c r="U37" s="774"/>
      <c r="V37" s="774"/>
      <c r="W37" s="774"/>
      <c r="X37" s="774"/>
      <c r="Y37" s="774"/>
      <c r="Z37" s="774"/>
      <c r="AA37" s="774"/>
      <c r="AB37" s="774"/>
      <c r="AC37" s="774"/>
      <c r="AD37" s="774"/>
      <c r="AE37" s="774"/>
      <c r="AF37" s="774"/>
      <c r="AG37" s="774"/>
      <c r="AH37" s="774"/>
      <c r="AI37" s="774"/>
      <c r="AJ37" s="774"/>
      <c r="AK37" s="774"/>
      <c r="AL37" s="774"/>
      <c r="AM37" s="774"/>
      <c r="AN37" s="774"/>
      <c r="AO37" s="774"/>
      <c r="AP37" s="774"/>
      <c r="AQ37" s="774"/>
      <c r="AR37" s="774"/>
      <c r="AS37" s="774"/>
      <c r="AT37" s="774"/>
      <c r="AU37" s="774"/>
      <c r="AV37" s="774"/>
      <c r="AW37" s="774"/>
      <c r="AX37" s="774"/>
      <c r="AY37" s="774"/>
      <c r="AZ37" s="774"/>
      <c r="BA37" s="774"/>
      <c r="BB37" s="775"/>
      <c r="BC37" s="779"/>
      <c r="BD37" s="774"/>
      <c r="BE37" s="774"/>
      <c r="BF37" s="774"/>
      <c r="BG37" s="774"/>
      <c r="BH37" s="774"/>
      <c r="BI37" s="774"/>
      <c r="BJ37" s="774"/>
      <c r="BK37" s="774"/>
      <c r="BL37" s="775"/>
      <c r="BM37" s="781"/>
      <c r="BN37" s="782"/>
      <c r="BO37" s="782"/>
      <c r="BP37" s="782"/>
      <c r="BQ37" s="783"/>
      <c r="BR37" s="781"/>
      <c r="BS37" s="782"/>
      <c r="BT37" s="782"/>
      <c r="BU37" s="782"/>
      <c r="BV37" s="784"/>
    </row>
    <row r="38" spans="1:74" ht="13.5" customHeight="1">
      <c r="A38" s="789"/>
      <c r="B38" s="790"/>
      <c r="C38" s="790"/>
      <c r="D38" s="790"/>
      <c r="E38" s="791"/>
      <c r="F38" s="792"/>
      <c r="G38" s="790"/>
      <c r="H38" s="790"/>
      <c r="I38" s="790"/>
      <c r="J38" s="790"/>
      <c r="K38" s="790"/>
      <c r="L38" s="790"/>
      <c r="M38" s="790"/>
      <c r="N38" s="790"/>
      <c r="O38" s="790"/>
      <c r="P38" s="790"/>
      <c r="Q38" s="790"/>
      <c r="R38" s="790"/>
      <c r="S38" s="790"/>
      <c r="T38" s="790"/>
      <c r="U38" s="790"/>
      <c r="V38" s="790"/>
      <c r="W38" s="790"/>
      <c r="X38" s="790"/>
      <c r="Y38" s="790"/>
      <c r="Z38" s="790"/>
      <c r="AA38" s="790"/>
      <c r="AB38" s="790"/>
      <c r="AC38" s="790"/>
      <c r="AD38" s="790"/>
      <c r="AE38" s="790"/>
      <c r="AF38" s="790"/>
      <c r="AG38" s="790"/>
      <c r="AH38" s="790"/>
      <c r="AI38" s="790"/>
      <c r="AJ38" s="790"/>
      <c r="AK38" s="790"/>
      <c r="AL38" s="790"/>
      <c r="AM38" s="790"/>
      <c r="AN38" s="790"/>
      <c r="AO38" s="790"/>
      <c r="AP38" s="790"/>
      <c r="AQ38" s="790"/>
      <c r="AR38" s="790"/>
      <c r="AS38" s="790"/>
      <c r="AT38" s="790"/>
      <c r="AU38" s="790"/>
      <c r="AV38" s="790"/>
      <c r="AW38" s="790"/>
      <c r="AX38" s="790"/>
      <c r="AY38" s="790"/>
      <c r="AZ38" s="790"/>
      <c r="BA38" s="790"/>
      <c r="BB38" s="791"/>
      <c r="BC38" s="792"/>
      <c r="BD38" s="790"/>
      <c r="BE38" s="790"/>
      <c r="BF38" s="790"/>
      <c r="BG38" s="790"/>
      <c r="BH38" s="790"/>
      <c r="BI38" s="790"/>
      <c r="BJ38" s="790"/>
      <c r="BK38" s="790"/>
      <c r="BL38" s="791"/>
      <c r="BM38" s="793"/>
      <c r="BN38" s="794"/>
      <c r="BO38" s="794"/>
      <c r="BP38" s="794"/>
      <c r="BQ38" s="795"/>
      <c r="BR38" s="793"/>
      <c r="BS38" s="794"/>
      <c r="BT38" s="794"/>
      <c r="BU38" s="794"/>
      <c r="BV38" s="796"/>
    </row>
    <row r="39" spans="1:74" ht="13.5" customHeight="1">
      <c r="A39" s="773"/>
      <c r="B39" s="774"/>
      <c r="C39" s="774"/>
      <c r="D39" s="774"/>
      <c r="E39" s="775"/>
      <c r="F39" s="779"/>
      <c r="G39" s="774"/>
      <c r="H39" s="774"/>
      <c r="I39" s="774"/>
      <c r="J39" s="774"/>
      <c r="K39" s="774"/>
      <c r="L39" s="774"/>
      <c r="M39" s="774"/>
      <c r="N39" s="774"/>
      <c r="O39" s="774"/>
      <c r="P39" s="774"/>
      <c r="Q39" s="774"/>
      <c r="R39" s="774"/>
      <c r="S39" s="774"/>
      <c r="T39" s="774"/>
      <c r="U39" s="774"/>
      <c r="V39" s="774"/>
      <c r="W39" s="774"/>
      <c r="X39" s="774"/>
      <c r="Y39" s="774"/>
      <c r="Z39" s="774"/>
      <c r="AA39" s="774"/>
      <c r="AB39" s="774"/>
      <c r="AC39" s="774"/>
      <c r="AD39" s="774"/>
      <c r="AE39" s="774"/>
      <c r="AF39" s="774"/>
      <c r="AG39" s="774"/>
      <c r="AH39" s="774"/>
      <c r="AI39" s="774"/>
      <c r="AJ39" s="774"/>
      <c r="AK39" s="774"/>
      <c r="AL39" s="774"/>
      <c r="AM39" s="774"/>
      <c r="AN39" s="774"/>
      <c r="AO39" s="774"/>
      <c r="AP39" s="774"/>
      <c r="AQ39" s="774"/>
      <c r="AR39" s="774"/>
      <c r="AS39" s="774"/>
      <c r="AT39" s="774"/>
      <c r="AU39" s="774"/>
      <c r="AV39" s="774"/>
      <c r="AW39" s="774"/>
      <c r="AX39" s="774"/>
      <c r="AY39" s="774"/>
      <c r="AZ39" s="774"/>
      <c r="BA39" s="774"/>
      <c r="BB39" s="775"/>
      <c r="BC39" s="779"/>
      <c r="BD39" s="774"/>
      <c r="BE39" s="774"/>
      <c r="BF39" s="774"/>
      <c r="BG39" s="774"/>
      <c r="BH39" s="774"/>
      <c r="BI39" s="774"/>
      <c r="BJ39" s="774"/>
      <c r="BK39" s="774"/>
      <c r="BL39" s="775"/>
      <c r="BM39" s="781"/>
      <c r="BN39" s="782"/>
      <c r="BO39" s="782"/>
      <c r="BP39" s="782"/>
      <c r="BQ39" s="783"/>
      <c r="BR39" s="781"/>
      <c r="BS39" s="782"/>
      <c r="BT39" s="782"/>
      <c r="BU39" s="782"/>
      <c r="BV39" s="784"/>
    </row>
    <row r="40" spans="1:74" ht="13.5" customHeight="1">
      <c r="A40" s="797"/>
      <c r="B40" s="798"/>
      <c r="C40" s="798"/>
      <c r="D40" s="798"/>
      <c r="E40" s="799"/>
      <c r="F40" s="800"/>
      <c r="G40" s="798"/>
      <c r="H40" s="798"/>
      <c r="I40" s="798"/>
      <c r="J40" s="798"/>
      <c r="K40" s="798"/>
      <c r="L40" s="798"/>
      <c r="M40" s="798"/>
      <c r="N40" s="798"/>
      <c r="O40" s="798"/>
      <c r="P40" s="798"/>
      <c r="Q40" s="798"/>
      <c r="R40" s="798"/>
      <c r="S40" s="798"/>
      <c r="T40" s="798"/>
      <c r="U40" s="798"/>
      <c r="V40" s="798"/>
      <c r="W40" s="798"/>
      <c r="X40" s="798"/>
      <c r="Y40" s="798"/>
      <c r="Z40" s="798"/>
      <c r="AA40" s="798"/>
      <c r="AB40" s="798"/>
      <c r="AC40" s="798"/>
      <c r="AD40" s="798"/>
      <c r="AE40" s="798"/>
      <c r="AF40" s="798"/>
      <c r="AG40" s="798"/>
      <c r="AH40" s="798"/>
      <c r="AI40" s="798"/>
      <c r="AJ40" s="798"/>
      <c r="AK40" s="798"/>
      <c r="AL40" s="798"/>
      <c r="AM40" s="798"/>
      <c r="AN40" s="798"/>
      <c r="AO40" s="798"/>
      <c r="AP40" s="798"/>
      <c r="AQ40" s="798"/>
      <c r="AR40" s="798"/>
      <c r="AS40" s="798"/>
      <c r="AT40" s="798"/>
      <c r="AU40" s="798"/>
      <c r="AV40" s="798"/>
      <c r="AW40" s="798"/>
      <c r="AX40" s="798"/>
      <c r="AY40" s="798"/>
      <c r="AZ40" s="798"/>
      <c r="BA40" s="798"/>
      <c r="BB40" s="799"/>
      <c r="BC40" s="800"/>
      <c r="BD40" s="798"/>
      <c r="BE40" s="798"/>
      <c r="BF40" s="798"/>
      <c r="BG40" s="798"/>
      <c r="BH40" s="798"/>
      <c r="BI40" s="798"/>
      <c r="BJ40" s="798"/>
      <c r="BK40" s="798"/>
      <c r="BL40" s="799"/>
      <c r="BM40" s="801"/>
      <c r="BN40" s="802"/>
      <c r="BO40" s="802"/>
      <c r="BP40" s="802"/>
      <c r="BQ40" s="803"/>
      <c r="BR40" s="801"/>
      <c r="BS40" s="802"/>
      <c r="BT40" s="802"/>
      <c r="BU40" s="802"/>
      <c r="BV40" s="804"/>
    </row>
    <row r="41" spans="1:74" ht="13.5" customHeight="1">
      <c r="A41" s="773"/>
      <c r="B41" s="774"/>
      <c r="C41" s="774"/>
      <c r="D41" s="774"/>
      <c r="E41" s="775"/>
      <c r="F41" s="779"/>
      <c r="G41" s="774"/>
      <c r="H41" s="774"/>
      <c r="I41" s="774"/>
      <c r="J41" s="774"/>
      <c r="K41" s="774"/>
      <c r="L41" s="774"/>
      <c r="M41" s="774"/>
      <c r="N41" s="774"/>
      <c r="O41" s="774"/>
      <c r="P41" s="774"/>
      <c r="Q41" s="774"/>
      <c r="R41" s="774"/>
      <c r="S41" s="774"/>
      <c r="T41" s="774"/>
      <c r="U41" s="774"/>
      <c r="V41" s="774"/>
      <c r="W41" s="774"/>
      <c r="X41" s="774"/>
      <c r="Y41" s="774"/>
      <c r="Z41" s="774"/>
      <c r="AA41" s="774"/>
      <c r="AB41" s="774"/>
      <c r="AC41" s="774"/>
      <c r="AD41" s="774"/>
      <c r="AE41" s="774"/>
      <c r="AF41" s="774"/>
      <c r="AG41" s="774"/>
      <c r="AH41" s="774"/>
      <c r="AI41" s="774"/>
      <c r="AJ41" s="774"/>
      <c r="AK41" s="774"/>
      <c r="AL41" s="774"/>
      <c r="AM41" s="774"/>
      <c r="AN41" s="774"/>
      <c r="AO41" s="774"/>
      <c r="AP41" s="774"/>
      <c r="AQ41" s="774"/>
      <c r="AR41" s="774"/>
      <c r="AS41" s="774"/>
      <c r="AT41" s="774"/>
      <c r="AU41" s="774"/>
      <c r="AV41" s="774"/>
      <c r="AW41" s="774"/>
      <c r="AX41" s="774"/>
      <c r="AY41" s="774"/>
      <c r="AZ41" s="774"/>
      <c r="BA41" s="774"/>
      <c r="BB41" s="775"/>
      <c r="BC41" s="779"/>
      <c r="BD41" s="774"/>
      <c r="BE41" s="774"/>
      <c r="BF41" s="774"/>
      <c r="BG41" s="774"/>
      <c r="BH41" s="774"/>
      <c r="BI41" s="774"/>
      <c r="BJ41" s="774"/>
      <c r="BK41" s="774"/>
      <c r="BL41" s="775"/>
      <c r="BM41" s="781"/>
      <c r="BN41" s="782"/>
      <c r="BO41" s="782"/>
      <c r="BP41" s="782"/>
      <c r="BQ41" s="783"/>
      <c r="BR41" s="781"/>
      <c r="BS41" s="782"/>
      <c r="BT41" s="782"/>
      <c r="BU41" s="782"/>
      <c r="BV41" s="784"/>
    </row>
    <row r="42" spans="1:74" ht="13.5" customHeight="1">
      <c r="A42" s="789"/>
      <c r="B42" s="790"/>
      <c r="C42" s="790"/>
      <c r="D42" s="790"/>
      <c r="E42" s="791"/>
      <c r="F42" s="792"/>
      <c r="G42" s="790"/>
      <c r="H42" s="790"/>
      <c r="I42" s="790"/>
      <c r="J42" s="790"/>
      <c r="K42" s="790"/>
      <c r="L42" s="790"/>
      <c r="M42" s="790"/>
      <c r="N42" s="790"/>
      <c r="O42" s="790"/>
      <c r="P42" s="790"/>
      <c r="Q42" s="790"/>
      <c r="R42" s="790"/>
      <c r="S42" s="790"/>
      <c r="T42" s="790"/>
      <c r="U42" s="790"/>
      <c r="V42" s="790"/>
      <c r="W42" s="790"/>
      <c r="X42" s="790"/>
      <c r="Y42" s="790"/>
      <c r="Z42" s="790"/>
      <c r="AA42" s="790"/>
      <c r="AB42" s="790"/>
      <c r="AC42" s="790"/>
      <c r="AD42" s="790"/>
      <c r="AE42" s="790"/>
      <c r="AF42" s="790"/>
      <c r="AG42" s="790"/>
      <c r="AH42" s="790"/>
      <c r="AI42" s="790"/>
      <c r="AJ42" s="790"/>
      <c r="AK42" s="790"/>
      <c r="AL42" s="790"/>
      <c r="AM42" s="790"/>
      <c r="AN42" s="790"/>
      <c r="AO42" s="790"/>
      <c r="AP42" s="790"/>
      <c r="AQ42" s="790"/>
      <c r="AR42" s="790"/>
      <c r="AS42" s="790"/>
      <c r="AT42" s="790"/>
      <c r="AU42" s="790"/>
      <c r="AV42" s="790"/>
      <c r="AW42" s="790"/>
      <c r="AX42" s="790"/>
      <c r="AY42" s="790"/>
      <c r="AZ42" s="790"/>
      <c r="BA42" s="790"/>
      <c r="BB42" s="791"/>
      <c r="BC42" s="792"/>
      <c r="BD42" s="790"/>
      <c r="BE42" s="790"/>
      <c r="BF42" s="790"/>
      <c r="BG42" s="790"/>
      <c r="BH42" s="790"/>
      <c r="BI42" s="790"/>
      <c r="BJ42" s="790"/>
      <c r="BK42" s="790"/>
      <c r="BL42" s="791"/>
      <c r="BM42" s="793"/>
      <c r="BN42" s="794"/>
      <c r="BO42" s="794"/>
      <c r="BP42" s="794"/>
      <c r="BQ42" s="795"/>
      <c r="BR42" s="793"/>
      <c r="BS42" s="794"/>
      <c r="BT42" s="794"/>
      <c r="BU42" s="794"/>
      <c r="BV42" s="796"/>
    </row>
    <row r="43" spans="1:74" ht="13.5" customHeight="1">
      <c r="A43" s="773"/>
      <c r="B43" s="774"/>
      <c r="C43" s="774"/>
      <c r="D43" s="774"/>
      <c r="E43" s="775"/>
      <c r="F43" s="779"/>
      <c r="G43" s="774"/>
      <c r="H43" s="774"/>
      <c r="I43" s="774"/>
      <c r="J43" s="774"/>
      <c r="K43" s="774"/>
      <c r="L43" s="774"/>
      <c r="M43" s="774"/>
      <c r="N43" s="774"/>
      <c r="O43" s="774"/>
      <c r="P43" s="774"/>
      <c r="Q43" s="774"/>
      <c r="R43" s="774"/>
      <c r="S43" s="774"/>
      <c r="T43" s="774"/>
      <c r="U43" s="774"/>
      <c r="V43" s="774"/>
      <c r="W43" s="774"/>
      <c r="X43" s="774"/>
      <c r="Y43" s="774"/>
      <c r="Z43" s="774"/>
      <c r="AA43" s="774"/>
      <c r="AB43" s="774"/>
      <c r="AC43" s="774"/>
      <c r="AD43" s="774"/>
      <c r="AE43" s="774"/>
      <c r="AF43" s="774"/>
      <c r="AG43" s="774"/>
      <c r="AH43" s="774"/>
      <c r="AI43" s="774"/>
      <c r="AJ43" s="774"/>
      <c r="AK43" s="774"/>
      <c r="AL43" s="774"/>
      <c r="AM43" s="774"/>
      <c r="AN43" s="774"/>
      <c r="AO43" s="774"/>
      <c r="AP43" s="774"/>
      <c r="AQ43" s="774"/>
      <c r="AR43" s="774"/>
      <c r="AS43" s="774"/>
      <c r="AT43" s="774"/>
      <c r="AU43" s="774"/>
      <c r="AV43" s="774"/>
      <c r="AW43" s="774"/>
      <c r="AX43" s="774"/>
      <c r="AY43" s="774"/>
      <c r="AZ43" s="774"/>
      <c r="BA43" s="774"/>
      <c r="BB43" s="775"/>
      <c r="BC43" s="779"/>
      <c r="BD43" s="774"/>
      <c r="BE43" s="774"/>
      <c r="BF43" s="774"/>
      <c r="BG43" s="774"/>
      <c r="BH43" s="774"/>
      <c r="BI43" s="774"/>
      <c r="BJ43" s="774"/>
      <c r="BK43" s="774"/>
      <c r="BL43" s="775"/>
      <c r="BM43" s="781"/>
      <c r="BN43" s="782"/>
      <c r="BO43" s="782"/>
      <c r="BP43" s="782"/>
      <c r="BQ43" s="783"/>
      <c r="BR43" s="781"/>
      <c r="BS43" s="782"/>
      <c r="BT43" s="782"/>
      <c r="BU43" s="782"/>
      <c r="BV43" s="784"/>
    </row>
    <row r="44" spans="1:74" ht="13.5" customHeight="1" thickBot="1">
      <c r="A44" s="776"/>
      <c r="B44" s="777"/>
      <c r="C44" s="777"/>
      <c r="D44" s="777"/>
      <c r="E44" s="778"/>
      <c r="F44" s="780"/>
      <c r="G44" s="777"/>
      <c r="H44" s="777"/>
      <c r="I44" s="777"/>
      <c r="J44" s="777"/>
      <c r="K44" s="777"/>
      <c r="L44" s="777"/>
      <c r="M44" s="777"/>
      <c r="N44" s="777"/>
      <c r="O44" s="777"/>
      <c r="P44" s="777"/>
      <c r="Q44" s="777"/>
      <c r="R44" s="777"/>
      <c r="S44" s="777"/>
      <c r="T44" s="777"/>
      <c r="U44" s="777"/>
      <c r="V44" s="777"/>
      <c r="W44" s="777"/>
      <c r="X44" s="777"/>
      <c r="Y44" s="777"/>
      <c r="Z44" s="777"/>
      <c r="AA44" s="777"/>
      <c r="AB44" s="777"/>
      <c r="AC44" s="777"/>
      <c r="AD44" s="777"/>
      <c r="AE44" s="777"/>
      <c r="AF44" s="777"/>
      <c r="AG44" s="777"/>
      <c r="AH44" s="777"/>
      <c r="AI44" s="777"/>
      <c r="AJ44" s="777"/>
      <c r="AK44" s="777"/>
      <c r="AL44" s="777"/>
      <c r="AM44" s="777"/>
      <c r="AN44" s="777"/>
      <c r="AO44" s="777"/>
      <c r="AP44" s="777"/>
      <c r="AQ44" s="777"/>
      <c r="AR44" s="777"/>
      <c r="AS44" s="777"/>
      <c r="AT44" s="777"/>
      <c r="AU44" s="777"/>
      <c r="AV44" s="777"/>
      <c r="AW44" s="777"/>
      <c r="AX44" s="777"/>
      <c r="AY44" s="777"/>
      <c r="AZ44" s="777"/>
      <c r="BA44" s="777"/>
      <c r="BB44" s="778"/>
      <c r="BC44" s="780"/>
      <c r="BD44" s="777"/>
      <c r="BE44" s="777"/>
      <c r="BF44" s="777"/>
      <c r="BG44" s="777"/>
      <c r="BH44" s="777"/>
      <c r="BI44" s="777"/>
      <c r="BJ44" s="777"/>
      <c r="BK44" s="777"/>
      <c r="BL44" s="778"/>
      <c r="BM44" s="785"/>
      <c r="BN44" s="786"/>
      <c r="BO44" s="786"/>
      <c r="BP44" s="786"/>
      <c r="BQ44" s="787"/>
      <c r="BR44" s="785"/>
      <c r="BS44" s="786"/>
      <c r="BT44" s="786"/>
      <c r="BU44" s="786"/>
      <c r="BV44" s="788"/>
    </row>
    <row r="45" spans="1:74" ht="13.5" customHeight="1"/>
    <row r="46" spans="1:74" ht="13.5" customHeight="1"/>
    <row r="47" spans="1:74" ht="13.5" customHeight="1"/>
    <row r="48" spans="1:7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150"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15:E16"/>
    <mergeCell ref="F15:BB16"/>
    <mergeCell ref="BC15:BL16"/>
    <mergeCell ref="BM15:BQ15"/>
    <mergeCell ref="BR15:BV15"/>
    <mergeCell ref="BM16:BQ16"/>
    <mergeCell ref="BR16:BV16"/>
    <mergeCell ref="A13:E14"/>
    <mergeCell ref="F13:BB14"/>
    <mergeCell ref="BC13:BL14"/>
    <mergeCell ref="BM13:BQ13"/>
    <mergeCell ref="BR13:BV13"/>
    <mergeCell ref="BM14:BQ14"/>
    <mergeCell ref="BR14:BV14"/>
    <mergeCell ref="A19:E20"/>
    <mergeCell ref="F19:BB20"/>
    <mergeCell ref="BC19:BL20"/>
    <mergeCell ref="BM19:BQ19"/>
    <mergeCell ref="BR19:BV19"/>
    <mergeCell ref="BM20:BQ20"/>
    <mergeCell ref="BR20:BV20"/>
    <mergeCell ref="A17:E18"/>
    <mergeCell ref="F17:BB18"/>
    <mergeCell ref="BC17:BL18"/>
    <mergeCell ref="BM17:BQ17"/>
    <mergeCell ref="BR17:BV17"/>
    <mergeCell ref="BM18:BQ18"/>
    <mergeCell ref="BR18:BV18"/>
    <mergeCell ref="A23:E24"/>
    <mergeCell ref="F23:BB24"/>
    <mergeCell ref="BC23:BL24"/>
    <mergeCell ref="BM23:BQ23"/>
    <mergeCell ref="BR23:BV23"/>
    <mergeCell ref="BM24:BQ24"/>
    <mergeCell ref="BR24:BV24"/>
    <mergeCell ref="A21:E22"/>
    <mergeCell ref="F21:BB22"/>
    <mergeCell ref="BC21:BL22"/>
    <mergeCell ref="BM21:BQ21"/>
    <mergeCell ref="BR21:BV21"/>
    <mergeCell ref="BM22:BQ22"/>
    <mergeCell ref="BR22:BV22"/>
    <mergeCell ref="A27:E28"/>
    <mergeCell ref="F27:BB28"/>
    <mergeCell ref="BC27:BL28"/>
    <mergeCell ref="BM27:BQ27"/>
    <mergeCell ref="BR27:BV27"/>
    <mergeCell ref="BM28:BQ28"/>
    <mergeCell ref="BR28:BV28"/>
    <mergeCell ref="A25:E26"/>
    <mergeCell ref="F25:BB26"/>
    <mergeCell ref="BC25:BL26"/>
    <mergeCell ref="BM25:BQ25"/>
    <mergeCell ref="BR25:BV25"/>
    <mergeCell ref="BM26:BQ26"/>
    <mergeCell ref="BR26:BV26"/>
    <mergeCell ref="A31:E32"/>
    <mergeCell ref="F31:BB32"/>
    <mergeCell ref="BC31:BL32"/>
    <mergeCell ref="BM31:BQ31"/>
    <mergeCell ref="BR31:BV31"/>
    <mergeCell ref="BM32:BQ32"/>
    <mergeCell ref="BR32:BV32"/>
    <mergeCell ref="A29:E30"/>
    <mergeCell ref="F29:BB30"/>
    <mergeCell ref="BC29:BL30"/>
    <mergeCell ref="BM29:BQ29"/>
    <mergeCell ref="BR29:BV29"/>
    <mergeCell ref="BM30:BQ30"/>
    <mergeCell ref="BR30:BV30"/>
    <mergeCell ref="A35:E36"/>
    <mergeCell ref="F35:BB36"/>
    <mergeCell ref="BC35:BL36"/>
    <mergeCell ref="BM35:BQ35"/>
    <mergeCell ref="BR35:BV35"/>
    <mergeCell ref="BM36:BQ36"/>
    <mergeCell ref="BR36:BV36"/>
    <mergeCell ref="A33:E34"/>
    <mergeCell ref="F33:BB34"/>
    <mergeCell ref="BC33:BL34"/>
    <mergeCell ref="BM33:BQ33"/>
    <mergeCell ref="BR33:BV33"/>
    <mergeCell ref="BM34:BQ34"/>
    <mergeCell ref="BR34:BV34"/>
    <mergeCell ref="A39:E40"/>
    <mergeCell ref="F39:BB40"/>
    <mergeCell ref="BC39:BL40"/>
    <mergeCell ref="BM39:BQ39"/>
    <mergeCell ref="BR39:BV39"/>
    <mergeCell ref="BM40:BQ40"/>
    <mergeCell ref="BR40:BV40"/>
    <mergeCell ref="A37:E38"/>
    <mergeCell ref="F37:BB38"/>
    <mergeCell ref="BC37:BL38"/>
    <mergeCell ref="BM37:BQ37"/>
    <mergeCell ref="BR37:BV37"/>
    <mergeCell ref="BM38:BQ38"/>
    <mergeCell ref="BR38:BV38"/>
    <mergeCell ref="A43:E44"/>
    <mergeCell ref="F43:BB44"/>
    <mergeCell ref="BC43:BL44"/>
    <mergeCell ref="BM43:BQ43"/>
    <mergeCell ref="BR43:BV43"/>
    <mergeCell ref="BM44:BQ44"/>
    <mergeCell ref="BR44:BV44"/>
    <mergeCell ref="A41:E42"/>
    <mergeCell ref="F41:BB42"/>
    <mergeCell ref="BC41:BL42"/>
    <mergeCell ref="BM41:BQ41"/>
    <mergeCell ref="BR41:BV41"/>
    <mergeCell ref="BM42:BQ42"/>
    <mergeCell ref="BR42:BV42"/>
  </mergeCells>
  <phoneticPr fontId="9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DD99"/>
  <sheetViews>
    <sheetView showGridLines="0" showZeros="0" view="pageBreakPreview" zoomScaleNormal="100" zoomScaleSheetLayoutView="100" workbookViewId="0">
      <pane ySplit="4" topLeftCell="A5" activePane="bottomLeft" state="frozen"/>
      <selection activeCell="AT31" sqref="AT31"/>
      <selection pane="bottomLeft" activeCell="CP22" sqref="CP22"/>
    </sheetView>
  </sheetViews>
  <sheetFormatPr defaultColWidth="2.125" defaultRowHeight="15.75" customHeight="1"/>
  <cols>
    <col min="1" max="2" width="2.125" style="14" customWidth="1"/>
    <col min="3" max="3" width="2.375" style="15" customWidth="1"/>
    <col min="4" max="4" width="2.125" style="15" customWidth="1"/>
    <col min="5" max="5" width="3" style="15" customWidth="1"/>
    <col min="6" max="9" width="2.125" style="14" customWidth="1"/>
    <col min="10" max="10" width="2.125" style="15" customWidth="1"/>
    <col min="11" max="16" width="2.125" style="14" customWidth="1"/>
    <col min="17" max="17" width="2.125" style="16" customWidth="1"/>
    <col min="18" max="29" width="2.125" style="14" customWidth="1"/>
    <col min="30" max="30" width="66.25" style="14" customWidth="1"/>
    <col min="31" max="59" width="2.125" style="14" customWidth="1"/>
    <col min="60" max="60" width="25.125" style="14" customWidth="1"/>
    <col min="61" max="61" width="2.875" style="14" customWidth="1"/>
    <col min="62" max="62" width="2.125" style="14" customWidth="1"/>
    <col min="63" max="63" width="2.25" style="14" customWidth="1"/>
    <col min="64" max="89" width="2.125" style="14"/>
    <col min="90" max="90" width="75" style="14" customWidth="1"/>
    <col min="91" max="16384" width="2.125" style="14"/>
  </cols>
  <sheetData>
    <row r="1" spans="1:91" s="1" customFormat="1" ht="15.75" customHeight="1">
      <c r="A1" s="597" t="str">
        <f>表紙!A54</f>
        <v>Webシステム</v>
      </c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3"/>
      <c r="O1" s="900" t="s">
        <v>152</v>
      </c>
      <c r="P1" s="901"/>
      <c r="Q1" s="901"/>
      <c r="R1" s="901"/>
      <c r="S1" s="901"/>
      <c r="T1" s="901"/>
      <c r="U1" s="901"/>
      <c r="V1" s="901"/>
      <c r="W1" s="901"/>
      <c r="X1" s="901"/>
      <c r="Y1" s="901"/>
      <c r="Z1" s="901"/>
      <c r="AA1" s="901"/>
      <c r="AB1" s="902"/>
      <c r="AC1" s="903" t="s">
        <v>153</v>
      </c>
      <c r="AD1" s="904"/>
      <c r="AE1" s="904"/>
      <c r="AF1" s="904"/>
      <c r="AG1" s="904"/>
      <c r="AH1" s="904"/>
      <c r="AI1" s="905"/>
      <c r="AJ1" s="583" t="str">
        <f>表紙!AJ63</f>
        <v>MS</v>
      </c>
      <c r="AK1" s="911"/>
      <c r="AL1" s="911"/>
      <c r="AM1" s="911"/>
      <c r="AN1" s="911"/>
      <c r="AO1" s="911"/>
      <c r="AP1" s="912"/>
      <c r="AQ1" s="903" t="s">
        <v>154</v>
      </c>
      <c r="AR1" s="904"/>
      <c r="AS1" s="904"/>
      <c r="AT1" s="904"/>
      <c r="AU1" s="904"/>
      <c r="AV1" s="904"/>
      <c r="AW1" s="905"/>
      <c r="AX1" s="583" t="str">
        <f>表紙!AX63</f>
        <v>Webシステム</v>
      </c>
      <c r="AY1" s="911"/>
      <c r="AZ1" s="911"/>
      <c r="BA1" s="911"/>
      <c r="BB1" s="911"/>
      <c r="BC1" s="911"/>
      <c r="BD1" s="911"/>
      <c r="BE1" s="911"/>
      <c r="BF1" s="911"/>
      <c r="BG1" s="911"/>
      <c r="BH1" s="911"/>
      <c r="BI1" s="911"/>
      <c r="BJ1" s="911"/>
      <c r="BK1" s="912"/>
      <c r="BL1" s="913" t="s">
        <v>101</v>
      </c>
      <c r="BM1" s="914"/>
      <c r="BN1" s="914"/>
      <c r="BO1" s="914"/>
      <c r="BP1" s="914"/>
      <c r="BQ1" s="914"/>
      <c r="BR1" s="914"/>
      <c r="BS1" s="914"/>
      <c r="BT1" s="915"/>
      <c r="BU1" s="916" t="s">
        <v>124</v>
      </c>
      <c r="BV1" s="917"/>
      <c r="BW1" s="917"/>
      <c r="BX1" s="917"/>
      <c r="BY1" s="917"/>
      <c r="BZ1" s="917"/>
      <c r="CA1" s="918"/>
      <c r="CB1" s="916" t="s">
        <v>155</v>
      </c>
      <c r="CC1" s="917"/>
      <c r="CD1" s="917"/>
      <c r="CE1" s="917"/>
      <c r="CF1" s="917"/>
      <c r="CG1" s="917"/>
      <c r="CH1" s="919"/>
    </row>
    <row r="2" spans="1:91" s="1" customFormat="1" ht="15.75" customHeight="1">
      <c r="A2" s="894"/>
      <c r="B2" s="895"/>
      <c r="C2" s="895"/>
      <c r="D2" s="895"/>
      <c r="E2" s="895"/>
      <c r="F2" s="895"/>
      <c r="G2" s="895"/>
      <c r="H2" s="895"/>
      <c r="I2" s="895"/>
      <c r="J2" s="895"/>
      <c r="K2" s="895"/>
      <c r="L2" s="895"/>
      <c r="M2" s="895"/>
      <c r="N2" s="896"/>
      <c r="O2" s="568" t="str">
        <f>表紙!O64</f>
        <v>アドオン設計書</v>
      </c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7"/>
      <c r="AC2" s="908" t="s">
        <v>160</v>
      </c>
      <c r="AD2" s="909"/>
      <c r="AE2" s="909"/>
      <c r="AF2" s="909"/>
      <c r="AG2" s="909"/>
      <c r="AH2" s="909"/>
      <c r="AI2" s="910"/>
      <c r="AJ2" s="573" t="str">
        <f>表紙!AJ64</f>
        <v>MSBB</v>
      </c>
      <c r="AK2" s="574"/>
      <c r="AL2" s="574"/>
      <c r="AM2" s="574"/>
      <c r="AN2" s="574"/>
      <c r="AO2" s="574"/>
      <c r="AP2" s="575"/>
      <c r="AQ2" s="908" t="s">
        <v>161</v>
      </c>
      <c r="AR2" s="909"/>
      <c r="AS2" s="909"/>
      <c r="AT2" s="909"/>
      <c r="AU2" s="909"/>
      <c r="AV2" s="909"/>
      <c r="AW2" s="910"/>
      <c r="AX2" s="576" t="str">
        <f>表紙!AX64</f>
        <v>Web販売管理</v>
      </c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8"/>
      <c r="BL2" s="577" t="str">
        <f>表紙!BL64</f>
        <v>M7-US-1140</v>
      </c>
      <c r="BM2" s="569"/>
      <c r="BN2" s="569"/>
      <c r="BO2" s="569"/>
      <c r="BP2" s="569"/>
      <c r="BQ2" s="569"/>
      <c r="BR2" s="569"/>
      <c r="BS2" s="569"/>
      <c r="BT2" s="578"/>
      <c r="BU2" s="582" t="str">
        <f>表紙!BU64</f>
        <v>7.0.2</v>
      </c>
      <c r="BV2" s="569"/>
      <c r="BW2" s="569"/>
      <c r="BX2" s="569"/>
      <c r="BY2" s="569"/>
      <c r="BZ2" s="569"/>
      <c r="CA2" s="578"/>
      <c r="CB2" s="584">
        <f>表紙!CB64</f>
        <v>1</v>
      </c>
      <c r="CC2" s="569"/>
      <c r="CD2" s="569"/>
      <c r="CE2" s="569"/>
      <c r="CF2" s="569"/>
      <c r="CG2" s="569"/>
      <c r="CH2" s="585"/>
    </row>
    <row r="3" spans="1:91" s="1" customFormat="1" ht="15.75" customHeight="1" thickBot="1">
      <c r="A3" s="897"/>
      <c r="B3" s="898"/>
      <c r="C3" s="898"/>
      <c r="D3" s="898"/>
      <c r="E3" s="898"/>
      <c r="F3" s="898"/>
      <c r="G3" s="898"/>
      <c r="H3" s="898"/>
      <c r="I3" s="898"/>
      <c r="J3" s="898"/>
      <c r="K3" s="898"/>
      <c r="L3" s="898"/>
      <c r="M3" s="898"/>
      <c r="N3" s="899"/>
      <c r="O3" s="587" t="str">
        <f ca="1">RIGHT(CELL("filename",$A$1),LEN(CELL("filename",$A$1))-FIND("]",CELL("filename",$A$1)))</f>
        <v>概要</v>
      </c>
      <c r="P3" s="922"/>
      <c r="Q3" s="922"/>
      <c r="R3" s="922"/>
      <c r="S3" s="922"/>
      <c r="T3" s="922"/>
      <c r="U3" s="922"/>
      <c r="V3" s="922"/>
      <c r="W3" s="922"/>
      <c r="X3" s="922"/>
      <c r="Y3" s="922"/>
      <c r="Z3" s="922"/>
      <c r="AA3" s="922"/>
      <c r="AB3" s="923"/>
      <c r="AC3" s="924" t="s">
        <v>158</v>
      </c>
      <c r="AD3" s="925"/>
      <c r="AE3" s="925"/>
      <c r="AF3" s="925"/>
      <c r="AG3" s="925"/>
      <c r="AH3" s="925"/>
      <c r="AI3" s="926"/>
      <c r="AJ3" s="592" t="str">
        <f>表紙!AJ65</f>
        <v>MSBBPA100</v>
      </c>
      <c r="AK3" s="593"/>
      <c r="AL3" s="593"/>
      <c r="AM3" s="593"/>
      <c r="AN3" s="593"/>
      <c r="AO3" s="593"/>
      <c r="AP3" s="593"/>
      <c r="AQ3" s="594" t="str">
        <f>表紙!AQ65</f>
        <v>WebFSC製品化チェックシート出力</v>
      </c>
      <c r="AR3" s="594"/>
      <c r="AS3" s="594"/>
      <c r="AT3" s="594"/>
      <c r="AU3" s="594"/>
      <c r="AV3" s="594"/>
      <c r="AW3" s="594"/>
      <c r="AX3" s="594"/>
      <c r="AY3" s="594"/>
      <c r="AZ3" s="594"/>
      <c r="BA3" s="594"/>
      <c r="BB3" s="594"/>
      <c r="BC3" s="594"/>
      <c r="BD3" s="594"/>
      <c r="BE3" s="594"/>
      <c r="BF3" s="594"/>
      <c r="BG3" s="594"/>
      <c r="BH3" s="594"/>
      <c r="BI3" s="594"/>
      <c r="BJ3" s="594"/>
      <c r="BK3" s="927"/>
      <c r="BL3" s="579"/>
      <c r="BM3" s="580"/>
      <c r="BN3" s="580"/>
      <c r="BO3" s="580"/>
      <c r="BP3" s="580"/>
      <c r="BQ3" s="580"/>
      <c r="BR3" s="580"/>
      <c r="BS3" s="580"/>
      <c r="BT3" s="581"/>
      <c r="BU3" s="579"/>
      <c r="BV3" s="580"/>
      <c r="BW3" s="580"/>
      <c r="BX3" s="580"/>
      <c r="BY3" s="580"/>
      <c r="BZ3" s="580"/>
      <c r="CA3" s="581"/>
      <c r="CB3" s="579"/>
      <c r="CC3" s="580"/>
      <c r="CD3" s="580"/>
      <c r="CE3" s="580"/>
      <c r="CF3" s="580"/>
      <c r="CG3" s="580"/>
      <c r="CH3" s="586"/>
    </row>
    <row r="4" spans="1:91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91" s="9" customForma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 t="s">
        <v>31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8"/>
    </row>
    <row r="6" spans="1:91" s="11" customFormat="1" ht="15.75" customHeight="1">
      <c r="A6" s="10"/>
      <c r="S6" s="12"/>
      <c r="CH6" s="13"/>
    </row>
    <row r="7" spans="1:91" s="76" customFormat="1" ht="15.75" customHeight="1">
      <c r="A7" s="77"/>
      <c r="B7" s="76" t="s">
        <v>175</v>
      </c>
      <c r="S7" s="88"/>
      <c r="CH7" s="78"/>
    </row>
    <row r="8" spans="1:91" s="76" customFormat="1" ht="15.75" customHeight="1">
      <c r="A8" s="77"/>
      <c r="C8" s="480" t="s">
        <v>28</v>
      </c>
      <c r="D8" s="442"/>
      <c r="E8" s="442"/>
      <c r="F8" s="443"/>
      <c r="G8" s="480" t="s">
        <v>176</v>
      </c>
      <c r="H8" s="442"/>
      <c r="I8" s="442"/>
      <c r="J8" s="442"/>
      <c r="K8" s="442"/>
      <c r="L8" s="442"/>
      <c r="M8" s="442"/>
      <c r="N8" s="442"/>
      <c r="O8" s="442"/>
      <c r="P8" s="442"/>
      <c r="Q8" s="442"/>
      <c r="R8" s="442"/>
      <c r="S8" s="444"/>
      <c r="T8" s="442"/>
      <c r="U8" s="442"/>
      <c r="V8" s="442"/>
      <c r="W8" s="442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  <c r="BA8" s="442"/>
      <c r="BB8" s="442"/>
      <c r="BC8" s="442"/>
      <c r="BD8" s="442"/>
      <c r="BE8" s="442"/>
      <c r="BF8" s="442"/>
      <c r="BG8" s="442"/>
      <c r="BH8" s="442"/>
      <c r="BI8" s="442"/>
      <c r="BJ8" s="442"/>
      <c r="BK8" s="442"/>
      <c r="BL8" s="442"/>
      <c r="BM8" s="442"/>
      <c r="BN8" s="442"/>
      <c r="BO8" s="442"/>
      <c r="BP8" s="442"/>
      <c r="BQ8" s="442"/>
      <c r="BR8" s="442"/>
      <c r="BS8" s="442"/>
      <c r="BT8" s="442"/>
      <c r="BU8" s="442"/>
      <c r="BV8" s="442"/>
      <c r="BW8" s="442"/>
      <c r="BX8" s="442"/>
      <c r="BY8" s="442"/>
      <c r="BZ8" s="443"/>
      <c r="CH8" s="78"/>
    </row>
    <row r="9" spans="1:91" s="76" customFormat="1" ht="15.75" customHeight="1">
      <c r="A9" s="77"/>
      <c r="C9" s="445" t="s">
        <v>177</v>
      </c>
      <c r="D9" s="446"/>
      <c r="E9" s="446"/>
      <c r="F9" s="447"/>
      <c r="G9" s="445"/>
      <c r="H9" s="446"/>
      <c r="I9" s="446"/>
      <c r="J9" s="446"/>
      <c r="K9" s="446"/>
      <c r="L9" s="446"/>
      <c r="M9" s="446"/>
      <c r="N9" s="446"/>
      <c r="O9" s="446"/>
      <c r="P9" s="446"/>
      <c r="Q9" s="446"/>
      <c r="R9" s="446"/>
      <c r="S9" s="448"/>
      <c r="T9" s="446"/>
      <c r="U9" s="446"/>
      <c r="V9" s="446"/>
      <c r="W9" s="446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  <c r="BF9" s="446"/>
      <c r="BG9" s="446"/>
      <c r="BH9" s="446"/>
      <c r="BI9" s="446"/>
      <c r="BJ9" s="446"/>
      <c r="BK9" s="446"/>
      <c r="BL9" s="446"/>
      <c r="BM9" s="446"/>
      <c r="BN9" s="446"/>
      <c r="BO9" s="446"/>
      <c r="BP9" s="446"/>
      <c r="BQ9" s="446"/>
      <c r="BR9" s="446"/>
      <c r="BS9" s="446"/>
      <c r="BT9" s="446"/>
      <c r="BU9" s="446"/>
      <c r="BV9" s="446"/>
      <c r="BW9" s="446"/>
      <c r="BX9" s="446"/>
      <c r="BY9" s="446"/>
      <c r="BZ9" s="447"/>
      <c r="CH9" s="78"/>
    </row>
    <row r="10" spans="1:91" s="76" customFormat="1" ht="15.75" customHeight="1">
      <c r="A10" s="77"/>
      <c r="C10" s="889">
        <v>54</v>
      </c>
      <c r="D10" s="890"/>
      <c r="E10" s="890"/>
      <c r="F10" s="891"/>
      <c r="G10" s="247" t="s">
        <v>178</v>
      </c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9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41"/>
      <c r="CH10" s="78"/>
    </row>
    <row r="11" spans="1:91" s="76" customFormat="1" ht="15.75" customHeight="1">
      <c r="A11" s="77"/>
      <c r="C11" s="81"/>
      <c r="F11" s="82"/>
      <c r="G11" s="81" t="s">
        <v>179</v>
      </c>
      <c r="S11" s="88"/>
      <c r="BZ11" s="82"/>
      <c r="CH11" s="78"/>
    </row>
    <row r="12" spans="1:91" s="76" customFormat="1" ht="15.75" customHeight="1">
      <c r="A12" s="77"/>
      <c r="C12" s="81"/>
      <c r="F12" s="82"/>
      <c r="G12" s="81" t="s">
        <v>180</v>
      </c>
      <c r="S12" s="88"/>
      <c r="BZ12" s="82"/>
      <c r="CH12" s="78"/>
    </row>
    <row r="13" spans="1:91" s="76" customFormat="1" ht="15.75" customHeight="1">
      <c r="A13" s="77"/>
      <c r="C13" s="83"/>
      <c r="D13" s="84"/>
      <c r="E13" s="84"/>
      <c r="F13" s="85"/>
      <c r="G13" s="83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9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5"/>
      <c r="CH13" s="78"/>
    </row>
    <row r="14" spans="1:91" s="76" customFormat="1" ht="15.75" customHeight="1">
      <c r="A14" s="77"/>
      <c r="S14" s="88"/>
      <c r="CH14" s="78"/>
    </row>
    <row r="15" spans="1:91" s="76" customFormat="1" ht="15.75" customHeight="1">
      <c r="A15" s="77"/>
      <c r="B15" s="76" t="s">
        <v>181</v>
      </c>
      <c r="S15" s="88"/>
      <c r="CH15" s="78"/>
    </row>
    <row r="16" spans="1:91" s="76" customFormat="1" ht="15.75" customHeight="1">
      <c r="A16" s="77"/>
      <c r="C16" s="87" t="s">
        <v>182</v>
      </c>
      <c r="D16" s="76" t="s">
        <v>183</v>
      </c>
      <c r="S16" s="88"/>
      <c r="X16" s="86" t="s">
        <v>184</v>
      </c>
      <c r="Y16" s="86"/>
      <c r="Z16" s="86"/>
      <c r="AA16" s="86"/>
      <c r="AB16" s="86"/>
      <c r="CH16" s="78"/>
      <c r="CJ16" s="481" t="s">
        <v>185</v>
      </c>
      <c r="CM16" s="86" t="s">
        <v>186</v>
      </c>
    </row>
    <row r="17" spans="1:108" s="76" customFormat="1" ht="15.75" customHeight="1">
      <c r="A17" s="77"/>
      <c r="S17" s="88"/>
      <c r="X17" s="86"/>
      <c r="Y17" s="86"/>
      <c r="Z17" s="86"/>
      <c r="AA17" s="86" t="s">
        <v>187</v>
      </c>
      <c r="AB17" s="86"/>
      <c r="CH17" s="78"/>
      <c r="CJ17" s="482" t="s">
        <v>188</v>
      </c>
      <c r="CV17" s="86" t="s">
        <v>189</v>
      </c>
    </row>
    <row r="18" spans="1:108" s="76" customFormat="1" ht="15.75" customHeight="1">
      <c r="A18" s="77"/>
      <c r="B18" s="76" t="s">
        <v>190</v>
      </c>
      <c r="S18" s="88"/>
      <c r="X18" s="920" t="s">
        <v>191</v>
      </c>
      <c r="Y18" s="920"/>
      <c r="Z18" s="920"/>
      <c r="AA18" s="920"/>
      <c r="AB18" s="920"/>
      <c r="AC18" s="920"/>
      <c r="AD18" s="920"/>
      <c r="AE18" s="920"/>
      <c r="AF18" s="920"/>
      <c r="AG18" s="920"/>
      <c r="AH18" s="920"/>
      <c r="AI18" s="920"/>
      <c r="AJ18" s="920"/>
      <c r="AK18" s="920"/>
      <c r="AL18" s="920"/>
      <c r="AM18" s="920"/>
      <c r="AN18" s="920"/>
      <c r="AO18" s="920"/>
      <c r="AP18" s="920"/>
      <c r="AQ18" s="920"/>
      <c r="CH18" s="78"/>
      <c r="CK18" s="482" t="s">
        <v>192</v>
      </c>
      <c r="CV18" s="86" t="s">
        <v>193</v>
      </c>
    </row>
    <row r="19" spans="1:108" s="76" customFormat="1" ht="15.75" customHeight="1">
      <c r="A19" s="77"/>
      <c r="C19" s="87" t="s">
        <v>182</v>
      </c>
      <c r="D19" s="76" t="s">
        <v>194</v>
      </c>
      <c r="S19" s="88"/>
      <c r="X19" s="920"/>
      <c r="Y19" s="920"/>
      <c r="Z19" s="920"/>
      <c r="AA19" s="920"/>
      <c r="AB19" s="920"/>
      <c r="AC19" s="920"/>
      <c r="AD19" s="920"/>
      <c r="AE19" s="920"/>
      <c r="AF19" s="920"/>
      <c r="AG19" s="920"/>
      <c r="AH19" s="920"/>
      <c r="AI19" s="920"/>
      <c r="AJ19" s="920"/>
      <c r="AK19" s="920"/>
      <c r="AL19" s="920"/>
      <c r="AM19" s="920"/>
      <c r="AN19" s="920"/>
      <c r="AO19" s="920"/>
      <c r="AP19" s="920"/>
      <c r="AQ19" s="920"/>
      <c r="CH19" s="78"/>
      <c r="CW19" s="481" t="s">
        <v>195</v>
      </c>
    </row>
    <row r="20" spans="1:108" s="76" customFormat="1" ht="15.75" customHeight="1">
      <c r="A20" s="77"/>
      <c r="C20" s="87" t="s">
        <v>196</v>
      </c>
      <c r="D20" s="76" t="s">
        <v>197</v>
      </c>
      <c r="S20" s="88"/>
      <c r="X20" s="920"/>
      <c r="Y20" s="920"/>
      <c r="Z20" s="920"/>
      <c r="AA20" s="920"/>
      <c r="AB20" s="920"/>
      <c r="AC20" s="920"/>
      <c r="AD20" s="920"/>
      <c r="AE20" s="920"/>
      <c r="AF20" s="920"/>
      <c r="AG20" s="920"/>
      <c r="AH20" s="920"/>
      <c r="AI20" s="920"/>
      <c r="AJ20" s="920"/>
      <c r="AK20" s="920"/>
      <c r="AL20" s="920"/>
      <c r="AM20" s="920"/>
      <c r="AN20" s="920"/>
      <c r="AO20" s="920"/>
      <c r="AP20" s="920"/>
      <c r="AQ20" s="920"/>
      <c r="CH20" s="78"/>
      <c r="CJ20" s="481" t="s">
        <v>198</v>
      </c>
      <c r="CW20" s="481" t="s">
        <v>199</v>
      </c>
    </row>
    <row r="21" spans="1:108" s="76" customFormat="1" ht="15.75" customHeight="1">
      <c r="A21" s="77"/>
      <c r="C21" s="87"/>
      <c r="D21" s="76" t="s">
        <v>200</v>
      </c>
      <c r="S21" s="88"/>
      <c r="X21" s="920"/>
      <c r="Y21" s="920"/>
      <c r="Z21" s="920"/>
      <c r="AA21" s="920"/>
      <c r="AB21" s="920"/>
      <c r="AC21" s="920"/>
      <c r="AD21" s="920"/>
      <c r="AE21" s="920"/>
      <c r="AF21" s="920"/>
      <c r="AG21" s="920"/>
      <c r="AH21" s="920"/>
      <c r="AI21" s="920"/>
      <c r="AJ21" s="920"/>
      <c r="AK21" s="920"/>
      <c r="AL21" s="920"/>
      <c r="AM21" s="920"/>
      <c r="AN21" s="920"/>
      <c r="AO21" s="920"/>
      <c r="AP21" s="920"/>
      <c r="AQ21" s="920"/>
      <c r="CH21" s="78"/>
      <c r="CJ21" s="481" t="s">
        <v>201</v>
      </c>
      <c r="CW21" s="481" t="s">
        <v>202</v>
      </c>
    </row>
    <row r="22" spans="1:108" s="76" customFormat="1" ht="15.75" customHeight="1">
      <c r="A22" s="77"/>
      <c r="C22" s="87" t="s">
        <v>203</v>
      </c>
      <c r="D22" s="76" t="s">
        <v>204</v>
      </c>
      <c r="S22" s="88"/>
      <c r="CH22" s="78"/>
      <c r="CL22" s="483" t="s">
        <v>205</v>
      </c>
      <c r="CX22" s="86" t="s">
        <v>206</v>
      </c>
      <c r="CY22" s="86"/>
      <c r="CZ22" s="86"/>
      <c r="DA22" s="86"/>
      <c r="DB22" s="86"/>
      <c r="DC22" s="86"/>
      <c r="DD22" s="86"/>
    </row>
    <row r="23" spans="1:108" s="76" customFormat="1" ht="15.75" customHeight="1">
      <c r="A23" s="77"/>
      <c r="C23" s="87" t="s">
        <v>207</v>
      </c>
      <c r="D23" s="76" t="s">
        <v>208</v>
      </c>
      <c r="S23" s="88"/>
      <c r="CH23" s="78"/>
      <c r="CX23" s="86"/>
      <c r="CY23" s="86"/>
      <c r="CZ23" s="86"/>
      <c r="DA23" s="86"/>
      <c r="DB23" s="86"/>
      <c r="DC23" s="86"/>
      <c r="DD23" s="86" t="s">
        <v>209</v>
      </c>
    </row>
    <row r="24" spans="1:108" s="76" customFormat="1" ht="15.75" customHeight="1">
      <c r="A24" s="77"/>
      <c r="C24" s="87" t="s">
        <v>210</v>
      </c>
      <c r="D24" s="76" t="s">
        <v>211</v>
      </c>
      <c r="S24" s="88"/>
      <c r="CH24" s="78"/>
      <c r="DB24" s="86" t="s">
        <v>212</v>
      </c>
    </row>
    <row r="25" spans="1:108" s="76" customFormat="1" ht="15.75" customHeight="1">
      <c r="A25" s="77"/>
      <c r="C25" s="87" t="s">
        <v>213</v>
      </c>
      <c r="D25" s="76" t="s">
        <v>214</v>
      </c>
      <c r="S25" s="88"/>
      <c r="CH25" s="78"/>
      <c r="DB25" s="86"/>
      <c r="DC25" s="481" t="s">
        <v>215</v>
      </c>
    </row>
    <row r="26" spans="1:108" s="76" customFormat="1" ht="15.75" customHeight="1">
      <c r="A26" s="77"/>
      <c r="C26" s="87"/>
      <c r="D26" s="76" t="s">
        <v>216</v>
      </c>
      <c r="S26" s="88"/>
      <c r="CH26" s="78"/>
      <c r="DC26" s="86" t="s">
        <v>217</v>
      </c>
    </row>
    <row r="27" spans="1:108" s="76" customFormat="1" ht="15.75" customHeight="1">
      <c r="A27" s="77"/>
      <c r="C27" s="87" t="s">
        <v>218</v>
      </c>
      <c r="D27" s="87" t="s">
        <v>219</v>
      </c>
      <c r="S27" s="88"/>
      <c r="AC27" s="921" t="s">
        <v>220</v>
      </c>
      <c r="AD27" s="921"/>
      <c r="AE27" s="921"/>
      <c r="AF27" s="921"/>
      <c r="AG27" s="921"/>
      <c r="AH27" s="921"/>
      <c r="AI27" s="921"/>
      <c r="AJ27" s="921"/>
      <c r="AK27" s="921"/>
      <c r="AL27" s="921"/>
      <c r="AM27" s="921"/>
      <c r="AN27" s="921"/>
      <c r="AO27" s="921"/>
      <c r="AP27" s="921"/>
      <c r="AQ27" s="921"/>
      <c r="AR27" s="921"/>
      <c r="AS27" s="921"/>
      <c r="AT27" s="921"/>
      <c r="AU27" s="921"/>
      <c r="AV27" s="921"/>
      <c r="AW27" s="921"/>
      <c r="AX27" s="921"/>
      <c r="AY27" s="921"/>
      <c r="AZ27" s="921"/>
      <c r="BA27" s="921"/>
      <c r="BB27" s="921"/>
      <c r="BC27" s="921"/>
      <c r="BD27" s="921"/>
      <c r="BE27" s="921"/>
      <c r="BF27" s="921"/>
      <c r="BG27" s="921"/>
      <c r="BH27" s="921"/>
      <c r="CH27" s="78"/>
      <c r="CJ27" s="481" t="s">
        <v>221</v>
      </c>
    </row>
    <row r="28" spans="1:108" s="76" customFormat="1" ht="15.75" customHeight="1">
      <c r="A28" s="77"/>
      <c r="C28" s="87"/>
      <c r="S28" s="88"/>
      <c r="AC28" s="921"/>
      <c r="AD28" s="921"/>
      <c r="AE28" s="921"/>
      <c r="AF28" s="921"/>
      <c r="AG28" s="921"/>
      <c r="AH28" s="921"/>
      <c r="AI28" s="921"/>
      <c r="AJ28" s="921"/>
      <c r="AK28" s="921"/>
      <c r="AL28" s="921"/>
      <c r="AM28" s="921"/>
      <c r="AN28" s="921"/>
      <c r="AO28" s="921"/>
      <c r="AP28" s="921"/>
      <c r="AQ28" s="921"/>
      <c r="AR28" s="921"/>
      <c r="AS28" s="921"/>
      <c r="AT28" s="921"/>
      <c r="AU28" s="921"/>
      <c r="AV28" s="921"/>
      <c r="AW28" s="921"/>
      <c r="AX28" s="921"/>
      <c r="AY28" s="921"/>
      <c r="AZ28" s="921"/>
      <c r="BA28" s="921"/>
      <c r="BB28" s="921"/>
      <c r="BC28" s="921"/>
      <c r="BD28" s="921"/>
      <c r="BE28" s="921"/>
      <c r="BF28" s="921"/>
      <c r="BG28" s="921"/>
      <c r="BH28" s="921"/>
      <c r="CH28" s="78"/>
      <c r="CJ28" s="482" t="s">
        <v>222</v>
      </c>
    </row>
    <row r="29" spans="1:108" s="76" customFormat="1" ht="15.75" customHeight="1">
      <c r="A29" s="77"/>
      <c r="B29" s="76" t="s">
        <v>223</v>
      </c>
      <c r="C29" s="87"/>
      <c r="S29" s="88"/>
      <c r="CH29" s="78"/>
      <c r="CJ29" s="482" t="s">
        <v>224</v>
      </c>
    </row>
    <row r="30" spans="1:108" s="76" customFormat="1" ht="15.75" customHeight="1">
      <c r="A30" s="77"/>
      <c r="C30" s="87"/>
      <c r="S30" s="88"/>
      <c r="CH30" s="78"/>
      <c r="CJ30" s="482" t="s">
        <v>225</v>
      </c>
    </row>
    <row r="31" spans="1:108" s="76" customFormat="1" ht="15.75" customHeight="1">
      <c r="A31" s="77"/>
      <c r="C31" s="87"/>
      <c r="S31" s="88"/>
      <c r="CH31" s="78"/>
      <c r="CL31" s="483" t="s">
        <v>205</v>
      </c>
    </row>
    <row r="32" spans="1:108" s="76" customFormat="1" ht="15.75" customHeight="1">
      <c r="A32" s="77"/>
      <c r="C32" s="87"/>
      <c r="S32" s="88"/>
      <c r="CH32" s="78"/>
    </row>
    <row r="33" spans="1:86" s="76" customFormat="1" ht="15.75" customHeight="1">
      <c r="A33" s="77"/>
      <c r="C33" s="87"/>
      <c r="S33" s="88"/>
      <c r="CH33" s="78"/>
    </row>
    <row r="34" spans="1:86" s="76" customFormat="1" ht="15.75" customHeight="1">
      <c r="A34" s="77"/>
      <c r="C34" s="87"/>
      <c r="S34" s="88"/>
      <c r="CH34" s="78"/>
    </row>
    <row r="35" spans="1:86" s="76" customFormat="1" ht="15.75" customHeight="1">
      <c r="A35" s="77"/>
      <c r="C35" s="87"/>
      <c r="S35" s="88"/>
      <c r="CH35" s="78"/>
    </row>
    <row r="36" spans="1:86" s="76" customFormat="1" ht="15.75" customHeight="1">
      <c r="A36" s="77"/>
      <c r="C36" s="87"/>
      <c r="S36" s="88"/>
      <c r="CH36" s="78"/>
    </row>
    <row r="37" spans="1:86" s="76" customFormat="1" ht="15.75" customHeight="1">
      <c r="A37" s="77"/>
      <c r="C37" s="87"/>
      <c r="S37" s="88"/>
      <c r="CH37" s="78"/>
    </row>
    <row r="38" spans="1:86" s="76" customFormat="1" ht="15.75" customHeight="1">
      <c r="A38" s="77"/>
      <c r="C38" s="87"/>
      <c r="S38" s="88"/>
      <c r="CH38" s="78"/>
    </row>
    <row r="39" spans="1:86" s="76" customFormat="1" ht="15.75" customHeight="1">
      <c r="A39" s="77"/>
      <c r="C39" s="87"/>
      <c r="S39" s="88"/>
      <c r="CH39" s="78"/>
    </row>
    <row r="40" spans="1:86" s="76" customFormat="1" ht="15.75" customHeight="1">
      <c r="A40" s="77"/>
      <c r="C40" s="87"/>
      <c r="S40" s="88"/>
      <c r="CH40" s="78"/>
    </row>
    <row r="41" spans="1:86" s="76" customFormat="1" ht="15.75" customHeight="1">
      <c r="A41" s="77"/>
      <c r="C41" s="87"/>
      <c r="S41" s="88"/>
      <c r="CH41" s="78"/>
    </row>
    <row r="42" spans="1:86" s="76" customFormat="1" ht="15.75" customHeight="1">
      <c r="A42" s="77"/>
      <c r="C42" s="87"/>
      <c r="S42" s="88"/>
      <c r="CH42" s="78"/>
    </row>
    <row r="43" spans="1:86" s="76" customFormat="1" ht="15.75" customHeight="1">
      <c r="A43" s="77"/>
      <c r="C43" s="87"/>
      <c r="S43" s="88"/>
      <c r="CH43" s="78"/>
    </row>
    <row r="44" spans="1:86" s="76" customFormat="1" ht="15.75" customHeight="1">
      <c r="A44" s="77"/>
      <c r="C44" s="87"/>
      <c r="S44" s="88"/>
      <c r="CH44" s="78"/>
    </row>
    <row r="45" spans="1:86" s="76" customFormat="1" ht="15.75" customHeight="1">
      <c r="A45" s="77"/>
      <c r="C45" s="87"/>
      <c r="S45" s="88"/>
      <c r="CH45" s="78"/>
    </row>
    <row r="46" spans="1:86" s="76" customFormat="1" ht="15.75" customHeight="1">
      <c r="A46" s="77"/>
      <c r="C46" s="87"/>
      <c r="S46" s="88"/>
      <c r="CH46" s="78"/>
    </row>
    <row r="47" spans="1:86" s="76" customFormat="1" ht="15.75" customHeight="1">
      <c r="A47" s="77"/>
      <c r="C47" s="87"/>
      <c r="S47" s="88"/>
      <c r="CH47" s="78"/>
    </row>
    <row r="48" spans="1:86" s="76" customFormat="1" ht="15.75" customHeight="1">
      <c r="A48" s="77"/>
      <c r="C48" s="87"/>
      <c r="S48" s="88"/>
      <c r="CH48" s="78"/>
    </row>
    <row r="49" spans="1:86" s="76" customFormat="1" ht="15.75" customHeight="1">
      <c r="A49" s="77"/>
      <c r="C49" s="87"/>
      <c r="S49" s="88"/>
      <c r="CH49" s="78"/>
    </row>
    <row r="50" spans="1:86" s="76" customFormat="1" ht="15.75" customHeight="1">
      <c r="A50" s="77"/>
      <c r="C50" s="87"/>
      <c r="S50" s="88"/>
      <c r="CH50" s="78"/>
    </row>
    <row r="51" spans="1:86" s="76" customFormat="1" ht="15.75" customHeight="1">
      <c r="A51" s="77"/>
      <c r="C51" s="87"/>
      <c r="S51" s="88"/>
      <c r="CH51" s="78"/>
    </row>
    <row r="52" spans="1:86" s="76" customFormat="1" ht="15.75" customHeight="1">
      <c r="A52" s="77"/>
      <c r="C52" s="87"/>
      <c r="S52" s="88"/>
      <c r="CH52" s="78"/>
    </row>
    <row r="53" spans="1:86" s="76" customFormat="1" ht="15.75" customHeight="1">
      <c r="A53" s="77"/>
      <c r="C53" s="87"/>
      <c r="S53" s="88"/>
      <c r="CH53" s="78"/>
    </row>
    <row r="54" spans="1:86" s="76" customFormat="1" ht="15.75" customHeight="1">
      <c r="A54" s="77"/>
      <c r="C54" s="87"/>
      <c r="S54" s="88"/>
      <c r="CH54" s="78"/>
    </row>
    <row r="55" spans="1:86" s="76" customFormat="1" ht="15.75" customHeight="1">
      <c r="A55" s="77"/>
      <c r="C55" s="87"/>
      <c r="S55" s="88"/>
      <c r="CH55" s="78"/>
    </row>
    <row r="56" spans="1:86" s="76" customFormat="1" ht="15.75" customHeight="1">
      <c r="A56" s="77"/>
      <c r="C56" s="87"/>
      <c r="S56" s="88"/>
      <c r="CH56" s="78"/>
    </row>
    <row r="57" spans="1:86" s="76" customFormat="1" ht="15.75" customHeight="1">
      <c r="A57" s="77"/>
      <c r="C57" s="87"/>
      <c r="S57" s="88"/>
      <c r="CH57" s="78"/>
    </row>
    <row r="58" spans="1:86" s="76" customFormat="1" ht="15.75" customHeight="1">
      <c r="A58" s="77"/>
      <c r="C58" s="87"/>
      <c r="S58" s="88"/>
      <c r="CH58" s="78"/>
    </row>
    <row r="59" spans="1:86" s="76" customFormat="1" ht="15.75" customHeight="1">
      <c r="A59" s="77"/>
      <c r="C59" s="87"/>
      <c r="S59" s="88"/>
      <c r="CH59" s="78"/>
    </row>
    <row r="60" spans="1:86" s="76" customFormat="1" ht="15.75" customHeight="1">
      <c r="A60" s="77"/>
      <c r="C60" s="87"/>
      <c r="S60" s="88"/>
      <c r="CH60" s="78"/>
    </row>
    <row r="61" spans="1:86" s="76" customFormat="1" ht="15.75" customHeight="1">
      <c r="A61" s="77"/>
      <c r="C61" s="87"/>
      <c r="S61" s="88"/>
      <c r="CH61" s="78"/>
    </row>
    <row r="62" spans="1:86" s="76" customFormat="1" ht="15.75" customHeight="1">
      <c r="A62" s="77"/>
      <c r="C62" s="87"/>
      <c r="S62" s="88"/>
      <c r="CH62" s="78"/>
    </row>
    <row r="63" spans="1:86" s="76" customFormat="1" ht="15.75" customHeight="1">
      <c r="A63" s="77"/>
      <c r="D63" s="87"/>
      <c r="P63" s="88"/>
      <c r="CH63" s="78"/>
    </row>
    <row r="64" spans="1:86" s="76" customFormat="1" ht="15.75" customHeight="1">
      <c r="A64" s="77"/>
      <c r="B64" s="76" t="s">
        <v>226</v>
      </c>
      <c r="AD64" s="86"/>
      <c r="CH64" s="78"/>
    </row>
    <row r="65" spans="1:86" s="76" customFormat="1" ht="15.75" customHeight="1">
      <c r="A65" s="77"/>
      <c r="C65" s="76" t="s">
        <v>227</v>
      </c>
      <c r="E65" s="90"/>
      <c r="AD65" s="86"/>
      <c r="CH65" s="78"/>
    </row>
    <row r="66" spans="1:86" s="76" customFormat="1" ht="15.75" customHeight="1">
      <c r="A66" s="77"/>
      <c r="F66" s="75"/>
      <c r="AE66" s="86"/>
      <c r="CH66" s="78"/>
    </row>
    <row r="67" spans="1:86" s="76" customFormat="1" ht="15.75" customHeight="1">
      <c r="A67" s="77"/>
      <c r="B67" s="76" t="s">
        <v>228</v>
      </c>
      <c r="Q67" s="88"/>
      <c r="CH67" s="78"/>
    </row>
    <row r="68" spans="1:86" s="76" customFormat="1" ht="15.75" customHeight="1">
      <c r="A68" s="77"/>
      <c r="C68" s="470" t="s">
        <v>229</v>
      </c>
      <c r="D68" s="112"/>
      <c r="E68" s="112"/>
      <c r="F68" s="112"/>
      <c r="G68" s="112"/>
      <c r="H68" s="113"/>
      <c r="I68" s="113"/>
      <c r="J68" s="113"/>
      <c r="K68" s="112"/>
      <c r="L68" s="112"/>
      <c r="M68" s="112"/>
      <c r="N68" s="112"/>
      <c r="O68" s="112"/>
      <c r="P68" s="112"/>
      <c r="Q68" s="449" t="s">
        <v>230</v>
      </c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449" t="s">
        <v>231</v>
      </c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449" t="s">
        <v>232</v>
      </c>
      <c r="BW68" s="135"/>
      <c r="BX68" s="135"/>
      <c r="BY68" s="135"/>
      <c r="BZ68" s="135"/>
      <c r="CA68" s="135"/>
      <c r="CB68" s="135"/>
      <c r="CC68" s="135"/>
      <c r="CD68" s="135"/>
      <c r="CE68" s="135"/>
      <c r="CF68" s="135"/>
      <c r="CG68" s="136"/>
      <c r="CH68" s="78"/>
    </row>
    <row r="69" spans="1:86" s="76" customFormat="1" ht="15.75" customHeight="1">
      <c r="A69" s="77"/>
      <c r="C69" s="471" t="s">
        <v>233</v>
      </c>
      <c r="D69" s="105"/>
      <c r="E69" s="105"/>
      <c r="F69" s="105"/>
      <c r="G69" s="105"/>
      <c r="H69" s="105"/>
      <c r="I69" s="105"/>
      <c r="J69" s="106"/>
      <c r="K69" s="105"/>
      <c r="L69" s="105"/>
      <c r="M69" s="105"/>
      <c r="N69" s="105"/>
      <c r="O69" s="105"/>
      <c r="P69" s="107"/>
      <c r="Q69" s="471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471" t="s">
        <v>234</v>
      </c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3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472" t="s">
        <v>235</v>
      </c>
      <c r="BW69" s="105"/>
      <c r="BX69" s="105"/>
      <c r="BY69" s="105"/>
      <c r="BZ69" s="105"/>
      <c r="CA69" s="105"/>
      <c r="CB69" s="105"/>
      <c r="CC69" s="105"/>
      <c r="CD69" s="105"/>
      <c r="CE69" s="105"/>
      <c r="CF69" s="105"/>
      <c r="CG69" s="107"/>
      <c r="CH69" s="78"/>
    </row>
    <row r="70" spans="1:86" s="76" customFormat="1" ht="15.75" customHeight="1">
      <c r="A70" s="77"/>
      <c r="C70" s="108" t="s">
        <v>236</v>
      </c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10"/>
      <c r="Q70" s="108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8" t="s">
        <v>237</v>
      </c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11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10"/>
      <c r="CH70" s="78"/>
    </row>
    <row r="71" spans="1:86" s="76" customFormat="1" ht="15.75" customHeight="1">
      <c r="A71" s="77"/>
      <c r="C71" s="471" t="s">
        <v>238</v>
      </c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7"/>
      <c r="Q71" s="471" t="s">
        <v>239</v>
      </c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471" t="s">
        <v>240</v>
      </c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472" t="s">
        <v>241</v>
      </c>
      <c r="BW71" s="105"/>
      <c r="BX71" s="105"/>
      <c r="BY71" s="105"/>
      <c r="BZ71" s="105"/>
      <c r="CA71" s="105"/>
      <c r="CB71" s="105"/>
      <c r="CC71" s="105"/>
      <c r="CD71" s="105"/>
      <c r="CE71" s="105"/>
      <c r="CF71" s="105"/>
      <c r="CG71" s="107"/>
      <c r="CH71" s="78"/>
    </row>
    <row r="72" spans="1:86" s="76" customFormat="1" ht="15.75" customHeight="1">
      <c r="A72" s="77"/>
      <c r="C72" s="455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456"/>
      <c r="Q72" s="455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455" t="s">
        <v>242</v>
      </c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457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456"/>
      <c r="CH72" s="78"/>
    </row>
    <row r="73" spans="1:86" s="76" customFormat="1" ht="15.75" customHeight="1">
      <c r="A73" s="77"/>
      <c r="C73" s="455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456"/>
      <c r="Q73" s="471" t="s">
        <v>243</v>
      </c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471" t="s">
        <v>240</v>
      </c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472" t="s">
        <v>241</v>
      </c>
      <c r="BW73" s="105"/>
      <c r="BX73" s="105"/>
      <c r="BY73" s="105"/>
      <c r="BZ73" s="105"/>
      <c r="CA73" s="105"/>
      <c r="CB73" s="105"/>
      <c r="CC73" s="105"/>
      <c r="CD73" s="105"/>
      <c r="CE73" s="105"/>
      <c r="CF73" s="105"/>
      <c r="CG73" s="107"/>
      <c r="CH73" s="78"/>
    </row>
    <row r="74" spans="1:86" s="76" customFormat="1" ht="15.75" customHeight="1">
      <c r="A74" s="77"/>
      <c r="C74" s="455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456"/>
      <c r="Q74" s="455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456"/>
      <c r="AT74" s="455" t="s">
        <v>244</v>
      </c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456"/>
      <c r="BV74" s="457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456"/>
      <c r="CH74" s="78"/>
    </row>
    <row r="75" spans="1:86" s="76" customFormat="1" ht="15.75" customHeight="1">
      <c r="A75" s="77"/>
      <c r="C75" s="108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10"/>
      <c r="Q75" s="108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10"/>
      <c r="AT75" s="108" t="s">
        <v>245</v>
      </c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10"/>
      <c r="BV75" s="111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10"/>
      <c r="CH75" s="78"/>
    </row>
    <row r="76" spans="1:86" s="76" customFormat="1" ht="15.75" customHeight="1">
      <c r="A76" s="77"/>
      <c r="Q76" s="88"/>
      <c r="CH76" s="78"/>
    </row>
    <row r="77" spans="1:86" s="76" customFormat="1" ht="15.75" customHeight="1">
      <c r="A77" s="77"/>
      <c r="B77" s="76" t="s">
        <v>246</v>
      </c>
      <c r="Q77" s="88"/>
      <c r="CH77" s="78"/>
    </row>
    <row r="78" spans="1:86" s="76" customFormat="1" ht="15.75" customHeight="1">
      <c r="A78" s="77"/>
      <c r="C78" s="277" t="s">
        <v>247</v>
      </c>
      <c r="Q78" s="88"/>
      <c r="CH78" s="78"/>
    </row>
    <row r="79" spans="1:86" s="76" customFormat="1" ht="15.75" customHeight="1">
      <c r="A79" s="77"/>
      <c r="E79" s="87"/>
      <c r="Q79" s="88"/>
      <c r="CH79" s="78"/>
    </row>
    <row r="80" spans="1:86" s="76" customFormat="1" ht="15.75" customHeight="1">
      <c r="A80" s="77"/>
      <c r="B80" s="76" t="s">
        <v>248</v>
      </c>
      <c r="E80" s="86"/>
      <c r="F80" s="86"/>
      <c r="G80" s="86"/>
      <c r="CH80" s="78"/>
    </row>
    <row r="81" spans="1:86" s="11" customFormat="1" ht="15.75" customHeight="1">
      <c r="A81" s="450"/>
      <c r="B81" s="172"/>
      <c r="C81" s="172" t="s">
        <v>249</v>
      </c>
      <c r="D81" s="172"/>
      <c r="E81" s="451"/>
      <c r="F81" s="451"/>
      <c r="G81" s="451"/>
      <c r="H81" s="172"/>
      <c r="I81" s="172"/>
      <c r="J81" s="172"/>
      <c r="K81" s="172"/>
      <c r="L81" s="172"/>
      <c r="M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452"/>
    </row>
    <row r="82" spans="1:86" s="11" customFormat="1" ht="15.75" customHeight="1">
      <c r="A82" s="450"/>
      <c r="B82" s="172"/>
      <c r="C82" s="172" t="s">
        <v>250</v>
      </c>
      <c r="D82" s="172"/>
      <c r="E82" s="451"/>
      <c r="F82" s="451"/>
      <c r="G82" s="451"/>
      <c r="H82" s="172"/>
      <c r="I82" s="172"/>
      <c r="J82" s="172"/>
      <c r="K82" s="172"/>
      <c r="L82" s="172"/>
      <c r="M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452"/>
    </row>
    <row r="83" spans="1:86" s="76" customFormat="1" ht="15.75" customHeight="1">
      <c r="A83" s="77"/>
      <c r="CH83" s="78"/>
    </row>
    <row r="84" spans="1:86" s="76" customFormat="1" ht="15.75" customHeight="1">
      <c r="A84" s="77"/>
      <c r="B84" s="76" t="s">
        <v>251</v>
      </c>
      <c r="CH84" s="78"/>
    </row>
    <row r="85" spans="1:86" s="76" customFormat="1" ht="15.75" customHeight="1">
      <c r="A85" s="77"/>
      <c r="C85" s="76" t="s">
        <v>252</v>
      </c>
      <c r="E85" s="86"/>
      <c r="F85" s="86"/>
      <c r="G85" s="86"/>
      <c r="CH85" s="78"/>
    </row>
    <row r="86" spans="1:86" s="76" customFormat="1" ht="15.75" customHeight="1">
      <c r="A86" s="77"/>
      <c r="Q86" s="88"/>
      <c r="CH86" s="78"/>
    </row>
    <row r="87" spans="1:86" s="76" customFormat="1" ht="15.75" customHeight="1">
      <c r="A87" s="77"/>
      <c r="B87" s="76" t="s">
        <v>253</v>
      </c>
      <c r="Q87" s="88"/>
      <c r="CH87" s="78"/>
    </row>
    <row r="88" spans="1:86" s="76" customFormat="1" ht="15.75" customHeight="1">
      <c r="A88" s="77"/>
      <c r="C88" s="76" t="s">
        <v>254</v>
      </c>
      <c r="Q88" s="88"/>
      <c r="CH88" s="78"/>
    </row>
    <row r="89" spans="1:86" s="11" customFormat="1" ht="15.75" customHeight="1">
      <c r="A89" s="10"/>
      <c r="B89" s="453"/>
      <c r="E89" s="454"/>
      <c r="Q89" s="12"/>
      <c r="CH89" s="13"/>
    </row>
    <row r="90" spans="1:86" s="11" customFormat="1" ht="15.75" customHeight="1">
      <c r="A90" s="10"/>
      <c r="B90" s="11" t="s">
        <v>255</v>
      </c>
      <c r="E90" s="454"/>
      <c r="Q90" s="12"/>
      <c r="CH90" s="13"/>
    </row>
    <row r="91" spans="1:86" s="11" customFormat="1" ht="15.75" customHeight="1">
      <c r="A91" s="10"/>
      <c r="C91" s="11" t="s">
        <v>256</v>
      </c>
      <c r="Q91" s="12"/>
      <c r="CH91" s="13"/>
    </row>
    <row r="92" spans="1:86" s="11" customFormat="1" ht="15.75" customHeight="1">
      <c r="A92" s="10"/>
      <c r="C92" s="11" t="s">
        <v>257</v>
      </c>
      <c r="Q92" s="12"/>
      <c r="CH92" s="13"/>
    </row>
    <row r="93" spans="1:86" s="76" customFormat="1" ht="15.75" customHeight="1">
      <c r="A93" s="77"/>
      <c r="Q93" s="88"/>
      <c r="CH93" s="78"/>
    </row>
    <row r="94" spans="1:86" s="76" customFormat="1" ht="15.75" customHeight="1">
      <c r="A94" s="77"/>
      <c r="B94" s="76" t="s">
        <v>258</v>
      </c>
      <c r="Q94" s="88"/>
      <c r="CH94" s="78"/>
    </row>
    <row r="95" spans="1:86" s="76" customFormat="1" ht="15.75" customHeight="1">
      <c r="A95" s="77"/>
      <c r="C95" s="76" t="s">
        <v>252</v>
      </c>
      <c r="Q95" s="88"/>
      <c r="CH95" s="78"/>
    </row>
    <row r="96" spans="1:86" s="76" customFormat="1" ht="15.75" customHeight="1" thickBot="1">
      <c r="A96" s="79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10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80"/>
    </row>
    <row r="97" spans="17:17" s="76" customFormat="1" ht="15.75" customHeight="1">
      <c r="Q97" s="88"/>
    </row>
    <row r="98" spans="17:17" s="76" customFormat="1" ht="15.75" customHeight="1">
      <c r="Q98" s="88"/>
    </row>
    <row r="99" spans="17:17" s="76" customFormat="1" ht="15.75" customHeight="1">
      <c r="Q99" s="88"/>
    </row>
  </sheetData>
  <mergeCells count="24">
    <mergeCell ref="X18:AQ21"/>
    <mergeCell ref="AC27:BH28"/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  <mergeCell ref="AJ1:AP1"/>
    <mergeCell ref="AQ1:AW1"/>
    <mergeCell ref="BL1:BT1"/>
    <mergeCell ref="BU1:CA1"/>
    <mergeCell ref="CB1:CH1"/>
    <mergeCell ref="AX1:BK1"/>
    <mergeCell ref="C10:F10"/>
    <mergeCell ref="A1:N3"/>
    <mergeCell ref="O1:AB1"/>
    <mergeCell ref="AC1:AI1"/>
    <mergeCell ref="O2:AB2"/>
    <mergeCell ref="AC2:AI2"/>
  </mergeCells>
  <phoneticPr fontId="9"/>
  <pageMargins left="0.51181102362204722" right="0.74803149606299213" top="0.70866141732283472" bottom="0.43307086614173229" header="0.51181102362204722" footer="0.19685039370078741"/>
  <pageSetup paperSize="9" scale="49" fitToHeight="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F1C3-203A-4ADB-B142-8DEF3A3A5E02}">
  <sheetPr codeName="Sheet4">
    <pageSetUpPr fitToPage="1"/>
  </sheetPr>
  <dimension ref="A1:DN66"/>
  <sheetViews>
    <sheetView showGridLines="0" showZeros="0" view="pageBreakPreview" topLeftCell="A21" zoomScaleNormal="100" zoomScaleSheetLayoutView="100" workbookViewId="0">
      <selection activeCell="AC61" sqref="AC61"/>
    </sheetView>
  </sheetViews>
  <sheetFormatPr defaultColWidth="2.25" defaultRowHeight="12" customHeight="1"/>
  <cols>
    <col min="1" max="2" width="2.125" style="14" customWidth="1"/>
    <col min="3" max="3" width="2.375" style="14" customWidth="1"/>
    <col min="4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16" width="2.25" style="14"/>
    <col min="117" max="117" width="11.625" style="14" customWidth="1"/>
    <col min="118" max="118" width="21.375" style="14" customWidth="1"/>
    <col min="119" max="16384" width="2.25" style="14"/>
  </cols>
  <sheetData>
    <row r="1" spans="1:113" s="1" customFormat="1" ht="15.75" customHeight="1">
      <c r="A1" s="963" t="str">
        <f>表紙!A54</f>
        <v>Webシステム</v>
      </c>
      <c r="B1" s="964"/>
      <c r="C1" s="964"/>
      <c r="D1" s="964"/>
      <c r="E1" s="964"/>
      <c r="F1" s="964"/>
      <c r="G1" s="964"/>
      <c r="H1" s="964"/>
      <c r="I1" s="964"/>
      <c r="J1" s="965"/>
      <c r="K1" s="988" t="s">
        <v>152</v>
      </c>
      <c r="L1" s="989"/>
      <c r="M1" s="989"/>
      <c r="N1" s="989"/>
      <c r="O1" s="989"/>
      <c r="P1" s="989"/>
      <c r="Q1" s="989"/>
      <c r="R1" s="989"/>
      <c r="S1" s="989"/>
      <c r="T1" s="990"/>
      <c r="U1" s="991" t="s">
        <v>153</v>
      </c>
      <c r="V1" s="992"/>
      <c r="W1" s="992"/>
      <c r="X1" s="992"/>
      <c r="Y1" s="993"/>
      <c r="Z1" s="994" t="str">
        <f>表紙!$AJ$63</f>
        <v>MS</v>
      </c>
      <c r="AA1" s="995"/>
      <c r="AB1" s="995"/>
      <c r="AC1" s="995"/>
      <c r="AD1" s="996"/>
      <c r="AE1" s="997" t="s">
        <v>154</v>
      </c>
      <c r="AF1" s="974"/>
      <c r="AG1" s="974"/>
      <c r="AH1" s="974"/>
      <c r="AI1" s="975"/>
      <c r="AJ1" s="998" t="str">
        <f>表紙!$AX$63</f>
        <v>Webシステム</v>
      </c>
      <c r="AK1" s="999"/>
      <c r="AL1" s="999"/>
      <c r="AM1" s="999"/>
      <c r="AN1" s="999"/>
      <c r="AO1" s="999"/>
      <c r="AP1" s="999"/>
      <c r="AQ1" s="999"/>
      <c r="AR1" s="1000"/>
      <c r="AS1" s="972" t="s">
        <v>101</v>
      </c>
      <c r="AT1" s="972"/>
      <c r="AU1" s="972"/>
      <c r="AV1" s="972"/>
      <c r="AW1" s="972"/>
      <c r="AX1" s="972"/>
      <c r="AY1" s="972"/>
      <c r="AZ1" s="973" t="s">
        <v>124</v>
      </c>
      <c r="BA1" s="974"/>
      <c r="BB1" s="974"/>
      <c r="BC1" s="974"/>
      <c r="BD1" s="974"/>
      <c r="BE1" s="975"/>
      <c r="BF1" s="973" t="s">
        <v>155</v>
      </c>
      <c r="BG1" s="974"/>
      <c r="BH1" s="974"/>
      <c r="BI1" s="974"/>
      <c r="BJ1" s="974"/>
      <c r="BK1" s="976"/>
    </row>
    <row r="2" spans="1:113" s="1" customFormat="1" ht="15.75" customHeight="1">
      <c r="A2" s="966"/>
      <c r="B2" s="967"/>
      <c r="C2" s="967"/>
      <c r="D2" s="967"/>
      <c r="E2" s="967"/>
      <c r="F2" s="967"/>
      <c r="G2" s="967"/>
      <c r="H2" s="967"/>
      <c r="I2" s="967"/>
      <c r="J2" s="968"/>
      <c r="K2" s="977" t="str">
        <f>表紙!O64</f>
        <v>アドオン設計書</v>
      </c>
      <c r="L2" s="944"/>
      <c r="M2" s="944"/>
      <c r="N2" s="944"/>
      <c r="O2" s="944"/>
      <c r="P2" s="944"/>
      <c r="Q2" s="944"/>
      <c r="R2" s="944"/>
      <c r="S2" s="944"/>
      <c r="T2" s="978"/>
      <c r="U2" s="979" t="s">
        <v>156</v>
      </c>
      <c r="V2" s="980"/>
      <c r="W2" s="980"/>
      <c r="X2" s="980"/>
      <c r="Y2" s="981"/>
      <c r="Z2" s="982" t="str">
        <f>表紙!$AJ$64</f>
        <v>MSBB</v>
      </c>
      <c r="AA2" s="983"/>
      <c r="AB2" s="983"/>
      <c r="AC2" s="983"/>
      <c r="AD2" s="984"/>
      <c r="AE2" s="985" t="s">
        <v>157</v>
      </c>
      <c r="AF2" s="986"/>
      <c r="AG2" s="986"/>
      <c r="AH2" s="986"/>
      <c r="AI2" s="987"/>
      <c r="AJ2" s="1002" t="str">
        <f>表紙!$AX$64</f>
        <v>Web販売管理</v>
      </c>
      <c r="AK2" s="1003"/>
      <c r="AL2" s="1003"/>
      <c r="AM2" s="1003"/>
      <c r="AN2" s="1003"/>
      <c r="AO2" s="1003"/>
      <c r="AP2" s="1003"/>
      <c r="AQ2" s="1003"/>
      <c r="AR2" s="1004"/>
      <c r="AS2" s="1005" t="str">
        <f>表紙!$BL$64</f>
        <v>M7-US-1140</v>
      </c>
      <c r="AT2" s="1006"/>
      <c r="AU2" s="1006"/>
      <c r="AV2" s="1006"/>
      <c r="AW2" s="1006"/>
      <c r="AX2" s="1006"/>
      <c r="AY2" s="1006"/>
      <c r="AZ2" s="1008" t="str">
        <f>表紙!$BU$64</f>
        <v>7.0.2</v>
      </c>
      <c r="BA2" s="944"/>
      <c r="BB2" s="944"/>
      <c r="BC2" s="944"/>
      <c r="BD2" s="944"/>
      <c r="BE2" s="978"/>
      <c r="BF2" s="943">
        <f>表紙!$CB$64</f>
        <v>1</v>
      </c>
      <c r="BG2" s="944"/>
      <c r="BH2" s="944"/>
      <c r="BI2" s="944"/>
      <c r="BJ2" s="944"/>
      <c r="BK2" s="945"/>
    </row>
    <row r="3" spans="1:113" s="1" customFormat="1" ht="15.75" customHeight="1" thickBot="1">
      <c r="A3" s="969"/>
      <c r="B3" s="970"/>
      <c r="C3" s="970"/>
      <c r="D3" s="970"/>
      <c r="E3" s="970"/>
      <c r="F3" s="970"/>
      <c r="G3" s="970"/>
      <c r="H3" s="970"/>
      <c r="I3" s="970"/>
      <c r="J3" s="971"/>
      <c r="K3" s="949" t="str">
        <f ca="1">RIGHT(CELL("filename",$A$1),LEN(CELL("filename",$A$1))-FIND("]",CELL("filename",$A$1)))</f>
        <v>画面イメージ</v>
      </c>
      <c r="L3" s="950"/>
      <c r="M3" s="950"/>
      <c r="N3" s="950"/>
      <c r="O3" s="950"/>
      <c r="P3" s="950"/>
      <c r="Q3" s="950"/>
      <c r="R3" s="950"/>
      <c r="S3" s="950"/>
      <c r="T3" s="951"/>
      <c r="U3" s="952" t="s">
        <v>158</v>
      </c>
      <c r="V3" s="953"/>
      <c r="W3" s="953"/>
      <c r="X3" s="953"/>
      <c r="Y3" s="954"/>
      <c r="Z3" s="955" t="str">
        <f>表紙!$AJ$65</f>
        <v>MSBBPA100</v>
      </c>
      <c r="AA3" s="956"/>
      <c r="AB3" s="956"/>
      <c r="AC3" s="956"/>
      <c r="AD3" s="956"/>
      <c r="AE3" s="957" t="str">
        <f>表紙!$AQ$65</f>
        <v>WebFSC製品化チェックシート出力</v>
      </c>
      <c r="AF3" s="958"/>
      <c r="AG3" s="958"/>
      <c r="AH3" s="958"/>
      <c r="AI3" s="958"/>
      <c r="AJ3" s="958"/>
      <c r="AK3" s="958"/>
      <c r="AL3" s="958"/>
      <c r="AM3" s="958"/>
      <c r="AN3" s="958"/>
      <c r="AO3" s="958"/>
      <c r="AP3" s="958"/>
      <c r="AQ3" s="958"/>
      <c r="AR3" s="959"/>
      <c r="AS3" s="1007"/>
      <c r="AT3" s="1007"/>
      <c r="AU3" s="1007"/>
      <c r="AV3" s="1007"/>
      <c r="AW3" s="1007"/>
      <c r="AX3" s="1007"/>
      <c r="AY3" s="1007"/>
      <c r="AZ3" s="946"/>
      <c r="BA3" s="947"/>
      <c r="BB3" s="947"/>
      <c r="BC3" s="947"/>
      <c r="BD3" s="947"/>
      <c r="BE3" s="1009"/>
      <c r="BF3" s="946"/>
      <c r="BG3" s="947"/>
      <c r="BH3" s="947"/>
      <c r="BI3" s="947"/>
      <c r="BJ3" s="947"/>
      <c r="BK3" s="948"/>
    </row>
    <row r="4" spans="1:113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113" s="1" customFormat="1" ht="15.75" customHeight="1">
      <c r="A5" s="960" t="s">
        <v>259</v>
      </c>
      <c r="B5" s="961"/>
      <c r="C5" s="961"/>
      <c r="D5" s="961"/>
      <c r="E5" s="961"/>
      <c r="F5" s="961"/>
      <c r="G5" s="961"/>
      <c r="H5" s="961"/>
      <c r="I5" s="961"/>
      <c r="J5" s="961"/>
      <c r="K5" s="961"/>
      <c r="L5" s="961"/>
      <c r="M5" s="961"/>
      <c r="N5" s="961"/>
      <c r="O5" s="961"/>
      <c r="P5" s="961"/>
      <c r="Q5" s="961"/>
      <c r="R5" s="961"/>
      <c r="S5" s="961"/>
      <c r="T5" s="961"/>
      <c r="U5" s="961"/>
      <c r="V5" s="961"/>
      <c r="W5" s="961"/>
      <c r="X5" s="961"/>
      <c r="Y5" s="961"/>
      <c r="Z5" s="961"/>
      <c r="AA5" s="961"/>
      <c r="AB5" s="961"/>
      <c r="AC5" s="961"/>
      <c r="AD5" s="961"/>
      <c r="AE5" s="961"/>
      <c r="AF5" s="961"/>
      <c r="AG5" s="961"/>
      <c r="AH5" s="961"/>
      <c r="AI5" s="961"/>
      <c r="AJ5" s="961"/>
      <c r="AK5" s="961"/>
      <c r="AL5" s="961"/>
      <c r="AM5" s="961"/>
      <c r="AN5" s="961"/>
      <c r="AO5" s="961"/>
      <c r="AP5" s="961"/>
      <c r="AQ5" s="961"/>
      <c r="AR5" s="961"/>
      <c r="AS5" s="961"/>
      <c r="AT5" s="961"/>
      <c r="AU5" s="961"/>
      <c r="AV5" s="961"/>
      <c r="AW5" s="961"/>
      <c r="AX5" s="961"/>
      <c r="AY5" s="961"/>
      <c r="AZ5" s="961"/>
      <c r="BA5" s="961"/>
      <c r="BB5" s="961"/>
      <c r="BC5" s="961"/>
      <c r="BD5" s="961"/>
      <c r="BE5" s="961"/>
      <c r="BF5" s="961"/>
      <c r="BG5" s="961"/>
      <c r="BH5" s="961"/>
      <c r="BI5" s="961"/>
      <c r="BJ5" s="961"/>
      <c r="BK5" s="962"/>
    </row>
    <row r="7" spans="1:113" ht="12" customHeight="1">
      <c r="B7" s="14" t="s">
        <v>260</v>
      </c>
    </row>
    <row r="8" spans="1:113" ht="12" customHeight="1">
      <c r="Q8" s="14" t="s">
        <v>261</v>
      </c>
      <c r="S8" s="14" t="s">
        <v>262</v>
      </c>
    </row>
    <row r="9" spans="1:113" ht="12" customHeight="1">
      <c r="C9" s="14" t="s">
        <v>263</v>
      </c>
      <c r="I9" s="142"/>
      <c r="J9" s="143"/>
      <c r="K9" s="143"/>
      <c r="L9" s="143"/>
      <c r="M9" s="143"/>
      <c r="N9" s="144"/>
      <c r="O9" s="145"/>
      <c r="Q9" s="14" t="s">
        <v>261</v>
      </c>
      <c r="S9" s="14" t="s">
        <v>264</v>
      </c>
      <c r="AJ9" s="155" t="s">
        <v>265</v>
      </c>
      <c r="AK9" s="156"/>
      <c r="AL9" s="156"/>
      <c r="AM9" s="156"/>
      <c r="AN9" s="156"/>
      <c r="AO9" s="156"/>
    </row>
    <row r="10" spans="1:113" ht="12" customHeight="1">
      <c r="C10" s="14" t="s">
        <v>266</v>
      </c>
      <c r="I10" s="142"/>
      <c r="J10" s="143"/>
      <c r="K10" s="143"/>
      <c r="L10" s="143"/>
      <c r="M10" s="143"/>
      <c r="N10" s="144"/>
      <c r="Q10" s="14" t="s">
        <v>261</v>
      </c>
      <c r="S10" s="14" t="s">
        <v>267</v>
      </c>
    </row>
    <row r="11" spans="1:113" ht="12" customHeight="1">
      <c r="C11" s="14" t="s">
        <v>268</v>
      </c>
      <c r="I11" s="146"/>
      <c r="J11" s="147"/>
      <c r="K11" s="147"/>
      <c r="L11" s="147"/>
      <c r="M11" s="147"/>
      <c r="N11" s="148"/>
      <c r="Q11" s="14" t="s">
        <v>261</v>
      </c>
      <c r="S11" s="14" t="s">
        <v>269</v>
      </c>
      <c r="AJ11" s="157" t="s">
        <v>270</v>
      </c>
      <c r="AK11" s="157"/>
      <c r="AL11" s="157"/>
      <c r="AM11" s="157"/>
      <c r="AN11" s="157"/>
      <c r="AO11" s="157"/>
      <c r="AP11" s="158"/>
      <c r="AQ11" s="159"/>
      <c r="AR11" s="159"/>
      <c r="AS11" s="159"/>
      <c r="AT11" s="159"/>
      <c r="AU11" s="144"/>
      <c r="AV11" s="160"/>
      <c r="AW11" s="161"/>
      <c r="AX11" s="161"/>
      <c r="AY11" s="161"/>
      <c r="AZ11" s="161"/>
      <c r="BA11" s="162"/>
    </row>
    <row r="12" spans="1:113" ht="12" customHeight="1">
      <c r="C12" s="14" t="s">
        <v>271</v>
      </c>
      <c r="I12" s="14" t="s">
        <v>272</v>
      </c>
      <c r="M12" s="14" t="s">
        <v>273</v>
      </c>
      <c r="Q12" s="14" t="s">
        <v>261</v>
      </c>
      <c r="S12" s="14" t="s">
        <v>274</v>
      </c>
    </row>
    <row r="13" spans="1:113" ht="12" customHeight="1">
      <c r="C13" s="14" t="s">
        <v>275</v>
      </c>
      <c r="I13" s="142"/>
      <c r="J13" s="143"/>
      <c r="K13" s="143"/>
      <c r="L13" s="143"/>
      <c r="M13" s="143"/>
      <c r="N13" s="145"/>
      <c r="Q13" s="14" t="s">
        <v>261</v>
      </c>
      <c r="S13" s="14" t="s">
        <v>274</v>
      </c>
    </row>
    <row r="14" spans="1:113" ht="12" customHeight="1">
      <c r="C14" s="14" t="s">
        <v>276</v>
      </c>
      <c r="I14" s="14" t="s">
        <v>277</v>
      </c>
      <c r="M14" s="14" t="s">
        <v>278</v>
      </c>
      <c r="Q14" s="14" t="s">
        <v>261</v>
      </c>
      <c r="S14" s="14" t="s">
        <v>279</v>
      </c>
    </row>
    <row r="16" spans="1:113" ht="12" customHeight="1">
      <c r="C16" s="14" t="s">
        <v>280</v>
      </c>
      <c r="I16" s="142"/>
      <c r="J16" s="143"/>
      <c r="K16" s="143"/>
      <c r="L16" s="143"/>
      <c r="M16" s="143"/>
      <c r="N16" s="144"/>
      <c r="Q16" s="14" t="s">
        <v>261</v>
      </c>
      <c r="S16" s="14" t="s">
        <v>281</v>
      </c>
      <c r="AF16" s="1001" t="s">
        <v>282</v>
      </c>
      <c r="AG16" s="1001"/>
      <c r="AH16" s="1001"/>
      <c r="AI16" s="1001"/>
      <c r="AJ16" s="1001"/>
      <c r="AK16" s="1001"/>
      <c r="AL16" s="1001"/>
      <c r="AM16" s="1001"/>
      <c r="AN16" s="1001"/>
      <c r="AO16" s="1001"/>
      <c r="AP16" s="1001"/>
      <c r="AQ16" s="1001"/>
      <c r="AR16" s="1001"/>
      <c r="AS16" s="1001"/>
      <c r="AT16" s="1001"/>
      <c r="AU16" s="1001"/>
      <c r="AV16" s="1001"/>
      <c r="CN16" s="481" t="s">
        <v>283</v>
      </c>
      <c r="DI16" s="483" t="s">
        <v>205</v>
      </c>
    </row>
    <row r="17" spans="3:118" ht="12" customHeight="1">
      <c r="Q17" s="14"/>
      <c r="AF17" s="1001"/>
      <c r="AG17" s="1001"/>
      <c r="AH17" s="1001"/>
      <c r="AI17" s="1001"/>
      <c r="AJ17" s="1001"/>
      <c r="AK17" s="1001"/>
      <c r="AL17" s="1001"/>
      <c r="AM17" s="1001"/>
      <c r="AN17" s="1001"/>
      <c r="AO17" s="1001"/>
      <c r="AP17" s="1001"/>
      <c r="AQ17" s="1001"/>
      <c r="AR17" s="1001"/>
      <c r="AS17" s="1001"/>
      <c r="AT17" s="1001"/>
      <c r="AU17" s="1001"/>
      <c r="AV17" s="1001"/>
    </row>
    <row r="18" spans="3:118" ht="12" customHeight="1">
      <c r="Q18" s="14"/>
    </row>
    <row r="19" spans="3:118" ht="12" customHeight="1">
      <c r="Q19" s="14"/>
      <c r="AP19" s="921" t="s">
        <v>191</v>
      </c>
      <c r="AQ19" s="921"/>
      <c r="AR19" s="921"/>
      <c r="AS19" s="921"/>
      <c r="AT19" s="921"/>
      <c r="AU19" s="921"/>
      <c r="AV19" s="921"/>
      <c r="AW19" s="921"/>
      <c r="AX19" s="921"/>
      <c r="AY19" s="921"/>
      <c r="AZ19" s="921"/>
      <c r="BA19" s="921"/>
      <c r="BB19" s="921"/>
      <c r="BC19" s="921"/>
      <c r="BD19" s="921"/>
      <c r="BE19" s="921"/>
      <c r="BF19" s="921"/>
      <c r="BG19" s="921"/>
      <c r="BH19" s="921"/>
      <c r="BI19" s="921"/>
      <c r="BJ19" s="921"/>
      <c r="BK19" s="921"/>
      <c r="BL19" s="921"/>
      <c r="BM19" s="921"/>
      <c r="BN19" s="921"/>
      <c r="BO19" s="921"/>
      <c r="BP19" s="921"/>
    </row>
    <row r="20" spans="3:118" ht="12" customHeight="1">
      <c r="Q20" s="14"/>
      <c r="AP20" s="921"/>
      <c r="AQ20" s="921"/>
      <c r="AR20" s="921"/>
      <c r="AS20" s="921"/>
      <c r="AT20" s="921"/>
      <c r="AU20" s="921"/>
      <c r="AV20" s="921"/>
      <c r="AW20" s="921"/>
      <c r="AX20" s="921"/>
      <c r="AY20" s="921"/>
      <c r="AZ20" s="921"/>
      <c r="BA20" s="921"/>
      <c r="BB20" s="921"/>
      <c r="BC20" s="921"/>
      <c r="BD20" s="921"/>
      <c r="BE20" s="921"/>
      <c r="BF20" s="921"/>
      <c r="BG20" s="921"/>
      <c r="BH20" s="921"/>
      <c r="BI20" s="921"/>
      <c r="BJ20" s="921"/>
      <c r="BK20" s="921"/>
      <c r="BL20" s="921"/>
      <c r="BM20" s="921"/>
      <c r="BN20" s="921"/>
      <c r="BO20" s="921"/>
      <c r="BP20" s="921"/>
      <c r="CN20" s="481" t="s">
        <v>198</v>
      </c>
    </row>
    <row r="21" spans="3:118" ht="12" customHeight="1">
      <c r="Q21" s="14"/>
      <c r="AP21" s="921"/>
      <c r="AQ21" s="921"/>
      <c r="AR21" s="921"/>
      <c r="AS21" s="921"/>
      <c r="AT21" s="921"/>
      <c r="AU21" s="921"/>
      <c r="AV21" s="921"/>
      <c r="AW21" s="921"/>
      <c r="AX21" s="921"/>
      <c r="AY21" s="921"/>
      <c r="AZ21" s="921"/>
      <c r="BA21" s="921"/>
      <c r="BB21" s="921"/>
      <c r="BC21" s="921"/>
      <c r="BD21" s="921"/>
      <c r="BE21" s="921"/>
      <c r="BF21" s="921"/>
      <c r="BG21" s="921"/>
      <c r="BH21" s="921"/>
      <c r="BI21" s="921"/>
      <c r="BJ21" s="921"/>
      <c r="BK21" s="921"/>
      <c r="BL21" s="921"/>
      <c r="BM21" s="921"/>
      <c r="BN21" s="921"/>
      <c r="BO21" s="921"/>
      <c r="BP21" s="921"/>
      <c r="CN21" s="481" t="s">
        <v>201</v>
      </c>
      <c r="DN21" s="483" t="s">
        <v>205</v>
      </c>
    </row>
    <row r="22" spans="3:118" ht="12" customHeight="1">
      <c r="AP22" s="921"/>
      <c r="AQ22" s="921"/>
      <c r="AR22" s="921"/>
      <c r="AS22" s="921"/>
      <c r="AT22" s="921"/>
      <c r="AU22" s="921"/>
      <c r="AV22" s="921"/>
      <c r="AW22" s="921"/>
      <c r="AX22" s="921"/>
      <c r="AY22" s="921"/>
      <c r="AZ22" s="921"/>
      <c r="BA22" s="921"/>
      <c r="BB22" s="921"/>
      <c r="BC22" s="921"/>
      <c r="BD22" s="921"/>
      <c r="BE22" s="921"/>
      <c r="BF22" s="921"/>
      <c r="BG22" s="921"/>
      <c r="BH22" s="921"/>
      <c r="BI22" s="921"/>
      <c r="BJ22" s="921"/>
      <c r="BK22" s="921"/>
      <c r="BL22" s="921"/>
      <c r="BM22" s="921"/>
      <c r="BN22" s="921"/>
      <c r="BO22" s="921"/>
      <c r="BP22" s="921"/>
    </row>
    <row r="23" spans="3:118" ht="12" customHeight="1">
      <c r="AP23" s="921"/>
      <c r="AQ23" s="921"/>
      <c r="AR23" s="921"/>
      <c r="AS23" s="921"/>
      <c r="AT23" s="921"/>
      <c r="AU23" s="921"/>
      <c r="AV23" s="921"/>
      <c r="AW23" s="921"/>
      <c r="AX23" s="921"/>
      <c r="AY23" s="921"/>
      <c r="AZ23" s="921"/>
      <c r="BA23" s="921"/>
      <c r="BB23" s="921"/>
      <c r="BC23" s="921"/>
      <c r="BD23" s="921"/>
      <c r="BE23" s="921"/>
      <c r="BF23" s="921"/>
      <c r="BG23" s="921"/>
      <c r="BH23" s="921"/>
      <c r="BI23" s="921"/>
      <c r="BJ23" s="921"/>
      <c r="BK23" s="921"/>
      <c r="BL23" s="921"/>
      <c r="BM23" s="921"/>
      <c r="BN23" s="921"/>
      <c r="BO23" s="921"/>
      <c r="BP23" s="921"/>
    </row>
    <row r="24" spans="3:118" ht="12" customHeight="1">
      <c r="AP24" s="921"/>
      <c r="AQ24" s="921"/>
      <c r="AR24" s="921"/>
      <c r="AS24" s="921"/>
      <c r="AT24" s="921"/>
      <c r="AU24" s="921"/>
      <c r="AV24" s="921"/>
      <c r="AW24" s="921"/>
      <c r="AX24" s="921"/>
      <c r="AY24" s="921"/>
      <c r="AZ24" s="921"/>
      <c r="BA24" s="921"/>
      <c r="BB24" s="921"/>
      <c r="BC24" s="921"/>
      <c r="BD24" s="921"/>
      <c r="BE24" s="921"/>
      <c r="BF24" s="921"/>
      <c r="BG24" s="921"/>
      <c r="BH24" s="921"/>
      <c r="BI24" s="921"/>
      <c r="BJ24" s="921"/>
      <c r="BK24" s="921"/>
      <c r="BL24" s="921"/>
      <c r="BM24" s="921"/>
      <c r="BN24" s="921"/>
      <c r="BO24" s="921"/>
      <c r="BP24" s="921"/>
    </row>
    <row r="26" spans="3:118" ht="12" customHeight="1">
      <c r="C26" s="163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5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6" t="s">
        <v>113</v>
      </c>
    </row>
    <row r="27" spans="3:118" ht="12" customHeight="1">
      <c r="C27" s="154"/>
    </row>
    <row r="28" spans="3:118" ht="12" customHeight="1">
      <c r="C28" s="154"/>
      <c r="D28" s="157" t="s">
        <v>284</v>
      </c>
      <c r="E28" s="157"/>
      <c r="F28" s="157"/>
      <c r="G28" s="157"/>
      <c r="H28" s="157"/>
      <c r="I28" s="157"/>
      <c r="J28" s="158"/>
      <c r="K28" s="167"/>
      <c r="L28" s="167"/>
      <c r="M28" s="167"/>
      <c r="N28" s="167"/>
      <c r="O28" s="144"/>
      <c r="P28" s="168"/>
      <c r="Q28" s="168"/>
      <c r="R28" s="168"/>
      <c r="S28" s="168"/>
      <c r="T28" s="168"/>
      <c r="U28" s="169"/>
      <c r="AB28" s="157" t="s">
        <v>270</v>
      </c>
      <c r="AC28" s="157"/>
      <c r="AD28" s="157"/>
      <c r="AE28" s="157"/>
      <c r="AF28" s="157"/>
      <c r="AG28" s="170"/>
      <c r="AH28" s="159"/>
      <c r="AI28" s="159"/>
      <c r="AJ28" s="159"/>
      <c r="AK28" s="159"/>
      <c r="AL28" s="144"/>
      <c r="AM28" s="160"/>
      <c r="AN28" s="161"/>
      <c r="AO28" s="161"/>
      <c r="AP28" s="161"/>
      <c r="AQ28" s="161"/>
      <c r="AR28" s="162"/>
    </row>
    <row r="29" spans="3:118" ht="12" customHeight="1">
      <c r="C29" s="154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3"/>
      <c r="BC29" s="174"/>
    </row>
    <row r="30" spans="3:118" ht="12" customHeight="1">
      <c r="C30" s="154"/>
      <c r="D30" s="155" t="s">
        <v>285</v>
      </c>
      <c r="E30" s="156"/>
      <c r="F30" s="156"/>
      <c r="G30" s="156"/>
      <c r="H30" s="156"/>
      <c r="I30" s="156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3"/>
      <c r="BC30" s="174"/>
    </row>
    <row r="31" spans="3:118" ht="12" customHeight="1">
      <c r="C31" s="154"/>
      <c r="D31" s="157" t="s">
        <v>286</v>
      </c>
      <c r="E31" s="157"/>
      <c r="F31" s="157"/>
      <c r="G31" s="157"/>
      <c r="H31" s="157"/>
      <c r="I31" s="157"/>
      <c r="J31" s="170"/>
      <c r="K31" s="159"/>
      <c r="L31" s="159"/>
      <c r="M31" s="159"/>
      <c r="N31" s="159"/>
      <c r="O31" s="171"/>
      <c r="P31" s="941" t="s">
        <v>287</v>
      </c>
      <c r="Q31" s="942"/>
      <c r="R31" s="170"/>
      <c r="S31" s="159"/>
      <c r="T31" s="159"/>
      <c r="U31" s="159"/>
      <c r="V31" s="159"/>
      <c r="W31" s="171"/>
    </row>
    <row r="32" spans="3:118" ht="12" customHeight="1">
      <c r="C32" s="154"/>
      <c r="D32" s="157" t="s">
        <v>288</v>
      </c>
      <c r="E32" s="157"/>
      <c r="F32" s="157"/>
      <c r="G32" s="157"/>
      <c r="H32" s="157"/>
      <c r="I32" s="157"/>
      <c r="J32" s="170"/>
      <c r="K32" s="159"/>
      <c r="L32" s="159"/>
      <c r="M32" s="159"/>
      <c r="N32" s="159"/>
      <c r="O32" s="171"/>
      <c r="P32" s="941" t="s">
        <v>287</v>
      </c>
      <c r="Q32" s="942"/>
      <c r="R32" s="170"/>
      <c r="S32" s="159"/>
      <c r="T32" s="159"/>
      <c r="U32" s="159"/>
      <c r="V32" s="159"/>
      <c r="W32" s="171"/>
    </row>
    <row r="33" spans="3:76" ht="12" customHeight="1">
      <c r="C33" s="154"/>
      <c r="D33" s="157" t="s">
        <v>268</v>
      </c>
      <c r="E33" s="157"/>
      <c r="F33" s="157"/>
      <c r="G33" s="157"/>
      <c r="H33" s="157"/>
      <c r="I33" s="157"/>
      <c r="J33" s="175" t="s">
        <v>289</v>
      </c>
      <c r="K33" s="176"/>
      <c r="L33" s="176"/>
      <c r="M33" s="176"/>
      <c r="N33" s="176"/>
      <c r="O33" s="177"/>
      <c r="P33" s="145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9"/>
    </row>
    <row r="34" spans="3:76" ht="12" customHeight="1">
      <c r="C34" s="154"/>
      <c r="D34" s="157" t="s">
        <v>290</v>
      </c>
      <c r="E34" s="157"/>
      <c r="F34" s="157"/>
      <c r="G34" s="157"/>
      <c r="H34" s="157"/>
      <c r="I34" s="157"/>
      <c r="J34" s="180" t="s">
        <v>291</v>
      </c>
      <c r="K34" s="159"/>
      <c r="L34" s="159"/>
      <c r="M34" s="159"/>
      <c r="N34" s="200"/>
      <c r="O34" s="171"/>
      <c r="P34" s="145"/>
      <c r="Q34" s="168" t="s">
        <v>292</v>
      </c>
      <c r="R34" s="168"/>
      <c r="S34" s="168"/>
      <c r="T34" s="168"/>
      <c r="U34" s="168"/>
      <c r="V34" s="168"/>
      <c r="W34" s="168"/>
      <c r="X34" s="181"/>
      <c r="Y34" s="181"/>
      <c r="Z34" s="181"/>
      <c r="AA34" s="182"/>
      <c r="AB34" s="181"/>
      <c r="AC34" s="181"/>
      <c r="AD34" s="181"/>
      <c r="AE34" s="181"/>
      <c r="AF34" s="181"/>
      <c r="AG34" s="182"/>
    </row>
    <row r="35" spans="3:76" ht="12" customHeight="1">
      <c r="C35" s="154"/>
    </row>
    <row r="36" spans="3:76" ht="12" customHeight="1">
      <c r="C36" s="154"/>
      <c r="D36" s="14" t="s">
        <v>293</v>
      </c>
      <c r="J36" s="14" t="s">
        <v>294</v>
      </c>
      <c r="N36" s="14" t="s">
        <v>295</v>
      </c>
    </row>
    <row r="37" spans="3:76" ht="12" customHeight="1">
      <c r="C37" s="154"/>
    </row>
    <row r="38" spans="3:76" ht="12" customHeight="1">
      <c r="C38" s="151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3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2"/>
      <c r="BT38" s="152"/>
      <c r="BU38" s="152"/>
      <c r="BV38" s="152"/>
      <c r="BW38" s="152"/>
      <c r="BX38" s="152"/>
    </row>
    <row r="39" spans="3:76" ht="12" customHeight="1">
      <c r="C39" s="154"/>
    </row>
    <row r="40" spans="3:76" ht="12" customHeight="1">
      <c r="C40" s="154"/>
      <c r="D40" s="194" t="s">
        <v>296</v>
      </c>
      <c r="E40" s="195"/>
      <c r="F40" s="194" t="s">
        <v>297</v>
      </c>
      <c r="G40" s="196"/>
      <c r="H40" s="194" t="s">
        <v>298</v>
      </c>
      <c r="I40" s="195"/>
      <c r="J40" s="196"/>
      <c r="K40" s="194" t="s">
        <v>268</v>
      </c>
      <c r="L40" s="195"/>
      <c r="M40" s="196"/>
      <c r="N40" s="194" t="s">
        <v>299</v>
      </c>
      <c r="O40" s="195"/>
      <c r="P40" s="195"/>
      <c r="Q40" s="196"/>
      <c r="R40" s="194" t="s">
        <v>300</v>
      </c>
      <c r="S40" s="195"/>
      <c r="T40" s="195"/>
      <c r="U40" s="195"/>
      <c r="V40" s="196"/>
      <c r="W40" s="194" t="s">
        <v>301</v>
      </c>
      <c r="X40" s="195"/>
      <c r="Y40" s="195"/>
      <c r="Z40" s="196"/>
      <c r="AA40" s="194" t="s">
        <v>302</v>
      </c>
      <c r="AB40" s="195"/>
      <c r="AC40" s="195"/>
      <c r="AD40" s="195"/>
      <c r="AE40" s="196"/>
      <c r="AF40" s="194" t="s">
        <v>303</v>
      </c>
      <c r="AG40" s="195"/>
      <c r="AH40" s="195"/>
      <c r="AI40" s="196"/>
      <c r="AJ40" s="194" t="s">
        <v>304</v>
      </c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  <c r="AY40" s="195"/>
      <c r="AZ40" s="195"/>
      <c r="BA40" s="195"/>
      <c r="BB40" s="195"/>
      <c r="BC40" s="195"/>
      <c r="BD40" s="195"/>
      <c r="BE40" s="195"/>
      <c r="BF40" s="196"/>
      <c r="BG40" s="194" t="s">
        <v>305</v>
      </c>
      <c r="BH40" s="195"/>
      <c r="BI40" s="195"/>
      <c r="BJ40" s="195"/>
      <c r="BK40" s="194" t="s">
        <v>293</v>
      </c>
      <c r="BL40" s="195"/>
      <c r="BM40" s="196"/>
      <c r="BN40" s="933" t="s">
        <v>306</v>
      </c>
      <c r="BO40" s="934"/>
      <c r="BP40" s="194" t="s">
        <v>307</v>
      </c>
      <c r="BQ40" s="195"/>
      <c r="BR40" s="195"/>
      <c r="BS40" s="196"/>
      <c r="BT40" s="194" t="s">
        <v>308</v>
      </c>
      <c r="BU40" s="195"/>
      <c r="BV40" s="196"/>
    </row>
    <row r="41" spans="3:76" ht="12" customHeight="1">
      <c r="C41" s="154"/>
      <c r="D41" s="197"/>
      <c r="E41" s="198"/>
      <c r="F41" s="197"/>
      <c r="G41" s="199"/>
      <c r="H41" s="197"/>
      <c r="I41" s="198"/>
      <c r="J41" s="199"/>
      <c r="K41" s="197"/>
      <c r="L41" s="198"/>
      <c r="M41" s="199"/>
      <c r="N41" s="197"/>
      <c r="O41" s="198"/>
      <c r="P41" s="198"/>
      <c r="Q41" s="199"/>
      <c r="R41" s="197"/>
      <c r="S41" s="198"/>
      <c r="T41" s="198"/>
      <c r="U41" s="198"/>
      <c r="V41" s="199"/>
      <c r="W41" s="197"/>
      <c r="X41" s="198"/>
      <c r="Y41" s="198"/>
      <c r="Z41" s="199"/>
      <c r="AA41" s="197"/>
      <c r="AB41" s="198"/>
      <c r="AC41" s="198"/>
      <c r="AD41" s="198"/>
      <c r="AE41" s="199"/>
      <c r="AF41" s="197" t="s">
        <v>309</v>
      </c>
      <c r="AG41" s="198"/>
      <c r="AH41" s="198"/>
      <c r="AI41" s="199"/>
      <c r="AJ41" s="183" t="s">
        <v>310</v>
      </c>
      <c r="AK41" s="184"/>
      <c r="AL41" s="184"/>
      <c r="AM41" s="184"/>
      <c r="AN41" s="184"/>
      <c r="AO41" s="184"/>
      <c r="AP41" s="184"/>
      <c r="AQ41" s="184"/>
      <c r="AR41" s="184"/>
      <c r="AS41" s="184"/>
      <c r="AT41" s="185"/>
      <c r="AU41" s="183" t="s">
        <v>311</v>
      </c>
      <c r="AV41" s="184"/>
      <c r="AW41" s="184"/>
      <c r="AX41" s="185"/>
      <c r="AY41" s="184" t="s">
        <v>312</v>
      </c>
      <c r="AZ41" s="184"/>
      <c r="BA41" s="184"/>
      <c r="BB41" s="185"/>
      <c r="BC41" s="183" t="s">
        <v>313</v>
      </c>
      <c r="BD41" s="184"/>
      <c r="BE41" s="184"/>
      <c r="BF41" s="184"/>
      <c r="BG41" s="197"/>
      <c r="BH41" s="198"/>
      <c r="BI41" s="198"/>
      <c r="BJ41" s="198"/>
      <c r="BK41" s="197"/>
      <c r="BL41" s="198"/>
      <c r="BM41" s="199"/>
      <c r="BN41" s="935"/>
      <c r="BO41" s="936"/>
      <c r="BP41" s="197"/>
      <c r="BQ41" s="198"/>
      <c r="BR41" s="198"/>
      <c r="BS41" s="199"/>
      <c r="BT41" s="197"/>
      <c r="BU41" s="198"/>
      <c r="BV41" s="199"/>
    </row>
    <row r="42" spans="3:76" ht="12" customHeight="1">
      <c r="C42" s="154"/>
      <c r="D42" s="186" t="s">
        <v>314</v>
      </c>
      <c r="E42" s="187"/>
      <c r="F42" s="186" t="s">
        <v>315</v>
      </c>
      <c r="G42" s="188"/>
      <c r="H42" s="187" t="s">
        <v>316</v>
      </c>
      <c r="I42" s="187"/>
      <c r="J42" s="188"/>
      <c r="K42" s="186" t="s">
        <v>317</v>
      </c>
      <c r="L42" s="187"/>
      <c r="M42" s="188"/>
      <c r="N42" s="187" t="s">
        <v>318</v>
      </c>
      <c r="O42" s="187"/>
      <c r="P42" s="187"/>
      <c r="Q42" s="188"/>
      <c r="R42" s="186" t="s">
        <v>319</v>
      </c>
      <c r="S42" s="187"/>
      <c r="T42" s="187"/>
      <c r="U42" s="187"/>
      <c r="V42" s="187"/>
      <c r="W42" s="189" t="s">
        <v>318</v>
      </c>
      <c r="X42" s="187"/>
      <c r="Y42" s="187"/>
      <c r="Z42" s="188"/>
      <c r="AA42" s="189" t="s">
        <v>320</v>
      </c>
      <c r="AB42" s="187"/>
      <c r="AC42" s="187"/>
      <c r="AD42" s="187"/>
      <c r="AE42" s="188"/>
      <c r="AF42" s="186" t="s">
        <v>321</v>
      </c>
      <c r="AG42" s="187"/>
      <c r="AH42" s="187"/>
      <c r="AI42" s="188"/>
      <c r="AJ42" s="189" t="s">
        <v>322</v>
      </c>
      <c r="AK42" s="187"/>
      <c r="AL42" s="187"/>
      <c r="AM42" s="187"/>
      <c r="AN42" s="187"/>
      <c r="AO42" s="187"/>
      <c r="AP42" s="190"/>
      <c r="AQ42" s="191" t="s">
        <v>318</v>
      </c>
      <c r="AR42" s="187"/>
      <c r="AS42" s="187"/>
      <c r="AT42" s="188"/>
      <c r="AU42" s="930">
        <v>9999999</v>
      </c>
      <c r="AV42" s="931"/>
      <c r="AW42" s="931"/>
      <c r="AX42" s="932"/>
      <c r="AY42" s="930">
        <v>9999999</v>
      </c>
      <c r="AZ42" s="931"/>
      <c r="BA42" s="931"/>
      <c r="BB42" s="932"/>
      <c r="BC42" s="930">
        <v>9999999</v>
      </c>
      <c r="BD42" s="931"/>
      <c r="BE42" s="931"/>
      <c r="BF42" s="932"/>
      <c r="BG42" s="930">
        <v>9999999</v>
      </c>
      <c r="BH42" s="931"/>
      <c r="BI42" s="931"/>
      <c r="BJ42" s="932"/>
      <c r="BK42" s="189" t="s">
        <v>323</v>
      </c>
      <c r="BL42" s="187"/>
      <c r="BM42" s="188"/>
      <c r="BN42" s="928" t="s">
        <v>324</v>
      </c>
      <c r="BO42" s="929"/>
      <c r="BP42" s="187" t="s">
        <v>318</v>
      </c>
      <c r="BQ42" s="187"/>
      <c r="BR42" s="187"/>
      <c r="BS42" s="188"/>
      <c r="BT42" s="189" t="s">
        <v>308</v>
      </c>
      <c r="BU42" s="187"/>
      <c r="BV42" s="188"/>
    </row>
    <row r="43" spans="3:76" ht="12" customHeight="1">
      <c r="C43" s="154"/>
      <c r="D43" s="186" t="s">
        <v>325</v>
      </c>
      <c r="E43" s="187"/>
      <c r="F43" s="186" t="s">
        <v>315</v>
      </c>
      <c r="G43" s="188"/>
      <c r="H43" s="187" t="s">
        <v>316</v>
      </c>
      <c r="I43" s="187"/>
      <c r="J43" s="188"/>
      <c r="K43" s="186" t="s">
        <v>317</v>
      </c>
      <c r="L43" s="187"/>
      <c r="M43" s="188"/>
      <c r="N43" s="187" t="s">
        <v>318</v>
      </c>
      <c r="O43" s="187"/>
      <c r="P43" s="187"/>
      <c r="Q43" s="188"/>
      <c r="R43" s="186" t="s">
        <v>319</v>
      </c>
      <c r="S43" s="187"/>
      <c r="T43" s="187"/>
      <c r="U43" s="187"/>
      <c r="V43" s="187"/>
      <c r="W43" s="189" t="s">
        <v>318</v>
      </c>
      <c r="X43" s="187"/>
      <c r="Y43" s="187"/>
      <c r="Z43" s="188"/>
      <c r="AA43" s="189" t="s">
        <v>326</v>
      </c>
      <c r="AB43" s="187"/>
      <c r="AC43" s="187"/>
      <c r="AD43" s="187"/>
      <c r="AE43" s="188"/>
      <c r="AF43" s="186" t="s">
        <v>321</v>
      </c>
      <c r="AG43" s="187"/>
      <c r="AH43" s="187"/>
      <c r="AI43" s="188"/>
      <c r="AJ43" s="189" t="s">
        <v>322</v>
      </c>
      <c r="AK43" s="187"/>
      <c r="AL43" s="187"/>
      <c r="AM43" s="187"/>
      <c r="AN43" s="187"/>
      <c r="AO43" s="187"/>
      <c r="AP43" s="190"/>
      <c r="AQ43" s="191" t="s">
        <v>318</v>
      </c>
      <c r="AR43" s="187"/>
      <c r="AS43" s="187"/>
      <c r="AT43" s="188"/>
      <c r="AU43" s="930">
        <v>9999999</v>
      </c>
      <c r="AV43" s="931"/>
      <c r="AW43" s="931"/>
      <c r="AX43" s="932"/>
      <c r="AY43" s="930">
        <v>9999999</v>
      </c>
      <c r="AZ43" s="931"/>
      <c r="BA43" s="931"/>
      <c r="BB43" s="932"/>
      <c r="BC43" s="930">
        <v>9999999</v>
      </c>
      <c r="BD43" s="931"/>
      <c r="BE43" s="931"/>
      <c r="BF43" s="932"/>
      <c r="BG43" s="930">
        <v>9999999</v>
      </c>
      <c r="BH43" s="931"/>
      <c r="BI43" s="931"/>
      <c r="BJ43" s="932"/>
      <c r="BK43" s="189" t="s">
        <v>323</v>
      </c>
      <c r="BL43" s="187"/>
      <c r="BM43" s="188"/>
      <c r="BN43" s="928" t="s">
        <v>324</v>
      </c>
      <c r="BO43" s="929"/>
      <c r="BP43" s="187" t="s">
        <v>318</v>
      </c>
      <c r="BQ43" s="187"/>
      <c r="BR43" s="187"/>
      <c r="BS43" s="188"/>
      <c r="BT43" s="189" t="s">
        <v>308</v>
      </c>
      <c r="BU43" s="187"/>
      <c r="BV43" s="188"/>
    </row>
    <row r="44" spans="3:76" ht="12" customHeight="1">
      <c r="C44" s="154"/>
      <c r="D44" s="186" t="s">
        <v>327</v>
      </c>
      <c r="E44" s="187"/>
      <c r="F44" s="186" t="s">
        <v>315</v>
      </c>
      <c r="G44" s="188"/>
      <c r="H44" s="187" t="s">
        <v>328</v>
      </c>
      <c r="I44" s="187"/>
      <c r="J44" s="188"/>
      <c r="K44" s="186" t="s">
        <v>317</v>
      </c>
      <c r="L44" s="187"/>
      <c r="M44" s="188"/>
      <c r="N44" s="187" t="s">
        <v>318</v>
      </c>
      <c r="O44" s="187"/>
      <c r="P44" s="187"/>
      <c r="Q44" s="188"/>
      <c r="R44" s="186" t="s">
        <v>329</v>
      </c>
      <c r="S44" s="187"/>
      <c r="T44" s="187"/>
      <c r="U44" s="187"/>
      <c r="V44" s="187"/>
      <c r="W44" s="189" t="s">
        <v>330</v>
      </c>
      <c r="X44" s="187"/>
      <c r="Y44" s="187"/>
      <c r="Z44" s="188"/>
      <c r="AA44" s="189" t="s">
        <v>331</v>
      </c>
      <c r="AB44" s="187"/>
      <c r="AC44" s="187"/>
      <c r="AD44" s="187"/>
      <c r="AE44" s="188"/>
      <c r="AF44" s="186" t="s">
        <v>321</v>
      </c>
      <c r="AG44" s="187"/>
      <c r="AH44" s="187"/>
      <c r="AI44" s="188"/>
      <c r="AJ44" s="189" t="s">
        <v>322</v>
      </c>
      <c r="AK44" s="187"/>
      <c r="AL44" s="187"/>
      <c r="AM44" s="187"/>
      <c r="AN44" s="187"/>
      <c r="AO44" s="187"/>
      <c r="AP44" s="190"/>
      <c r="AQ44" s="191" t="s">
        <v>318</v>
      </c>
      <c r="AR44" s="187"/>
      <c r="AS44" s="187"/>
      <c r="AT44" s="188"/>
      <c r="AU44" s="930">
        <v>9999999</v>
      </c>
      <c r="AV44" s="931"/>
      <c r="AW44" s="931"/>
      <c r="AX44" s="932"/>
      <c r="AY44" s="930">
        <v>9999999</v>
      </c>
      <c r="AZ44" s="931"/>
      <c r="BA44" s="931"/>
      <c r="BB44" s="932"/>
      <c r="BC44" s="930">
        <v>9999999</v>
      </c>
      <c r="BD44" s="931"/>
      <c r="BE44" s="931"/>
      <c r="BF44" s="932"/>
      <c r="BG44" s="930">
        <v>9999999</v>
      </c>
      <c r="BH44" s="931"/>
      <c r="BI44" s="931"/>
      <c r="BJ44" s="932"/>
      <c r="BK44" s="189" t="s">
        <v>323</v>
      </c>
      <c r="BL44" s="187"/>
      <c r="BM44" s="188"/>
      <c r="BN44" s="928" t="s">
        <v>324</v>
      </c>
      <c r="BO44" s="929"/>
      <c r="BP44" s="187" t="s">
        <v>318</v>
      </c>
      <c r="BQ44" s="187"/>
      <c r="BR44" s="187"/>
      <c r="BS44" s="188"/>
      <c r="BT44" s="189" t="s">
        <v>308</v>
      </c>
      <c r="BU44" s="187"/>
      <c r="BV44" s="188"/>
    </row>
    <row r="45" spans="3:76" ht="12" customHeight="1">
      <c r="C45" s="154"/>
      <c r="D45" s="186" t="s">
        <v>332</v>
      </c>
      <c r="E45" s="187"/>
      <c r="F45" s="186" t="s">
        <v>333</v>
      </c>
      <c r="G45" s="188"/>
      <c r="H45" s="187" t="s">
        <v>328</v>
      </c>
      <c r="I45" s="187"/>
      <c r="J45" s="188"/>
      <c r="K45" s="186" t="s">
        <v>334</v>
      </c>
      <c r="L45" s="187"/>
      <c r="M45" s="188"/>
      <c r="N45" s="187" t="s">
        <v>318</v>
      </c>
      <c r="O45" s="187"/>
      <c r="P45" s="187"/>
      <c r="Q45" s="188"/>
      <c r="R45" s="186" t="s">
        <v>329</v>
      </c>
      <c r="S45" s="187"/>
      <c r="T45" s="187"/>
      <c r="U45" s="187"/>
      <c r="V45" s="187"/>
      <c r="W45" s="189" t="s">
        <v>330</v>
      </c>
      <c r="X45" s="187"/>
      <c r="Y45" s="187"/>
      <c r="Z45" s="188"/>
      <c r="AA45" s="189" t="s">
        <v>335</v>
      </c>
      <c r="AB45" s="187"/>
      <c r="AC45" s="187"/>
      <c r="AD45" s="187"/>
      <c r="AE45" s="188"/>
      <c r="AF45" s="186" t="s">
        <v>321</v>
      </c>
      <c r="AG45" s="187"/>
      <c r="AH45" s="187"/>
      <c r="AI45" s="188"/>
      <c r="AJ45" s="189" t="s">
        <v>322</v>
      </c>
      <c r="AK45" s="187"/>
      <c r="AL45" s="187"/>
      <c r="AM45" s="187"/>
      <c r="AN45" s="187"/>
      <c r="AO45" s="187"/>
      <c r="AP45" s="190"/>
      <c r="AQ45" s="191" t="s">
        <v>318</v>
      </c>
      <c r="AR45" s="187"/>
      <c r="AS45" s="187"/>
      <c r="AT45" s="188"/>
      <c r="AU45" s="930">
        <v>9999999</v>
      </c>
      <c r="AV45" s="931"/>
      <c r="AW45" s="931"/>
      <c r="AX45" s="932"/>
      <c r="AY45" s="930">
        <v>9999999</v>
      </c>
      <c r="AZ45" s="931"/>
      <c r="BA45" s="931"/>
      <c r="BB45" s="932"/>
      <c r="BC45" s="930">
        <v>9999999</v>
      </c>
      <c r="BD45" s="931"/>
      <c r="BE45" s="931"/>
      <c r="BF45" s="932"/>
      <c r="BG45" s="930">
        <v>9999999</v>
      </c>
      <c r="BH45" s="931"/>
      <c r="BI45" s="931"/>
      <c r="BJ45" s="932"/>
      <c r="BK45" s="189" t="s">
        <v>323</v>
      </c>
      <c r="BL45" s="187"/>
      <c r="BM45" s="188"/>
      <c r="BN45" s="928" t="s">
        <v>336</v>
      </c>
      <c r="BO45" s="929"/>
      <c r="BP45" s="187"/>
      <c r="BQ45" s="187"/>
      <c r="BR45" s="187"/>
      <c r="BS45" s="188"/>
      <c r="BT45" s="189" t="s">
        <v>337</v>
      </c>
      <c r="BU45" s="187"/>
      <c r="BV45" s="188"/>
    </row>
    <row r="46" spans="3:76" ht="12" customHeight="1">
      <c r="C46" s="154"/>
      <c r="D46" s="186" t="s">
        <v>338</v>
      </c>
      <c r="E46" s="187"/>
      <c r="F46" s="186" t="s">
        <v>333</v>
      </c>
      <c r="G46" s="188"/>
      <c r="H46" s="187" t="s">
        <v>328</v>
      </c>
      <c r="I46" s="187"/>
      <c r="J46" s="188"/>
      <c r="K46" s="186" t="s">
        <v>334</v>
      </c>
      <c r="L46" s="187"/>
      <c r="M46" s="188"/>
      <c r="N46" s="187" t="s">
        <v>318</v>
      </c>
      <c r="O46" s="187"/>
      <c r="P46" s="187"/>
      <c r="Q46" s="188"/>
      <c r="R46" s="186" t="s">
        <v>329</v>
      </c>
      <c r="S46" s="187"/>
      <c r="T46" s="187"/>
      <c r="U46" s="187"/>
      <c r="V46" s="187"/>
      <c r="W46" s="189" t="s">
        <v>330</v>
      </c>
      <c r="X46" s="187"/>
      <c r="Y46" s="187"/>
      <c r="Z46" s="188"/>
      <c r="AA46" s="189" t="s">
        <v>339</v>
      </c>
      <c r="AB46" s="187"/>
      <c r="AC46" s="187"/>
      <c r="AD46" s="187"/>
      <c r="AE46" s="188"/>
      <c r="AF46" s="186" t="s">
        <v>321</v>
      </c>
      <c r="AG46" s="187"/>
      <c r="AH46" s="187"/>
      <c r="AI46" s="188"/>
      <c r="AJ46" s="189" t="s">
        <v>322</v>
      </c>
      <c r="AK46" s="187"/>
      <c r="AL46" s="187"/>
      <c r="AM46" s="187"/>
      <c r="AN46" s="187"/>
      <c r="AO46" s="187"/>
      <c r="AP46" s="190"/>
      <c r="AQ46" s="191" t="s">
        <v>318</v>
      </c>
      <c r="AR46" s="187"/>
      <c r="AS46" s="187"/>
      <c r="AT46" s="188"/>
      <c r="AU46" s="930">
        <v>9999999</v>
      </c>
      <c r="AV46" s="931"/>
      <c r="AW46" s="931"/>
      <c r="AX46" s="932"/>
      <c r="AY46" s="930">
        <v>9999999</v>
      </c>
      <c r="AZ46" s="931"/>
      <c r="BA46" s="931"/>
      <c r="BB46" s="932"/>
      <c r="BC46" s="930">
        <v>9999999</v>
      </c>
      <c r="BD46" s="931"/>
      <c r="BE46" s="931"/>
      <c r="BF46" s="932"/>
      <c r="BG46" s="930">
        <v>9999999</v>
      </c>
      <c r="BH46" s="931"/>
      <c r="BI46" s="931"/>
      <c r="BJ46" s="932"/>
      <c r="BK46" s="189" t="s">
        <v>323</v>
      </c>
      <c r="BL46" s="187"/>
      <c r="BM46" s="188"/>
      <c r="BN46" s="928" t="s">
        <v>324</v>
      </c>
      <c r="BO46" s="929"/>
      <c r="BP46" s="187"/>
      <c r="BQ46" s="187"/>
      <c r="BR46" s="187"/>
      <c r="BS46" s="188"/>
      <c r="BT46" s="189" t="s">
        <v>337</v>
      </c>
      <c r="BU46" s="187"/>
      <c r="BV46" s="188"/>
    </row>
    <row r="47" spans="3:76" ht="12" customHeight="1">
      <c r="C47" s="154"/>
      <c r="D47" s="186" t="s">
        <v>340</v>
      </c>
      <c r="E47" s="187"/>
      <c r="F47" s="186" t="s">
        <v>333</v>
      </c>
      <c r="G47" s="188"/>
      <c r="H47" s="187" t="s">
        <v>328</v>
      </c>
      <c r="I47" s="187"/>
      <c r="J47" s="188"/>
      <c r="K47" s="186" t="s">
        <v>334</v>
      </c>
      <c r="L47" s="187"/>
      <c r="M47" s="188"/>
      <c r="N47" s="187" t="s">
        <v>318</v>
      </c>
      <c r="O47" s="187"/>
      <c r="P47" s="187"/>
      <c r="Q47" s="188"/>
      <c r="R47" s="186" t="s">
        <v>329</v>
      </c>
      <c r="S47" s="187"/>
      <c r="T47" s="187"/>
      <c r="U47" s="187"/>
      <c r="V47" s="187"/>
      <c r="W47" s="189" t="s">
        <v>330</v>
      </c>
      <c r="X47" s="187"/>
      <c r="Y47" s="187"/>
      <c r="Z47" s="188"/>
      <c r="AA47" s="189" t="s">
        <v>341</v>
      </c>
      <c r="AB47" s="187"/>
      <c r="AC47" s="187"/>
      <c r="AD47" s="187"/>
      <c r="AE47" s="188"/>
      <c r="AF47" s="186" t="s">
        <v>321</v>
      </c>
      <c r="AG47" s="187"/>
      <c r="AH47" s="187"/>
      <c r="AI47" s="188"/>
      <c r="AJ47" s="189" t="s">
        <v>342</v>
      </c>
      <c r="AK47" s="187"/>
      <c r="AL47" s="187"/>
      <c r="AM47" s="187"/>
      <c r="AN47" s="187"/>
      <c r="AO47" s="187"/>
      <c r="AP47" s="190"/>
      <c r="AQ47" s="191" t="s">
        <v>343</v>
      </c>
      <c r="AR47" s="187"/>
      <c r="AS47" s="187"/>
      <c r="AT47" s="188"/>
      <c r="AU47" s="930">
        <v>9999999</v>
      </c>
      <c r="AV47" s="931"/>
      <c r="AW47" s="931"/>
      <c r="AX47" s="932"/>
      <c r="AY47" s="930">
        <v>9999999</v>
      </c>
      <c r="AZ47" s="931"/>
      <c r="BA47" s="931"/>
      <c r="BB47" s="932"/>
      <c r="BC47" s="930">
        <v>9999999</v>
      </c>
      <c r="BD47" s="931"/>
      <c r="BE47" s="931"/>
      <c r="BF47" s="932"/>
      <c r="BG47" s="930">
        <v>9999999</v>
      </c>
      <c r="BH47" s="931"/>
      <c r="BI47" s="931"/>
      <c r="BJ47" s="932"/>
      <c r="BK47" s="189" t="s">
        <v>344</v>
      </c>
      <c r="BL47" s="187"/>
      <c r="BM47" s="188"/>
      <c r="BN47" s="928" t="s">
        <v>324</v>
      </c>
      <c r="BO47" s="929"/>
      <c r="BP47" s="187"/>
      <c r="BQ47" s="187"/>
      <c r="BR47" s="187"/>
      <c r="BS47" s="188"/>
      <c r="BT47" s="189" t="s">
        <v>337</v>
      </c>
      <c r="BU47" s="187"/>
      <c r="BV47" s="188"/>
    </row>
    <row r="48" spans="3:76" ht="12" customHeight="1">
      <c r="C48" s="154"/>
      <c r="D48" s="186" t="s">
        <v>345</v>
      </c>
      <c r="E48" s="187"/>
      <c r="F48" s="186" t="s">
        <v>333</v>
      </c>
      <c r="G48" s="188"/>
      <c r="H48" s="187" t="s">
        <v>328</v>
      </c>
      <c r="I48" s="187"/>
      <c r="J48" s="188"/>
      <c r="K48" s="186" t="s">
        <v>334</v>
      </c>
      <c r="L48" s="187"/>
      <c r="M48" s="188"/>
      <c r="N48" s="187" t="s">
        <v>318</v>
      </c>
      <c r="O48" s="187"/>
      <c r="P48" s="187"/>
      <c r="Q48" s="188"/>
      <c r="R48" s="186" t="s">
        <v>329</v>
      </c>
      <c r="S48" s="187"/>
      <c r="T48" s="187"/>
      <c r="U48" s="187"/>
      <c r="V48" s="187"/>
      <c r="W48" s="189" t="s">
        <v>330</v>
      </c>
      <c r="X48" s="187"/>
      <c r="Y48" s="187"/>
      <c r="Z48" s="188"/>
      <c r="AA48" s="189" t="s">
        <v>346</v>
      </c>
      <c r="AB48" s="187"/>
      <c r="AC48" s="187"/>
      <c r="AD48" s="187"/>
      <c r="AE48" s="188"/>
      <c r="AF48" s="186" t="s">
        <v>321</v>
      </c>
      <c r="AG48" s="187"/>
      <c r="AH48" s="187"/>
      <c r="AI48" s="188"/>
      <c r="AJ48" s="189" t="s">
        <v>347</v>
      </c>
      <c r="AK48" s="187"/>
      <c r="AL48" s="187"/>
      <c r="AM48" s="187"/>
      <c r="AN48" s="187"/>
      <c r="AO48" s="187"/>
      <c r="AP48" s="190"/>
      <c r="AQ48" s="191" t="s">
        <v>348</v>
      </c>
      <c r="AR48" s="187"/>
      <c r="AS48" s="187"/>
      <c r="AT48" s="188"/>
      <c r="AU48" s="930">
        <v>9999999</v>
      </c>
      <c r="AV48" s="931"/>
      <c r="AW48" s="931"/>
      <c r="AX48" s="932"/>
      <c r="AY48" s="930">
        <v>9999999</v>
      </c>
      <c r="AZ48" s="931"/>
      <c r="BA48" s="931"/>
      <c r="BB48" s="932"/>
      <c r="BC48" s="930">
        <v>9999999</v>
      </c>
      <c r="BD48" s="931"/>
      <c r="BE48" s="931"/>
      <c r="BF48" s="932"/>
      <c r="BG48" s="930">
        <v>9999999</v>
      </c>
      <c r="BH48" s="931"/>
      <c r="BI48" s="931"/>
      <c r="BJ48" s="932"/>
      <c r="BK48" s="189" t="s">
        <v>344</v>
      </c>
      <c r="BL48" s="187"/>
      <c r="BM48" s="188"/>
      <c r="BN48" s="928" t="s">
        <v>324</v>
      </c>
      <c r="BO48" s="929"/>
      <c r="BP48" s="187"/>
      <c r="BQ48" s="187"/>
      <c r="BR48" s="187"/>
      <c r="BS48" s="188"/>
      <c r="BT48" s="189" t="s">
        <v>337</v>
      </c>
      <c r="BU48" s="187"/>
      <c r="BV48" s="188"/>
    </row>
    <row r="49" spans="3:76" ht="12" customHeight="1">
      <c r="C49" s="154"/>
      <c r="D49" s="186" t="s">
        <v>349</v>
      </c>
      <c r="E49" s="187"/>
      <c r="F49" s="186" t="s">
        <v>333</v>
      </c>
      <c r="G49" s="188"/>
      <c r="H49" s="187" t="s">
        <v>328</v>
      </c>
      <c r="I49" s="187"/>
      <c r="J49" s="188"/>
      <c r="K49" s="186" t="s">
        <v>334</v>
      </c>
      <c r="L49" s="187"/>
      <c r="M49" s="188"/>
      <c r="N49" s="187" t="s">
        <v>318</v>
      </c>
      <c r="O49" s="187"/>
      <c r="P49" s="187"/>
      <c r="Q49" s="188"/>
      <c r="R49" s="186" t="s">
        <v>329</v>
      </c>
      <c r="S49" s="187"/>
      <c r="T49" s="187"/>
      <c r="U49" s="187"/>
      <c r="V49" s="187"/>
      <c r="W49" s="189" t="s">
        <v>330</v>
      </c>
      <c r="X49" s="187"/>
      <c r="Y49" s="187"/>
      <c r="Z49" s="188"/>
      <c r="AA49" s="189" t="s">
        <v>350</v>
      </c>
      <c r="AB49" s="187"/>
      <c r="AC49" s="187"/>
      <c r="AD49" s="187"/>
      <c r="AE49" s="188"/>
      <c r="AF49" s="186" t="s">
        <v>321</v>
      </c>
      <c r="AG49" s="187"/>
      <c r="AH49" s="187"/>
      <c r="AI49" s="188"/>
      <c r="AJ49" s="189" t="s">
        <v>347</v>
      </c>
      <c r="AK49" s="187"/>
      <c r="AL49" s="187"/>
      <c r="AM49" s="187"/>
      <c r="AN49" s="187"/>
      <c r="AO49" s="187"/>
      <c r="AP49" s="190"/>
      <c r="AQ49" s="191" t="s">
        <v>351</v>
      </c>
      <c r="AR49" s="187"/>
      <c r="AS49" s="187"/>
      <c r="AT49" s="188"/>
      <c r="AU49" s="930">
        <v>9999999</v>
      </c>
      <c r="AV49" s="931"/>
      <c r="AW49" s="931"/>
      <c r="AX49" s="932"/>
      <c r="AY49" s="930">
        <v>9999999</v>
      </c>
      <c r="AZ49" s="931"/>
      <c r="BA49" s="931"/>
      <c r="BB49" s="932"/>
      <c r="BC49" s="930">
        <v>9999999</v>
      </c>
      <c r="BD49" s="931"/>
      <c r="BE49" s="931"/>
      <c r="BF49" s="932"/>
      <c r="BG49" s="930">
        <v>9999999</v>
      </c>
      <c r="BH49" s="931"/>
      <c r="BI49" s="931"/>
      <c r="BJ49" s="932"/>
      <c r="BK49" s="189" t="s">
        <v>344</v>
      </c>
      <c r="BL49" s="187"/>
      <c r="BM49" s="188"/>
      <c r="BN49" s="928" t="s">
        <v>336</v>
      </c>
      <c r="BO49" s="929"/>
      <c r="BP49" s="187"/>
      <c r="BQ49" s="187"/>
      <c r="BR49" s="187"/>
      <c r="BS49" s="188"/>
      <c r="BT49" s="189" t="s">
        <v>337</v>
      </c>
      <c r="BU49" s="187"/>
      <c r="BV49" s="188"/>
    </row>
    <row r="50" spans="3:76" ht="12" customHeight="1">
      <c r="C50" s="154"/>
      <c r="D50" s="186" t="s">
        <v>352</v>
      </c>
      <c r="E50" s="187"/>
      <c r="F50" s="186" t="s">
        <v>333</v>
      </c>
      <c r="G50" s="188"/>
      <c r="H50" s="187" t="s">
        <v>328</v>
      </c>
      <c r="I50" s="187"/>
      <c r="J50" s="188"/>
      <c r="K50" s="186" t="s">
        <v>334</v>
      </c>
      <c r="L50" s="187"/>
      <c r="M50" s="188"/>
      <c r="N50" s="187" t="s">
        <v>318</v>
      </c>
      <c r="O50" s="187"/>
      <c r="P50" s="187"/>
      <c r="Q50" s="188"/>
      <c r="R50" s="186" t="s">
        <v>329</v>
      </c>
      <c r="S50" s="187"/>
      <c r="T50" s="187"/>
      <c r="U50" s="187"/>
      <c r="V50" s="187"/>
      <c r="W50" s="189" t="s">
        <v>330</v>
      </c>
      <c r="X50" s="187"/>
      <c r="Y50" s="187"/>
      <c r="Z50" s="188"/>
      <c r="AA50" s="189" t="s">
        <v>353</v>
      </c>
      <c r="AB50" s="187"/>
      <c r="AC50" s="187"/>
      <c r="AD50" s="187"/>
      <c r="AE50" s="188"/>
      <c r="AF50" s="186" t="s">
        <v>321</v>
      </c>
      <c r="AG50" s="187"/>
      <c r="AH50" s="187"/>
      <c r="AI50" s="188"/>
      <c r="AJ50" s="189" t="s">
        <v>347</v>
      </c>
      <c r="AK50" s="187"/>
      <c r="AL50" s="187"/>
      <c r="AM50" s="187"/>
      <c r="AN50" s="187"/>
      <c r="AO50" s="187"/>
      <c r="AP50" s="190"/>
      <c r="AQ50" s="191" t="s">
        <v>354</v>
      </c>
      <c r="AR50" s="187"/>
      <c r="AS50" s="187"/>
      <c r="AT50" s="188"/>
      <c r="AU50" s="930">
        <v>9999999</v>
      </c>
      <c r="AV50" s="931"/>
      <c r="AW50" s="931"/>
      <c r="AX50" s="932"/>
      <c r="AY50" s="930">
        <v>9999999</v>
      </c>
      <c r="AZ50" s="931"/>
      <c r="BA50" s="931"/>
      <c r="BB50" s="932"/>
      <c r="BC50" s="930">
        <v>9999999</v>
      </c>
      <c r="BD50" s="931"/>
      <c r="BE50" s="931"/>
      <c r="BF50" s="932"/>
      <c r="BG50" s="930">
        <v>9999999</v>
      </c>
      <c r="BH50" s="931"/>
      <c r="BI50" s="931"/>
      <c r="BJ50" s="932"/>
      <c r="BK50" s="189" t="s">
        <v>344</v>
      </c>
      <c r="BL50" s="187"/>
      <c r="BM50" s="188"/>
      <c r="BN50" s="928" t="s">
        <v>336</v>
      </c>
      <c r="BO50" s="929"/>
      <c r="BP50" s="187"/>
      <c r="BQ50" s="187"/>
      <c r="BR50" s="187"/>
      <c r="BS50" s="188"/>
      <c r="BT50" s="189" t="s">
        <v>337</v>
      </c>
      <c r="BU50" s="187"/>
      <c r="BV50" s="188"/>
    </row>
    <row r="51" spans="3:76" ht="12" customHeight="1">
      <c r="C51" s="154"/>
      <c r="D51" s="186" t="s">
        <v>355</v>
      </c>
      <c r="E51" s="187"/>
      <c r="F51" s="186" t="s">
        <v>333</v>
      </c>
      <c r="G51" s="188"/>
      <c r="H51" s="187" t="s">
        <v>328</v>
      </c>
      <c r="I51" s="187"/>
      <c r="J51" s="188"/>
      <c r="K51" s="186" t="s">
        <v>334</v>
      </c>
      <c r="L51" s="187"/>
      <c r="M51" s="188"/>
      <c r="N51" s="187" t="s">
        <v>318</v>
      </c>
      <c r="O51" s="187"/>
      <c r="P51" s="187"/>
      <c r="Q51" s="188"/>
      <c r="R51" s="186" t="s">
        <v>329</v>
      </c>
      <c r="S51" s="187"/>
      <c r="T51" s="187"/>
      <c r="U51" s="187"/>
      <c r="V51" s="187"/>
      <c r="W51" s="189" t="s">
        <v>330</v>
      </c>
      <c r="X51" s="187"/>
      <c r="Y51" s="187"/>
      <c r="Z51" s="188"/>
      <c r="AA51" s="189" t="s">
        <v>356</v>
      </c>
      <c r="AB51" s="187"/>
      <c r="AC51" s="187"/>
      <c r="AD51" s="187"/>
      <c r="AE51" s="188"/>
      <c r="AF51" s="186" t="s">
        <v>321</v>
      </c>
      <c r="AG51" s="187"/>
      <c r="AH51" s="187"/>
      <c r="AI51" s="188"/>
      <c r="AJ51" s="189" t="s">
        <v>347</v>
      </c>
      <c r="AK51" s="187"/>
      <c r="AL51" s="187"/>
      <c r="AM51" s="187"/>
      <c r="AN51" s="187"/>
      <c r="AO51" s="187"/>
      <c r="AP51" s="190"/>
      <c r="AQ51" s="191" t="s">
        <v>357</v>
      </c>
      <c r="AR51" s="187"/>
      <c r="AS51" s="187"/>
      <c r="AT51" s="188"/>
      <c r="AU51" s="930">
        <v>9999999</v>
      </c>
      <c r="AV51" s="931"/>
      <c r="AW51" s="931"/>
      <c r="AX51" s="932"/>
      <c r="AY51" s="930">
        <v>9999999</v>
      </c>
      <c r="AZ51" s="931"/>
      <c r="BA51" s="931"/>
      <c r="BB51" s="932"/>
      <c r="BC51" s="930">
        <v>9999999</v>
      </c>
      <c r="BD51" s="931"/>
      <c r="BE51" s="931"/>
      <c r="BF51" s="932"/>
      <c r="BG51" s="930">
        <v>9999999</v>
      </c>
      <c r="BH51" s="931"/>
      <c r="BI51" s="931"/>
      <c r="BJ51" s="932"/>
      <c r="BK51" s="189" t="s">
        <v>344</v>
      </c>
      <c r="BL51" s="187"/>
      <c r="BM51" s="188"/>
      <c r="BN51" s="928" t="s">
        <v>336</v>
      </c>
      <c r="BO51" s="929"/>
      <c r="BP51" s="187"/>
      <c r="BQ51" s="187"/>
      <c r="BR51" s="187"/>
      <c r="BS51" s="188"/>
      <c r="BT51" s="189" t="s">
        <v>337</v>
      </c>
      <c r="BU51" s="187"/>
      <c r="BV51" s="188"/>
      <c r="BW51" s="193"/>
      <c r="BX51" s="193"/>
    </row>
    <row r="52" spans="3:76" ht="12" customHeight="1">
      <c r="C52" s="154"/>
      <c r="D52" s="375" t="s">
        <v>358</v>
      </c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375"/>
      <c r="AK52" s="375"/>
      <c r="AL52" s="375"/>
      <c r="AM52" s="375"/>
      <c r="AN52" s="375"/>
      <c r="AO52" s="375"/>
      <c r="AP52" s="375"/>
      <c r="AQ52" s="375"/>
      <c r="AR52" s="375"/>
      <c r="AS52" s="375"/>
      <c r="AT52" s="375"/>
      <c r="AU52" s="375"/>
      <c r="AV52" s="375"/>
      <c r="AW52" s="375"/>
      <c r="AX52" s="375"/>
      <c r="AY52" s="375"/>
      <c r="AZ52" s="375"/>
      <c r="BA52" s="375"/>
      <c r="BB52" s="375"/>
      <c r="BC52" s="375"/>
      <c r="BD52" s="375"/>
      <c r="BE52" s="375"/>
      <c r="BF52" s="375"/>
      <c r="BG52" s="375"/>
      <c r="BH52" s="375"/>
      <c r="BI52" s="375"/>
      <c r="BJ52" s="375"/>
      <c r="BK52" s="375"/>
      <c r="BL52" s="375"/>
      <c r="BM52" s="375"/>
      <c r="BN52" s="375"/>
      <c r="BO52" s="375"/>
      <c r="BP52" s="375"/>
      <c r="BQ52" s="375"/>
      <c r="BR52" s="375"/>
      <c r="BS52" s="375"/>
      <c r="BT52" s="375"/>
      <c r="BU52" s="375"/>
      <c r="BV52" s="376" t="s">
        <v>359</v>
      </c>
    </row>
    <row r="53" spans="3:76" ht="12" customHeight="1">
      <c r="C53" s="154"/>
    </row>
    <row r="54" spans="3:76" ht="12" customHeight="1">
      <c r="C54" s="154"/>
    </row>
    <row r="55" spans="3:76" ht="12" customHeight="1">
      <c r="C55" s="154"/>
      <c r="BC55" s="157" t="s">
        <v>360</v>
      </c>
      <c r="BD55" s="157"/>
      <c r="BE55" s="157"/>
      <c r="BF55" s="157"/>
      <c r="BG55" s="157"/>
      <c r="BH55" s="157"/>
      <c r="BI55" s="170"/>
      <c r="BJ55" s="159"/>
      <c r="BK55" s="159"/>
      <c r="BL55" s="159"/>
      <c r="BM55" s="159"/>
      <c r="BN55" s="159"/>
      <c r="BO55" s="159"/>
      <c r="BP55" s="159"/>
      <c r="BQ55" s="159"/>
      <c r="BR55" s="159"/>
      <c r="BS55" s="159"/>
      <c r="BT55" s="159"/>
      <c r="BU55" s="159"/>
      <c r="BV55" s="171"/>
    </row>
    <row r="56" spans="3:76" ht="12" customHeight="1">
      <c r="C56" s="154"/>
    </row>
    <row r="57" spans="3:76" ht="12" customHeight="1">
      <c r="C57" s="192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50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  <c r="BR57" s="149"/>
      <c r="BS57" s="149"/>
      <c r="BT57" s="149"/>
      <c r="BU57" s="149"/>
      <c r="BV57" s="149"/>
      <c r="BW57" s="149"/>
      <c r="BX57" s="149"/>
    </row>
    <row r="58" spans="3:76" ht="12" customHeight="1">
      <c r="C58" s="151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3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2"/>
      <c r="BL58" s="152"/>
      <c r="BM58" s="152"/>
      <c r="BN58" s="152"/>
      <c r="BO58" s="152"/>
      <c r="BP58" s="152"/>
      <c r="BQ58" s="152"/>
      <c r="BR58" s="152"/>
      <c r="BS58" s="152"/>
      <c r="BT58" s="152"/>
      <c r="BU58" s="152"/>
      <c r="BV58" s="152"/>
      <c r="BW58" s="152"/>
      <c r="BX58" s="152"/>
    </row>
    <row r="60" spans="3:76" ht="12" customHeight="1">
      <c r="C60" s="939" t="s">
        <v>361</v>
      </c>
      <c r="D60" s="940"/>
      <c r="F60" s="14" t="s">
        <v>261</v>
      </c>
      <c r="H60" s="14" t="s">
        <v>362</v>
      </c>
    </row>
    <row r="61" spans="3:76" ht="12" customHeight="1">
      <c r="C61" s="937" t="s">
        <v>324</v>
      </c>
      <c r="D61" s="938"/>
    </row>
    <row r="62" spans="3:76" ht="12" customHeight="1">
      <c r="C62" s="937" t="s">
        <v>324</v>
      </c>
      <c r="D62" s="938"/>
    </row>
    <row r="63" spans="3:76" ht="12" customHeight="1">
      <c r="C63" s="937" t="s">
        <v>336</v>
      </c>
      <c r="D63" s="938"/>
    </row>
    <row r="65" spans="3:17" ht="12" customHeight="1">
      <c r="C65" s="149"/>
      <c r="D65" s="149"/>
      <c r="E65" s="149"/>
      <c r="F65" s="149"/>
      <c r="G65" s="149"/>
      <c r="H65" s="149"/>
      <c r="I65" s="149"/>
      <c r="J65" s="149"/>
      <c r="M65" s="14" t="s">
        <v>261</v>
      </c>
      <c r="O65" s="14" t="s">
        <v>363</v>
      </c>
      <c r="Q65" s="14"/>
    </row>
    <row r="66" spans="3:17" ht="12" customHeight="1">
      <c r="C66" s="152"/>
      <c r="D66" s="152"/>
      <c r="E66" s="152"/>
      <c r="F66" s="152"/>
      <c r="G66" s="152"/>
      <c r="H66" s="152"/>
      <c r="I66" s="152"/>
      <c r="J66" s="152"/>
    </row>
  </sheetData>
  <mergeCells count="82">
    <mergeCell ref="AP19:BP24"/>
    <mergeCell ref="AF16:AV17"/>
    <mergeCell ref="AJ2:AR2"/>
    <mergeCell ref="AS2:AY3"/>
    <mergeCell ref="AZ2:BE3"/>
    <mergeCell ref="K1:T1"/>
    <mergeCell ref="U1:Y1"/>
    <mergeCell ref="Z1:AD1"/>
    <mergeCell ref="AE1:AI1"/>
    <mergeCell ref="AJ1:AR1"/>
    <mergeCell ref="P31:Q31"/>
    <mergeCell ref="P32:Q32"/>
    <mergeCell ref="BF2:BK3"/>
    <mergeCell ref="K3:T3"/>
    <mergeCell ref="U3:Y3"/>
    <mergeCell ref="Z3:AD3"/>
    <mergeCell ref="AE3:AR3"/>
    <mergeCell ref="A5:BK5"/>
    <mergeCell ref="A1:J3"/>
    <mergeCell ref="AS1:AY1"/>
    <mergeCell ref="AZ1:BE1"/>
    <mergeCell ref="BF1:BK1"/>
    <mergeCell ref="K2:T2"/>
    <mergeCell ref="U2:Y2"/>
    <mergeCell ref="Z2:AD2"/>
    <mergeCell ref="AE2:AI2"/>
    <mergeCell ref="BG44:BJ44"/>
    <mergeCell ref="BN44:BO44"/>
    <mergeCell ref="AU43:AX43"/>
    <mergeCell ref="AY42:BB42"/>
    <mergeCell ref="AY43:BB43"/>
    <mergeCell ref="AU42:AX42"/>
    <mergeCell ref="BG43:BJ43"/>
    <mergeCell ref="BN43:BO43"/>
    <mergeCell ref="BC43:BF43"/>
    <mergeCell ref="AU46:AX46"/>
    <mergeCell ref="AU45:AX45"/>
    <mergeCell ref="AY44:BB44"/>
    <mergeCell ref="BC44:BF44"/>
    <mergeCell ref="AU44:AX44"/>
    <mergeCell ref="AY45:BB45"/>
    <mergeCell ref="BC45:BF45"/>
    <mergeCell ref="AU50:AX50"/>
    <mergeCell ref="AU49:AX49"/>
    <mergeCell ref="AY49:BB49"/>
    <mergeCell ref="BC49:BF49"/>
    <mergeCell ref="C63:D63"/>
    <mergeCell ref="C60:D60"/>
    <mergeCell ref="C61:D61"/>
    <mergeCell ref="C62:D62"/>
    <mergeCell ref="AU51:AX51"/>
    <mergeCell ref="AU48:AX48"/>
    <mergeCell ref="AU47:AX47"/>
    <mergeCell ref="BN40:BO40"/>
    <mergeCell ref="BN41:BO41"/>
    <mergeCell ref="BC42:BF42"/>
    <mergeCell ref="BG42:BJ42"/>
    <mergeCell ref="BN42:BO42"/>
    <mergeCell ref="BG45:BJ45"/>
    <mergeCell ref="BN45:BO45"/>
    <mergeCell ref="AY46:BB46"/>
    <mergeCell ref="BC46:BF46"/>
    <mergeCell ref="BG46:BJ46"/>
    <mergeCell ref="BN46:BO46"/>
    <mergeCell ref="BG47:BJ47"/>
    <mergeCell ref="BN47:BO47"/>
    <mergeCell ref="AY48:BB48"/>
    <mergeCell ref="BC48:BF48"/>
    <mergeCell ref="BG48:BJ48"/>
    <mergeCell ref="BN48:BO48"/>
    <mergeCell ref="AY47:BB47"/>
    <mergeCell ref="BC47:BF47"/>
    <mergeCell ref="BN51:BO51"/>
    <mergeCell ref="BG49:BJ49"/>
    <mergeCell ref="BN49:BO49"/>
    <mergeCell ref="AY50:BB50"/>
    <mergeCell ref="BC50:BF50"/>
    <mergeCell ref="BG50:BJ50"/>
    <mergeCell ref="BN50:BO50"/>
    <mergeCell ref="BG51:BJ51"/>
    <mergeCell ref="AY51:BB51"/>
    <mergeCell ref="BC51:BF51"/>
  </mergeCells>
  <phoneticPr fontId="9"/>
  <pageMargins left="0.51181102362204722" right="0.74803149606299213" top="0.70866141732283472" bottom="0.43307086614173229" header="0.51181102362204722" footer="0.19685039370078741"/>
  <pageSetup paperSize="9" scale="69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D1BB-21E7-4FB9-8046-8DE26D3DB56E}">
  <sheetPr codeName="Sheet5">
    <pageSetUpPr fitToPage="1"/>
  </sheetPr>
  <dimension ref="A1:CJ45"/>
  <sheetViews>
    <sheetView showGridLines="0" showZeros="0" view="pageBreakPreview" zoomScaleNormal="100" zoomScaleSheetLayoutView="100" workbookViewId="0">
      <pane ySplit="4" topLeftCell="A5" activePane="bottomLeft" state="frozen"/>
      <selection activeCell="AT31" sqref="AT31"/>
      <selection pane="bottomLeft" activeCell="M40" sqref="M40"/>
    </sheetView>
  </sheetViews>
  <sheetFormatPr defaultColWidth="2.125" defaultRowHeight="15.75" customHeight="1"/>
  <cols>
    <col min="1" max="2" width="2.125" style="14" customWidth="1"/>
    <col min="3" max="3" width="2.375" style="15" customWidth="1"/>
    <col min="4" max="4" width="2.125" style="15" customWidth="1"/>
    <col min="5" max="5" width="3" style="15" customWidth="1"/>
    <col min="6" max="9" width="2.125" style="14" customWidth="1"/>
    <col min="10" max="10" width="2.125" style="15" customWidth="1"/>
    <col min="11" max="16" width="2.125" style="14" customWidth="1"/>
    <col min="17" max="17" width="2.125" style="16" customWidth="1"/>
    <col min="18" max="29" width="2.125" style="14" customWidth="1"/>
    <col min="30" max="30" width="12.5" style="14" customWidth="1"/>
    <col min="31" max="62" width="2.125" style="14" customWidth="1"/>
    <col min="63" max="63" width="2.25" style="14" customWidth="1"/>
    <col min="64" max="66" width="2.125" style="14" customWidth="1"/>
    <col min="67" max="16384" width="2.125" style="14"/>
  </cols>
  <sheetData>
    <row r="1" spans="1:88" s="1" customFormat="1" ht="15.75" customHeight="1">
      <c r="A1" s="963" t="str">
        <f>表紙!A54</f>
        <v>Webシステム</v>
      </c>
      <c r="B1" s="964"/>
      <c r="C1" s="964"/>
      <c r="D1" s="964"/>
      <c r="E1" s="964"/>
      <c r="F1" s="964"/>
      <c r="G1" s="964"/>
      <c r="H1" s="964"/>
      <c r="I1" s="964"/>
      <c r="J1" s="965"/>
      <c r="K1" s="988" t="s">
        <v>152</v>
      </c>
      <c r="L1" s="989"/>
      <c r="M1" s="989"/>
      <c r="N1" s="989"/>
      <c r="O1" s="989"/>
      <c r="P1" s="989"/>
      <c r="Q1" s="989"/>
      <c r="R1" s="989"/>
      <c r="S1" s="989"/>
      <c r="T1" s="990"/>
      <c r="U1" s="991" t="s">
        <v>153</v>
      </c>
      <c r="V1" s="992"/>
      <c r="W1" s="992"/>
      <c r="X1" s="992"/>
      <c r="Y1" s="993"/>
      <c r="Z1" s="994" t="str">
        <f>表紙!$AJ$63</f>
        <v>MS</v>
      </c>
      <c r="AA1" s="995"/>
      <c r="AB1" s="995"/>
      <c r="AC1" s="995"/>
      <c r="AD1" s="996"/>
      <c r="AE1" s="997" t="s">
        <v>154</v>
      </c>
      <c r="AF1" s="974"/>
      <c r="AG1" s="974"/>
      <c r="AH1" s="974"/>
      <c r="AI1" s="975"/>
      <c r="AJ1" s="998" t="str">
        <f>表紙!$AX$63</f>
        <v>Webシステム</v>
      </c>
      <c r="AK1" s="999"/>
      <c r="AL1" s="999"/>
      <c r="AM1" s="999"/>
      <c r="AN1" s="999"/>
      <c r="AO1" s="999"/>
      <c r="AP1" s="999"/>
      <c r="AQ1" s="999"/>
      <c r="AR1" s="1000"/>
      <c r="AS1" s="972" t="s">
        <v>101</v>
      </c>
      <c r="AT1" s="972"/>
      <c r="AU1" s="972"/>
      <c r="AV1" s="972"/>
      <c r="AW1" s="972"/>
      <c r="AX1" s="972"/>
      <c r="AY1" s="972"/>
      <c r="AZ1" s="973" t="s">
        <v>124</v>
      </c>
      <c r="BA1" s="974"/>
      <c r="BB1" s="974"/>
      <c r="BC1" s="974"/>
      <c r="BD1" s="974"/>
      <c r="BE1" s="975"/>
      <c r="BF1" s="973" t="s">
        <v>155</v>
      </c>
      <c r="BG1" s="974"/>
      <c r="BH1" s="974"/>
      <c r="BI1" s="974"/>
      <c r="BJ1" s="974"/>
      <c r="BK1" s="976"/>
    </row>
    <row r="2" spans="1:88" s="1" customFormat="1" ht="15.75" customHeight="1">
      <c r="A2" s="966"/>
      <c r="B2" s="967"/>
      <c r="C2" s="967"/>
      <c r="D2" s="967"/>
      <c r="E2" s="967"/>
      <c r="F2" s="967"/>
      <c r="G2" s="967"/>
      <c r="H2" s="967"/>
      <c r="I2" s="967"/>
      <c r="J2" s="968"/>
      <c r="K2" s="977" t="str">
        <f>表紙!O64</f>
        <v>アドオン設計書</v>
      </c>
      <c r="L2" s="944"/>
      <c r="M2" s="944"/>
      <c r="N2" s="944"/>
      <c r="O2" s="944"/>
      <c r="P2" s="944"/>
      <c r="Q2" s="944"/>
      <c r="R2" s="944"/>
      <c r="S2" s="944"/>
      <c r="T2" s="978"/>
      <c r="U2" s="979" t="s">
        <v>156</v>
      </c>
      <c r="V2" s="980"/>
      <c r="W2" s="980"/>
      <c r="X2" s="980"/>
      <c r="Y2" s="981"/>
      <c r="Z2" s="982" t="str">
        <f>表紙!$AJ$64</f>
        <v>MSBB</v>
      </c>
      <c r="AA2" s="983"/>
      <c r="AB2" s="983"/>
      <c r="AC2" s="983"/>
      <c r="AD2" s="984"/>
      <c r="AE2" s="985" t="s">
        <v>157</v>
      </c>
      <c r="AF2" s="986"/>
      <c r="AG2" s="986"/>
      <c r="AH2" s="986"/>
      <c r="AI2" s="987"/>
      <c r="AJ2" s="1002" t="str">
        <f>表紙!$AX$64</f>
        <v>Web販売管理</v>
      </c>
      <c r="AK2" s="1003"/>
      <c r="AL2" s="1003"/>
      <c r="AM2" s="1003"/>
      <c r="AN2" s="1003"/>
      <c r="AO2" s="1003"/>
      <c r="AP2" s="1003"/>
      <c r="AQ2" s="1003"/>
      <c r="AR2" s="1004"/>
      <c r="AS2" s="1005" t="str">
        <f>表紙!$BL$64</f>
        <v>M7-US-1140</v>
      </c>
      <c r="AT2" s="1006"/>
      <c r="AU2" s="1006"/>
      <c r="AV2" s="1006"/>
      <c r="AW2" s="1006"/>
      <c r="AX2" s="1006"/>
      <c r="AY2" s="1006"/>
      <c r="AZ2" s="1008" t="str">
        <f>表紙!$BU$64</f>
        <v>7.0.2</v>
      </c>
      <c r="BA2" s="944"/>
      <c r="BB2" s="944"/>
      <c r="BC2" s="944"/>
      <c r="BD2" s="944"/>
      <c r="BE2" s="978"/>
      <c r="BF2" s="943">
        <f>表紙!$CB$64</f>
        <v>1</v>
      </c>
      <c r="BG2" s="944"/>
      <c r="BH2" s="944"/>
      <c r="BI2" s="944"/>
      <c r="BJ2" s="944"/>
      <c r="BK2" s="945"/>
    </row>
    <row r="3" spans="1:88" s="1" customFormat="1" ht="15.75" customHeight="1" thickBot="1">
      <c r="A3" s="969"/>
      <c r="B3" s="970"/>
      <c r="C3" s="970"/>
      <c r="D3" s="970"/>
      <c r="E3" s="970"/>
      <c r="F3" s="970"/>
      <c r="G3" s="970"/>
      <c r="H3" s="970"/>
      <c r="I3" s="970"/>
      <c r="J3" s="971"/>
      <c r="K3" s="949" t="str">
        <f ca="1">RIGHT(CELL("filename",$A$1),LEN(CELL("filename",$A$1))-FIND("]",CELL("filename",$A$1)))</f>
        <v>項目説明</v>
      </c>
      <c r="L3" s="950"/>
      <c r="M3" s="950"/>
      <c r="N3" s="950"/>
      <c r="O3" s="950"/>
      <c r="P3" s="950"/>
      <c r="Q3" s="950"/>
      <c r="R3" s="950"/>
      <c r="S3" s="950"/>
      <c r="T3" s="951"/>
      <c r="U3" s="952" t="s">
        <v>158</v>
      </c>
      <c r="V3" s="953"/>
      <c r="W3" s="953"/>
      <c r="X3" s="953"/>
      <c r="Y3" s="954"/>
      <c r="Z3" s="955" t="str">
        <f>表紙!$AJ$65</f>
        <v>MSBBPA100</v>
      </c>
      <c r="AA3" s="956"/>
      <c r="AB3" s="956"/>
      <c r="AC3" s="956"/>
      <c r="AD3" s="956"/>
      <c r="AE3" s="957" t="str">
        <f>表紙!$AQ$65</f>
        <v>WebFSC製品化チェックシート出力</v>
      </c>
      <c r="AF3" s="958"/>
      <c r="AG3" s="958"/>
      <c r="AH3" s="958"/>
      <c r="AI3" s="958"/>
      <c r="AJ3" s="958"/>
      <c r="AK3" s="958"/>
      <c r="AL3" s="958"/>
      <c r="AM3" s="958"/>
      <c r="AN3" s="958"/>
      <c r="AO3" s="958"/>
      <c r="AP3" s="958"/>
      <c r="AQ3" s="958"/>
      <c r="AR3" s="959"/>
      <c r="AS3" s="1007"/>
      <c r="AT3" s="1007"/>
      <c r="AU3" s="1007"/>
      <c r="AV3" s="1007"/>
      <c r="AW3" s="1007"/>
      <c r="AX3" s="1007"/>
      <c r="AY3" s="1007"/>
      <c r="AZ3" s="946"/>
      <c r="BA3" s="947"/>
      <c r="BB3" s="947"/>
      <c r="BC3" s="947"/>
      <c r="BD3" s="947"/>
      <c r="BE3" s="1009"/>
      <c r="BF3" s="946"/>
      <c r="BG3" s="947"/>
      <c r="BH3" s="947"/>
      <c r="BI3" s="947"/>
      <c r="BJ3" s="947"/>
      <c r="BK3" s="948"/>
    </row>
    <row r="4" spans="1:88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88" s="76" customFormat="1" ht="15.75" customHeight="1" thickBot="1">
      <c r="A5" s="278" t="s">
        <v>128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279"/>
      <c r="AR5" s="279"/>
      <c r="AS5" s="279"/>
      <c r="AT5" s="279"/>
      <c r="AU5" s="279"/>
      <c r="AV5" s="279"/>
      <c r="AW5" s="279"/>
      <c r="AX5" s="279"/>
      <c r="AY5" s="279"/>
      <c r="AZ5" s="279"/>
      <c r="BA5" s="279"/>
      <c r="BB5" s="279"/>
      <c r="BC5" s="279"/>
      <c r="BD5" s="279"/>
      <c r="BE5" s="279"/>
      <c r="BF5" s="279"/>
      <c r="BG5" s="279"/>
      <c r="BH5" s="279"/>
      <c r="BI5" s="279"/>
      <c r="BJ5" s="279"/>
      <c r="BK5" s="280"/>
    </row>
    <row r="6" spans="1:88" s="4" customFormat="1" ht="14.25">
      <c r="A6" s="281"/>
      <c r="B6" s="282" t="s">
        <v>364</v>
      </c>
      <c r="C6" s="283"/>
      <c r="D6" s="283"/>
      <c r="E6" s="283"/>
      <c r="F6" s="283"/>
      <c r="G6" s="283"/>
      <c r="H6" s="283"/>
      <c r="I6" s="283"/>
      <c r="J6" s="283"/>
      <c r="K6" s="283"/>
      <c r="L6" s="284"/>
      <c r="M6" s="283"/>
      <c r="N6" s="285" t="s">
        <v>365</v>
      </c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83"/>
      <c r="AL6" s="283"/>
      <c r="AM6" s="283"/>
      <c r="AN6" s="283"/>
      <c r="AO6" s="283"/>
      <c r="AP6" s="283"/>
      <c r="AQ6" s="283"/>
      <c r="AR6" s="283"/>
      <c r="AS6" s="283"/>
      <c r="AT6" s="283"/>
      <c r="AU6" s="283"/>
      <c r="AV6" s="283"/>
      <c r="AW6" s="283"/>
      <c r="AX6" s="283"/>
      <c r="AY6" s="283"/>
      <c r="AZ6" s="283"/>
      <c r="BA6" s="283"/>
      <c r="BB6" s="283"/>
      <c r="BC6" s="283"/>
      <c r="BD6" s="283"/>
      <c r="BE6" s="297" t="s">
        <v>366</v>
      </c>
      <c r="BF6" s="297" t="s">
        <v>367</v>
      </c>
      <c r="BG6" s="297" t="s">
        <v>368</v>
      </c>
      <c r="BH6" s="297" t="s">
        <v>369</v>
      </c>
      <c r="BI6" s="297" t="s">
        <v>370</v>
      </c>
      <c r="BJ6" s="297" t="s">
        <v>371</v>
      </c>
      <c r="BK6" s="298" t="s">
        <v>372</v>
      </c>
      <c r="BM6" s="1010"/>
      <c r="BN6" s="1010"/>
      <c r="BO6" s="1010"/>
      <c r="BP6" s="1010"/>
      <c r="BQ6" s="1010"/>
      <c r="BR6" s="1010"/>
      <c r="BS6" s="1010"/>
      <c r="BT6" s="1010"/>
      <c r="BU6" s="1010"/>
      <c r="BV6" s="1010"/>
      <c r="BW6" s="1010"/>
      <c r="BX6" s="1010"/>
      <c r="BY6" s="1010"/>
      <c r="BZ6" s="1010"/>
      <c r="CA6" s="1010"/>
      <c r="CB6" s="1010"/>
      <c r="CC6" s="1010"/>
      <c r="CD6" s="1010"/>
      <c r="CE6" s="1010"/>
      <c r="CF6" s="1010"/>
      <c r="CG6" s="1010"/>
      <c r="CH6" s="1010"/>
      <c r="CI6" s="1010"/>
      <c r="CJ6" s="1010"/>
    </row>
    <row r="7" spans="1:88" ht="15.75" customHeight="1">
      <c r="A7" s="286" t="s">
        <v>373</v>
      </c>
      <c r="B7" s="287" t="s">
        <v>374</v>
      </c>
      <c r="C7" s="288"/>
      <c r="D7" s="288"/>
      <c r="E7" s="288"/>
      <c r="F7" s="288"/>
      <c r="G7" s="288"/>
      <c r="H7" s="288"/>
      <c r="I7" s="288"/>
      <c r="J7" s="288"/>
      <c r="K7" s="288"/>
      <c r="L7" s="289"/>
      <c r="M7" s="288" t="s">
        <v>375</v>
      </c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290" t="s">
        <v>376</v>
      </c>
      <c r="BF7" s="290" t="s">
        <v>377</v>
      </c>
      <c r="BG7" s="291"/>
      <c r="BH7" s="290" t="s">
        <v>378</v>
      </c>
      <c r="BI7" s="290"/>
      <c r="BJ7" s="291"/>
      <c r="BK7" s="292"/>
    </row>
    <row r="8" spans="1:88" ht="15.75" customHeight="1">
      <c r="A8" s="286" t="s">
        <v>373</v>
      </c>
      <c r="B8" s="287" t="s">
        <v>379</v>
      </c>
      <c r="C8" s="288"/>
      <c r="D8" s="288"/>
      <c r="E8" s="288"/>
      <c r="F8" s="288"/>
      <c r="G8" s="288"/>
      <c r="H8" s="288"/>
      <c r="I8" s="288"/>
      <c r="J8" s="288"/>
      <c r="K8" s="288"/>
      <c r="L8" s="289"/>
      <c r="M8" s="288" t="s">
        <v>375</v>
      </c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290" t="s">
        <v>376</v>
      </c>
      <c r="BF8" s="290" t="s">
        <v>377</v>
      </c>
      <c r="BG8" s="291"/>
      <c r="BH8" s="290"/>
      <c r="BI8" s="290"/>
      <c r="BJ8" s="291"/>
      <c r="BK8" s="292"/>
    </row>
    <row r="9" spans="1:88" ht="15.75" customHeight="1">
      <c r="A9" s="286" t="s">
        <v>373</v>
      </c>
      <c r="B9" s="140" t="s">
        <v>380</v>
      </c>
      <c r="C9" s="288"/>
      <c r="D9" s="288"/>
      <c r="E9" s="288"/>
      <c r="F9" s="288"/>
      <c r="G9" s="288"/>
      <c r="H9" s="288"/>
      <c r="I9" s="288"/>
      <c r="J9" s="288"/>
      <c r="K9" s="288"/>
      <c r="L9" s="289"/>
      <c r="M9" s="288" t="s">
        <v>381</v>
      </c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290" t="s">
        <v>382</v>
      </c>
      <c r="BF9" s="290" t="s">
        <v>383</v>
      </c>
      <c r="BG9" s="291"/>
      <c r="BH9" s="290"/>
      <c r="BI9" s="290"/>
      <c r="BJ9" s="291"/>
      <c r="BK9" s="292"/>
    </row>
    <row r="10" spans="1:88" ht="15.75" customHeight="1">
      <c r="A10" s="286" t="s">
        <v>373</v>
      </c>
      <c r="B10" s="140" t="s">
        <v>384</v>
      </c>
      <c r="C10" s="288"/>
      <c r="D10" s="288"/>
      <c r="E10" s="288"/>
      <c r="F10" s="288"/>
      <c r="G10" s="288"/>
      <c r="H10" s="288"/>
      <c r="I10" s="288"/>
      <c r="J10" s="288"/>
      <c r="K10" s="288"/>
      <c r="L10" s="289"/>
      <c r="M10" s="288" t="s">
        <v>385</v>
      </c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290" t="s">
        <v>382</v>
      </c>
      <c r="BF10" s="290" t="s">
        <v>383</v>
      </c>
      <c r="BG10" s="291"/>
      <c r="BH10" s="290"/>
      <c r="BI10" s="290"/>
      <c r="BJ10" s="291"/>
      <c r="BK10" s="292"/>
    </row>
    <row r="11" spans="1:88" ht="15.75" customHeight="1">
      <c r="A11" s="286" t="s">
        <v>373</v>
      </c>
      <c r="B11" s="287" t="s">
        <v>386</v>
      </c>
      <c r="C11" s="288"/>
      <c r="D11" s="288"/>
      <c r="E11" s="288"/>
      <c r="F11" s="288"/>
      <c r="G11" s="288"/>
      <c r="H11" s="288"/>
      <c r="I11" s="288"/>
      <c r="J11" s="288"/>
      <c r="K11" s="288"/>
      <c r="L11" s="289"/>
      <c r="M11" s="288" t="s">
        <v>387</v>
      </c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290" t="s">
        <v>388</v>
      </c>
      <c r="BF11" s="290" t="s">
        <v>377</v>
      </c>
      <c r="BG11" s="291"/>
      <c r="BH11" s="290"/>
      <c r="BI11" s="290"/>
      <c r="BJ11" s="291"/>
      <c r="BK11" s="292"/>
    </row>
    <row r="12" spans="1:88" ht="15.75" customHeight="1">
      <c r="A12" s="286" t="s">
        <v>373</v>
      </c>
      <c r="B12" s="287" t="s">
        <v>389</v>
      </c>
      <c r="C12" s="288"/>
      <c r="D12" s="288"/>
      <c r="E12" s="288"/>
      <c r="F12" s="288"/>
      <c r="G12" s="288"/>
      <c r="H12" s="288"/>
      <c r="I12" s="288"/>
      <c r="J12" s="288"/>
      <c r="K12" s="288"/>
      <c r="L12" s="289"/>
      <c r="M12" s="288" t="s">
        <v>390</v>
      </c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290" t="s">
        <v>388</v>
      </c>
      <c r="BF12" s="290" t="s">
        <v>377</v>
      </c>
      <c r="BG12" s="291"/>
      <c r="BH12" s="290"/>
      <c r="BI12" s="290"/>
      <c r="BJ12" s="291"/>
      <c r="BK12" s="292"/>
    </row>
    <row r="13" spans="1:88" ht="15.75" customHeight="1">
      <c r="A13" s="286" t="s">
        <v>373</v>
      </c>
      <c r="B13" s="96" t="s">
        <v>391</v>
      </c>
      <c r="C13" s="288"/>
      <c r="D13" s="288"/>
      <c r="E13" s="288"/>
      <c r="F13" s="288"/>
      <c r="G13" s="288"/>
      <c r="H13" s="288"/>
      <c r="I13" s="288"/>
      <c r="J13" s="288"/>
      <c r="K13" s="288"/>
      <c r="L13" s="289"/>
      <c r="M13" s="288" t="s">
        <v>375</v>
      </c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290" t="s">
        <v>392</v>
      </c>
      <c r="BF13" s="290" t="s">
        <v>377</v>
      </c>
      <c r="BG13" s="291"/>
      <c r="BH13" s="290"/>
      <c r="BI13" s="290"/>
      <c r="BJ13" s="291"/>
      <c r="BK13" s="292" t="s">
        <v>372</v>
      </c>
    </row>
    <row r="14" spans="1:88" ht="15.75" customHeight="1">
      <c r="A14" s="286" t="s">
        <v>373</v>
      </c>
      <c r="B14" s="140" t="s">
        <v>393</v>
      </c>
      <c r="C14" s="288"/>
      <c r="D14" s="288"/>
      <c r="E14" s="288"/>
      <c r="F14" s="288"/>
      <c r="G14" s="288"/>
      <c r="H14" s="288"/>
      <c r="I14" s="288"/>
      <c r="J14" s="288"/>
      <c r="K14" s="288"/>
      <c r="L14" s="289"/>
      <c r="M14" s="288" t="s">
        <v>375</v>
      </c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290" t="s">
        <v>392</v>
      </c>
      <c r="BF14" s="290" t="s">
        <v>377</v>
      </c>
      <c r="BG14" s="291"/>
      <c r="BH14" s="290"/>
      <c r="BI14" s="290"/>
      <c r="BJ14" s="291"/>
      <c r="BK14" s="292" t="s">
        <v>372</v>
      </c>
    </row>
    <row r="15" spans="1:88" ht="15.75" customHeight="1">
      <c r="A15" s="286" t="s">
        <v>373</v>
      </c>
      <c r="B15" s="140" t="s">
        <v>293</v>
      </c>
      <c r="C15" s="288"/>
      <c r="D15" s="288"/>
      <c r="E15" s="288"/>
      <c r="F15" s="288"/>
      <c r="G15" s="288"/>
      <c r="H15" s="288"/>
      <c r="I15" s="288"/>
      <c r="J15" s="288"/>
      <c r="K15" s="288"/>
      <c r="L15" s="289"/>
      <c r="M15" s="288" t="s">
        <v>394</v>
      </c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 t="s">
        <v>395</v>
      </c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291" t="s">
        <v>396</v>
      </c>
      <c r="BF15" s="290" t="s">
        <v>397</v>
      </c>
      <c r="BG15" s="291"/>
      <c r="BH15" s="290"/>
      <c r="BI15" s="291"/>
      <c r="BJ15" s="291"/>
      <c r="BK15" s="292"/>
    </row>
    <row r="16" spans="1:88" ht="15.75" customHeight="1" thickBot="1">
      <c r="A16" s="286"/>
      <c r="B16" s="140"/>
      <c r="C16" s="288"/>
      <c r="D16" s="288"/>
      <c r="E16" s="288"/>
      <c r="F16" s="288"/>
      <c r="G16" s="288"/>
      <c r="H16" s="288"/>
      <c r="I16" s="288"/>
      <c r="J16" s="288"/>
      <c r="K16" s="288"/>
      <c r="L16" s="289"/>
      <c r="M16" s="28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291"/>
      <c r="BF16" s="290"/>
      <c r="BG16" s="291"/>
      <c r="BH16" s="290"/>
      <c r="BI16" s="291"/>
      <c r="BJ16" s="291"/>
      <c r="BK16" s="292"/>
    </row>
    <row r="17" spans="1:88" s="4" customFormat="1" ht="14.25">
      <c r="A17" s="281"/>
      <c r="B17" s="282" t="s">
        <v>398</v>
      </c>
      <c r="C17" s="283"/>
      <c r="D17" s="283"/>
      <c r="E17" s="283"/>
      <c r="F17" s="283"/>
      <c r="G17" s="283"/>
      <c r="H17" s="283"/>
      <c r="I17" s="283"/>
      <c r="J17" s="283"/>
      <c r="K17" s="283"/>
      <c r="L17" s="284"/>
      <c r="M17" s="283"/>
      <c r="N17" s="285" t="s">
        <v>365</v>
      </c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3"/>
      <c r="AT17" s="283"/>
      <c r="AU17" s="283"/>
      <c r="AV17" s="283"/>
      <c r="AW17" s="283"/>
      <c r="AX17" s="283"/>
      <c r="AY17" s="283"/>
      <c r="AZ17" s="283"/>
      <c r="BA17" s="283"/>
      <c r="BB17" s="283"/>
      <c r="BC17" s="283"/>
      <c r="BD17" s="283"/>
      <c r="BE17" s="297" t="s">
        <v>366</v>
      </c>
      <c r="BF17" s="297" t="s">
        <v>367</v>
      </c>
      <c r="BG17" s="297" t="s">
        <v>368</v>
      </c>
      <c r="BH17" s="297" t="s">
        <v>369</v>
      </c>
      <c r="BI17" s="297" t="s">
        <v>370</v>
      </c>
      <c r="BJ17" s="297" t="s">
        <v>371</v>
      </c>
      <c r="BK17" s="298" t="s">
        <v>372</v>
      </c>
      <c r="BM17" s="1010"/>
      <c r="BN17" s="1010"/>
      <c r="BO17" s="1010"/>
      <c r="BP17" s="1010"/>
      <c r="BQ17" s="1010"/>
      <c r="BR17" s="1010"/>
      <c r="BS17" s="1010"/>
      <c r="BT17" s="1010"/>
      <c r="BU17" s="1010"/>
      <c r="BV17" s="1010"/>
      <c r="BW17" s="1010"/>
      <c r="BX17" s="1010"/>
      <c r="BY17" s="1010"/>
      <c r="BZ17" s="1010"/>
      <c r="CA17" s="1010"/>
      <c r="CB17" s="1010"/>
      <c r="CC17" s="1010"/>
      <c r="CD17" s="1010"/>
      <c r="CE17" s="1010"/>
      <c r="CF17" s="1010"/>
      <c r="CG17" s="1010"/>
      <c r="CH17" s="1010"/>
      <c r="CI17" s="1010"/>
      <c r="CJ17" s="1010"/>
    </row>
    <row r="18" spans="1:88" ht="15.75" customHeight="1">
      <c r="A18" s="286"/>
      <c r="B18" s="287" t="s">
        <v>296</v>
      </c>
      <c r="C18" s="288"/>
      <c r="D18" s="288"/>
      <c r="E18" s="288"/>
      <c r="F18" s="288"/>
      <c r="G18" s="288"/>
      <c r="H18" s="288"/>
      <c r="I18" s="288"/>
      <c r="J18" s="288"/>
      <c r="K18" s="288"/>
      <c r="L18" s="289"/>
      <c r="M18" s="288" t="s">
        <v>399</v>
      </c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290" t="s">
        <v>388</v>
      </c>
      <c r="BF18" s="290" t="s">
        <v>400</v>
      </c>
      <c r="BG18" s="291"/>
      <c r="BH18" s="290"/>
      <c r="BI18" s="290"/>
      <c r="BJ18" s="291"/>
      <c r="BK18" s="292"/>
    </row>
    <row r="19" spans="1:88" ht="15.75" customHeight="1">
      <c r="A19" s="286"/>
      <c r="B19" s="287" t="s">
        <v>401</v>
      </c>
      <c r="C19" s="288"/>
      <c r="D19" s="288"/>
      <c r="E19" s="288"/>
      <c r="F19" s="288"/>
      <c r="G19" s="288"/>
      <c r="H19" s="288"/>
      <c r="I19" s="288"/>
      <c r="J19" s="288"/>
      <c r="K19" s="288"/>
      <c r="L19" s="289"/>
      <c r="M19" s="288" t="s">
        <v>402</v>
      </c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290" t="s">
        <v>388</v>
      </c>
      <c r="BF19" s="290" t="s">
        <v>377</v>
      </c>
      <c r="BG19" s="291"/>
      <c r="BH19" s="290"/>
      <c r="BI19" s="290"/>
      <c r="BJ19" s="291"/>
      <c r="BK19" s="292"/>
    </row>
    <row r="20" spans="1:88" ht="15.75" customHeight="1">
      <c r="A20" s="286"/>
      <c r="B20" s="287" t="s">
        <v>403</v>
      </c>
      <c r="C20" s="288"/>
      <c r="D20" s="288"/>
      <c r="E20" s="288"/>
      <c r="F20" s="288"/>
      <c r="G20" s="288"/>
      <c r="H20" s="288"/>
      <c r="I20" s="288"/>
      <c r="J20" s="288"/>
      <c r="K20" s="288"/>
      <c r="L20" s="289"/>
      <c r="M20" s="288" t="s">
        <v>404</v>
      </c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290" t="s">
        <v>388</v>
      </c>
      <c r="BF20" s="290" t="s">
        <v>377</v>
      </c>
      <c r="BG20" s="291"/>
      <c r="BH20" s="290"/>
      <c r="BI20" s="290"/>
      <c r="BJ20" s="291"/>
      <c r="BK20" s="292"/>
    </row>
    <row r="21" spans="1:88" ht="15.75" customHeight="1">
      <c r="A21" s="286"/>
      <c r="B21" s="140" t="s">
        <v>391</v>
      </c>
      <c r="C21" s="288"/>
      <c r="D21" s="288"/>
      <c r="E21" s="288"/>
      <c r="F21" s="288"/>
      <c r="G21" s="288"/>
      <c r="H21" s="288"/>
      <c r="I21" s="288"/>
      <c r="J21" s="288"/>
      <c r="K21" s="288"/>
      <c r="L21" s="289"/>
      <c r="M21" s="288" t="s">
        <v>405</v>
      </c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290" t="s">
        <v>388</v>
      </c>
      <c r="BF21" s="290" t="s">
        <v>377</v>
      </c>
      <c r="BG21" s="291"/>
      <c r="BH21" s="290"/>
      <c r="BI21" s="290"/>
      <c r="BJ21" s="291"/>
      <c r="BK21" s="292"/>
    </row>
    <row r="22" spans="1:88" ht="15.75" customHeight="1">
      <c r="A22" s="286"/>
      <c r="B22" s="140" t="s">
        <v>406</v>
      </c>
      <c r="C22" s="288"/>
      <c r="D22" s="288"/>
      <c r="E22" s="288"/>
      <c r="F22" s="288"/>
      <c r="G22" s="288"/>
      <c r="H22" s="288"/>
      <c r="I22" s="288"/>
      <c r="J22" s="288"/>
      <c r="K22" s="288"/>
      <c r="L22" s="289"/>
      <c r="M22" s="288" t="s">
        <v>407</v>
      </c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290" t="s">
        <v>388</v>
      </c>
      <c r="BF22" s="290" t="s">
        <v>377</v>
      </c>
      <c r="BG22" s="291"/>
      <c r="BH22" s="290"/>
      <c r="BI22" s="290"/>
      <c r="BJ22" s="291"/>
      <c r="BK22" s="292"/>
    </row>
    <row r="23" spans="1:88" ht="15.75" customHeight="1">
      <c r="A23" s="286"/>
      <c r="B23" s="140" t="s">
        <v>408</v>
      </c>
      <c r="C23" s="288"/>
      <c r="D23" s="288"/>
      <c r="E23" s="288"/>
      <c r="F23" s="288"/>
      <c r="G23" s="288"/>
      <c r="H23" s="288"/>
      <c r="I23" s="288"/>
      <c r="J23" s="288"/>
      <c r="K23" s="288"/>
      <c r="L23" s="289"/>
      <c r="M23" s="288" t="s">
        <v>409</v>
      </c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290" t="s">
        <v>388</v>
      </c>
      <c r="BF23" s="290" t="s">
        <v>377</v>
      </c>
      <c r="BG23" s="291"/>
      <c r="BH23" s="290"/>
      <c r="BI23" s="290"/>
      <c r="BJ23" s="291"/>
      <c r="BK23" s="292"/>
    </row>
    <row r="24" spans="1:88" ht="15.75" customHeight="1">
      <c r="A24" s="286"/>
      <c r="B24" s="140" t="s">
        <v>410</v>
      </c>
      <c r="C24" s="288"/>
      <c r="D24" s="288"/>
      <c r="E24" s="288"/>
      <c r="F24" s="288"/>
      <c r="G24" s="288"/>
      <c r="H24" s="288"/>
      <c r="I24" s="288"/>
      <c r="J24" s="288"/>
      <c r="K24" s="288"/>
      <c r="L24" s="289"/>
      <c r="M24" s="288" t="s">
        <v>411</v>
      </c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290" t="s">
        <v>388</v>
      </c>
      <c r="BF24" s="290" t="s">
        <v>377</v>
      </c>
      <c r="BG24" s="291"/>
      <c r="BH24" s="290"/>
      <c r="BI24" s="290"/>
      <c r="BJ24" s="291"/>
      <c r="BK24" s="292"/>
    </row>
    <row r="25" spans="1:88" ht="15.75" customHeight="1">
      <c r="A25" s="286"/>
      <c r="B25" s="140" t="s">
        <v>288</v>
      </c>
      <c r="C25" s="288"/>
      <c r="D25" s="288"/>
      <c r="E25" s="288"/>
      <c r="F25" s="288"/>
      <c r="G25" s="288"/>
      <c r="H25" s="288"/>
      <c r="I25" s="288"/>
      <c r="J25" s="288"/>
      <c r="K25" s="288"/>
      <c r="L25" s="289"/>
      <c r="M25" s="288" t="s">
        <v>412</v>
      </c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290" t="s">
        <v>388</v>
      </c>
      <c r="BF25" s="290" t="s">
        <v>377</v>
      </c>
      <c r="BG25" s="291"/>
      <c r="BH25" s="290"/>
      <c r="BI25" s="290"/>
      <c r="BJ25" s="291"/>
      <c r="BK25" s="292"/>
    </row>
    <row r="26" spans="1:88" ht="15.75" customHeight="1">
      <c r="A26" s="286"/>
      <c r="B26" s="140" t="s">
        <v>413</v>
      </c>
      <c r="C26" s="288"/>
      <c r="D26" s="288"/>
      <c r="E26" s="288"/>
      <c r="F26" s="288"/>
      <c r="G26" s="288"/>
      <c r="H26" s="288"/>
      <c r="I26" s="288"/>
      <c r="J26" s="288"/>
      <c r="K26" s="288"/>
      <c r="L26" s="289"/>
      <c r="M26" s="288" t="s">
        <v>414</v>
      </c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290" t="s">
        <v>388</v>
      </c>
      <c r="BF26" s="290" t="s">
        <v>383</v>
      </c>
      <c r="BG26" s="291"/>
      <c r="BH26" s="290"/>
      <c r="BI26" s="290"/>
      <c r="BJ26" s="291"/>
      <c r="BK26" s="292"/>
    </row>
    <row r="27" spans="1:88" ht="15.75" customHeight="1">
      <c r="A27" s="286"/>
      <c r="B27" s="140" t="s">
        <v>415</v>
      </c>
      <c r="C27" s="288"/>
      <c r="D27" s="288"/>
      <c r="E27" s="288"/>
      <c r="F27" s="288"/>
      <c r="G27" s="288"/>
      <c r="H27" s="288"/>
      <c r="I27" s="288" t="s">
        <v>416</v>
      </c>
      <c r="J27" s="288"/>
      <c r="K27" s="288"/>
      <c r="L27" s="289"/>
      <c r="M27" s="288" t="s">
        <v>417</v>
      </c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290" t="s">
        <v>388</v>
      </c>
      <c r="BF27" s="290" t="s">
        <v>377</v>
      </c>
      <c r="BG27" s="291"/>
      <c r="BH27" s="290"/>
      <c r="BI27" s="290"/>
      <c r="BJ27" s="291"/>
      <c r="BK27" s="292"/>
    </row>
    <row r="28" spans="1:88" ht="15.75" customHeight="1">
      <c r="A28" s="286"/>
      <c r="B28" s="140" t="s">
        <v>418</v>
      </c>
      <c r="C28" s="288"/>
      <c r="D28" s="288"/>
      <c r="E28" s="288"/>
      <c r="F28" s="288"/>
      <c r="G28" s="288"/>
      <c r="H28" s="288"/>
      <c r="I28" s="288" t="s">
        <v>416</v>
      </c>
      <c r="J28" s="288"/>
      <c r="K28" s="288"/>
      <c r="L28" s="289"/>
      <c r="M28" s="288" t="s">
        <v>419</v>
      </c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290" t="s">
        <v>388</v>
      </c>
      <c r="BF28" s="290" t="s">
        <v>377</v>
      </c>
      <c r="BG28" s="291"/>
      <c r="BH28" s="290"/>
      <c r="BI28" s="290"/>
      <c r="BJ28" s="291"/>
      <c r="BK28" s="292"/>
    </row>
    <row r="29" spans="1:88" ht="15.75" customHeight="1">
      <c r="A29" s="286"/>
      <c r="B29" s="140" t="s">
        <v>420</v>
      </c>
      <c r="C29" s="288"/>
      <c r="D29" s="288"/>
      <c r="E29" s="288"/>
      <c r="F29" s="288"/>
      <c r="G29" s="288"/>
      <c r="H29" s="288"/>
      <c r="I29" s="288" t="s">
        <v>416</v>
      </c>
      <c r="J29" s="288"/>
      <c r="K29" s="288"/>
      <c r="L29" s="289"/>
      <c r="M29" s="288" t="s">
        <v>421</v>
      </c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290" t="s">
        <v>388</v>
      </c>
      <c r="BF29" s="290" t="s">
        <v>400</v>
      </c>
      <c r="BG29" s="291"/>
      <c r="BH29" s="290"/>
      <c r="BI29" s="290"/>
      <c r="BJ29" s="291"/>
      <c r="BK29" s="292"/>
    </row>
    <row r="30" spans="1:88" ht="15.75" customHeight="1">
      <c r="A30" s="286"/>
      <c r="B30" s="287" t="s">
        <v>422</v>
      </c>
      <c r="C30" s="288"/>
      <c r="D30" s="288"/>
      <c r="E30" s="288"/>
      <c r="F30" s="288"/>
      <c r="G30" s="288"/>
      <c r="H30" s="288"/>
      <c r="I30" s="288" t="s">
        <v>416</v>
      </c>
      <c r="J30" s="288"/>
      <c r="K30" s="288"/>
      <c r="L30" s="289"/>
      <c r="M30" s="288" t="s">
        <v>423</v>
      </c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290" t="s">
        <v>388</v>
      </c>
      <c r="BF30" s="290" t="s">
        <v>400</v>
      </c>
      <c r="BG30" s="291"/>
      <c r="BH30" s="290"/>
      <c r="BI30" s="290"/>
      <c r="BJ30" s="291"/>
      <c r="BK30" s="292"/>
    </row>
    <row r="31" spans="1:88" ht="15.75" customHeight="1">
      <c r="A31" s="286"/>
      <c r="B31" s="287" t="s">
        <v>424</v>
      </c>
      <c r="C31" s="288"/>
      <c r="D31" s="288"/>
      <c r="E31" s="288"/>
      <c r="F31" s="288"/>
      <c r="G31" s="288"/>
      <c r="H31" s="288"/>
      <c r="I31" s="288" t="s">
        <v>416</v>
      </c>
      <c r="J31" s="288"/>
      <c r="K31" s="288"/>
      <c r="L31" s="289"/>
      <c r="M31" s="288" t="s">
        <v>425</v>
      </c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290" t="s">
        <v>388</v>
      </c>
      <c r="BF31" s="290" t="s">
        <v>400</v>
      </c>
      <c r="BG31" s="291"/>
      <c r="BH31" s="290"/>
      <c r="BI31" s="290"/>
      <c r="BJ31" s="291"/>
      <c r="BK31" s="292"/>
    </row>
    <row r="32" spans="1:88" ht="15.75" customHeight="1">
      <c r="A32" s="286"/>
      <c r="B32" s="96" t="s">
        <v>426</v>
      </c>
      <c r="C32" s="288"/>
      <c r="D32" s="288"/>
      <c r="E32" s="288"/>
      <c r="F32" s="288"/>
      <c r="G32" s="288"/>
      <c r="H32" s="288"/>
      <c r="I32" s="288"/>
      <c r="J32" s="288"/>
      <c r="K32" s="288"/>
      <c r="L32" s="289"/>
      <c r="M32" s="288" t="s">
        <v>427</v>
      </c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290" t="s">
        <v>388</v>
      </c>
      <c r="BF32" s="290" t="s">
        <v>400</v>
      </c>
      <c r="BG32" s="291"/>
      <c r="BH32" s="290"/>
      <c r="BI32" s="290"/>
      <c r="BJ32" s="291"/>
      <c r="BK32" s="292"/>
    </row>
    <row r="33" spans="1:63" ht="15.75" customHeight="1">
      <c r="A33" s="286"/>
      <c r="B33" s="140" t="s">
        <v>293</v>
      </c>
      <c r="C33" s="288"/>
      <c r="D33" s="288"/>
      <c r="E33" s="288"/>
      <c r="F33" s="288"/>
      <c r="G33" s="288"/>
      <c r="H33" s="288"/>
      <c r="I33" s="288"/>
      <c r="J33" s="288"/>
      <c r="K33" s="288"/>
      <c r="L33" s="289"/>
      <c r="M33" s="288" t="s">
        <v>428</v>
      </c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290" t="s">
        <v>388</v>
      </c>
      <c r="BF33" s="290" t="s">
        <v>377</v>
      </c>
      <c r="BG33" s="291"/>
      <c r="BH33" s="290"/>
      <c r="BI33" s="290"/>
      <c r="BJ33" s="291"/>
      <c r="BK33" s="292"/>
    </row>
    <row r="34" spans="1:63" ht="15.75" customHeight="1">
      <c r="A34" s="286" t="s">
        <v>429</v>
      </c>
      <c r="B34" s="96" t="s">
        <v>430</v>
      </c>
      <c r="C34" s="288"/>
      <c r="D34" s="288"/>
      <c r="E34" s="288"/>
      <c r="F34" s="288"/>
      <c r="G34" s="288"/>
      <c r="H34" s="288"/>
      <c r="I34" s="288"/>
      <c r="J34" s="288"/>
      <c r="K34" s="288"/>
      <c r="L34" s="289"/>
      <c r="M34" s="288" t="s">
        <v>431</v>
      </c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290" t="s">
        <v>396</v>
      </c>
      <c r="BF34" s="290" t="s">
        <v>400</v>
      </c>
      <c r="BG34" s="291"/>
      <c r="BH34" s="290"/>
      <c r="BI34" s="290"/>
      <c r="BJ34" s="291"/>
      <c r="BK34" s="292"/>
    </row>
    <row r="35" spans="1:63" ht="15.75" customHeight="1">
      <c r="A35" s="286"/>
      <c r="B35" s="96" t="s">
        <v>307</v>
      </c>
      <c r="C35" s="288"/>
      <c r="D35" s="288"/>
      <c r="E35" s="288"/>
      <c r="F35" s="288"/>
      <c r="G35" s="288"/>
      <c r="H35" s="288"/>
      <c r="I35" s="288"/>
      <c r="J35" s="288"/>
      <c r="K35" s="288"/>
      <c r="L35" s="289"/>
      <c r="M35" s="288" t="s">
        <v>432</v>
      </c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290" t="s">
        <v>388</v>
      </c>
      <c r="BF35" s="290" t="s">
        <v>377</v>
      </c>
      <c r="BG35" s="291"/>
      <c r="BH35" s="290"/>
      <c r="BI35" s="290"/>
      <c r="BJ35" s="291"/>
      <c r="BK35" s="292"/>
    </row>
    <row r="36" spans="1:63" ht="15.75" customHeight="1" thickBot="1">
      <c r="A36" s="286"/>
      <c r="B36" s="140" t="s">
        <v>433</v>
      </c>
      <c r="C36" s="288"/>
      <c r="D36" s="288"/>
      <c r="E36" s="288"/>
      <c r="F36" s="288"/>
      <c r="G36" s="288"/>
      <c r="H36" s="288"/>
      <c r="I36" s="288"/>
      <c r="J36" s="288"/>
      <c r="K36" s="288"/>
      <c r="L36" s="289"/>
      <c r="M36" s="288" t="s">
        <v>434</v>
      </c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290" t="s">
        <v>388</v>
      </c>
      <c r="BF36" s="290" t="s">
        <v>377</v>
      </c>
      <c r="BG36" s="291"/>
      <c r="BH36" s="290"/>
      <c r="BI36" s="290"/>
      <c r="BJ36" s="291"/>
      <c r="BK36" s="292"/>
    </row>
    <row r="37" spans="1:63" ht="15.75" customHeight="1">
      <c r="A37" s="281"/>
      <c r="B37" s="282" t="s">
        <v>435</v>
      </c>
      <c r="C37" s="283"/>
      <c r="D37" s="283"/>
      <c r="E37" s="283"/>
      <c r="F37" s="283"/>
      <c r="G37" s="283"/>
      <c r="H37" s="283"/>
      <c r="I37" s="283"/>
      <c r="J37" s="283"/>
      <c r="K37" s="283"/>
      <c r="L37" s="284"/>
      <c r="M37" s="283"/>
      <c r="N37" s="285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377" t="s">
        <v>366</v>
      </c>
      <c r="BF37" s="377" t="s">
        <v>367</v>
      </c>
      <c r="BG37" s="377" t="s">
        <v>368</v>
      </c>
      <c r="BH37" s="377" t="s">
        <v>378</v>
      </c>
      <c r="BI37" s="377" t="s">
        <v>370</v>
      </c>
      <c r="BJ37" s="377" t="s">
        <v>371</v>
      </c>
      <c r="BK37" s="378" t="s">
        <v>372</v>
      </c>
    </row>
    <row r="38" spans="1:63" ht="15.75" customHeight="1">
      <c r="A38" s="293"/>
      <c r="B38" s="140" t="s">
        <v>756</v>
      </c>
      <c r="C38" s="288"/>
      <c r="D38" s="288"/>
      <c r="E38" s="288"/>
      <c r="F38" s="288"/>
      <c r="G38" s="288"/>
      <c r="H38" s="288"/>
      <c r="I38" s="288"/>
      <c r="J38" s="288"/>
      <c r="K38" s="288"/>
      <c r="L38" s="289"/>
      <c r="M38" s="288" t="s">
        <v>436</v>
      </c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  <c r="AA38" s="379"/>
      <c r="AB38" s="379"/>
      <c r="AC38" s="379"/>
      <c r="AD38" s="379"/>
      <c r="AE38" s="379"/>
      <c r="AF38" s="379"/>
      <c r="AG38" s="379"/>
      <c r="AH38" s="379"/>
      <c r="AI38" s="379"/>
      <c r="AJ38" s="379"/>
      <c r="AK38" s="379"/>
      <c r="AL38" s="379"/>
      <c r="AM38" s="379"/>
      <c r="AN38" s="379"/>
      <c r="AO38" s="379"/>
      <c r="AP38" s="379"/>
      <c r="AQ38" s="379"/>
      <c r="AR38" s="379"/>
      <c r="AS38" s="379"/>
      <c r="AT38" s="379"/>
      <c r="AU38" s="379"/>
      <c r="AV38" s="379"/>
      <c r="AW38" s="379"/>
      <c r="AX38" s="379"/>
      <c r="AY38" s="379"/>
      <c r="AZ38" s="379"/>
      <c r="BA38" s="379"/>
      <c r="BB38" s="379"/>
      <c r="BC38" s="379"/>
      <c r="BD38" s="380"/>
      <c r="BE38" s="381" t="s">
        <v>437</v>
      </c>
      <c r="BF38" s="382" t="s">
        <v>397</v>
      </c>
      <c r="BG38" s="291"/>
      <c r="BH38" s="291"/>
      <c r="BI38" s="291"/>
      <c r="BJ38" s="291"/>
      <c r="BK38" s="292"/>
    </row>
    <row r="39" spans="1:63" ht="15.75" customHeight="1">
      <c r="A39" s="293"/>
      <c r="B39" s="140" t="s">
        <v>758</v>
      </c>
      <c r="C39" s="288"/>
      <c r="D39" s="288"/>
      <c r="E39" s="288"/>
      <c r="F39" s="288"/>
      <c r="G39" s="288"/>
      <c r="H39" s="288"/>
      <c r="I39" s="288"/>
      <c r="J39" s="288"/>
      <c r="K39" s="288"/>
      <c r="L39" s="289"/>
      <c r="M39" s="288" t="s">
        <v>438</v>
      </c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  <c r="AD39" s="379"/>
      <c r="AE39" s="379"/>
      <c r="AF39" s="379"/>
      <c r="AG39" s="379"/>
      <c r="AH39" s="379"/>
      <c r="AI39" s="379"/>
      <c r="AJ39" s="379"/>
      <c r="AK39" s="379"/>
      <c r="AL39" s="379"/>
      <c r="AM39" s="379"/>
      <c r="AN39" s="379"/>
      <c r="AO39" s="379"/>
      <c r="AP39" s="379"/>
      <c r="AQ39" s="379"/>
      <c r="AR39" s="379"/>
      <c r="AS39" s="379"/>
      <c r="AT39" s="379"/>
      <c r="AU39" s="379"/>
      <c r="AV39" s="379"/>
      <c r="AW39" s="379"/>
      <c r="AX39" s="379"/>
      <c r="AY39" s="379"/>
      <c r="AZ39" s="379"/>
      <c r="BA39" s="379"/>
      <c r="BB39" s="379"/>
      <c r="BC39" s="379"/>
      <c r="BD39" s="380"/>
      <c r="BE39" s="381" t="s">
        <v>437</v>
      </c>
      <c r="BF39" s="382" t="s">
        <v>397</v>
      </c>
      <c r="BG39" s="291"/>
      <c r="BH39" s="291"/>
      <c r="BI39" s="291"/>
      <c r="BJ39" s="291"/>
      <c r="BK39" s="292"/>
    </row>
    <row r="40" spans="1:63" ht="15.75" customHeight="1">
      <c r="A40" s="286" t="s">
        <v>429</v>
      </c>
      <c r="B40" s="140" t="s">
        <v>439</v>
      </c>
      <c r="C40" s="288"/>
      <c r="D40" s="288"/>
      <c r="E40" s="288"/>
      <c r="F40" s="288"/>
      <c r="G40" s="288"/>
      <c r="H40" s="288"/>
      <c r="I40" s="288"/>
      <c r="J40" s="288"/>
      <c r="K40" s="288"/>
      <c r="L40" s="289"/>
      <c r="M40" s="288" t="s">
        <v>440</v>
      </c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290" t="s">
        <v>376</v>
      </c>
      <c r="BF40" s="290" t="s">
        <v>377</v>
      </c>
      <c r="BG40" s="291"/>
      <c r="BH40" s="290"/>
      <c r="BI40" s="291"/>
      <c r="BJ40" s="291"/>
      <c r="BK40" s="292"/>
    </row>
    <row r="41" spans="1:63" ht="15.75" customHeight="1" thickBot="1">
      <c r="A41" s="95"/>
      <c r="B41" s="96"/>
      <c r="C41" s="92"/>
      <c r="D41" s="92"/>
      <c r="E41" s="92"/>
      <c r="F41" s="92"/>
      <c r="G41" s="92"/>
      <c r="H41" s="92"/>
      <c r="I41" s="92"/>
      <c r="J41" s="92"/>
      <c r="K41" s="92"/>
      <c r="L41" s="93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381"/>
      <c r="BF41" s="381"/>
      <c r="BG41" s="381"/>
      <c r="BH41" s="381"/>
      <c r="BI41" s="381"/>
      <c r="BJ41" s="381"/>
      <c r="BK41" s="383"/>
    </row>
    <row r="42" spans="1:63" ht="15.75" customHeight="1">
      <c r="A42" s="281"/>
      <c r="B42" s="282" t="s">
        <v>441</v>
      </c>
      <c r="C42" s="283"/>
      <c r="D42" s="283"/>
      <c r="E42" s="283"/>
      <c r="F42" s="283"/>
      <c r="G42" s="283"/>
      <c r="H42" s="283"/>
      <c r="I42" s="283"/>
      <c r="J42" s="283"/>
      <c r="K42" s="283"/>
      <c r="L42" s="284"/>
      <c r="M42" s="283"/>
      <c r="N42" s="285" t="s">
        <v>365</v>
      </c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  <c r="AT42" s="283"/>
      <c r="AU42" s="283"/>
      <c r="AV42" s="283"/>
      <c r="AW42" s="283"/>
      <c r="AX42" s="283"/>
      <c r="AY42" s="283"/>
      <c r="AZ42" s="283"/>
      <c r="BA42" s="283"/>
      <c r="BB42" s="283"/>
      <c r="BC42" s="283"/>
      <c r="BD42" s="283"/>
      <c r="BE42" s="297" t="s">
        <v>366</v>
      </c>
      <c r="BF42" s="297" t="s">
        <v>367</v>
      </c>
      <c r="BG42" s="297" t="s">
        <v>368</v>
      </c>
      <c r="BH42" s="297" t="s">
        <v>369</v>
      </c>
      <c r="BI42" s="297" t="s">
        <v>370</v>
      </c>
      <c r="BJ42" s="297" t="s">
        <v>371</v>
      </c>
      <c r="BK42" s="298" t="s">
        <v>372</v>
      </c>
    </row>
    <row r="43" spans="1:63" ht="15.75" customHeight="1">
      <c r="A43" s="293"/>
      <c r="B43" s="140" t="s">
        <v>442</v>
      </c>
      <c r="C43" s="288"/>
      <c r="D43" s="288"/>
      <c r="E43" s="288"/>
      <c r="F43" s="288"/>
      <c r="G43" s="288"/>
      <c r="H43" s="288"/>
      <c r="I43" s="288"/>
      <c r="J43" s="288"/>
      <c r="K43" s="288"/>
      <c r="L43" s="289"/>
      <c r="M43" s="294" t="s">
        <v>443</v>
      </c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288"/>
      <c r="AO43" s="288"/>
      <c r="AP43" s="288"/>
      <c r="AQ43" s="288"/>
      <c r="AR43" s="288"/>
      <c r="AS43" s="288"/>
      <c r="AT43" s="288"/>
      <c r="AU43" s="288"/>
      <c r="AV43" s="288"/>
      <c r="AW43" s="288"/>
      <c r="AX43" s="288"/>
      <c r="AY43" s="288"/>
      <c r="AZ43" s="288"/>
      <c r="BA43" s="288"/>
      <c r="BB43" s="288"/>
      <c r="BC43" s="288"/>
      <c r="BD43" s="289"/>
      <c r="BE43" s="290" t="s">
        <v>444</v>
      </c>
      <c r="BF43" s="290"/>
      <c r="BG43" s="291"/>
      <c r="BH43" s="291"/>
      <c r="BI43" s="291"/>
      <c r="BJ43" s="291"/>
      <c r="BK43" s="292"/>
    </row>
    <row r="44" spans="1:63" ht="15.75" customHeight="1">
      <c r="A44" s="293"/>
      <c r="B44" s="140" t="s">
        <v>445</v>
      </c>
      <c r="C44" s="288"/>
      <c r="D44" s="288"/>
      <c r="E44" s="288"/>
      <c r="F44" s="288"/>
      <c r="G44" s="288"/>
      <c r="H44" s="288"/>
      <c r="I44" s="288"/>
      <c r="J44" s="288"/>
      <c r="K44" s="288"/>
      <c r="L44" s="289"/>
      <c r="M44" s="294" t="s">
        <v>446</v>
      </c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88"/>
      <c r="AB44" s="288"/>
      <c r="AC44" s="288"/>
      <c r="AD44" s="288"/>
      <c r="AE44" s="288"/>
      <c r="AF44" s="288"/>
      <c r="AG44" s="288"/>
      <c r="AH44" s="288"/>
      <c r="AI44" s="288"/>
      <c r="AJ44" s="288"/>
      <c r="AK44" s="288"/>
      <c r="AL44" s="288"/>
      <c r="AM44" s="288"/>
      <c r="AN44" s="288"/>
      <c r="AO44" s="288"/>
      <c r="AP44" s="288"/>
      <c r="AQ44" s="288"/>
      <c r="AR44" s="288"/>
      <c r="AS44" s="288"/>
      <c r="AT44" s="288"/>
      <c r="AU44" s="288"/>
      <c r="AV44" s="288"/>
      <c r="AW44" s="288"/>
      <c r="AX44" s="288"/>
      <c r="AY44" s="288"/>
      <c r="AZ44" s="288"/>
      <c r="BA44" s="288"/>
      <c r="BB44" s="288"/>
      <c r="BC44" s="288"/>
      <c r="BD44" s="289"/>
      <c r="BE44" s="290" t="s">
        <v>444</v>
      </c>
      <c r="BF44" s="290"/>
      <c r="BG44" s="291"/>
      <c r="BH44" s="291"/>
      <c r="BI44" s="291"/>
      <c r="BJ44" s="291"/>
      <c r="BK44" s="292"/>
    </row>
    <row r="45" spans="1:63" ht="15.75" customHeight="1" thickBot="1">
      <c r="A45" s="97"/>
      <c r="B45" s="98" t="s">
        <v>447</v>
      </c>
      <c r="C45" s="99"/>
      <c r="D45" s="99"/>
      <c r="E45" s="99"/>
      <c r="F45" s="99"/>
      <c r="G45" s="99"/>
      <c r="H45" s="99"/>
      <c r="I45" s="99"/>
      <c r="J45" s="99"/>
      <c r="K45" s="99"/>
      <c r="L45" s="100"/>
      <c r="M45" s="99" t="s">
        <v>448</v>
      </c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295" t="s">
        <v>449</v>
      </c>
      <c r="BF45" s="295"/>
      <c r="BG45" s="295"/>
      <c r="BH45" s="295"/>
      <c r="BI45" s="295"/>
      <c r="BJ45" s="295"/>
      <c r="BK45" s="296"/>
    </row>
  </sheetData>
  <mergeCells count="23">
    <mergeCell ref="BM6:CJ6"/>
    <mergeCell ref="BM17:CJ17"/>
    <mergeCell ref="A1:J3"/>
    <mergeCell ref="K1:T1"/>
    <mergeCell ref="U1:Y1"/>
    <mergeCell ref="Z1:AD1"/>
    <mergeCell ref="AE1:AI1"/>
    <mergeCell ref="AJ1:AR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BF2:BK3"/>
    <mergeCell ref="K3:T3"/>
    <mergeCell ref="U3:Y3"/>
    <mergeCell ref="Z3:AD3"/>
    <mergeCell ref="AE3:AR3"/>
  </mergeCells>
  <phoneticPr fontId="9"/>
  <pageMargins left="0.51181102362204722" right="0.74803149606299213" top="0.70866141732283472" bottom="0.43307086614173229" header="0.51181102362204722" footer="0.19685039370078741"/>
  <pageSetup paperSize="9" scale="93" fitToHeight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AD0B-B0FD-44E9-9C53-5DE67FAFD951}">
  <sheetPr codeName="Sheet6">
    <pageSetUpPr fitToPage="1"/>
  </sheetPr>
  <dimension ref="A1:BL56"/>
  <sheetViews>
    <sheetView showGridLines="0" showZeros="0" view="pageBreakPreview" topLeftCell="A29" zoomScale="70" zoomScaleNormal="100" zoomScaleSheetLayoutView="70" workbookViewId="0">
      <selection activeCell="B41" sqref="B41"/>
    </sheetView>
  </sheetViews>
  <sheetFormatPr defaultColWidth="2.125" defaultRowHeight="15.75" customHeight="1"/>
  <cols>
    <col min="1" max="1" width="2.125" style="101" customWidth="1"/>
    <col min="2" max="2" width="2.125" style="76" customWidth="1"/>
    <col min="3" max="3" width="2.375" style="76" customWidth="1"/>
    <col min="4" max="4" width="2.125" style="76" customWidth="1"/>
    <col min="5" max="5" width="3" style="76" customWidth="1"/>
    <col min="6" max="29" width="2.125" style="76" customWidth="1"/>
    <col min="30" max="30" width="47.375" style="76" customWidth="1"/>
    <col min="31" max="31" width="7.5" style="76" customWidth="1"/>
    <col min="32" max="59" width="2.125" style="76" customWidth="1"/>
    <col min="60" max="60" width="7" style="76" customWidth="1"/>
    <col min="61" max="62" width="2.125" style="76" customWidth="1"/>
    <col min="63" max="63" width="2.25" style="76" customWidth="1"/>
    <col min="64" max="16384" width="2.125" style="76"/>
  </cols>
  <sheetData>
    <row r="1" spans="1:64" s="73" customFormat="1" ht="15.75" customHeight="1">
      <c r="A1" s="963" t="str">
        <f>表紙!A54</f>
        <v>Webシステム</v>
      </c>
      <c r="B1" s="964"/>
      <c r="C1" s="964"/>
      <c r="D1" s="964"/>
      <c r="E1" s="964"/>
      <c r="F1" s="964"/>
      <c r="G1" s="964"/>
      <c r="H1" s="964"/>
      <c r="I1" s="964"/>
      <c r="J1" s="965"/>
      <c r="K1" s="988" t="s">
        <v>152</v>
      </c>
      <c r="L1" s="989"/>
      <c r="M1" s="989"/>
      <c r="N1" s="989"/>
      <c r="O1" s="989"/>
      <c r="P1" s="989"/>
      <c r="Q1" s="989"/>
      <c r="R1" s="989"/>
      <c r="S1" s="989"/>
      <c r="T1" s="990"/>
      <c r="U1" s="991" t="s">
        <v>153</v>
      </c>
      <c r="V1" s="992"/>
      <c r="W1" s="992"/>
      <c r="X1" s="992"/>
      <c r="Y1" s="993"/>
      <c r="Z1" s="994" t="str">
        <f>表紙!$AJ$63</f>
        <v>MS</v>
      </c>
      <c r="AA1" s="995"/>
      <c r="AB1" s="995"/>
      <c r="AC1" s="995"/>
      <c r="AD1" s="996"/>
      <c r="AE1" s="997" t="s">
        <v>154</v>
      </c>
      <c r="AF1" s="974"/>
      <c r="AG1" s="974"/>
      <c r="AH1" s="974"/>
      <c r="AI1" s="975"/>
      <c r="AJ1" s="998" t="str">
        <f>表紙!$AX$63</f>
        <v>Webシステム</v>
      </c>
      <c r="AK1" s="999"/>
      <c r="AL1" s="999"/>
      <c r="AM1" s="999"/>
      <c r="AN1" s="999"/>
      <c r="AO1" s="999"/>
      <c r="AP1" s="999"/>
      <c r="AQ1" s="999"/>
      <c r="AR1" s="1000"/>
      <c r="AS1" s="972" t="s">
        <v>101</v>
      </c>
      <c r="AT1" s="972"/>
      <c r="AU1" s="972"/>
      <c r="AV1" s="972"/>
      <c r="AW1" s="972"/>
      <c r="AX1" s="972"/>
      <c r="AY1" s="972"/>
      <c r="AZ1" s="973" t="s">
        <v>124</v>
      </c>
      <c r="BA1" s="974"/>
      <c r="BB1" s="974"/>
      <c r="BC1" s="974"/>
      <c r="BD1" s="974"/>
      <c r="BE1" s="975"/>
      <c r="BF1" s="973" t="s">
        <v>155</v>
      </c>
      <c r="BG1" s="974"/>
      <c r="BH1" s="974"/>
      <c r="BI1" s="974"/>
      <c r="BJ1" s="974"/>
      <c r="BK1" s="976"/>
    </row>
    <row r="2" spans="1:64" s="73" customFormat="1" ht="15.75" customHeight="1">
      <c r="A2" s="966"/>
      <c r="B2" s="967"/>
      <c r="C2" s="967"/>
      <c r="D2" s="967"/>
      <c r="E2" s="967"/>
      <c r="F2" s="967"/>
      <c r="G2" s="967"/>
      <c r="H2" s="967"/>
      <c r="I2" s="967"/>
      <c r="J2" s="968"/>
      <c r="K2" s="977" t="str">
        <f>表紙!O64</f>
        <v>アドオン設計書</v>
      </c>
      <c r="L2" s="944"/>
      <c r="M2" s="944"/>
      <c r="N2" s="944"/>
      <c r="O2" s="944"/>
      <c r="P2" s="944"/>
      <c r="Q2" s="944"/>
      <c r="R2" s="944"/>
      <c r="S2" s="944"/>
      <c r="T2" s="978"/>
      <c r="U2" s="979" t="s">
        <v>156</v>
      </c>
      <c r="V2" s="980"/>
      <c r="W2" s="980"/>
      <c r="X2" s="980"/>
      <c r="Y2" s="981"/>
      <c r="Z2" s="982" t="str">
        <f>表紙!$AJ$64</f>
        <v>MSBB</v>
      </c>
      <c r="AA2" s="983"/>
      <c r="AB2" s="983"/>
      <c r="AC2" s="983"/>
      <c r="AD2" s="984"/>
      <c r="AE2" s="985" t="s">
        <v>157</v>
      </c>
      <c r="AF2" s="986"/>
      <c r="AG2" s="986"/>
      <c r="AH2" s="986"/>
      <c r="AI2" s="987"/>
      <c r="AJ2" s="1002" t="str">
        <f>表紙!$AX$64</f>
        <v>Web販売管理</v>
      </c>
      <c r="AK2" s="1003"/>
      <c r="AL2" s="1003"/>
      <c r="AM2" s="1003"/>
      <c r="AN2" s="1003"/>
      <c r="AO2" s="1003"/>
      <c r="AP2" s="1003"/>
      <c r="AQ2" s="1003"/>
      <c r="AR2" s="1004"/>
      <c r="AS2" s="1005" t="str">
        <f>表紙!$BL$64</f>
        <v>M7-US-1140</v>
      </c>
      <c r="AT2" s="1006"/>
      <c r="AU2" s="1006"/>
      <c r="AV2" s="1006"/>
      <c r="AW2" s="1006"/>
      <c r="AX2" s="1006"/>
      <c r="AY2" s="1006"/>
      <c r="AZ2" s="1008" t="str">
        <f>表紙!$BU$64</f>
        <v>7.0.2</v>
      </c>
      <c r="BA2" s="944"/>
      <c r="BB2" s="944"/>
      <c r="BC2" s="944"/>
      <c r="BD2" s="944"/>
      <c r="BE2" s="978"/>
      <c r="BF2" s="943">
        <f>表紙!$CB$64</f>
        <v>1</v>
      </c>
      <c r="BG2" s="944"/>
      <c r="BH2" s="944"/>
      <c r="BI2" s="944"/>
      <c r="BJ2" s="944"/>
      <c r="BK2" s="945"/>
    </row>
    <row r="3" spans="1:64" s="73" customFormat="1" ht="15.75" customHeight="1" thickBot="1">
      <c r="A3" s="969"/>
      <c r="B3" s="970"/>
      <c r="C3" s="970"/>
      <c r="D3" s="970"/>
      <c r="E3" s="970"/>
      <c r="F3" s="970"/>
      <c r="G3" s="970"/>
      <c r="H3" s="970"/>
      <c r="I3" s="970"/>
      <c r="J3" s="971"/>
      <c r="K3" s="949" t="str">
        <f ca="1">RIGHT(CELL("filename",$A$1),LEN(CELL("filename",$A$1))-FIND("]",CELL("filename",$A$1)))</f>
        <v>処理概要</v>
      </c>
      <c r="L3" s="950"/>
      <c r="M3" s="950"/>
      <c r="N3" s="950"/>
      <c r="O3" s="950"/>
      <c r="P3" s="950"/>
      <c r="Q3" s="950"/>
      <c r="R3" s="950"/>
      <c r="S3" s="950"/>
      <c r="T3" s="951"/>
      <c r="U3" s="952" t="s">
        <v>158</v>
      </c>
      <c r="V3" s="953"/>
      <c r="W3" s="953"/>
      <c r="X3" s="953"/>
      <c r="Y3" s="954"/>
      <c r="Z3" s="955" t="str">
        <f>表紙!$AJ$65</f>
        <v>MSBBPA100</v>
      </c>
      <c r="AA3" s="956"/>
      <c r="AB3" s="956"/>
      <c r="AC3" s="956"/>
      <c r="AD3" s="956"/>
      <c r="AE3" s="957" t="str">
        <f>表紙!$AQ$65</f>
        <v>WebFSC製品化チェックシート出力</v>
      </c>
      <c r="AF3" s="958"/>
      <c r="AG3" s="958"/>
      <c r="AH3" s="958"/>
      <c r="AI3" s="958"/>
      <c r="AJ3" s="958"/>
      <c r="AK3" s="958"/>
      <c r="AL3" s="958"/>
      <c r="AM3" s="958"/>
      <c r="AN3" s="958"/>
      <c r="AO3" s="958"/>
      <c r="AP3" s="958"/>
      <c r="AQ3" s="958"/>
      <c r="AR3" s="959"/>
      <c r="AS3" s="1007"/>
      <c r="AT3" s="1007"/>
      <c r="AU3" s="1007"/>
      <c r="AV3" s="1007"/>
      <c r="AW3" s="1007"/>
      <c r="AX3" s="1007"/>
      <c r="AY3" s="1007"/>
      <c r="AZ3" s="946"/>
      <c r="BA3" s="947"/>
      <c r="BB3" s="947"/>
      <c r="BC3" s="947"/>
      <c r="BD3" s="947"/>
      <c r="BE3" s="1009"/>
      <c r="BF3" s="946"/>
      <c r="BG3" s="947"/>
      <c r="BH3" s="947"/>
      <c r="BI3" s="947"/>
      <c r="BJ3" s="947"/>
      <c r="BK3" s="948"/>
    </row>
    <row r="4" spans="1:64" s="73" customFormat="1" ht="6.75" customHeight="1" thickBot="1">
      <c r="B4" s="69"/>
      <c r="C4" s="70"/>
      <c r="D4" s="70"/>
      <c r="E4" s="70"/>
      <c r="F4" s="71"/>
      <c r="G4" s="71"/>
      <c r="H4" s="71"/>
      <c r="I4" s="71"/>
      <c r="J4" s="70"/>
      <c r="K4" s="71"/>
      <c r="L4" s="71"/>
      <c r="M4" s="71"/>
      <c r="N4" s="71"/>
      <c r="O4" s="71"/>
      <c r="P4" s="71"/>
      <c r="Q4" s="72"/>
    </row>
    <row r="5" spans="1:64" ht="15.75" customHeight="1" thickBot="1">
      <c r="A5" s="384" t="s">
        <v>450</v>
      </c>
      <c r="B5" s="385" t="s">
        <v>451</v>
      </c>
      <c r="C5" s="385"/>
      <c r="D5" s="385"/>
      <c r="E5" s="385"/>
      <c r="F5" s="385"/>
      <c r="G5" s="385"/>
      <c r="H5" s="385"/>
      <c r="I5" s="386"/>
      <c r="J5" s="385" t="s">
        <v>452</v>
      </c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  <c r="AN5" s="385"/>
      <c r="AO5" s="385"/>
      <c r="AP5" s="385"/>
      <c r="AQ5" s="385"/>
      <c r="AR5" s="385"/>
      <c r="AS5" s="385"/>
      <c r="AT5" s="385"/>
      <c r="AU5" s="385"/>
      <c r="AV5" s="385"/>
      <c r="AW5" s="385"/>
      <c r="AX5" s="385"/>
      <c r="AY5" s="385"/>
      <c r="AZ5" s="385"/>
      <c r="BA5" s="385"/>
      <c r="BB5" s="385"/>
      <c r="BC5" s="386"/>
      <c r="BD5" s="385" t="s">
        <v>453</v>
      </c>
      <c r="BE5" s="385"/>
      <c r="BF5" s="385"/>
      <c r="BG5" s="385"/>
      <c r="BH5" s="385"/>
      <c r="BI5" s="385"/>
      <c r="BJ5" s="385"/>
      <c r="BK5" s="387"/>
      <c r="BL5" s="77"/>
    </row>
    <row r="6" spans="1:64" s="91" customFormat="1" ht="15.75" customHeight="1" thickTop="1">
      <c r="A6" s="388" t="s">
        <v>314</v>
      </c>
      <c r="B6" s="389" t="s">
        <v>454</v>
      </c>
      <c r="C6" s="389"/>
      <c r="D6" s="389"/>
      <c r="E6" s="389"/>
      <c r="F6" s="389"/>
      <c r="G6" s="389"/>
      <c r="H6" s="389"/>
      <c r="I6" s="389"/>
      <c r="J6" s="389"/>
      <c r="K6" s="389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  <c r="AB6" s="390"/>
      <c r="AC6" s="390"/>
      <c r="AD6" s="390"/>
      <c r="AE6" s="390"/>
      <c r="AF6" s="390"/>
      <c r="AG6" s="390"/>
      <c r="AH6" s="390"/>
      <c r="AI6" s="390"/>
      <c r="AJ6" s="390"/>
      <c r="AK6" s="390"/>
      <c r="AL6" s="390"/>
      <c r="AM6" s="390"/>
      <c r="AN6" s="390"/>
      <c r="AO6" s="390"/>
      <c r="AP6" s="390"/>
      <c r="AQ6" s="390"/>
      <c r="AR6" s="390"/>
      <c r="AS6" s="390"/>
      <c r="AT6" s="390"/>
      <c r="AU6" s="390"/>
      <c r="AV6" s="390"/>
      <c r="AW6" s="390"/>
      <c r="AX6" s="390"/>
      <c r="AY6" s="390"/>
      <c r="AZ6" s="390"/>
      <c r="BA6" s="390"/>
      <c r="BB6" s="390"/>
      <c r="BC6" s="390"/>
      <c r="BD6" s="390"/>
      <c r="BE6" s="390"/>
      <c r="BF6" s="390"/>
      <c r="BG6" s="390"/>
      <c r="BH6" s="390"/>
      <c r="BI6" s="390"/>
      <c r="BJ6" s="390"/>
      <c r="BK6" s="391"/>
    </row>
    <row r="7" spans="1:64" s="91" customFormat="1" ht="15.75" customHeight="1">
      <c r="A7" s="392"/>
      <c r="B7" s="393"/>
      <c r="C7" s="394"/>
      <c r="D7" s="394"/>
      <c r="E7" s="394"/>
      <c r="F7" s="394"/>
      <c r="G7" s="394"/>
      <c r="H7" s="394"/>
      <c r="I7" s="395"/>
      <c r="J7" s="396" t="s">
        <v>455</v>
      </c>
      <c r="K7" s="396"/>
      <c r="L7" s="396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  <c r="AA7" s="394"/>
      <c r="AB7" s="394"/>
      <c r="AC7" s="394"/>
      <c r="AD7" s="394"/>
      <c r="AE7" s="394"/>
      <c r="AF7" s="394"/>
      <c r="AG7" s="394"/>
      <c r="AH7" s="394"/>
      <c r="AI7" s="394"/>
      <c r="AJ7" s="394"/>
      <c r="AK7" s="394"/>
      <c r="AL7" s="394"/>
      <c r="AM7" s="394"/>
      <c r="AN7" s="394"/>
      <c r="AO7" s="394"/>
      <c r="AP7" s="394"/>
      <c r="AQ7" s="394"/>
      <c r="AR7" s="394"/>
      <c r="AS7" s="394"/>
      <c r="AT7" s="394"/>
      <c r="AU7" s="394"/>
      <c r="AV7" s="394"/>
      <c r="AW7" s="394"/>
      <c r="AX7" s="394"/>
      <c r="AY7" s="394"/>
      <c r="AZ7" s="394"/>
      <c r="BA7" s="394"/>
      <c r="BB7" s="394"/>
      <c r="BC7" s="394"/>
      <c r="BD7" s="393"/>
      <c r="BE7" s="394"/>
      <c r="BF7" s="394"/>
      <c r="BG7" s="394"/>
      <c r="BH7" s="394"/>
      <c r="BI7" s="394"/>
      <c r="BJ7" s="394"/>
      <c r="BK7" s="397"/>
    </row>
    <row r="8" spans="1:64" s="91" customFormat="1" ht="15.75" customHeight="1">
      <c r="A8" s="392"/>
      <c r="B8" s="393"/>
      <c r="C8" s="394"/>
      <c r="D8" s="394"/>
      <c r="E8" s="394"/>
      <c r="F8" s="394"/>
      <c r="G8" s="394"/>
      <c r="H8" s="394"/>
      <c r="I8" s="395"/>
      <c r="J8" s="398"/>
      <c r="K8" s="394"/>
      <c r="L8" s="394" t="s">
        <v>284</v>
      </c>
      <c r="M8" s="394"/>
      <c r="N8" s="394"/>
      <c r="O8" s="394"/>
      <c r="P8" s="394"/>
      <c r="Q8" s="394"/>
      <c r="R8" s="394" t="s">
        <v>456</v>
      </c>
      <c r="S8" s="394" t="s">
        <v>457</v>
      </c>
      <c r="T8" s="394"/>
      <c r="U8" s="394"/>
      <c r="V8" s="394"/>
      <c r="W8" s="394"/>
      <c r="X8" s="394"/>
      <c r="Y8" s="394"/>
      <c r="Z8" s="394"/>
      <c r="AA8" s="394"/>
      <c r="AB8" s="394"/>
      <c r="AC8" s="394"/>
      <c r="AD8" s="394"/>
      <c r="AE8" s="394"/>
      <c r="AF8" s="394"/>
      <c r="AG8" s="394"/>
      <c r="AH8" s="394"/>
      <c r="AI8" s="394"/>
      <c r="AJ8" s="394"/>
      <c r="AK8" s="394"/>
      <c r="AL8" s="394"/>
      <c r="AM8" s="394"/>
      <c r="AN8" s="394"/>
      <c r="AO8" s="394"/>
      <c r="AP8" s="394"/>
      <c r="AQ8" s="394"/>
      <c r="AR8" s="394"/>
      <c r="AS8" s="394"/>
      <c r="AT8" s="394"/>
      <c r="AU8" s="394"/>
      <c r="AV8" s="394"/>
      <c r="AW8" s="394"/>
      <c r="AX8" s="394"/>
      <c r="AY8" s="394"/>
      <c r="AZ8" s="394"/>
      <c r="BA8" s="394"/>
      <c r="BB8" s="394"/>
      <c r="BC8" s="394"/>
      <c r="BD8" s="393"/>
      <c r="BE8" s="394"/>
      <c r="BF8" s="394"/>
      <c r="BG8" s="394"/>
      <c r="BH8" s="394"/>
      <c r="BI8" s="394"/>
      <c r="BJ8" s="394"/>
      <c r="BK8" s="397"/>
    </row>
    <row r="9" spans="1:64" s="91" customFormat="1" ht="15.75" customHeight="1">
      <c r="A9" s="392"/>
      <c r="B9" s="393"/>
      <c r="C9" s="394"/>
      <c r="D9" s="394"/>
      <c r="E9" s="394"/>
      <c r="F9" s="394"/>
      <c r="G9" s="394"/>
      <c r="H9" s="394"/>
      <c r="I9" s="395"/>
      <c r="J9" s="398"/>
      <c r="K9" s="394"/>
      <c r="L9" s="394"/>
      <c r="M9" s="394"/>
      <c r="N9" s="394"/>
      <c r="O9" s="394"/>
      <c r="P9" s="394"/>
      <c r="Q9" s="394"/>
      <c r="S9" s="394" t="s">
        <v>458</v>
      </c>
      <c r="T9" s="394"/>
      <c r="U9" s="394"/>
      <c r="V9" s="394"/>
      <c r="W9" s="394"/>
      <c r="X9" s="394"/>
      <c r="Y9" s="394"/>
      <c r="Z9" s="394"/>
      <c r="AA9" s="394"/>
      <c r="AB9" s="394"/>
      <c r="AC9" s="394"/>
      <c r="AD9" s="394"/>
      <c r="AE9" s="394"/>
      <c r="AF9" s="394"/>
      <c r="AG9" s="394"/>
      <c r="AH9" s="394"/>
      <c r="AI9" s="394"/>
      <c r="AJ9" s="394"/>
      <c r="AK9" s="394"/>
      <c r="AL9" s="394"/>
      <c r="AM9" s="394"/>
      <c r="AN9" s="394"/>
      <c r="AO9" s="394"/>
      <c r="AP9" s="394"/>
      <c r="AQ9" s="394"/>
      <c r="AR9" s="394"/>
      <c r="AS9" s="394"/>
      <c r="AT9" s="394"/>
      <c r="AU9" s="394"/>
      <c r="AV9" s="394"/>
      <c r="AW9" s="394"/>
      <c r="AX9" s="394"/>
      <c r="AY9" s="394"/>
      <c r="AZ9" s="394"/>
      <c r="BA9" s="394"/>
      <c r="BB9" s="394"/>
      <c r="BC9" s="394"/>
      <c r="BD9" s="393"/>
      <c r="BE9" s="394"/>
      <c r="BF9" s="394"/>
      <c r="BG9" s="394"/>
      <c r="BH9" s="394"/>
      <c r="BI9" s="394"/>
      <c r="BJ9" s="394"/>
      <c r="BK9" s="397"/>
    </row>
    <row r="10" spans="1:64" s="91" customFormat="1" ht="15.75" customHeight="1">
      <c r="A10" s="392"/>
      <c r="B10" s="393"/>
      <c r="C10" s="394"/>
      <c r="D10" s="394"/>
      <c r="E10" s="394"/>
      <c r="F10" s="394"/>
      <c r="G10" s="394"/>
      <c r="H10" s="394"/>
      <c r="I10" s="395"/>
      <c r="J10" s="398"/>
      <c r="K10" s="394"/>
      <c r="L10" s="394" t="s">
        <v>459</v>
      </c>
      <c r="M10" s="394"/>
      <c r="N10" s="394"/>
      <c r="O10" s="394"/>
      <c r="P10" s="394"/>
      <c r="Q10" s="394"/>
      <c r="R10" s="394" t="s">
        <v>456</v>
      </c>
      <c r="S10" s="394" t="s">
        <v>460</v>
      </c>
      <c r="T10" s="394"/>
      <c r="U10" s="394"/>
      <c r="V10" s="394"/>
      <c r="W10" s="394"/>
      <c r="X10" s="394"/>
      <c r="Y10" s="394"/>
      <c r="Z10" s="394"/>
      <c r="AA10" s="394"/>
      <c r="AB10" s="394"/>
      <c r="AC10" s="394"/>
      <c r="AD10" s="394"/>
      <c r="AE10" s="394"/>
      <c r="AF10" s="394"/>
      <c r="AG10" s="394"/>
      <c r="AH10" s="394"/>
      <c r="AI10" s="394"/>
      <c r="AJ10" s="394"/>
      <c r="AK10" s="394"/>
      <c r="AL10" s="394"/>
      <c r="AM10" s="394"/>
      <c r="AN10" s="394"/>
      <c r="AO10" s="394"/>
      <c r="AP10" s="394"/>
      <c r="AQ10" s="394"/>
      <c r="AR10" s="394"/>
      <c r="AS10" s="394"/>
      <c r="AT10" s="394"/>
      <c r="AU10" s="394"/>
      <c r="AV10" s="394"/>
      <c r="AW10" s="394"/>
      <c r="AX10" s="394"/>
      <c r="AY10" s="394"/>
      <c r="AZ10" s="394"/>
      <c r="BA10" s="394"/>
      <c r="BB10" s="394"/>
      <c r="BC10" s="394"/>
      <c r="BD10" s="393"/>
      <c r="BE10" s="394"/>
      <c r="BF10" s="394"/>
      <c r="BG10" s="394"/>
      <c r="BH10" s="394"/>
      <c r="BI10" s="394"/>
      <c r="BJ10" s="394"/>
      <c r="BK10" s="397"/>
    </row>
    <row r="11" spans="1:64" s="91" customFormat="1" ht="15.75" customHeight="1">
      <c r="A11" s="392"/>
      <c r="B11" s="393"/>
      <c r="C11" s="394"/>
      <c r="D11" s="394"/>
      <c r="E11" s="394"/>
      <c r="F11" s="394"/>
      <c r="G11" s="394"/>
      <c r="H11" s="394"/>
      <c r="I11" s="395"/>
      <c r="J11" s="398"/>
      <c r="K11" s="394"/>
      <c r="L11" s="394" t="s">
        <v>461</v>
      </c>
      <c r="M11" s="394"/>
      <c r="N11" s="394"/>
      <c r="O11" s="394"/>
      <c r="P11" s="394"/>
      <c r="Q11" s="394"/>
      <c r="R11" s="394" t="s">
        <v>456</v>
      </c>
      <c r="S11" s="394" t="s">
        <v>462</v>
      </c>
      <c r="T11" s="394"/>
      <c r="U11" s="394"/>
      <c r="V11" s="394"/>
      <c r="W11" s="394"/>
      <c r="X11" s="394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394"/>
      <c r="AJ11" s="394"/>
      <c r="AK11" s="394"/>
      <c r="AL11" s="394"/>
      <c r="AM11" s="394"/>
      <c r="AN11" s="394"/>
      <c r="AO11" s="394"/>
      <c r="AP11" s="394"/>
      <c r="AQ11" s="394"/>
      <c r="AR11" s="394"/>
      <c r="AS11" s="394"/>
      <c r="AT11" s="394"/>
      <c r="AU11" s="394"/>
      <c r="AV11" s="394"/>
      <c r="AW11" s="394"/>
      <c r="AX11" s="394"/>
      <c r="AY11" s="394"/>
      <c r="AZ11" s="394"/>
      <c r="BA11" s="394"/>
      <c r="BB11" s="394"/>
      <c r="BC11" s="394"/>
      <c r="BD11" s="393"/>
      <c r="BE11" s="394"/>
      <c r="BF11" s="394"/>
      <c r="BG11" s="394"/>
      <c r="BH11" s="394"/>
      <c r="BI11" s="394"/>
      <c r="BJ11" s="394"/>
      <c r="BK11" s="397"/>
    </row>
    <row r="12" spans="1:64" s="91" customFormat="1" ht="15.75" customHeight="1">
      <c r="A12" s="392"/>
      <c r="B12" s="394"/>
      <c r="C12" s="394"/>
      <c r="D12" s="394"/>
      <c r="E12" s="394"/>
      <c r="F12" s="394"/>
      <c r="G12" s="394"/>
      <c r="H12" s="394"/>
      <c r="I12" s="395"/>
      <c r="J12" s="394"/>
      <c r="K12" s="394"/>
      <c r="L12" s="394" t="s">
        <v>360</v>
      </c>
      <c r="M12" s="394"/>
      <c r="N12" s="394"/>
      <c r="O12" s="394"/>
      <c r="P12" s="394"/>
      <c r="Q12" s="394"/>
      <c r="R12" s="394" t="s">
        <v>456</v>
      </c>
      <c r="S12" s="394" t="s">
        <v>463</v>
      </c>
      <c r="T12" s="394"/>
      <c r="U12" s="394"/>
      <c r="V12" s="394"/>
      <c r="W12" s="394"/>
      <c r="X12" s="394"/>
      <c r="Y12" s="394"/>
      <c r="Z12" s="394"/>
      <c r="AA12" s="394"/>
      <c r="AB12" s="394"/>
      <c r="AC12" s="394"/>
      <c r="AD12" s="394"/>
      <c r="AE12" s="394"/>
      <c r="AF12" s="394"/>
      <c r="AG12" s="394"/>
      <c r="AH12" s="394"/>
      <c r="AI12" s="394"/>
      <c r="AJ12" s="394"/>
      <c r="AK12" s="394"/>
      <c r="AL12" s="394"/>
      <c r="AM12" s="394"/>
      <c r="AN12" s="394"/>
      <c r="AO12" s="394"/>
      <c r="AP12" s="394"/>
      <c r="AQ12" s="394"/>
      <c r="AR12" s="394"/>
      <c r="AS12" s="394"/>
      <c r="AT12" s="394"/>
      <c r="AU12" s="394"/>
      <c r="AV12" s="394"/>
      <c r="AW12" s="394"/>
      <c r="AX12" s="394"/>
      <c r="AY12" s="394"/>
      <c r="AZ12" s="394"/>
      <c r="BA12" s="394"/>
      <c r="BB12" s="394"/>
      <c r="BC12" s="394"/>
      <c r="BD12" s="393"/>
      <c r="BE12" s="394"/>
      <c r="BF12" s="394"/>
      <c r="BG12" s="394"/>
      <c r="BH12" s="394"/>
      <c r="BI12" s="394"/>
      <c r="BJ12" s="394"/>
      <c r="BK12" s="397"/>
    </row>
    <row r="13" spans="1:64" s="91" customFormat="1" ht="15.75" customHeight="1">
      <c r="A13" s="392"/>
      <c r="B13" s="394"/>
      <c r="C13" s="394"/>
      <c r="D13" s="394"/>
      <c r="E13" s="394"/>
      <c r="F13" s="394"/>
      <c r="G13" s="394"/>
      <c r="H13" s="394"/>
      <c r="I13" s="394"/>
      <c r="J13" s="393"/>
      <c r="K13" s="394"/>
      <c r="L13" s="394"/>
      <c r="M13" s="394"/>
      <c r="N13" s="394"/>
      <c r="O13" s="394"/>
      <c r="P13" s="394"/>
      <c r="Q13" s="394"/>
      <c r="R13" s="394"/>
      <c r="S13" s="394" t="s">
        <v>464</v>
      </c>
      <c r="T13" s="394"/>
      <c r="U13" s="394"/>
      <c r="V13" s="394"/>
      <c r="W13" s="394"/>
      <c r="X13" s="394"/>
      <c r="Y13" s="394"/>
      <c r="Z13" s="394"/>
      <c r="AA13" s="394"/>
      <c r="AB13" s="394"/>
      <c r="AC13" s="394"/>
      <c r="AD13" s="394"/>
      <c r="AE13" s="394"/>
      <c r="AF13" s="394"/>
      <c r="AG13" s="394"/>
      <c r="AH13" s="394"/>
      <c r="AI13" s="394"/>
      <c r="AJ13" s="394"/>
      <c r="AK13" s="394"/>
      <c r="AL13" s="394"/>
      <c r="AM13" s="394"/>
      <c r="AN13" s="394"/>
      <c r="AO13" s="394"/>
      <c r="AP13" s="394"/>
      <c r="AQ13" s="394"/>
      <c r="AR13" s="394"/>
      <c r="AS13" s="394"/>
      <c r="AT13" s="394"/>
      <c r="AU13" s="394"/>
      <c r="AV13" s="394"/>
      <c r="AW13" s="394"/>
      <c r="AX13" s="394"/>
      <c r="AY13" s="394"/>
      <c r="AZ13" s="394"/>
      <c r="BA13" s="394"/>
      <c r="BB13" s="394"/>
      <c r="BC13" s="395"/>
      <c r="BD13" s="394"/>
      <c r="BE13" s="394"/>
      <c r="BF13" s="394"/>
      <c r="BG13" s="394"/>
      <c r="BH13" s="394"/>
      <c r="BI13" s="394"/>
      <c r="BJ13" s="394"/>
      <c r="BK13" s="397"/>
    </row>
    <row r="14" spans="1:64" s="91" customFormat="1" ht="15.75" customHeight="1">
      <c r="A14" s="392"/>
      <c r="B14" s="394"/>
      <c r="C14" s="394"/>
      <c r="D14" s="394"/>
      <c r="E14" s="394"/>
      <c r="F14" s="394"/>
      <c r="G14" s="394"/>
      <c r="H14" s="394"/>
      <c r="I14" s="394"/>
      <c r="J14" s="393"/>
      <c r="K14" s="394"/>
      <c r="L14" s="394" t="s">
        <v>465</v>
      </c>
      <c r="M14" s="394"/>
      <c r="N14" s="394"/>
      <c r="O14" s="394"/>
      <c r="P14" s="394"/>
      <c r="Q14" s="394"/>
      <c r="R14" s="394"/>
      <c r="S14" s="394"/>
      <c r="T14" s="394"/>
      <c r="U14" s="394"/>
      <c r="V14" s="394"/>
      <c r="W14" s="394"/>
      <c r="X14" s="394"/>
      <c r="Y14" s="394"/>
      <c r="Z14" s="394"/>
      <c r="AA14" s="394"/>
      <c r="AB14" s="394"/>
      <c r="AC14" s="394"/>
      <c r="AD14" s="394"/>
      <c r="AE14" s="394"/>
      <c r="AF14" s="394"/>
      <c r="AG14" s="394"/>
      <c r="AH14" s="394"/>
      <c r="AI14" s="394"/>
      <c r="AJ14" s="394"/>
      <c r="AK14" s="394"/>
      <c r="AL14" s="394"/>
      <c r="AM14" s="394"/>
      <c r="AN14" s="394"/>
      <c r="AO14" s="394"/>
      <c r="AP14" s="394"/>
      <c r="AQ14" s="394"/>
      <c r="AR14" s="394"/>
      <c r="AS14" s="394"/>
      <c r="AT14" s="394"/>
      <c r="AU14" s="394"/>
      <c r="AV14" s="394"/>
      <c r="AW14" s="394"/>
      <c r="AX14" s="394"/>
      <c r="AY14" s="394"/>
      <c r="AZ14" s="394"/>
      <c r="BA14" s="394"/>
      <c r="BB14" s="394"/>
      <c r="BC14" s="395"/>
      <c r="BD14" s="394"/>
      <c r="BE14" s="394"/>
      <c r="BF14" s="394"/>
      <c r="BG14" s="394"/>
      <c r="BH14" s="394"/>
      <c r="BI14" s="394"/>
      <c r="BJ14" s="394"/>
      <c r="BK14" s="397"/>
    </row>
    <row r="15" spans="1:64" s="91" customFormat="1" ht="15.75" customHeight="1">
      <c r="A15" s="392"/>
      <c r="B15" s="394"/>
      <c r="C15" s="394"/>
      <c r="D15" s="394"/>
      <c r="E15" s="394"/>
      <c r="F15" s="394"/>
      <c r="G15" s="394"/>
      <c r="H15" s="394"/>
      <c r="I15" s="394"/>
      <c r="J15" s="393"/>
      <c r="K15" s="394"/>
      <c r="L15" s="394" t="s">
        <v>466</v>
      </c>
      <c r="M15" s="394"/>
      <c r="N15" s="394"/>
      <c r="O15" s="394"/>
      <c r="P15" s="394"/>
      <c r="Q15" s="394"/>
      <c r="R15" s="394"/>
      <c r="S15" s="394" t="s">
        <v>467</v>
      </c>
      <c r="T15" s="394"/>
      <c r="U15" s="394"/>
      <c r="V15" s="394"/>
      <c r="W15" s="394"/>
      <c r="X15" s="394"/>
      <c r="Y15" s="394"/>
      <c r="Z15" s="394"/>
      <c r="AA15" s="394"/>
      <c r="AB15" s="394"/>
      <c r="AC15" s="394" t="s">
        <v>468</v>
      </c>
      <c r="AD15" s="394"/>
      <c r="AE15" s="394"/>
      <c r="AF15" s="394"/>
      <c r="AG15" s="394"/>
      <c r="AH15" s="394"/>
      <c r="AI15" s="394"/>
      <c r="AJ15" s="394"/>
      <c r="AK15" s="394"/>
      <c r="AL15" s="394"/>
      <c r="AM15" s="394"/>
      <c r="AN15" s="394"/>
      <c r="AO15" s="394"/>
      <c r="AP15" s="394"/>
      <c r="AQ15" s="394"/>
      <c r="AR15" s="394"/>
      <c r="AS15" s="394"/>
      <c r="AT15" s="394"/>
      <c r="AU15" s="394"/>
      <c r="AV15" s="394"/>
      <c r="AW15" s="394"/>
      <c r="AX15" s="394"/>
      <c r="AY15" s="394"/>
      <c r="AZ15" s="394"/>
      <c r="BA15" s="394"/>
      <c r="BB15" s="394"/>
      <c r="BC15" s="395"/>
      <c r="BD15" s="394"/>
      <c r="BE15" s="394"/>
      <c r="BF15" s="394"/>
      <c r="BG15" s="394"/>
      <c r="BH15" s="394"/>
      <c r="BI15" s="394"/>
      <c r="BJ15" s="394"/>
      <c r="BK15" s="397"/>
    </row>
    <row r="16" spans="1:64" s="91" customFormat="1" ht="15.75" customHeight="1">
      <c r="A16" s="392"/>
      <c r="B16" s="394"/>
      <c r="C16" s="394"/>
      <c r="D16" s="394"/>
      <c r="E16" s="394"/>
      <c r="F16" s="394"/>
      <c r="G16" s="394"/>
      <c r="H16" s="394"/>
      <c r="I16" s="394"/>
      <c r="J16" s="393"/>
      <c r="K16" s="394"/>
      <c r="L16" s="394"/>
      <c r="M16" s="394"/>
      <c r="N16" s="394"/>
      <c r="O16" s="394"/>
      <c r="P16" s="394"/>
      <c r="Q16" s="394"/>
      <c r="R16" s="394"/>
      <c r="S16" s="394" t="s">
        <v>469</v>
      </c>
      <c r="T16" s="394"/>
      <c r="U16" s="394"/>
      <c r="V16" s="394"/>
      <c r="W16" s="394"/>
      <c r="X16" s="394"/>
      <c r="Y16" s="394"/>
      <c r="Z16" s="394"/>
      <c r="AA16" s="394"/>
      <c r="AB16" s="394"/>
      <c r="AC16" s="394" t="s">
        <v>470</v>
      </c>
      <c r="AD16" s="394"/>
      <c r="AE16" s="394"/>
      <c r="AF16" s="394"/>
      <c r="AG16" s="394"/>
      <c r="AH16" s="394"/>
      <c r="AI16" s="394"/>
      <c r="AJ16" s="394"/>
      <c r="AK16" s="394"/>
      <c r="AL16" s="394"/>
      <c r="AM16" s="394"/>
      <c r="AN16" s="394"/>
      <c r="AO16" s="394"/>
      <c r="AP16" s="394"/>
      <c r="AQ16" s="394"/>
      <c r="AR16" s="394"/>
      <c r="AS16" s="394"/>
      <c r="AT16" s="394"/>
      <c r="AU16" s="394"/>
      <c r="AV16" s="394"/>
      <c r="AW16" s="394"/>
      <c r="AX16" s="394"/>
      <c r="AY16" s="394"/>
      <c r="AZ16" s="394"/>
      <c r="BA16" s="394"/>
      <c r="BB16" s="394"/>
      <c r="BC16" s="395"/>
      <c r="BD16" s="394"/>
      <c r="BE16" s="394"/>
      <c r="BF16" s="394"/>
      <c r="BG16" s="394"/>
      <c r="BH16" s="394"/>
      <c r="BI16" s="394"/>
      <c r="BJ16" s="394"/>
      <c r="BK16" s="397"/>
    </row>
    <row r="17" spans="1:63" s="91" customFormat="1" ht="15.75" customHeight="1">
      <c r="A17" s="392"/>
      <c r="B17" s="394"/>
      <c r="C17" s="394"/>
      <c r="D17" s="394"/>
      <c r="E17" s="394"/>
      <c r="F17" s="394"/>
      <c r="G17" s="394"/>
      <c r="H17" s="394"/>
      <c r="I17" s="394"/>
      <c r="J17" s="393"/>
      <c r="K17" s="394"/>
      <c r="L17" s="394"/>
      <c r="M17" s="394"/>
      <c r="N17" s="394"/>
      <c r="O17" s="394"/>
      <c r="P17" s="394"/>
      <c r="Q17" s="394"/>
      <c r="R17" s="394"/>
      <c r="S17" s="394" t="s">
        <v>471</v>
      </c>
      <c r="T17" s="394"/>
      <c r="U17" s="394"/>
      <c r="V17" s="394"/>
      <c r="W17" s="394"/>
      <c r="X17" s="394"/>
      <c r="Y17" s="394"/>
      <c r="Z17" s="394"/>
      <c r="AA17" s="394"/>
      <c r="AB17" s="394"/>
      <c r="AC17" s="394" t="s">
        <v>472</v>
      </c>
      <c r="AD17" s="394"/>
      <c r="AE17" s="394"/>
      <c r="AF17" s="394"/>
      <c r="AG17" s="394"/>
      <c r="AH17" s="394"/>
      <c r="AI17" s="394"/>
      <c r="AJ17" s="394"/>
      <c r="AK17" s="394"/>
      <c r="AL17" s="394"/>
      <c r="AM17" s="394"/>
      <c r="AN17" s="394"/>
      <c r="AO17" s="394"/>
      <c r="AP17" s="394"/>
      <c r="AQ17" s="394"/>
      <c r="AR17" s="394"/>
      <c r="AS17" s="394"/>
      <c r="AT17" s="394"/>
      <c r="AU17" s="394"/>
      <c r="AV17" s="394"/>
      <c r="AW17" s="394"/>
      <c r="AX17" s="394"/>
      <c r="AY17" s="394"/>
      <c r="AZ17" s="394"/>
      <c r="BA17" s="394"/>
      <c r="BB17" s="394"/>
      <c r="BC17" s="395"/>
      <c r="BD17" s="394"/>
      <c r="BE17" s="394"/>
      <c r="BF17" s="394"/>
      <c r="BG17" s="394"/>
      <c r="BH17" s="394"/>
      <c r="BI17" s="394"/>
      <c r="BJ17" s="394"/>
      <c r="BK17" s="397"/>
    </row>
    <row r="18" spans="1:63" s="394" customFormat="1" ht="8.1" customHeight="1">
      <c r="A18" s="392"/>
      <c r="J18" s="393"/>
      <c r="BC18" s="395"/>
      <c r="BK18" s="397"/>
    </row>
    <row r="19" spans="1:63" s="394" customFormat="1" ht="15.75" customHeight="1">
      <c r="A19" s="392"/>
      <c r="J19" s="393"/>
      <c r="S19" s="465" t="s">
        <v>360</v>
      </c>
      <c r="T19" s="465"/>
      <c r="U19" s="465"/>
      <c r="V19" s="465"/>
      <c r="W19" s="465"/>
      <c r="X19" s="465"/>
      <c r="Y19" s="466" t="s">
        <v>473</v>
      </c>
      <c r="Z19" s="467"/>
      <c r="AA19" s="467"/>
      <c r="AB19" s="467"/>
      <c r="AC19" s="467"/>
      <c r="AD19" s="467"/>
      <c r="AE19" s="467"/>
      <c r="AF19" s="467"/>
      <c r="AG19" s="467"/>
      <c r="AH19" s="467"/>
      <c r="AI19" s="467"/>
      <c r="AJ19" s="467"/>
      <c r="AK19" s="467"/>
      <c r="AL19" s="468"/>
      <c r="BC19" s="395"/>
      <c r="BK19" s="397"/>
    </row>
    <row r="20" spans="1:63" s="394" customFormat="1" ht="15.75" customHeight="1">
      <c r="A20" s="392"/>
      <c r="J20" s="393"/>
      <c r="Y20" s="459" t="s">
        <v>473</v>
      </c>
      <c r="Z20" s="460"/>
      <c r="AA20" s="460"/>
      <c r="AB20" s="460"/>
      <c r="AC20" s="460"/>
      <c r="AD20" s="460"/>
      <c r="AE20" s="460"/>
      <c r="AF20" s="460"/>
      <c r="AG20" s="460"/>
      <c r="AH20" s="460"/>
      <c r="AI20" s="460"/>
      <c r="AJ20" s="460"/>
      <c r="AK20" s="460"/>
      <c r="AL20" s="461"/>
      <c r="AN20" s="394" t="s">
        <v>474</v>
      </c>
      <c r="BC20" s="395"/>
      <c r="BK20" s="397"/>
    </row>
    <row r="21" spans="1:63" s="394" customFormat="1" ht="15.75" customHeight="1">
      <c r="A21" s="392"/>
      <c r="J21" s="393"/>
      <c r="Y21" s="462" t="s">
        <v>475</v>
      </c>
      <c r="Z21" s="463"/>
      <c r="AA21" s="463"/>
      <c r="AB21" s="463"/>
      <c r="AC21" s="463"/>
      <c r="AD21" s="463"/>
      <c r="AE21" s="463"/>
      <c r="AF21" s="463"/>
      <c r="AG21" s="463"/>
      <c r="AH21" s="463"/>
      <c r="AI21" s="463"/>
      <c r="AJ21" s="463"/>
      <c r="AK21" s="463"/>
      <c r="AL21" s="464"/>
      <c r="BC21" s="395"/>
      <c r="BK21" s="397"/>
    </row>
    <row r="22" spans="1:63" s="394" customFormat="1" ht="15.75" customHeight="1">
      <c r="A22" s="392"/>
      <c r="J22" s="393"/>
      <c r="L22" s="398"/>
      <c r="S22" s="469" t="s">
        <v>476</v>
      </c>
      <c r="AC22" s="409"/>
      <c r="BC22" s="395"/>
      <c r="BD22" s="393"/>
      <c r="BK22" s="397"/>
    </row>
    <row r="23" spans="1:63" s="394" customFormat="1" ht="15.75" customHeight="1">
      <c r="A23" s="392"/>
      <c r="J23" s="393"/>
      <c r="L23" s="398"/>
      <c r="S23" s="469"/>
      <c r="AC23" s="409"/>
      <c r="BC23" s="395"/>
      <c r="BK23" s="397"/>
    </row>
    <row r="24" spans="1:63" s="91" customFormat="1" ht="15.75" customHeight="1">
      <c r="A24" s="392"/>
      <c r="B24" s="394"/>
      <c r="C24" s="394"/>
      <c r="D24" s="394"/>
      <c r="E24" s="394"/>
      <c r="F24" s="394"/>
      <c r="G24" s="394"/>
      <c r="H24" s="394"/>
      <c r="I24" s="394"/>
      <c r="J24" s="393" t="s">
        <v>477</v>
      </c>
      <c r="K24" s="394"/>
      <c r="L24" s="394"/>
      <c r="M24" s="394"/>
      <c r="N24" s="394"/>
      <c r="O24" s="394"/>
      <c r="P24" s="394"/>
      <c r="Q24" s="394"/>
      <c r="R24" s="394"/>
      <c r="S24" s="394"/>
      <c r="T24" s="394"/>
      <c r="U24" s="394"/>
      <c r="V24" s="394"/>
      <c r="W24" s="394"/>
      <c r="X24" s="394"/>
      <c r="Y24" s="394"/>
      <c r="Z24" s="394"/>
      <c r="AA24" s="394"/>
      <c r="AB24" s="394"/>
      <c r="AC24" s="394"/>
      <c r="AD24" s="394"/>
      <c r="AE24" s="394"/>
      <c r="AF24" s="394"/>
      <c r="AG24" s="394"/>
      <c r="AH24" s="394"/>
      <c r="AI24" s="394"/>
      <c r="AJ24" s="394"/>
      <c r="AK24" s="394"/>
      <c r="AL24" s="394"/>
      <c r="AM24" s="394"/>
      <c r="AN24" s="394"/>
      <c r="AO24" s="394"/>
      <c r="AP24" s="394"/>
      <c r="AQ24" s="394"/>
      <c r="AR24" s="394"/>
      <c r="AS24" s="394"/>
      <c r="AT24" s="394"/>
      <c r="AU24" s="394"/>
      <c r="AV24" s="394"/>
      <c r="AW24" s="394"/>
      <c r="AX24" s="394"/>
      <c r="AY24" s="394"/>
      <c r="AZ24" s="394"/>
      <c r="BA24" s="394"/>
      <c r="BB24" s="394"/>
      <c r="BC24" s="395"/>
      <c r="BD24" s="394"/>
      <c r="BE24" s="394"/>
      <c r="BF24" s="394"/>
      <c r="BG24" s="394"/>
      <c r="BH24" s="394"/>
      <c r="BI24" s="394"/>
      <c r="BJ24" s="394"/>
      <c r="BK24" s="397"/>
    </row>
    <row r="25" spans="1:63" s="91" customFormat="1" ht="15.75" customHeight="1">
      <c r="A25" s="392"/>
      <c r="B25" s="394"/>
      <c r="C25" s="394"/>
      <c r="D25" s="394"/>
      <c r="E25" s="394"/>
      <c r="F25" s="394"/>
      <c r="G25" s="394"/>
      <c r="H25" s="394"/>
      <c r="I25" s="394"/>
      <c r="J25" s="393"/>
      <c r="K25" s="394"/>
      <c r="L25" s="394" t="s">
        <v>478</v>
      </c>
      <c r="M25" s="394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Z25" s="394"/>
      <c r="AA25" s="394"/>
      <c r="AB25" s="394"/>
      <c r="AC25" s="394"/>
      <c r="AD25" s="394"/>
      <c r="AE25" s="394"/>
      <c r="AF25" s="394"/>
      <c r="AG25" s="394"/>
      <c r="AH25" s="394"/>
      <c r="AI25" s="394"/>
      <c r="AJ25" s="394"/>
      <c r="AK25" s="394"/>
      <c r="AL25" s="394"/>
      <c r="AM25" s="394"/>
      <c r="AN25" s="394"/>
      <c r="AO25" s="394"/>
      <c r="AP25" s="394"/>
      <c r="AQ25" s="394"/>
      <c r="AR25" s="394"/>
      <c r="AS25" s="394"/>
      <c r="AT25" s="394"/>
      <c r="AU25" s="394"/>
      <c r="AV25" s="394"/>
      <c r="AW25" s="394"/>
      <c r="AX25" s="394"/>
      <c r="AY25" s="394"/>
      <c r="AZ25" s="394"/>
      <c r="BA25" s="394"/>
      <c r="BB25" s="394"/>
      <c r="BC25" s="395"/>
      <c r="BD25" s="394"/>
      <c r="BE25" s="394"/>
      <c r="BF25" s="394"/>
      <c r="BG25" s="394"/>
      <c r="BH25" s="394"/>
      <c r="BI25" s="394"/>
      <c r="BJ25" s="394"/>
      <c r="BK25" s="397"/>
    </row>
    <row r="26" spans="1:63" s="91" customFormat="1" ht="15.75" customHeight="1">
      <c r="A26" s="392"/>
      <c r="B26" s="394"/>
      <c r="C26" s="394"/>
      <c r="D26" s="394"/>
      <c r="E26" s="394"/>
      <c r="F26" s="394"/>
      <c r="G26" s="394"/>
      <c r="H26" s="394"/>
      <c r="I26" s="394"/>
      <c r="J26" s="393"/>
      <c r="K26" s="394"/>
      <c r="L26" s="398" t="s">
        <v>479</v>
      </c>
      <c r="M26" s="394"/>
      <c r="N26" s="394"/>
      <c r="O26" s="394"/>
      <c r="P26" s="394"/>
      <c r="Q26" s="394"/>
      <c r="R26" s="394"/>
      <c r="S26" s="394"/>
      <c r="T26" s="394"/>
      <c r="U26" s="394"/>
      <c r="V26" s="394"/>
      <c r="W26" s="394"/>
      <c r="X26" s="394"/>
      <c r="Y26" s="394"/>
      <c r="Z26" s="394"/>
      <c r="AA26" s="394"/>
      <c r="AB26" s="394"/>
      <c r="AC26" s="409" t="s">
        <v>480</v>
      </c>
      <c r="AD26" s="394"/>
      <c r="AE26" s="394"/>
      <c r="AF26" s="394"/>
      <c r="AG26" s="394"/>
      <c r="AH26" s="394"/>
      <c r="AI26" s="394"/>
      <c r="AJ26" s="394"/>
      <c r="AK26" s="394"/>
      <c r="AL26" s="394"/>
      <c r="AM26" s="394"/>
      <c r="AN26" s="394"/>
      <c r="AO26" s="394"/>
      <c r="AP26" s="394"/>
      <c r="AQ26" s="394"/>
      <c r="AR26" s="394"/>
      <c r="AS26" s="394"/>
      <c r="AT26" s="394"/>
      <c r="AU26" s="394"/>
      <c r="AV26" s="394"/>
      <c r="AW26" s="394"/>
      <c r="AX26" s="394"/>
      <c r="AY26" s="394"/>
      <c r="AZ26" s="394"/>
      <c r="BA26" s="394"/>
      <c r="BB26" s="394"/>
      <c r="BC26" s="395"/>
      <c r="BD26" s="393" t="s">
        <v>481</v>
      </c>
      <c r="BE26" s="394"/>
      <c r="BF26" s="394"/>
      <c r="BG26" s="394"/>
      <c r="BH26" s="394"/>
      <c r="BI26" s="394"/>
      <c r="BJ26" s="394"/>
      <c r="BK26" s="397"/>
    </row>
    <row r="27" spans="1:63" s="91" customFormat="1" ht="15.75" customHeight="1">
      <c r="A27" s="400"/>
      <c r="B27" s="394"/>
      <c r="C27" s="394"/>
      <c r="D27" s="394"/>
      <c r="E27" s="394"/>
      <c r="F27" s="394"/>
      <c r="G27" s="394"/>
      <c r="H27" s="394"/>
      <c r="I27" s="394"/>
      <c r="J27" s="401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402"/>
      <c r="V27" s="402"/>
      <c r="W27" s="402"/>
      <c r="X27" s="402"/>
      <c r="Y27" s="402"/>
      <c r="Z27" s="402"/>
      <c r="AA27" s="402"/>
      <c r="AB27" s="402"/>
      <c r="AC27" s="402"/>
      <c r="AD27" s="402"/>
      <c r="AE27" s="402"/>
      <c r="AF27" s="402"/>
      <c r="AG27" s="402"/>
      <c r="AH27" s="402"/>
      <c r="AI27" s="402"/>
      <c r="AJ27" s="402"/>
      <c r="AK27" s="402"/>
      <c r="AL27" s="402"/>
      <c r="AM27" s="402"/>
      <c r="AN27" s="402"/>
      <c r="AO27" s="402"/>
      <c r="AP27" s="402"/>
      <c r="AQ27" s="402"/>
      <c r="AR27" s="402"/>
      <c r="AS27" s="402"/>
      <c r="AT27" s="402"/>
      <c r="AU27" s="402"/>
      <c r="AV27" s="402"/>
      <c r="AW27" s="402"/>
      <c r="AX27" s="402"/>
      <c r="AY27" s="402"/>
      <c r="AZ27" s="402"/>
      <c r="BA27" s="402"/>
      <c r="BB27" s="402"/>
      <c r="BC27" s="403"/>
      <c r="BD27" s="394"/>
      <c r="BE27" s="394"/>
      <c r="BF27" s="394"/>
      <c r="BG27" s="394"/>
      <c r="BH27" s="394"/>
      <c r="BI27" s="394"/>
      <c r="BJ27" s="394"/>
      <c r="BK27" s="397"/>
    </row>
    <row r="28" spans="1:63" s="91" customFormat="1" ht="15.75" customHeight="1">
      <c r="A28" s="458" t="s">
        <v>482</v>
      </c>
      <c r="B28" s="389" t="s">
        <v>483</v>
      </c>
      <c r="C28" s="389"/>
      <c r="D28" s="389"/>
      <c r="E28" s="389"/>
      <c r="F28" s="389"/>
      <c r="G28" s="389"/>
      <c r="H28" s="389"/>
      <c r="I28" s="389"/>
      <c r="J28" s="389"/>
      <c r="K28" s="389"/>
      <c r="L28" s="390"/>
      <c r="M28" s="390"/>
      <c r="N28" s="390"/>
      <c r="O28" s="390"/>
      <c r="P28" s="390"/>
      <c r="Q28" s="390"/>
      <c r="R28" s="390"/>
      <c r="S28" s="390"/>
      <c r="T28" s="390"/>
      <c r="U28" s="390"/>
      <c r="V28" s="390"/>
      <c r="W28" s="390"/>
      <c r="X28" s="390"/>
      <c r="Y28" s="390"/>
      <c r="Z28" s="390"/>
      <c r="AA28" s="390"/>
      <c r="AB28" s="390"/>
      <c r="AC28" s="390"/>
      <c r="AD28" s="390"/>
      <c r="AE28" s="390"/>
      <c r="AF28" s="390"/>
      <c r="AG28" s="390"/>
      <c r="AH28" s="390"/>
      <c r="AI28" s="390"/>
      <c r="AJ28" s="390"/>
      <c r="AK28" s="390"/>
      <c r="AL28" s="390"/>
      <c r="AM28" s="390"/>
      <c r="AN28" s="390"/>
      <c r="AO28" s="390"/>
      <c r="AP28" s="390"/>
      <c r="AQ28" s="390"/>
      <c r="AR28" s="390"/>
      <c r="AS28" s="390"/>
      <c r="AT28" s="390"/>
      <c r="AU28" s="390"/>
      <c r="AV28" s="390"/>
      <c r="AW28" s="390"/>
      <c r="AX28" s="390"/>
      <c r="AY28" s="390"/>
      <c r="AZ28" s="390"/>
      <c r="BA28" s="390"/>
      <c r="BB28" s="390"/>
      <c r="BC28" s="390"/>
      <c r="BD28" s="390"/>
      <c r="BE28" s="390"/>
      <c r="BF28" s="390"/>
      <c r="BG28" s="390"/>
      <c r="BH28" s="390"/>
      <c r="BI28" s="390"/>
      <c r="BJ28" s="390"/>
      <c r="BK28" s="391"/>
    </row>
    <row r="29" spans="1:63" s="91" customFormat="1" ht="15.75" customHeight="1">
      <c r="A29" s="392"/>
      <c r="B29" s="393"/>
      <c r="C29" s="394"/>
      <c r="D29" s="394"/>
      <c r="E29" s="394"/>
      <c r="F29" s="394"/>
      <c r="G29" s="394"/>
      <c r="H29" s="394"/>
      <c r="I29" s="395"/>
      <c r="J29" s="404" t="s">
        <v>484</v>
      </c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Y29" s="405"/>
      <c r="Z29" s="405"/>
      <c r="AA29" s="405"/>
      <c r="AB29" s="405"/>
      <c r="AC29" s="405"/>
      <c r="AD29" s="405"/>
      <c r="AE29" s="405"/>
      <c r="AF29" s="405"/>
      <c r="AG29" s="405"/>
      <c r="AH29" s="405"/>
      <c r="AI29" s="405"/>
      <c r="AJ29" s="405"/>
      <c r="AK29" s="405"/>
      <c r="AL29" s="405"/>
      <c r="AM29" s="405"/>
      <c r="AN29" s="405"/>
      <c r="AO29" s="394"/>
      <c r="AP29" s="394"/>
      <c r="AQ29" s="394"/>
      <c r="AR29" s="394"/>
      <c r="AS29" s="394"/>
      <c r="AT29" s="394"/>
      <c r="AU29" s="394"/>
      <c r="AV29" s="394"/>
      <c r="AW29" s="394"/>
      <c r="AX29" s="394"/>
      <c r="AY29" s="394"/>
      <c r="AZ29" s="394"/>
      <c r="BA29" s="394"/>
      <c r="BB29" s="394"/>
      <c r="BC29" s="394"/>
      <c r="BD29" s="393"/>
      <c r="BE29" s="394"/>
      <c r="BF29" s="394"/>
      <c r="BG29" s="394"/>
      <c r="BH29" s="394"/>
      <c r="BI29" s="394"/>
      <c r="BJ29" s="394"/>
      <c r="BK29" s="397"/>
    </row>
    <row r="30" spans="1:63" ht="15.75" customHeight="1">
      <c r="A30" s="473"/>
      <c r="B30" s="474"/>
      <c r="C30" s="475"/>
      <c r="D30" s="475"/>
      <c r="E30" s="475"/>
      <c r="F30" s="475"/>
      <c r="G30" s="475"/>
      <c r="H30" s="475"/>
      <c r="I30" s="476"/>
      <c r="J30" s="475"/>
      <c r="K30" s="475"/>
      <c r="L30" s="475"/>
      <c r="M30" s="475"/>
      <c r="N30" s="475"/>
      <c r="O30" s="475"/>
      <c r="P30" s="475"/>
      <c r="Q30" s="475"/>
      <c r="R30" s="475"/>
      <c r="S30" s="475"/>
      <c r="T30" s="475"/>
      <c r="U30" s="475"/>
      <c r="V30" s="475"/>
      <c r="W30" s="475"/>
      <c r="X30" s="475"/>
      <c r="Y30" s="475"/>
      <c r="Z30" s="475"/>
      <c r="AA30" s="475"/>
      <c r="AB30" s="475"/>
      <c r="AC30" s="475"/>
      <c r="AD30" s="475"/>
      <c r="AE30" s="475"/>
      <c r="AF30" s="475"/>
      <c r="AG30" s="475"/>
      <c r="AH30" s="475"/>
      <c r="AI30" s="475"/>
      <c r="AJ30" s="475"/>
      <c r="AK30" s="475"/>
      <c r="AL30" s="475"/>
      <c r="AM30" s="475"/>
      <c r="AN30" s="475"/>
      <c r="AO30" s="475"/>
      <c r="AP30" s="475"/>
      <c r="AQ30" s="475"/>
      <c r="AR30" s="475"/>
      <c r="AS30" s="475"/>
      <c r="AT30" s="475"/>
      <c r="AU30" s="475"/>
      <c r="AV30" s="475"/>
      <c r="AW30" s="475"/>
      <c r="AX30" s="475"/>
      <c r="AY30" s="475"/>
      <c r="AZ30" s="475"/>
      <c r="BA30" s="475"/>
      <c r="BB30" s="475"/>
      <c r="BC30" s="475"/>
      <c r="BD30" s="474"/>
      <c r="BE30" s="475"/>
      <c r="BF30" s="475"/>
      <c r="BG30" s="475"/>
      <c r="BH30" s="475"/>
      <c r="BI30" s="475"/>
      <c r="BJ30" s="475"/>
      <c r="BK30" s="477"/>
    </row>
    <row r="31" spans="1:63" s="91" customFormat="1" ht="15.75" customHeight="1">
      <c r="A31" s="458" t="s">
        <v>485</v>
      </c>
      <c r="B31" s="389" t="s">
        <v>486</v>
      </c>
      <c r="C31" s="389"/>
      <c r="D31" s="389"/>
      <c r="E31" s="389"/>
      <c r="F31" s="389"/>
      <c r="G31" s="389"/>
      <c r="H31" s="389"/>
      <c r="I31" s="389"/>
      <c r="J31" s="389"/>
      <c r="K31" s="389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0"/>
      <c r="AD31" s="390"/>
      <c r="AE31" s="390"/>
      <c r="AF31" s="390"/>
      <c r="AG31" s="390"/>
      <c r="AH31" s="390"/>
      <c r="AI31" s="390"/>
      <c r="AJ31" s="390"/>
      <c r="AK31" s="390"/>
      <c r="AL31" s="390"/>
      <c r="AM31" s="390"/>
      <c r="AN31" s="390"/>
      <c r="AO31" s="390"/>
      <c r="AP31" s="390"/>
      <c r="AQ31" s="390"/>
      <c r="AR31" s="390"/>
      <c r="AS31" s="390"/>
      <c r="AT31" s="390"/>
      <c r="AU31" s="390"/>
      <c r="AV31" s="390"/>
      <c r="AW31" s="390"/>
      <c r="AX31" s="390"/>
      <c r="AY31" s="390"/>
      <c r="AZ31" s="390"/>
      <c r="BA31" s="390"/>
      <c r="BB31" s="390"/>
      <c r="BC31" s="390"/>
      <c r="BD31" s="390"/>
      <c r="BE31" s="390"/>
      <c r="BF31" s="390"/>
      <c r="BG31" s="390"/>
      <c r="BH31" s="390"/>
      <c r="BI31" s="390"/>
      <c r="BJ31" s="390"/>
      <c r="BK31" s="391"/>
    </row>
    <row r="32" spans="1:63" s="91" customFormat="1" ht="15.75" customHeight="1">
      <c r="A32" s="392"/>
      <c r="B32" s="393"/>
      <c r="C32" s="394"/>
      <c r="D32" s="394"/>
      <c r="E32" s="394"/>
      <c r="F32" s="394"/>
      <c r="G32" s="394"/>
      <c r="H32" s="394"/>
      <c r="I32" s="395"/>
      <c r="J32" s="404" t="s">
        <v>487</v>
      </c>
      <c r="K32" s="405"/>
      <c r="L32" s="405"/>
      <c r="M32" s="405"/>
      <c r="N32" s="405"/>
      <c r="O32" s="405"/>
      <c r="P32" s="405"/>
      <c r="Q32" s="405"/>
      <c r="R32" s="405"/>
      <c r="S32" s="405"/>
      <c r="T32" s="405"/>
      <c r="U32" s="405"/>
      <c r="V32" s="405"/>
      <c r="W32" s="405"/>
      <c r="X32" s="405"/>
      <c r="Y32" s="405"/>
      <c r="Z32" s="405"/>
      <c r="AA32" s="405"/>
      <c r="AB32" s="405"/>
      <c r="AC32" s="405"/>
      <c r="AD32" s="405"/>
      <c r="AE32" s="405"/>
      <c r="AF32" s="405"/>
      <c r="AG32" s="405"/>
      <c r="AH32" s="405"/>
      <c r="AI32" s="405"/>
      <c r="AJ32" s="405"/>
      <c r="AK32" s="405"/>
      <c r="AL32" s="405"/>
      <c r="AM32" s="405"/>
      <c r="AN32" s="405"/>
      <c r="AO32" s="394"/>
      <c r="AP32" s="394"/>
      <c r="AQ32" s="394"/>
      <c r="AR32" s="394"/>
      <c r="AS32" s="394"/>
      <c r="AT32" s="394"/>
      <c r="AU32" s="394"/>
      <c r="AV32" s="394"/>
      <c r="AW32" s="394"/>
      <c r="AX32" s="394"/>
      <c r="AY32" s="394"/>
      <c r="AZ32" s="394"/>
      <c r="BA32" s="394"/>
      <c r="BB32" s="394"/>
      <c r="BC32" s="394"/>
      <c r="BD32" s="393"/>
      <c r="BE32" s="394"/>
      <c r="BF32" s="394"/>
      <c r="BG32" s="394"/>
      <c r="BH32" s="394"/>
      <c r="BI32" s="394"/>
      <c r="BJ32" s="394"/>
      <c r="BK32" s="397"/>
    </row>
    <row r="33" spans="1:63" s="91" customFormat="1" ht="15.75" customHeight="1">
      <c r="A33" s="392"/>
      <c r="B33" s="393"/>
      <c r="C33" s="394"/>
      <c r="D33" s="394"/>
      <c r="E33" s="394"/>
      <c r="F33" s="394"/>
      <c r="G33" s="394"/>
      <c r="H33" s="394"/>
      <c r="I33" s="395"/>
      <c r="J33" s="405"/>
      <c r="K33" s="405"/>
      <c r="L33" s="405" t="s">
        <v>488</v>
      </c>
      <c r="M33" s="405"/>
      <c r="N33" s="405"/>
      <c r="O33" s="405"/>
      <c r="P33" s="405"/>
      <c r="Q33" s="405"/>
      <c r="R33" s="405"/>
      <c r="S33" s="405"/>
      <c r="T33" s="405"/>
      <c r="U33" s="405"/>
      <c r="W33" s="405"/>
      <c r="X33" s="394"/>
      <c r="Y33" s="405"/>
      <c r="Z33" s="405"/>
      <c r="AA33" s="405"/>
      <c r="AB33" s="405"/>
      <c r="AC33" s="405"/>
      <c r="AD33" s="405"/>
      <c r="AE33" s="405"/>
      <c r="AF33" s="405"/>
      <c r="AG33" s="405"/>
      <c r="AH33" s="405"/>
      <c r="AI33" s="405"/>
      <c r="AJ33" s="405"/>
      <c r="AK33" s="405"/>
      <c r="AL33" s="405"/>
      <c r="AM33" s="405"/>
      <c r="AN33" s="405"/>
      <c r="AO33" s="394"/>
      <c r="AP33" s="394"/>
      <c r="AQ33" s="394"/>
      <c r="AR33" s="394"/>
      <c r="AS33" s="394"/>
      <c r="AT33" s="394"/>
      <c r="AU33" s="394"/>
      <c r="AV33" s="394"/>
      <c r="AW33" s="394"/>
      <c r="AX33" s="394"/>
      <c r="AY33" s="394"/>
      <c r="AZ33" s="394"/>
      <c r="BA33" s="394"/>
      <c r="BB33" s="394"/>
      <c r="BC33" s="394"/>
      <c r="BD33" s="393"/>
      <c r="BE33" s="394"/>
      <c r="BF33" s="394"/>
      <c r="BG33" s="394"/>
      <c r="BH33" s="394"/>
      <c r="BI33" s="394"/>
      <c r="BJ33" s="394"/>
      <c r="BK33" s="397"/>
    </row>
    <row r="34" spans="1:63" s="91" customFormat="1" ht="15.75" customHeight="1">
      <c r="A34" s="392"/>
      <c r="B34" s="393"/>
      <c r="C34" s="394"/>
      <c r="D34" s="394"/>
      <c r="E34" s="394"/>
      <c r="F34" s="394"/>
      <c r="G34" s="394"/>
      <c r="H34" s="394"/>
      <c r="I34" s="395"/>
      <c r="J34" s="405"/>
      <c r="K34" s="405"/>
      <c r="L34" s="405"/>
      <c r="M34" s="405"/>
      <c r="N34" s="405" t="s">
        <v>489</v>
      </c>
      <c r="O34" s="394"/>
      <c r="P34" s="405"/>
      <c r="Q34" s="405"/>
      <c r="R34" s="405"/>
      <c r="S34" s="405"/>
      <c r="T34" s="405"/>
      <c r="U34" s="405"/>
      <c r="V34" s="405"/>
      <c r="W34" s="405"/>
      <c r="X34" s="394"/>
      <c r="Y34" s="405"/>
      <c r="AC34" s="410" t="s">
        <v>490</v>
      </c>
      <c r="AJ34" s="405"/>
      <c r="AK34" s="405"/>
      <c r="AL34" s="405"/>
      <c r="AM34" s="405"/>
      <c r="AN34" s="405"/>
      <c r="AO34" s="394"/>
      <c r="AP34" s="394"/>
      <c r="AQ34" s="394"/>
      <c r="AR34" s="394"/>
      <c r="AS34" s="394"/>
      <c r="AT34" s="394"/>
      <c r="AU34" s="394"/>
      <c r="AV34" s="394"/>
      <c r="AW34" s="394"/>
      <c r="AX34" s="394"/>
      <c r="AY34" s="394"/>
      <c r="AZ34" s="394"/>
      <c r="BA34" s="394"/>
      <c r="BB34" s="394"/>
      <c r="BC34" s="394"/>
      <c r="BD34" s="393" t="s">
        <v>491</v>
      </c>
      <c r="BE34" s="394"/>
      <c r="BF34" s="394"/>
      <c r="BG34" s="394"/>
      <c r="BH34" s="394"/>
      <c r="BI34" s="394"/>
      <c r="BJ34" s="394"/>
      <c r="BK34" s="397"/>
    </row>
    <row r="35" spans="1:63" s="91" customFormat="1" ht="15.75" customHeight="1">
      <c r="A35" s="392"/>
      <c r="B35" s="393"/>
      <c r="C35" s="394"/>
      <c r="D35" s="394"/>
      <c r="E35" s="394"/>
      <c r="F35" s="394"/>
      <c r="G35" s="394"/>
      <c r="H35" s="394"/>
      <c r="I35" s="395"/>
      <c r="J35" s="405"/>
      <c r="K35" s="405"/>
      <c r="L35" s="405"/>
      <c r="M35" s="405"/>
      <c r="N35" s="405" t="s">
        <v>492</v>
      </c>
      <c r="O35" s="394"/>
      <c r="P35" s="405"/>
      <c r="Q35" s="405"/>
      <c r="R35" s="405"/>
      <c r="S35" s="405"/>
      <c r="T35" s="405"/>
      <c r="U35" s="405"/>
      <c r="V35" s="405"/>
      <c r="W35" s="405"/>
      <c r="X35" s="405"/>
      <c r="Y35" s="405"/>
      <c r="AC35" s="410" t="s">
        <v>493</v>
      </c>
      <c r="AJ35" s="405"/>
      <c r="AK35" s="405"/>
      <c r="AL35" s="405"/>
      <c r="AM35" s="405"/>
      <c r="AN35" s="405"/>
      <c r="AO35" s="394"/>
      <c r="AP35" s="394"/>
      <c r="AQ35" s="394"/>
      <c r="AR35" s="394"/>
      <c r="AS35" s="394"/>
      <c r="AT35" s="394"/>
      <c r="AU35" s="394"/>
      <c r="AV35" s="394"/>
      <c r="AW35" s="394"/>
      <c r="AX35" s="394"/>
      <c r="AY35" s="394"/>
      <c r="AZ35" s="394"/>
      <c r="BA35" s="394"/>
      <c r="BB35" s="394"/>
      <c r="BC35" s="394"/>
      <c r="BD35" s="393" t="s">
        <v>494</v>
      </c>
      <c r="BE35" s="394"/>
      <c r="BF35" s="394"/>
      <c r="BG35" s="394"/>
      <c r="BH35" s="394"/>
      <c r="BI35" s="394"/>
      <c r="BJ35" s="394"/>
      <c r="BK35" s="397"/>
    </row>
    <row r="36" spans="1:63" s="91" customFormat="1" ht="15.75" customHeight="1">
      <c r="A36" s="392"/>
      <c r="B36" s="393"/>
      <c r="C36" s="394"/>
      <c r="D36" s="394"/>
      <c r="E36" s="394"/>
      <c r="F36" s="394"/>
      <c r="G36" s="394"/>
      <c r="H36" s="394"/>
      <c r="I36" s="395"/>
      <c r="J36" s="405"/>
      <c r="K36" s="405"/>
      <c r="L36" s="405"/>
      <c r="M36" s="405"/>
      <c r="N36" s="405" t="s">
        <v>495</v>
      </c>
      <c r="O36" s="394"/>
      <c r="P36" s="405"/>
      <c r="Q36" s="405"/>
      <c r="R36" s="405"/>
      <c r="S36" s="405"/>
      <c r="T36" s="405"/>
      <c r="U36" s="405"/>
      <c r="V36" s="405"/>
      <c r="W36" s="405"/>
      <c r="X36" s="394"/>
      <c r="Y36" s="405"/>
      <c r="AC36" s="410" t="s">
        <v>496</v>
      </c>
      <c r="AJ36" s="405"/>
      <c r="AK36" s="405"/>
      <c r="AL36" s="405"/>
      <c r="AM36" s="405"/>
      <c r="AN36" s="405"/>
      <c r="AO36" s="394"/>
      <c r="AP36" s="394"/>
      <c r="AQ36" s="394"/>
      <c r="AR36" s="394"/>
      <c r="AS36" s="394"/>
      <c r="AT36" s="394"/>
      <c r="AU36" s="394"/>
      <c r="AV36" s="394"/>
      <c r="AW36" s="394"/>
      <c r="AX36" s="394"/>
      <c r="AY36" s="394"/>
      <c r="AZ36" s="394"/>
      <c r="BA36" s="394"/>
      <c r="BB36" s="394"/>
      <c r="BC36" s="394"/>
      <c r="BD36" s="393" t="s">
        <v>497</v>
      </c>
      <c r="BE36" s="394"/>
      <c r="BF36" s="394"/>
      <c r="BG36" s="394"/>
      <c r="BH36" s="394"/>
      <c r="BI36" s="394"/>
      <c r="BJ36" s="394"/>
      <c r="BK36" s="397"/>
    </row>
    <row r="37" spans="1:63" s="91" customFormat="1" ht="15.75" customHeight="1">
      <c r="A37" s="392"/>
      <c r="B37" s="393"/>
      <c r="C37" s="394"/>
      <c r="D37" s="394"/>
      <c r="E37" s="394"/>
      <c r="F37" s="394"/>
      <c r="G37" s="394"/>
      <c r="H37" s="394"/>
      <c r="I37" s="395"/>
      <c r="J37" s="405"/>
      <c r="K37" s="405"/>
      <c r="L37" s="405"/>
      <c r="M37" s="405"/>
      <c r="N37" s="405"/>
      <c r="O37" s="405"/>
      <c r="P37" s="405"/>
      <c r="Q37" s="405"/>
      <c r="R37" s="405"/>
      <c r="S37" s="405"/>
      <c r="T37" s="405"/>
      <c r="U37" s="405"/>
      <c r="V37" s="405"/>
      <c r="W37" s="405"/>
      <c r="X37" s="394"/>
      <c r="Y37" s="405"/>
      <c r="Z37" s="405"/>
      <c r="AA37" s="405"/>
      <c r="AB37" s="405"/>
      <c r="AC37" s="405"/>
      <c r="AD37" s="405"/>
      <c r="AE37" s="405"/>
      <c r="AF37" s="405"/>
      <c r="AG37" s="394"/>
      <c r="AH37" s="405"/>
      <c r="AI37" s="410"/>
      <c r="AJ37" s="405"/>
      <c r="AK37" s="405"/>
      <c r="AL37" s="405"/>
      <c r="AM37" s="405"/>
      <c r="AN37" s="405"/>
      <c r="AO37" s="394"/>
      <c r="AP37" s="394"/>
      <c r="AQ37" s="394"/>
      <c r="AR37" s="394"/>
      <c r="AS37" s="394"/>
      <c r="AT37" s="394"/>
      <c r="AU37" s="394"/>
      <c r="AV37" s="394"/>
      <c r="AW37" s="394"/>
      <c r="AX37" s="394"/>
      <c r="AY37" s="394"/>
      <c r="AZ37" s="394"/>
      <c r="BA37" s="394"/>
      <c r="BB37" s="394"/>
      <c r="BC37" s="394"/>
      <c r="BD37" s="393"/>
      <c r="BE37" s="394"/>
      <c r="BF37" s="394"/>
      <c r="BG37" s="394"/>
      <c r="BH37" s="394"/>
      <c r="BI37" s="394"/>
      <c r="BJ37" s="394"/>
      <c r="BK37" s="397"/>
    </row>
    <row r="38" spans="1:63" s="91" customFormat="1" ht="15.75" customHeight="1">
      <c r="A38" s="392"/>
      <c r="B38" s="393"/>
      <c r="C38" s="394"/>
      <c r="D38" s="394"/>
      <c r="E38" s="394"/>
      <c r="F38" s="394"/>
      <c r="G38" s="394"/>
      <c r="H38" s="394"/>
      <c r="I38" s="395"/>
      <c r="J38" s="404" t="s">
        <v>498</v>
      </c>
      <c r="K38" s="405"/>
      <c r="L38" s="405"/>
      <c r="M38" s="405"/>
      <c r="N38" s="405"/>
      <c r="O38" s="405"/>
      <c r="P38" s="405"/>
      <c r="Q38" s="405"/>
      <c r="R38" s="405"/>
      <c r="S38" s="405"/>
      <c r="T38" s="405"/>
      <c r="U38" s="405"/>
      <c r="V38" s="405"/>
      <c r="W38" s="405"/>
      <c r="X38" s="405"/>
      <c r="Y38" s="405"/>
      <c r="Z38" s="405"/>
      <c r="AA38" s="405"/>
      <c r="AB38" s="405"/>
      <c r="AC38" s="405"/>
      <c r="AD38" s="405"/>
      <c r="AE38" s="405"/>
      <c r="AF38" s="405"/>
      <c r="AG38" s="405"/>
      <c r="AH38" s="405"/>
      <c r="AI38" s="405"/>
      <c r="AJ38" s="405"/>
      <c r="AK38" s="405"/>
      <c r="AL38" s="405"/>
      <c r="AM38" s="405"/>
      <c r="AN38" s="405"/>
      <c r="AO38" s="394"/>
      <c r="AP38" s="394"/>
      <c r="AQ38" s="394"/>
      <c r="AR38" s="394"/>
      <c r="AS38" s="394"/>
      <c r="AT38" s="394"/>
      <c r="AU38" s="394"/>
      <c r="AV38" s="394"/>
      <c r="AW38" s="394"/>
      <c r="AX38" s="394"/>
      <c r="AY38" s="394"/>
      <c r="AZ38" s="394"/>
      <c r="BA38" s="394"/>
      <c r="BB38" s="394"/>
      <c r="BC38" s="394"/>
      <c r="BD38" s="393" t="s">
        <v>499</v>
      </c>
      <c r="BE38" s="394"/>
      <c r="BF38" s="394"/>
      <c r="BG38" s="394"/>
      <c r="BH38" s="394"/>
      <c r="BI38" s="394"/>
      <c r="BJ38" s="394"/>
      <c r="BK38" s="397"/>
    </row>
    <row r="39" spans="1:63" s="91" customFormat="1" ht="15.75" customHeight="1">
      <c r="A39" s="392"/>
      <c r="B39" s="394"/>
      <c r="C39" s="394"/>
      <c r="D39" s="394"/>
      <c r="E39" s="394"/>
      <c r="F39" s="394"/>
      <c r="G39" s="394"/>
      <c r="H39" s="394"/>
      <c r="I39" s="394"/>
      <c r="J39" s="393"/>
      <c r="K39" s="394"/>
      <c r="L39" s="398" t="s">
        <v>479</v>
      </c>
      <c r="M39" s="394"/>
      <c r="N39" s="394"/>
      <c r="O39" s="394"/>
      <c r="P39" s="394"/>
      <c r="Q39" s="394"/>
      <c r="R39" s="394"/>
      <c r="S39" s="394"/>
      <c r="T39" s="394"/>
      <c r="U39" s="394"/>
      <c r="V39" s="394"/>
      <c r="W39" s="394"/>
      <c r="X39" s="394"/>
      <c r="Y39" s="394"/>
      <c r="Z39" s="394"/>
      <c r="AA39" s="394"/>
      <c r="AB39" s="394"/>
      <c r="AC39" s="409" t="s">
        <v>480</v>
      </c>
      <c r="AD39" s="394"/>
      <c r="AE39" s="394"/>
      <c r="AF39" s="394"/>
      <c r="AG39" s="394"/>
      <c r="AH39" s="394"/>
      <c r="AI39" s="394"/>
      <c r="AJ39" s="394"/>
      <c r="AK39" s="394"/>
      <c r="AL39" s="394"/>
      <c r="AM39" s="394"/>
      <c r="AN39" s="394"/>
      <c r="AO39" s="394"/>
      <c r="AP39" s="394"/>
      <c r="AQ39" s="394"/>
      <c r="AR39" s="394"/>
      <c r="AS39" s="394"/>
      <c r="AT39" s="394"/>
      <c r="AU39" s="394"/>
      <c r="AV39" s="394"/>
      <c r="AW39" s="394"/>
      <c r="AX39" s="394"/>
      <c r="AY39" s="394"/>
      <c r="AZ39" s="394"/>
      <c r="BA39" s="394"/>
      <c r="BB39" s="394"/>
      <c r="BC39" s="395"/>
      <c r="BD39" s="393" t="s">
        <v>481</v>
      </c>
      <c r="BE39" s="394"/>
      <c r="BF39" s="394"/>
      <c r="BG39" s="394"/>
      <c r="BH39" s="394"/>
      <c r="BI39" s="394"/>
      <c r="BJ39" s="394"/>
      <c r="BK39" s="397"/>
    </row>
    <row r="40" spans="1:63" ht="15.75" customHeight="1">
      <c r="A40" s="406"/>
      <c r="B40" s="399"/>
      <c r="C40" s="407"/>
      <c r="D40" s="407"/>
      <c r="E40" s="407"/>
      <c r="F40" s="407"/>
      <c r="G40" s="407"/>
      <c r="H40" s="407"/>
      <c r="I40" s="408"/>
      <c r="J40" s="407"/>
      <c r="K40" s="407"/>
      <c r="L40" s="407"/>
      <c r="M40" s="407"/>
      <c r="N40" s="407"/>
      <c r="O40" s="407"/>
      <c r="P40" s="407"/>
      <c r="Q40" s="407"/>
      <c r="R40" s="407"/>
      <c r="S40" s="407"/>
      <c r="T40" s="407"/>
      <c r="U40" s="407"/>
      <c r="V40" s="407"/>
      <c r="W40" s="407"/>
      <c r="X40" s="407"/>
      <c r="Y40" s="407"/>
      <c r="Z40" s="407"/>
      <c r="AA40" s="407"/>
      <c r="AB40" s="407"/>
      <c r="AC40" s="407"/>
      <c r="AD40" s="407"/>
      <c r="AE40" s="407"/>
      <c r="AF40" s="407"/>
      <c r="AG40" s="407"/>
      <c r="AH40" s="407"/>
      <c r="AI40" s="407"/>
      <c r="AJ40" s="407"/>
      <c r="AK40" s="407"/>
      <c r="AL40" s="407"/>
      <c r="AM40" s="407"/>
      <c r="AN40" s="407"/>
      <c r="AO40" s="407"/>
      <c r="AP40" s="407"/>
      <c r="AQ40" s="407"/>
      <c r="AR40" s="407"/>
      <c r="AS40" s="407"/>
      <c r="AT40" s="407"/>
      <c r="AU40" s="407"/>
      <c r="AV40" s="407"/>
      <c r="AW40" s="407"/>
      <c r="AX40" s="407"/>
      <c r="AY40" s="407"/>
      <c r="AZ40" s="407"/>
      <c r="BA40" s="407"/>
      <c r="BB40" s="407"/>
      <c r="BC40" s="407"/>
      <c r="BD40" s="399"/>
      <c r="BE40" s="407"/>
      <c r="BF40" s="407"/>
      <c r="BG40" s="407"/>
      <c r="BH40" s="407"/>
      <c r="BI40" s="407"/>
      <c r="BJ40" s="407"/>
      <c r="BK40" s="407"/>
    </row>
    <row r="41" spans="1:63" s="91" customFormat="1" ht="15.75" customHeight="1">
      <c r="A41" s="458" t="s">
        <v>500</v>
      </c>
      <c r="B41" s="389" t="s">
        <v>501</v>
      </c>
      <c r="C41" s="389"/>
      <c r="D41" s="389"/>
      <c r="E41" s="389"/>
      <c r="F41" s="389"/>
      <c r="G41" s="389"/>
      <c r="H41" s="389"/>
      <c r="I41" s="389"/>
      <c r="J41" s="389"/>
      <c r="K41" s="389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  <c r="W41" s="390"/>
      <c r="X41" s="390"/>
      <c r="Y41" s="390"/>
      <c r="Z41" s="390"/>
      <c r="AA41" s="390"/>
      <c r="AB41" s="390"/>
      <c r="AC41" s="390"/>
      <c r="AD41" s="390"/>
      <c r="AE41" s="390"/>
      <c r="AF41" s="390"/>
      <c r="AG41" s="390"/>
      <c r="AH41" s="390"/>
      <c r="AI41" s="390"/>
      <c r="AJ41" s="390"/>
      <c r="AK41" s="390"/>
      <c r="AL41" s="390"/>
      <c r="AM41" s="390"/>
      <c r="AN41" s="390"/>
      <c r="AO41" s="390"/>
      <c r="AP41" s="390"/>
      <c r="AQ41" s="390"/>
      <c r="AR41" s="390"/>
      <c r="AS41" s="390"/>
      <c r="AT41" s="390"/>
      <c r="AU41" s="390"/>
      <c r="AV41" s="390"/>
      <c r="AW41" s="390"/>
      <c r="AX41" s="390"/>
      <c r="AY41" s="390"/>
      <c r="AZ41" s="390"/>
      <c r="BA41" s="390"/>
      <c r="BB41" s="390"/>
      <c r="BC41" s="390"/>
      <c r="BD41" s="390"/>
      <c r="BE41" s="390"/>
      <c r="BF41" s="390"/>
      <c r="BG41" s="390"/>
      <c r="BH41" s="390"/>
      <c r="BI41" s="390"/>
      <c r="BJ41" s="390"/>
      <c r="BK41" s="391"/>
    </row>
    <row r="42" spans="1:63" s="91" customFormat="1" ht="15.75" customHeight="1">
      <c r="A42" s="392"/>
      <c r="B42" s="393"/>
      <c r="C42" s="394"/>
      <c r="D42" s="394"/>
      <c r="E42" s="394"/>
      <c r="F42" s="394"/>
      <c r="G42" s="394"/>
      <c r="H42" s="394"/>
      <c r="I42" s="395"/>
      <c r="J42" s="404" t="s">
        <v>502</v>
      </c>
      <c r="K42" s="405"/>
      <c r="L42" s="405"/>
      <c r="M42" s="405"/>
      <c r="N42" s="405"/>
      <c r="O42" s="405"/>
      <c r="P42" s="405"/>
      <c r="Q42" s="405"/>
      <c r="R42" s="405"/>
      <c r="S42" s="405"/>
      <c r="T42" s="405"/>
      <c r="U42" s="405"/>
      <c r="V42" s="405"/>
      <c r="W42" s="405"/>
      <c r="X42" s="405"/>
      <c r="Y42" s="405"/>
      <c r="Z42" s="405"/>
      <c r="AA42" s="405"/>
      <c r="AB42" s="405"/>
      <c r="AC42" s="405"/>
      <c r="AD42" s="405"/>
      <c r="AE42" s="405"/>
      <c r="AF42" s="405"/>
      <c r="AG42" s="405"/>
      <c r="AH42" s="405"/>
      <c r="AI42" s="405"/>
      <c r="AJ42" s="405"/>
      <c r="AK42" s="405"/>
      <c r="AL42" s="405"/>
      <c r="AM42" s="405"/>
      <c r="AN42" s="405"/>
      <c r="AO42" s="394"/>
      <c r="AP42" s="394"/>
      <c r="AQ42" s="394"/>
      <c r="AR42" s="394"/>
      <c r="AS42" s="394"/>
      <c r="AT42" s="394"/>
      <c r="AU42" s="394"/>
      <c r="AV42" s="394"/>
      <c r="AW42" s="394"/>
      <c r="AX42" s="394"/>
      <c r="AY42" s="394"/>
      <c r="AZ42" s="394"/>
      <c r="BA42" s="394"/>
      <c r="BB42" s="394"/>
      <c r="BC42" s="394"/>
      <c r="BD42" s="393"/>
      <c r="BE42" s="394"/>
      <c r="BF42" s="394"/>
      <c r="BG42" s="394"/>
      <c r="BH42" s="394"/>
      <c r="BI42" s="394"/>
      <c r="BJ42" s="394"/>
      <c r="BK42" s="397"/>
    </row>
    <row r="43" spans="1:63" s="91" customFormat="1" ht="15.75" customHeight="1">
      <c r="A43" s="392"/>
      <c r="B43" s="393"/>
      <c r="C43" s="394"/>
      <c r="D43" s="394"/>
      <c r="E43" s="394"/>
      <c r="F43" s="394"/>
      <c r="G43" s="394"/>
      <c r="H43" s="394"/>
      <c r="I43" s="395"/>
      <c r="J43" s="405"/>
      <c r="K43" s="405"/>
      <c r="L43" s="405" t="s">
        <v>488</v>
      </c>
      <c r="M43" s="405"/>
      <c r="N43" s="405"/>
      <c r="O43" s="405"/>
      <c r="P43" s="405"/>
      <c r="Q43" s="405"/>
      <c r="R43" s="405"/>
      <c r="S43" s="405"/>
      <c r="T43" s="405"/>
      <c r="U43" s="405"/>
      <c r="W43" s="405"/>
      <c r="X43" s="394"/>
      <c r="Y43" s="405"/>
      <c r="Z43" s="405"/>
      <c r="AA43" s="405"/>
      <c r="AB43" s="405"/>
      <c r="AC43" s="405"/>
      <c r="AD43" s="405"/>
      <c r="AE43" s="405"/>
      <c r="AF43" s="405"/>
      <c r="AG43" s="405"/>
      <c r="AH43" s="405"/>
      <c r="AI43" s="405"/>
      <c r="AJ43" s="405"/>
      <c r="AK43" s="405"/>
      <c r="AL43" s="405"/>
      <c r="AM43" s="405"/>
      <c r="AN43" s="405"/>
      <c r="AO43" s="394"/>
      <c r="AP43" s="394"/>
      <c r="AQ43" s="394"/>
      <c r="AR43" s="394"/>
      <c r="AS43" s="394"/>
      <c r="AT43" s="394"/>
      <c r="AU43" s="394"/>
      <c r="AV43" s="394"/>
      <c r="AW43" s="394"/>
      <c r="AX43" s="394"/>
      <c r="AY43" s="394"/>
      <c r="AZ43" s="394"/>
      <c r="BA43" s="394"/>
      <c r="BB43" s="394"/>
      <c r="BC43" s="394"/>
      <c r="BD43" s="393"/>
      <c r="BE43" s="394"/>
      <c r="BF43" s="394"/>
      <c r="BG43" s="394"/>
      <c r="BH43" s="394"/>
      <c r="BI43" s="394"/>
      <c r="BJ43" s="394"/>
      <c r="BK43" s="397"/>
    </row>
    <row r="44" spans="1:63" s="91" customFormat="1" ht="15.75" customHeight="1">
      <c r="A44" s="392"/>
      <c r="B44" s="393"/>
      <c r="C44" s="394"/>
      <c r="D44" s="394"/>
      <c r="E44" s="394"/>
      <c r="F44" s="394"/>
      <c r="G44" s="394"/>
      <c r="H44" s="394"/>
      <c r="I44" s="395"/>
      <c r="J44" s="405"/>
      <c r="K44" s="405"/>
      <c r="L44" s="405"/>
      <c r="N44" s="405" t="s">
        <v>503</v>
      </c>
      <c r="O44" s="394"/>
      <c r="P44" s="405"/>
      <c r="Q44" s="405"/>
      <c r="R44" s="405"/>
      <c r="S44" s="405"/>
      <c r="T44" s="405"/>
      <c r="U44" s="405"/>
      <c r="V44" s="405"/>
      <c r="W44" s="405"/>
      <c r="X44" s="394"/>
      <c r="Y44" s="405"/>
      <c r="AC44" s="410" t="s">
        <v>504</v>
      </c>
      <c r="AJ44" s="405"/>
      <c r="AK44" s="405"/>
      <c r="AL44" s="405"/>
      <c r="AM44" s="405"/>
      <c r="AN44" s="405"/>
      <c r="AO44" s="394"/>
      <c r="AP44" s="394"/>
      <c r="AQ44" s="394"/>
      <c r="AR44" s="394"/>
      <c r="AS44" s="394"/>
      <c r="AT44" s="394"/>
      <c r="AU44" s="394"/>
      <c r="AV44" s="394"/>
      <c r="AW44" s="394"/>
      <c r="AX44" s="394"/>
      <c r="AY44" s="394"/>
      <c r="AZ44" s="394"/>
      <c r="BA44" s="394"/>
      <c r="BB44" s="394"/>
      <c r="BC44" s="394"/>
      <c r="BD44" s="393" t="s">
        <v>505</v>
      </c>
      <c r="BE44" s="394"/>
      <c r="BF44" s="394"/>
      <c r="BG44" s="394"/>
      <c r="BH44" s="394"/>
      <c r="BI44" s="394"/>
      <c r="BJ44" s="394"/>
      <c r="BK44" s="397"/>
    </row>
    <row r="45" spans="1:63" s="91" customFormat="1" ht="15.75" customHeight="1">
      <c r="A45" s="392"/>
      <c r="B45" s="393"/>
      <c r="C45" s="394"/>
      <c r="D45" s="394"/>
      <c r="E45" s="394"/>
      <c r="F45" s="394"/>
      <c r="G45" s="394"/>
      <c r="H45" s="394"/>
      <c r="I45" s="395"/>
      <c r="J45" s="405"/>
      <c r="K45" s="405"/>
      <c r="L45" s="405"/>
      <c r="M45" s="405" t="s">
        <v>506</v>
      </c>
      <c r="N45" s="405"/>
      <c r="O45" s="394"/>
      <c r="P45" s="405"/>
      <c r="Q45" s="405"/>
      <c r="R45" s="405"/>
      <c r="S45" s="405"/>
      <c r="T45" s="405"/>
      <c r="U45" s="405"/>
      <c r="V45" s="405"/>
      <c r="W45" s="405"/>
      <c r="X45" s="405"/>
      <c r="Y45" s="405"/>
      <c r="AC45" s="410"/>
      <c r="AJ45" s="405"/>
      <c r="AK45" s="405"/>
      <c r="AL45" s="405"/>
      <c r="AM45" s="405"/>
      <c r="AN45" s="405"/>
      <c r="AO45" s="394"/>
      <c r="AP45" s="394"/>
      <c r="AQ45" s="394"/>
      <c r="AR45" s="394"/>
      <c r="AS45" s="394"/>
      <c r="AT45" s="394"/>
      <c r="AU45" s="394"/>
      <c r="AV45" s="394"/>
      <c r="AW45" s="394"/>
      <c r="AX45" s="394"/>
      <c r="AY45" s="394"/>
      <c r="AZ45" s="394"/>
      <c r="BA45" s="394"/>
      <c r="BB45" s="394"/>
      <c r="BC45" s="394"/>
      <c r="BD45" s="393"/>
      <c r="BE45" s="394"/>
      <c r="BF45" s="394"/>
      <c r="BG45" s="394"/>
      <c r="BH45" s="394"/>
      <c r="BI45" s="394"/>
      <c r="BJ45" s="394"/>
      <c r="BK45" s="397"/>
    </row>
    <row r="46" spans="1:63" s="91" customFormat="1" ht="15.75" customHeight="1">
      <c r="A46" s="392"/>
      <c r="B46" s="393"/>
      <c r="C46" s="394"/>
      <c r="D46" s="394"/>
      <c r="E46" s="394"/>
      <c r="F46" s="394"/>
      <c r="G46" s="394"/>
      <c r="H46" s="394"/>
      <c r="I46" s="395"/>
      <c r="J46" s="405"/>
      <c r="K46" s="405"/>
      <c r="L46" s="405"/>
      <c r="O46" s="394"/>
      <c r="P46" s="405"/>
      <c r="Q46" s="405"/>
      <c r="R46" s="405"/>
      <c r="S46" s="405"/>
      <c r="T46" s="405"/>
      <c r="U46" s="405"/>
      <c r="V46" s="405"/>
      <c r="W46" s="405"/>
      <c r="X46" s="394"/>
      <c r="Y46" s="405"/>
      <c r="AC46" s="409" t="s">
        <v>507</v>
      </c>
      <c r="AJ46" s="405"/>
      <c r="AK46" s="405"/>
      <c r="AL46" s="405"/>
      <c r="AM46" s="405"/>
      <c r="AN46" s="405"/>
      <c r="AO46" s="394"/>
      <c r="AP46" s="394"/>
      <c r="AQ46" s="394"/>
      <c r="AR46" s="394"/>
      <c r="AS46" s="394"/>
      <c r="AT46" s="394"/>
      <c r="AU46" s="394"/>
      <c r="AV46" s="394"/>
      <c r="AW46" s="394"/>
      <c r="AX46" s="394"/>
      <c r="AY46" s="394"/>
      <c r="AZ46" s="394"/>
      <c r="BA46" s="394"/>
      <c r="BB46" s="394"/>
      <c r="BC46" s="394"/>
      <c r="BD46" s="393" t="s">
        <v>508</v>
      </c>
      <c r="BE46" s="394"/>
      <c r="BF46" s="394"/>
      <c r="BG46" s="394"/>
      <c r="BH46" s="394"/>
      <c r="BI46" s="394"/>
      <c r="BJ46" s="394"/>
      <c r="BK46" s="397"/>
    </row>
    <row r="47" spans="1:63" s="91" customFormat="1" ht="15.75" customHeight="1">
      <c r="A47" s="392"/>
      <c r="B47" s="393"/>
      <c r="C47" s="394"/>
      <c r="D47" s="394"/>
      <c r="E47" s="394"/>
      <c r="F47" s="394"/>
      <c r="G47" s="394"/>
      <c r="H47" s="394"/>
      <c r="I47" s="395"/>
      <c r="J47" s="405"/>
      <c r="K47" s="405"/>
      <c r="L47" s="405"/>
      <c r="M47" s="405"/>
      <c r="N47" s="405"/>
      <c r="O47" s="405"/>
      <c r="P47" s="405"/>
      <c r="Q47" s="405"/>
      <c r="R47" s="405"/>
      <c r="S47" s="405"/>
      <c r="T47" s="405"/>
      <c r="U47" s="405"/>
      <c r="V47" s="405"/>
      <c r="W47" s="405"/>
      <c r="X47" s="394"/>
      <c r="Y47" s="405"/>
      <c r="Z47" s="405"/>
      <c r="AA47" s="405"/>
      <c r="AB47" s="405"/>
      <c r="AC47" s="405"/>
      <c r="AD47" s="405"/>
      <c r="AE47" s="405"/>
      <c r="AF47" s="405"/>
      <c r="AG47" s="394"/>
      <c r="AH47" s="405"/>
      <c r="AI47" s="410"/>
      <c r="AJ47" s="405"/>
      <c r="AK47" s="405"/>
      <c r="AL47" s="405"/>
      <c r="AM47" s="405"/>
      <c r="AN47" s="405"/>
      <c r="AO47" s="394"/>
      <c r="AP47" s="394"/>
      <c r="AQ47" s="394"/>
      <c r="AR47" s="394"/>
      <c r="AS47" s="394"/>
      <c r="AT47" s="394"/>
      <c r="AU47" s="394"/>
      <c r="AV47" s="394"/>
      <c r="AW47" s="394"/>
      <c r="AX47" s="394"/>
      <c r="AY47" s="394"/>
      <c r="AZ47" s="394"/>
      <c r="BA47" s="394"/>
      <c r="BB47" s="394"/>
      <c r="BC47" s="394"/>
      <c r="BD47" s="393"/>
      <c r="BE47" s="394"/>
      <c r="BF47" s="394"/>
      <c r="BG47" s="394"/>
      <c r="BH47" s="394"/>
      <c r="BI47" s="394"/>
      <c r="BJ47" s="394"/>
      <c r="BK47" s="397"/>
    </row>
    <row r="48" spans="1:63" s="91" customFormat="1" ht="15.75" customHeight="1">
      <c r="A48" s="392"/>
      <c r="B48" s="393"/>
      <c r="C48" s="394"/>
      <c r="D48" s="394"/>
      <c r="E48" s="394"/>
      <c r="F48" s="394"/>
      <c r="G48" s="394"/>
      <c r="H48" s="394"/>
      <c r="I48" s="395"/>
      <c r="J48" s="404" t="s">
        <v>509</v>
      </c>
      <c r="K48" s="405"/>
      <c r="L48" s="405"/>
      <c r="M48" s="405"/>
      <c r="N48" s="405"/>
      <c r="O48" s="405"/>
      <c r="P48" s="405"/>
      <c r="Q48" s="405"/>
      <c r="R48" s="405"/>
      <c r="S48" s="405"/>
      <c r="T48" s="405"/>
      <c r="U48" s="405"/>
      <c r="V48" s="405"/>
      <c r="W48" s="405"/>
      <c r="X48" s="405"/>
      <c r="Y48" s="405"/>
      <c r="Z48" s="405"/>
      <c r="AA48" s="405"/>
      <c r="AB48" s="405"/>
      <c r="AC48" s="405"/>
      <c r="AD48" s="405"/>
      <c r="AE48" s="405"/>
      <c r="AF48" s="405"/>
      <c r="AG48" s="405"/>
      <c r="AH48" s="405"/>
      <c r="AI48" s="405"/>
      <c r="AJ48" s="405"/>
      <c r="AK48" s="405"/>
      <c r="AL48" s="405"/>
      <c r="AM48" s="405"/>
      <c r="AN48" s="405"/>
      <c r="AO48" s="394"/>
      <c r="AP48" s="394"/>
      <c r="AQ48" s="394"/>
      <c r="AR48" s="394"/>
      <c r="AS48" s="394"/>
      <c r="AT48" s="394"/>
      <c r="AU48" s="394"/>
      <c r="AV48" s="394"/>
      <c r="AW48" s="394"/>
      <c r="AX48" s="394"/>
      <c r="AY48" s="394"/>
      <c r="AZ48" s="394"/>
      <c r="BA48" s="394"/>
      <c r="BB48" s="394"/>
      <c r="BC48" s="394"/>
      <c r="BD48" s="393"/>
      <c r="BE48" s="394"/>
      <c r="BF48" s="394"/>
      <c r="BG48" s="394"/>
      <c r="BH48" s="394"/>
      <c r="BI48" s="394"/>
      <c r="BJ48" s="394"/>
      <c r="BK48" s="397"/>
    </row>
    <row r="49" spans="1:63" s="91" customFormat="1" ht="15.75" customHeight="1">
      <c r="A49" s="392"/>
      <c r="B49" s="393"/>
      <c r="C49" s="394"/>
      <c r="D49" s="394"/>
      <c r="E49" s="394"/>
      <c r="F49" s="394"/>
      <c r="G49" s="394"/>
      <c r="H49" s="394"/>
      <c r="I49" s="395"/>
      <c r="J49" s="405"/>
      <c r="K49" s="405"/>
      <c r="L49" s="405" t="s">
        <v>510</v>
      </c>
      <c r="M49" s="405"/>
      <c r="N49" s="405"/>
      <c r="O49" s="405"/>
      <c r="P49" s="405"/>
      <c r="Q49" s="405"/>
      <c r="R49" s="405"/>
      <c r="S49" s="405"/>
      <c r="T49" s="405"/>
      <c r="U49" s="405"/>
      <c r="V49" s="405"/>
      <c r="W49" s="405"/>
      <c r="X49" s="405"/>
      <c r="Y49" s="405"/>
      <c r="Z49" s="405"/>
      <c r="AA49" s="405"/>
      <c r="AB49" s="405"/>
      <c r="AC49" s="405"/>
      <c r="AD49" s="405"/>
      <c r="AE49" s="405"/>
      <c r="AF49" s="405"/>
      <c r="AG49" s="405"/>
      <c r="AH49" s="405"/>
      <c r="AI49" s="405"/>
      <c r="AJ49" s="405"/>
      <c r="AK49" s="405"/>
      <c r="AL49" s="405"/>
      <c r="AM49" s="405"/>
      <c r="AN49" s="405"/>
      <c r="AO49" s="394"/>
      <c r="AP49" s="394"/>
      <c r="AQ49" s="394"/>
      <c r="AR49" s="394"/>
      <c r="AS49" s="394"/>
      <c r="AT49" s="394"/>
      <c r="AU49" s="394"/>
      <c r="AV49" s="394"/>
      <c r="AW49" s="394"/>
      <c r="AX49" s="394"/>
      <c r="AY49" s="394"/>
      <c r="AZ49" s="394"/>
      <c r="BA49" s="394"/>
      <c r="BB49" s="394"/>
      <c r="BC49" s="394"/>
      <c r="BD49" s="393" t="s">
        <v>511</v>
      </c>
      <c r="BE49" s="394"/>
      <c r="BF49" s="394"/>
      <c r="BG49" s="394"/>
      <c r="BH49" s="394"/>
      <c r="BI49" s="394"/>
      <c r="BJ49" s="394"/>
      <c r="BK49" s="397"/>
    </row>
    <row r="50" spans="1:63" s="91" customFormat="1" ht="15.75" customHeight="1">
      <c r="A50" s="392"/>
      <c r="B50" s="393"/>
      <c r="C50" s="394"/>
      <c r="D50" s="394"/>
      <c r="E50" s="394"/>
      <c r="F50" s="394"/>
      <c r="G50" s="394"/>
      <c r="H50" s="394"/>
      <c r="I50" s="395"/>
      <c r="J50" s="405"/>
      <c r="K50" s="405"/>
      <c r="L50" s="405"/>
      <c r="M50" s="405" t="s">
        <v>512</v>
      </c>
      <c r="N50" s="405"/>
      <c r="O50" s="405"/>
      <c r="P50" s="405"/>
      <c r="Q50" s="405"/>
      <c r="R50" s="405"/>
      <c r="S50" s="405"/>
      <c r="T50" s="405"/>
      <c r="U50" s="405"/>
      <c r="V50" s="405"/>
      <c r="W50" s="405"/>
      <c r="X50" s="394"/>
      <c r="Y50" s="405"/>
      <c r="Z50" s="405"/>
      <c r="AA50" s="405"/>
      <c r="AB50" s="405"/>
      <c r="AC50" s="405"/>
      <c r="AD50" s="405"/>
      <c r="AE50" s="405"/>
      <c r="AF50" s="405"/>
      <c r="AG50" s="405"/>
      <c r="AH50" s="405"/>
      <c r="AI50" s="405"/>
      <c r="AJ50" s="405"/>
      <c r="AK50" s="405"/>
      <c r="AL50" s="405"/>
      <c r="AM50" s="405"/>
      <c r="AN50" s="405"/>
      <c r="AO50" s="394"/>
      <c r="AP50" s="394"/>
      <c r="AQ50" s="394"/>
      <c r="AR50" s="394"/>
      <c r="AS50" s="394"/>
      <c r="AT50" s="394"/>
      <c r="AU50" s="394"/>
      <c r="AV50" s="394"/>
      <c r="AW50" s="394"/>
      <c r="AX50" s="394"/>
      <c r="AY50" s="394"/>
      <c r="AZ50" s="394"/>
      <c r="BA50" s="394"/>
      <c r="BB50" s="394"/>
      <c r="BC50" s="394"/>
      <c r="BD50" s="393" t="s">
        <v>513</v>
      </c>
      <c r="BE50" s="394"/>
      <c r="BF50" s="394"/>
      <c r="BG50" s="394"/>
      <c r="BH50" s="394"/>
      <c r="BI50" s="394"/>
      <c r="BJ50" s="394"/>
      <c r="BK50" s="397"/>
    </row>
    <row r="51" spans="1:63" s="91" customFormat="1" ht="15.75" customHeight="1">
      <c r="A51" s="392"/>
      <c r="B51" s="393"/>
      <c r="C51" s="394"/>
      <c r="D51" s="394"/>
      <c r="E51" s="394"/>
      <c r="F51" s="394"/>
      <c r="G51" s="394"/>
      <c r="H51" s="394"/>
      <c r="I51" s="395"/>
      <c r="J51" s="405"/>
      <c r="K51" s="405"/>
      <c r="L51" s="405" t="s">
        <v>514</v>
      </c>
      <c r="M51" s="405"/>
      <c r="N51" s="405"/>
      <c r="O51" s="405"/>
      <c r="P51" s="405"/>
      <c r="Q51" s="405"/>
      <c r="R51" s="405"/>
      <c r="S51" s="405"/>
      <c r="T51" s="405"/>
      <c r="U51" s="405"/>
      <c r="V51" s="405"/>
      <c r="W51" s="405"/>
      <c r="X51" s="394"/>
      <c r="Y51" s="405"/>
      <c r="Z51" s="405"/>
      <c r="AA51" s="405"/>
      <c r="AB51" s="405"/>
      <c r="AC51" s="405"/>
      <c r="AD51" s="405"/>
      <c r="AE51" s="405"/>
      <c r="AF51" s="405"/>
      <c r="AG51" s="405"/>
      <c r="AH51" s="405"/>
      <c r="AI51" s="405"/>
      <c r="AJ51" s="405"/>
      <c r="AK51" s="405"/>
      <c r="AL51" s="405"/>
      <c r="AM51" s="405"/>
      <c r="AN51" s="405"/>
      <c r="AO51" s="394"/>
      <c r="AP51" s="394"/>
      <c r="AQ51" s="394"/>
      <c r="AR51" s="394"/>
      <c r="AS51" s="394"/>
      <c r="AT51" s="394"/>
      <c r="AU51" s="394"/>
      <c r="AV51" s="394"/>
      <c r="AW51" s="394"/>
      <c r="AX51" s="394"/>
      <c r="AY51" s="394"/>
      <c r="AZ51" s="394"/>
      <c r="BA51" s="394"/>
      <c r="BB51" s="394"/>
      <c r="BC51" s="394"/>
      <c r="BD51" s="393"/>
      <c r="BE51" s="394"/>
      <c r="BF51" s="394"/>
      <c r="BG51" s="394"/>
      <c r="BH51" s="394"/>
      <c r="BI51" s="394"/>
      <c r="BJ51" s="394"/>
      <c r="BK51" s="397"/>
    </row>
    <row r="52" spans="1:63" s="91" customFormat="1" ht="15.75" customHeight="1">
      <c r="A52" s="392"/>
      <c r="B52" s="393"/>
      <c r="C52" s="394"/>
      <c r="D52" s="394"/>
      <c r="E52" s="394"/>
      <c r="F52" s="394"/>
      <c r="G52" s="394"/>
      <c r="H52" s="394"/>
      <c r="I52" s="395"/>
      <c r="J52" s="405"/>
      <c r="K52" s="405"/>
      <c r="L52" s="394"/>
      <c r="M52" s="405" t="s">
        <v>515</v>
      </c>
      <c r="N52" s="405"/>
      <c r="O52" s="405"/>
      <c r="P52" s="405"/>
      <c r="Q52" s="405"/>
      <c r="R52" s="405"/>
      <c r="S52" s="405"/>
      <c r="T52" s="405"/>
      <c r="U52" s="405"/>
      <c r="V52" s="405"/>
      <c r="W52" s="405"/>
      <c r="X52" s="394"/>
      <c r="Y52" s="405"/>
      <c r="Z52" s="405"/>
      <c r="AA52" s="405"/>
      <c r="AB52" s="405"/>
      <c r="AC52" s="405"/>
      <c r="AD52" s="405"/>
      <c r="AE52" s="405"/>
      <c r="AF52" s="405"/>
      <c r="AG52" s="405"/>
      <c r="AH52" s="405"/>
      <c r="AI52" s="405"/>
      <c r="AJ52" s="405"/>
      <c r="AK52" s="405"/>
      <c r="AL52" s="405"/>
      <c r="AM52" s="405"/>
      <c r="AN52" s="405"/>
      <c r="AO52" s="394"/>
      <c r="AP52" s="394"/>
      <c r="AQ52" s="394"/>
      <c r="AR52" s="394"/>
      <c r="AS52" s="394"/>
      <c r="AT52" s="394"/>
      <c r="AU52" s="394"/>
      <c r="AV52" s="394"/>
      <c r="AW52" s="394"/>
      <c r="AX52" s="394"/>
      <c r="AY52" s="394"/>
      <c r="AZ52" s="394"/>
      <c r="BA52" s="394"/>
      <c r="BB52" s="394"/>
      <c r="BC52" s="394"/>
      <c r="BD52" s="393"/>
      <c r="BE52" s="394"/>
      <c r="BF52" s="394"/>
      <c r="BG52" s="394"/>
      <c r="BH52" s="394"/>
      <c r="BI52" s="394"/>
      <c r="BJ52" s="394"/>
      <c r="BK52" s="397"/>
    </row>
    <row r="53" spans="1:63" s="91" customFormat="1" ht="15.75" customHeight="1">
      <c r="A53" s="392"/>
      <c r="B53" s="393"/>
      <c r="C53" s="394"/>
      <c r="D53" s="394"/>
      <c r="E53" s="394"/>
      <c r="F53" s="394"/>
      <c r="G53" s="394"/>
      <c r="H53" s="394"/>
      <c r="I53" s="395"/>
      <c r="J53" s="405"/>
      <c r="K53" s="405"/>
      <c r="L53" s="394"/>
      <c r="M53" s="405" t="s">
        <v>516</v>
      </c>
      <c r="N53" s="405"/>
      <c r="O53" s="405"/>
      <c r="P53" s="405"/>
      <c r="Q53" s="405"/>
      <c r="R53" s="405"/>
      <c r="S53" s="405"/>
      <c r="T53" s="405"/>
      <c r="U53" s="405"/>
      <c r="V53" s="405"/>
      <c r="W53" s="405"/>
      <c r="X53" s="394"/>
      <c r="Y53" s="405"/>
      <c r="Z53" s="405"/>
      <c r="AA53" s="405"/>
      <c r="AB53" s="405"/>
      <c r="AC53" s="405"/>
      <c r="AD53" s="405"/>
      <c r="AE53" s="405"/>
      <c r="AF53" s="405"/>
      <c r="AG53" s="405"/>
      <c r="AH53" s="405"/>
      <c r="AI53" s="405"/>
      <c r="AJ53" s="405"/>
      <c r="AK53" s="405"/>
      <c r="AL53" s="405"/>
      <c r="AM53" s="405"/>
      <c r="AN53" s="405"/>
      <c r="AO53" s="394"/>
      <c r="AP53" s="394"/>
      <c r="AQ53" s="394"/>
      <c r="AR53" s="394"/>
      <c r="AS53" s="394"/>
      <c r="AT53" s="394"/>
      <c r="AU53" s="394"/>
      <c r="AV53" s="394"/>
      <c r="AW53" s="394"/>
      <c r="AX53" s="394"/>
      <c r="AY53" s="394"/>
      <c r="AZ53" s="394"/>
      <c r="BA53" s="394"/>
      <c r="BB53" s="394"/>
      <c r="BC53" s="394"/>
      <c r="BD53" s="393"/>
      <c r="BE53" s="394"/>
      <c r="BF53" s="394"/>
      <c r="BG53" s="394"/>
      <c r="BH53" s="394"/>
      <c r="BI53" s="394"/>
      <c r="BJ53" s="394"/>
      <c r="BK53" s="397"/>
    </row>
    <row r="54" spans="1:63" s="91" customFormat="1" ht="15.75" customHeight="1">
      <c r="A54" s="392"/>
      <c r="B54" s="393"/>
      <c r="C54" s="394"/>
      <c r="D54" s="394"/>
      <c r="E54" s="394"/>
      <c r="F54" s="394"/>
      <c r="G54" s="394"/>
      <c r="H54" s="394"/>
      <c r="I54" s="395"/>
      <c r="J54" s="405"/>
      <c r="K54" s="405"/>
      <c r="L54" s="405"/>
      <c r="M54" s="411" t="s">
        <v>517</v>
      </c>
      <c r="N54" s="405"/>
      <c r="O54" s="405"/>
      <c r="P54" s="405"/>
      <c r="Q54" s="405"/>
      <c r="R54" s="405"/>
      <c r="S54" s="405"/>
      <c r="T54" s="405"/>
      <c r="U54" s="405"/>
      <c r="V54" s="405"/>
      <c r="W54" s="405"/>
      <c r="X54" s="405"/>
      <c r="Y54" s="405"/>
      <c r="Z54" s="405"/>
      <c r="AA54" s="405"/>
      <c r="AB54" s="405"/>
      <c r="AC54" s="405"/>
      <c r="AD54" s="405"/>
      <c r="AE54" s="405"/>
      <c r="AF54" s="405"/>
      <c r="AG54" s="405"/>
      <c r="AH54" s="405"/>
      <c r="AI54" s="405"/>
      <c r="AJ54" s="405"/>
      <c r="AK54" s="405"/>
      <c r="AL54" s="405"/>
      <c r="AM54" s="405"/>
      <c r="AN54" s="405"/>
      <c r="AO54" s="394"/>
      <c r="AP54" s="394"/>
      <c r="AQ54" s="394"/>
      <c r="AR54" s="394"/>
      <c r="AS54" s="394"/>
      <c r="AT54" s="394"/>
      <c r="AU54" s="394"/>
      <c r="AV54" s="394"/>
      <c r="AW54" s="394"/>
      <c r="AX54" s="394"/>
      <c r="AY54" s="394"/>
      <c r="AZ54" s="394"/>
      <c r="BA54" s="394"/>
      <c r="BB54" s="394"/>
      <c r="BC54" s="394"/>
      <c r="BD54" s="393"/>
      <c r="BE54" s="394"/>
      <c r="BF54" s="394"/>
      <c r="BG54" s="394"/>
      <c r="BH54" s="394"/>
      <c r="BI54" s="394"/>
      <c r="BJ54" s="394"/>
      <c r="BK54" s="397"/>
    </row>
    <row r="55" spans="1:63" s="91" customFormat="1" ht="15.75" customHeight="1">
      <c r="A55" s="392"/>
      <c r="B55" s="393"/>
      <c r="C55" s="394"/>
      <c r="D55" s="394"/>
      <c r="E55" s="394"/>
      <c r="F55" s="394"/>
      <c r="G55" s="394"/>
      <c r="H55" s="394"/>
      <c r="I55" s="395"/>
      <c r="J55" s="405"/>
      <c r="K55" s="405"/>
      <c r="L55" s="411" t="s">
        <v>518</v>
      </c>
      <c r="M55" s="405"/>
      <c r="N55" s="405"/>
      <c r="O55" s="405"/>
      <c r="P55" s="405"/>
      <c r="Q55" s="405"/>
      <c r="R55" s="405"/>
      <c r="S55" s="405"/>
      <c r="T55" s="405"/>
      <c r="V55" s="405"/>
      <c r="W55" s="405"/>
      <c r="X55" s="394"/>
      <c r="Y55" s="405"/>
      <c r="Z55" s="405"/>
      <c r="AA55" s="405"/>
      <c r="AB55" s="405"/>
      <c r="AC55" s="405"/>
      <c r="AD55" s="405"/>
      <c r="AE55" s="405"/>
      <c r="AF55" s="405"/>
      <c r="AG55" s="405"/>
      <c r="AH55" s="405"/>
      <c r="AI55" s="405"/>
      <c r="AJ55" s="405"/>
      <c r="AK55" s="405"/>
      <c r="AL55" s="405"/>
      <c r="AM55" s="405"/>
      <c r="AN55" s="405"/>
      <c r="AO55" s="394"/>
      <c r="AP55" s="394"/>
      <c r="AQ55" s="394"/>
      <c r="AR55" s="394"/>
      <c r="AS55" s="394"/>
      <c r="AT55" s="394"/>
      <c r="AU55" s="394"/>
      <c r="AV55" s="394"/>
      <c r="AW55" s="394"/>
      <c r="AX55" s="394"/>
      <c r="AY55" s="394"/>
      <c r="AZ55" s="394"/>
      <c r="BA55" s="394"/>
      <c r="BB55" s="394"/>
      <c r="BC55" s="394"/>
      <c r="BD55" s="393"/>
      <c r="BE55" s="394"/>
      <c r="BF55" s="394"/>
      <c r="BG55" s="394"/>
      <c r="BH55" s="394"/>
      <c r="BI55" s="394"/>
      <c r="BJ55" s="394"/>
      <c r="BK55" s="397"/>
    </row>
    <row r="56" spans="1:63" ht="15.75" customHeight="1">
      <c r="A56" s="406"/>
      <c r="B56" s="399"/>
      <c r="C56" s="407"/>
      <c r="D56" s="407"/>
      <c r="E56" s="407"/>
      <c r="F56" s="407"/>
      <c r="G56" s="407"/>
      <c r="H56" s="407"/>
      <c r="I56" s="408"/>
      <c r="J56" s="407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  <c r="AA56" s="407"/>
      <c r="AB56" s="407"/>
      <c r="AC56" s="407"/>
      <c r="AD56" s="407"/>
      <c r="AE56" s="407"/>
      <c r="AF56" s="407"/>
      <c r="AG56" s="407"/>
      <c r="AH56" s="407"/>
      <c r="AI56" s="407"/>
      <c r="AJ56" s="407"/>
      <c r="AK56" s="407"/>
      <c r="AL56" s="407"/>
      <c r="AM56" s="407"/>
      <c r="AN56" s="407"/>
      <c r="AO56" s="407"/>
      <c r="AP56" s="407"/>
      <c r="AQ56" s="407"/>
      <c r="AR56" s="407"/>
      <c r="AS56" s="407"/>
      <c r="AT56" s="407"/>
      <c r="AU56" s="407"/>
      <c r="AV56" s="407"/>
      <c r="AW56" s="407"/>
      <c r="AX56" s="407"/>
      <c r="AY56" s="407"/>
      <c r="AZ56" s="407"/>
      <c r="BA56" s="407"/>
      <c r="BB56" s="407"/>
      <c r="BC56" s="407"/>
      <c r="BD56" s="399"/>
      <c r="BE56" s="407"/>
      <c r="BF56" s="407"/>
      <c r="BG56" s="407"/>
      <c r="BH56" s="407"/>
      <c r="BI56" s="407"/>
      <c r="BJ56" s="407"/>
      <c r="BK56" s="407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9"/>
  <pageMargins left="0.51181102362204722" right="0.74803149606299213" top="0.70866141732283472" bottom="0.43307086614173229" header="0.51181102362204722" footer="0.19685039370078741"/>
  <pageSetup paperSize="9" scale="70" fitToHeight="0" orientation="landscape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3E9A-6AB6-4DDF-827D-D3FC41E36BB8}">
  <sheetPr>
    <tabColor rgb="FFFFFF00"/>
    <pageSetUpPr fitToPage="1"/>
  </sheetPr>
  <dimension ref="A1:CW162"/>
  <sheetViews>
    <sheetView showGridLines="0" showZeros="0" tabSelected="1" view="pageBreakPreview" zoomScale="130" zoomScaleNormal="100" zoomScaleSheetLayoutView="130" workbookViewId="0">
      <selection sqref="A1:J3"/>
    </sheetView>
  </sheetViews>
  <sheetFormatPr defaultColWidth="2.125" defaultRowHeight="15.75" customHeight="1"/>
  <cols>
    <col min="1" max="1" width="2.125" style="101" customWidth="1"/>
    <col min="2" max="2" width="2.125" style="76" customWidth="1"/>
    <col min="3" max="3" width="2.375" style="76" customWidth="1"/>
    <col min="4" max="4" width="2.125" style="76" customWidth="1"/>
    <col min="5" max="5" width="3" style="76" customWidth="1"/>
    <col min="6" max="29" width="2.125" style="76" customWidth="1"/>
    <col min="30" max="30" width="3" style="76" customWidth="1"/>
    <col min="31" max="31" width="2.625" style="76" customWidth="1"/>
    <col min="32" max="59" width="2.125" style="76" customWidth="1"/>
    <col min="60" max="60" width="2.75" style="76" customWidth="1"/>
    <col min="61" max="62" width="2.125" style="76" customWidth="1"/>
    <col min="63" max="63" width="2.25" style="76" customWidth="1"/>
    <col min="64" max="16384" width="2.125" style="76"/>
  </cols>
  <sheetData>
    <row r="1" spans="1:64" s="73" customFormat="1" ht="15.75" customHeight="1">
      <c r="A1" s="963" t="str">
        <f>表紙!A54</f>
        <v>Webシステム</v>
      </c>
      <c r="B1" s="964"/>
      <c r="C1" s="964"/>
      <c r="D1" s="964"/>
      <c r="E1" s="964"/>
      <c r="F1" s="964"/>
      <c r="G1" s="964"/>
      <c r="H1" s="964"/>
      <c r="I1" s="964"/>
      <c r="J1" s="965"/>
      <c r="K1" s="988" t="s">
        <v>152</v>
      </c>
      <c r="L1" s="989"/>
      <c r="M1" s="989"/>
      <c r="N1" s="989"/>
      <c r="O1" s="989"/>
      <c r="P1" s="989"/>
      <c r="Q1" s="989"/>
      <c r="R1" s="989"/>
      <c r="S1" s="989"/>
      <c r="T1" s="990"/>
      <c r="U1" s="991" t="s">
        <v>153</v>
      </c>
      <c r="V1" s="992"/>
      <c r="W1" s="992"/>
      <c r="X1" s="992"/>
      <c r="Y1" s="993"/>
      <c r="Z1" s="994" t="str">
        <f>表紙!$AJ$63</f>
        <v>MS</v>
      </c>
      <c r="AA1" s="995"/>
      <c r="AB1" s="995"/>
      <c r="AC1" s="995"/>
      <c r="AD1" s="996"/>
      <c r="AE1" s="997" t="s">
        <v>154</v>
      </c>
      <c r="AF1" s="974"/>
      <c r="AG1" s="974"/>
      <c r="AH1" s="974"/>
      <c r="AI1" s="975"/>
      <c r="AJ1" s="998" t="str">
        <f>表紙!$AX$63</f>
        <v>Webシステム</v>
      </c>
      <c r="AK1" s="999"/>
      <c r="AL1" s="999"/>
      <c r="AM1" s="999"/>
      <c r="AN1" s="999"/>
      <c r="AO1" s="999"/>
      <c r="AP1" s="999"/>
      <c r="AQ1" s="999"/>
      <c r="AR1" s="1000"/>
      <c r="AS1" s="972" t="s">
        <v>101</v>
      </c>
      <c r="AT1" s="972"/>
      <c r="AU1" s="972"/>
      <c r="AV1" s="972"/>
      <c r="AW1" s="972"/>
      <c r="AX1" s="972"/>
      <c r="AY1" s="972"/>
      <c r="AZ1" s="973" t="s">
        <v>124</v>
      </c>
      <c r="BA1" s="974"/>
      <c r="BB1" s="974"/>
      <c r="BC1" s="974"/>
      <c r="BD1" s="974"/>
      <c r="BE1" s="975"/>
      <c r="BF1" s="973" t="s">
        <v>155</v>
      </c>
      <c r="BG1" s="974"/>
      <c r="BH1" s="974"/>
      <c r="BI1" s="974"/>
      <c r="BJ1" s="974"/>
      <c r="BK1" s="976"/>
    </row>
    <row r="2" spans="1:64" s="73" customFormat="1" ht="15.75" customHeight="1">
      <c r="A2" s="966"/>
      <c r="B2" s="967"/>
      <c r="C2" s="967"/>
      <c r="D2" s="967"/>
      <c r="E2" s="967"/>
      <c r="F2" s="967"/>
      <c r="G2" s="967"/>
      <c r="H2" s="967"/>
      <c r="I2" s="967"/>
      <c r="J2" s="968"/>
      <c r="K2" s="977" t="str">
        <f>表紙!O64</f>
        <v>アドオン設計書</v>
      </c>
      <c r="L2" s="944"/>
      <c r="M2" s="944"/>
      <c r="N2" s="944"/>
      <c r="O2" s="944"/>
      <c r="P2" s="944"/>
      <c r="Q2" s="944"/>
      <c r="R2" s="944"/>
      <c r="S2" s="944"/>
      <c r="T2" s="978"/>
      <c r="U2" s="979" t="s">
        <v>156</v>
      </c>
      <c r="V2" s="980"/>
      <c r="W2" s="980"/>
      <c r="X2" s="980"/>
      <c r="Y2" s="981"/>
      <c r="Z2" s="982" t="str">
        <f>表紙!$AJ$64</f>
        <v>MSBB</v>
      </c>
      <c r="AA2" s="983"/>
      <c r="AB2" s="983"/>
      <c r="AC2" s="983"/>
      <c r="AD2" s="984"/>
      <c r="AE2" s="985" t="s">
        <v>157</v>
      </c>
      <c r="AF2" s="986"/>
      <c r="AG2" s="986"/>
      <c r="AH2" s="986"/>
      <c r="AI2" s="987"/>
      <c r="AJ2" s="1002" t="str">
        <f>表紙!$AX$64</f>
        <v>Web販売管理</v>
      </c>
      <c r="AK2" s="1003"/>
      <c r="AL2" s="1003"/>
      <c r="AM2" s="1003"/>
      <c r="AN2" s="1003"/>
      <c r="AO2" s="1003"/>
      <c r="AP2" s="1003"/>
      <c r="AQ2" s="1003"/>
      <c r="AR2" s="1004"/>
      <c r="AS2" s="1005" t="str">
        <f>表紙!$BL$64</f>
        <v>M7-US-1140</v>
      </c>
      <c r="AT2" s="1006"/>
      <c r="AU2" s="1006"/>
      <c r="AV2" s="1006"/>
      <c r="AW2" s="1006"/>
      <c r="AX2" s="1006"/>
      <c r="AY2" s="1006"/>
      <c r="AZ2" s="1008" t="str">
        <f>表紙!$BU$64</f>
        <v>7.0.2</v>
      </c>
      <c r="BA2" s="944"/>
      <c r="BB2" s="944"/>
      <c r="BC2" s="944"/>
      <c r="BD2" s="944"/>
      <c r="BE2" s="978"/>
      <c r="BF2" s="943">
        <f>表紙!$CB$64</f>
        <v>1</v>
      </c>
      <c r="BG2" s="944"/>
      <c r="BH2" s="944"/>
      <c r="BI2" s="944"/>
      <c r="BJ2" s="944"/>
      <c r="BK2" s="945"/>
    </row>
    <row r="3" spans="1:64" s="73" customFormat="1" ht="15.75" customHeight="1" thickBot="1">
      <c r="A3" s="969"/>
      <c r="B3" s="970"/>
      <c r="C3" s="970"/>
      <c r="D3" s="970"/>
      <c r="E3" s="970"/>
      <c r="F3" s="970"/>
      <c r="G3" s="970"/>
      <c r="H3" s="970"/>
      <c r="I3" s="970"/>
      <c r="J3" s="971"/>
      <c r="K3" s="949" t="str">
        <f ca="1">RIGHT(CELL("filename",$A$1),LEN(CELL("filename",$A$1))-FIND("]",CELL("filename",$A$1)))</f>
        <v>処理詳細</v>
      </c>
      <c r="L3" s="950"/>
      <c r="M3" s="950"/>
      <c r="N3" s="950"/>
      <c r="O3" s="950"/>
      <c r="P3" s="950"/>
      <c r="Q3" s="950"/>
      <c r="R3" s="950"/>
      <c r="S3" s="950"/>
      <c r="T3" s="951"/>
      <c r="U3" s="952" t="s">
        <v>158</v>
      </c>
      <c r="V3" s="953"/>
      <c r="W3" s="953"/>
      <c r="X3" s="953"/>
      <c r="Y3" s="954"/>
      <c r="Z3" s="955" t="str">
        <f>表紙!$AJ$65</f>
        <v>MSBBPA100</v>
      </c>
      <c r="AA3" s="956"/>
      <c r="AB3" s="956"/>
      <c r="AC3" s="956"/>
      <c r="AD3" s="956"/>
      <c r="AE3" s="957" t="str">
        <f>表紙!$AQ$65</f>
        <v>WebFSC製品化チェックシート出力</v>
      </c>
      <c r="AF3" s="958"/>
      <c r="AG3" s="958"/>
      <c r="AH3" s="958"/>
      <c r="AI3" s="958"/>
      <c r="AJ3" s="958"/>
      <c r="AK3" s="958"/>
      <c r="AL3" s="958"/>
      <c r="AM3" s="958"/>
      <c r="AN3" s="958"/>
      <c r="AO3" s="958"/>
      <c r="AP3" s="958"/>
      <c r="AQ3" s="958"/>
      <c r="AR3" s="959"/>
      <c r="AS3" s="1007"/>
      <c r="AT3" s="1007"/>
      <c r="AU3" s="1007"/>
      <c r="AV3" s="1007"/>
      <c r="AW3" s="1007"/>
      <c r="AX3" s="1007"/>
      <c r="AY3" s="1007"/>
      <c r="AZ3" s="946"/>
      <c r="BA3" s="947"/>
      <c r="BB3" s="947"/>
      <c r="BC3" s="947"/>
      <c r="BD3" s="947"/>
      <c r="BE3" s="1009"/>
      <c r="BF3" s="946"/>
      <c r="BG3" s="947"/>
      <c r="BH3" s="947"/>
      <c r="BI3" s="947"/>
      <c r="BJ3" s="947"/>
      <c r="BK3" s="948"/>
    </row>
    <row r="4" spans="1:64" s="73" customFormat="1" ht="6.75" customHeight="1" thickBot="1">
      <c r="B4" s="69"/>
      <c r="C4" s="70"/>
      <c r="D4" s="70"/>
      <c r="E4" s="70"/>
      <c r="F4" s="71"/>
      <c r="G4" s="71"/>
      <c r="H4" s="71"/>
      <c r="I4" s="71"/>
      <c r="J4" s="70"/>
      <c r="K4" s="71"/>
      <c r="L4" s="71"/>
      <c r="M4" s="71"/>
      <c r="N4" s="71"/>
      <c r="O4" s="71"/>
      <c r="P4" s="71"/>
      <c r="Q4" s="72"/>
    </row>
    <row r="5" spans="1:64" ht="15.75" customHeight="1" thickBot="1">
      <c r="A5" s="384" t="s">
        <v>450</v>
      </c>
      <c r="B5" s="385" t="s">
        <v>451</v>
      </c>
      <c r="C5" s="385"/>
      <c r="D5" s="385"/>
      <c r="E5" s="385"/>
      <c r="F5" s="385"/>
      <c r="G5" s="385"/>
      <c r="H5" s="385"/>
      <c r="I5" s="386"/>
      <c r="J5" s="385" t="s">
        <v>452</v>
      </c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  <c r="AN5" s="385"/>
      <c r="AO5" s="385"/>
      <c r="AP5" s="385"/>
      <c r="AQ5" s="385"/>
      <c r="AR5" s="385"/>
      <c r="AS5" s="385"/>
      <c r="AT5" s="385"/>
      <c r="AU5" s="385"/>
      <c r="AV5" s="385"/>
      <c r="AW5" s="385"/>
      <c r="AX5" s="385"/>
      <c r="AY5" s="385"/>
      <c r="AZ5" s="385"/>
      <c r="BA5" s="385"/>
      <c r="BB5" s="385"/>
      <c r="BC5" s="386"/>
      <c r="BD5" s="385" t="s">
        <v>453</v>
      </c>
      <c r="BE5" s="385"/>
      <c r="BF5" s="385"/>
      <c r="BG5" s="385"/>
      <c r="BH5" s="385"/>
      <c r="BI5" s="385"/>
      <c r="BJ5" s="385"/>
      <c r="BK5" s="387"/>
      <c r="BL5" s="77"/>
    </row>
    <row r="6" spans="1:64" s="91" customFormat="1" ht="15.75" customHeight="1" thickTop="1">
      <c r="A6" s="388" t="s">
        <v>314</v>
      </c>
      <c r="B6" s="389" t="s">
        <v>454</v>
      </c>
      <c r="C6" s="389"/>
      <c r="D6" s="389"/>
      <c r="E6" s="389"/>
      <c r="F6" s="389"/>
      <c r="G6" s="389"/>
      <c r="H6" s="389"/>
      <c r="I6" s="389"/>
      <c r="J6" s="389"/>
      <c r="K6" s="389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  <c r="AB6" s="390"/>
      <c r="AC6" s="390"/>
      <c r="AD6" s="390"/>
      <c r="AE6" s="390"/>
      <c r="AF6" s="390"/>
      <c r="AG6" s="390"/>
      <c r="AH6" s="390"/>
      <c r="AI6" s="390"/>
      <c r="AJ6" s="390"/>
      <c r="AK6" s="390"/>
      <c r="AL6" s="390"/>
      <c r="AM6" s="390"/>
      <c r="AN6" s="390"/>
      <c r="AO6" s="390"/>
      <c r="AP6" s="390"/>
      <c r="AQ6" s="390"/>
      <c r="AR6" s="390"/>
      <c r="AS6" s="390"/>
      <c r="AT6" s="390"/>
      <c r="AU6" s="390"/>
      <c r="AV6" s="390"/>
      <c r="AW6" s="390"/>
      <c r="AX6" s="390"/>
      <c r="AY6" s="390"/>
      <c r="AZ6" s="390"/>
      <c r="BA6" s="390"/>
      <c r="BB6" s="390"/>
      <c r="BC6" s="390"/>
      <c r="BD6" s="390"/>
      <c r="BE6" s="390"/>
      <c r="BF6" s="390"/>
      <c r="BG6" s="390"/>
      <c r="BH6" s="390"/>
      <c r="BI6" s="390"/>
      <c r="BJ6" s="390"/>
      <c r="BK6" s="391"/>
    </row>
    <row r="7" spans="1:64" s="91" customFormat="1" ht="15.75" customHeight="1">
      <c r="A7" s="392"/>
      <c r="B7" s="393"/>
      <c r="C7" s="394"/>
      <c r="D7" s="394"/>
      <c r="E7" s="394"/>
      <c r="F7" s="394"/>
      <c r="G7" s="394"/>
      <c r="H7" s="394"/>
      <c r="I7" s="395"/>
      <c r="J7" s="495" t="s">
        <v>632</v>
      </c>
      <c r="K7" s="396"/>
      <c r="L7" s="396" t="s">
        <v>631</v>
      </c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  <c r="AA7" s="394"/>
      <c r="AB7" s="394"/>
      <c r="AC7" s="394"/>
      <c r="AD7" s="394"/>
      <c r="AE7" s="394"/>
      <c r="AF7" s="394"/>
      <c r="AG7" s="394"/>
      <c r="AH7" s="394"/>
      <c r="AI7" s="394"/>
      <c r="AJ7" s="394"/>
      <c r="AK7" s="394"/>
      <c r="AL7" s="394"/>
      <c r="AM7" s="394"/>
      <c r="AN7" s="394"/>
      <c r="AO7" s="394"/>
      <c r="AP7" s="394"/>
      <c r="AQ7" s="394"/>
      <c r="AR7" s="394"/>
      <c r="AS7" s="394"/>
      <c r="AT7" s="394"/>
      <c r="AU7" s="394"/>
      <c r="AV7" s="394"/>
      <c r="AW7" s="394"/>
      <c r="AX7" s="394"/>
      <c r="AY7" s="394"/>
      <c r="AZ7" s="394"/>
      <c r="BA7" s="394"/>
      <c r="BB7" s="394"/>
      <c r="BC7" s="394"/>
      <c r="BD7" s="393"/>
      <c r="BE7" s="394"/>
      <c r="BF7" s="394"/>
      <c r="BG7" s="394"/>
      <c r="BH7" s="394"/>
      <c r="BI7" s="394"/>
      <c r="BJ7" s="394"/>
      <c r="BK7" s="397"/>
    </row>
    <row r="8" spans="1:64" s="91" customFormat="1" ht="15.75" customHeight="1">
      <c r="A8" s="392"/>
      <c r="B8" s="393"/>
      <c r="C8" s="394"/>
      <c r="D8" s="394"/>
      <c r="E8" s="394"/>
      <c r="F8" s="394"/>
      <c r="G8" s="394"/>
      <c r="H8" s="394"/>
      <c r="I8" s="395"/>
      <c r="J8" s="398"/>
      <c r="K8" s="394"/>
      <c r="L8" s="394" t="s">
        <v>284</v>
      </c>
      <c r="M8" s="394"/>
      <c r="N8" s="394"/>
      <c r="O8" s="394"/>
      <c r="P8" s="394"/>
      <c r="Q8" s="394"/>
      <c r="R8" s="394" t="s">
        <v>456</v>
      </c>
      <c r="S8" s="394" t="s">
        <v>457</v>
      </c>
      <c r="T8" s="394"/>
      <c r="U8" s="394"/>
      <c r="V8" s="394"/>
      <c r="W8" s="394"/>
      <c r="X8" s="394"/>
      <c r="Y8" s="394"/>
      <c r="Z8" s="394"/>
      <c r="AA8" s="394"/>
      <c r="AB8" s="394"/>
      <c r="AC8" s="394"/>
      <c r="AD8" s="394"/>
      <c r="AE8" s="394"/>
      <c r="AF8" s="394"/>
      <c r="AG8" s="394"/>
      <c r="AH8" s="394"/>
      <c r="AI8" s="394"/>
      <c r="AJ8" s="394"/>
      <c r="AK8" s="394"/>
      <c r="AL8" s="394"/>
      <c r="AM8" s="394"/>
      <c r="AN8" s="394"/>
      <c r="AO8" s="394"/>
      <c r="AP8" s="394"/>
      <c r="AQ8" s="394"/>
      <c r="AR8" s="394"/>
      <c r="AS8" s="394"/>
      <c r="AT8" s="394"/>
      <c r="AU8" s="394"/>
      <c r="AV8" s="394"/>
      <c r="AW8" s="394"/>
      <c r="AX8" s="394"/>
      <c r="AY8" s="394"/>
      <c r="AZ8" s="394"/>
      <c r="BA8" s="394"/>
      <c r="BB8" s="394"/>
      <c r="BC8" s="394"/>
      <c r="BD8" s="393"/>
      <c r="BE8" s="394"/>
      <c r="BF8" s="394"/>
      <c r="BG8" s="394"/>
      <c r="BH8" s="394"/>
      <c r="BI8" s="394"/>
      <c r="BJ8" s="394"/>
      <c r="BK8" s="397"/>
    </row>
    <row r="9" spans="1:64" s="91" customFormat="1" ht="15.75" customHeight="1">
      <c r="A9" s="392"/>
      <c r="B9" s="393"/>
      <c r="C9" s="394"/>
      <c r="D9" s="394"/>
      <c r="E9" s="394"/>
      <c r="F9" s="394"/>
      <c r="G9" s="394"/>
      <c r="H9" s="394"/>
      <c r="I9" s="395"/>
      <c r="J9" s="398"/>
      <c r="K9" s="394"/>
      <c r="L9" s="394"/>
      <c r="M9" s="394"/>
      <c r="N9" s="394"/>
      <c r="O9" s="394"/>
      <c r="P9" s="394"/>
      <c r="Q9" s="394"/>
      <c r="S9" s="394" t="s">
        <v>458</v>
      </c>
      <c r="T9" s="394"/>
      <c r="U9" s="394"/>
      <c r="V9" s="394"/>
      <c r="W9" s="394"/>
      <c r="X9" s="394"/>
      <c r="Y9" s="394"/>
      <c r="Z9" s="394"/>
      <c r="AA9" s="394"/>
      <c r="AB9" s="394"/>
      <c r="AC9" s="394"/>
      <c r="AD9" s="394"/>
      <c r="AE9" s="394"/>
      <c r="AF9" s="394"/>
      <c r="AG9" s="394"/>
      <c r="AH9" s="394"/>
      <c r="AI9" s="394"/>
      <c r="AJ9" s="394"/>
      <c r="AK9" s="394"/>
      <c r="AL9" s="394"/>
      <c r="AM9" s="394"/>
      <c r="AN9" s="394"/>
      <c r="AO9" s="394"/>
      <c r="AP9" s="394"/>
      <c r="AQ9" s="394"/>
      <c r="AR9" s="394"/>
      <c r="AS9" s="394"/>
      <c r="AT9" s="394"/>
      <c r="AU9" s="394"/>
      <c r="AV9" s="394"/>
      <c r="AW9" s="394"/>
      <c r="AX9" s="394"/>
      <c r="AY9" s="394"/>
      <c r="AZ9" s="394"/>
      <c r="BA9" s="394"/>
      <c r="BB9" s="394"/>
      <c r="BC9" s="394"/>
      <c r="BD9" s="393"/>
      <c r="BE9" s="394"/>
      <c r="BF9" s="394"/>
      <c r="BG9" s="394"/>
      <c r="BH9" s="394"/>
      <c r="BI9" s="394"/>
      <c r="BJ9" s="394"/>
      <c r="BK9" s="397"/>
    </row>
    <row r="10" spans="1:64" s="91" customFormat="1" ht="15.75" customHeight="1">
      <c r="A10" s="392"/>
      <c r="B10" s="393"/>
      <c r="C10" s="394"/>
      <c r="D10" s="394"/>
      <c r="E10" s="394"/>
      <c r="F10" s="394"/>
      <c r="G10" s="394"/>
      <c r="H10" s="394"/>
      <c r="I10" s="395"/>
      <c r="J10" s="398"/>
      <c r="K10" s="394"/>
      <c r="L10" s="394" t="s">
        <v>459</v>
      </c>
      <c r="M10" s="394"/>
      <c r="N10" s="394"/>
      <c r="O10" s="394"/>
      <c r="P10" s="394"/>
      <c r="Q10" s="394"/>
      <c r="R10" s="394" t="s">
        <v>456</v>
      </c>
      <c r="S10" s="394" t="s">
        <v>460</v>
      </c>
      <c r="T10" s="394"/>
      <c r="U10" s="394"/>
      <c r="V10" s="394"/>
      <c r="W10" s="394"/>
      <c r="X10" s="394"/>
      <c r="Y10" s="394"/>
      <c r="Z10" s="394"/>
      <c r="AA10" s="394"/>
      <c r="AB10" s="394"/>
      <c r="AC10" s="394"/>
      <c r="AD10" s="394"/>
      <c r="AE10" s="394"/>
      <c r="AF10" s="394"/>
      <c r="AG10" s="394"/>
      <c r="AH10" s="394"/>
      <c r="AI10" s="394"/>
      <c r="AJ10" s="394"/>
      <c r="AK10" s="394"/>
      <c r="AL10" s="394"/>
      <c r="AM10" s="394"/>
      <c r="AN10" s="394"/>
      <c r="AO10" s="394"/>
      <c r="AP10" s="394"/>
      <c r="AQ10" s="394"/>
      <c r="AR10" s="394"/>
      <c r="AS10" s="394"/>
      <c r="AT10" s="394"/>
      <c r="AU10" s="394"/>
      <c r="AV10" s="394"/>
      <c r="AW10" s="394"/>
      <c r="AX10" s="394"/>
      <c r="AY10" s="394"/>
      <c r="AZ10" s="394"/>
      <c r="BA10" s="394"/>
      <c r="BB10" s="394"/>
      <c r="BC10" s="394"/>
      <c r="BD10" s="393"/>
      <c r="BE10" s="394"/>
      <c r="BF10" s="394"/>
      <c r="BG10" s="394"/>
      <c r="BH10" s="394"/>
      <c r="BI10" s="394"/>
      <c r="BJ10" s="394"/>
      <c r="BK10" s="397"/>
    </row>
    <row r="11" spans="1:64" s="91" customFormat="1" ht="15.75" customHeight="1">
      <c r="A11" s="392"/>
      <c r="B11" s="393"/>
      <c r="C11" s="394"/>
      <c r="D11" s="394"/>
      <c r="E11" s="394"/>
      <c r="F11" s="394"/>
      <c r="G11" s="394"/>
      <c r="H11" s="394"/>
      <c r="I11" s="395"/>
      <c r="J11" s="398"/>
      <c r="K11" s="394"/>
      <c r="L11" s="394" t="s">
        <v>461</v>
      </c>
      <c r="M11" s="394"/>
      <c r="N11" s="394"/>
      <c r="O11" s="394"/>
      <c r="P11" s="394"/>
      <c r="Q11" s="394"/>
      <c r="R11" s="394" t="s">
        <v>456</v>
      </c>
      <c r="S11" s="394" t="s">
        <v>626</v>
      </c>
      <c r="T11" s="394"/>
      <c r="U11" s="394"/>
      <c r="V11" s="394"/>
      <c r="W11" s="394"/>
      <c r="X11" s="394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394"/>
      <c r="AJ11" s="394"/>
      <c r="AK11" s="394"/>
      <c r="AL11" s="394"/>
      <c r="AM11" s="394"/>
      <c r="AN11" s="394"/>
      <c r="AO11" s="394"/>
      <c r="AP11" s="394"/>
      <c r="AQ11" s="394"/>
      <c r="AR11" s="394"/>
      <c r="AS11" s="394"/>
      <c r="AT11" s="394"/>
      <c r="AU11" s="394"/>
      <c r="AV11" s="394"/>
      <c r="AW11" s="394"/>
      <c r="AX11" s="394"/>
      <c r="AY11" s="394"/>
      <c r="AZ11" s="394"/>
      <c r="BA11" s="394"/>
      <c r="BB11" s="394"/>
      <c r="BC11" s="394"/>
      <c r="BD11" s="393"/>
      <c r="BE11" s="394"/>
      <c r="BF11" s="394"/>
      <c r="BG11" s="394"/>
      <c r="BH11" s="394"/>
      <c r="BI11" s="394"/>
      <c r="BJ11" s="394"/>
      <c r="BK11" s="397"/>
    </row>
    <row r="12" spans="1:64" s="91" customFormat="1" ht="15.75" customHeight="1">
      <c r="A12" s="392"/>
      <c r="B12" s="394"/>
      <c r="C12" s="394"/>
      <c r="D12" s="394"/>
      <c r="E12" s="394"/>
      <c r="F12" s="394"/>
      <c r="G12" s="394"/>
      <c r="H12" s="394"/>
      <c r="I12" s="395"/>
      <c r="J12" s="394"/>
      <c r="K12" s="394"/>
      <c r="L12" s="394" t="s">
        <v>360</v>
      </c>
      <c r="M12" s="394"/>
      <c r="N12" s="394"/>
      <c r="O12" s="394"/>
      <c r="P12" s="394"/>
      <c r="Q12" s="394"/>
      <c r="R12" s="394" t="s">
        <v>456</v>
      </c>
      <c r="S12" s="394" t="s">
        <v>463</v>
      </c>
      <c r="T12" s="394"/>
      <c r="U12" s="394"/>
      <c r="V12" s="394"/>
      <c r="W12" s="394"/>
      <c r="X12" s="394"/>
      <c r="Y12" s="394"/>
      <c r="Z12" s="394"/>
      <c r="AA12" s="394"/>
      <c r="AB12" s="394"/>
      <c r="AC12" s="394"/>
      <c r="AD12" s="394"/>
      <c r="AE12" s="394"/>
      <c r="AF12" s="394"/>
      <c r="AG12" s="394"/>
      <c r="AH12" s="394"/>
      <c r="AI12" s="394"/>
      <c r="AJ12" s="394"/>
      <c r="AK12" s="394"/>
      <c r="AL12" s="394"/>
      <c r="AM12" s="394"/>
      <c r="AN12" s="394"/>
      <c r="AO12" s="394"/>
      <c r="AP12" s="394"/>
      <c r="AQ12" s="394"/>
      <c r="AR12" s="394"/>
      <c r="AS12" s="394"/>
      <c r="AT12" s="394"/>
      <c r="AU12" s="394"/>
      <c r="AV12" s="394"/>
      <c r="AW12" s="394"/>
      <c r="AX12" s="394"/>
      <c r="AY12" s="394"/>
      <c r="AZ12" s="394"/>
      <c r="BA12" s="394"/>
      <c r="BB12" s="394"/>
      <c r="BC12" s="394"/>
      <c r="BD12" s="393"/>
      <c r="BE12" s="394"/>
      <c r="BF12" s="394"/>
      <c r="BG12" s="394"/>
      <c r="BH12" s="394"/>
      <c r="BI12" s="394"/>
      <c r="BJ12" s="394"/>
      <c r="BK12" s="397"/>
    </row>
    <row r="13" spans="1:64" s="91" customFormat="1" ht="15.75" customHeight="1">
      <c r="A13" s="392"/>
      <c r="B13" s="394"/>
      <c r="C13" s="394"/>
      <c r="D13" s="394"/>
      <c r="E13" s="394"/>
      <c r="F13" s="394"/>
      <c r="G13" s="394"/>
      <c r="H13" s="394"/>
      <c r="I13" s="394"/>
      <c r="J13" s="393"/>
      <c r="K13" s="394"/>
      <c r="L13" s="394"/>
      <c r="M13" s="394"/>
      <c r="N13" s="394"/>
      <c r="O13" s="394"/>
      <c r="P13" s="394"/>
      <c r="Q13" s="394"/>
      <c r="R13" s="394"/>
      <c r="S13" s="394" t="s">
        <v>464</v>
      </c>
      <c r="T13" s="394"/>
      <c r="U13" s="394"/>
      <c r="V13" s="394"/>
      <c r="W13" s="394"/>
      <c r="X13" s="394"/>
      <c r="Y13" s="394"/>
      <c r="Z13" s="394"/>
      <c r="AA13" s="394"/>
      <c r="AB13" s="394"/>
      <c r="AC13" s="394"/>
      <c r="AD13" s="394"/>
      <c r="AE13" s="394"/>
      <c r="AF13" s="394"/>
      <c r="AG13" s="394"/>
      <c r="AH13" s="394"/>
      <c r="AI13" s="394"/>
      <c r="AJ13" s="394"/>
      <c r="AK13" s="394"/>
      <c r="AL13" s="394"/>
      <c r="AM13" s="394"/>
      <c r="AN13" s="394"/>
      <c r="AO13" s="394"/>
      <c r="AP13" s="394"/>
      <c r="AQ13" s="394"/>
      <c r="AR13" s="394"/>
      <c r="AS13" s="394"/>
      <c r="AT13" s="394"/>
      <c r="AU13" s="394"/>
      <c r="AV13" s="394"/>
      <c r="AW13" s="394"/>
      <c r="AX13" s="394"/>
      <c r="AY13" s="394"/>
      <c r="AZ13" s="394"/>
      <c r="BA13" s="394"/>
      <c r="BB13" s="394"/>
      <c r="BC13" s="395"/>
      <c r="BD13" s="394"/>
      <c r="BE13" s="394"/>
      <c r="BF13" s="394"/>
      <c r="BG13" s="394"/>
      <c r="BH13" s="394"/>
      <c r="BI13" s="394"/>
      <c r="BJ13" s="394"/>
      <c r="BK13" s="397"/>
    </row>
    <row r="14" spans="1:64" s="91" customFormat="1" ht="15.75" customHeight="1">
      <c r="A14" s="392"/>
      <c r="B14" s="394"/>
      <c r="C14" s="394"/>
      <c r="D14" s="394"/>
      <c r="E14" s="394"/>
      <c r="F14" s="394"/>
      <c r="G14" s="394"/>
      <c r="H14" s="394"/>
      <c r="I14" s="394"/>
      <c r="J14" s="393"/>
      <c r="K14" s="394"/>
      <c r="L14" s="394" t="s">
        <v>465</v>
      </c>
      <c r="M14" s="394"/>
      <c r="N14" s="394"/>
      <c r="O14" s="394"/>
      <c r="P14" s="394"/>
      <c r="Q14" s="394"/>
      <c r="R14" s="394"/>
      <c r="S14" s="394"/>
      <c r="T14" s="394"/>
      <c r="U14" s="394"/>
      <c r="V14" s="394"/>
      <c r="W14" s="394"/>
      <c r="X14" s="394"/>
      <c r="Y14" s="394"/>
      <c r="Z14" s="394"/>
      <c r="AA14" s="394"/>
      <c r="AB14" s="394"/>
      <c r="AC14" s="394"/>
      <c r="AD14" s="394"/>
      <c r="AE14" s="394"/>
      <c r="AF14" s="394"/>
      <c r="AG14" s="394"/>
      <c r="AH14" s="394"/>
      <c r="AI14" s="394"/>
      <c r="AJ14" s="394"/>
      <c r="AK14" s="394"/>
      <c r="AL14" s="394"/>
      <c r="AM14" s="394"/>
      <c r="AN14" s="394"/>
      <c r="AO14" s="394"/>
      <c r="AP14" s="394"/>
      <c r="AQ14" s="394"/>
      <c r="AR14" s="394"/>
      <c r="AS14" s="394"/>
      <c r="AT14" s="394"/>
      <c r="AU14" s="394"/>
      <c r="AV14" s="394"/>
      <c r="AW14" s="394"/>
      <c r="AX14" s="394"/>
      <c r="AY14" s="394"/>
      <c r="AZ14" s="394"/>
      <c r="BA14" s="394"/>
      <c r="BB14" s="394"/>
      <c r="BC14" s="395"/>
      <c r="BD14" s="394"/>
      <c r="BE14" s="394"/>
      <c r="BF14" s="394"/>
      <c r="BG14" s="394"/>
      <c r="BH14" s="394"/>
      <c r="BI14" s="394"/>
      <c r="BJ14" s="394"/>
      <c r="BK14" s="397"/>
    </row>
    <row r="15" spans="1:64" s="91" customFormat="1" ht="15.75" customHeight="1">
      <c r="A15" s="392"/>
      <c r="B15" s="394"/>
      <c r="C15" s="394"/>
      <c r="D15" s="394"/>
      <c r="E15" s="394"/>
      <c r="F15" s="394"/>
      <c r="G15" s="394"/>
      <c r="H15" s="394"/>
      <c r="I15" s="394"/>
      <c r="J15" s="393"/>
      <c r="K15" s="394"/>
      <c r="L15" s="394" t="s">
        <v>466</v>
      </c>
      <c r="M15" s="394"/>
      <c r="N15" s="394"/>
      <c r="O15" s="394"/>
      <c r="P15" s="394"/>
      <c r="Q15" s="394"/>
      <c r="R15" s="394"/>
      <c r="S15" s="394" t="s">
        <v>467</v>
      </c>
      <c r="T15" s="394"/>
      <c r="U15" s="394"/>
      <c r="V15" s="394"/>
      <c r="W15" s="394"/>
      <c r="X15" s="394"/>
      <c r="Y15" s="394"/>
      <c r="Z15" s="394"/>
      <c r="AA15" s="394"/>
      <c r="AB15" s="394"/>
      <c r="AC15" s="394" t="s">
        <v>468</v>
      </c>
      <c r="AD15" s="394"/>
      <c r="AE15" s="394"/>
      <c r="AF15" s="394"/>
      <c r="AG15" s="394"/>
      <c r="AH15" s="394"/>
      <c r="AI15" s="394"/>
      <c r="AJ15" s="394"/>
      <c r="AK15" s="394"/>
      <c r="AL15" s="394"/>
      <c r="AM15" s="394"/>
      <c r="AN15" s="394"/>
      <c r="AO15" s="394"/>
      <c r="AP15" s="394"/>
      <c r="AQ15" s="394"/>
      <c r="AR15" s="394"/>
      <c r="AS15" s="394"/>
      <c r="AT15" s="394"/>
      <c r="AU15" s="394"/>
      <c r="AV15" s="394"/>
      <c r="AW15" s="394"/>
      <c r="AX15" s="394"/>
      <c r="AY15" s="394"/>
      <c r="AZ15" s="394"/>
      <c r="BA15" s="394"/>
      <c r="BB15" s="394"/>
      <c r="BC15" s="395"/>
      <c r="BD15" s="394"/>
      <c r="BE15" s="394"/>
      <c r="BF15" s="394"/>
      <c r="BG15" s="394"/>
      <c r="BH15" s="394"/>
      <c r="BI15" s="394"/>
      <c r="BJ15" s="394"/>
      <c r="BK15" s="397"/>
    </row>
    <row r="16" spans="1:64" s="91" customFormat="1" ht="15.75" customHeight="1">
      <c r="A16" s="392"/>
      <c r="B16" s="394"/>
      <c r="C16" s="394"/>
      <c r="D16" s="394"/>
      <c r="E16" s="394"/>
      <c r="F16" s="394"/>
      <c r="G16" s="394"/>
      <c r="H16" s="394"/>
      <c r="I16" s="394"/>
      <c r="J16" s="393"/>
      <c r="K16" s="394"/>
      <c r="L16" s="394"/>
      <c r="M16" s="394"/>
      <c r="N16" s="394"/>
      <c r="O16" s="394"/>
      <c r="P16" s="394"/>
      <c r="Q16" s="394"/>
      <c r="R16" s="394"/>
      <c r="S16" s="394" t="s">
        <v>469</v>
      </c>
      <c r="T16" s="394"/>
      <c r="U16" s="394"/>
      <c r="V16" s="394"/>
      <c r="W16" s="394"/>
      <c r="X16" s="394"/>
      <c r="Y16" s="394"/>
      <c r="Z16" s="394"/>
      <c r="AA16" s="394"/>
      <c r="AB16" s="394"/>
      <c r="AC16" s="394" t="s">
        <v>470</v>
      </c>
      <c r="AD16" s="394"/>
      <c r="AE16" s="394"/>
      <c r="AF16" s="394"/>
      <c r="AG16" s="394"/>
      <c r="AH16" s="394"/>
      <c r="AI16" s="394"/>
      <c r="AJ16" s="394"/>
      <c r="AK16" s="394"/>
      <c r="AL16" s="394"/>
      <c r="AM16" s="394"/>
      <c r="AN16" s="394"/>
      <c r="AO16" s="394"/>
      <c r="AP16" s="394"/>
      <c r="AQ16" s="394"/>
      <c r="AR16" s="394"/>
      <c r="AS16" s="394"/>
      <c r="AT16" s="394"/>
      <c r="AU16" s="394"/>
      <c r="AV16" s="394"/>
      <c r="AW16" s="394"/>
      <c r="AX16" s="394"/>
      <c r="AY16" s="394"/>
      <c r="AZ16" s="394"/>
      <c r="BA16" s="394"/>
      <c r="BB16" s="394"/>
      <c r="BC16" s="395"/>
      <c r="BD16" s="394"/>
      <c r="BE16" s="394"/>
      <c r="BF16" s="394"/>
      <c r="BG16" s="394"/>
      <c r="BH16" s="394"/>
      <c r="BI16" s="394"/>
      <c r="BJ16" s="394"/>
      <c r="BK16" s="397"/>
    </row>
    <row r="17" spans="1:64" s="91" customFormat="1" ht="15.75" customHeight="1">
      <c r="A17" s="392"/>
      <c r="B17" s="394"/>
      <c r="C17" s="394"/>
      <c r="D17" s="394"/>
      <c r="E17" s="394"/>
      <c r="F17" s="394"/>
      <c r="G17" s="394"/>
      <c r="H17" s="394"/>
      <c r="I17" s="394"/>
      <c r="J17" s="393"/>
      <c r="K17" s="394"/>
      <c r="L17" s="394"/>
      <c r="M17" s="394"/>
      <c r="N17" s="394"/>
      <c r="O17" s="394"/>
      <c r="P17" s="394"/>
      <c r="Q17" s="394"/>
      <c r="R17" s="394"/>
      <c r="S17" s="394" t="s">
        <v>471</v>
      </c>
      <c r="T17" s="394"/>
      <c r="U17" s="394"/>
      <c r="V17" s="394"/>
      <c r="W17" s="394"/>
      <c r="X17" s="394"/>
      <c r="Y17" s="394"/>
      <c r="Z17" s="394"/>
      <c r="AA17" s="394"/>
      <c r="AB17" s="394"/>
      <c r="AC17" s="394" t="s">
        <v>472</v>
      </c>
      <c r="AD17" s="394"/>
      <c r="AE17" s="394"/>
      <c r="AF17" s="394"/>
      <c r="AG17" s="394"/>
      <c r="AH17" s="394"/>
      <c r="AI17" s="394"/>
      <c r="AJ17" s="394"/>
      <c r="AK17" s="394"/>
      <c r="AL17" s="394"/>
      <c r="AM17" s="394"/>
      <c r="AN17" s="394"/>
      <c r="AO17" s="394"/>
      <c r="AP17" s="394"/>
      <c r="AQ17" s="394"/>
      <c r="AR17" s="394"/>
      <c r="AS17" s="394"/>
      <c r="AT17" s="394"/>
      <c r="AU17" s="394"/>
      <c r="AV17" s="394"/>
      <c r="AW17" s="394"/>
      <c r="AX17" s="394"/>
      <c r="AY17" s="394"/>
      <c r="AZ17" s="394"/>
      <c r="BA17" s="394"/>
      <c r="BB17" s="394"/>
      <c r="BC17" s="395"/>
      <c r="BD17" s="394"/>
      <c r="BE17" s="394"/>
      <c r="BF17" s="394"/>
      <c r="BG17" s="394"/>
      <c r="BH17" s="394"/>
      <c r="BI17" s="394"/>
      <c r="BJ17" s="394"/>
      <c r="BK17" s="397"/>
    </row>
    <row r="18" spans="1:64" s="394" customFormat="1" ht="8.1" customHeight="1">
      <c r="A18" s="392"/>
      <c r="J18" s="393"/>
      <c r="BC18" s="395"/>
      <c r="BK18" s="397"/>
    </row>
    <row r="19" spans="1:64" s="394" customFormat="1" ht="15.75" customHeight="1">
      <c r="A19" s="392"/>
      <c r="J19" s="393"/>
      <c r="S19" s="465" t="s">
        <v>360</v>
      </c>
      <c r="T19" s="465"/>
      <c r="U19" s="465"/>
      <c r="V19" s="465"/>
      <c r="W19" s="465"/>
      <c r="X19" s="465"/>
      <c r="Y19" s="466" t="s">
        <v>473</v>
      </c>
      <c r="Z19" s="467"/>
      <c r="AA19" s="467"/>
      <c r="AB19" s="467"/>
      <c r="AC19" s="467"/>
      <c r="AD19" s="467"/>
      <c r="AE19" s="467"/>
      <c r="AF19" s="467"/>
      <c r="AG19" s="467"/>
      <c r="AH19" s="467"/>
      <c r="AI19" s="467"/>
      <c r="AJ19" s="467"/>
      <c r="AK19" s="467"/>
      <c r="AL19" s="468"/>
      <c r="BC19" s="395"/>
      <c r="BK19" s="397"/>
    </row>
    <row r="20" spans="1:64" s="394" customFormat="1" ht="15.75" customHeight="1">
      <c r="A20" s="392"/>
      <c r="J20" s="393"/>
      <c r="Y20" s="459" t="s">
        <v>473</v>
      </c>
      <c r="Z20" s="460"/>
      <c r="AA20" s="460"/>
      <c r="AB20" s="460"/>
      <c r="AC20" s="460"/>
      <c r="AD20" s="460"/>
      <c r="AE20" s="460"/>
      <c r="AF20" s="460"/>
      <c r="AG20" s="460"/>
      <c r="AH20" s="460"/>
      <c r="AI20" s="460"/>
      <c r="AJ20" s="460"/>
      <c r="AK20" s="460"/>
      <c r="AL20" s="461"/>
      <c r="AN20" s="394" t="s">
        <v>474</v>
      </c>
      <c r="BC20" s="395"/>
      <c r="BK20" s="397"/>
    </row>
    <row r="21" spans="1:64" s="394" customFormat="1" ht="15.75" customHeight="1">
      <c r="A21" s="392"/>
      <c r="J21" s="393"/>
      <c r="Y21" s="462" t="s">
        <v>475</v>
      </c>
      <c r="Z21" s="463"/>
      <c r="AA21" s="463"/>
      <c r="AB21" s="463"/>
      <c r="AC21" s="463"/>
      <c r="AD21" s="463"/>
      <c r="AE21" s="463"/>
      <c r="AF21" s="463"/>
      <c r="AG21" s="463"/>
      <c r="AH21" s="463"/>
      <c r="AI21" s="463"/>
      <c r="AJ21" s="463"/>
      <c r="AK21" s="463"/>
      <c r="AL21" s="464"/>
      <c r="BC21" s="395"/>
      <c r="BK21" s="397"/>
    </row>
    <row r="22" spans="1:64" s="394" customFormat="1" ht="15.75" customHeight="1">
      <c r="A22" s="392"/>
      <c r="J22" s="393"/>
      <c r="L22" s="398"/>
      <c r="S22" s="469" t="s">
        <v>476</v>
      </c>
      <c r="AC22" s="409"/>
      <c r="BC22" s="395"/>
      <c r="BD22" s="393"/>
      <c r="BK22" s="397"/>
    </row>
    <row r="23" spans="1:64" s="394" customFormat="1" ht="15.75" customHeight="1">
      <c r="A23" s="392"/>
      <c r="J23" s="393"/>
      <c r="L23" s="398"/>
      <c r="S23" s="469"/>
      <c r="AC23" s="409"/>
      <c r="BC23" s="395"/>
      <c r="BK23" s="397"/>
    </row>
    <row r="24" spans="1:64" s="91" customFormat="1" ht="15.75" customHeight="1">
      <c r="A24" s="392"/>
      <c r="B24" s="394"/>
      <c r="C24" s="394"/>
      <c r="D24" s="394"/>
      <c r="E24" s="394"/>
      <c r="F24" s="394"/>
      <c r="G24" s="394"/>
      <c r="H24" s="394"/>
      <c r="I24" s="394"/>
      <c r="J24" s="393" t="s">
        <v>634</v>
      </c>
      <c r="K24" s="394"/>
      <c r="L24" s="394" t="s">
        <v>633</v>
      </c>
      <c r="M24" s="394"/>
      <c r="N24" s="394"/>
      <c r="O24" s="394"/>
      <c r="P24" s="394"/>
      <c r="Q24" s="394"/>
      <c r="R24" s="394"/>
      <c r="S24" s="394"/>
      <c r="T24" s="394"/>
      <c r="U24" s="394"/>
      <c r="V24" s="394"/>
      <c r="W24" s="394"/>
      <c r="X24" s="394"/>
      <c r="Y24" s="394"/>
      <c r="Z24" s="394"/>
      <c r="AA24" s="394"/>
      <c r="AB24" s="394"/>
      <c r="AC24" s="394"/>
      <c r="AD24" s="394"/>
      <c r="AE24" s="394"/>
      <c r="AF24" s="394"/>
      <c r="AG24" s="394"/>
      <c r="AH24" s="394"/>
      <c r="AI24" s="394"/>
      <c r="AJ24" s="394"/>
      <c r="AK24" s="394"/>
      <c r="AL24" s="394"/>
      <c r="AM24" s="394"/>
      <c r="AN24" s="394"/>
      <c r="AO24" s="394"/>
      <c r="AP24" s="394"/>
      <c r="AQ24" s="394"/>
      <c r="AR24" s="394"/>
      <c r="AS24" s="394"/>
      <c r="AT24" s="394"/>
      <c r="AU24" s="394"/>
      <c r="AV24" s="394"/>
      <c r="AW24" s="394"/>
      <c r="AX24" s="394"/>
      <c r="AY24" s="394"/>
      <c r="AZ24" s="394"/>
      <c r="BA24" s="394"/>
      <c r="BB24" s="394"/>
      <c r="BC24" s="395"/>
      <c r="BD24" s="394"/>
      <c r="BE24" s="394"/>
      <c r="BF24" s="394"/>
      <c r="BG24" s="394"/>
      <c r="BH24" s="394"/>
      <c r="BI24" s="394"/>
      <c r="BJ24" s="394"/>
      <c r="BK24" s="397"/>
    </row>
    <row r="25" spans="1:64" s="91" customFormat="1" ht="15.75" customHeight="1">
      <c r="A25" s="392"/>
      <c r="B25" s="394"/>
      <c r="C25" s="394"/>
      <c r="D25" s="394"/>
      <c r="E25" s="394"/>
      <c r="F25" s="394"/>
      <c r="G25" s="394"/>
      <c r="H25" s="394"/>
      <c r="I25" s="394"/>
      <c r="J25" s="393"/>
      <c r="K25" s="394"/>
      <c r="L25" s="394" t="s">
        <v>478</v>
      </c>
      <c r="M25" s="394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Z25" s="394"/>
      <c r="AA25" s="394"/>
      <c r="AB25" s="394"/>
      <c r="AC25" s="394"/>
      <c r="AD25" s="394"/>
      <c r="AE25" s="394"/>
      <c r="AF25" s="394"/>
      <c r="AG25" s="394"/>
      <c r="AH25" s="394"/>
      <c r="AI25" s="394"/>
      <c r="AJ25" s="394"/>
      <c r="AK25" s="394"/>
      <c r="AL25" s="394"/>
      <c r="AM25" s="394"/>
      <c r="AN25" s="394"/>
      <c r="AO25" s="394"/>
      <c r="AP25" s="394"/>
      <c r="AQ25" s="394"/>
      <c r="AR25" s="394"/>
      <c r="AS25" s="394"/>
      <c r="AT25" s="394"/>
      <c r="AU25" s="394"/>
      <c r="AV25" s="394"/>
      <c r="AW25" s="394"/>
      <c r="AX25" s="394"/>
      <c r="AY25" s="394"/>
      <c r="AZ25" s="394"/>
      <c r="BA25" s="394"/>
      <c r="BB25" s="394"/>
      <c r="BC25" s="395"/>
      <c r="BD25" s="394"/>
      <c r="BE25" s="394"/>
      <c r="BF25" s="394"/>
      <c r="BG25" s="394"/>
      <c r="BH25" s="394"/>
      <c r="BI25" s="394"/>
      <c r="BJ25" s="394"/>
      <c r="BK25" s="397"/>
    </row>
    <row r="26" spans="1:64" s="91" customFormat="1" ht="15.75" customHeight="1">
      <c r="A26" s="392"/>
      <c r="B26" s="394"/>
      <c r="C26" s="394"/>
      <c r="D26" s="394"/>
      <c r="E26" s="394"/>
      <c r="F26" s="394"/>
      <c r="G26" s="394"/>
      <c r="H26" s="394"/>
      <c r="I26" s="394"/>
      <c r="J26" s="393"/>
      <c r="K26" s="394"/>
      <c r="L26" s="398" t="s">
        <v>479</v>
      </c>
      <c r="M26" s="394"/>
      <c r="N26" s="394"/>
      <c r="O26" s="394"/>
      <c r="P26" s="394"/>
      <c r="Q26" s="394"/>
      <c r="R26" s="394"/>
      <c r="S26" s="394"/>
      <c r="T26" s="394"/>
      <c r="U26" s="394"/>
      <c r="V26" s="394"/>
      <c r="W26" s="394"/>
      <c r="X26" s="394"/>
      <c r="Y26" s="394"/>
      <c r="Z26" s="394"/>
      <c r="AA26" s="394"/>
      <c r="AB26" s="394"/>
      <c r="AC26" s="409" t="s">
        <v>480</v>
      </c>
      <c r="AD26" s="394"/>
      <c r="AE26" s="394"/>
      <c r="AF26" s="394"/>
      <c r="AG26" s="394"/>
      <c r="AH26" s="394"/>
      <c r="AI26" s="394"/>
      <c r="AJ26" s="394"/>
      <c r="AK26" s="394"/>
      <c r="AL26" s="394"/>
      <c r="AM26" s="394"/>
      <c r="AN26" s="394"/>
      <c r="AO26" s="394"/>
      <c r="AP26" s="394"/>
      <c r="AQ26" s="394"/>
      <c r="AR26" s="394"/>
      <c r="AS26" s="394"/>
      <c r="AT26" s="394"/>
      <c r="AU26" s="394"/>
      <c r="AV26" s="394"/>
      <c r="AW26" s="394"/>
      <c r="AX26" s="394"/>
      <c r="AY26" s="394"/>
      <c r="AZ26" s="394"/>
      <c r="BA26" s="394"/>
      <c r="BB26" s="394"/>
      <c r="BC26" s="395"/>
      <c r="BD26" s="393" t="s">
        <v>481</v>
      </c>
      <c r="BE26" s="394"/>
      <c r="BF26" s="394"/>
      <c r="BG26" s="394"/>
      <c r="BH26" s="394"/>
      <c r="BI26" s="394"/>
      <c r="BJ26" s="394"/>
      <c r="BK26" s="397"/>
    </row>
    <row r="27" spans="1:64" s="91" customFormat="1" ht="15.75" customHeight="1">
      <c r="A27" s="400"/>
      <c r="B27" s="394"/>
      <c r="C27" s="394"/>
      <c r="D27" s="394"/>
      <c r="E27" s="394"/>
      <c r="F27" s="394"/>
      <c r="G27" s="394"/>
      <c r="H27" s="394"/>
      <c r="I27" s="394"/>
      <c r="J27" s="401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402"/>
      <c r="V27" s="402"/>
      <c r="W27" s="402"/>
      <c r="X27" s="402"/>
      <c r="Y27" s="402"/>
      <c r="Z27" s="402"/>
      <c r="AA27" s="402"/>
      <c r="AB27" s="402"/>
      <c r="AC27" s="402"/>
      <c r="AD27" s="402"/>
      <c r="AE27" s="402"/>
      <c r="AF27" s="402"/>
      <c r="AG27" s="402"/>
      <c r="AH27" s="402"/>
      <c r="AI27" s="402"/>
      <c r="AJ27" s="402"/>
      <c r="AK27" s="402"/>
      <c r="AL27" s="402"/>
      <c r="AM27" s="402"/>
      <c r="AN27" s="402"/>
      <c r="AO27" s="402"/>
      <c r="AP27" s="402"/>
      <c r="AQ27" s="402"/>
      <c r="AR27" s="402"/>
      <c r="AS27" s="402"/>
      <c r="AT27" s="402"/>
      <c r="AU27" s="402"/>
      <c r="AV27" s="402"/>
      <c r="AW27" s="402"/>
      <c r="AX27" s="402"/>
      <c r="AY27" s="402"/>
      <c r="AZ27" s="402"/>
      <c r="BA27" s="402"/>
      <c r="BB27" s="402"/>
      <c r="BC27" s="403"/>
      <c r="BD27" s="394"/>
      <c r="BE27" s="394"/>
      <c r="BF27" s="394"/>
      <c r="BG27" s="394"/>
      <c r="BH27" s="394"/>
      <c r="BI27" s="394"/>
      <c r="BJ27" s="394"/>
      <c r="BK27" s="397"/>
    </row>
    <row r="28" spans="1:64" s="91" customFormat="1" ht="15.75" customHeight="1">
      <c r="A28" s="484" t="s">
        <v>482</v>
      </c>
      <c r="B28" s="485" t="s">
        <v>627</v>
      </c>
      <c r="C28" s="485"/>
      <c r="D28" s="485"/>
      <c r="E28" s="485"/>
      <c r="F28" s="485"/>
      <c r="G28" s="485"/>
      <c r="H28" s="485"/>
      <c r="I28" s="485"/>
      <c r="J28" s="485"/>
      <c r="K28" s="485"/>
      <c r="L28" s="486"/>
      <c r="M28" s="486"/>
      <c r="N28" s="486"/>
      <c r="O28" s="486"/>
      <c r="P28" s="486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6"/>
      <c r="AB28" s="486"/>
      <c r="AC28" s="486"/>
      <c r="AD28" s="486"/>
      <c r="AE28" s="486"/>
      <c r="AF28" s="486"/>
      <c r="AG28" s="486"/>
      <c r="AH28" s="486"/>
      <c r="AI28" s="486"/>
      <c r="AJ28" s="486"/>
      <c r="AK28" s="486"/>
      <c r="AL28" s="486"/>
      <c r="AM28" s="486"/>
      <c r="AN28" s="486"/>
      <c r="AO28" s="486"/>
      <c r="AP28" s="486"/>
      <c r="AQ28" s="486"/>
      <c r="AR28" s="486"/>
      <c r="AS28" s="486"/>
      <c r="AT28" s="486"/>
      <c r="AU28" s="486"/>
      <c r="AV28" s="486"/>
      <c r="AW28" s="486"/>
      <c r="AX28" s="486"/>
      <c r="AY28" s="486"/>
      <c r="AZ28" s="486"/>
      <c r="BA28" s="486"/>
      <c r="BB28" s="486"/>
      <c r="BC28" s="486"/>
      <c r="BD28" s="486"/>
      <c r="BE28" s="486"/>
      <c r="BF28" s="486"/>
      <c r="BG28" s="486"/>
      <c r="BH28" s="486"/>
      <c r="BI28" s="486"/>
      <c r="BJ28" s="486"/>
      <c r="BK28" s="487"/>
      <c r="BL28" s="488"/>
    </row>
    <row r="29" spans="1:64" s="91" customFormat="1" ht="15.75" customHeight="1">
      <c r="A29" s="484"/>
      <c r="B29" s="489"/>
      <c r="I29" s="490"/>
      <c r="J29" s="491" t="s">
        <v>628</v>
      </c>
      <c r="K29" s="492"/>
      <c r="L29" s="491" t="s">
        <v>629</v>
      </c>
      <c r="M29" s="492"/>
      <c r="N29" s="492"/>
      <c r="O29" s="492"/>
      <c r="P29" s="492"/>
      <c r="Q29" s="492"/>
      <c r="R29" s="492"/>
      <c r="S29" s="492"/>
      <c r="T29" s="492"/>
      <c r="U29" s="492"/>
      <c r="V29" s="492"/>
      <c r="W29" s="492"/>
      <c r="X29" s="492"/>
      <c r="Y29" s="492"/>
      <c r="Z29" s="492"/>
      <c r="AA29" s="492"/>
      <c r="AB29" s="492"/>
      <c r="AC29" s="492"/>
      <c r="AD29" s="492"/>
      <c r="AE29" s="492"/>
      <c r="AF29" s="492"/>
      <c r="AG29" s="492"/>
      <c r="AH29" s="492"/>
      <c r="AI29" s="492"/>
      <c r="AJ29" s="492"/>
      <c r="AK29" s="492"/>
      <c r="AL29" s="492"/>
      <c r="AM29" s="492"/>
      <c r="AN29" s="492"/>
      <c r="AO29" s="493"/>
      <c r="AP29" s="493"/>
      <c r="AQ29" s="493"/>
      <c r="AR29" s="493"/>
      <c r="BD29" s="489"/>
      <c r="BK29" s="494"/>
    </row>
    <row r="30" spans="1:64" s="91" customFormat="1" ht="15.75" customHeight="1">
      <c r="A30" s="484"/>
      <c r="B30" s="489"/>
      <c r="I30" s="490"/>
      <c r="J30" s="492"/>
      <c r="K30" s="492"/>
      <c r="L30" s="492" t="s">
        <v>630</v>
      </c>
      <c r="M30" s="492"/>
      <c r="N30" s="492"/>
      <c r="O30" s="492"/>
      <c r="P30" s="492"/>
      <c r="Q30" s="492"/>
      <c r="R30" s="492"/>
      <c r="S30" s="492"/>
      <c r="T30" s="492"/>
      <c r="U30" s="492"/>
      <c r="V30" s="492"/>
      <c r="W30" s="492"/>
      <c r="X30" s="492"/>
      <c r="Y30" s="492"/>
      <c r="Z30" s="492"/>
      <c r="AA30" s="492"/>
      <c r="AB30" s="492"/>
      <c r="AC30" s="492"/>
      <c r="AD30" s="492"/>
      <c r="AE30" s="492"/>
      <c r="AF30" s="492"/>
      <c r="AG30" s="492"/>
      <c r="AH30" s="492"/>
      <c r="AI30" s="492"/>
      <c r="AJ30" s="492"/>
      <c r="AK30" s="492"/>
      <c r="AL30" s="492"/>
      <c r="AM30" s="492"/>
      <c r="AN30" s="492"/>
      <c r="AO30" s="493"/>
      <c r="AP30" s="493"/>
      <c r="AQ30" s="493"/>
      <c r="AR30" s="493"/>
      <c r="BD30" s="489"/>
      <c r="BK30" s="494"/>
    </row>
    <row r="31" spans="1:64" s="91" customFormat="1" ht="15.75" customHeight="1">
      <c r="A31" s="484"/>
      <c r="B31" s="489"/>
      <c r="I31" s="490"/>
      <c r="J31" s="492"/>
      <c r="K31" s="492"/>
      <c r="L31" s="492"/>
      <c r="M31" s="492"/>
      <c r="N31" s="492"/>
      <c r="O31" s="492"/>
      <c r="P31" s="492"/>
      <c r="Q31" s="492"/>
      <c r="R31" s="492"/>
      <c r="S31" s="492"/>
      <c r="T31" s="492"/>
      <c r="U31" s="492"/>
      <c r="V31" s="492"/>
      <c r="W31" s="492"/>
      <c r="X31" s="492"/>
      <c r="Y31" s="492"/>
      <c r="Z31" s="492"/>
      <c r="AA31" s="492"/>
      <c r="AB31" s="492"/>
      <c r="AC31" s="492"/>
      <c r="AD31" s="492"/>
      <c r="AE31" s="492"/>
      <c r="AF31" s="492"/>
      <c r="AG31" s="492"/>
      <c r="AH31" s="492"/>
      <c r="AI31" s="492"/>
      <c r="AJ31" s="492"/>
      <c r="AK31" s="492"/>
      <c r="AL31" s="492"/>
      <c r="AM31" s="492"/>
      <c r="AN31" s="492"/>
      <c r="AO31" s="493"/>
      <c r="AP31" s="493"/>
      <c r="AQ31" s="493"/>
      <c r="AR31" s="493"/>
      <c r="BD31" s="489"/>
      <c r="BK31" s="494"/>
    </row>
    <row r="32" spans="1:64" s="91" customFormat="1" ht="15.75" customHeight="1">
      <c r="A32" s="484"/>
      <c r="B32" s="489"/>
      <c r="I32" s="490"/>
      <c r="J32" s="492" t="s">
        <v>635</v>
      </c>
      <c r="K32" s="492"/>
      <c r="L32" s="492" t="s">
        <v>745</v>
      </c>
      <c r="M32" s="492"/>
      <c r="N32" s="492"/>
      <c r="O32" s="492"/>
      <c r="P32" s="492"/>
      <c r="Q32" s="492"/>
      <c r="R32" s="492"/>
      <c r="S32" s="492"/>
      <c r="T32" s="492"/>
      <c r="U32" s="492"/>
      <c r="V32" s="492"/>
      <c r="W32" s="492"/>
      <c r="X32" s="492"/>
      <c r="Y32" s="492"/>
      <c r="Z32" s="492"/>
      <c r="AA32" s="492"/>
      <c r="AB32" s="492"/>
      <c r="AC32" s="492"/>
      <c r="AD32" s="492"/>
      <c r="AE32" s="492"/>
      <c r="AF32" s="492"/>
      <c r="AG32" s="492"/>
      <c r="AH32" s="492"/>
      <c r="AI32" s="492"/>
      <c r="AJ32" s="492"/>
      <c r="AK32" s="492"/>
      <c r="AL32" s="492"/>
      <c r="AM32" s="492"/>
      <c r="AN32" s="492"/>
      <c r="AO32" s="493"/>
      <c r="AP32" s="493"/>
      <c r="AQ32" s="493"/>
      <c r="AR32" s="493"/>
      <c r="BD32" s="489"/>
      <c r="BK32" s="494"/>
    </row>
    <row r="33" spans="1:64" s="91" customFormat="1" ht="15.75" customHeight="1">
      <c r="A33" s="484"/>
      <c r="B33" s="489"/>
      <c r="I33" s="490"/>
      <c r="J33" s="492"/>
      <c r="K33" s="492"/>
      <c r="L33" s="492"/>
      <c r="M33" s="492"/>
      <c r="N33" s="492"/>
      <c r="O33" s="492"/>
      <c r="P33" s="492"/>
      <c r="Q33" s="492"/>
      <c r="R33" s="492"/>
      <c r="S33" s="492"/>
      <c r="T33" s="492"/>
      <c r="U33" s="492"/>
      <c r="V33" s="492"/>
      <c r="W33" s="492"/>
      <c r="X33" s="492"/>
      <c r="Y33" s="492"/>
      <c r="Z33" s="492"/>
      <c r="AA33" s="492"/>
      <c r="AB33" s="492"/>
      <c r="AC33" s="492"/>
      <c r="AD33" s="492"/>
      <c r="AE33" s="492"/>
      <c r="AF33" s="492"/>
      <c r="AG33" s="492"/>
      <c r="AH33" s="492"/>
      <c r="AI33" s="492"/>
      <c r="AJ33" s="492"/>
      <c r="AK33" s="492"/>
      <c r="AL33" s="492"/>
      <c r="AM33" s="492"/>
      <c r="AN33" s="492"/>
      <c r="AO33" s="493"/>
      <c r="AP33" s="493"/>
      <c r="AQ33" s="493"/>
      <c r="AR33" s="493"/>
      <c r="BD33" s="489"/>
      <c r="BK33" s="494"/>
    </row>
    <row r="34" spans="1:64" s="91" customFormat="1" ht="15.75" customHeight="1">
      <c r="A34" s="484"/>
      <c r="B34" s="489"/>
      <c r="I34" s="490"/>
      <c r="J34" s="492" t="s">
        <v>746</v>
      </c>
      <c r="K34" s="492"/>
      <c r="L34" s="492" t="s">
        <v>747</v>
      </c>
      <c r="M34" s="492"/>
      <c r="N34" s="492"/>
      <c r="O34" s="492"/>
      <c r="P34" s="492"/>
      <c r="Q34" s="492"/>
      <c r="R34" s="492"/>
      <c r="S34" s="492"/>
      <c r="T34" s="492"/>
      <c r="U34" s="492"/>
      <c r="V34" s="492"/>
      <c r="W34" s="492"/>
      <c r="X34" s="492"/>
      <c r="Y34" s="492"/>
      <c r="Z34" s="492"/>
      <c r="AA34" s="492"/>
      <c r="AB34" s="492"/>
      <c r="AC34" s="492"/>
      <c r="AD34" s="492"/>
      <c r="AE34" s="492"/>
      <c r="AF34" s="492"/>
      <c r="AG34" s="492"/>
      <c r="AH34" s="492"/>
      <c r="AI34" s="492"/>
      <c r="AJ34" s="492"/>
      <c r="AK34" s="492"/>
      <c r="AL34" s="492"/>
      <c r="AM34" s="492"/>
      <c r="AN34" s="492"/>
      <c r="AO34" s="493"/>
      <c r="AP34" s="493"/>
      <c r="AQ34" s="493"/>
      <c r="AR34" s="493"/>
      <c r="BD34" s="489"/>
      <c r="BK34" s="494"/>
    </row>
    <row r="35" spans="1:64" s="91" customFormat="1" ht="15.75" customHeight="1">
      <c r="A35" s="484"/>
      <c r="B35" s="489"/>
      <c r="I35" s="490"/>
      <c r="J35" s="492"/>
      <c r="K35" s="492"/>
      <c r="L35" s="492"/>
      <c r="M35" s="492"/>
      <c r="N35" s="492"/>
      <c r="O35" s="492"/>
      <c r="P35" s="492"/>
      <c r="Q35" s="492"/>
      <c r="R35" s="492"/>
      <c r="S35" s="492"/>
      <c r="T35" s="492"/>
      <c r="U35" s="492"/>
      <c r="V35" s="492"/>
      <c r="W35" s="492"/>
      <c r="X35" s="492"/>
      <c r="Y35" s="492"/>
      <c r="Z35" s="492"/>
      <c r="AA35" s="492"/>
      <c r="AB35" s="492"/>
      <c r="AC35" s="492"/>
      <c r="AD35" s="492"/>
      <c r="AE35" s="492"/>
      <c r="AF35" s="492"/>
      <c r="AG35" s="492"/>
      <c r="AH35" s="492"/>
      <c r="AI35" s="492"/>
      <c r="AJ35" s="492"/>
      <c r="AK35" s="492"/>
      <c r="AL35" s="492"/>
      <c r="AM35" s="492"/>
      <c r="AN35" s="492"/>
      <c r="AO35" s="493"/>
      <c r="AP35" s="493"/>
      <c r="AQ35" s="493"/>
      <c r="AR35" s="493"/>
      <c r="BD35" s="489"/>
      <c r="BK35" s="494"/>
    </row>
    <row r="36" spans="1:64" s="91" customFormat="1" ht="15.75" customHeight="1">
      <c r="A36" s="484"/>
      <c r="B36" s="489"/>
      <c r="I36" s="490"/>
      <c r="J36" s="492" t="s">
        <v>754</v>
      </c>
      <c r="K36" s="492"/>
      <c r="L36" s="492" t="s">
        <v>755</v>
      </c>
      <c r="M36" s="492"/>
      <c r="N36" s="492"/>
      <c r="O36" s="492"/>
      <c r="P36" s="492"/>
      <c r="Q36" s="492"/>
      <c r="R36" s="492"/>
      <c r="S36" s="492"/>
      <c r="T36" s="492"/>
      <c r="U36" s="492"/>
      <c r="V36" s="492"/>
      <c r="W36" s="492"/>
      <c r="X36" s="492"/>
      <c r="Y36" s="492"/>
      <c r="Z36" s="492"/>
      <c r="AA36" s="492"/>
      <c r="AB36" s="492"/>
      <c r="AC36" s="492"/>
      <c r="AD36" s="492"/>
      <c r="AE36" s="492"/>
      <c r="AF36" s="492"/>
      <c r="AG36" s="492"/>
      <c r="AH36" s="492"/>
      <c r="AI36" s="492"/>
      <c r="AJ36" s="492"/>
      <c r="AK36" s="492"/>
      <c r="AL36" s="492"/>
      <c r="AM36" s="492"/>
      <c r="AN36" s="492"/>
      <c r="AO36" s="493"/>
      <c r="AP36" s="493"/>
      <c r="AQ36" s="493"/>
      <c r="AR36" s="493"/>
      <c r="BD36" s="489"/>
      <c r="BK36" s="494"/>
    </row>
    <row r="37" spans="1:64" s="91" customFormat="1" ht="15.75" customHeight="1">
      <c r="A37" s="484"/>
      <c r="B37" s="489"/>
      <c r="I37" s="490"/>
      <c r="J37" s="492"/>
      <c r="K37" s="492"/>
      <c r="L37" s="492" t="s">
        <v>757</v>
      </c>
      <c r="M37" s="492"/>
      <c r="N37" s="492"/>
      <c r="O37" s="492"/>
      <c r="P37" s="492"/>
      <c r="Q37" s="492"/>
      <c r="R37" s="492"/>
      <c r="S37" s="492"/>
      <c r="T37" s="492"/>
      <c r="U37" s="492"/>
      <c r="V37" s="492"/>
      <c r="W37" s="492"/>
      <c r="X37" s="492"/>
      <c r="Y37" s="492"/>
      <c r="Z37" s="492"/>
      <c r="AA37" s="492"/>
      <c r="AB37" s="492"/>
      <c r="AC37" s="492"/>
      <c r="AD37" s="492"/>
      <c r="AE37" s="492"/>
      <c r="AF37" s="492"/>
      <c r="AG37" s="492"/>
      <c r="AH37" s="492"/>
      <c r="AI37" s="492"/>
      <c r="AJ37" s="492"/>
      <c r="AK37" s="492"/>
      <c r="AL37" s="492"/>
      <c r="AM37" s="492"/>
      <c r="AN37" s="492"/>
      <c r="AO37" s="493"/>
      <c r="AP37" s="493"/>
      <c r="AQ37" s="493"/>
      <c r="AR37" s="493"/>
      <c r="BD37" s="489"/>
      <c r="BK37" s="494"/>
    </row>
    <row r="38" spans="1:64" s="91" customFormat="1" ht="15.75" customHeight="1">
      <c r="A38" s="484"/>
      <c r="B38" s="489"/>
      <c r="I38" s="490"/>
      <c r="J38" s="492"/>
      <c r="K38" s="492"/>
      <c r="L38" s="492" t="s">
        <v>759</v>
      </c>
      <c r="M38" s="492"/>
      <c r="N38" s="492"/>
      <c r="O38" s="492"/>
      <c r="P38" s="492"/>
      <c r="Q38" s="492"/>
      <c r="R38" s="492"/>
      <c r="S38" s="492"/>
      <c r="T38" s="492"/>
      <c r="U38" s="492"/>
      <c r="V38" s="492"/>
      <c r="W38" s="492"/>
      <c r="X38" s="492"/>
      <c r="Y38" s="492"/>
      <c r="Z38" s="492"/>
      <c r="AA38" s="492"/>
      <c r="AB38" s="492"/>
      <c r="AC38" s="492"/>
      <c r="AD38" s="492"/>
      <c r="AE38" s="492"/>
      <c r="AF38" s="492"/>
      <c r="AG38" s="492"/>
      <c r="AH38" s="492"/>
      <c r="AI38" s="492"/>
      <c r="AJ38" s="492"/>
      <c r="AK38" s="492"/>
      <c r="AL38" s="492"/>
      <c r="AM38" s="492"/>
      <c r="AN38" s="492"/>
      <c r="AO38" s="493"/>
      <c r="AP38" s="493"/>
      <c r="AQ38" s="493"/>
      <c r="AR38" s="493"/>
      <c r="BD38" s="489"/>
      <c r="BK38" s="494"/>
    </row>
    <row r="39" spans="1:64" s="91" customFormat="1" ht="15.75" customHeight="1">
      <c r="A39" s="484"/>
      <c r="B39" s="489"/>
      <c r="I39" s="490"/>
      <c r="J39" s="492"/>
      <c r="K39" s="492"/>
      <c r="L39" s="492"/>
      <c r="M39" s="492"/>
      <c r="N39" s="492"/>
      <c r="O39" s="492"/>
      <c r="P39" s="492"/>
      <c r="Q39" s="492"/>
      <c r="R39" s="492"/>
      <c r="S39" s="492"/>
      <c r="T39" s="492"/>
      <c r="U39" s="492"/>
      <c r="V39" s="492"/>
      <c r="W39" s="492"/>
      <c r="X39" s="492"/>
      <c r="Y39" s="492"/>
      <c r="Z39" s="492"/>
      <c r="AA39" s="492"/>
      <c r="AB39" s="492"/>
      <c r="AC39" s="492"/>
      <c r="AD39" s="492"/>
      <c r="AE39" s="492"/>
      <c r="AF39" s="492"/>
      <c r="AG39" s="492"/>
      <c r="AH39" s="492"/>
      <c r="AI39" s="492"/>
      <c r="AJ39" s="492"/>
      <c r="AK39" s="492"/>
      <c r="AL39" s="492"/>
      <c r="AM39" s="492"/>
      <c r="AN39" s="492"/>
      <c r="AO39" s="493"/>
      <c r="AP39" s="493"/>
      <c r="AQ39" s="493"/>
      <c r="AR39" s="493"/>
      <c r="BD39" s="489"/>
      <c r="BK39" s="494"/>
    </row>
    <row r="40" spans="1:64" s="91" customFormat="1" ht="15.75" customHeight="1">
      <c r="A40" s="484"/>
      <c r="B40" s="489"/>
      <c r="I40" s="490"/>
      <c r="J40" s="492" t="s">
        <v>760</v>
      </c>
      <c r="K40" s="492"/>
      <c r="L40" s="492" t="s">
        <v>761</v>
      </c>
      <c r="M40" s="492"/>
      <c r="N40" s="492"/>
      <c r="O40" s="492"/>
      <c r="P40" s="492"/>
      <c r="Q40" s="492"/>
      <c r="R40" s="492"/>
      <c r="S40" s="492"/>
      <c r="T40" s="492"/>
      <c r="U40" s="492"/>
      <c r="V40" s="492"/>
      <c r="W40" s="492"/>
      <c r="X40" s="492"/>
      <c r="Y40" s="492"/>
      <c r="Z40" s="492"/>
      <c r="AA40" s="492"/>
      <c r="AB40" s="492"/>
      <c r="AC40" s="492"/>
      <c r="AD40" s="492"/>
      <c r="AE40" s="492"/>
      <c r="AF40" s="492"/>
      <c r="AG40" s="492"/>
      <c r="AH40" s="492"/>
      <c r="AI40" s="492"/>
      <c r="AJ40" s="492"/>
      <c r="AK40" s="492"/>
      <c r="AL40" s="492"/>
      <c r="AM40" s="492"/>
      <c r="AN40" s="492"/>
      <c r="AO40" s="493"/>
      <c r="AP40" s="493"/>
      <c r="AQ40" s="493"/>
      <c r="AR40" s="493"/>
      <c r="BD40" s="489"/>
      <c r="BK40" s="494"/>
    </row>
    <row r="41" spans="1:64" s="91" customFormat="1" ht="15.75" customHeight="1">
      <c r="A41" s="484"/>
      <c r="B41" s="489"/>
      <c r="I41" s="490"/>
      <c r="J41" s="492"/>
      <c r="K41" s="492"/>
      <c r="L41" s="492" t="s">
        <v>762</v>
      </c>
      <c r="M41" s="492" t="s">
        <v>763</v>
      </c>
      <c r="N41" s="492"/>
      <c r="O41" s="492"/>
      <c r="P41" s="492"/>
      <c r="Q41" s="492"/>
      <c r="R41" s="492"/>
      <c r="S41" s="492"/>
      <c r="T41" s="492"/>
      <c r="U41" s="492"/>
      <c r="V41" s="492"/>
      <c r="W41" s="492"/>
      <c r="X41" s="492"/>
      <c r="Y41" s="492"/>
      <c r="Z41" s="492"/>
      <c r="AA41" s="492"/>
      <c r="AB41" s="492"/>
      <c r="AC41" s="492"/>
      <c r="AD41" s="492"/>
      <c r="AE41" s="492"/>
      <c r="AF41" s="492"/>
      <c r="AG41" s="492"/>
      <c r="AH41" s="492"/>
      <c r="AI41" s="492"/>
      <c r="AJ41" s="492"/>
      <c r="AK41" s="492"/>
      <c r="AL41" s="492"/>
      <c r="AM41" s="492"/>
      <c r="AN41" s="492"/>
      <c r="AO41" s="493"/>
      <c r="AP41" s="493"/>
      <c r="AQ41" s="493"/>
      <c r="AR41" s="493"/>
      <c r="BD41" s="489"/>
      <c r="BK41" s="494"/>
    </row>
    <row r="42" spans="1:64" s="91" customFormat="1" ht="15.75" customHeight="1">
      <c r="A42" s="484"/>
      <c r="B42" s="489"/>
      <c r="I42" s="490"/>
      <c r="J42" s="492"/>
      <c r="K42" s="492"/>
      <c r="L42" s="492"/>
      <c r="M42" s="492"/>
      <c r="N42" s="492"/>
      <c r="O42" s="492"/>
      <c r="P42" s="492"/>
      <c r="Q42" s="492"/>
      <c r="R42" s="492"/>
      <c r="S42" s="492"/>
      <c r="T42" s="492"/>
      <c r="U42" s="492"/>
      <c r="V42" s="492"/>
      <c r="W42" s="492"/>
      <c r="X42" s="492"/>
      <c r="Y42" s="492"/>
      <c r="Z42" s="492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492"/>
      <c r="AL42" s="492"/>
      <c r="AM42" s="492"/>
      <c r="AN42" s="492"/>
      <c r="AO42" s="493"/>
      <c r="AP42" s="493"/>
      <c r="AQ42" s="493"/>
      <c r="AR42" s="493"/>
      <c r="BD42" s="489"/>
      <c r="BK42" s="494"/>
    </row>
    <row r="43" spans="1:64" s="91" customFormat="1" ht="15.75" customHeight="1">
      <c r="A43" s="484"/>
      <c r="B43" s="489"/>
      <c r="I43" s="490"/>
      <c r="J43" s="492"/>
      <c r="K43" s="492"/>
      <c r="L43" s="492"/>
      <c r="M43" s="492"/>
      <c r="N43" s="492"/>
      <c r="O43" s="492"/>
      <c r="P43" s="492"/>
      <c r="Q43" s="492"/>
      <c r="R43" s="492"/>
      <c r="S43" s="492"/>
      <c r="T43" s="492"/>
      <c r="U43" s="492"/>
      <c r="V43" s="492"/>
      <c r="W43" s="492"/>
      <c r="X43" s="492"/>
      <c r="Y43" s="492"/>
      <c r="Z43" s="492"/>
      <c r="AA43" s="492"/>
      <c r="AB43" s="492"/>
      <c r="AC43" s="492"/>
      <c r="AD43" s="492"/>
      <c r="AE43" s="492"/>
      <c r="AF43" s="492"/>
      <c r="AG43" s="492"/>
      <c r="AH43" s="492"/>
      <c r="AI43" s="492"/>
      <c r="AJ43" s="492"/>
      <c r="AK43" s="492"/>
      <c r="AL43" s="492"/>
      <c r="AM43" s="492"/>
      <c r="AN43" s="492"/>
      <c r="AO43" s="493"/>
      <c r="AP43" s="493"/>
      <c r="AQ43" s="493"/>
      <c r="AR43" s="493"/>
      <c r="BD43" s="489"/>
      <c r="BK43" s="494"/>
    </row>
    <row r="44" spans="1:64" s="91" customFormat="1" ht="15.75" customHeight="1">
      <c r="A44" s="484" t="s">
        <v>485</v>
      </c>
      <c r="B44" s="485" t="s">
        <v>636</v>
      </c>
      <c r="C44" s="485"/>
      <c r="D44" s="485"/>
      <c r="E44" s="485"/>
      <c r="F44" s="485"/>
      <c r="G44" s="485"/>
      <c r="H44" s="485"/>
      <c r="I44" s="485"/>
      <c r="J44" s="485"/>
      <c r="K44" s="485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  <c r="AO44" s="486"/>
      <c r="AP44" s="486"/>
      <c r="AQ44" s="486"/>
      <c r="AR44" s="486"/>
      <c r="AS44" s="486"/>
      <c r="AT44" s="486"/>
      <c r="AU44" s="486"/>
      <c r="AV44" s="486"/>
      <c r="AW44" s="486"/>
      <c r="AX44" s="486"/>
      <c r="AY44" s="486"/>
      <c r="AZ44" s="486"/>
      <c r="BA44" s="486"/>
      <c r="BB44" s="486"/>
      <c r="BC44" s="486"/>
      <c r="BD44" s="486"/>
      <c r="BE44" s="486"/>
      <c r="BF44" s="486"/>
      <c r="BG44" s="486"/>
      <c r="BH44" s="486"/>
      <c r="BI44" s="486"/>
      <c r="BJ44" s="486"/>
      <c r="BK44" s="487"/>
      <c r="BL44" s="488"/>
    </row>
    <row r="45" spans="1:64" s="91" customFormat="1" ht="15.75" customHeight="1">
      <c r="A45" s="484"/>
      <c r="B45" s="489"/>
      <c r="I45" s="490"/>
      <c r="J45" s="492" t="s">
        <v>638</v>
      </c>
      <c r="K45" s="492"/>
      <c r="L45" s="492" t="s">
        <v>639</v>
      </c>
      <c r="M45" s="492"/>
      <c r="N45" s="492"/>
      <c r="O45" s="492"/>
      <c r="P45" s="492"/>
      <c r="Q45" s="492"/>
      <c r="R45" s="492"/>
      <c r="S45" s="492"/>
      <c r="T45" s="492"/>
      <c r="U45" s="492"/>
      <c r="V45" s="492"/>
      <c r="W45" s="492"/>
      <c r="X45" s="492"/>
      <c r="Y45" s="492"/>
      <c r="Z45" s="492"/>
      <c r="AA45" s="492"/>
      <c r="AB45" s="492"/>
      <c r="AC45" s="492"/>
      <c r="AD45" s="492"/>
      <c r="AE45" s="492"/>
      <c r="AF45" s="492"/>
      <c r="AG45" s="492"/>
      <c r="AH45" s="492"/>
      <c r="AI45" s="492"/>
      <c r="AJ45" s="492"/>
      <c r="AK45" s="492"/>
      <c r="AL45" s="492"/>
      <c r="AM45" s="492"/>
      <c r="AN45" s="492"/>
      <c r="AO45" s="493"/>
      <c r="AP45" s="493"/>
      <c r="AQ45" s="493"/>
      <c r="AR45" s="493"/>
      <c r="BD45" s="489"/>
      <c r="BK45" s="494"/>
    </row>
    <row r="46" spans="1:64" s="91" customFormat="1" ht="15.75" customHeight="1">
      <c r="A46" s="484"/>
      <c r="B46" s="489"/>
      <c r="I46" s="490"/>
      <c r="J46" s="492"/>
      <c r="K46" s="492"/>
      <c r="L46" s="491" t="s">
        <v>640</v>
      </c>
      <c r="M46" s="491"/>
      <c r="N46" s="491"/>
      <c r="O46" s="491"/>
      <c r="P46" s="491"/>
      <c r="Q46" s="491"/>
      <c r="R46" s="491"/>
      <c r="S46" s="496"/>
      <c r="T46" s="491"/>
      <c r="U46" s="491"/>
      <c r="V46" s="491"/>
      <c r="W46" s="491"/>
      <c r="X46" s="491"/>
      <c r="Y46" s="491"/>
      <c r="Z46" s="491"/>
      <c r="AA46" s="491"/>
      <c r="AB46" s="491"/>
      <c r="AC46" s="491"/>
      <c r="AD46" s="491"/>
      <c r="AE46" s="491"/>
      <c r="AF46" s="491"/>
      <c r="AG46" s="491"/>
      <c r="AH46" s="491"/>
      <c r="AI46" s="491"/>
      <c r="AJ46" s="491"/>
      <c r="AK46" s="491"/>
      <c r="AL46" s="491"/>
      <c r="AM46" s="491"/>
      <c r="AN46" s="492"/>
      <c r="AO46" s="493"/>
      <c r="AP46" s="493"/>
      <c r="AQ46" s="493"/>
      <c r="AR46" s="493"/>
      <c r="BD46" s="489"/>
      <c r="BK46" s="494"/>
    </row>
    <row r="47" spans="1:64" s="91" customFormat="1" ht="15.75" customHeight="1">
      <c r="A47" s="484"/>
      <c r="B47" s="489"/>
      <c r="I47" s="490"/>
      <c r="J47" s="492"/>
      <c r="K47" s="492"/>
      <c r="L47" s="491"/>
      <c r="M47" s="491" t="s">
        <v>641</v>
      </c>
      <c r="N47" s="491" t="s">
        <v>642</v>
      </c>
      <c r="O47" s="491"/>
      <c r="P47" s="491"/>
      <c r="Q47" s="491"/>
      <c r="R47" s="491"/>
      <c r="S47" s="496"/>
      <c r="T47" s="491"/>
      <c r="U47" s="491"/>
      <c r="V47" s="491"/>
      <c r="W47" s="491"/>
      <c r="X47" s="491"/>
      <c r="Y47" s="491"/>
      <c r="Z47" s="491"/>
      <c r="AA47" s="491"/>
      <c r="AB47" s="491"/>
      <c r="AC47" s="491"/>
      <c r="AD47" s="491"/>
      <c r="AE47" s="491"/>
      <c r="AF47" s="491"/>
      <c r="AG47" s="491"/>
      <c r="AH47" s="491"/>
      <c r="AI47" s="491"/>
      <c r="AJ47" s="491"/>
      <c r="AK47" s="491"/>
      <c r="AL47" s="491"/>
      <c r="AM47" s="491"/>
      <c r="AN47" s="492"/>
      <c r="AO47" s="493"/>
      <c r="AP47" s="493"/>
      <c r="AQ47" s="493"/>
      <c r="AR47" s="493"/>
      <c r="BD47" s="489"/>
      <c r="BK47" s="494"/>
    </row>
    <row r="48" spans="1:64" s="91" customFormat="1" ht="15.75" customHeight="1">
      <c r="A48" s="484"/>
      <c r="B48" s="489"/>
      <c r="I48" s="490"/>
      <c r="J48" s="492"/>
      <c r="K48" s="492"/>
      <c r="L48" s="491"/>
      <c r="M48" s="491"/>
      <c r="N48" s="491" t="s">
        <v>643</v>
      </c>
      <c r="O48" s="491"/>
      <c r="P48" s="491"/>
      <c r="Q48" s="491"/>
      <c r="R48" s="491"/>
      <c r="S48" s="496"/>
      <c r="T48" s="491"/>
      <c r="U48" s="491"/>
      <c r="V48" s="491"/>
      <c r="W48" s="491"/>
      <c r="X48" s="491"/>
      <c r="Y48" s="491"/>
      <c r="Z48" s="491"/>
      <c r="AA48" s="491"/>
      <c r="AB48" s="491"/>
      <c r="AC48" s="491"/>
      <c r="AD48" s="491"/>
      <c r="AE48" s="491"/>
      <c r="AF48" s="491"/>
      <c r="AG48" s="491"/>
      <c r="AH48" s="491"/>
      <c r="AI48" s="491"/>
      <c r="AJ48" s="491"/>
      <c r="AK48" s="491"/>
      <c r="AL48" s="491"/>
      <c r="AM48" s="491"/>
      <c r="AN48" s="492"/>
      <c r="AO48" s="493"/>
      <c r="AP48" s="493"/>
      <c r="AQ48" s="493"/>
      <c r="AR48" s="493"/>
      <c r="BD48" s="489"/>
      <c r="BK48" s="494"/>
    </row>
    <row r="49" spans="1:63" s="91" customFormat="1" ht="15.75" customHeight="1">
      <c r="A49" s="484"/>
      <c r="B49" s="489"/>
      <c r="I49" s="490"/>
      <c r="J49" s="492"/>
      <c r="K49" s="492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492"/>
      <c r="AO49" s="493"/>
      <c r="AP49" s="493"/>
      <c r="AQ49" s="493"/>
      <c r="AR49" s="493"/>
      <c r="BD49" s="489"/>
      <c r="BK49" s="494"/>
    </row>
    <row r="50" spans="1:63" s="91" customFormat="1" ht="15.75" customHeight="1">
      <c r="A50" s="484"/>
      <c r="B50" s="489"/>
      <c r="I50" s="490"/>
      <c r="J50" s="492"/>
      <c r="K50" s="492"/>
      <c r="L50" s="491" t="s">
        <v>644</v>
      </c>
      <c r="M50" s="491"/>
      <c r="N50" s="491"/>
      <c r="O50" s="491"/>
      <c r="P50" s="491"/>
      <c r="Q50" s="491"/>
      <c r="R50" s="491"/>
      <c r="S50" s="496"/>
      <c r="T50" s="491"/>
      <c r="U50" s="491"/>
      <c r="V50" s="491"/>
      <c r="W50" s="491"/>
      <c r="X50" s="491"/>
      <c r="Y50" s="491"/>
      <c r="Z50" s="491"/>
      <c r="AA50" s="491"/>
      <c r="AB50" s="491"/>
      <c r="AC50" s="491"/>
      <c r="AD50" s="491"/>
      <c r="AE50" s="491"/>
      <c r="AF50" s="491"/>
      <c r="AG50" s="491"/>
      <c r="AH50" s="491"/>
      <c r="AI50" s="491"/>
      <c r="AJ50" s="491"/>
      <c r="AK50" s="491"/>
      <c r="AL50" s="491"/>
      <c r="AM50" s="491"/>
      <c r="AN50" s="492"/>
      <c r="AO50" s="493"/>
      <c r="AP50" s="493"/>
      <c r="AQ50" s="493"/>
      <c r="AR50" s="493"/>
      <c r="BD50" s="489"/>
      <c r="BK50" s="494"/>
    </row>
    <row r="51" spans="1:63" s="91" customFormat="1" ht="15.75" customHeight="1">
      <c r="A51" s="484"/>
      <c r="B51" s="489"/>
      <c r="I51" s="490"/>
      <c r="J51" s="492"/>
      <c r="K51" s="492"/>
      <c r="L51" s="491"/>
      <c r="M51" s="491" t="s">
        <v>641</v>
      </c>
      <c r="N51" s="491" t="s">
        <v>645</v>
      </c>
      <c r="O51" s="491"/>
      <c r="P51" s="491"/>
      <c r="Q51" s="491"/>
      <c r="R51" s="491"/>
      <c r="S51" s="496"/>
      <c r="T51" s="491"/>
      <c r="U51" s="491"/>
      <c r="V51" s="491"/>
      <c r="W51" s="491"/>
      <c r="X51" s="491"/>
      <c r="Y51" s="491"/>
      <c r="Z51" s="491"/>
      <c r="AA51" s="491"/>
      <c r="AB51" s="491"/>
      <c r="AC51" s="491"/>
      <c r="AD51" s="491"/>
      <c r="AE51" s="491"/>
      <c r="AF51" s="491"/>
      <c r="AG51" s="491"/>
      <c r="AH51" s="491"/>
      <c r="AI51" s="491"/>
      <c r="AJ51" s="491"/>
      <c r="AK51" s="491"/>
      <c r="AL51" s="491"/>
      <c r="AM51" s="491"/>
      <c r="AN51" s="492"/>
      <c r="AO51" s="493"/>
      <c r="AP51" s="493"/>
      <c r="AQ51" s="493"/>
      <c r="AR51" s="493"/>
      <c r="BD51" s="489"/>
      <c r="BK51" s="494"/>
    </row>
    <row r="52" spans="1:63" s="91" customFormat="1" ht="15.75" customHeight="1">
      <c r="A52" s="484"/>
      <c r="B52" s="489"/>
      <c r="I52" s="490"/>
      <c r="J52" s="492"/>
      <c r="K52" s="492"/>
      <c r="L52" s="491"/>
      <c r="M52" s="491"/>
      <c r="N52" s="491" t="s">
        <v>643</v>
      </c>
      <c r="O52" s="491"/>
      <c r="P52" s="491"/>
      <c r="Q52" s="491"/>
      <c r="R52" s="491"/>
      <c r="S52" s="496"/>
      <c r="T52" s="491"/>
      <c r="U52" s="491"/>
      <c r="V52" s="491"/>
      <c r="W52" s="491"/>
      <c r="X52" s="491"/>
      <c r="Y52" s="491"/>
      <c r="Z52" s="491"/>
      <c r="AA52" s="491"/>
      <c r="AB52" s="491"/>
      <c r="AC52" s="491"/>
      <c r="AD52" s="491"/>
      <c r="AE52" s="491"/>
      <c r="AF52" s="491"/>
      <c r="AG52" s="491"/>
      <c r="AH52" s="491"/>
      <c r="AI52" s="491"/>
      <c r="AJ52" s="491"/>
      <c r="AK52" s="491"/>
      <c r="AL52" s="491"/>
      <c r="AM52" s="491"/>
      <c r="AN52" s="492"/>
      <c r="AO52" s="493"/>
      <c r="AP52" s="493"/>
      <c r="AQ52" s="493"/>
      <c r="AR52" s="493"/>
      <c r="BD52" s="489"/>
      <c r="BK52" s="494"/>
    </row>
    <row r="53" spans="1:63" s="91" customFormat="1" ht="15.75" customHeight="1">
      <c r="A53" s="484"/>
      <c r="B53" s="489"/>
      <c r="I53" s="490"/>
      <c r="J53" s="492"/>
      <c r="K53" s="492"/>
      <c r="L53" s="492"/>
      <c r="M53" s="492"/>
      <c r="N53" s="492"/>
      <c r="O53" s="492"/>
      <c r="P53" s="492"/>
      <c r="Q53" s="492"/>
      <c r="R53" s="492"/>
      <c r="S53" s="492"/>
      <c r="T53" s="492"/>
      <c r="U53" s="492"/>
      <c r="V53" s="492"/>
      <c r="W53" s="492"/>
      <c r="X53" s="492"/>
      <c r="Y53" s="492"/>
      <c r="Z53" s="492"/>
      <c r="AA53" s="492"/>
      <c r="AB53" s="492"/>
      <c r="AC53" s="492"/>
      <c r="AD53" s="492"/>
      <c r="AE53" s="492"/>
      <c r="AF53" s="492"/>
      <c r="AG53" s="492"/>
      <c r="AH53" s="492"/>
      <c r="AI53" s="492"/>
      <c r="AJ53" s="492"/>
      <c r="AK53" s="492"/>
      <c r="AL53" s="492"/>
      <c r="AM53" s="492"/>
      <c r="AN53" s="492"/>
      <c r="AO53" s="493"/>
      <c r="AP53" s="493"/>
      <c r="AQ53" s="493"/>
      <c r="AR53" s="493"/>
      <c r="BD53" s="489"/>
      <c r="BK53" s="494"/>
    </row>
    <row r="54" spans="1:63" s="91" customFormat="1" ht="15.75" customHeight="1">
      <c r="A54" s="484"/>
      <c r="B54" s="489"/>
      <c r="I54" s="490"/>
      <c r="J54" s="87" t="s">
        <v>637</v>
      </c>
      <c r="K54" s="76"/>
      <c r="L54" s="76" t="s">
        <v>647</v>
      </c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BD54" s="489"/>
      <c r="BK54" s="494"/>
    </row>
    <row r="55" spans="1:63" s="91" customFormat="1" ht="15.75" customHeight="1">
      <c r="A55" s="484"/>
      <c r="B55" s="489"/>
      <c r="I55" s="490"/>
      <c r="J55" s="76"/>
      <c r="K55" s="76"/>
      <c r="L55" s="76" t="s">
        <v>648</v>
      </c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BD55" s="489"/>
      <c r="BK55" s="494"/>
    </row>
    <row r="56" spans="1:63" s="91" customFormat="1" ht="15.75" customHeight="1">
      <c r="A56" s="484"/>
      <c r="B56" s="489"/>
      <c r="I56" s="490"/>
      <c r="J56" s="76"/>
      <c r="K56" s="76"/>
      <c r="L56" s="76" t="s">
        <v>649</v>
      </c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BD56" s="489"/>
      <c r="BK56" s="494"/>
    </row>
    <row r="57" spans="1:63" s="91" customFormat="1" ht="15.75" customHeight="1">
      <c r="A57" s="484"/>
      <c r="B57" s="489"/>
      <c r="I57" s="490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BD57" s="489"/>
      <c r="BK57" s="494"/>
    </row>
    <row r="58" spans="1:63" s="91" customFormat="1" ht="15.75" customHeight="1">
      <c r="A58" s="484"/>
      <c r="B58" s="489"/>
      <c r="I58" s="490"/>
      <c r="J58" s="76"/>
      <c r="K58" s="76"/>
      <c r="L58" s="76"/>
      <c r="M58" s="76" t="s">
        <v>641</v>
      </c>
      <c r="N58" s="76" t="s">
        <v>650</v>
      </c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BD58" s="489"/>
      <c r="BK58" s="494"/>
    </row>
    <row r="59" spans="1:63" s="91" customFormat="1" ht="15.75" customHeight="1">
      <c r="A59" s="484"/>
      <c r="B59" s="489"/>
      <c r="I59" s="490"/>
      <c r="J59" s="76"/>
      <c r="K59" s="76"/>
      <c r="L59" s="76"/>
      <c r="M59" s="76"/>
      <c r="N59" s="76" t="s">
        <v>643</v>
      </c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BD59" s="489"/>
      <c r="BK59" s="494"/>
    </row>
    <row r="60" spans="1:63" s="91" customFormat="1" ht="15.75" customHeight="1">
      <c r="A60" s="484"/>
      <c r="B60" s="489"/>
      <c r="I60" s="490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2"/>
      <c r="AB60" s="492"/>
      <c r="AC60" s="492"/>
      <c r="AD60" s="492"/>
      <c r="AE60" s="492"/>
      <c r="AF60" s="492"/>
      <c r="AG60" s="492"/>
      <c r="AH60" s="492"/>
      <c r="AI60" s="492"/>
      <c r="AJ60" s="492"/>
      <c r="AK60" s="492"/>
      <c r="AL60" s="492"/>
      <c r="AM60" s="492"/>
      <c r="AN60" s="492"/>
      <c r="AO60" s="493"/>
      <c r="AP60" s="493"/>
      <c r="AQ60" s="493"/>
      <c r="AR60" s="493"/>
      <c r="BD60" s="489"/>
      <c r="BK60" s="494"/>
    </row>
    <row r="61" spans="1:63" s="91" customFormat="1" ht="15.75" customHeight="1">
      <c r="A61" s="484"/>
      <c r="B61" s="489"/>
      <c r="I61" s="490"/>
      <c r="J61" s="87" t="s">
        <v>646</v>
      </c>
      <c r="K61" s="76"/>
      <c r="L61" s="76" t="s">
        <v>651</v>
      </c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492"/>
      <c r="AF61" s="492"/>
      <c r="AG61" s="492"/>
      <c r="AH61" s="492"/>
      <c r="AI61" s="492"/>
      <c r="AJ61" s="492"/>
      <c r="AK61" s="492"/>
      <c r="AL61" s="492"/>
      <c r="AM61" s="492"/>
      <c r="AN61" s="492"/>
      <c r="AO61" s="493"/>
      <c r="AP61" s="493"/>
      <c r="AQ61" s="493"/>
      <c r="AR61" s="493"/>
      <c r="BD61" s="489"/>
      <c r="BK61" s="494"/>
    </row>
    <row r="62" spans="1:63" s="91" customFormat="1" ht="15.75" customHeight="1">
      <c r="A62" s="484"/>
      <c r="B62" s="489"/>
      <c r="I62" s="490"/>
      <c r="J62" s="76"/>
      <c r="K62" s="76"/>
      <c r="L62" s="76" t="s">
        <v>652</v>
      </c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492"/>
      <c r="AF62" s="492"/>
      <c r="AG62" s="492"/>
      <c r="AH62" s="492"/>
      <c r="AI62" s="492"/>
      <c r="AJ62" s="492"/>
      <c r="AK62" s="492"/>
      <c r="AL62" s="492"/>
      <c r="AM62" s="492"/>
      <c r="AN62" s="492"/>
      <c r="AO62" s="493"/>
      <c r="AP62" s="493"/>
      <c r="AQ62" s="493"/>
      <c r="AR62" s="493"/>
      <c r="BD62" s="489"/>
      <c r="BK62" s="494"/>
    </row>
    <row r="63" spans="1:63" s="91" customFormat="1" ht="15.75" customHeight="1">
      <c r="A63" s="484"/>
      <c r="B63" s="489"/>
      <c r="I63" s="490"/>
      <c r="J63" s="76"/>
      <c r="K63" s="76"/>
      <c r="L63" s="76" t="s">
        <v>653</v>
      </c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492"/>
      <c r="AF63" s="492"/>
      <c r="AG63" s="492"/>
      <c r="AH63" s="492"/>
      <c r="AI63" s="492"/>
      <c r="AJ63" s="492"/>
      <c r="AK63" s="492"/>
      <c r="AL63" s="492"/>
      <c r="AM63" s="492"/>
      <c r="AN63" s="492"/>
      <c r="AO63" s="493"/>
      <c r="AP63" s="493"/>
      <c r="AQ63" s="493"/>
      <c r="AR63" s="493"/>
      <c r="BD63" s="489"/>
      <c r="BK63" s="494"/>
    </row>
    <row r="64" spans="1:63" s="91" customFormat="1" ht="15.75" customHeight="1">
      <c r="A64" s="484"/>
      <c r="B64" s="489"/>
      <c r="I64" s="490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492"/>
      <c r="AF64" s="492"/>
      <c r="AG64" s="492"/>
      <c r="AH64" s="492"/>
      <c r="AI64" s="492"/>
      <c r="AJ64" s="492"/>
      <c r="AK64" s="492"/>
      <c r="AL64" s="492"/>
      <c r="AM64" s="492"/>
      <c r="AN64" s="492"/>
      <c r="AO64" s="493"/>
      <c r="AP64" s="493"/>
      <c r="AQ64" s="493"/>
      <c r="AR64" s="493"/>
      <c r="BD64" s="489"/>
      <c r="BK64" s="494"/>
    </row>
    <row r="65" spans="1:63" s="91" customFormat="1" ht="15.75" customHeight="1">
      <c r="A65" s="484"/>
      <c r="B65" s="489"/>
      <c r="I65" s="490"/>
      <c r="J65" s="76"/>
      <c r="K65" s="76"/>
      <c r="L65" s="76"/>
      <c r="M65" s="76" t="s">
        <v>641</v>
      </c>
      <c r="N65" s="76" t="s">
        <v>654</v>
      </c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492"/>
      <c r="AF65" s="492"/>
      <c r="AG65" s="492"/>
      <c r="AH65" s="492"/>
      <c r="AI65" s="492"/>
      <c r="AJ65" s="492"/>
      <c r="AK65" s="492"/>
      <c r="AL65" s="492"/>
      <c r="AM65" s="492"/>
      <c r="AN65" s="492"/>
      <c r="AO65" s="493"/>
      <c r="AP65" s="493"/>
      <c r="AQ65" s="493"/>
      <c r="AR65" s="493"/>
      <c r="BD65" s="489"/>
      <c r="BK65" s="494"/>
    </row>
    <row r="66" spans="1:63" s="91" customFormat="1" ht="15.75" customHeight="1">
      <c r="A66" s="484"/>
      <c r="B66" s="489"/>
      <c r="I66" s="490"/>
      <c r="J66" s="76"/>
      <c r="K66" s="76"/>
      <c r="L66" s="76"/>
      <c r="M66" s="76"/>
      <c r="N66" s="76" t="s">
        <v>643</v>
      </c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492"/>
      <c r="AF66" s="492"/>
      <c r="AG66" s="492"/>
      <c r="AH66" s="492"/>
      <c r="AI66" s="492"/>
      <c r="AJ66" s="492"/>
      <c r="AK66" s="492"/>
      <c r="AL66" s="492"/>
      <c r="AM66" s="492"/>
      <c r="AN66" s="492"/>
      <c r="AO66" s="493"/>
      <c r="AP66" s="493"/>
      <c r="AQ66" s="493"/>
      <c r="AR66" s="493"/>
      <c r="BD66" s="489"/>
      <c r="BK66" s="494"/>
    </row>
    <row r="67" spans="1:63" s="91" customFormat="1" ht="15.75" customHeight="1">
      <c r="A67" s="484"/>
      <c r="B67" s="489"/>
      <c r="I67" s="490"/>
      <c r="J67" s="492"/>
      <c r="K67" s="492"/>
      <c r="L67" s="492"/>
      <c r="M67" s="492"/>
      <c r="N67" s="492"/>
      <c r="O67" s="492"/>
      <c r="P67" s="492"/>
      <c r="Q67" s="492"/>
      <c r="R67" s="492"/>
      <c r="S67" s="492"/>
      <c r="T67" s="492"/>
      <c r="U67" s="492"/>
      <c r="V67" s="492"/>
      <c r="W67" s="492"/>
      <c r="X67" s="492"/>
      <c r="Y67" s="492"/>
      <c r="Z67" s="492"/>
      <c r="AA67" s="492"/>
      <c r="AB67" s="492"/>
      <c r="AC67" s="492"/>
      <c r="AD67" s="492"/>
      <c r="AE67" s="492"/>
      <c r="AF67" s="492"/>
      <c r="AG67" s="492"/>
      <c r="AH67" s="492"/>
      <c r="AI67" s="492"/>
      <c r="AJ67" s="492"/>
      <c r="AK67" s="492"/>
      <c r="AL67" s="492"/>
      <c r="AM67" s="492"/>
      <c r="AN67" s="492"/>
      <c r="AO67" s="493"/>
      <c r="AP67" s="493"/>
      <c r="AQ67" s="493"/>
      <c r="AR67" s="493"/>
      <c r="BD67" s="489"/>
      <c r="BK67" s="494"/>
    </row>
    <row r="68" spans="1:63" s="91" customFormat="1" ht="15.75" customHeight="1">
      <c r="A68" s="484"/>
      <c r="B68" s="489"/>
      <c r="I68" s="490"/>
      <c r="J68" s="497" t="s">
        <v>659</v>
      </c>
      <c r="K68" s="76"/>
      <c r="L68" s="76" t="s">
        <v>655</v>
      </c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492"/>
      <c r="AG68" s="492"/>
      <c r="AH68" s="492"/>
      <c r="AI68" s="492"/>
      <c r="AJ68" s="492"/>
      <c r="AK68" s="492"/>
      <c r="AL68" s="492"/>
      <c r="AM68" s="492"/>
      <c r="AN68" s="492"/>
      <c r="AO68" s="493"/>
      <c r="AP68" s="493"/>
      <c r="AQ68" s="493"/>
      <c r="AR68" s="493"/>
      <c r="BD68" s="489"/>
      <c r="BK68" s="494"/>
    </row>
    <row r="69" spans="1:63" s="91" customFormat="1" ht="15.75" customHeight="1">
      <c r="A69" s="484"/>
      <c r="B69" s="489"/>
      <c r="I69" s="490"/>
      <c r="J69" s="497"/>
      <c r="K69" s="76"/>
      <c r="L69" s="76" t="s">
        <v>739</v>
      </c>
      <c r="M69" s="76"/>
      <c r="N69" s="76"/>
      <c r="O69" s="497" t="s">
        <v>656</v>
      </c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492"/>
      <c r="AG69" s="492"/>
      <c r="AH69" s="492"/>
      <c r="AI69" s="492"/>
      <c r="AJ69" s="492"/>
      <c r="AK69" s="492"/>
      <c r="AL69" s="492"/>
      <c r="AM69" s="492"/>
      <c r="AN69" s="492"/>
      <c r="AO69" s="493"/>
      <c r="AP69" s="493"/>
      <c r="AQ69" s="493"/>
      <c r="AR69" s="493"/>
      <c r="BD69" s="489"/>
      <c r="BK69" s="494"/>
    </row>
    <row r="70" spans="1:63" s="91" customFormat="1" ht="15.75" customHeight="1">
      <c r="A70" s="484"/>
      <c r="B70" s="489"/>
      <c r="I70" s="490"/>
      <c r="J70" s="497"/>
      <c r="K70" s="76"/>
      <c r="L70" s="76"/>
      <c r="M70" s="76"/>
      <c r="N70" s="76"/>
      <c r="O70" s="497" t="s">
        <v>657</v>
      </c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492"/>
      <c r="AG70" s="492"/>
      <c r="AH70" s="492"/>
      <c r="AI70" s="492"/>
      <c r="AJ70" s="492"/>
      <c r="AK70" s="492"/>
      <c r="AL70" s="492"/>
      <c r="AM70" s="492"/>
      <c r="AN70" s="492"/>
      <c r="AO70" s="493"/>
      <c r="AP70" s="493"/>
      <c r="AQ70" s="493"/>
      <c r="AR70" s="493"/>
      <c r="BD70" s="489" t="s">
        <v>491</v>
      </c>
      <c r="BK70" s="494"/>
    </row>
    <row r="71" spans="1:63" s="91" customFormat="1" ht="15.75" customHeight="1">
      <c r="A71" s="484"/>
      <c r="B71" s="489"/>
      <c r="I71" s="490"/>
      <c r="J71" s="497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492"/>
      <c r="AG71" s="492"/>
      <c r="AH71" s="492"/>
      <c r="AI71" s="492"/>
      <c r="AJ71" s="492"/>
      <c r="AK71" s="492"/>
      <c r="AL71" s="492"/>
      <c r="AM71" s="492"/>
      <c r="AN71" s="492"/>
      <c r="AO71" s="493"/>
      <c r="AP71" s="493"/>
      <c r="AQ71" s="493"/>
      <c r="AR71" s="493"/>
      <c r="BD71" s="489"/>
      <c r="BK71" s="494"/>
    </row>
    <row r="72" spans="1:63" s="91" customFormat="1" ht="15.75" customHeight="1">
      <c r="A72" s="484"/>
      <c r="B72" s="489"/>
      <c r="I72" s="490"/>
      <c r="J72" s="76"/>
      <c r="K72" s="76"/>
      <c r="L72" s="76" t="s">
        <v>740</v>
      </c>
      <c r="M72" s="76"/>
      <c r="N72" s="76"/>
      <c r="O72" s="497" t="s">
        <v>658</v>
      </c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492"/>
      <c r="AG72" s="492"/>
      <c r="AH72" s="492"/>
      <c r="AI72" s="492"/>
      <c r="AJ72" s="492"/>
      <c r="AK72" s="492"/>
      <c r="AL72" s="492"/>
      <c r="AM72" s="492"/>
      <c r="AN72" s="492"/>
      <c r="AO72" s="493"/>
      <c r="AP72" s="493"/>
      <c r="AQ72" s="493"/>
      <c r="AR72" s="493"/>
      <c r="BD72" s="489"/>
      <c r="BK72" s="494"/>
    </row>
    <row r="73" spans="1:63" s="91" customFormat="1" ht="15.75" customHeight="1">
      <c r="A73" s="484"/>
      <c r="B73" s="489"/>
      <c r="I73" s="490"/>
      <c r="J73" s="76"/>
      <c r="K73" s="76"/>
      <c r="L73" s="76"/>
      <c r="M73" s="76"/>
      <c r="N73" s="76"/>
      <c r="O73" s="497" t="s">
        <v>657</v>
      </c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492"/>
      <c r="AG73" s="492"/>
      <c r="AH73" s="492"/>
      <c r="AI73" s="492"/>
      <c r="AJ73" s="492"/>
      <c r="AK73" s="492"/>
      <c r="AL73" s="492"/>
      <c r="AM73" s="492"/>
      <c r="AN73" s="492"/>
      <c r="AO73" s="493"/>
      <c r="AP73" s="493"/>
      <c r="AQ73" s="493"/>
      <c r="AR73" s="493"/>
      <c r="BD73" s="489" t="s">
        <v>494</v>
      </c>
      <c r="BK73" s="494"/>
    </row>
    <row r="74" spans="1:63" s="91" customFormat="1" ht="15.75" customHeight="1">
      <c r="A74" s="484"/>
      <c r="B74" s="489"/>
      <c r="I74" s="490"/>
      <c r="J74" s="492"/>
      <c r="K74" s="492"/>
      <c r="L74" s="492"/>
      <c r="M74" s="492"/>
      <c r="N74" s="492"/>
      <c r="O74" s="492"/>
      <c r="P74" s="492"/>
      <c r="Q74" s="492"/>
      <c r="R74" s="492"/>
      <c r="S74" s="492"/>
      <c r="T74" s="492"/>
      <c r="U74" s="492"/>
      <c r="V74" s="492"/>
      <c r="W74" s="492"/>
      <c r="X74" s="492"/>
      <c r="Y74" s="492"/>
      <c r="Z74" s="492"/>
      <c r="AA74" s="492"/>
      <c r="AB74" s="492"/>
      <c r="AC74" s="492"/>
      <c r="AD74" s="492"/>
      <c r="AE74" s="492"/>
      <c r="AF74" s="492"/>
      <c r="AG74" s="492"/>
      <c r="AH74" s="492"/>
      <c r="AI74" s="492"/>
      <c r="AJ74" s="492"/>
      <c r="AK74" s="492"/>
      <c r="AL74" s="492"/>
      <c r="AM74" s="492"/>
      <c r="AN74" s="492"/>
      <c r="AO74" s="493"/>
      <c r="AP74" s="493"/>
      <c r="AQ74" s="493"/>
      <c r="AR74" s="493"/>
      <c r="BD74" s="489"/>
      <c r="BK74" s="494"/>
    </row>
    <row r="75" spans="1:63" s="91" customFormat="1" ht="15.75" customHeight="1">
      <c r="A75" s="484"/>
      <c r="B75" s="489"/>
      <c r="I75" s="490"/>
      <c r="J75" s="492"/>
      <c r="K75" s="492"/>
      <c r="L75" s="76" t="s">
        <v>741</v>
      </c>
      <c r="M75" s="76"/>
      <c r="N75" s="76"/>
      <c r="O75" s="497" t="s">
        <v>660</v>
      </c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492"/>
      <c r="AC75" s="492"/>
      <c r="AD75" s="492"/>
      <c r="AE75" s="492"/>
      <c r="AF75" s="492"/>
      <c r="AG75" s="492"/>
      <c r="AH75" s="492"/>
      <c r="AI75" s="492"/>
      <c r="AJ75" s="492"/>
      <c r="AK75" s="492"/>
      <c r="AL75" s="492"/>
      <c r="AM75" s="492"/>
      <c r="AN75" s="492"/>
      <c r="AO75" s="493"/>
      <c r="AP75" s="493"/>
      <c r="AQ75" s="493"/>
      <c r="AR75" s="493"/>
      <c r="BD75" s="489"/>
      <c r="BK75" s="494"/>
    </row>
    <row r="76" spans="1:63" s="91" customFormat="1" ht="15.75" customHeight="1">
      <c r="A76" s="484"/>
      <c r="B76" s="489"/>
      <c r="I76" s="490"/>
      <c r="J76" s="492"/>
      <c r="K76" s="492"/>
      <c r="L76" s="76"/>
      <c r="M76" s="76"/>
      <c r="N76" s="76"/>
      <c r="O76" s="497" t="s">
        <v>657</v>
      </c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492"/>
      <c r="AC76" s="492"/>
      <c r="AD76" s="492"/>
      <c r="AE76" s="492"/>
      <c r="AF76" s="492"/>
      <c r="AG76" s="492"/>
      <c r="AH76" s="492"/>
      <c r="AI76" s="492"/>
      <c r="AJ76" s="492"/>
      <c r="AK76" s="492"/>
      <c r="AL76" s="492"/>
      <c r="AM76" s="492"/>
      <c r="AN76" s="492"/>
      <c r="AO76" s="493"/>
      <c r="AP76" s="493"/>
      <c r="AQ76" s="493"/>
      <c r="AR76" s="493"/>
      <c r="BD76" s="489" t="s">
        <v>497</v>
      </c>
      <c r="BK76" s="494"/>
    </row>
    <row r="77" spans="1:63" s="91" customFormat="1" ht="15.75" customHeight="1">
      <c r="A77" s="484"/>
      <c r="B77" s="489"/>
      <c r="I77" s="490"/>
      <c r="J77" s="492"/>
      <c r="K77" s="492"/>
      <c r="L77" s="492"/>
      <c r="M77" s="492"/>
      <c r="N77" s="492"/>
      <c r="O77" s="492"/>
      <c r="P77" s="492"/>
      <c r="Q77" s="492"/>
      <c r="R77" s="492"/>
      <c r="S77" s="492"/>
      <c r="T77" s="492"/>
      <c r="U77" s="492"/>
      <c r="V77" s="492"/>
      <c r="W77" s="492"/>
      <c r="X77" s="492"/>
      <c r="Y77" s="492"/>
      <c r="Z77" s="492"/>
      <c r="AA77" s="492"/>
      <c r="AB77" s="492"/>
      <c r="AC77" s="492"/>
      <c r="AD77" s="492"/>
      <c r="AE77" s="492"/>
      <c r="AF77" s="492"/>
      <c r="AG77" s="492"/>
      <c r="AH77" s="492"/>
      <c r="AI77" s="492"/>
      <c r="AJ77" s="492"/>
      <c r="AK77" s="492"/>
      <c r="AL77" s="492"/>
      <c r="AM77" s="492"/>
      <c r="AN77" s="492"/>
      <c r="AO77" s="493"/>
      <c r="AP77" s="493"/>
      <c r="AQ77" s="493"/>
      <c r="AR77" s="493"/>
      <c r="BD77" s="489"/>
      <c r="BK77" s="494"/>
    </row>
    <row r="78" spans="1:63" s="91" customFormat="1" ht="15.75" customHeight="1">
      <c r="A78" s="484"/>
      <c r="B78" s="489"/>
      <c r="I78" s="490"/>
      <c r="J78" s="492"/>
      <c r="K78" s="492"/>
      <c r="L78" s="76" t="s">
        <v>742</v>
      </c>
      <c r="M78" s="76"/>
      <c r="N78" s="76"/>
      <c r="O78" s="76" t="s">
        <v>663</v>
      </c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492"/>
      <c r="AO78" s="493"/>
      <c r="AP78" s="493"/>
      <c r="AQ78" s="493"/>
      <c r="AR78" s="493"/>
      <c r="BD78" s="489"/>
      <c r="BK78" s="494"/>
    </row>
    <row r="79" spans="1:63" s="91" customFormat="1" ht="15.75" customHeight="1">
      <c r="A79" s="484"/>
      <c r="B79" s="489"/>
      <c r="I79" s="490"/>
      <c r="J79" s="492"/>
      <c r="K79" s="492"/>
      <c r="L79" s="76"/>
      <c r="M79" s="76"/>
      <c r="N79" s="76"/>
      <c r="O79" s="76" t="s">
        <v>661</v>
      </c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492"/>
      <c r="AO79" s="493"/>
      <c r="AP79" s="493"/>
      <c r="AQ79" s="493"/>
      <c r="AR79" s="493"/>
      <c r="BD79" s="489"/>
      <c r="BK79" s="494"/>
    </row>
    <row r="80" spans="1:63" s="91" customFormat="1" ht="15.75" customHeight="1">
      <c r="A80" s="484"/>
      <c r="B80" s="489"/>
      <c r="I80" s="490"/>
      <c r="J80" s="492"/>
      <c r="K80" s="492"/>
      <c r="L80" s="76"/>
      <c r="M80" s="76"/>
      <c r="N80" s="76"/>
      <c r="O80" s="76" t="s">
        <v>664</v>
      </c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492"/>
      <c r="AO80" s="493"/>
      <c r="AP80" s="493"/>
      <c r="AQ80" s="493"/>
      <c r="AR80" s="493"/>
      <c r="BD80" s="489" t="s">
        <v>481</v>
      </c>
      <c r="BK80" s="494"/>
    </row>
    <row r="81" spans="1:64" ht="15.75" customHeight="1">
      <c r="B81" s="81"/>
      <c r="I81" s="82"/>
      <c r="L81" s="510"/>
      <c r="M81" s="497"/>
      <c r="O81" s="555"/>
      <c r="P81" s="555" t="s">
        <v>722</v>
      </c>
      <c r="Q81" s="555" t="s">
        <v>797</v>
      </c>
      <c r="R81" s="555"/>
      <c r="S81" s="556"/>
      <c r="T81" s="555"/>
      <c r="U81" s="555"/>
      <c r="V81" s="555"/>
      <c r="W81" s="555"/>
      <c r="X81" s="555"/>
      <c r="Y81" s="555"/>
      <c r="Z81" s="555"/>
      <c r="AA81" s="555"/>
      <c r="AB81" s="555"/>
      <c r="AC81" s="555"/>
      <c r="AD81" s="555"/>
      <c r="AE81" s="555"/>
      <c r="AF81" s="555"/>
      <c r="AG81" s="555"/>
      <c r="AH81" s="555"/>
      <c r="AI81" s="555"/>
      <c r="AJ81" s="555"/>
      <c r="AK81" s="555"/>
      <c r="AL81" s="557"/>
      <c r="AM81" s="558"/>
      <c r="AN81" s="558"/>
      <c r="AO81" s="558"/>
      <c r="AP81" s="558"/>
      <c r="AQ81" s="558"/>
      <c r="AR81" s="558"/>
      <c r="AS81" s="558"/>
      <c r="AT81" s="558"/>
      <c r="AU81" s="558"/>
      <c r="AV81" s="558"/>
      <c r="AW81" s="558"/>
      <c r="AX81" s="558"/>
      <c r="AY81" s="558"/>
      <c r="AZ81" s="558"/>
      <c r="BA81" s="558"/>
      <c r="BB81" s="558"/>
      <c r="BC81" s="558"/>
      <c r="BD81" s="559"/>
      <c r="BE81" s="558"/>
      <c r="BF81" s="558"/>
      <c r="BG81" s="558"/>
      <c r="BH81" s="558"/>
      <c r="BI81" s="558"/>
      <c r="BK81" s="494"/>
      <c r="BL81" s="91"/>
    </row>
    <row r="82" spans="1:64" ht="15.75" customHeight="1">
      <c r="B82" s="81"/>
      <c r="I82" s="82"/>
      <c r="O82" s="86"/>
      <c r="P82" s="86"/>
      <c r="Q82" s="86" t="s">
        <v>798</v>
      </c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560"/>
      <c r="BE82" s="86"/>
      <c r="BF82" s="86"/>
      <c r="BG82" s="86"/>
      <c r="BH82" s="86"/>
      <c r="BI82" s="86"/>
      <c r="BK82" s="494"/>
      <c r="BL82" s="91"/>
    </row>
    <row r="83" spans="1:64" ht="15.75" customHeight="1">
      <c r="B83" s="81"/>
      <c r="I83" s="82"/>
      <c r="O83" s="86"/>
      <c r="P83" s="86"/>
      <c r="Q83" s="86" t="s">
        <v>799</v>
      </c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559" t="s">
        <v>803</v>
      </c>
      <c r="BE83" s="86"/>
      <c r="BF83" s="86"/>
      <c r="BG83" s="86"/>
      <c r="BH83" s="86"/>
      <c r="BI83" s="86"/>
      <c r="BK83" s="494"/>
      <c r="BL83" s="91"/>
    </row>
    <row r="84" spans="1:64" ht="15.75" customHeight="1">
      <c r="B84" s="81"/>
      <c r="I84" s="82"/>
      <c r="O84" s="86"/>
      <c r="P84" s="86"/>
      <c r="Q84" s="86"/>
      <c r="R84" s="86"/>
      <c r="S84" s="86" t="s">
        <v>792</v>
      </c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560"/>
      <c r="BE84" s="86"/>
      <c r="BF84" s="86"/>
      <c r="BG84" s="86"/>
      <c r="BH84" s="86"/>
      <c r="BI84" s="86"/>
      <c r="BK84" s="494"/>
      <c r="BL84" s="91"/>
    </row>
    <row r="85" spans="1:64" ht="15.75" customHeight="1">
      <c r="B85" s="81"/>
      <c r="I85" s="82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560"/>
      <c r="BE85" s="86"/>
      <c r="BF85" s="86"/>
      <c r="BG85" s="86"/>
      <c r="BH85" s="86"/>
      <c r="BI85" s="86"/>
      <c r="BK85" s="494"/>
      <c r="BL85" s="91"/>
    </row>
    <row r="86" spans="1:64" ht="15.75" customHeight="1">
      <c r="B86" s="81"/>
      <c r="I86" s="82"/>
      <c r="O86" s="86"/>
      <c r="P86" s="86" t="s">
        <v>723</v>
      </c>
      <c r="Q86" s="86" t="s">
        <v>800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560"/>
      <c r="BE86" s="86"/>
      <c r="BF86" s="86"/>
      <c r="BG86" s="86"/>
      <c r="BH86" s="86"/>
      <c r="BI86" s="86"/>
      <c r="BK86" s="494"/>
      <c r="BL86" s="91"/>
    </row>
    <row r="87" spans="1:64" ht="15.75" customHeight="1">
      <c r="B87" s="81"/>
      <c r="I87" s="82"/>
      <c r="O87" s="86"/>
      <c r="P87" s="86"/>
      <c r="Q87" s="86" t="s">
        <v>801</v>
      </c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560"/>
      <c r="BE87" s="86"/>
      <c r="BF87" s="86"/>
      <c r="BG87" s="86"/>
      <c r="BH87" s="86"/>
      <c r="BI87" s="86"/>
      <c r="BK87" s="494"/>
      <c r="BL87" s="91"/>
    </row>
    <row r="88" spans="1:64" ht="15.75" customHeight="1">
      <c r="B88" s="81"/>
      <c r="I88" s="82"/>
      <c r="O88" s="86"/>
      <c r="P88" s="86"/>
      <c r="Q88" s="86" t="s">
        <v>802</v>
      </c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559" t="s">
        <v>805</v>
      </c>
      <c r="BE88" s="86"/>
      <c r="BF88" s="86"/>
      <c r="BG88" s="86"/>
      <c r="BH88" s="86"/>
      <c r="BI88" s="86"/>
      <c r="BK88" s="494"/>
      <c r="BL88" s="91"/>
    </row>
    <row r="89" spans="1:64" ht="15.75" customHeight="1">
      <c r="B89" s="81"/>
      <c r="I89" s="82"/>
      <c r="O89" s="86"/>
      <c r="P89" s="86"/>
      <c r="Q89" s="86"/>
      <c r="R89" s="86"/>
      <c r="S89" s="86" t="s">
        <v>804</v>
      </c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560"/>
      <c r="BE89" s="86"/>
      <c r="BF89" s="86"/>
      <c r="BG89" s="86"/>
      <c r="BH89" s="86"/>
      <c r="BI89" s="86"/>
      <c r="BK89" s="494"/>
      <c r="BL89" s="91"/>
    </row>
    <row r="90" spans="1:64" s="91" customFormat="1" ht="15.75" customHeight="1">
      <c r="A90" s="484"/>
      <c r="B90" s="489"/>
      <c r="I90" s="490"/>
      <c r="J90" s="492"/>
      <c r="K90" s="492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492"/>
      <c r="AO90" s="493"/>
      <c r="AP90" s="493"/>
      <c r="AQ90" s="493"/>
      <c r="AR90" s="493"/>
      <c r="BD90" s="489"/>
      <c r="BK90" s="494"/>
    </row>
    <row r="91" spans="1:64" s="91" customFormat="1" ht="15.75" customHeight="1">
      <c r="A91" s="484"/>
      <c r="B91" s="489"/>
      <c r="I91" s="490"/>
      <c r="J91" s="492"/>
      <c r="K91" s="492"/>
      <c r="L91" s="76"/>
      <c r="M91" s="76"/>
      <c r="N91" s="76"/>
      <c r="O91" s="76" t="s">
        <v>665</v>
      </c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492"/>
      <c r="AO91" s="493"/>
      <c r="AP91" s="493"/>
      <c r="AQ91" s="493"/>
      <c r="AR91" s="493"/>
      <c r="BD91" s="489" t="s">
        <v>499</v>
      </c>
      <c r="BK91" s="494"/>
    </row>
    <row r="92" spans="1:64" s="91" customFormat="1" ht="15.75" customHeight="1">
      <c r="A92" s="484"/>
      <c r="B92" s="489"/>
      <c r="I92" s="490"/>
      <c r="J92" s="492"/>
      <c r="K92" s="492"/>
      <c r="L92" s="76"/>
      <c r="M92" s="76"/>
      <c r="N92" s="76"/>
      <c r="O92" s="76"/>
      <c r="P92" s="76"/>
      <c r="Q92" s="497" t="s">
        <v>662</v>
      </c>
      <c r="R92" s="497"/>
      <c r="S92" s="497"/>
      <c r="T92" s="497"/>
      <c r="U92" s="497"/>
      <c r="V92" s="497"/>
      <c r="W92" s="497"/>
      <c r="X92" s="497"/>
      <c r="Y92" s="497"/>
      <c r="Z92" s="497"/>
      <c r="AA92" s="497"/>
      <c r="AB92" s="497"/>
      <c r="AC92" s="497"/>
      <c r="AD92" s="497"/>
      <c r="AE92" s="497"/>
      <c r="AF92" s="497"/>
      <c r="AG92" s="497"/>
      <c r="AH92" s="497"/>
      <c r="AI92" s="497"/>
      <c r="AJ92" s="497"/>
      <c r="AK92" s="497"/>
      <c r="AL92" s="497"/>
      <c r="AM92" s="497"/>
      <c r="AN92" s="492"/>
      <c r="AO92" s="493"/>
      <c r="AP92" s="493"/>
      <c r="AQ92" s="493"/>
      <c r="AR92" s="493"/>
      <c r="BD92" s="489"/>
      <c r="BK92" s="494"/>
    </row>
    <row r="93" spans="1:64" s="91" customFormat="1" ht="15.75" customHeight="1">
      <c r="A93" s="484"/>
      <c r="B93" s="489"/>
      <c r="I93" s="490"/>
      <c r="J93" s="492"/>
      <c r="K93" s="492"/>
      <c r="L93" s="492"/>
      <c r="M93" s="492"/>
      <c r="N93" s="492"/>
      <c r="O93" s="492"/>
      <c r="P93" s="492"/>
      <c r="Q93" s="492"/>
      <c r="R93" s="492"/>
      <c r="S93" s="497" t="s">
        <v>666</v>
      </c>
      <c r="T93" s="497" t="s">
        <v>676</v>
      </c>
      <c r="U93" s="497"/>
      <c r="V93" s="497"/>
      <c r="W93" s="497"/>
      <c r="X93" s="497"/>
      <c r="Y93" s="497"/>
      <c r="Z93" s="497"/>
      <c r="AA93" s="497"/>
      <c r="AB93" s="497"/>
      <c r="AC93" s="497" t="s">
        <v>667</v>
      </c>
      <c r="AD93" s="497"/>
      <c r="AE93" s="497"/>
      <c r="AF93" s="492"/>
      <c r="AG93" s="492"/>
      <c r="AH93" s="492"/>
      <c r="AI93" s="492"/>
      <c r="AJ93" s="492"/>
      <c r="AK93" s="492"/>
      <c r="AL93" s="492"/>
      <c r="AM93" s="492"/>
      <c r="AN93" s="492"/>
      <c r="AO93" s="493"/>
      <c r="AP93" s="493"/>
      <c r="AQ93" s="493"/>
      <c r="AR93" s="493"/>
      <c r="BD93" s="489"/>
      <c r="BK93" s="494"/>
    </row>
    <row r="94" spans="1:64" s="91" customFormat="1" ht="15.75" customHeight="1">
      <c r="A94" s="484"/>
      <c r="B94" s="489"/>
      <c r="I94" s="490"/>
      <c r="J94" s="492"/>
      <c r="K94" s="492"/>
      <c r="L94" s="492"/>
      <c r="M94" s="492"/>
      <c r="N94" s="492"/>
      <c r="O94" s="492"/>
      <c r="P94" s="492"/>
      <c r="Q94" s="492"/>
      <c r="R94" s="492"/>
      <c r="S94" s="497" t="s">
        <v>666</v>
      </c>
      <c r="T94" s="497" t="s">
        <v>675</v>
      </c>
      <c r="U94" s="497"/>
      <c r="V94" s="497"/>
      <c r="W94" s="497"/>
      <c r="X94" s="497"/>
      <c r="Y94" s="497"/>
      <c r="Z94" s="497"/>
      <c r="AA94" s="497"/>
      <c r="AB94" s="497"/>
      <c r="AC94" s="497" t="s">
        <v>668</v>
      </c>
      <c r="AD94" s="497"/>
      <c r="AE94" s="497"/>
      <c r="AF94" s="492"/>
      <c r="AG94" s="492"/>
      <c r="AH94" s="492"/>
      <c r="AI94" s="492"/>
      <c r="AJ94" s="492"/>
      <c r="AK94" s="492"/>
      <c r="AL94" s="492"/>
      <c r="AM94" s="492"/>
      <c r="AN94" s="492"/>
      <c r="AO94" s="493"/>
      <c r="AP94" s="493"/>
      <c r="AQ94" s="493"/>
      <c r="AR94" s="493"/>
      <c r="BD94" s="489"/>
      <c r="BK94" s="494"/>
    </row>
    <row r="95" spans="1:64" s="91" customFormat="1" ht="15.75" customHeight="1">
      <c r="A95" s="484"/>
      <c r="B95" s="489"/>
      <c r="I95" s="490"/>
      <c r="J95" s="492"/>
      <c r="K95" s="492"/>
      <c r="L95" s="492"/>
      <c r="M95" s="492"/>
      <c r="N95" s="492"/>
      <c r="O95" s="492"/>
      <c r="P95" s="492"/>
      <c r="Q95" s="492"/>
      <c r="R95" s="492"/>
      <c r="S95" s="497" t="s">
        <v>666</v>
      </c>
      <c r="T95" s="497" t="s">
        <v>677</v>
      </c>
      <c r="U95" s="497"/>
      <c r="V95" s="497"/>
      <c r="W95" s="497"/>
      <c r="X95" s="497"/>
      <c r="Y95" s="497"/>
      <c r="Z95" s="497"/>
      <c r="AA95" s="497"/>
      <c r="AB95" s="497"/>
      <c r="AC95" s="497" t="s">
        <v>681</v>
      </c>
      <c r="AD95" s="497"/>
      <c r="AE95" s="492"/>
      <c r="AF95" s="492"/>
      <c r="AG95" s="492"/>
      <c r="AH95" s="492"/>
      <c r="AI95" s="492"/>
      <c r="AJ95" s="492"/>
      <c r="AK95" s="492"/>
      <c r="AL95" s="492"/>
      <c r="AM95" s="492"/>
      <c r="AN95" s="492"/>
      <c r="AO95" s="493"/>
      <c r="AP95" s="493"/>
      <c r="AQ95" s="493"/>
      <c r="AR95" s="493"/>
      <c r="BD95" s="489"/>
      <c r="BK95" s="494"/>
    </row>
    <row r="96" spans="1:64" s="91" customFormat="1" ht="15.75" customHeight="1">
      <c r="A96" s="484"/>
      <c r="B96" s="489"/>
      <c r="I96" s="490"/>
      <c r="J96" s="492"/>
      <c r="K96" s="492"/>
      <c r="L96" s="492"/>
      <c r="M96" s="492"/>
      <c r="N96" s="492"/>
      <c r="O96" s="492"/>
      <c r="P96" s="492"/>
      <c r="Q96" s="492"/>
      <c r="R96" s="492"/>
      <c r="S96" s="497" t="s">
        <v>666</v>
      </c>
      <c r="T96" s="497" t="s">
        <v>692</v>
      </c>
      <c r="U96" s="497"/>
      <c r="V96" s="497"/>
      <c r="W96" s="497"/>
      <c r="X96" s="497"/>
      <c r="Y96" s="497"/>
      <c r="Z96" s="492"/>
      <c r="AA96" s="492"/>
      <c r="AB96" s="492"/>
      <c r="AC96" s="497" t="s">
        <v>682</v>
      </c>
      <c r="AD96" s="492"/>
      <c r="AE96" s="492"/>
      <c r="AF96" s="492"/>
      <c r="AG96" s="492"/>
      <c r="AH96" s="492"/>
      <c r="AI96" s="492"/>
      <c r="AJ96" s="492"/>
      <c r="AK96" s="492"/>
      <c r="AL96" s="492"/>
      <c r="AM96" s="492"/>
      <c r="AN96" s="492"/>
      <c r="AO96" s="493"/>
      <c r="AP96" s="493"/>
      <c r="AQ96" s="493"/>
      <c r="AR96" s="493"/>
      <c r="BD96" s="489"/>
      <c r="BK96" s="494"/>
    </row>
    <row r="97" spans="1:63" s="91" customFormat="1" ht="15.75" customHeight="1">
      <c r="A97" s="484"/>
      <c r="B97" s="489"/>
      <c r="I97" s="490"/>
      <c r="J97" s="492"/>
      <c r="K97" s="492"/>
      <c r="L97" s="492"/>
      <c r="M97" s="492"/>
      <c r="N97" s="492"/>
      <c r="O97" s="492"/>
      <c r="P97" s="492"/>
      <c r="Q97" s="492"/>
      <c r="R97" s="492"/>
      <c r="S97" s="497" t="s">
        <v>666</v>
      </c>
      <c r="T97" s="497" t="s">
        <v>680</v>
      </c>
      <c r="U97" s="497"/>
      <c r="V97" s="497"/>
      <c r="W97" s="497"/>
      <c r="X97" s="497"/>
      <c r="Y97" s="497"/>
      <c r="Z97" s="492"/>
      <c r="AA97" s="492"/>
      <c r="AB97" s="492"/>
      <c r="AC97" s="497" t="s">
        <v>683</v>
      </c>
      <c r="AD97" s="492"/>
      <c r="AE97" s="492"/>
      <c r="AF97" s="492"/>
      <c r="AG97" s="492"/>
      <c r="AH97" s="492"/>
      <c r="AI97" s="492"/>
      <c r="AJ97" s="492"/>
      <c r="AK97" s="492"/>
      <c r="AL97" s="492"/>
      <c r="AM97" s="492"/>
      <c r="AN97" s="492"/>
      <c r="AO97" s="493"/>
      <c r="AP97" s="493"/>
      <c r="AQ97" s="493"/>
      <c r="AR97" s="493"/>
      <c r="BD97" s="489"/>
      <c r="BK97" s="494"/>
    </row>
    <row r="98" spans="1:63" s="91" customFormat="1" ht="15.75" customHeight="1">
      <c r="A98" s="484"/>
      <c r="B98" s="489"/>
      <c r="I98" s="490"/>
      <c r="J98" s="492"/>
      <c r="K98" s="492"/>
      <c r="L98" s="492"/>
      <c r="M98" s="492"/>
      <c r="N98" s="492"/>
      <c r="O98" s="492"/>
      <c r="P98" s="492"/>
      <c r="Q98" s="492"/>
      <c r="R98" s="492"/>
      <c r="S98" s="497" t="s">
        <v>666</v>
      </c>
      <c r="T98" s="497" t="s">
        <v>687</v>
      </c>
      <c r="U98" s="497"/>
      <c r="V98" s="497"/>
      <c r="W98" s="497"/>
      <c r="X98" s="497"/>
      <c r="Y98" s="497"/>
      <c r="Z98" s="492"/>
      <c r="AA98" s="492"/>
      <c r="AB98" s="492"/>
      <c r="AC98" s="497" t="s">
        <v>684</v>
      </c>
      <c r="AD98" s="492"/>
      <c r="AE98" s="492"/>
      <c r="AF98" s="492"/>
      <c r="AG98" s="492"/>
      <c r="AH98" s="492"/>
      <c r="AI98" s="492"/>
      <c r="AJ98" s="492"/>
      <c r="AK98" s="492"/>
      <c r="AL98" s="492"/>
      <c r="AM98" s="492"/>
      <c r="AN98" s="492"/>
      <c r="AO98" s="493"/>
      <c r="AP98" s="493"/>
      <c r="AQ98" s="493"/>
      <c r="AR98" s="493"/>
      <c r="BD98" s="489"/>
      <c r="BK98" s="494"/>
    </row>
    <row r="99" spans="1:63" s="91" customFormat="1" ht="15.75" customHeight="1">
      <c r="A99" s="484"/>
      <c r="B99" s="489"/>
      <c r="I99" s="490"/>
      <c r="J99" s="492"/>
      <c r="K99" s="492"/>
      <c r="L99" s="492"/>
      <c r="M99" s="492"/>
      <c r="N99" s="492"/>
      <c r="O99" s="492"/>
      <c r="P99" s="492"/>
      <c r="Q99" s="492"/>
      <c r="R99" s="492"/>
      <c r="S99" s="497" t="s">
        <v>666</v>
      </c>
      <c r="T99" s="497" t="s">
        <v>688</v>
      </c>
      <c r="U99" s="497"/>
      <c r="V99" s="497"/>
      <c r="W99" s="497"/>
      <c r="X99" s="497"/>
      <c r="Y99" s="497"/>
      <c r="Z99" s="492"/>
      <c r="AA99" s="492"/>
      <c r="AB99" s="492"/>
      <c r="AC99" s="497" t="s">
        <v>685</v>
      </c>
      <c r="AD99" s="492"/>
      <c r="AE99" s="492"/>
      <c r="AF99" s="492"/>
      <c r="AG99" s="492"/>
      <c r="AH99" s="492"/>
      <c r="AI99" s="492"/>
      <c r="AJ99" s="492"/>
      <c r="AK99" s="492"/>
      <c r="AL99" s="492"/>
      <c r="AM99" s="492"/>
      <c r="AN99" s="492"/>
      <c r="AO99" s="493"/>
      <c r="AP99" s="493"/>
      <c r="AQ99" s="493"/>
      <c r="AR99" s="493"/>
      <c r="BD99" s="489"/>
      <c r="BK99" s="494"/>
    </row>
    <row r="100" spans="1:63" s="91" customFormat="1" ht="15.75" customHeight="1">
      <c r="A100" s="484"/>
      <c r="B100" s="489"/>
      <c r="I100" s="490"/>
      <c r="J100" s="492"/>
      <c r="K100" s="492"/>
      <c r="L100" s="492"/>
      <c r="M100" s="492"/>
      <c r="N100" s="492"/>
      <c r="O100" s="492"/>
      <c r="P100" s="492"/>
      <c r="Q100" s="492"/>
      <c r="R100" s="492"/>
      <c r="S100" s="492"/>
      <c r="T100" s="492"/>
      <c r="U100" s="492"/>
      <c r="V100" s="492"/>
      <c r="W100" s="492"/>
      <c r="X100" s="492"/>
      <c r="Y100" s="492"/>
      <c r="Z100" s="492"/>
      <c r="AA100" s="492"/>
      <c r="AB100" s="492"/>
      <c r="AC100" s="492"/>
      <c r="AD100" s="492"/>
      <c r="AE100" s="492"/>
      <c r="AF100" s="492"/>
      <c r="AG100" s="492"/>
      <c r="AH100" s="492"/>
      <c r="AI100" s="492"/>
      <c r="AJ100" s="492"/>
      <c r="AK100" s="492"/>
      <c r="AL100" s="492"/>
      <c r="AM100" s="492"/>
      <c r="AN100" s="492"/>
      <c r="AO100" s="493"/>
      <c r="AP100" s="493"/>
      <c r="AQ100" s="493"/>
      <c r="AR100" s="493"/>
      <c r="BD100" s="489"/>
      <c r="BK100" s="494"/>
    </row>
    <row r="101" spans="1:63" s="91" customFormat="1" ht="15.75" customHeight="1">
      <c r="A101" s="484"/>
      <c r="B101" s="489"/>
      <c r="I101" s="490"/>
      <c r="J101" s="492"/>
      <c r="K101" s="492"/>
      <c r="L101" s="492"/>
      <c r="M101" s="492"/>
      <c r="N101" s="492"/>
      <c r="O101" s="492"/>
      <c r="P101" s="492"/>
      <c r="Q101" s="497" t="s">
        <v>686</v>
      </c>
      <c r="R101" s="497"/>
      <c r="S101" s="497"/>
      <c r="T101" s="497"/>
      <c r="U101" s="492"/>
      <c r="V101" s="492"/>
      <c r="W101" s="492"/>
      <c r="X101" s="492"/>
      <c r="Y101" s="492"/>
      <c r="Z101" s="492"/>
      <c r="AA101" s="492"/>
      <c r="AB101" s="492"/>
      <c r="AC101" s="492"/>
      <c r="AD101" s="492"/>
      <c r="AE101" s="492"/>
      <c r="AF101" s="492"/>
      <c r="AG101" s="492"/>
      <c r="AH101" s="492"/>
      <c r="AI101" s="492"/>
      <c r="AJ101" s="492"/>
      <c r="AK101" s="492"/>
      <c r="AL101" s="492"/>
      <c r="AM101" s="492"/>
      <c r="AN101" s="492"/>
      <c r="AO101" s="493"/>
      <c r="AP101" s="493"/>
      <c r="AQ101" s="493"/>
      <c r="AR101" s="493"/>
      <c r="BD101" s="489"/>
      <c r="BK101" s="494"/>
    </row>
    <row r="102" spans="1:63" s="91" customFormat="1" ht="15.75" customHeight="1">
      <c r="A102" s="484"/>
      <c r="B102" s="489"/>
      <c r="I102" s="490"/>
      <c r="J102" s="492"/>
      <c r="K102" s="492"/>
      <c r="L102" s="492"/>
      <c r="M102" s="492"/>
      <c r="N102" s="492"/>
      <c r="O102" s="492"/>
      <c r="P102" s="492"/>
      <c r="Q102" s="492"/>
      <c r="R102" s="492"/>
      <c r="S102" s="497" t="s">
        <v>689</v>
      </c>
      <c r="T102" s="497"/>
      <c r="U102" s="497"/>
      <c r="V102" s="497"/>
      <c r="W102" s="497"/>
      <c r="X102" s="497"/>
      <c r="Y102" s="497"/>
      <c r="Z102" s="497"/>
      <c r="AA102" s="497"/>
      <c r="AB102" s="497"/>
      <c r="AC102" s="497"/>
      <c r="AD102" s="497"/>
      <c r="AE102" s="497"/>
      <c r="AF102" s="497"/>
      <c r="AG102" s="497"/>
      <c r="AH102" s="497"/>
      <c r="AI102" s="497"/>
      <c r="AJ102" s="497"/>
      <c r="AK102" s="497"/>
      <c r="AL102" s="497"/>
      <c r="AM102" s="492"/>
      <c r="AN102" s="492"/>
      <c r="AO102" s="493"/>
      <c r="AP102" s="493"/>
      <c r="AQ102" s="493"/>
      <c r="AR102" s="493"/>
      <c r="BD102" s="489"/>
      <c r="BK102" s="494"/>
    </row>
    <row r="103" spans="1:63" s="91" customFormat="1" ht="15.75" customHeight="1">
      <c r="A103" s="484"/>
      <c r="B103" s="489"/>
      <c r="I103" s="490"/>
      <c r="J103" s="492"/>
      <c r="K103" s="492"/>
      <c r="L103" s="492"/>
      <c r="M103" s="492"/>
      <c r="N103" s="492"/>
      <c r="O103" s="492"/>
      <c r="P103" s="492"/>
      <c r="Q103" s="492"/>
      <c r="R103" s="492"/>
      <c r="S103" s="497" t="s">
        <v>699</v>
      </c>
      <c r="T103" s="497"/>
      <c r="U103" s="497"/>
      <c r="V103" s="497"/>
      <c r="W103" s="497"/>
      <c r="X103" s="497"/>
      <c r="Y103" s="497"/>
      <c r="Z103" s="497"/>
      <c r="AA103" s="497"/>
      <c r="AB103" s="497"/>
      <c r="AC103" s="497"/>
      <c r="AD103" s="497"/>
      <c r="AE103" s="497"/>
      <c r="AF103" s="497"/>
      <c r="AG103" s="497"/>
      <c r="AH103" s="497"/>
      <c r="AI103" s="497"/>
      <c r="AJ103" s="497"/>
      <c r="AK103" s="497"/>
      <c r="AL103" s="497"/>
      <c r="AM103" s="492"/>
      <c r="AN103" s="492"/>
      <c r="AO103" s="493"/>
      <c r="AP103" s="493"/>
      <c r="AQ103" s="493"/>
      <c r="AR103" s="493"/>
      <c r="BD103" s="489"/>
      <c r="BK103" s="494"/>
    </row>
    <row r="104" spans="1:63" s="91" customFormat="1" ht="15.75" customHeight="1">
      <c r="A104" s="484"/>
      <c r="B104" s="489"/>
      <c r="I104" s="490"/>
      <c r="J104" s="492"/>
      <c r="K104" s="492"/>
      <c r="L104" s="492"/>
      <c r="M104" s="492"/>
      <c r="N104" s="492"/>
      <c r="O104" s="492"/>
      <c r="P104" s="492"/>
      <c r="Q104" s="492"/>
      <c r="R104" s="492"/>
      <c r="S104" s="497" t="s">
        <v>700</v>
      </c>
      <c r="T104" s="497"/>
      <c r="U104" s="497"/>
      <c r="V104" s="497"/>
      <c r="W104" s="497"/>
      <c r="X104" s="497"/>
      <c r="Y104" s="497"/>
      <c r="Z104" s="497"/>
      <c r="AA104" s="497"/>
      <c r="AB104" s="497"/>
      <c r="AC104" s="497"/>
      <c r="AD104" s="497"/>
      <c r="AE104" s="497"/>
      <c r="AF104" s="497"/>
      <c r="AG104" s="497"/>
      <c r="AH104" s="497"/>
      <c r="AI104" s="497"/>
      <c r="AJ104" s="497"/>
      <c r="AK104" s="497"/>
      <c r="AL104" s="497"/>
      <c r="AM104" s="492"/>
      <c r="AN104" s="492"/>
      <c r="AO104" s="493"/>
      <c r="AP104" s="493"/>
      <c r="AQ104" s="493"/>
      <c r="AR104" s="493"/>
      <c r="BD104" s="489"/>
      <c r="BK104" s="494"/>
    </row>
    <row r="105" spans="1:63" s="91" customFormat="1" ht="15.75" customHeight="1">
      <c r="A105" s="484"/>
      <c r="B105" s="489"/>
      <c r="I105" s="490"/>
      <c r="J105" s="492"/>
      <c r="K105" s="492"/>
      <c r="L105" s="492"/>
      <c r="M105" s="492"/>
      <c r="N105" s="492"/>
      <c r="O105" s="492"/>
      <c r="P105" s="492"/>
      <c r="Q105" s="492"/>
      <c r="R105" s="492"/>
      <c r="S105" s="497" t="s">
        <v>693</v>
      </c>
      <c r="T105" s="497"/>
      <c r="U105" s="497"/>
      <c r="V105" s="497"/>
      <c r="W105" s="497"/>
      <c r="X105" s="497"/>
      <c r="Y105" s="497"/>
      <c r="Z105" s="497"/>
      <c r="AA105" s="497"/>
      <c r="AB105" s="497"/>
      <c r="AC105" s="497"/>
      <c r="AD105" s="497"/>
      <c r="AE105" s="497"/>
      <c r="AF105" s="497"/>
      <c r="AG105" s="497"/>
      <c r="AH105" s="497"/>
      <c r="AI105" s="497"/>
      <c r="AJ105" s="497"/>
      <c r="AK105" s="497"/>
      <c r="AL105" s="497"/>
      <c r="AM105" s="492"/>
      <c r="AN105" s="492"/>
      <c r="AO105" s="493"/>
      <c r="AP105" s="493"/>
      <c r="AQ105" s="493"/>
      <c r="AR105" s="493"/>
      <c r="BD105" s="489"/>
      <c r="BK105" s="494"/>
    </row>
    <row r="106" spans="1:63" s="91" customFormat="1" ht="15.75" customHeight="1">
      <c r="A106" s="484"/>
      <c r="B106" s="489"/>
      <c r="I106" s="490"/>
      <c r="J106" s="492"/>
      <c r="K106" s="492"/>
      <c r="L106" s="492"/>
      <c r="M106" s="492"/>
      <c r="N106" s="492"/>
      <c r="O106" s="492"/>
      <c r="P106" s="492"/>
      <c r="Q106" s="492"/>
      <c r="R106" s="492"/>
      <c r="S106" s="497" t="s">
        <v>694</v>
      </c>
      <c r="T106" s="497"/>
      <c r="U106" s="497"/>
      <c r="V106" s="497"/>
      <c r="W106" s="497"/>
      <c r="X106" s="497"/>
      <c r="Y106" s="497"/>
      <c r="Z106" s="497"/>
      <c r="AA106" s="497"/>
      <c r="AB106" s="497"/>
      <c r="AC106" s="497"/>
      <c r="AD106" s="497"/>
      <c r="AE106" s="497"/>
      <c r="AF106" s="497"/>
      <c r="AG106" s="497"/>
      <c r="AH106" s="497"/>
      <c r="AI106" s="497"/>
      <c r="AJ106" s="497"/>
      <c r="AK106" s="497"/>
      <c r="AL106" s="497"/>
      <c r="AM106" s="492"/>
      <c r="AN106" s="492"/>
      <c r="AO106" s="493"/>
      <c r="AP106" s="493"/>
      <c r="AQ106" s="493"/>
      <c r="AR106" s="493"/>
      <c r="BD106" s="489"/>
      <c r="BK106" s="494"/>
    </row>
    <row r="107" spans="1:63" s="91" customFormat="1" ht="15.75" customHeight="1">
      <c r="A107" s="484"/>
      <c r="B107" s="489"/>
      <c r="I107" s="490"/>
      <c r="J107" s="492"/>
      <c r="K107" s="492"/>
      <c r="L107" s="492"/>
      <c r="M107" s="492"/>
      <c r="N107" s="492"/>
      <c r="O107" s="492"/>
      <c r="P107" s="492"/>
      <c r="Q107" s="492"/>
      <c r="R107" s="492"/>
      <c r="S107" s="497" t="s">
        <v>695</v>
      </c>
      <c r="T107" s="497"/>
      <c r="U107" s="497"/>
      <c r="V107" s="497"/>
      <c r="W107" s="497"/>
      <c r="X107" s="497"/>
      <c r="Y107" s="497"/>
      <c r="Z107" s="497"/>
      <c r="AA107" s="497"/>
      <c r="AB107" s="497"/>
      <c r="AC107" s="497"/>
      <c r="AD107" s="497"/>
      <c r="AE107" s="497"/>
      <c r="AF107" s="497"/>
      <c r="AG107" s="497"/>
      <c r="AH107" s="497"/>
      <c r="AI107" s="497"/>
      <c r="AJ107" s="497"/>
      <c r="AK107" s="497"/>
      <c r="AL107" s="497"/>
      <c r="AM107" s="492"/>
      <c r="AN107" s="492"/>
      <c r="AO107" s="493"/>
      <c r="AP107" s="493"/>
      <c r="AQ107" s="493"/>
      <c r="AR107" s="493"/>
      <c r="BD107" s="489"/>
      <c r="BK107" s="494"/>
    </row>
    <row r="108" spans="1:63" s="91" customFormat="1" ht="15.75" customHeight="1">
      <c r="A108" s="484"/>
      <c r="B108" s="489"/>
      <c r="I108" s="490"/>
      <c r="J108" s="492"/>
      <c r="K108" s="492"/>
      <c r="L108" s="492"/>
      <c r="M108" s="492"/>
      <c r="N108" s="492"/>
      <c r="O108" s="492"/>
      <c r="P108" s="492"/>
      <c r="Q108" s="492"/>
      <c r="R108" s="492"/>
      <c r="S108" s="497" t="s">
        <v>696</v>
      </c>
      <c r="T108" s="497"/>
      <c r="U108" s="497"/>
      <c r="V108" s="497"/>
      <c r="W108" s="497"/>
      <c r="X108" s="497"/>
      <c r="Y108" s="497"/>
      <c r="Z108" s="497"/>
      <c r="AA108" s="497"/>
      <c r="AB108" s="497"/>
      <c r="AC108" s="497"/>
      <c r="AD108" s="497"/>
      <c r="AE108" s="497"/>
      <c r="AF108" s="497"/>
      <c r="AG108" s="497"/>
      <c r="AH108" s="497"/>
      <c r="AI108" s="497"/>
      <c r="AJ108" s="497"/>
      <c r="AK108" s="497"/>
      <c r="AL108" s="497"/>
      <c r="AM108" s="492"/>
      <c r="AN108" s="492"/>
      <c r="AO108" s="493"/>
      <c r="AP108" s="493"/>
      <c r="AQ108" s="493"/>
      <c r="AR108" s="493"/>
      <c r="BD108" s="489"/>
      <c r="BK108" s="494"/>
    </row>
    <row r="109" spans="1:63" s="91" customFormat="1" ht="15.75" customHeight="1">
      <c r="A109" s="484"/>
      <c r="B109" s="489"/>
      <c r="I109" s="490"/>
      <c r="J109" s="492"/>
      <c r="K109" s="492"/>
      <c r="L109" s="492"/>
      <c r="M109" s="492"/>
      <c r="N109" s="492"/>
      <c r="O109" s="492"/>
      <c r="P109" s="492"/>
      <c r="Q109" s="492"/>
      <c r="R109" s="492"/>
      <c r="S109" s="497" t="s">
        <v>697</v>
      </c>
      <c r="T109" s="497"/>
      <c r="U109" s="497"/>
      <c r="V109" s="497"/>
      <c r="W109" s="497"/>
      <c r="X109" s="497"/>
      <c r="Y109" s="497"/>
      <c r="Z109" s="497"/>
      <c r="AA109" s="497"/>
      <c r="AB109" s="497"/>
      <c r="AC109" s="497"/>
      <c r="AD109" s="497"/>
      <c r="AE109" s="76"/>
      <c r="AF109" s="76"/>
      <c r="AG109" s="76"/>
      <c r="AH109" s="76"/>
      <c r="AI109" s="76"/>
      <c r="AJ109" s="76"/>
      <c r="AK109" s="76"/>
      <c r="AL109" s="76"/>
      <c r="AM109" s="492"/>
      <c r="AN109" s="492"/>
      <c r="AO109" s="493"/>
      <c r="AP109" s="493"/>
      <c r="AQ109" s="493"/>
      <c r="AR109" s="493"/>
      <c r="BD109" s="489"/>
      <c r="BK109" s="494"/>
    </row>
    <row r="110" spans="1:63" s="91" customFormat="1" ht="15.75" customHeight="1">
      <c r="A110" s="484"/>
      <c r="B110" s="489"/>
      <c r="I110" s="490"/>
      <c r="J110" s="492"/>
      <c r="K110" s="492"/>
      <c r="L110" s="492"/>
      <c r="M110" s="492"/>
      <c r="N110" s="492"/>
      <c r="O110" s="492"/>
      <c r="P110" s="492"/>
      <c r="Q110" s="492"/>
      <c r="R110" s="492"/>
      <c r="S110" s="497" t="s">
        <v>698</v>
      </c>
      <c r="T110" s="497"/>
      <c r="U110" s="497"/>
      <c r="V110" s="497"/>
      <c r="W110" s="497"/>
      <c r="X110" s="497"/>
      <c r="Y110" s="497"/>
      <c r="Z110" s="497"/>
      <c r="AA110" s="497"/>
      <c r="AB110" s="497"/>
      <c r="AC110" s="497"/>
      <c r="AD110" s="497"/>
      <c r="AE110" s="492"/>
      <c r="AF110" s="492"/>
      <c r="AG110" s="492"/>
      <c r="AH110" s="492"/>
      <c r="AI110" s="492"/>
      <c r="AJ110" s="492"/>
      <c r="AK110" s="492"/>
      <c r="AL110" s="492"/>
      <c r="AM110" s="492"/>
      <c r="AN110" s="492"/>
      <c r="AO110" s="493"/>
      <c r="AP110" s="493"/>
      <c r="AQ110" s="493"/>
      <c r="AR110" s="493"/>
      <c r="BD110" s="489"/>
      <c r="BK110" s="494"/>
    </row>
    <row r="111" spans="1:63" s="91" customFormat="1" ht="15.75" customHeight="1">
      <c r="A111" s="484"/>
      <c r="B111" s="489"/>
      <c r="I111" s="490"/>
      <c r="J111" s="492"/>
      <c r="K111" s="492"/>
      <c r="L111" s="492"/>
      <c r="M111" s="492"/>
      <c r="N111" s="492"/>
      <c r="O111" s="492"/>
      <c r="P111" s="492"/>
      <c r="Q111" s="492"/>
      <c r="R111" s="492"/>
      <c r="S111" s="497" t="s">
        <v>764</v>
      </c>
      <c r="T111" s="497"/>
      <c r="U111" s="497"/>
      <c r="V111" s="497"/>
      <c r="W111" s="497"/>
      <c r="X111" s="497"/>
      <c r="Y111" s="497"/>
      <c r="Z111" s="497"/>
      <c r="AA111" s="497"/>
      <c r="AB111" s="497"/>
      <c r="AC111" s="497"/>
      <c r="AD111" s="497"/>
      <c r="AE111" s="492"/>
      <c r="AF111" s="492"/>
      <c r="AG111" s="492"/>
      <c r="AH111" s="492"/>
      <c r="AI111" s="492"/>
      <c r="AJ111" s="492"/>
      <c r="AK111" s="492"/>
      <c r="AL111" s="492"/>
      <c r="AM111" s="492"/>
      <c r="AN111" s="492"/>
      <c r="AO111" s="493"/>
      <c r="AP111" s="493"/>
      <c r="AQ111" s="493"/>
      <c r="AR111" s="493"/>
      <c r="BD111" s="489"/>
      <c r="BK111" s="494"/>
    </row>
    <row r="112" spans="1:63" s="91" customFormat="1" ht="15.75" customHeight="1">
      <c r="A112" s="484"/>
      <c r="B112" s="489"/>
      <c r="I112" s="490"/>
      <c r="J112" s="492"/>
      <c r="K112" s="492"/>
      <c r="L112" s="492"/>
      <c r="M112" s="492"/>
      <c r="N112" s="492"/>
      <c r="O112" s="492"/>
      <c r="P112" s="492"/>
      <c r="Q112" s="492"/>
      <c r="R112" s="492"/>
      <c r="S112" s="497" t="s">
        <v>765</v>
      </c>
      <c r="T112" s="497"/>
      <c r="U112" s="497"/>
      <c r="V112" s="497"/>
      <c r="W112" s="497"/>
      <c r="X112" s="497"/>
      <c r="Y112" s="497"/>
      <c r="Z112" s="497"/>
      <c r="AA112" s="497"/>
      <c r="AB112" s="497"/>
      <c r="AC112" s="497"/>
      <c r="AD112" s="497"/>
      <c r="AE112" s="492"/>
      <c r="AF112" s="492"/>
      <c r="AG112" s="492"/>
      <c r="AH112" s="492"/>
      <c r="AI112" s="492"/>
      <c r="AJ112" s="492"/>
      <c r="AK112" s="492"/>
      <c r="AL112" s="492"/>
      <c r="AM112" s="492"/>
      <c r="AN112" s="492"/>
      <c r="AO112" s="493"/>
      <c r="AP112" s="493"/>
      <c r="AQ112" s="493"/>
      <c r="AR112" s="493"/>
      <c r="BD112" s="489"/>
      <c r="BK112" s="494"/>
    </row>
    <row r="113" spans="1:63" s="91" customFormat="1" ht="15.75" customHeight="1">
      <c r="A113" s="484"/>
      <c r="B113" s="489"/>
      <c r="I113" s="490"/>
      <c r="J113" s="492"/>
      <c r="K113" s="492"/>
      <c r="L113" s="492"/>
      <c r="M113" s="492"/>
      <c r="N113" s="492"/>
      <c r="O113" s="492"/>
      <c r="P113" s="492"/>
      <c r="Q113" s="492"/>
      <c r="R113" s="492"/>
      <c r="S113" s="492"/>
      <c r="T113" s="492"/>
      <c r="U113" s="492"/>
      <c r="V113" s="492"/>
      <c r="W113" s="492"/>
      <c r="X113" s="492"/>
      <c r="Y113" s="492"/>
      <c r="Z113" s="492"/>
      <c r="AA113" s="492"/>
      <c r="AB113" s="492"/>
      <c r="AC113" s="492"/>
      <c r="AD113" s="492"/>
      <c r="AE113" s="492"/>
      <c r="AF113" s="492"/>
      <c r="AG113" s="492"/>
      <c r="AH113" s="492"/>
      <c r="AI113" s="492"/>
      <c r="AJ113" s="492"/>
      <c r="AK113" s="492"/>
      <c r="AL113" s="492"/>
      <c r="AM113" s="492"/>
      <c r="AN113" s="492"/>
      <c r="AO113" s="493"/>
      <c r="AP113" s="493"/>
      <c r="AQ113" s="493"/>
      <c r="AR113" s="493"/>
      <c r="BD113" s="489"/>
      <c r="BK113" s="494"/>
    </row>
    <row r="114" spans="1:63" s="91" customFormat="1" ht="15.75" customHeight="1">
      <c r="A114" s="484"/>
      <c r="B114" s="489"/>
      <c r="I114" s="490"/>
      <c r="J114" s="492"/>
      <c r="K114" s="492"/>
      <c r="L114" s="492"/>
      <c r="M114" s="492"/>
      <c r="N114" s="492"/>
      <c r="O114" s="492"/>
      <c r="P114" s="492"/>
      <c r="Q114" s="497" t="s">
        <v>701</v>
      </c>
      <c r="R114" s="76"/>
      <c r="S114" s="76"/>
      <c r="T114" s="76"/>
      <c r="U114" s="76"/>
      <c r="V114" s="492"/>
      <c r="W114" s="492"/>
      <c r="X114" s="492"/>
      <c r="Y114" s="492"/>
      <c r="Z114" s="492"/>
      <c r="AA114" s="492"/>
      <c r="AB114" s="492"/>
      <c r="AC114" s="492"/>
      <c r="AD114" s="492"/>
      <c r="AE114" s="492"/>
      <c r="AF114" s="492"/>
      <c r="AG114" s="492"/>
      <c r="AH114" s="492"/>
      <c r="AI114" s="492"/>
      <c r="AJ114" s="492"/>
      <c r="AK114" s="492"/>
      <c r="AL114" s="492"/>
      <c r="AM114" s="492"/>
      <c r="AN114" s="492"/>
      <c r="AO114" s="493"/>
      <c r="AP114" s="493"/>
      <c r="AQ114" s="493"/>
      <c r="AR114" s="493"/>
      <c r="BD114" s="489"/>
      <c r="BK114" s="494"/>
    </row>
    <row r="115" spans="1:63" s="91" customFormat="1" ht="15.75" customHeight="1">
      <c r="A115" s="484"/>
      <c r="B115" s="489"/>
      <c r="I115" s="490"/>
      <c r="J115" s="492"/>
      <c r="K115" s="492"/>
      <c r="L115" s="492"/>
      <c r="M115" s="492"/>
      <c r="N115" s="492"/>
      <c r="O115" s="492"/>
      <c r="P115" s="492"/>
      <c r="Q115" s="492"/>
      <c r="R115" s="492"/>
      <c r="S115" s="492" t="s">
        <v>715</v>
      </c>
      <c r="T115" s="492"/>
      <c r="U115" s="492"/>
      <c r="V115" s="492"/>
      <c r="W115" s="492"/>
      <c r="X115" s="492"/>
      <c r="Y115" s="492"/>
      <c r="Z115" s="492"/>
      <c r="AA115" s="492"/>
      <c r="AB115" s="492"/>
      <c r="AC115" s="492"/>
      <c r="AD115" s="492"/>
      <c r="AE115" s="492" t="s">
        <v>707</v>
      </c>
      <c r="AF115" s="492"/>
      <c r="AG115" s="492"/>
      <c r="AH115" s="492" t="s">
        <v>716</v>
      </c>
      <c r="AI115" s="492"/>
      <c r="AJ115" s="492"/>
      <c r="AK115" s="492"/>
      <c r="AL115" s="492"/>
      <c r="AM115" s="492"/>
      <c r="AN115" s="492"/>
      <c r="AO115" s="493"/>
      <c r="AP115" s="493"/>
      <c r="AQ115" s="493"/>
      <c r="AR115" s="493"/>
      <c r="BD115" s="489"/>
      <c r="BK115" s="494"/>
    </row>
    <row r="116" spans="1:63" s="91" customFormat="1" ht="15.75" customHeight="1">
      <c r="A116" s="484"/>
      <c r="B116" s="489"/>
      <c r="I116" s="490"/>
      <c r="J116" s="492"/>
      <c r="K116" s="492"/>
      <c r="L116" s="492"/>
      <c r="M116" s="492"/>
      <c r="N116" s="492"/>
      <c r="O116" s="492"/>
      <c r="P116" s="492"/>
      <c r="Q116" s="492"/>
      <c r="R116" s="492"/>
      <c r="S116" s="492" t="s">
        <v>702</v>
      </c>
      <c r="T116" s="492"/>
      <c r="U116" s="492"/>
      <c r="V116" s="492"/>
      <c r="W116" s="492"/>
      <c r="X116" s="492"/>
      <c r="Y116" s="492"/>
      <c r="Z116" s="492"/>
      <c r="AA116" s="492"/>
      <c r="AB116" s="492"/>
      <c r="AC116" s="492"/>
      <c r="AD116" s="492"/>
      <c r="AE116" s="492" t="s">
        <v>707</v>
      </c>
      <c r="AF116" s="492"/>
      <c r="AG116" s="492"/>
      <c r="AH116" s="492" t="s">
        <v>708</v>
      </c>
      <c r="AI116" s="492"/>
      <c r="AJ116" s="492"/>
      <c r="AK116" s="492"/>
      <c r="AL116" s="492"/>
      <c r="AM116" s="492"/>
      <c r="AN116" s="492"/>
      <c r="AO116" s="493"/>
      <c r="AP116" s="493"/>
      <c r="AQ116" s="493"/>
      <c r="AR116" s="493"/>
      <c r="BD116" s="489"/>
      <c r="BK116" s="494"/>
    </row>
    <row r="117" spans="1:63" s="91" customFormat="1" ht="15.75" customHeight="1">
      <c r="A117" s="484"/>
      <c r="B117" s="489"/>
      <c r="I117" s="490"/>
      <c r="J117" s="492"/>
      <c r="K117" s="492"/>
      <c r="L117" s="492"/>
      <c r="M117" s="492"/>
      <c r="N117" s="492"/>
      <c r="O117" s="492"/>
      <c r="P117" s="492"/>
      <c r="Q117" s="492"/>
      <c r="R117" s="492"/>
      <c r="S117" s="492" t="s">
        <v>703</v>
      </c>
      <c r="T117" s="492"/>
      <c r="U117" s="492"/>
      <c r="V117" s="492"/>
      <c r="W117" s="492"/>
      <c r="X117" s="492"/>
      <c r="Y117" s="492"/>
      <c r="Z117" s="492"/>
      <c r="AA117" s="492"/>
      <c r="AB117" s="492"/>
      <c r="AC117" s="492"/>
      <c r="AD117" s="492"/>
      <c r="AE117" s="492" t="s">
        <v>707</v>
      </c>
      <c r="AF117" s="492"/>
      <c r="AG117" s="492"/>
      <c r="AH117" s="492" t="s">
        <v>709</v>
      </c>
      <c r="AI117" s="492"/>
      <c r="AJ117" s="492"/>
      <c r="AK117" s="492"/>
      <c r="AL117" s="492"/>
      <c r="AM117" s="492"/>
      <c r="AN117" s="492"/>
      <c r="AO117" s="493"/>
      <c r="AP117" s="493"/>
      <c r="AQ117" s="493"/>
      <c r="AR117" s="493"/>
      <c r="BD117" s="489"/>
      <c r="BK117" s="494"/>
    </row>
    <row r="118" spans="1:63" s="91" customFormat="1" ht="15.75" customHeight="1">
      <c r="A118" s="484"/>
      <c r="B118" s="489"/>
      <c r="I118" s="490"/>
      <c r="J118" s="492"/>
      <c r="K118" s="492"/>
      <c r="L118" s="492"/>
      <c r="M118" s="492"/>
      <c r="N118" s="492"/>
      <c r="O118" s="492"/>
      <c r="P118" s="492"/>
      <c r="Q118" s="492"/>
      <c r="R118" s="492"/>
      <c r="S118" s="492" t="s">
        <v>703</v>
      </c>
      <c r="T118" s="492"/>
      <c r="U118" s="492"/>
      <c r="V118" s="492"/>
      <c r="W118" s="492"/>
      <c r="X118" s="492"/>
      <c r="Y118" s="492"/>
      <c r="Z118" s="492"/>
      <c r="AA118" s="492"/>
      <c r="AB118" s="492"/>
      <c r="AC118" s="492"/>
      <c r="AD118" s="492"/>
      <c r="AE118" s="492" t="s">
        <v>707</v>
      </c>
      <c r="AF118" s="492"/>
      <c r="AG118" s="492"/>
      <c r="AH118" s="492" t="s">
        <v>710</v>
      </c>
      <c r="AI118" s="492"/>
      <c r="AJ118" s="492"/>
      <c r="AK118" s="492"/>
      <c r="AL118" s="492"/>
      <c r="AM118" s="492"/>
      <c r="AN118" s="492"/>
      <c r="AO118" s="493"/>
      <c r="AP118" s="493"/>
      <c r="AQ118" s="493"/>
      <c r="AR118" s="493"/>
      <c r="BD118" s="489"/>
      <c r="BK118" s="494"/>
    </row>
    <row r="119" spans="1:63" s="91" customFormat="1" ht="15.75" customHeight="1">
      <c r="A119" s="484"/>
      <c r="B119" s="489"/>
      <c r="I119" s="490"/>
      <c r="J119" s="492"/>
      <c r="K119" s="492"/>
      <c r="L119" s="492"/>
      <c r="M119" s="492"/>
      <c r="N119" s="492"/>
      <c r="O119" s="492"/>
      <c r="P119" s="492"/>
      <c r="Q119" s="492"/>
      <c r="R119" s="492"/>
      <c r="S119" s="492" t="s">
        <v>704</v>
      </c>
      <c r="T119" s="492"/>
      <c r="U119" s="492"/>
      <c r="V119" s="492"/>
      <c r="W119" s="492"/>
      <c r="X119" s="492"/>
      <c r="Y119" s="492"/>
      <c r="Z119" s="492"/>
      <c r="AA119" s="492"/>
      <c r="AB119" s="492"/>
      <c r="AC119" s="492"/>
      <c r="AD119" s="492"/>
      <c r="AE119" s="492" t="s">
        <v>707</v>
      </c>
      <c r="AF119" s="492"/>
      <c r="AG119" s="492"/>
      <c r="AH119" s="492" t="s">
        <v>711</v>
      </c>
      <c r="AI119" s="492"/>
      <c r="AJ119" s="492"/>
      <c r="AK119" s="492"/>
      <c r="AL119" s="492"/>
      <c r="AM119" s="492"/>
      <c r="AN119" s="492"/>
      <c r="AO119" s="493"/>
      <c r="AP119" s="493"/>
      <c r="AQ119" s="493"/>
      <c r="AR119" s="493"/>
      <c r="BD119" s="489"/>
      <c r="BK119" s="494"/>
    </row>
    <row r="120" spans="1:63" s="91" customFormat="1" ht="15.75" customHeight="1">
      <c r="A120" s="484"/>
      <c r="B120" s="489"/>
      <c r="I120" s="490"/>
      <c r="J120" s="492"/>
      <c r="K120" s="492"/>
      <c r="L120" s="492"/>
      <c r="M120" s="492"/>
      <c r="N120" s="492"/>
      <c r="O120" s="492"/>
      <c r="P120" s="492"/>
      <c r="Q120" s="492"/>
      <c r="R120" s="492"/>
      <c r="S120" s="492" t="s">
        <v>704</v>
      </c>
      <c r="T120" s="492"/>
      <c r="U120" s="492"/>
      <c r="V120" s="492"/>
      <c r="W120" s="492"/>
      <c r="X120" s="492"/>
      <c r="Y120" s="492"/>
      <c r="Z120" s="492"/>
      <c r="AA120" s="492"/>
      <c r="AB120" s="492"/>
      <c r="AC120" s="492"/>
      <c r="AD120" s="492"/>
      <c r="AE120" s="492" t="s">
        <v>707</v>
      </c>
      <c r="AF120" s="492"/>
      <c r="AG120" s="492"/>
      <c r="AH120" s="492" t="s">
        <v>712</v>
      </c>
      <c r="AI120" s="492"/>
      <c r="AJ120" s="492"/>
      <c r="AK120" s="492"/>
      <c r="AL120" s="492"/>
      <c r="AM120" s="492"/>
      <c r="AN120" s="492"/>
      <c r="AO120" s="493"/>
      <c r="AP120" s="493"/>
      <c r="AQ120" s="493"/>
      <c r="AR120" s="493"/>
      <c r="BD120" s="489"/>
      <c r="BK120" s="494"/>
    </row>
    <row r="121" spans="1:63" s="91" customFormat="1" ht="15.75" customHeight="1">
      <c r="A121" s="484"/>
      <c r="B121" s="489"/>
      <c r="I121" s="490"/>
      <c r="J121" s="492"/>
      <c r="K121" s="492"/>
      <c r="L121" s="492"/>
      <c r="M121" s="492"/>
      <c r="N121" s="492"/>
      <c r="O121" s="492"/>
      <c r="P121" s="492"/>
      <c r="Q121" s="492"/>
      <c r="R121" s="492"/>
      <c r="S121" s="492" t="s">
        <v>705</v>
      </c>
      <c r="T121" s="492"/>
      <c r="U121" s="492"/>
      <c r="V121" s="492"/>
      <c r="W121" s="492"/>
      <c r="X121" s="492"/>
      <c r="Y121" s="492"/>
      <c r="Z121" s="492"/>
      <c r="AA121" s="492"/>
      <c r="AB121" s="492"/>
      <c r="AC121" s="492"/>
      <c r="AD121" s="492"/>
      <c r="AE121" s="492" t="s">
        <v>707</v>
      </c>
      <c r="AF121" s="492"/>
      <c r="AG121" s="492"/>
      <c r="AH121" s="492" t="s">
        <v>713</v>
      </c>
      <c r="AI121" s="492"/>
      <c r="AJ121" s="492"/>
      <c r="AK121" s="492"/>
      <c r="AL121" s="492"/>
      <c r="AM121" s="492"/>
      <c r="AN121" s="492"/>
      <c r="AO121" s="493"/>
      <c r="AP121" s="493"/>
      <c r="AQ121" s="493"/>
      <c r="AR121" s="493"/>
      <c r="BD121" s="489"/>
      <c r="BK121" s="494"/>
    </row>
    <row r="122" spans="1:63" s="91" customFormat="1" ht="15.75" customHeight="1">
      <c r="A122" s="484"/>
      <c r="B122" s="489"/>
      <c r="I122" s="490"/>
      <c r="J122" s="492"/>
      <c r="K122" s="492"/>
      <c r="L122" s="492"/>
      <c r="M122" s="492"/>
      <c r="N122" s="492"/>
      <c r="O122" s="492"/>
      <c r="P122" s="492"/>
      <c r="Q122" s="492"/>
      <c r="R122" s="492"/>
      <c r="S122" s="492" t="s">
        <v>706</v>
      </c>
      <c r="T122" s="492"/>
      <c r="U122" s="492"/>
      <c r="V122" s="492"/>
      <c r="W122" s="492"/>
      <c r="X122" s="492"/>
      <c r="Y122" s="492"/>
      <c r="Z122" s="492"/>
      <c r="AA122" s="492"/>
      <c r="AB122" s="492"/>
      <c r="AC122" s="492"/>
      <c r="AD122" s="492"/>
      <c r="AE122" s="492" t="s">
        <v>707</v>
      </c>
      <c r="AF122" s="492"/>
      <c r="AG122" s="492"/>
      <c r="AH122" s="492" t="s">
        <v>714</v>
      </c>
      <c r="AI122" s="492"/>
      <c r="AJ122" s="492"/>
      <c r="AK122" s="492"/>
      <c r="AL122" s="492"/>
      <c r="AM122" s="492"/>
      <c r="AN122" s="492"/>
      <c r="AO122" s="493"/>
      <c r="AP122" s="493"/>
      <c r="AQ122" s="493"/>
      <c r="AR122" s="493"/>
      <c r="BD122" s="489"/>
      <c r="BK122" s="494"/>
    </row>
    <row r="123" spans="1:63" s="91" customFormat="1" ht="15.75" customHeight="1">
      <c r="A123" s="484"/>
      <c r="B123" s="489"/>
      <c r="I123" s="490"/>
      <c r="J123" s="492"/>
      <c r="K123" s="492"/>
      <c r="L123" s="492"/>
      <c r="M123" s="492"/>
      <c r="N123" s="492"/>
      <c r="O123" s="492"/>
      <c r="P123" s="492"/>
      <c r="Q123" s="492"/>
      <c r="R123" s="492"/>
      <c r="S123" s="492" t="s">
        <v>717</v>
      </c>
      <c r="T123" s="492"/>
      <c r="U123" s="492"/>
      <c r="V123" s="492"/>
      <c r="W123" s="492"/>
      <c r="X123" s="492"/>
      <c r="Y123" s="492"/>
      <c r="Z123" s="492"/>
      <c r="AA123" s="492" t="s">
        <v>725</v>
      </c>
      <c r="AB123" s="492"/>
      <c r="AC123" s="492"/>
      <c r="AD123" s="492"/>
      <c r="AE123" s="492"/>
      <c r="AF123" s="492"/>
      <c r="AG123" s="492"/>
      <c r="AH123" s="492"/>
      <c r="AI123" s="492"/>
      <c r="AJ123" s="492"/>
      <c r="AK123" s="492"/>
      <c r="AL123" s="492"/>
      <c r="AM123" s="492"/>
      <c r="AN123" s="492"/>
      <c r="AO123" s="493"/>
      <c r="AP123" s="493"/>
      <c r="AQ123" s="493"/>
      <c r="AR123" s="493"/>
      <c r="BD123" s="489"/>
      <c r="BK123" s="494"/>
    </row>
    <row r="124" spans="1:63" s="91" customFormat="1" ht="15.75" customHeight="1">
      <c r="A124" s="484"/>
      <c r="B124" s="489"/>
      <c r="I124" s="490"/>
      <c r="J124" s="492"/>
      <c r="K124" s="492"/>
      <c r="L124" s="492"/>
      <c r="M124" s="492"/>
      <c r="N124" s="492"/>
      <c r="O124" s="492"/>
      <c r="P124" s="492"/>
      <c r="Q124" s="492"/>
      <c r="R124" s="492"/>
      <c r="S124" s="492"/>
      <c r="T124" s="492"/>
      <c r="U124" s="492"/>
      <c r="V124" s="492"/>
      <c r="W124" s="492"/>
      <c r="X124" s="492"/>
      <c r="Y124" s="492"/>
      <c r="Z124" s="492"/>
      <c r="AA124" s="492"/>
      <c r="AB124" s="492"/>
      <c r="AC124" s="492"/>
      <c r="AD124" s="492"/>
      <c r="AE124" s="492"/>
      <c r="AF124" s="492"/>
      <c r="AG124" s="492"/>
      <c r="AH124" s="492"/>
      <c r="AI124" s="492"/>
      <c r="AJ124" s="492"/>
      <c r="AK124" s="492"/>
      <c r="AL124" s="492"/>
      <c r="AM124" s="492"/>
      <c r="AN124" s="492"/>
      <c r="AO124" s="493"/>
      <c r="AP124" s="493"/>
      <c r="AQ124" s="493"/>
      <c r="AR124" s="493"/>
      <c r="BD124" s="489"/>
      <c r="BK124" s="494"/>
    </row>
    <row r="125" spans="1:63" s="91" customFormat="1" ht="15.75" customHeight="1">
      <c r="A125" s="484"/>
      <c r="B125" s="489"/>
      <c r="I125" s="490"/>
      <c r="J125" s="492"/>
      <c r="K125" s="492"/>
      <c r="L125" s="492"/>
      <c r="M125" s="492"/>
      <c r="N125" s="492"/>
      <c r="O125" s="492"/>
      <c r="P125" s="492"/>
      <c r="Q125" s="492"/>
      <c r="R125" s="492"/>
      <c r="S125" s="492" t="s">
        <v>718</v>
      </c>
      <c r="T125" s="492"/>
      <c r="U125" s="492"/>
      <c r="V125" s="492"/>
      <c r="W125" s="492"/>
      <c r="X125" s="492"/>
      <c r="Y125" s="492"/>
      <c r="Z125" s="492"/>
      <c r="AA125" s="492"/>
      <c r="AB125" s="492"/>
      <c r="AC125" s="492"/>
      <c r="AD125" s="492"/>
      <c r="AE125" s="492"/>
      <c r="AF125" s="492"/>
      <c r="AG125" s="492"/>
      <c r="AH125" s="492"/>
      <c r="AI125" s="492"/>
      <c r="AJ125" s="492"/>
      <c r="AK125" s="492"/>
      <c r="AL125" s="492"/>
      <c r="AM125" s="492"/>
      <c r="AN125" s="492"/>
      <c r="AO125" s="493"/>
      <c r="AP125" s="493"/>
      <c r="AQ125" s="493"/>
      <c r="AR125" s="493"/>
      <c r="BD125" s="489"/>
      <c r="BK125" s="494"/>
    </row>
    <row r="126" spans="1:63" s="91" customFormat="1" ht="15.75" customHeight="1">
      <c r="A126" s="484"/>
      <c r="B126" s="489"/>
      <c r="I126" s="490"/>
      <c r="J126" s="492"/>
      <c r="K126" s="492"/>
      <c r="L126" s="492"/>
      <c r="M126" s="492"/>
      <c r="N126" s="492"/>
      <c r="O126" s="492"/>
      <c r="P126" s="492"/>
      <c r="Q126" s="492"/>
      <c r="R126" s="492"/>
      <c r="T126" s="492" t="s">
        <v>722</v>
      </c>
      <c r="U126" s="492" t="s">
        <v>720</v>
      </c>
      <c r="V126" s="492"/>
      <c r="W126" s="492"/>
      <c r="X126" s="492"/>
      <c r="Y126" s="492"/>
      <c r="Z126" s="492"/>
      <c r="AA126" s="492"/>
      <c r="AB126" s="492"/>
      <c r="AC126" s="492"/>
      <c r="AD126" s="492"/>
      <c r="AE126" s="492"/>
      <c r="AF126" s="492"/>
      <c r="AG126" s="492"/>
      <c r="AH126" s="492"/>
      <c r="AI126" s="492"/>
      <c r="AJ126" s="492"/>
      <c r="AK126" s="492"/>
      <c r="AL126" s="492"/>
      <c r="AM126" s="492"/>
      <c r="AN126" s="492"/>
      <c r="AO126" s="493"/>
      <c r="AP126" s="493"/>
      <c r="AQ126" s="493"/>
      <c r="AR126" s="493"/>
      <c r="BD126" s="489"/>
      <c r="BK126" s="494"/>
    </row>
    <row r="127" spans="1:63" s="91" customFormat="1" ht="15.75" customHeight="1">
      <c r="A127" s="484"/>
      <c r="B127" s="489"/>
      <c r="I127" s="490"/>
      <c r="J127" s="492"/>
      <c r="K127" s="492"/>
      <c r="L127" s="492"/>
      <c r="M127" s="492"/>
      <c r="N127" s="492"/>
      <c r="O127" s="492"/>
      <c r="P127" s="492"/>
      <c r="Q127" s="492"/>
      <c r="R127" s="492"/>
      <c r="T127" s="492" t="s">
        <v>723</v>
      </c>
      <c r="U127" s="492" t="s">
        <v>719</v>
      </c>
      <c r="V127" s="492"/>
      <c r="W127" s="492"/>
      <c r="X127" s="492"/>
      <c r="Y127" s="492"/>
      <c r="Z127" s="492"/>
      <c r="AA127" s="492"/>
      <c r="AB127" s="492"/>
      <c r="AC127" s="492"/>
      <c r="AD127" s="492"/>
      <c r="AE127" s="492"/>
      <c r="AF127" s="492"/>
      <c r="AG127" s="492"/>
      <c r="AH127" s="492"/>
      <c r="AI127" s="492"/>
      <c r="AJ127" s="492"/>
      <c r="AK127" s="492"/>
      <c r="AL127" s="492"/>
      <c r="AM127" s="492"/>
      <c r="AN127" s="492"/>
      <c r="AO127" s="493"/>
      <c r="AP127" s="493"/>
      <c r="AQ127" s="493"/>
      <c r="AR127" s="493"/>
      <c r="BD127" s="489"/>
      <c r="BK127" s="494"/>
    </row>
    <row r="128" spans="1:63" s="91" customFormat="1" ht="15.75" customHeight="1">
      <c r="A128" s="484"/>
      <c r="B128" s="489"/>
      <c r="I128" s="490"/>
      <c r="J128" s="492"/>
      <c r="K128" s="492"/>
      <c r="L128" s="492"/>
      <c r="M128" s="492"/>
      <c r="N128" s="492"/>
      <c r="O128" s="492"/>
      <c r="P128" s="492"/>
      <c r="Q128" s="492"/>
      <c r="R128" s="492"/>
      <c r="T128" s="492" t="s">
        <v>724</v>
      </c>
      <c r="U128" s="492" t="s">
        <v>721</v>
      </c>
      <c r="V128" s="492"/>
      <c r="W128" s="492"/>
      <c r="X128" s="492"/>
      <c r="Y128" s="492"/>
      <c r="Z128" s="492"/>
      <c r="AA128" s="492"/>
      <c r="AB128" s="492"/>
      <c r="AC128" s="492"/>
      <c r="AD128" s="492"/>
      <c r="AE128" s="492"/>
      <c r="AF128" s="492"/>
      <c r="AG128" s="492"/>
      <c r="AH128" s="492"/>
      <c r="AI128" s="492"/>
      <c r="AJ128" s="492"/>
      <c r="AK128" s="492"/>
      <c r="AL128" s="492"/>
      <c r="AM128" s="492"/>
      <c r="AN128" s="492"/>
      <c r="AO128" s="493"/>
      <c r="AP128" s="493"/>
      <c r="AQ128" s="493"/>
      <c r="AR128" s="493"/>
      <c r="BD128" s="489"/>
      <c r="BK128" s="494"/>
    </row>
    <row r="129" spans="1:101" s="91" customFormat="1" ht="15.75" customHeight="1">
      <c r="A129" s="484"/>
      <c r="B129" s="489"/>
      <c r="I129" s="490"/>
      <c r="J129" s="492"/>
      <c r="K129" s="492"/>
      <c r="L129" s="492"/>
      <c r="M129" s="492"/>
      <c r="N129" s="492"/>
      <c r="O129" s="492"/>
      <c r="P129" s="492"/>
      <c r="Q129" s="492"/>
      <c r="R129" s="492"/>
      <c r="S129" s="492"/>
      <c r="T129" s="492"/>
      <c r="U129" s="492"/>
      <c r="V129" s="492"/>
      <c r="W129" s="492"/>
      <c r="X129" s="492"/>
      <c r="Y129" s="492"/>
      <c r="Z129" s="492"/>
      <c r="AA129" s="492"/>
      <c r="AB129" s="492"/>
      <c r="AC129" s="492"/>
      <c r="AD129" s="492"/>
      <c r="AE129" s="492"/>
      <c r="AF129" s="492"/>
      <c r="AG129" s="492"/>
      <c r="AH129" s="492"/>
      <c r="AI129" s="492"/>
      <c r="AJ129" s="492"/>
      <c r="AK129" s="492"/>
      <c r="AL129" s="492"/>
      <c r="AM129" s="492"/>
      <c r="AN129" s="492"/>
      <c r="AO129" s="493"/>
      <c r="AP129" s="493"/>
      <c r="AQ129" s="493"/>
      <c r="AR129" s="493"/>
      <c r="BD129" s="489"/>
      <c r="BK129" s="494"/>
    </row>
    <row r="130" spans="1:101" s="91" customFormat="1" ht="15.75" customHeight="1">
      <c r="A130" s="484"/>
      <c r="B130" s="489"/>
      <c r="I130" s="490"/>
      <c r="J130" s="492"/>
      <c r="K130" s="492"/>
      <c r="L130" s="492"/>
      <c r="M130" s="492"/>
      <c r="N130" s="492"/>
      <c r="O130" s="492"/>
      <c r="P130" s="492"/>
      <c r="Q130" s="76" t="s">
        <v>726</v>
      </c>
      <c r="R130" s="76"/>
      <c r="S130" s="76"/>
      <c r="T130" s="76"/>
      <c r="U130" s="492"/>
      <c r="V130" s="492"/>
      <c r="W130" s="492"/>
      <c r="X130" s="492"/>
      <c r="Y130" s="492"/>
      <c r="Z130" s="492"/>
      <c r="AA130" s="492"/>
      <c r="AB130" s="492"/>
      <c r="AC130" s="492"/>
      <c r="AD130" s="492"/>
      <c r="AE130" s="492"/>
      <c r="AF130" s="492"/>
      <c r="AG130" s="492"/>
      <c r="AH130" s="492"/>
      <c r="AI130" s="492"/>
      <c r="AJ130" s="492"/>
      <c r="AK130" s="492"/>
      <c r="AL130" s="492"/>
      <c r="AM130" s="492"/>
      <c r="AN130" s="492"/>
      <c r="AO130" s="493"/>
      <c r="AP130" s="493"/>
      <c r="AQ130" s="493"/>
      <c r="AR130" s="493"/>
      <c r="BD130" s="489"/>
      <c r="BK130" s="494"/>
    </row>
    <row r="131" spans="1:101" s="91" customFormat="1" ht="15.75" customHeight="1">
      <c r="A131" s="484"/>
      <c r="B131" s="489"/>
      <c r="I131" s="490"/>
      <c r="J131" s="492"/>
      <c r="K131" s="492"/>
      <c r="L131" s="492"/>
      <c r="M131" s="492"/>
      <c r="N131" s="492"/>
      <c r="O131" s="492"/>
      <c r="P131" s="492"/>
      <c r="Q131" s="76"/>
      <c r="R131" s="76"/>
      <c r="S131" s="76" t="s">
        <v>727</v>
      </c>
      <c r="T131" s="76"/>
      <c r="U131" s="492"/>
      <c r="V131" s="492"/>
      <c r="W131" s="492"/>
      <c r="X131" s="492"/>
      <c r="Y131" s="492"/>
      <c r="Z131" s="492"/>
      <c r="AA131" s="492"/>
      <c r="AB131" s="492"/>
      <c r="AC131" s="492"/>
      <c r="AD131" s="492"/>
      <c r="AE131" s="492"/>
      <c r="AF131" s="492"/>
      <c r="AG131" s="492"/>
      <c r="AH131" s="492"/>
      <c r="AI131" s="492"/>
      <c r="AJ131" s="492"/>
      <c r="AK131" s="492"/>
      <c r="AL131" s="492"/>
      <c r="AM131" s="492"/>
      <c r="AN131" s="492"/>
      <c r="AO131" s="493"/>
      <c r="AP131" s="493"/>
      <c r="AQ131" s="493"/>
      <c r="AR131" s="493"/>
      <c r="BD131" s="489"/>
      <c r="BK131" s="494"/>
    </row>
    <row r="132" spans="1:101" s="91" customFormat="1" ht="15.75" customHeight="1">
      <c r="A132" s="484"/>
      <c r="B132" s="489"/>
      <c r="I132" s="490"/>
      <c r="J132" s="492"/>
      <c r="K132" s="492"/>
      <c r="L132" s="492"/>
      <c r="M132" s="492"/>
      <c r="N132" s="492"/>
      <c r="O132" s="492"/>
      <c r="P132" s="492"/>
      <c r="Q132" s="492"/>
      <c r="R132" s="492"/>
      <c r="S132" s="492" t="s">
        <v>728</v>
      </c>
      <c r="T132" s="492"/>
      <c r="U132" s="492"/>
      <c r="V132" s="492"/>
      <c r="W132" s="492"/>
      <c r="X132" s="492"/>
      <c r="Y132" s="492"/>
      <c r="Z132" s="492"/>
      <c r="AA132" s="492"/>
      <c r="AB132" s="492"/>
      <c r="AC132" s="492"/>
      <c r="AD132" s="492"/>
      <c r="AE132" s="492"/>
      <c r="AF132" s="492"/>
      <c r="AG132" s="492"/>
      <c r="AH132" s="492"/>
      <c r="AI132" s="492"/>
      <c r="AJ132" s="492"/>
      <c r="AK132" s="492"/>
      <c r="AL132" s="492"/>
      <c r="AM132" s="492"/>
      <c r="AN132" s="492"/>
      <c r="AO132" s="493"/>
      <c r="AP132" s="493"/>
      <c r="AQ132" s="493"/>
      <c r="AR132" s="493"/>
      <c r="BD132" s="489"/>
      <c r="BK132" s="494"/>
    </row>
    <row r="133" spans="1:101" s="91" customFormat="1" ht="15.75" customHeight="1">
      <c r="A133" s="484"/>
      <c r="B133" s="489"/>
      <c r="I133" s="490"/>
      <c r="J133" s="492"/>
      <c r="K133" s="492"/>
      <c r="L133" s="492"/>
      <c r="M133" s="492"/>
      <c r="N133" s="492"/>
      <c r="O133" s="492"/>
      <c r="P133" s="492"/>
      <c r="Q133" s="492"/>
      <c r="R133" s="492"/>
      <c r="S133" s="492" t="s">
        <v>729</v>
      </c>
      <c r="T133" s="492"/>
      <c r="U133" s="492"/>
      <c r="V133" s="492"/>
      <c r="W133" s="492"/>
      <c r="X133" s="492"/>
      <c r="Y133" s="492"/>
      <c r="Z133" s="492"/>
      <c r="AA133" s="492"/>
      <c r="AB133" s="492"/>
      <c r="AC133" s="492"/>
      <c r="AD133" s="492"/>
      <c r="AE133" s="492"/>
      <c r="AF133" s="492"/>
      <c r="AG133" s="492"/>
      <c r="AH133" s="492"/>
      <c r="AI133" s="492"/>
      <c r="AJ133" s="492"/>
      <c r="AK133" s="492"/>
      <c r="AL133" s="492"/>
      <c r="AM133" s="492"/>
      <c r="AN133" s="492"/>
      <c r="AO133" s="493"/>
      <c r="AP133" s="493"/>
      <c r="AQ133" s="493"/>
      <c r="AR133" s="493"/>
      <c r="BD133" s="489"/>
      <c r="BK133" s="494"/>
    </row>
    <row r="134" spans="1:101" s="91" customFormat="1" ht="15.75" customHeight="1">
      <c r="A134" s="484"/>
      <c r="B134" s="489"/>
      <c r="I134" s="490"/>
      <c r="J134" s="492"/>
      <c r="K134" s="492"/>
      <c r="L134" s="492"/>
      <c r="M134" s="492"/>
      <c r="N134" s="492"/>
      <c r="O134" s="492"/>
      <c r="P134" s="492"/>
      <c r="Q134" s="492"/>
      <c r="R134" s="492"/>
      <c r="S134" s="492" t="s">
        <v>730</v>
      </c>
      <c r="T134" s="492"/>
      <c r="U134" s="492"/>
      <c r="V134" s="492"/>
      <c r="W134" s="492"/>
      <c r="X134" s="492"/>
      <c r="Y134" s="492"/>
      <c r="Z134" s="492"/>
      <c r="AA134" s="492"/>
      <c r="AB134" s="492"/>
      <c r="AC134" s="492"/>
      <c r="AD134" s="492"/>
      <c r="AE134" s="492"/>
      <c r="AF134" s="492"/>
      <c r="AG134" s="492"/>
      <c r="AH134" s="492"/>
      <c r="AI134" s="492"/>
      <c r="AJ134" s="492"/>
      <c r="AK134" s="492"/>
      <c r="AL134" s="492"/>
      <c r="AM134" s="492"/>
      <c r="AN134" s="492"/>
      <c r="AO134" s="493"/>
      <c r="AP134" s="493"/>
      <c r="AQ134" s="493"/>
      <c r="AR134" s="493"/>
      <c r="BD134" s="489"/>
      <c r="BK134" s="494"/>
    </row>
    <row r="135" spans="1:101" s="91" customFormat="1" ht="15.75" customHeight="1">
      <c r="A135" s="484"/>
      <c r="B135" s="489"/>
      <c r="I135" s="490"/>
      <c r="J135" s="492"/>
      <c r="K135" s="492"/>
      <c r="L135" s="492"/>
      <c r="M135" s="492"/>
      <c r="N135" s="492"/>
      <c r="O135" s="492"/>
      <c r="P135" s="492"/>
      <c r="Q135" s="492"/>
      <c r="R135" s="492"/>
      <c r="S135" s="492"/>
      <c r="T135" s="492"/>
      <c r="U135" s="492"/>
      <c r="V135" s="492"/>
      <c r="W135" s="492"/>
      <c r="X135" s="492"/>
      <c r="Y135" s="492"/>
      <c r="Z135" s="492"/>
      <c r="AA135" s="492"/>
      <c r="AB135" s="492"/>
      <c r="AC135" s="492"/>
      <c r="AD135" s="492"/>
      <c r="AE135" s="492"/>
      <c r="AF135" s="492"/>
      <c r="AG135" s="492"/>
      <c r="AH135" s="492"/>
      <c r="AI135" s="492"/>
      <c r="AJ135" s="492"/>
      <c r="AK135" s="492"/>
      <c r="AL135" s="492"/>
      <c r="AM135" s="492"/>
      <c r="AN135" s="492"/>
      <c r="AO135" s="493"/>
      <c r="AP135" s="493"/>
      <c r="AQ135" s="493"/>
      <c r="AR135" s="493"/>
      <c r="BD135" s="489"/>
      <c r="BK135" s="494"/>
    </row>
    <row r="136" spans="1:101" s="91" customFormat="1" ht="15.75" customHeight="1">
      <c r="A136" s="484"/>
      <c r="B136" s="489"/>
      <c r="I136" s="490"/>
      <c r="J136" s="492"/>
      <c r="K136" s="492"/>
      <c r="L136" s="492"/>
      <c r="M136" s="492"/>
      <c r="N136" s="492"/>
      <c r="O136" s="492"/>
      <c r="P136" s="492"/>
      <c r="Q136" s="492"/>
      <c r="R136" s="492"/>
      <c r="S136" s="492"/>
      <c r="T136" s="492"/>
      <c r="U136" s="492"/>
      <c r="V136" s="492"/>
      <c r="W136" s="492"/>
      <c r="X136" s="492"/>
      <c r="Y136" s="492"/>
      <c r="Z136" s="492"/>
      <c r="AA136" s="492"/>
      <c r="AB136" s="492"/>
      <c r="AC136" s="492"/>
      <c r="AD136" s="492"/>
      <c r="AE136" s="492"/>
      <c r="AF136" s="492"/>
      <c r="AG136" s="492"/>
      <c r="AH136" s="492"/>
      <c r="AI136" s="492"/>
      <c r="AJ136" s="492"/>
      <c r="AK136" s="492"/>
      <c r="AL136" s="492"/>
      <c r="AM136" s="492"/>
      <c r="AN136" s="492"/>
      <c r="AO136" s="493"/>
      <c r="AP136" s="493"/>
      <c r="AQ136" s="493"/>
      <c r="AR136" s="493"/>
      <c r="BD136" s="489"/>
      <c r="BK136" s="494"/>
    </row>
    <row r="137" spans="1:101" customFormat="1" ht="15.75" customHeight="1">
      <c r="A137" s="504">
        <v>4</v>
      </c>
      <c r="B137" s="485" t="s">
        <v>483</v>
      </c>
      <c r="C137" s="486"/>
      <c r="D137" s="486"/>
      <c r="E137" s="486"/>
      <c r="F137" s="486"/>
      <c r="G137" s="486"/>
      <c r="H137" s="486"/>
      <c r="I137" s="486"/>
      <c r="J137" s="486" t="s">
        <v>731</v>
      </c>
      <c r="K137" s="486"/>
      <c r="L137" s="486"/>
      <c r="M137" s="486"/>
      <c r="N137" s="486"/>
      <c r="O137" s="486"/>
      <c r="P137" s="486"/>
      <c r="Q137" s="486"/>
      <c r="R137" s="486"/>
      <c r="S137" s="486"/>
      <c r="T137" s="486"/>
      <c r="U137" s="486"/>
      <c r="V137" s="486"/>
      <c r="W137" s="486"/>
      <c r="X137" s="486"/>
      <c r="Y137" s="486"/>
      <c r="Z137" s="486"/>
      <c r="AA137" s="486"/>
      <c r="AB137" s="486"/>
      <c r="AC137" s="486"/>
      <c r="AD137" s="486"/>
      <c r="AE137" s="486"/>
      <c r="AF137" s="486"/>
      <c r="AG137" s="486"/>
      <c r="AH137" s="486"/>
      <c r="AI137" s="486"/>
      <c r="AJ137" s="486"/>
      <c r="AK137" s="486"/>
      <c r="AL137" s="486"/>
      <c r="AM137" s="486"/>
      <c r="AN137" s="486"/>
      <c r="AO137" s="486"/>
      <c r="AP137" s="486"/>
      <c r="AQ137" s="486"/>
      <c r="AR137" s="486"/>
      <c r="AS137" s="486"/>
      <c r="AT137" s="486"/>
      <c r="AU137" s="486"/>
      <c r="AV137" s="486"/>
      <c r="AW137" s="486"/>
      <c r="AX137" s="486"/>
      <c r="AY137" s="486"/>
      <c r="AZ137" s="486"/>
      <c r="BA137" s="486"/>
      <c r="BB137" s="486"/>
      <c r="BC137" s="486"/>
      <c r="BD137" s="486"/>
      <c r="BE137" s="486"/>
      <c r="BF137" s="486"/>
      <c r="BG137" s="486"/>
      <c r="BH137" s="486"/>
      <c r="BI137" s="486"/>
      <c r="BJ137" s="486"/>
      <c r="BK137" s="487"/>
      <c r="BM137" s="505"/>
      <c r="BN137" s="505"/>
      <c r="BO137" s="505"/>
      <c r="BP137" s="506"/>
      <c r="BQ137" s="506"/>
      <c r="BR137" s="506"/>
      <c r="BS137" s="506"/>
      <c r="BT137" s="506"/>
      <c r="BU137" s="506"/>
      <c r="BV137" s="506"/>
      <c r="BW137" s="506"/>
      <c r="BX137" s="506"/>
      <c r="BY137" s="506"/>
      <c r="BZ137" s="506"/>
      <c r="CA137" s="506"/>
      <c r="CB137" s="506"/>
      <c r="CC137" s="506"/>
      <c r="CD137" s="506"/>
      <c r="CE137" s="506"/>
      <c r="CF137" s="506"/>
      <c r="CG137" s="506"/>
      <c r="CH137" s="506"/>
      <c r="CI137" s="506"/>
      <c r="CJ137" s="506"/>
      <c r="CK137" s="506"/>
      <c r="CL137" s="506"/>
      <c r="CM137" s="506"/>
      <c r="CN137" s="506"/>
      <c r="CO137" s="506"/>
      <c r="CP137" s="506"/>
      <c r="CQ137" s="506"/>
      <c r="CR137" s="506"/>
      <c r="CS137" s="506"/>
      <c r="CT137" s="506"/>
      <c r="CU137" s="506"/>
      <c r="CV137" s="506"/>
      <c r="CW137" s="506"/>
    </row>
    <row r="138" spans="1:101" customFormat="1" ht="15.75" customHeight="1">
      <c r="A138" s="507"/>
      <c r="B138" s="81"/>
      <c r="C138" s="76"/>
      <c r="D138" s="76"/>
      <c r="E138" s="76"/>
      <c r="F138" s="76"/>
      <c r="G138" s="76"/>
      <c r="H138" s="76"/>
      <c r="I138" s="82"/>
      <c r="J138" s="497" t="s">
        <v>732</v>
      </c>
      <c r="K138" s="497"/>
      <c r="L138" s="497" t="s">
        <v>733</v>
      </c>
      <c r="M138" s="497"/>
      <c r="N138" s="497"/>
      <c r="O138" s="497"/>
      <c r="P138" s="497"/>
      <c r="Q138" s="497"/>
      <c r="R138" s="497"/>
      <c r="S138" s="497"/>
      <c r="T138" s="497"/>
      <c r="U138" s="497"/>
      <c r="V138" s="497"/>
      <c r="W138" s="497"/>
      <c r="X138" s="497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82"/>
      <c r="BD138" s="76"/>
      <c r="BE138" s="76"/>
      <c r="BF138" s="76"/>
      <c r="BG138" s="76"/>
      <c r="BH138" s="76"/>
      <c r="BI138" s="76"/>
      <c r="BJ138" s="76"/>
      <c r="BK138" s="78"/>
      <c r="BM138" s="505"/>
      <c r="BN138" s="505"/>
      <c r="BO138" s="505"/>
      <c r="BP138" s="506"/>
      <c r="BQ138" s="506"/>
      <c r="BR138" s="506"/>
      <c r="BS138" s="506"/>
      <c r="BT138" s="506"/>
      <c r="BU138" s="506"/>
      <c r="BV138" s="506"/>
      <c r="BW138" s="506"/>
      <c r="BX138" s="506"/>
      <c r="BY138" s="506"/>
      <c r="BZ138" s="506"/>
      <c r="CA138" s="506"/>
      <c r="CB138" s="506"/>
      <c r="CC138" s="506"/>
      <c r="CD138" s="506"/>
      <c r="CE138" s="506"/>
      <c r="CF138" s="506"/>
      <c r="CG138" s="506"/>
      <c r="CH138" s="506"/>
      <c r="CI138" s="506"/>
      <c r="CJ138" s="506"/>
      <c r="CK138" s="506"/>
      <c r="CL138" s="505"/>
      <c r="CM138" s="505"/>
      <c r="CN138" s="505"/>
      <c r="CO138" s="505"/>
      <c r="CP138" s="505"/>
      <c r="CQ138" s="505"/>
      <c r="CR138" s="505"/>
      <c r="CS138" s="505"/>
      <c r="CT138" s="505"/>
      <c r="CU138" s="505"/>
      <c r="CV138" s="505"/>
      <c r="CW138" s="505"/>
    </row>
    <row r="139" spans="1:101" customFormat="1" ht="15.75" customHeight="1">
      <c r="A139" s="507"/>
      <c r="B139" s="81"/>
      <c r="C139" s="76"/>
      <c r="D139" s="76"/>
      <c r="E139" s="76"/>
      <c r="F139" s="76"/>
      <c r="G139" s="76"/>
      <c r="H139" s="76"/>
      <c r="I139" s="82"/>
      <c r="J139" s="497"/>
      <c r="K139" s="497"/>
      <c r="L139" s="497" t="s">
        <v>734</v>
      </c>
      <c r="M139" s="497"/>
      <c r="N139" s="497"/>
      <c r="O139" s="497"/>
      <c r="P139" s="497"/>
      <c r="Q139" s="497"/>
      <c r="R139" s="497"/>
      <c r="S139" s="497"/>
      <c r="T139" s="497"/>
      <c r="U139" s="497"/>
      <c r="V139" s="497"/>
      <c r="W139" s="497"/>
      <c r="X139" s="497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82"/>
      <c r="BD139" s="76"/>
      <c r="BE139" s="76"/>
      <c r="BF139" s="76"/>
      <c r="BG139" s="76"/>
      <c r="BH139" s="76"/>
      <c r="BI139" s="76"/>
      <c r="BJ139" s="76"/>
      <c r="BK139" s="78"/>
      <c r="BM139" s="505"/>
      <c r="BN139" s="505"/>
      <c r="BO139" s="505"/>
      <c r="BP139" s="506"/>
      <c r="BQ139" s="506"/>
      <c r="BR139" s="506"/>
      <c r="BS139" s="506"/>
      <c r="BT139" s="506"/>
      <c r="BU139" s="506"/>
      <c r="BV139" s="506"/>
      <c r="BW139" s="506"/>
      <c r="BX139" s="506"/>
      <c r="BY139" s="506"/>
      <c r="BZ139" s="506"/>
      <c r="CA139" s="506"/>
      <c r="CB139" s="506"/>
      <c r="CC139" s="506"/>
      <c r="CD139" s="506"/>
      <c r="CE139" s="506"/>
      <c r="CF139" s="506"/>
      <c r="CG139" s="506"/>
      <c r="CH139" s="506"/>
      <c r="CI139" s="506"/>
      <c r="CJ139" s="506"/>
      <c r="CK139" s="506"/>
      <c r="CL139" s="505"/>
      <c r="CM139" s="505"/>
      <c r="CN139" s="505"/>
      <c r="CO139" s="505"/>
      <c r="CP139" s="505"/>
      <c r="CQ139" s="505"/>
      <c r="CR139" s="505"/>
      <c r="CS139" s="505"/>
      <c r="CT139" s="505"/>
      <c r="CU139" s="505"/>
      <c r="CV139" s="505"/>
      <c r="CW139" s="505"/>
    </row>
    <row r="140" spans="1:101" customFormat="1" ht="15.75" customHeight="1">
      <c r="A140" s="508"/>
      <c r="B140" s="81"/>
      <c r="C140" s="76"/>
      <c r="D140" s="76"/>
      <c r="E140" s="76"/>
      <c r="F140" s="76"/>
      <c r="G140" s="76"/>
      <c r="H140" s="76"/>
      <c r="I140" s="82"/>
      <c r="J140" s="497"/>
      <c r="K140" s="497"/>
      <c r="L140" s="497"/>
      <c r="M140" s="497"/>
      <c r="N140" s="497"/>
      <c r="O140" s="497"/>
      <c r="P140" s="497"/>
      <c r="Q140" s="497"/>
      <c r="R140" s="497"/>
      <c r="S140" s="497"/>
      <c r="T140" s="497"/>
      <c r="U140" s="497"/>
      <c r="V140" s="497"/>
      <c r="W140" s="497"/>
      <c r="X140" s="497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82"/>
      <c r="BD140" s="76"/>
      <c r="BE140" s="76"/>
      <c r="BF140" s="76"/>
      <c r="BG140" s="76"/>
      <c r="BH140" s="76"/>
      <c r="BI140" s="76"/>
      <c r="BJ140" s="76"/>
      <c r="BK140" s="78"/>
      <c r="BM140" s="505"/>
      <c r="BN140" s="505"/>
      <c r="BO140" s="505"/>
      <c r="BP140" s="506"/>
      <c r="BQ140" s="506"/>
      <c r="BR140" s="506"/>
      <c r="BS140" s="506"/>
      <c r="BT140" s="506"/>
      <c r="BU140" s="506"/>
      <c r="BV140" s="506"/>
      <c r="BW140" s="506"/>
      <c r="BX140" s="506"/>
      <c r="BY140" s="506"/>
      <c r="BZ140" s="506"/>
      <c r="CA140" s="506"/>
      <c r="CB140" s="506"/>
      <c r="CC140" s="506"/>
      <c r="CD140" s="506"/>
      <c r="CE140" s="506"/>
      <c r="CF140" s="506"/>
      <c r="CG140" s="506"/>
      <c r="CH140" s="506"/>
      <c r="CI140" s="506"/>
      <c r="CJ140" s="506"/>
      <c r="CK140" s="506"/>
      <c r="CL140" s="505"/>
      <c r="CM140" s="505"/>
      <c r="CN140" s="505"/>
      <c r="CO140" s="505"/>
      <c r="CP140" s="505"/>
      <c r="CQ140" s="505"/>
      <c r="CR140" s="505"/>
      <c r="CS140" s="505"/>
      <c r="CT140" s="505"/>
      <c r="CU140" s="505"/>
      <c r="CV140" s="505"/>
      <c r="CW140" s="505"/>
    </row>
    <row r="141" spans="1:101" ht="15.75" customHeight="1">
      <c r="A141" s="473"/>
      <c r="B141" s="474"/>
      <c r="C141" s="475"/>
      <c r="D141" s="475"/>
      <c r="E141" s="475"/>
      <c r="F141" s="475"/>
      <c r="G141" s="475"/>
      <c r="H141" s="475"/>
      <c r="I141" s="476"/>
      <c r="J141" s="475"/>
      <c r="K141" s="475"/>
      <c r="L141" s="475"/>
      <c r="M141" s="475"/>
      <c r="N141" s="475"/>
      <c r="O141" s="475"/>
      <c r="P141" s="475"/>
      <c r="Q141" s="475"/>
      <c r="R141" s="475"/>
      <c r="S141" s="475"/>
      <c r="T141" s="475"/>
      <c r="U141" s="475"/>
      <c r="V141" s="475"/>
      <c r="W141" s="475"/>
      <c r="X141" s="475"/>
      <c r="Y141" s="475"/>
      <c r="Z141" s="475"/>
      <c r="AA141" s="475"/>
      <c r="AB141" s="475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  <c r="AS141" s="475"/>
      <c r="AT141" s="475"/>
      <c r="AU141" s="475"/>
      <c r="AV141" s="475"/>
      <c r="AW141" s="475"/>
      <c r="AX141" s="475"/>
      <c r="AY141" s="475"/>
      <c r="AZ141" s="475"/>
      <c r="BA141" s="475"/>
      <c r="BB141" s="475"/>
      <c r="BC141" s="475"/>
      <c r="BD141" s="474"/>
      <c r="BE141" s="475"/>
      <c r="BF141" s="475"/>
      <c r="BG141" s="475"/>
      <c r="BH141" s="475"/>
      <c r="BI141" s="475"/>
      <c r="BJ141" s="475"/>
      <c r="BK141" s="477"/>
    </row>
    <row r="142" spans="1:101" customFormat="1" ht="15.75" customHeight="1">
      <c r="A142" s="504">
        <v>5</v>
      </c>
      <c r="B142" s="485" t="s">
        <v>735</v>
      </c>
      <c r="C142" s="486"/>
      <c r="D142" s="486"/>
      <c r="E142" s="486"/>
      <c r="F142" s="486"/>
      <c r="G142" s="486"/>
      <c r="H142" s="486"/>
      <c r="I142" s="486"/>
      <c r="J142" s="486" t="s">
        <v>736</v>
      </c>
      <c r="K142" s="486"/>
      <c r="L142" s="486"/>
      <c r="M142" s="486"/>
      <c r="N142" s="486"/>
      <c r="O142" s="486"/>
      <c r="P142" s="486"/>
      <c r="Q142" s="486"/>
      <c r="R142" s="486"/>
      <c r="S142" s="486"/>
      <c r="T142" s="486"/>
      <c r="U142" s="486"/>
      <c r="V142" s="486"/>
      <c r="W142" s="486"/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  <c r="AH142" s="486"/>
      <c r="AI142" s="486"/>
      <c r="AJ142" s="486"/>
      <c r="AK142" s="486"/>
      <c r="AL142" s="486"/>
      <c r="AM142" s="486"/>
      <c r="AN142" s="486"/>
      <c r="AO142" s="486"/>
      <c r="AP142" s="486"/>
      <c r="AQ142" s="486"/>
      <c r="AR142" s="486"/>
      <c r="AS142" s="486"/>
      <c r="AT142" s="486"/>
      <c r="AU142" s="486"/>
      <c r="AV142" s="486"/>
      <c r="AW142" s="486"/>
      <c r="AX142" s="486"/>
      <c r="AY142" s="486"/>
      <c r="AZ142" s="486"/>
      <c r="BA142" s="486"/>
      <c r="BB142" s="486"/>
      <c r="BC142" s="486"/>
      <c r="BD142" s="486"/>
      <c r="BE142" s="486"/>
      <c r="BF142" s="486"/>
      <c r="BG142" s="486"/>
      <c r="BH142" s="486"/>
      <c r="BI142" s="486"/>
      <c r="BJ142" s="486"/>
      <c r="BK142" s="487"/>
      <c r="BM142" s="505"/>
      <c r="BN142" s="505"/>
      <c r="BO142" s="505"/>
      <c r="BP142" s="506"/>
      <c r="BQ142" s="506"/>
      <c r="BR142" s="506"/>
      <c r="BS142" s="506"/>
      <c r="BT142" s="506"/>
      <c r="BU142" s="506"/>
      <c r="BV142" s="506"/>
      <c r="BW142" s="506"/>
      <c r="BX142" s="506"/>
      <c r="BY142" s="506"/>
      <c r="BZ142" s="506"/>
      <c r="CA142" s="506"/>
      <c r="CB142" s="506"/>
      <c r="CC142" s="506"/>
      <c r="CD142" s="506"/>
      <c r="CE142" s="506"/>
      <c r="CF142" s="506"/>
      <c r="CG142" s="506"/>
      <c r="CH142" s="506"/>
      <c r="CI142" s="506"/>
      <c r="CJ142" s="506"/>
      <c r="CK142" s="506"/>
      <c r="CL142" s="506"/>
      <c r="CM142" s="506"/>
      <c r="CN142" s="506"/>
      <c r="CO142" s="506"/>
      <c r="CP142" s="506"/>
      <c r="CQ142" s="506"/>
      <c r="CR142" s="506"/>
      <c r="CS142" s="506"/>
      <c r="CT142" s="506"/>
      <c r="CU142" s="506"/>
      <c r="CV142" s="506"/>
      <c r="CW142" s="506"/>
    </row>
    <row r="143" spans="1:101" customFormat="1" ht="15.75" customHeight="1">
      <c r="A143" s="507"/>
      <c r="B143" s="81"/>
      <c r="C143" s="76"/>
      <c r="D143" s="76"/>
      <c r="E143" s="76"/>
      <c r="F143" s="76"/>
      <c r="G143" s="76"/>
      <c r="H143" s="76"/>
      <c r="I143" s="82"/>
      <c r="J143" s="509" t="s">
        <v>737</v>
      </c>
      <c r="K143" s="510"/>
      <c r="L143" s="510" t="s">
        <v>738</v>
      </c>
      <c r="M143" s="510"/>
      <c r="N143" s="510"/>
      <c r="O143" s="510"/>
      <c r="P143" s="510"/>
      <c r="Q143" s="510"/>
      <c r="R143" s="510"/>
      <c r="S143" s="510"/>
      <c r="T143" s="510"/>
      <c r="U143" s="510"/>
      <c r="V143" s="510"/>
      <c r="W143" s="510"/>
      <c r="X143" s="510"/>
      <c r="Y143" s="510"/>
      <c r="Z143" s="510"/>
      <c r="AA143" s="510"/>
      <c r="AB143" s="510"/>
      <c r="AC143" s="510"/>
      <c r="AD143" s="510"/>
      <c r="AE143" s="510"/>
      <c r="AF143" s="510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82"/>
      <c r="BD143" s="76"/>
      <c r="BE143" s="76"/>
      <c r="BF143" s="76"/>
      <c r="BG143" s="76"/>
      <c r="BH143" s="76"/>
      <c r="BI143" s="76"/>
      <c r="BJ143" s="76"/>
      <c r="BK143" s="78"/>
      <c r="BM143" s="505"/>
      <c r="BN143" s="505"/>
      <c r="BO143" s="505"/>
      <c r="BP143" s="506"/>
      <c r="BQ143" s="506"/>
      <c r="BR143" s="506"/>
      <c r="BS143" s="506"/>
      <c r="BT143" s="506"/>
      <c r="BU143" s="506"/>
      <c r="BV143" s="506"/>
      <c r="BW143" s="506"/>
      <c r="BX143" s="506"/>
      <c r="BY143" s="506"/>
      <c r="BZ143" s="506"/>
      <c r="CA143" s="506"/>
      <c r="CB143" s="505"/>
      <c r="CC143" s="505"/>
      <c r="CD143" s="505"/>
      <c r="CE143" s="505"/>
      <c r="CF143" s="505"/>
      <c r="CG143" s="505"/>
      <c r="CH143" s="505"/>
      <c r="CI143" s="505"/>
      <c r="CJ143" s="505"/>
      <c r="CK143" s="505"/>
      <c r="CL143" s="505"/>
      <c r="CM143" s="505"/>
      <c r="CN143" s="505"/>
      <c r="CO143" s="505"/>
      <c r="CP143" s="505"/>
      <c r="CQ143" s="505"/>
      <c r="CR143" s="505"/>
      <c r="CS143" s="505"/>
      <c r="CT143" s="505"/>
      <c r="CU143" s="505"/>
      <c r="CV143" s="505"/>
      <c r="CW143" s="505"/>
    </row>
    <row r="144" spans="1:101" customFormat="1" ht="15.75" customHeight="1">
      <c r="A144" s="507"/>
      <c r="B144" s="81"/>
      <c r="C144" s="76"/>
      <c r="D144" s="76"/>
      <c r="E144" s="76"/>
      <c r="F144" s="76"/>
      <c r="G144" s="76"/>
      <c r="H144" s="76"/>
      <c r="I144" s="82"/>
      <c r="J144" s="509"/>
      <c r="K144" s="510"/>
      <c r="L144" s="511" t="s">
        <v>743</v>
      </c>
      <c r="M144" s="510"/>
      <c r="N144" s="510"/>
      <c r="O144" s="510"/>
      <c r="P144" s="510"/>
      <c r="Q144" s="510"/>
      <c r="R144" s="510"/>
      <c r="S144" s="510"/>
      <c r="T144" s="510"/>
      <c r="U144" s="510"/>
      <c r="V144" s="510"/>
      <c r="W144" s="510"/>
      <c r="X144" s="510"/>
      <c r="Y144" s="510"/>
      <c r="Z144" s="510"/>
      <c r="AA144" s="510"/>
      <c r="AB144" s="510"/>
      <c r="AC144" s="510"/>
      <c r="AD144" s="510"/>
      <c r="AE144" s="510"/>
      <c r="AF144" s="510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82"/>
      <c r="BD144" s="76"/>
      <c r="BE144" s="76"/>
      <c r="BF144" s="76"/>
      <c r="BG144" s="76"/>
      <c r="BH144" s="76"/>
      <c r="BI144" s="76"/>
      <c r="BJ144" s="76"/>
      <c r="BK144" s="78"/>
      <c r="BM144" s="505"/>
      <c r="BN144" s="505"/>
      <c r="BO144" s="505"/>
      <c r="BP144" s="506"/>
      <c r="BQ144" s="506"/>
      <c r="BR144" s="506"/>
      <c r="BS144" s="506"/>
      <c r="BT144" s="506"/>
      <c r="BU144" s="506"/>
      <c r="BV144" s="506"/>
      <c r="BW144" s="506"/>
      <c r="BX144" s="506"/>
      <c r="BY144" s="506"/>
      <c r="BZ144" s="506"/>
      <c r="CA144" s="506"/>
      <c r="CB144" s="505"/>
      <c r="CC144" s="505"/>
      <c r="CD144" s="505"/>
      <c r="CE144" s="505"/>
      <c r="CF144" s="505"/>
      <c r="CG144" s="505"/>
      <c r="CH144" s="505"/>
      <c r="CI144" s="505"/>
      <c r="CJ144" s="505"/>
      <c r="CK144" s="505"/>
      <c r="CL144" s="505"/>
      <c r="CM144" s="505"/>
      <c r="CN144" s="505"/>
      <c r="CO144" s="505"/>
      <c r="CP144" s="505"/>
      <c r="CQ144" s="505"/>
      <c r="CR144" s="505"/>
      <c r="CS144" s="505"/>
      <c r="CT144" s="505"/>
      <c r="CU144" s="505"/>
      <c r="CV144" s="505"/>
      <c r="CW144" s="505"/>
    </row>
    <row r="145" spans="1:101" customFormat="1" ht="15.75" customHeight="1">
      <c r="A145" s="507"/>
      <c r="B145" s="81"/>
      <c r="C145" s="76"/>
      <c r="D145" s="76"/>
      <c r="E145" s="76"/>
      <c r="F145" s="76"/>
      <c r="G145" s="76"/>
      <c r="H145" s="76"/>
      <c r="I145" s="82"/>
      <c r="J145" s="509"/>
      <c r="K145" s="510"/>
      <c r="L145" s="511"/>
      <c r="M145" s="510"/>
      <c r="N145" s="510"/>
      <c r="O145" s="510"/>
      <c r="P145" s="510"/>
      <c r="Q145" s="510"/>
      <c r="R145" s="510"/>
      <c r="S145" s="510"/>
      <c r="T145" s="510"/>
      <c r="U145" s="510"/>
      <c r="V145" s="510"/>
      <c r="W145" s="510"/>
      <c r="X145" s="510"/>
      <c r="Y145" s="510"/>
      <c r="Z145" s="510"/>
      <c r="AA145" s="510"/>
      <c r="AB145" s="510"/>
      <c r="AC145" s="510"/>
      <c r="AD145" s="510"/>
      <c r="AE145" s="510"/>
      <c r="AF145" s="510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82"/>
      <c r="BD145" s="76"/>
      <c r="BE145" s="76"/>
      <c r="BF145" s="76"/>
      <c r="BG145" s="76"/>
      <c r="BH145" s="76"/>
      <c r="BI145" s="76"/>
      <c r="BJ145" s="76"/>
      <c r="BK145" s="78"/>
      <c r="BM145" s="505"/>
      <c r="BN145" s="505"/>
      <c r="BO145" s="505"/>
      <c r="BP145" s="506"/>
      <c r="BQ145" s="506"/>
      <c r="BR145" s="506"/>
      <c r="BS145" s="506"/>
      <c r="BT145" s="506"/>
      <c r="BU145" s="506"/>
      <c r="BV145" s="506"/>
      <c r="BW145" s="506"/>
      <c r="BX145" s="506"/>
      <c r="BY145" s="506"/>
      <c r="BZ145" s="506"/>
      <c r="CA145" s="506"/>
      <c r="CB145" s="505"/>
      <c r="CC145" s="505"/>
      <c r="CD145" s="505"/>
      <c r="CE145" s="505"/>
      <c r="CF145" s="505"/>
      <c r="CG145" s="505"/>
      <c r="CH145" s="505"/>
      <c r="CI145" s="505"/>
      <c r="CJ145" s="505"/>
      <c r="CK145" s="505"/>
      <c r="CL145" s="505"/>
      <c r="CM145" s="505"/>
      <c r="CN145" s="505"/>
      <c r="CO145" s="505"/>
      <c r="CP145" s="505"/>
      <c r="CQ145" s="505"/>
      <c r="CR145" s="505"/>
      <c r="CS145" s="505"/>
      <c r="CT145" s="505"/>
      <c r="CU145" s="505"/>
      <c r="CV145" s="505"/>
      <c r="CW145" s="505"/>
    </row>
    <row r="146" spans="1:101" ht="15.75" customHeight="1">
      <c r="A146" s="406"/>
      <c r="B146" s="399"/>
      <c r="C146" s="407"/>
      <c r="D146" s="407"/>
      <c r="E146" s="407"/>
      <c r="F146" s="407"/>
      <c r="G146" s="407"/>
      <c r="H146" s="407"/>
      <c r="I146" s="408"/>
      <c r="J146" s="407"/>
      <c r="K146" s="407"/>
      <c r="L146" s="407"/>
      <c r="M146" s="407"/>
      <c r="N146" s="407"/>
      <c r="O146" s="407"/>
      <c r="P146" s="407"/>
      <c r="Q146" s="407"/>
      <c r="R146" s="407"/>
      <c r="S146" s="407"/>
      <c r="T146" s="407"/>
      <c r="U146" s="407"/>
      <c r="V146" s="407"/>
      <c r="W146" s="407"/>
      <c r="X146" s="407"/>
      <c r="Y146" s="407"/>
      <c r="Z146" s="407"/>
      <c r="AA146" s="407"/>
      <c r="AB146" s="407"/>
      <c r="AC146" s="407"/>
      <c r="AD146" s="407"/>
      <c r="AE146" s="407"/>
      <c r="AF146" s="407"/>
      <c r="AG146" s="407"/>
      <c r="AH146" s="407"/>
      <c r="AI146" s="407"/>
      <c r="AJ146" s="407"/>
      <c r="AK146" s="407"/>
      <c r="AL146" s="407"/>
      <c r="AM146" s="407"/>
      <c r="AN146" s="407"/>
      <c r="AO146" s="407"/>
      <c r="AP146" s="407"/>
      <c r="AQ146" s="407"/>
      <c r="AR146" s="407"/>
      <c r="AS146" s="407"/>
      <c r="AT146" s="407"/>
      <c r="AU146" s="407"/>
      <c r="AV146" s="407"/>
      <c r="AW146" s="407"/>
      <c r="AX146" s="407"/>
      <c r="AY146" s="407"/>
      <c r="AZ146" s="407"/>
      <c r="BA146" s="407"/>
      <c r="BB146" s="407"/>
      <c r="BC146" s="407"/>
      <c r="BD146" s="399"/>
      <c r="BE146" s="407"/>
      <c r="BF146" s="407"/>
      <c r="BG146" s="407"/>
      <c r="BH146" s="407"/>
      <c r="BI146" s="407"/>
      <c r="BJ146" s="407"/>
      <c r="BK146" s="407"/>
    </row>
    <row r="147" spans="1:101" s="91" customFormat="1" ht="15.75" customHeight="1">
      <c r="A147" s="458" t="s">
        <v>744</v>
      </c>
      <c r="B147" s="389" t="s">
        <v>501</v>
      </c>
      <c r="C147" s="389"/>
      <c r="D147" s="389"/>
      <c r="E147" s="389"/>
      <c r="F147" s="389"/>
      <c r="G147" s="389"/>
      <c r="H147" s="389"/>
      <c r="I147" s="389"/>
      <c r="J147" s="389"/>
      <c r="K147" s="389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  <c r="W147" s="390"/>
      <c r="X147" s="390"/>
      <c r="Y147" s="390"/>
      <c r="Z147" s="390"/>
      <c r="AA147" s="390"/>
      <c r="AB147" s="390"/>
      <c r="AC147" s="390"/>
      <c r="AD147" s="390"/>
      <c r="AE147" s="390"/>
      <c r="AF147" s="390"/>
      <c r="AG147" s="390"/>
      <c r="AH147" s="390"/>
      <c r="AI147" s="390"/>
      <c r="AJ147" s="390"/>
      <c r="AK147" s="390"/>
      <c r="AL147" s="390"/>
      <c r="AM147" s="390"/>
      <c r="AN147" s="390"/>
      <c r="AO147" s="390"/>
      <c r="AP147" s="390"/>
      <c r="AQ147" s="390"/>
      <c r="AR147" s="390"/>
      <c r="AS147" s="390"/>
      <c r="AT147" s="390"/>
      <c r="AU147" s="390"/>
      <c r="AV147" s="390"/>
      <c r="AW147" s="390"/>
      <c r="AX147" s="390"/>
      <c r="AY147" s="390"/>
      <c r="AZ147" s="390"/>
      <c r="BA147" s="390"/>
      <c r="BB147" s="390"/>
      <c r="BC147" s="390"/>
      <c r="BD147" s="390"/>
      <c r="BE147" s="390"/>
      <c r="BF147" s="390"/>
      <c r="BG147" s="390"/>
      <c r="BH147" s="390"/>
      <c r="BI147" s="390"/>
      <c r="BJ147" s="390"/>
      <c r="BK147" s="391"/>
    </row>
    <row r="148" spans="1:101" s="91" customFormat="1" ht="15.75" customHeight="1">
      <c r="A148" s="392"/>
      <c r="B148" s="393"/>
      <c r="C148" s="394"/>
      <c r="D148" s="394"/>
      <c r="E148" s="394"/>
      <c r="F148" s="394"/>
      <c r="G148" s="394"/>
      <c r="H148" s="394"/>
      <c r="I148" s="395"/>
      <c r="J148" s="404" t="s">
        <v>502</v>
      </c>
      <c r="K148" s="405"/>
      <c r="L148" s="405"/>
      <c r="M148" s="405"/>
      <c r="N148" s="405"/>
      <c r="O148" s="405"/>
      <c r="P148" s="405"/>
      <c r="Q148" s="405"/>
      <c r="R148" s="405"/>
      <c r="S148" s="405"/>
      <c r="T148" s="405"/>
      <c r="U148" s="405"/>
      <c r="V148" s="405"/>
      <c r="W148" s="405"/>
      <c r="X148" s="405"/>
      <c r="Y148" s="405"/>
      <c r="Z148" s="405"/>
      <c r="AA148" s="405"/>
      <c r="AB148" s="405"/>
      <c r="AC148" s="405"/>
      <c r="AD148" s="405"/>
      <c r="AE148" s="405"/>
      <c r="AF148" s="405"/>
      <c r="AG148" s="405"/>
      <c r="AH148" s="405"/>
      <c r="AI148" s="405"/>
      <c r="AJ148" s="405"/>
      <c r="AK148" s="405"/>
      <c r="AL148" s="405"/>
      <c r="AM148" s="405"/>
      <c r="AN148" s="405"/>
      <c r="AO148" s="394"/>
      <c r="AP148" s="394"/>
      <c r="AQ148" s="394"/>
      <c r="AR148" s="394"/>
      <c r="AS148" s="394"/>
      <c r="AT148" s="394"/>
      <c r="AU148" s="394"/>
      <c r="AV148" s="394"/>
      <c r="AW148" s="394"/>
      <c r="AX148" s="394"/>
      <c r="AY148" s="394"/>
      <c r="AZ148" s="394"/>
      <c r="BA148" s="394"/>
      <c r="BB148" s="394"/>
      <c r="BC148" s="394"/>
      <c r="BD148" s="393"/>
      <c r="BE148" s="394"/>
      <c r="BF148" s="394"/>
      <c r="BG148" s="394"/>
      <c r="BH148" s="394"/>
      <c r="BI148" s="394"/>
      <c r="BJ148" s="394"/>
      <c r="BK148" s="397"/>
    </row>
    <row r="149" spans="1:101" s="91" customFormat="1" ht="15.75" customHeight="1">
      <c r="A149" s="392"/>
      <c r="B149" s="393"/>
      <c r="C149" s="394"/>
      <c r="D149" s="394"/>
      <c r="E149" s="394"/>
      <c r="F149" s="394"/>
      <c r="G149" s="394"/>
      <c r="H149" s="394"/>
      <c r="I149" s="395"/>
      <c r="J149" s="405"/>
      <c r="K149" s="405"/>
      <c r="L149" s="405" t="s">
        <v>488</v>
      </c>
      <c r="M149" s="405"/>
      <c r="N149" s="405"/>
      <c r="O149" s="405"/>
      <c r="P149" s="405"/>
      <c r="Q149" s="405"/>
      <c r="R149" s="405"/>
      <c r="S149" s="405"/>
      <c r="T149" s="405"/>
      <c r="U149" s="405"/>
      <c r="W149" s="405"/>
      <c r="X149" s="394"/>
      <c r="Y149" s="405"/>
      <c r="Z149" s="405"/>
      <c r="AA149" s="405"/>
      <c r="AB149" s="405"/>
      <c r="AC149" s="405"/>
      <c r="AD149" s="405"/>
      <c r="AE149" s="405"/>
      <c r="AF149" s="405"/>
      <c r="AG149" s="405"/>
      <c r="AH149" s="405"/>
      <c r="AI149" s="405"/>
      <c r="AJ149" s="405"/>
      <c r="AK149" s="405"/>
      <c r="AL149" s="405"/>
      <c r="AM149" s="405"/>
      <c r="AN149" s="405"/>
      <c r="AO149" s="394"/>
      <c r="AP149" s="394"/>
      <c r="AQ149" s="394"/>
      <c r="AR149" s="394"/>
      <c r="AS149" s="394"/>
      <c r="AT149" s="394"/>
      <c r="AU149" s="394"/>
      <c r="AV149" s="394"/>
      <c r="AW149" s="394"/>
      <c r="AX149" s="394"/>
      <c r="AY149" s="394"/>
      <c r="AZ149" s="394"/>
      <c r="BA149" s="394"/>
      <c r="BB149" s="394"/>
      <c r="BC149" s="394"/>
      <c r="BD149" s="393"/>
      <c r="BE149" s="394"/>
      <c r="BF149" s="394"/>
      <c r="BG149" s="394"/>
      <c r="BH149" s="394"/>
      <c r="BI149" s="394"/>
      <c r="BJ149" s="394"/>
      <c r="BK149" s="397"/>
    </row>
    <row r="150" spans="1:101" s="91" customFormat="1" ht="15.75" customHeight="1">
      <c r="A150" s="392"/>
      <c r="B150" s="393"/>
      <c r="C150" s="394"/>
      <c r="D150" s="394"/>
      <c r="E150" s="394"/>
      <c r="F150" s="394"/>
      <c r="G150" s="394"/>
      <c r="H150" s="394"/>
      <c r="I150" s="395"/>
      <c r="J150" s="405"/>
      <c r="K150" s="405"/>
      <c r="L150" s="405"/>
      <c r="N150" s="405" t="s">
        <v>503</v>
      </c>
      <c r="O150" s="394"/>
      <c r="P150" s="405"/>
      <c r="Q150" s="405"/>
      <c r="R150" s="405"/>
      <c r="S150" s="405"/>
      <c r="T150" s="405"/>
      <c r="U150" s="405"/>
      <c r="V150" s="405"/>
      <c r="W150" s="405"/>
      <c r="X150" s="394"/>
      <c r="Y150" s="405"/>
      <c r="AC150" s="410" t="s">
        <v>504</v>
      </c>
      <c r="AJ150" s="405"/>
      <c r="AK150" s="405"/>
      <c r="AL150" s="405"/>
      <c r="AM150" s="405"/>
      <c r="AN150" s="405"/>
      <c r="AO150" s="394"/>
      <c r="AP150" s="394"/>
      <c r="AQ150" s="394"/>
      <c r="AR150" s="394"/>
      <c r="AS150" s="394"/>
      <c r="AT150" s="394"/>
      <c r="AU150" s="394"/>
      <c r="AV150" s="394"/>
      <c r="AW150" s="394"/>
      <c r="AX150" s="394"/>
      <c r="AY150" s="394"/>
      <c r="AZ150" s="394"/>
      <c r="BA150" s="394"/>
      <c r="BB150" s="394"/>
      <c r="BC150" s="394"/>
      <c r="BD150" s="393" t="s">
        <v>491</v>
      </c>
      <c r="BE150" s="394"/>
      <c r="BF150" s="394"/>
      <c r="BG150" s="394"/>
      <c r="BH150" s="394"/>
      <c r="BI150" s="394"/>
      <c r="BJ150" s="394"/>
      <c r="BK150" s="397"/>
    </row>
    <row r="151" spans="1:101" s="91" customFormat="1" ht="15.75" customHeight="1">
      <c r="A151" s="392"/>
      <c r="B151" s="393"/>
      <c r="C151" s="394"/>
      <c r="D151" s="394"/>
      <c r="E151" s="394"/>
      <c r="F151" s="394"/>
      <c r="G151" s="394"/>
      <c r="H151" s="394"/>
      <c r="I151" s="395"/>
      <c r="J151" s="405"/>
      <c r="K151" s="405"/>
      <c r="L151" s="405"/>
      <c r="M151" s="405" t="s">
        <v>506</v>
      </c>
      <c r="N151" s="405"/>
      <c r="O151" s="394"/>
      <c r="P151" s="405"/>
      <c r="Q151" s="405"/>
      <c r="R151" s="405"/>
      <c r="S151" s="405"/>
      <c r="T151" s="405"/>
      <c r="U151" s="405"/>
      <c r="V151" s="405"/>
      <c r="W151" s="405"/>
      <c r="X151" s="405"/>
      <c r="Y151" s="405"/>
      <c r="AC151" s="410"/>
      <c r="AJ151" s="405"/>
      <c r="AK151" s="405"/>
      <c r="AL151" s="405"/>
      <c r="AM151" s="405"/>
      <c r="AN151" s="405"/>
      <c r="AO151" s="394"/>
      <c r="AP151" s="394"/>
      <c r="AQ151" s="394"/>
      <c r="AR151" s="394"/>
      <c r="AS151" s="394"/>
      <c r="AT151" s="394"/>
      <c r="AU151" s="394"/>
      <c r="AV151" s="394"/>
      <c r="AW151" s="394"/>
      <c r="AX151" s="394"/>
      <c r="AY151" s="394"/>
      <c r="AZ151" s="394"/>
      <c r="BA151" s="394"/>
      <c r="BB151" s="394"/>
      <c r="BC151" s="394"/>
      <c r="BD151" s="393"/>
      <c r="BE151" s="394"/>
      <c r="BF151" s="394"/>
      <c r="BG151" s="394"/>
      <c r="BH151" s="394"/>
      <c r="BI151" s="394"/>
      <c r="BJ151" s="394"/>
      <c r="BK151" s="397"/>
    </row>
    <row r="152" spans="1:101" s="91" customFormat="1" ht="15.75" customHeight="1">
      <c r="A152" s="392"/>
      <c r="B152" s="393"/>
      <c r="C152" s="394"/>
      <c r="D152" s="394"/>
      <c r="E152" s="394"/>
      <c r="F152" s="394"/>
      <c r="G152" s="394"/>
      <c r="H152" s="394"/>
      <c r="I152" s="395"/>
      <c r="J152" s="405"/>
      <c r="K152" s="405"/>
      <c r="L152" s="405"/>
      <c r="O152" s="394"/>
      <c r="P152" s="405"/>
      <c r="Q152" s="405"/>
      <c r="R152" s="405"/>
      <c r="S152" s="405"/>
      <c r="T152" s="405"/>
      <c r="U152" s="405"/>
      <c r="V152" s="405"/>
      <c r="W152" s="405"/>
      <c r="X152" s="394"/>
      <c r="Y152" s="405"/>
      <c r="AC152" s="409" t="s">
        <v>507</v>
      </c>
      <c r="AJ152" s="405"/>
      <c r="AK152" s="405"/>
      <c r="AL152" s="405"/>
      <c r="AM152" s="405"/>
      <c r="AN152" s="405"/>
      <c r="AO152" s="394"/>
      <c r="AP152" s="394"/>
      <c r="AQ152" s="394"/>
      <c r="AR152" s="394"/>
      <c r="AS152" s="394"/>
      <c r="AT152" s="394"/>
      <c r="AU152" s="394"/>
      <c r="AV152" s="394"/>
      <c r="AW152" s="394"/>
      <c r="AX152" s="394"/>
      <c r="AY152" s="394"/>
      <c r="AZ152" s="394"/>
      <c r="BA152" s="394"/>
      <c r="BB152" s="394"/>
      <c r="BC152" s="394"/>
      <c r="BD152" s="393" t="s">
        <v>508</v>
      </c>
      <c r="BE152" s="394"/>
      <c r="BF152" s="394"/>
      <c r="BG152" s="394"/>
      <c r="BH152" s="394"/>
      <c r="BI152" s="394"/>
      <c r="BJ152" s="394"/>
      <c r="BK152" s="397"/>
    </row>
    <row r="153" spans="1:101" s="91" customFormat="1" ht="15.75" customHeight="1">
      <c r="A153" s="392"/>
      <c r="B153" s="393"/>
      <c r="C153" s="394"/>
      <c r="D153" s="394"/>
      <c r="E153" s="394"/>
      <c r="F153" s="394"/>
      <c r="G153" s="394"/>
      <c r="H153" s="394"/>
      <c r="I153" s="395"/>
      <c r="J153" s="405"/>
      <c r="K153" s="405"/>
      <c r="L153" s="405"/>
      <c r="M153" s="405"/>
      <c r="N153" s="405"/>
      <c r="O153" s="405"/>
      <c r="P153" s="405"/>
      <c r="Q153" s="405"/>
      <c r="R153" s="405"/>
      <c r="S153" s="405"/>
      <c r="T153" s="405"/>
      <c r="U153" s="405"/>
      <c r="V153" s="405"/>
      <c r="W153" s="405"/>
      <c r="X153" s="394"/>
      <c r="Y153" s="405"/>
      <c r="Z153" s="405"/>
      <c r="AA153" s="405"/>
      <c r="AB153" s="405"/>
      <c r="AC153" s="405"/>
      <c r="AD153" s="405"/>
      <c r="AE153" s="405"/>
      <c r="AF153" s="405"/>
      <c r="AG153" s="394"/>
      <c r="AH153" s="405"/>
      <c r="AI153" s="410"/>
      <c r="AJ153" s="405"/>
      <c r="AK153" s="405"/>
      <c r="AL153" s="405"/>
      <c r="AM153" s="405"/>
      <c r="AN153" s="405"/>
      <c r="AO153" s="394"/>
      <c r="AP153" s="394"/>
      <c r="AQ153" s="394"/>
      <c r="AR153" s="394"/>
      <c r="AS153" s="394"/>
      <c r="AT153" s="394"/>
      <c r="AU153" s="394"/>
      <c r="AV153" s="394"/>
      <c r="AW153" s="394"/>
      <c r="AX153" s="394"/>
      <c r="AY153" s="394"/>
      <c r="AZ153" s="394"/>
      <c r="BA153" s="394"/>
      <c r="BB153" s="394"/>
      <c r="BC153" s="394"/>
      <c r="BD153" s="393"/>
      <c r="BE153" s="394"/>
      <c r="BF153" s="394"/>
      <c r="BG153" s="394"/>
      <c r="BH153" s="394"/>
      <c r="BI153" s="394"/>
      <c r="BJ153" s="394"/>
      <c r="BK153" s="397"/>
    </row>
    <row r="154" spans="1:101" s="91" customFormat="1" ht="15.75" customHeight="1">
      <c r="A154" s="392"/>
      <c r="B154" s="393"/>
      <c r="C154" s="394"/>
      <c r="D154" s="394"/>
      <c r="E154" s="394"/>
      <c r="F154" s="394"/>
      <c r="G154" s="394"/>
      <c r="H154" s="394"/>
      <c r="I154" s="395"/>
      <c r="J154" s="404" t="s">
        <v>509</v>
      </c>
      <c r="K154" s="405"/>
      <c r="L154" s="405"/>
      <c r="M154" s="405"/>
      <c r="N154" s="405"/>
      <c r="O154" s="405"/>
      <c r="P154" s="405"/>
      <c r="Q154" s="405"/>
      <c r="R154" s="405"/>
      <c r="S154" s="405"/>
      <c r="T154" s="405"/>
      <c r="U154" s="405"/>
      <c r="V154" s="405"/>
      <c r="W154" s="405"/>
      <c r="X154" s="405"/>
      <c r="Y154" s="405"/>
      <c r="Z154" s="405"/>
      <c r="AA154" s="405"/>
      <c r="AB154" s="405"/>
      <c r="AC154" s="405"/>
      <c r="AD154" s="405"/>
      <c r="AE154" s="405"/>
      <c r="AF154" s="405"/>
      <c r="AG154" s="405"/>
      <c r="AH154" s="405"/>
      <c r="AI154" s="405"/>
      <c r="AJ154" s="405"/>
      <c r="AK154" s="405"/>
      <c r="AL154" s="405"/>
      <c r="AM154" s="405"/>
      <c r="AN154" s="405"/>
      <c r="AO154" s="394"/>
      <c r="AP154" s="394"/>
      <c r="AQ154" s="394"/>
      <c r="AR154" s="394"/>
      <c r="AS154" s="394"/>
      <c r="AT154" s="394"/>
      <c r="AU154" s="394"/>
      <c r="AV154" s="394"/>
      <c r="AW154" s="394"/>
      <c r="AX154" s="394"/>
      <c r="AY154" s="394"/>
      <c r="AZ154" s="394"/>
      <c r="BA154" s="394"/>
      <c r="BB154" s="394"/>
      <c r="BC154" s="394"/>
      <c r="BD154" s="393"/>
      <c r="BE154" s="394"/>
      <c r="BF154" s="394"/>
      <c r="BG154" s="394"/>
      <c r="BH154" s="394"/>
      <c r="BI154" s="394"/>
      <c r="BJ154" s="394"/>
      <c r="BK154" s="397"/>
    </row>
    <row r="155" spans="1:101" s="91" customFormat="1" ht="15.75" customHeight="1">
      <c r="A155" s="392"/>
      <c r="B155" s="393"/>
      <c r="C155" s="394"/>
      <c r="D155" s="394"/>
      <c r="E155" s="394"/>
      <c r="F155" s="394"/>
      <c r="G155" s="394"/>
      <c r="H155" s="394"/>
      <c r="I155" s="395"/>
      <c r="J155" s="405"/>
      <c r="K155" s="405"/>
      <c r="L155" s="405" t="s">
        <v>510</v>
      </c>
      <c r="M155" s="405"/>
      <c r="N155" s="405"/>
      <c r="O155" s="405"/>
      <c r="P155" s="405"/>
      <c r="Q155" s="405"/>
      <c r="R155" s="405"/>
      <c r="S155" s="405"/>
      <c r="T155" s="405"/>
      <c r="U155" s="405"/>
      <c r="V155" s="405"/>
      <c r="W155" s="405"/>
      <c r="X155" s="405"/>
      <c r="Y155" s="405"/>
      <c r="Z155" s="405"/>
      <c r="AA155" s="405"/>
      <c r="AB155" s="405"/>
      <c r="AC155" s="405"/>
      <c r="AD155" s="405"/>
      <c r="AE155" s="405"/>
      <c r="AF155" s="405"/>
      <c r="AG155" s="405"/>
      <c r="AH155" s="405"/>
      <c r="AI155" s="405"/>
      <c r="AJ155" s="405"/>
      <c r="AK155" s="405"/>
      <c r="AL155" s="405"/>
      <c r="AM155" s="405"/>
      <c r="AN155" s="405"/>
      <c r="AO155" s="394"/>
      <c r="AP155" s="394"/>
      <c r="AQ155" s="394"/>
      <c r="AR155" s="394"/>
      <c r="AS155" s="394"/>
      <c r="AT155" s="394"/>
      <c r="AU155" s="394"/>
      <c r="AV155" s="394"/>
      <c r="AW155" s="394"/>
      <c r="AX155" s="394"/>
      <c r="AY155" s="394"/>
      <c r="AZ155" s="394"/>
      <c r="BA155" s="394"/>
      <c r="BB155" s="394"/>
      <c r="BC155" s="394"/>
      <c r="BD155" s="393" t="s">
        <v>511</v>
      </c>
      <c r="BE155" s="394"/>
      <c r="BF155" s="394"/>
      <c r="BG155" s="394"/>
      <c r="BH155" s="394"/>
      <c r="BI155" s="394"/>
      <c r="BJ155" s="394"/>
      <c r="BK155" s="397"/>
    </row>
    <row r="156" spans="1:101" s="91" customFormat="1" ht="15.75" customHeight="1">
      <c r="A156" s="392"/>
      <c r="B156" s="393"/>
      <c r="C156" s="394"/>
      <c r="D156" s="394"/>
      <c r="E156" s="394"/>
      <c r="F156" s="394"/>
      <c r="G156" s="394"/>
      <c r="H156" s="394"/>
      <c r="I156" s="395"/>
      <c r="J156" s="405"/>
      <c r="K156" s="405"/>
      <c r="L156" s="405"/>
      <c r="M156" s="405" t="s">
        <v>512</v>
      </c>
      <c r="N156" s="405"/>
      <c r="O156" s="405"/>
      <c r="P156" s="405"/>
      <c r="Q156" s="405"/>
      <c r="R156" s="405"/>
      <c r="S156" s="405"/>
      <c r="T156" s="405"/>
      <c r="U156" s="405"/>
      <c r="V156" s="405"/>
      <c r="W156" s="405"/>
      <c r="X156" s="394"/>
      <c r="Y156" s="405"/>
      <c r="Z156" s="405"/>
      <c r="AA156" s="405"/>
      <c r="AB156" s="405"/>
      <c r="AC156" s="405"/>
      <c r="AD156" s="405"/>
      <c r="AE156" s="405"/>
      <c r="AF156" s="405"/>
      <c r="AG156" s="405"/>
      <c r="AH156" s="405"/>
      <c r="AI156" s="405"/>
      <c r="AJ156" s="405"/>
      <c r="AK156" s="405"/>
      <c r="AL156" s="405"/>
      <c r="AM156" s="405"/>
      <c r="AN156" s="405"/>
      <c r="AO156" s="394"/>
      <c r="AP156" s="394"/>
      <c r="AQ156" s="394"/>
      <c r="AR156" s="394"/>
      <c r="AS156" s="394"/>
      <c r="AT156" s="394"/>
      <c r="AU156" s="394"/>
      <c r="AV156" s="394"/>
      <c r="AW156" s="394"/>
      <c r="AX156" s="394"/>
      <c r="AY156" s="394"/>
      <c r="AZ156" s="394"/>
      <c r="BA156" s="394"/>
      <c r="BB156" s="394"/>
      <c r="BC156" s="394"/>
      <c r="BD156" s="393" t="s">
        <v>513</v>
      </c>
      <c r="BE156" s="394"/>
      <c r="BF156" s="394"/>
      <c r="BG156" s="394"/>
      <c r="BH156" s="394"/>
      <c r="BI156" s="394"/>
      <c r="BJ156" s="394"/>
      <c r="BK156" s="397"/>
    </row>
    <row r="157" spans="1:101" s="91" customFormat="1" ht="15.75" customHeight="1">
      <c r="A157" s="392"/>
      <c r="B157" s="393"/>
      <c r="C157" s="394"/>
      <c r="D157" s="394"/>
      <c r="E157" s="394"/>
      <c r="F157" s="394"/>
      <c r="G157" s="394"/>
      <c r="H157" s="394"/>
      <c r="I157" s="395"/>
      <c r="J157" s="405"/>
      <c r="K157" s="405"/>
      <c r="L157" s="405" t="s">
        <v>514</v>
      </c>
      <c r="M157" s="405"/>
      <c r="N157" s="405"/>
      <c r="O157" s="405"/>
      <c r="P157" s="405"/>
      <c r="Q157" s="405"/>
      <c r="R157" s="405"/>
      <c r="S157" s="405"/>
      <c r="T157" s="405"/>
      <c r="U157" s="405"/>
      <c r="V157" s="405"/>
      <c r="W157" s="405"/>
      <c r="X157" s="394"/>
      <c r="Y157" s="405"/>
      <c r="Z157" s="405"/>
      <c r="AA157" s="405"/>
      <c r="AB157" s="405"/>
      <c r="AC157" s="405"/>
      <c r="AD157" s="405"/>
      <c r="AE157" s="405"/>
      <c r="AF157" s="405"/>
      <c r="AG157" s="405"/>
      <c r="AH157" s="405"/>
      <c r="AI157" s="405"/>
      <c r="AJ157" s="405"/>
      <c r="AK157" s="405"/>
      <c r="AL157" s="405"/>
      <c r="AM157" s="405"/>
      <c r="AN157" s="405"/>
      <c r="AO157" s="394"/>
      <c r="AP157" s="394"/>
      <c r="AQ157" s="394"/>
      <c r="AR157" s="394"/>
      <c r="AS157" s="394"/>
      <c r="AT157" s="394"/>
      <c r="AU157" s="394"/>
      <c r="AV157" s="394"/>
      <c r="AW157" s="394"/>
      <c r="AX157" s="394"/>
      <c r="AY157" s="394"/>
      <c r="AZ157" s="394"/>
      <c r="BA157" s="394"/>
      <c r="BB157" s="394"/>
      <c r="BC157" s="394"/>
      <c r="BD157" s="393"/>
      <c r="BE157" s="394"/>
      <c r="BF157" s="394"/>
      <c r="BG157" s="394"/>
      <c r="BH157" s="394"/>
      <c r="BI157" s="394"/>
      <c r="BJ157" s="394"/>
      <c r="BK157" s="397"/>
    </row>
    <row r="158" spans="1:101" s="91" customFormat="1" ht="15.75" customHeight="1">
      <c r="A158" s="392"/>
      <c r="B158" s="393"/>
      <c r="C158" s="394"/>
      <c r="D158" s="394"/>
      <c r="E158" s="394"/>
      <c r="F158" s="394"/>
      <c r="G158" s="394"/>
      <c r="H158" s="394"/>
      <c r="I158" s="395"/>
      <c r="J158" s="405"/>
      <c r="K158" s="405"/>
      <c r="L158" s="394"/>
      <c r="M158" s="405" t="s">
        <v>515</v>
      </c>
      <c r="N158" s="405"/>
      <c r="O158" s="405"/>
      <c r="P158" s="405"/>
      <c r="Q158" s="405"/>
      <c r="R158" s="405"/>
      <c r="S158" s="405"/>
      <c r="T158" s="405"/>
      <c r="U158" s="405"/>
      <c r="V158" s="405"/>
      <c r="W158" s="405"/>
      <c r="X158" s="394"/>
      <c r="Y158" s="405"/>
      <c r="Z158" s="405"/>
      <c r="AA158" s="405"/>
      <c r="AB158" s="405"/>
      <c r="AC158" s="405"/>
      <c r="AD158" s="405"/>
      <c r="AE158" s="405"/>
      <c r="AF158" s="405"/>
      <c r="AG158" s="405"/>
      <c r="AH158" s="405"/>
      <c r="AI158" s="405"/>
      <c r="AJ158" s="405"/>
      <c r="AK158" s="405"/>
      <c r="AL158" s="405"/>
      <c r="AM158" s="405"/>
      <c r="AN158" s="405"/>
      <c r="AO158" s="394"/>
      <c r="AP158" s="394"/>
      <c r="AQ158" s="394"/>
      <c r="AR158" s="394"/>
      <c r="AS158" s="394"/>
      <c r="AT158" s="394"/>
      <c r="AU158" s="394"/>
      <c r="AV158" s="394"/>
      <c r="AW158" s="394"/>
      <c r="AX158" s="394"/>
      <c r="AY158" s="394"/>
      <c r="AZ158" s="394"/>
      <c r="BA158" s="394"/>
      <c r="BB158" s="394"/>
      <c r="BC158" s="394"/>
      <c r="BD158" s="393"/>
      <c r="BE158" s="394"/>
      <c r="BF158" s="394"/>
      <c r="BG158" s="394"/>
      <c r="BH158" s="394"/>
      <c r="BI158" s="394"/>
      <c r="BJ158" s="394"/>
      <c r="BK158" s="397"/>
    </row>
    <row r="159" spans="1:101" s="91" customFormat="1" ht="15.75" customHeight="1">
      <c r="A159" s="392"/>
      <c r="B159" s="393"/>
      <c r="C159" s="394"/>
      <c r="D159" s="394"/>
      <c r="E159" s="394"/>
      <c r="F159" s="394"/>
      <c r="G159" s="394"/>
      <c r="H159" s="394"/>
      <c r="I159" s="395"/>
      <c r="J159" s="405"/>
      <c r="K159" s="405"/>
      <c r="L159" s="394"/>
      <c r="M159" s="405" t="s">
        <v>516</v>
      </c>
      <c r="N159" s="405"/>
      <c r="O159" s="405"/>
      <c r="P159" s="405"/>
      <c r="Q159" s="405"/>
      <c r="R159" s="405"/>
      <c r="S159" s="405"/>
      <c r="T159" s="405"/>
      <c r="U159" s="405"/>
      <c r="V159" s="405"/>
      <c r="W159" s="405"/>
      <c r="X159" s="394"/>
      <c r="Y159" s="405"/>
      <c r="Z159" s="405"/>
      <c r="AA159" s="405"/>
      <c r="AB159" s="405"/>
      <c r="AC159" s="405"/>
      <c r="AD159" s="405"/>
      <c r="AE159" s="405"/>
      <c r="AF159" s="405"/>
      <c r="AG159" s="405"/>
      <c r="AH159" s="405"/>
      <c r="AI159" s="405"/>
      <c r="AJ159" s="405"/>
      <c r="AK159" s="405"/>
      <c r="AL159" s="405"/>
      <c r="AM159" s="405"/>
      <c r="AN159" s="405"/>
      <c r="AO159" s="394"/>
      <c r="AP159" s="394"/>
      <c r="AQ159" s="394"/>
      <c r="AR159" s="394"/>
      <c r="AS159" s="394"/>
      <c r="AT159" s="394"/>
      <c r="AU159" s="394"/>
      <c r="AV159" s="394"/>
      <c r="AW159" s="394"/>
      <c r="AX159" s="394"/>
      <c r="AY159" s="394"/>
      <c r="AZ159" s="394"/>
      <c r="BA159" s="394"/>
      <c r="BB159" s="394"/>
      <c r="BC159" s="394"/>
      <c r="BD159" s="393"/>
      <c r="BE159" s="394"/>
      <c r="BF159" s="394"/>
      <c r="BG159" s="394"/>
      <c r="BH159" s="394"/>
      <c r="BI159" s="394"/>
      <c r="BJ159" s="394"/>
      <c r="BK159" s="397"/>
    </row>
    <row r="160" spans="1:101" s="91" customFormat="1" ht="15.75" customHeight="1">
      <c r="A160" s="392"/>
      <c r="B160" s="393"/>
      <c r="C160" s="394"/>
      <c r="D160" s="394"/>
      <c r="E160" s="394"/>
      <c r="F160" s="394"/>
      <c r="G160" s="394"/>
      <c r="H160" s="394"/>
      <c r="I160" s="395"/>
      <c r="J160" s="405"/>
      <c r="K160" s="405"/>
      <c r="L160" s="405"/>
      <c r="M160" s="411" t="s">
        <v>517</v>
      </c>
      <c r="N160" s="405"/>
      <c r="O160" s="405"/>
      <c r="P160" s="405"/>
      <c r="Q160" s="405"/>
      <c r="R160" s="405"/>
      <c r="S160" s="405"/>
      <c r="T160" s="405"/>
      <c r="U160" s="405"/>
      <c r="V160" s="405"/>
      <c r="W160" s="405"/>
      <c r="X160" s="405"/>
      <c r="Y160" s="405"/>
      <c r="Z160" s="405"/>
      <c r="AA160" s="405"/>
      <c r="AB160" s="405"/>
      <c r="AC160" s="405"/>
      <c r="AD160" s="405"/>
      <c r="AE160" s="405"/>
      <c r="AF160" s="405"/>
      <c r="AG160" s="405"/>
      <c r="AH160" s="405"/>
      <c r="AI160" s="405"/>
      <c r="AJ160" s="405"/>
      <c r="AK160" s="405"/>
      <c r="AL160" s="405"/>
      <c r="AM160" s="405"/>
      <c r="AN160" s="405"/>
      <c r="AO160" s="394"/>
      <c r="AP160" s="394"/>
      <c r="AQ160" s="394"/>
      <c r="AR160" s="394"/>
      <c r="AS160" s="394"/>
      <c r="AT160" s="394"/>
      <c r="AU160" s="394"/>
      <c r="AV160" s="394"/>
      <c r="AW160" s="394"/>
      <c r="AX160" s="394"/>
      <c r="AY160" s="394"/>
      <c r="AZ160" s="394"/>
      <c r="BA160" s="394"/>
      <c r="BB160" s="394"/>
      <c r="BC160" s="394"/>
      <c r="BD160" s="393"/>
      <c r="BE160" s="394"/>
      <c r="BF160" s="394"/>
      <c r="BG160" s="394"/>
      <c r="BH160" s="394"/>
      <c r="BI160" s="394"/>
      <c r="BJ160" s="394"/>
      <c r="BK160" s="397"/>
    </row>
    <row r="161" spans="1:63" s="91" customFormat="1" ht="15.75" customHeight="1">
      <c r="A161" s="392"/>
      <c r="B161" s="393"/>
      <c r="C161" s="394"/>
      <c r="D161" s="394"/>
      <c r="E161" s="394"/>
      <c r="F161" s="394"/>
      <c r="G161" s="394"/>
      <c r="H161" s="394"/>
      <c r="I161" s="395"/>
      <c r="J161" s="405"/>
      <c r="K161" s="405"/>
      <c r="L161" s="411" t="s">
        <v>518</v>
      </c>
      <c r="M161" s="405"/>
      <c r="N161" s="405"/>
      <c r="O161" s="405"/>
      <c r="P161" s="405"/>
      <c r="Q161" s="405"/>
      <c r="R161" s="405"/>
      <c r="S161" s="405"/>
      <c r="T161" s="405"/>
      <c r="V161" s="405"/>
      <c r="W161" s="405"/>
      <c r="X161" s="394"/>
      <c r="Y161" s="405"/>
      <c r="Z161" s="405"/>
      <c r="AA161" s="405"/>
      <c r="AB161" s="405"/>
      <c r="AC161" s="405"/>
      <c r="AD161" s="405"/>
      <c r="AE161" s="405"/>
      <c r="AF161" s="405"/>
      <c r="AG161" s="405"/>
      <c r="AH161" s="405"/>
      <c r="AI161" s="405"/>
      <c r="AJ161" s="405"/>
      <c r="AK161" s="405"/>
      <c r="AL161" s="405"/>
      <c r="AM161" s="405"/>
      <c r="AN161" s="405"/>
      <c r="AO161" s="394"/>
      <c r="AP161" s="394"/>
      <c r="AQ161" s="394"/>
      <c r="AR161" s="394"/>
      <c r="AS161" s="394"/>
      <c r="AT161" s="394"/>
      <c r="AU161" s="394"/>
      <c r="AV161" s="394"/>
      <c r="AW161" s="394"/>
      <c r="AX161" s="394"/>
      <c r="AY161" s="394"/>
      <c r="AZ161" s="394"/>
      <c r="BA161" s="394"/>
      <c r="BB161" s="394"/>
      <c r="BC161" s="394"/>
      <c r="BD161" s="393"/>
      <c r="BE161" s="394"/>
      <c r="BF161" s="394"/>
      <c r="BG161" s="394"/>
      <c r="BH161" s="394"/>
      <c r="BI161" s="394"/>
      <c r="BJ161" s="394"/>
      <c r="BK161" s="397"/>
    </row>
    <row r="162" spans="1:63" ht="15.75" customHeight="1">
      <c r="A162" s="406"/>
      <c r="B162" s="399"/>
      <c r="C162" s="407"/>
      <c r="D162" s="407"/>
      <c r="E162" s="407"/>
      <c r="F162" s="407"/>
      <c r="G162" s="407"/>
      <c r="H162" s="407"/>
      <c r="I162" s="408"/>
      <c r="J162" s="407"/>
      <c r="K162" s="407"/>
      <c r="L162" s="407"/>
      <c r="M162" s="407"/>
      <c r="N162" s="407"/>
      <c r="O162" s="407"/>
      <c r="P162" s="407"/>
      <c r="Q162" s="407"/>
      <c r="R162" s="407"/>
      <c r="S162" s="407"/>
      <c r="T162" s="407"/>
      <c r="U162" s="407"/>
      <c r="V162" s="407"/>
      <c r="W162" s="407"/>
      <c r="X162" s="407"/>
      <c r="Y162" s="407"/>
      <c r="Z162" s="407"/>
      <c r="AA162" s="407"/>
      <c r="AB162" s="407"/>
      <c r="AC162" s="407"/>
      <c r="AD162" s="407"/>
      <c r="AE162" s="407"/>
      <c r="AF162" s="407"/>
      <c r="AG162" s="407"/>
      <c r="AH162" s="407"/>
      <c r="AI162" s="407"/>
      <c r="AJ162" s="407"/>
      <c r="AK162" s="407"/>
      <c r="AL162" s="407"/>
      <c r="AM162" s="407"/>
      <c r="AN162" s="407"/>
      <c r="AO162" s="407"/>
      <c r="AP162" s="407"/>
      <c r="AQ162" s="407"/>
      <c r="AR162" s="407"/>
      <c r="AS162" s="407"/>
      <c r="AT162" s="407"/>
      <c r="AU162" s="407"/>
      <c r="AV162" s="407"/>
      <c r="AW162" s="407"/>
      <c r="AX162" s="407"/>
      <c r="AY162" s="407"/>
      <c r="AZ162" s="407"/>
      <c r="BA162" s="407"/>
      <c r="BB162" s="407"/>
      <c r="BC162" s="407"/>
      <c r="BD162" s="399"/>
      <c r="BE162" s="407"/>
      <c r="BF162" s="407"/>
      <c r="BG162" s="407"/>
      <c r="BH162" s="407"/>
      <c r="BI162" s="407"/>
      <c r="BJ162" s="407"/>
      <c r="BK162" s="407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9"/>
  <pageMargins left="0.51181102362204722" right="0.74803149606299213" top="0.70866141732283472" bottom="0.43307086614173229" header="0.51181102362204722" footer="0.19685039370078741"/>
  <pageSetup paperSize="9" scale="98" fitToHeight="0" orientation="landscape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0197-B99A-46B8-9BDB-84157BD3FDC8}">
  <sheetPr>
    <tabColor rgb="FFFFFF00"/>
  </sheetPr>
  <dimension ref="B2:U38"/>
  <sheetViews>
    <sheetView showGridLines="0" workbookViewId="0">
      <selection activeCell="L16" sqref="L16"/>
    </sheetView>
  </sheetViews>
  <sheetFormatPr defaultColWidth="2.625" defaultRowHeight="13.5"/>
  <sheetData>
    <row r="2" spans="2:21">
      <c r="B2" s="519"/>
      <c r="C2" s="520"/>
      <c r="D2" s="520"/>
      <c r="E2" s="520"/>
      <c r="F2" s="520"/>
      <c r="G2" s="520"/>
      <c r="H2" s="520"/>
      <c r="I2" s="520"/>
      <c r="J2" s="521" t="s">
        <v>767</v>
      </c>
      <c r="K2" s="520"/>
      <c r="L2" s="520"/>
      <c r="M2" s="521"/>
      <c r="N2" s="522"/>
      <c r="O2" s="523" t="s">
        <v>523</v>
      </c>
      <c r="P2" s="524"/>
      <c r="S2" t="s">
        <v>768</v>
      </c>
      <c r="U2" t="s">
        <v>769</v>
      </c>
    </row>
    <row r="3" spans="2:21">
      <c r="B3" s="525" t="s">
        <v>770</v>
      </c>
      <c r="C3" s="526"/>
      <c r="D3" s="526"/>
      <c r="E3" s="526"/>
      <c r="F3" s="526"/>
      <c r="G3" s="526"/>
      <c r="H3" s="526"/>
      <c r="I3" s="526"/>
      <c r="J3" s="527"/>
      <c r="K3" s="526"/>
      <c r="L3" s="526"/>
      <c r="M3" s="527"/>
      <c r="N3" s="528"/>
      <c r="O3" s="529"/>
      <c r="P3" s="530"/>
      <c r="S3" t="s">
        <v>771</v>
      </c>
      <c r="U3" t="s">
        <v>772</v>
      </c>
    </row>
    <row r="4" spans="2:21">
      <c r="B4" s="531" t="s">
        <v>783</v>
      </c>
      <c r="C4" s="532"/>
      <c r="D4" s="533"/>
      <c r="E4" s="532"/>
      <c r="F4" s="534"/>
      <c r="G4" s="531" t="s">
        <v>374</v>
      </c>
      <c r="H4" s="532"/>
      <c r="I4" s="532"/>
      <c r="J4" s="533"/>
      <c r="K4" s="532"/>
      <c r="L4" s="532"/>
      <c r="M4" s="533"/>
      <c r="N4" s="535"/>
      <c r="O4" s="536" t="s">
        <v>791</v>
      </c>
      <c r="P4" s="537"/>
      <c r="S4" s="538" t="s">
        <v>773</v>
      </c>
      <c r="U4" t="s">
        <v>774</v>
      </c>
    </row>
    <row r="5" spans="2:21">
      <c r="B5" s="539"/>
      <c r="C5" s="91"/>
      <c r="D5" s="546"/>
      <c r="E5" s="91"/>
      <c r="F5" s="490"/>
      <c r="G5" s="531" t="s">
        <v>379</v>
      </c>
      <c r="H5" s="532"/>
      <c r="I5" s="532"/>
      <c r="J5" s="533"/>
      <c r="K5" s="532"/>
      <c r="L5" s="532"/>
      <c r="M5" s="533"/>
      <c r="N5" s="535"/>
      <c r="O5" s="536" t="s">
        <v>777</v>
      </c>
      <c r="P5" s="537"/>
      <c r="S5" t="s">
        <v>775</v>
      </c>
      <c r="U5" t="s">
        <v>776</v>
      </c>
    </row>
    <row r="6" spans="2:21">
      <c r="B6" s="539"/>
      <c r="C6" s="91"/>
      <c r="D6" s="546"/>
      <c r="E6" s="91"/>
      <c r="F6" s="490"/>
      <c r="G6" s="531" t="s">
        <v>784</v>
      </c>
      <c r="H6" s="532"/>
      <c r="I6" s="532"/>
      <c r="J6" s="533"/>
      <c r="K6" s="532"/>
      <c r="L6" s="532"/>
      <c r="M6" s="533"/>
      <c r="N6" s="535"/>
      <c r="O6" s="536" t="s">
        <v>777</v>
      </c>
      <c r="P6" s="537"/>
      <c r="S6" t="s">
        <v>778</v>
      </c>
      <c r="U6" t="s">
        <v>779</v>
      </c>
    </row>
    <row r="7" spans="2:21">
      <c r="B7" s="539"/>
      <c r="C7" s="91"/>
      <c r="D7" s="546"/>
      <c r="E7" s="91"/>
      <c r="F7" s="490"/>
      <c r="G7" s="540" t="s">
        <v>785</v>
      </c>
      <c r="H7" s="541"/>
      <c r="I7" s="541"/>
      <c r="J7" s="542"/>
      <c r="K7" s="541"/>
      <c r="L7" s="541"/>
      <c r="M7" s="542"/>
      <c r="N7" s="535"/>
      <c r="O7" s="536" t="s">
        <v>777</v>
      </c>
      <c r="P7" s="537"/>
    </row>
    <row r="8" spans="2:21">
      <c r="B8" s="539"/>
      <c r="C8" s="91"/>
      <c r="D8" s="546"/>
      <c r="E8" s="91"/>
      <c r="F8" s="490"/>
      <c r="G8" s="540" t="s">
        <v>386</v>
      </c>
      <c r="H8" s="541"/>
      <c r="I8" s="541"/>
      <c r="J8" s="542"/>
      <c r="K8" s="541"/>
      <c r="L8" s="541"/>
      <c r="M8" s="542"/>
      <c r="N8" s="535"/>
      <c r="O8" s="536" t="s">
        <v>777</v>
      </c>
      <c r="P8" s="537"/>
    </row>
    <row r="9" spans="2:21">
      <c r="B9" s="539"/>
      <c r="C9" s="91"/>
      <c r="D9" s="91"/>
      <c r="E9" s="91"/>
      <c r="F9" s="490"/>
      <c r="G9" s="540" t="s">
        <v>389</v>
      </c>
      <c r="H9" s="541"/>
      <c r="I9" s="541"/>
      <c r="J9" s="542"/>
      <c r="K9" s="541"/>
      <c r="L9" s="541"/>
      <c r="M9" s="542"/>
      <c r="N9" s="535"/>
      <c r="O9" s="536" t="s">
        <v>777</v>
      </c>
      <c r="P9" s="537"/>
    </row>
    <row r="10" spans="2:21">
      <c r="B10" s="539"/>
      <c r="C10" s="91"/>
      <c r="D10" s="546"/>
      <c r="E10" s="91"/>
      <c r="F10" s="490"/>
      <c r="G10" s="540" t="s">
        <v>391</v>
      </c>
      <c r="H10" s="541"/>
      <c r="I10" s="541"/>
      <c r="J10" s="542"/>
      <c r="K10" s="541"/>
      <c r="L10" s="541"/>
      <c r="M10" s="542"/>
      <c r="N10" s="535"/>
      <c r="O10" s="536" t="s">
        <v>777</v>
      </c>
      <c r="P10" s="537"/>
    </row>
    <row r="11" spans="2:21">
      <c r="B11" s="539"/>
      <c r="C11" s="91"/>
      <c r="D11" s="91"/>
      <c r="E11" s="91"/>
      <c r="F11" s="490"/>
      <c r="G11" s="540" t="s">
        <v>393</v>
      </c>
      <c r="H11" s="541"/>
      <c r="I11" s="541"/>
      <c r="J11" s="542"/>
      <c r="K11" s="541"/>
      <c r="L11" s="541"/>
      <c r="M11" s="542"/>
      <c r="N11" s="535"/>
      <c r="O11" s="536" t="s">
        <v>777</v>
      </c>
      <c r="P11" s="537"/>
    </row>
    <row r="12" spans="2:21">
      <c r="B12" s="539"/>
      <c r="C12" s="91"/>
      <c r="D12" s="91"/>
      <c r="E12" s="91"/>
      <c r="F12" s="490"/>
      <c r="G12" s="540" t="s">
        <v>461</v>
      </c>
      <c r="H12" s="541"/>
      <c r="I12" s="541"/>
      <c r="J12" s="542"/>
      <c r="K12" s="541"/>
      <c r="L12" s="541"/>
      <c r="M12" s="542"/>
      <c r="N12" s="535"/>
      <c r="O12" s="536" t="s">
        <v>777</v>
      </c>
      <c r="P12" s="537"/>
    </row>
    <row r="13" spans="2:21">
      <c r="B13" s="531" t="s">
        <v>788</v>
      </c>
      <c r="C13" s="532"/>
      <c r="D13" s="532"/>
      <c r="E13" s="532"/>
      <c r="F13" s="534"/>
      <c r="G13" s="540" t="s">
        <v>296</v>
      </c>
      <c r="H13" s="541"/>
      <c r="I13" s="541"/>
      <c r="J13" s="542"/>
      <c r="K13" s="541"/>
      <c r="L13" s="541"/>
      <c r="M13" s="542"/>
      <c r="N13" s="535"/>
      <c r="O13" s="536" t="s">
        <v>773</v>
      </c>
      <c r="P13" s="537"/>
    </row>
    <row r="14" spans="2:21">
      <c r="B14" s="539"/>
      <c r="C14" s="91"/>
      <c r="D14" s="91"/>
      <c r="E14" s="91"/>
      <c r="F14" s="490"/>
      <c r="G14" s="540" t="s">
        <v>401</v>
      </c>
      <c r="H14" s="541"/>
      <c r="I14" s="541"/>
      <c r="J14" s="542"/>
      <c r="K14" s="541"/>
      <c r="L14" s="541"/>
      <c r="M14" s="542"/>
      <c r="N14" s="535"/>
      <c r="O14" s="536" t="s">
        <v>773</v>
      </c>
      <c r="P14" s="537"/>
    </row>
    <row r="15" spans="2:21">
      <c r="B15" s="539"/>
      <c r="C15" s="91"/>
      <c r="D15" s="91"/>
      <c r="E15" s="91"/>
      <c r="F15" s="490"/>
      <c r="G15" s="540" t="s">
        <v>403</v>
      </c>
      <c r="H15" s="541"/>
      <c r="I15" s="541"/>
      <c r="J15" s="542"/>
      <c r="K15" s="541"/>
      <c r="L15" s="541"/>
      <c r="M15" s="542"/>
      <c r="N15" s="535"/>
      <c r="O15" s="536" t="s">
        <v>773</v>
      </c>
      <c r="P15" s="537"/>
    </row>
    <row r="16" spans="2:21">
      <c r="B16" s="539"/>
      <c r="C16" s="91"/>
      <c r="D16" s="91"/>
      <c r="E16" s="91"/>
      <c r="F16" s="490"/>
      <c r="G16" s="540" t="s">
        <v>391</v>
      </c>
      <c r="H16" s="541"/>
      <c r="I16" s="541"/>
      <c r="J16" s="542"/>
      <c r="K16" s="541"/>
      <c r="L16" s="541"/>
      <c r="M16" s="542"/>
      <c r="N16" s="535"/>
      <c r="O16" s="536" t="s">
        <v>773</v>
      </c>
      <c r="P16" s="537"/>
    </row>
    <row r="17" spans="2:16">
      <c r="B17" s="539"/>
      <c r="C17" s="91"/>
      <c r="D17" s="91"/>
      <c r="E17" s="91"/>
      <c r="F17" s="490"/>
      <c r="G17" s="540" t="s">
        <v>406</v>
      </c>
      <c r="H17" s="541"/>
      <c r="I17" s="541"/>
      <c r="J17" s="542"/>
      <c r="K17" s="541"/>
      <c r="L17" s="541"/>
      <c r="M17" s="542"/>
      <c r="N17" s="535"/>
      <c r="O17" s="536" t="s">
        <v>773</v>
      </c>
      <c r="P17" s="537"/>
    </row>
    <row r="18" spans="2:16">
      <c r="B18" s="539"/>
      <c r="C18" s="91"/>
      <c r="D18" s="91"/>
      <c r="E18" s="91"/>
      <c r="F18" s="490"/>
      <c r="G18" s="540" t="s">
        <v>408</v>
      </c>
      <c r="H18" s="541"/>
      <c r="I18" s="541"/>
      <c r="J18" s="542"/>
      <c r="K18" s="541"/>
      <c r="L18" s="541"/>
      <c r="M18" s="542"/>
      <c r="N18" s="535"/>
      <c r="O18" s="536" t="s">
        <v>773</v>
      </c>
      <c r="P18" s="537"/>
    </row>
    <row r="19" spans="2:16">
      <c r="B19" s="539"/>
      <c r="C19" s="91"/>
      <c r="D19" s="91"/>
      <c r="E19" s="91"/>
      <c r="F19" s="490"/>
      <c r="G19" s="540" t="s">
        <v>410</v>
      </c>
      <c r="H19" s="541"/>
      <c r="I19" s="541"/>
      <c r="J19" s="542"/>
      <c r="K19" s="541"/>
      <c r="L19" s="541"/>
      <c r="M19" s="542"/>
      <c r="N19" s="535"/>
      <c r="O19" s="536" t="s">
        <v>773</v>
      </c>
      <c r="P19" s="537"/>
    </row>
    <row r="20" spans="2:16">
      <c r="B20" s="539"/>
      <c r="C20" s="91"/>
      <c r="D20" s="91"/>
      <c r="E20" s="91"/>
      <c r="F20" s="490"/>
      <c r="G20" s="540" t="s">
        <v>288</v>
      </c>
      <c r="H20" s="541"/>
      <c r="I20" s="541"/>
      <c r="J20" s="542"/>
      <c r="K20" s="541"/>
      <c r="L20" s="541"/>
      <c r="M20" s="542"/>
      <c r="N20" s="535"/>
      <c r="O20" s="536" t="s">
        <v>773</v>
      </c>
      <c r="P20" s="537"/>
    </row>
    <row r="21" spans="2:16">
      <c r="B21" s="539"/>
      <c r="C21" s="91"/>
      <c r="D21" s="91"/>
      <c r="E21" s="91"/>
      <c r="F21" s="490"/>
      <c r="G21" s="540" t="s">
        <v>413</v>
      </c>
      <c r="H21" s="541"/>
      <c r="I21" s="541"/>
      <c r="J21" s="542"/>
      <c r="K21" s="541"/>
      <c r="L21" s="541"/>
      <c r="M21" s="542"/>
      <c r="N21" s="535"/>
      <c r="O21" s="536" t="s">
        <v>773</v>
      </c>
      <c r="P21" s="537"/>
    </row>
    <row r="22" spans="2:16">
      <c r="B22" s="539"/>
      <c r="C22" s="91"/>
      <c r="D22" s="91"/>
      <c r="E22" s="91"/>
      <c r="F22" s="490"/>
      <c r="G22" s="540" t="s">
        <v>786</v>
      </c>
      <c r="H22" s="541"/>
      <c r="I22" s="541"/>
      <c r="J22" s="542"/>
      <c r="K22" s="541"/>
      <c r="L22" s="541"/>
      <c r="M22" s="542"/>
      <c r="N22" s="535"/>
      <c r="O22" s="536" t="s">
        <v>773</v>
      </c>
      <c r="P22" s="537"/>
    </row>
    <row r="23" spans="2:16">
      <c r="B23" s="539"/>
      <c r="C23" s="91"/>
      <c r="D23" s="91"/>
      <c r="E23" s="91"/>
      <c r="F23" s="490"/>
      <c r="G23" s="540" t="s">
        <v>787</v>
      </c>
      <c r="H23" s="541"/>
      <c r="I23" s="541"/>
      <c r="J23" s="542"/>
      <c r="K23" s="541"/>
      <c r="L23" s="541"/>
      <c r="M23" s="542"/>
      <c r="N23" s="535"/>
      <c r="O23" s="536" t="s">
        <v>773</v>
      </c>
      <c r="P23" s="537"/>
    </row>
    <row r="24" spans="2:16">
      <c r="B24" s="539"/>
      <c r="C24" s="91"/>
      <c r="D24" s="91"/>
      <c r="E24" s="91"/>
      <c r="F24" s="490"/>
      <c r="G24" s="540" t="s">
        <v>420</v>
      </c>
      <c r="H24" s="541"/>
      <c r="I24" s="541"/>
      <c r="J24" s="542"/>
      <c r="K24" s="541"/>
      <c r="L24" s="541"/>
      <c r="M24" s="542"/>
      <c r="N24" s="535"/>
      <c r="O24" s="536" t="s">
        <v>773</v>
      </c>
      <c r="P24" s="537"/>
    </row>
    <row r="25" spans="2:16">
      <c r="B25" s="539"/>
      <c r="C25" s="91"/>
      <c r="D25" s="91"/>
      <c r="E25" s="91"/>
      <c r="F25" s="490"/>
      <c r="G25" s="540" t="s">
        <v>422</v>
      </c>
      <c r="H25" s="541"/>
      <c r="I25" s="541"/>
      <c r="J25" s="542"/>
      <c r="K25" s="541"/>
      <c r="L25" s="541"/>
      <c r="M25" s="542"/>
      <c r="N25" s="535"/>
      <c r="O25" s="536" t="s">
        <v>773</v>
      </c>
      <c r="P25" s="537"/>
    </row>
    <row r="26" spans="2:16">
      <c r="B26" s="539"/>
      <c r="C26" s="91"/>
      <c r="D26" s="91"/>
      <c r="E26" s="91"/>
      <c r="F26" s="490"/>
      <c r="G26" s="540" t="s">
        <v>424</v>
      </c>
      <c r="H26" s="541"/>
      <c r="I26" s="541"/>
      <c r="J26" s="542"/>
      <c r="K26" s="541"/>
      <c r="L26" s="541"/>
      <c r="M26" s="542"/>
      <c r="N26" s="535"/>
      <c r="O26" s="536" t="s">
        <v>773</v>
      </c>
      <c r="P26" s="537"/>
    </row>
    <row r="27" spans="2:16">
      <c r="B27" s="539"/>
      <c r="C27" s="91"/>
      <c r="D27" s="91"/>
      <c r="E27" s="91"/>
      <c r="F27" s="490"/>
      <c r="G27" s="540" t="s">
        <v>426</v>
      </c>
      <c r="H27" s="541"/>
      <c r="I27" s="541"/>
      <c r="J27" s="542"/>
      <c r="K27" s="541"/>
      <c r="L27" s="541"/>
      <c r="M27" s="542"/>
      <c r="N27" s="535"/>
      <c r="O27" s="536" t="s">
        <v>773</v>
      </c>
      <c r="P27" s="537"/>
    </row>
    <row r="28" spans="2:16">
      <c r="B28" s="539"/>
      <c r="C28" s="91"/>
      <c r="D28" s="91"/>
      <c r="E28" s="91"/>
      <c r="F28" s="490"/>
      <c r="G28" s="540" t="s">
        <v>461</v>
      </c>
      <c r="H28" s="541"/>
      <c r="I28" s="541"/>
      <c r="J28" s="542"/>
      <c r="K28" s="541"/>
      <c r="L28" s="541"/>
      <c r="M28" s="542"/>
      <c r="N28" s="535"/>
      <c r="O28" s="536" t="s">
        <v>773</v>
      </c>
      <c r="P28" s="537"/>
    </row>
    <row r="29" spans="2:16">
      <c r="B29" s="539"/>
      <c r="C29" s="91"/>
      <c r="D29" s="91"/>
      <c r="E29" s="91"/>
      <c r="F29" s="490"/>
      <c r="G29" s="540" t="s">
        <v>430</v>
      </c>
      <c r="H29" s="541"/>
      <c r="I29" s="541"/>
      <c r="J29" s="542"/>
      <c r="K29" s="541"/>
      <c r="L29" s="541"/>
      <c r="M29" s="542"/>
      <c r="N29" s="535"/>
      <c r="O29" s="536" t="s">
        <v>777</v>
      </c>
      <c r="P29" s="537"/>
    </row>
    <row r="30" spans="2:16">
      <c r="B30" s="539"/>
      <c r="C30" s="91"/>
      <c r="D30" s="91"/>
      <c r="E30" s="91"/>
      <c r="F30" s="490"/>
      <c r="G30" s="540" t="s">
        <v>307</v>
      </c>
      <c r="H30" s="541"/>
      <c r="I30" s="541"/>
      <c r="J30" s="542"/>
      <c r="K30" s="541"/>
      <c r="L30" s="541"/>
      <c r="M30" s="542"/>
      <c r="N30" s="535"/>
      <c r="O30" s="536" t="s">
        <v>773</v>
      </c>
      <c r="P30" s="537"/>
    </row>
    <row r="31" spans="2:16">
      <c r="B31" s="539"/>
      <c r="C31" s="91"/>
      <c r="D31" s="91"/>
      <c r="E31" s="91"/>
      <c r="F31" s="490"/>
      <c r="G31" s="540" t="s">
        <v>433</v>
      </c>
      <c r="H31" s="541"/>
      <c r="I31" s="541"/>
      <c r="J31" s="542"/>
      <c r="K31" s="541"/>
      <c r="L31" s="541"/>
      <c r="M31" s="542"/>
      <c r="N31" s="535"/>
      <c r="O31" s="536" t="s">
        <v>773</v>
      </c>
      <c r="P31" s="537"/>
    </row>
    <row r="32" spans="2:16">
      <c r="B32" s="531" t="s">
        <v>780</v>
      </c>
      <c r="C32" s="532"/>
      <c r="D32" s="532"/>
      <c r="E32" s="532"/>
      <c r="F32" s="534"/>
      <c r="G32" s="540" t="s">
        <v>781</v>
      </c>
      <c r="H32" s="541"/>
      <c r="I32" s="541"/>
      <c r="J32" s="542"/>
      <c r="K32" s="541"/>
      <c r="L32" s="541"/>
      <c r="M32" s="542"/>
      <c r="N32" s="535"/>
      <c r="O32" s="536" t="s">
        <v>777</v>
      </c>
      <c r="P32" s="537"/>
    </row>
    <row r="33" spans="2:16">
      <c r="B33" s="539"/>
      <c r="C33" s="91"/>
      <c r="D33" s="91"/>
      <c r="E33" s="91"/>
      <c r="F33" s="490"/>
      <c r="G33" s="540" t="s">
        <v>782</v>
      </c>
      <c r="H33" s="541"/>
      <c r="I33" s="541"/>
      <c r="J33" s="542"/>
      <c r="K33" s="541"/>
      <c r="L33" s="541"/>
      <c r="M33" s="542"/>
      <c r="N33" s="535"/>
      <c r="O33" s="536" t="s">
        <v>777</v>
      </c>
      <c r="P33" s="537"/>
    </row>
    <row r="34" spans="2:16">
      <c r="B34" s="539"/>
      <c r="C34" s="91"/>
      <c r="D34" s="91"/>
      <c r="E34" s="91"/>
      <c r="F34" s="490"/>
      <c r="G34" s="540" t="s">
        <v>439</v>
      </c>
      <c r="H34" s="541"/>
      <c r="I34" s="541"/>
      <c r="J34" s="542"/>
      <c r="K34" s="541"/>
      <c r="L34" s="541"/>
      <c r="M34" s="542"/>
      <c r="N34" s="535"/>
      <c r="O34" s="536" t="s">
        <v>777</v>
      </c>
      <c r="P34" s="537"/>
    </row>
    <row r="35" spans="2:16">
      <c r="B35" s="531" t="s">
        <v>789</v>
      </c>
      <c r="C35" s="532"/>
      <c r="D35" s="532"/>
      <c r="E35" s="532"/>
      <c r="F35" s="534"/>
      <c r="G35" s="540" t="s">
        <v>483</v>
      </c>
      <c r="H35" s="541"/>
      <c r="I35" s="541"/>
      <c r="J35" s="542"/>
      <c r="K35" s="541"/>
      <c r="L35" s="541"/>
      <c r="M35" s="542"/>
      <c r="N35" s="535"/>
      <c r="O35" s="536" t="s">
        <v>777</v>
      </c>
      <c r="P35" s="537"/>
    </row>
    <row r="36" spans="2:16">
      <c r="B36" s="539"/>
      <c r="C36" s="91"/>
      <c r="D36" s="91"/>
      <c r="E36" s="91"/>
      <c r="F36" s="490"/>
      <c r="G36" s="540" t="s">
        <v>445</v>
      </c>
      <c r="H36" s="541"/>
      <c r="I36" s="541"/>
      <c r="J36" s="542"/>
      <c r="K36" s="541"/>
      <c r="L36" s="541"/>
      <c r="M36" s="542"/>
      <c r="N36" s="535"/>
      <c r="O36" s="536" t="s">
        <v>777</v>
      </c>
      <c r="P36" s="537"/>
    </row>
    <row r="37" spans="2:16">
      <c r="B37" s="539"/>
      <c r="C37" s="91"/>
      <c r="D37" s="91"/>
      <c r="E37" s="91"/>
      <c r="F37" s="490"/>
      <c r="G37" s="540" t="s">
        <v>790</v>
      </c>
      <c r="H37" s="541"/>
      <c r="I37" s="541"/>
      <c r="J37" s="542"/>
      <c r="K37" s="541"/>
      <c r="L37" s="541"/>
      <c r="M37" s="542"/>
      <c r="N37" s="535"/>
      <c r="O37" s="536" t="s">
        <v>777</v>
      </c>
      <c r="P37" s="537"/>
    </row>
    <row r="38" spans="2:16">
      <c r="B38" s="543"/>
      <c r="C38" s="544"/>
      <c r="D38" s="544"/>
      <c r="E38" s="544"/>
      <c r="F38" s="545"/>
      <c r="G38" s="540"/>
      <c r="H38" s="541"/>
      <c r="I38" s="541"/>
      <c r="J38" s="542"/>
      <c r="K38" s="541"/>
      <c r="L38" s="541"/>
      <c r="M38" s="542"/>
      <c r="N38" s="535"/>
      <c r="O38" s="536"/>
      <c r="P38" s="537"/>
    </row>
  </sheetData>
  <phoneticPr fontId="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6B77-F911-4FA7-B4EC-71C284BA899E}">
  <sheetPr codeName="Sheet7">
    <pageSetUpPr fitToPage="1"/>
  </sheetPr>
  <dimension ref="A1:BK18"/>
  <sheetViews>
    <sheetView showGridLines="0" showZeros="0" view="pageBreakPreview" zoomScale="85" zoomScaleNormal="100" zoomScaleSheetLayoutView="85" workbookViewId="0">
      <pane ySplit="4" topLeftCell="A5" activePane="bottomLeft" state="frozen"/>
      <selection activeCell="AT31" sqref="AT31"/>
      <selection pane="bottomLeft" activeCell="A49" sqref="A49"/>
    </sheetView>
  </sheetViews>
  <sheetFormatPr defaultColWidth="2.125" defaultRowHeight="15.75" customHeight="1"/>
  <cols>
    <col min="1" max="2" width="2.125" style="14" customWidth="1"/>
    <col min="3" max="3" width="2.375" style="15" customWidth="1"/>
    <col min="4" max="4" width="2.125" style="15" customWidth="1"/>
    <col min="5" max="5" width="3" style="15" customWidth="1"/>
    <col min="6" max="9" width="2.125" style="14" customWidth="1"/>
    <col min="10" max="10" width="2.125" style="15" customWidth="1"/>
    <col min="11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66" width="2.125" style="14" customWidth="1"/>
    <col min="67" max="16384" width="2.125" style="14"/>
  </cols>
  <sheetData>
    <row r="1" spans="1:63" s="1" customFormat="1" ht="15.75" customHeight="1">
      <c r="A1" s="963" t="str">
        <f>表紙!A54</f>
        <v>Webシステム</v>
      </c>
      <c r="B1" s="964"/>
      <c r="C1" s="964"/>
      <c r="D1" s="964"/>
      <c r="E1" s="964"/>
      <c r="F1" s="964"/>
      <c r="G1" s="964"/>
      <c r="H1" s="964"/>
      <c r="I1" s="964"/>
      <c r="J1" s="965"/>
      <c r="K1" s="988" t="s">
        <v>152</v>
      </c>
      <c r="L1" s="989"/>
      <c r="M1" s="989"/>
      <c r="N1" s="989"/>
      <c r="O1" s="989"/>
      <c r="P1" s="989"/>
      <c r="Q1" s="989"/>
      <c r="R1" s="989"/>
      <c r="S1" s="989"/>
      <c r="T1" s="990"/>
      <c r="U1" s="991" t="s">
        <v>153</v>
      </c>
      <c r="V1" s="992"/>
      <c r="W1" s="992"/>
      <c r="X1" s="992"/>
      <c r="Y1" s="993"/>
      <c r="Z1" s="994" t="str">
        <f>表紙!$AJ$63</f>
        <v>MS</v>
      </c>
      <c r="AA1" s="995"/>
      <c r="AB1" s="995"/>
      <c r="AC1" s="995"/>
      <c r="AD1" s="996"/>
      <c r="AE1" s="997" t="s">
        <v>154</v>
      </c>
      <c r="AF1" s="974"/>
      <c r="AG1" s="974"/>
      <c r="AH1" s="974"/>
      <c r="AI1" s="975"/>
      <c r="AJ1" s="998" t="str">
        <f>表紙!$AX$63</f>
        <v>Webシステム</v>
      </c>
      <c r="AK1" s="999"/>
      <c r="AL1" s="999"/>
      <c r="AM1" s="999"/>
      <c r="AN1" s="999"/>
      <c r="AO1" s="999"/>
      <c r="AP1" s="999"/>
      <c r="AQ1" s="999"/>
      <c r="AR1" s="1000"/>
      <c r="AS1" s="972" t="s">
        <v>101</v>
      </c>
      <c r="AT1" s="972"/>
      <c r="AU1" s="972"/>
      <c r="AV1" s="972"/>
      <c r="AW1" s="972"/>
      <c r="AX1" s="972"/>
      <c r="AY1" s="972"/>
      <c r="AZ1" s="973" t="s">
        <v>124</v>
      </c>
      <c r="BA1" s="974"/>
      <c r="BB1" s="974"/>
      <c r="BC1" s="974"/>
      <c r="BD1" s="974"/>
      <c r="BE1" s="975"/>
      <c r="BF1" s="973" t="s">
        <v>155</v>
      </c>
      <c r="BG1" s="974"/>
      <c r="BH1" s="974"/>
      <c r="BI1" s="974"/>
      <c r="BJ1" s="974"/>
      <c r="BK1" s="976"/>
    </row>
    <row r="2" spans="1:63" s="1" customFormat="1" ht="15.75" customHeight="1">
      <c r="A2" s="966"/>
      <c r="B2" s="967"/>
      <c r="C2" s="967"/>
      <c r="D2" s="967"/>
      <c r="E2" s="967"/>
      <c r="F2" s="967"/>
      <c r="G2" s="967"/>
      <c r="H2" s="967"/>
      <c r="I2" s="967"/>
      <c r="J2" s="968"/>
      <c r="K2" s="977" t="str">
        <f>表紙!O64</f>
        <v>アドオン設計書</v>
      </c>
      <c r="L2" s="944"/>
      <c r="M2" s="944"/>
      <c r="N2" s="944"/>
      <c r="O2" s="944"/>
      <c r="P2" s="944"/>
      <c r="Q2" s="944"/>
      <c r="R2" s="944"/>
      <c r="S2" s="944"/>
      <c r="T2" s="978"/>
      <c r="U2" s="979" t="s">
        <v>156</v>
      </c>
      <c r="V2" s="980"/>
      <c r="W2" s="980"/>
      <c r="X2" s="980"/>
      <c r="Y2" s="981"/>
      <c r="Z2" s="982" t="str">
        <f>表紙!$AJ$64</f>
        <v>MSBB</v>
      </c>
      <c r="AA2" s="983"/>
      <c r="AB2" s="983"/>
      <c r="AC2" s="983"/>
      <c r="AD2" s="984"/>
      <c r="AE2" s="985" t="s">
        <v>157</v>
      </c>
      <c r="AF2" s="986"/>
      <c r="AG2" s="986"/>
      <c r="AH2" s="986"/>
      <c r="AI2" s="987"/>
      <c r="AJ2" s="1002" t="str">
        <f>表紙!$AX$64</f>
        <v>Web販売管理</v>
      </c>
      <c r="AK2" s="1003"/>
      <c r="AL2" s="1003"/>
      <c r="AM2" s="1003"/>
      <c r="AN2" s="1003"/>
      <c r="AO2" s="1003"/>
      <c r="AP2" s="1003"/>
      <c r="AQ2" s="1003"/>
      <c r="AR2" s="1004"/>
      <c r="AS2" s="1005" t="str">
        <f>表紙!$BL$64</f>
        <v>M7-US-1140</v>
      </c>
      <c r="AT2" s="1006"/>
      <c r="AU2" s="1006"/>
      <c r="AV2" s="1006"/>
      <c r="AW2" s="1006"/>
      <c r="AX2" s="1006"/>
      <c r="AY2" s="1006"/>
      <c r="AZ2" s="1008" t="str">
        <f>表紙!$BU$64</f>
        <v>7.0.2</v>
      </c>
      <c r="BA2" s="944"/>
      <c r="BB2" s="944"/>
      <c r="BC2" s="944"/>
      <c r="BD2" s="944"/>
      <c r="BE2" s="978"/>
      <c r="BF2" s="943">
        <f>表紙!$CB$64</f>
        <v>1</v>
      </c>
      <c r="BG2" s="944"/>
      <c r="BH2" s="944"/>
      <c r="BI2" s="944"/>
      <c r="BJ2" s="944"/>
      <c r="BK2" s="945"/>
    </row>
    <row r="3" spans="1:63" s="1" customFormat="1" ht="15.75" customHeight="1" thickBot="1">
      <c r="A3" s="969"/>
      <c r="B3" s="970"/>
      <c r="C3" s="970"/>
      <c r="D3" s="970"/>
      <c r="E3" s="970"/>
      <c r="F3" s="970"/>
      <c r="G3" s="970"/>
      <c r="H3" s="970"/>
      <c r="I3" s="970"/>
      <c r="J3" s="971"/>
      <c r="K3" s="949" t="str">
        <f ca="1">RIGHT(CELL("filename",$A$1),LEN(CELL("filename",$A$1))-FIND("]",CELL("filename",$A$1)))</f>
        <v>処理・サービス関連図</v>
      </c>
      <c r="L3" s="950"/>
      <c r="M3" s="950"/>
      <c r="N3" s="950"/>
      <c r="O3" s="950"/>
      <c r="P3" s="950"/>
      <c r="Q3" s="950"/>
      <c r="R3" s="950"/>
      <c r="S3" s="950"/>
      <c r="T3" s="951"/>
      <c r="U3" s="952" t="s">
        <v>158</v>
      </c>
      <c r="V3" s="953"/>
      <c r="W3" s="953"/>
      <c r="X3" s="953"/>
      <c r="Y3" s="954"/>
      <c r="Z3" s="955" t="str">
        <f>表紙!$AJ$65</f>
        <v>MSBBPA100</v>
      </c>
      <c r="AA3" s="956"/>
      <c r="AB3" s="956"/>
      <c r="AC3" s="956"/>
      <c r="AD3" s="956"/>
      <c r="AE3" s="957" t="str">
        <f>表紙!$AQ$65</f>
        <v>WebFSC製品化チェックシート出力</v>
      </c>
      <c r="AF3" s="958"/>
      <c r="AG3" s="958"/>
      <c r="AH3" s="958"/>
      <c r="AI3" s="958"/>
      <c r="AJ3" s="958"/>
      <c r="AK3" s="958"/>
      <c r="AL3" s="958"/>
      <c r="AM3" s="958"/>
      <c r="AN3" s="958"/>
      <c r="AO3" s="958"/>
      <c r="AP3" s="958"/>
      <c r="AQ3" s="958"/>
      <c r="AR3" s="959"/>
      <c r="AS3" s="1007"/>
      <c r="AT3" s="1007"/>
      <c r="AU3" s="1007"/>
      <c r="AV3" s="1007"/>
      <c r="AW3" s="1007"/>
      <c r="AX3" s="1007"/>
      <c r="AY3" s="1007"/>
      <c r="AZ3" s="946"/>
      <c r="BA3" s="947"/>
      <c r="BB3" s="947"/>
      <c r="BC3" s="947"/>
      <c r="BD3" s="947"/>
      <c r="BE3" s="1009"/>
      <c r="BF3" s="946"/>
      <c r="BG3" s="947"/>
      <c r="BH3" s="947"/>
      <c r="BI3" s="947"/>
      <c r="BJ3" s="947"/>
      <c r="BK3" s="948"/>
    </row>
    <row r="4" spans="1:63" s="1" customFormat="1" ht="6.75" customHeigh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7" spans="1:63" ht="15.75" customHeight="1">
      <c r="C7" s="102" t="s">
        <v>519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</row>
    <row r="8" spans="1:63" ht="15.75" customHeight="1"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</row>
    <row r="9" spans="1:63" ht="15.75" customHeight="1"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</row>
    <row r="10" spans="1:63" ht="15.75" customHeight="1"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</row>
    <row r="11" spans="1:63" ht="15.75" customHeight="1"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</row>
    <row r="12" spans="1:63" ht="15.75" customHeight="1"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</row>
    <row r="13" spans="1:63" ht="15.75" customHeight="1"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</row>
    <row r="14" spans="1:63" ht="15.75" customHeight="1"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</row>
    <row r="15" spans="1:63" ht="15.75" customHeight="1"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</row>
    <row r="16" spans="1:63" ht="15.75" customHeight="1"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</row>
    <row r="17" spans="3:43" ht="15.75" customHeight="1"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</row>
    <row r="18" spans="3:43" ht="15.75" customHeight="1"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9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8B74-D52B-4FBF-919B-35E9212BDCD6}">
  <sheetPr codeName="Sheet8">
    <pageSetUpPr fitToPage="1"/>
  </sheetPr>
  <dimension ref="A1:BK27"/>
  <sheetViews>
    <sheetView showGridLines="0" showZeros="0" view="pageBreakPreview" zoomScale="85" zoomScaleNormal="100" zoomScaleSheetLayoutView="85" workbookViewId="0">
      <pane ySplit="4" topLeftCell="A5" activePane="bottomLeft" state="frozen"/>
      <selection activeCell="AT31" sqref="AT31"/>
      <selection pane="bottomLeft" activeCell="Y10" sqref="Y10"/>
    </sheetView>
  </sheetViews>
  <sheetFormatPr defaultColWidth="2.125" defaultRowHeight="15.75" customHeight="1"/>
  <cols>
    <col min="1" max="2" width="2.125" style="14" customWidth="1"/>
    <col min="3" max="3" width="2.375" style="15" customWidth="1"/>
    <col min="4" max="4" width="2.125" style="15" customWidth="1"/>
    <col min="5" max="5" width="3" style="15" customWidth="1"/>
    <col min="6" max="9" width="2.125" style="14" customWidth="1"/>
    <col min="10" max="10" width="2.125" style="15" customWidth="1"/>
    <col min="11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66" width="2.125" style="14" customWidth="1"/>
    <col min="67" max="16384" width="2.125" style="14"/>
  </cols>
  <sheetData>
    <row r="1" spans="1:63" s="1" customFormat="1" ht="15.75" customHeight="1">
      <c r="A1" s="963" t="str">
        <f>表紙!A54</f>
        <v>Webシステム</v>
      </c>
      <c r="B1" s="964"/>
      <c r="C1" s="964"/>
      <c r="D1" s="964"/>
      <c r="E1" s="964"/>
      <c r="F1" s="964"/>
      <c r="G1" s="964"/>
      <c r="H1" s="964"/>
      <c r="I1" s="964"/>
      <c r="J1" s="965"/>
      <c r="K1" s="988" t="s">
        <v>152</v>
      </c>
      <c r="L1" s="989"/>
      <c r="M1" s="989"/>
      <c r="N1" s="989"/>
      <c r="O1" s="989"/>
      <c r="P1" s="989"/>
      <c r="Q1" s="989"/>
      <c r="R1" s="989"/>
      <c r="S1" s="989"/>
      <c r="T1" s="990"/>
      <c r="U1" s="991" t="s">
        <v>153</v>
      </c>
      <c r="V1" s="992"/>
      <c r="W1" s="992"/>
      <c r="X1" s="992"/>
      <c r="Y1" s="993"/>
      <c r="Z1" s="994" t="str">
        <f>表紙!$AJ$63</f>
        <v>MS</v>
      </c>
      <c r="AA1" s="995"/>
      <c r="AB1" s="995"/>
      <c r="AC1" s="995"/>
      <c r="AD1" s="996"/>
      <c r="AE1" s="997" t="s">
        <v>154</v>
      </c>
      <c r="AF1" s="974"/>
      <c r="AG1" s="974"/>
      <c r="AH1" s="974"/>
      <c r="AI1" s="975"/>
      <c r="AJ1" s="998" t="str">
        <f>表紙!$AX$63</f>
        <v>Webシステム</v>
      </c>
      <c r="AK1" s="999"/>
      <c r="AL1" s="999"/>
      <c r="AM1" s="999"/>
      <c r="AN1" s="999"/>
      <c r="AO1" s="999"/>
      <c r="AP1" s="999"/>
      <c r="AQ1" s="999"/>
      <c r="AR1" s="1000"/>
      <c r="AS1" s="972" t="s">
        <v>101</v>
      </c>
      <c r="AT1" s="972"/>
      <c r="AU1" s="972"/>
      <c r="AV1" s="972"/>
      <c r="AW1" s="972"/>
      <c r="AX1" s="972"/>
      <c r="AY1" s="972"/>
      <c r="AZ1" s="973" t="s">
        <v>124</v>
      </c>
      <c r="BA1" s="974"/>
      <c r="BB1" s="974"/>
      <c r="BC1" s="974"/>
      <c r="BD1" s="974"/>
      <c r="BE1" s="975"/>
      <c r="BF1" s="973" t="s">
        <v>155</v>
      </c>
      <c r="BG1" s="974"/>
      <c r="BH1" s="974"/>
      <c r="BI1" s="974"/>
      <c r="BJ1" s="974"/>
      <c r="BK1" s="976"/>
    </row>
    <row r="2" spans="1:63" s="1" customFormat="1" ht="15.75" customHeight="1">
      <c r="A2" s="966"/>
      <c r="B2" s="967"/>
      <c r="C2" s="967"/>
      <c r="D2" s="967"/>
      <c r="E2" s="967"/>
      <c r="F2" s="967"/>
      <c r="G2" s="967"/>
      <c r="H2" s="967"/>
      <c r="I2" s="967"/>
      <c r="J2" s="968"/>
      <c r="K2" s="977" t="str">
        <f>表紙!O64</f>
        <v>アドオン設計書</v>
      </c>
      <c r="L2" s="944"/>
      <c r="M2" s="944"/>
      <c r="N2" s="944"/>
      <c r="O2" s="944"/>
      <c r="P2" s="944"/>
      <c r="Q2" s="944"/>
      <c r="R2" s="944"/>
      <c r="S2" s="944"/>
      <c r="T2" s="978"/>
      <c r="U2" s="979" t="s">
        <v>156</v>
      </c>
      <c r="V2" s="980"/>
      <c r="W2" s="980"/>
      <c r="X2" s="980"/>
      <c r="Y2" s="981"/>
      <c r="Z2" s="982" t="str">
        <f>表紙!$AJ$64</f>
        <v>MSBB</v>
      </c>
      <c r="AA2" s="983"/>
      <c r="AB2" s="983"/>
      <c r="AC2" s="983"/>
      <c r="AD2" s="984"/>
      <c r="AE2" s="985" t="s">
        <v>157</v>
      </c>
      <c r="AF2" s="986"/>
      <c r="AG2" s="986"/>
      <c r="AH2" s="986"/>
      <c r="AI2" s="987"/>
      <c r="AJ2" s="1002" t="str">
        <f>表紙!$AX$64</f>
        <v>Web販売管理</v>
      </c>
      <c r="AK2" s="1003"/>
      <c r="AL2" s="1003"/>
      <c r="AM2" s="1003"/>
      <c r="AN2" s="1003"/>
      <c r="AO2" s="1003"/>
      <c r="AP2" s="1003"/>
      <c r="AQ2" s="1003"/>
      <c r="AR2" s="1004"/>
      <c r="AS2" s="1005" t="str">
        <f>表紙!$BL$64</f>
        <v>M7-US-1140</v>
      </c>
      <c r="AT2" s="1006"/>
      <c r="AU2" s="1006"/>
      <c r="AV2" s="1006"/>
      <c r="AW2" s="1006"/>
      <c r="AX2" s="1006"/>
      <c r="AY2" s="1006"/>
      <c r="AZ2" s="1008" t="str">
        <f>表紙!$BU$64</f>
        <v>7.0.2</v>
      </c>
      <c r="BA2" s="944"/>
      <c r="BB2" s="944"/>
      <c r="BC2" s="944"/>
      <c r="BD2" s="944"/>
      <c r="BE2" s="978"/>
      <c r="BF2" s="943">
        <f>表紙!$CB$64</f>
        <v>1</v>
      </c>
      <c r="BG2" s="944"/>
      <c r="BH2" s="944"/>
      <c r="BI2" s="944"/>
      <c r="BJ2" s="944"/>
      <c r="BK2" s="945"/>
    </row>
    <row r="3" spans="1:63" s="1" customFormat="1" ht="15.75" customHeight="1" thickBot="1">
      <c r="A3" s="969"/>
      <c r="B3" s="970"/>
      <c r="C3" s="970"/>
      <c r="D3" s="970"/>
      <c r="E3" s="970"/>
      <c r="F3" s="970"/>
      <c r="G3" s="970"/>
      <c r="H3" s="970"/>
      <c r="I3" s="970"/>
      <c r="J3" s="971"/>
      <c r="K3" s="949" t="str">
        <f ca="1">RIGHT(CELL("filename",$A$1),LEN(CELL("filename",$A$1))-FIND("]",CELL("filename",$A$1)))</f>
        <v>検索入出力仕様</v>
      </c>
      <c r="L3" s="950"/>
      <c r="M3" s="950"/>
      <c r="N3" s="950"/>
      <c r="O3" s="950"/>
      <c r="P3" s="950"/>
      <c r="Q3" s="950"/>
      <c r="R3" s="950"/>
      <c r="S3" s="950"/>
      <c r="T3" s="951"/>
      <c r="U3" s="952" t="s">
        <v>158</v>
      </c>
      <c r="V3" s="953"/>
      <c r="W3" s="953"/>
      <c r="X3" s="953"/>
      <c r="Y3" s="954"/>
      <c r="Z3" s="955" t="str">
        <f>表紙!$AJ$65</f>
        <v>MSBBPA100</v>
      </c>
      <c r="AA3" s="956"/>
      <c r="AB3" s="956"/>
      <c r="AC3" s="956"/>
      <c r="AD3" s="956"/>
      <c r="AE3" s="957" t="str">
        <f>表紙!$AQ$65</f>
        <v>WebFSC製品化チェックシート出力</v>
      </c>
      <c r="AF3" s="958"/>
      <c r="AG3" s="958"/>
      <c r="AH3" s="958"/>
      <c r="AI3" s="958"/>
      <c r="AJ3" s="958"/>
      <c r="AK3" s="958"/>
      <c r="AL3" s="958"/>
      <c r="AM3" s="958"/>
      <c r="AN3" s="958"/>
      <c r="AO3" s="958"/>
      <c r="AP3" s="958"/>
      <c r="AQ3" s="958"/>
      <c r="AR3" s="959"/>
      <c r="AS3" s="1007"/>
      <c r="AT3" s="1007"/>
      <c r="AU3" s="1007"/>
      <c r="AV3" s="1007"/>
      <c r="AW3" s="1007"/>
      <c r="AX3" s="1007"/>
      <c r="AY3" s="1007"/>
      <c r="AZ3" s="946"/>
      <c r="BA3" s="947"/>
      <c r="BB3" s="947"/>
      <c r="BC3" s="947"/>
      <c r="BD3" s="947"/>
      <c r="BE3" s="1009"/>
      <c r="BF3" s="946"/>
      <c r="BG3" s="947"/>
      <c r="BH3" s="947"/>
      <c r="BI3" s="947"/>
      <c r="BJ3" s="947"/>
      <c r="BK3" s="948"/>
    </row>
    <row r="4" spans="1:63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63" ht="15.75" customHeight="1">
      <c r="A5" s="201" t="s">
        <v>450</v>
      </c>
      <c r="B5" s="202"/>
      <c r="C5" s="202"/>
      <c r="D5" s="202"/>
      <c r="E5" s="203"/>
      <c r="F5" s="204"/>
      <c r="G5" s="205">
        <v>1</v>
      </c>
      <c r="H5" s="206"/>
      <c r="I5" s="207"/>
      <c r="J5" s="207"/>
      <c r="K5" s="207"/>
      <c r="L5" s="207"/>
      <c r="M5" s="207"/>
      <c r="N5" s="207"/>
      <c r="O5" s="207"/>
      <c r="P5" s="207"/>
      <c r="Q5" s="207"/>
      <c r="R5" s="208"/>
      <c r="S5" s="209" t="s">
        <v>262</v>
      </c>
      <c r="T5" s="210"/>
      <c r="U5" s="210"/>
      <c r="V5" s="210"/>
      <c r="W5" s="210"/>
      <c r="X5" s="210"/>
      <c r="Y5" s="211"/>
      <c r="Z5" s="212" t="s">
        <v>445</v>
      </c>
      <c r="AA5" s="212"/>
      <c r="AB5" s="212"/>
      <c r="AC5" s="212"/>
      <c r="AD5" s="207"/>
      <c r="AE5" s="212"/>
      <c r="AF5" s="212"/>
      <c r="AG5" s="212"/>
      <c r="AH5" s="213" t="s">
        <v>520</v>
      </c>
      <c r="AI5" s="210"/>
      <c r="AJ5" s="211"/>
      <c r="AK5" s="212" t="s">
        <v>521</v>
      </c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4"/>
    </row>
    <row r="6" spans="1:63" ht="15.75" customHeight="1">
      <c r="A6" s="215" t="s">
        <v>522</v>
      </c>
      <c r="B6" s="216"/>
      <c r="C6" s="216"/>
      <c r="D6" s="217"/>
      <c r="E6" s="218" t="s">
        <v>523</v>
      </c>
      <c r="F6" s="219"/>
      <c r="G6" s="219"/>
      <c r="H6" s="220"/>
      <c r="I6" s="220"/>
      <c r="J6" s="220"/>
      <c r="K6" s="220"/>
      <c r="L6" s="221"/>
      <c r="M6" s="221"/>
      <c r="N6" s="221"/>
      <c r="O6" s="221"/>
      <c r="P6" s="221"/>
      <c r="Q6" s="221"/>
      <c r="R6" s="221"/>
      <c r="S6" s="222" t="s">
        <v>524</v>
      </c>
      <c r="T6" s="216"/>
      <c r="U6" s="216"/>
      <c r="V6" s="216"/>
      <c r="W6" s="216"/>
      <c r="X6" s="216"/>
      <c r="Y6" s="223"/>
      <c r="Z6" s="219" t="s">
        <v>525</v>
      </c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24"/>
    </row>
    <row r="7" spans="1:63" ht="15.75" customHeight="1">
      <c r="A7" s="225" t="s">
        <v>450</v>
      </c>
      <c r="B7" s="226"/>
      <c r="C7" s="227" t="s">
        <v>526</v>
      </c>
      <c r="D7" s="228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7" t="s">
        <v>527</v>
      </c>
      <c r="Y7" s="228"/>
      <c r="Z7" s="229"/>
      <c r="AA7" s="229"/>
      <c r="AB7" s="229"/>
      <c r="AC7" s="229"/>
      <c r="AD7" s="229"/>
      <c r="AE7" s="229"/>
      <c r="AF7" s="229"/>
      <c r="AG7" s="229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30" t="s">
        <v>528</v>
      </c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31"/>
    </row>
    <row r="8" spans="1:63" ht="15.75" customHeight="1" thickBot="1">
      <c r="A8" s="232"/>
      <c r="B8" s="233"/>
      <c r="C8" s="234" t="s">
        <v>529</v>
      </c>
      <c r="D8" s="235" t="s">
        <v>530</v>
      </c>
      <c r="E8" s="236"/>
      <c r="F8" s="236"/>
      <c r="G8" s="236"/>
      <c r="H8" s="236"/>
      <c r="I8" s="236"/>
      <c r="J8" s="236"/>
      <c r="K8" s="236"/>
      <c r="L8" s="237"/>
      <c r="M8" s="235" t="s">
        <v>531</v>
      </c>
      <c r="N8" s="236"/>
      <c r="O8" s="236"/>
      <c r="P8" s="236"/>
      <c r="Q8" s="236"/>
      <c r="R8" s="236"/>
      <c r="S8" s="236"/>
      <c r="T8" s="236"/>
      <c r="U8" s="236"/>
      <c r="V8" s="236"/>
      <c r="W8" s="237"/>
      <c r="X8" s="234" t="s">
        <v>529</v>
      </c>
      <c r="Y8" s="235" t="s">
        <v>530</v>
      </c>
      <c r="Z8" s="236"/>
      <c r="AA8" s="236"/>
      <c r="AB8" s="236"/>
      <c r="AC8" s="236"/>
      <c r="AD8" s="236"/>
      <c r="AE8" s="236"/>
      <c r="AF8" s="236"/>
      <c r="AG8" s="237"/>
      <c r="AH8" s="235" t="s">
        <v>531</v>
      </c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7"/>
      <c r="AU8" s="238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9"/>
    </row>
    <row r="9" spans="1:63" ht="15.75" customHeight="1" thickTop="1">
      <c r="A9" s="1015">
        <v>1</v>
      </c>
      <c r="B9" s="1016"/>
      <c r="C9" s="240" t="s">
        <v>532</v>
      </c>
      <c r="D9" s="241" t="s">
        <v>533</v>
      </c>
      <c r="E9" s="242"/>
      <c r="F9" s="242"/>
      <c r="G9" s="242"/>
      <c r="H9" s="242"/>
      <c r="I9" s="242"/>
      <c r="J9" s="242"/>
      <c r="K9" s="242"/>
      <c r="L9" s="243"/>
      <c r="M9" s="241" t="s">
        <v>296</v>
      </c>
      <c r="N9" s="242"/>
      <c r="O9" s="242"/>
      <c r="P9" s="242"/>
      <c r="Q9" s="242"/>
      <c r="R9" s="242"/>
      <c r="S9" s="242"/>
      <c r="T9" s="242"/>
      <c r="U9" s="242"/>
      <c r="V9" s="242"/>
      <c r="W9" s="243"/>
      <c r="X9" s="244"/>
      <c r="Y9" s="241"/>
      <c r="Z9" s="242"/>
      <c r="AA9" s="242"/>
      <c r="AB9" s="242"/>
      <c r="AC9" s="242"/>
      <c r="AD9" s="242"/>
      <c r="AE9" s="242"/>
      <c r="AF9" s="242"/>
      <c r="AG9" s="243"/>
      <c r="AH9" s="241" t="s">
        <v>534</v>
      </c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243"/>
      <c r="AU9" s="241"/>
      <c r="AV9" s="242"/>
      <c r="AW9" s="242"/>
      <c r="AX9" s="242"/>
      <c r="AY9" s="242"/>
      <c r="AZ9" s="242"/>
      <c r="BA9" s="242"/>
      <c r="BB9" s="242"/>
      <c r="BC9" s="242"/>
      <c r="BD9" s="242"/>
      <c r="BE9" s="242"/>
      <c r="BF9" s="242"/>
      <c r="BG9" s="242"/>
      <c r="BH9" s="242"/>
      <c r="BI9" s="242"/>
      <c r="BJ9" s="242"/>
      <c r="BK9" s="245"/>
    </row>
    <row r="10" spans="1:63" ht="15.75" customHeight="1">
      <c r="A10" s="1017">
        <v>2</v>
      </c>
      <c r="B10" s="1018"/>
      <c r="C10" s="246" t="s">
        <v>535</v>
      </c>
      <c r="D10" s="247" t="s">
        <v>536</v>
      </c>
      <c r="E10" s="134"/>
      <c r="F10" s="134"/>
      <c r="G10" s="250"/>
      <c r="H10" s="250"/>
      <c r="I10" s="134"/>
      <c r="J10" s="134"/>
      <c r="K10" s="134"/>
      <c r="L10" s="141"/>
      <c r="M10" s="247" t="s">
        <v>379</v>
      </c>
      <c r="N10" s="134"/>
      <c r="O10" s="134"/>
      <c r="P10" s="134"/>
      <c r="Q10" s="134"/>
      <c r="R10" s="134"/>
      <c r="S10" s="134"/>
      <c r="T10" s="134"/>
      <c r="U10" s="134"/>
      <c r="V10" s="134"/>
      <c r="W10" s="141"/>
      <c r="X10" s="248" t="s">
        <v>388</v>
      </c>
      <c r="Y10" s="247" t="s">
        <v>537</v>
      </c>
      <c r="Z10" s="134"/>
      <c r="AA10" s="134"/>
      <c r="AB10" s="134"/>
      <c r="AC10" s="134"/>
      <c r="AD10" s="134"/>
      <c r="AE10" s="134"/>
      <c r="AF10" s="134"/>
      <c r="AG10" s="141"/>
      <c r="AH10" s="247" t="s">
        <v>459</v>
      </c>
      <c r="AI10" s="134"/>
      <c r="AJ10" s="134"/>
      <c r="AK10" s="134"/>
      <c r="AL10" s="134"/>
      <c r="AM10" s="250"/>
      <c r="AN10" s="250"/>
      <c r="AO10" s="134"/>
      <c r="AP10" s="134"/>
      <c r="AQ10" s="134"/>
      <c r="AR10" s="134"/>
      <c r="AS10" s="134"/>
      <c r="AT10" s="141"/>
      <c r="AU10" s="249"/>
      <c r="AV10" s="250"/>
      <c r="AW10" s="250"/>
      <c r="AX10" s="250"/>
      <c r="AY10" s="250"/>
      <c r="AZ10" s="250"/>
      <c r="BA10" s="250"/>
      <c r="BB10" s="250"/>
      <c r="BC10" s="250"/>
      <c r="BD10" s="250"/>
      <c r="BE10" s="250"/>
      <c r="BF10" s="250"/>
      <c r="BG10" s="250"/>
      <c r="BH10" s="250"/>
      <c r="BI10" s="250"/>
      <c r="BJ10" s="250"/>
      <c r="BK10" s="251"/>
    </row>
    <row r="11" spans="1:63" ht="15.75" customHeight="1">
      <c r="A11" s="252"/>
      <c r="B11" s="253"/>
      <c r="C11" s="254"/>
      <c r="D11" s="83"/>
      <c r="E11" s="84"/>
      <c r="F11" s="84"/>
      <c r="G11" s="257"/>
      <c r="H11" s="257"/>
      <c r="I11" s="84"/>
      <c r="J11" s="84"/>
      <c r="K11" s="84"/>
      <c r="L11" s="85"/>
      <c r="M11" s="83"/>
      <c r="N11" s="84"/>
      <c r="O11" s="84"/>
      <c r="P11" s="84"/>
      <c r="Q11" s="84"/>
      <c r="R11" s="84"/>
      <c r="S11" s="84"/>
      <c r="T11" s="84"/>
      <c r="U11" s="84"/>
      <c r="V11" s="84"/>
      <c r="W11" s="85"/>
      <c r="X11" s="255" t="s">
        <v>388</v>
      </c>
      <c r="Y11" s="83" t="s">
        <v>538</v>
      </c>
      <c r="Z11" s="84"/>
      <c r="AA11" s="84"/>
      <c r="AB11" s="84"/>
      <c r="AC11" s="84"/>
      <c r="AD11" s="84"/>
      <c r="AE11" s="84"/>
      <c r="AF11" s="84"/>
      <c r="AG11" s="85"/>
      <c r="AH11" s="83" t="s">
        <v>539</v>
      </c>
      <c r="AI11" s="84"/>
      <c r="AJ11" s="84"/>
      <c r="AK11" s="84"/>
      <c r="AL11" s="84"/>
      <c r="AM11" s="257"/>
      <c r="AN11" s="257"/>
      <c r="AO11" s="84"/>
      <c r="AP11" s="84"/>
      <c r="AQ11" s="84"/>
      <c r="AR11" s="84"/>
      <c r="AS11" s="84"/>
      <c r="AT11" s="85"/>
      <c r="AU11" s="256"/>
      <c r="AV11" s="257"/>
      <c r="AW11" s="257"/>
      <c r="AX11" s="257"/>
      <c r="AY11" s="257"/>
      <c r="AZ11" s="257"/>
      <c r="BA11" s="257"/>
      <c r="BB11" s="257"/>
      <c r="BC11" s="257"/>
      <c r="BD11" s="257"/>
      <c r="BE11" s="257"/>
      <c r="BF11" s="257"/>
      <c r="BG11" s="257"/>
      <c r="BH11" s="257"/>
      <c r="BI11" s="257"/>
      <c r="BJ11" s="257"/>
      <c r="BK11" s="258"/>
    </row>
    <row r="12" spans="1:63" ht="15.75" customHeight="1">
      <c r="A12" s="1017">
        <v>3</v>
      </c>
      <c r="B12" s="1018"/>
      <c r="C12" s="246" t="s">
        <v>535</v>
      </c>
      <c r="D12" s="247" t="s">
        <v>536</v>
      </c>
      <c r="E12" s="134"/>
      <c r="F12" s="134"/>
      <c r="G12" s="250"/>
      <c r="H12" s="250"/>
      <c r="I12" s="134"/>
      <c r="J12" s="134"/>
      <c r="K12" s="134"/>
      <c r="L12" s="141"/>
      <c r="M12" s="247" t="s">
        <v>391</v>
      </c>
      <c r="N12" s="134"/>
      <c r="O12" s="134"/>
      <c r="P12" s="134"/>
      <c r="Q12" s="134"/>
      <c r="R12" s="134"/>
      <c r="S12" s="134"/>
      <c r="T12" s="134"/>
      <c r="U12" s="134"/>
      <c r="V12" s="134"/>
      <c r="W12" s="141"/>
      <c r="X12" s="248" t="s">
        <v>388</v>
      </c>
      <c r="Y12" s="247" t="s">
        <v>537</v>
      </c>
      <c r="Z12" s="134"/>
      <c r="AA12" s="134"/>
      <c r="AB12" s="134"/>
      <c r="AC12" s="134"/>
      <c r="AD12" s="134"/>
      <c r="AE12" s="134"/>
      <c r="AF12" s="134"/>
      <c r="AG12" s="141"/>
      <c r="AH12" s="247" t="s">
        <v>690</v>
      </c>
      <c r="AI12" s="134"/>
      <c r="AJ12" s="134"/>
      <c r="AK12" s="134"/>
      <c r="AL12" s="134"/>
      <c r="AM12" s="250"/>
      <c r="AN12" s="250"/>
      <c r="AO12" s="134"/>
      <c r="AP12" s="134"/>
      <c r="AQ12" s="134"/>
      <c r="AR12" s="134"/>
      <c r="AS12" s="134"/>
      <c r="AT12" s="141"/>
      <c r="AU12" s="249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1"/>
    </row>
    <row r="13" spans="1:63" ht="15.75" customHeight="1">
      <c r="A13" s="252"/>
      <c r="B13" s="253"/>
      <c r="C13" s="254"/>
      <c r="D13" s="83"/>
      <c r="E13" s="84"/>
      <c r="F13" s="84"/>
      <c r="G13" s="257"/>
      <c r="H13" s="257"/>
      <c r="I13" s="84"/>
      <c r="J13" s="84"/>
      <c r="K13" s="84"/>
      <c r="L13" s="85"/>
      <c r="M13" s="83"/>
      <c r="N13" s="84"/>
      <c r="O13" s="84"/>
      <c r="P13" s="84"/>
      <c r="Q13" s="84"/>
      <c r="R13" s="84"/>
      <c r="S13" s="84"/>
      <c r="T13" s="84"/>
      <c r="U13" s="84"/>
      <c r="V13" s="84"/>
      <c r="W13" s="85"/>
      <c r="X13" s="255" t="s">
        <v>388</v>
      </c>
      <c r="Y13" s="83" t="s">
        <v>268</v>
      </c>
      <c r="Z13" s="84"/>
      <c r="AA13" s="84"/>
      <c r="AB13" s="84"/>
      <c r="AC13" s="502" t="s">
        <v>678</v>
      </c>
      <c r="AD13" s="84"/>
      <c r="AE13" s="84"/>
      <c r="AF13" s="84"/>
      <c r="AG13" s="85"/>
      <c r="AH13" s="83" t="s">
        <v>299</v>
      </c>
      <c r="AI13" s="84"/>
      <c r="AJ13" s="84"/>
      <c r="AK13" s="84"/>
      <c r="AL13" s="502" t="s">
        <v>679</v>
      </c>
      <c r="AM13" s="257"/>
      <c r="AN13" s="257"/>
      <c r="AO13" s="84"/>
      <c r="AP13" s="84"/>
      <c r="AQ13" s="84"/>
      <c r="AR13" s="84"/>
      <c r="AS13" s="84"/>
      <c r="AT13" s="85"/>
      <c r="AU13" s="256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8"/>
    </row>
    <row r="14" spans="1:63" ht="15.75" customHeight="1">
      <c r="A14" s="1017">
        <v>4</v>
      </c>
      <c r="B14" s="1018"/>
      <c r="C14" s="246" t="s">
        <v>535</v>
      </c>
      <c r="D14" s="247" t="s">
        <v>536</v>
      </c>
      <c r="E14" s="134"/>
      <c r="F14" s="134"/>
      <c r="G14" s="250"/>
      <c r="H14" s="250"/>
      <c r="I14" s="134"/>
      <c r="J14" s="134"/>
      <c r="K14" s="134"/>
      <c r="L14" s="141"/>
      <c r="M14" s="247" t="s">
        <v>408</v>
      </c>
      <c r="N14" s="134"/>
      <c r="O14" s="134"/>
      <c r="P14" s="134"/>
      <c r="Q14" s="134"/>
      <c r="R14" s="134"/>
      <c r="S14" s="134"/>
      <c r="T14" s="134"/>
      <c r="U14" s="134"/>
      <c r="V14" s="134"/>
      <c r="W14" s="141"/>
      <c r="X14" s="248" t="s">
        <v>388</v>
      </c>
      <c r="Y14" s="247" t="s">
        <v>537</v>
      </c>
      <c r="Z14" s="134"/>
      <c r="AA14" s="134"/>
      <c r="AB14" s="134"/>
      <c r="AC14" s="498"/>
      <c r="AD14" s="134"/>
      <c r="AE14" s="134"/>
      <c r="AF14" s="134"/>
      <c r="AG14" s="141"/>
      <c r="AH14" s="247" t="s">
        <v>673</v>
      </c>
      <c r="AI14" s="134"/>
      <c r="AJ14" s="134"/>
      <c r="AK14" s="134"/>
      <c r="AL14" s="498"/>
      <c r="AM14" s="250"/>
      <c r="AN14" s="250"/>
      <c r="AO14" s="134"/>
      <c r="AP14" s="134"/>
      <c r="AQ14" s="134"/>
      <c r="AR14" s="134"/>
      <c r="AS14" s="134"/>
      <c r="AT14" s="141"/>
      <c r="AU14" s="501" t="s">
        <v>674</v>
      </c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  <c r="BF14" s="250"/>
      <c r="BG14" s="250"/>
      <c r="BH14" s="250"/>
      <c r="BI14" s="250"/>
      <c r="BJ14" s="250"/>
      <c r="BK14" s="251"/>
    </row>
    <row r="15" spans="1:63" ht="15.75" customHeight="1">
      <c r="A15" s="252"/>
      <c r="B15" s="253"/>
      <c r="C15" s="254"/>
      <c r="D15" s="83"/>
      <c r="E15" s="84"/>
      <c r="F15" s="84"/>
      <c r="G15" s="257"/>
      <c r="H15" s="257"/>
      <c r="I15" s="84"/>
      <c r="J15" s="84"/>
      <c r="K15" s="84"/>
      <c r="L15" s="85"/>
      <c r="M15" s="83"/>
      <c r="N15" s="84"/>
      <c r="O15" s="84"/>
      <c r="P15" s="84"/>
      <c r="Q15" s="84"/>
      <c r="R15" s="84"/>
      <c r="S15" s="84"/>
      <c r="T15" s="84"/>
      <c r="U15" s="84"/>
      <c r="V15" s="84"/>
      <c r="W15" s="85"/>
      <c r="X15" s="255" t="s">
        <v>388</v>
      </c>
      <c r="Y15" s="83" t="s">
        <v>540</v>
      </c>
      <c r="Z15" s="84"/>
      <c r="AA15" s="84"/>
      <c r="AB15" s="84"/>
      <c r="AC15" s="502" t="s">
        <v>691</v>
      </c>
      <c r="AD15" s="84"/>
      <c r="AE15" s="84"/>
      <c r="AF15" s="84"/>
      <c r="AG15" s="85"/>
      <c r="AH15" s="83" t="s">
        <v>301</v>
      </c>
      <c r="AI15" s="84"/>
      <c r="AJ15" s="84"/>
      <c r="AK15" s="84"/>
      <c r="AL15" s="84"/>
      <c r="AM15" s="257"/>
      <c r="AN15" s="257"/>
      <c r="AO15" s="84"/>
      <c r="AP15" s="84"/>
      <c r="AQ15" s="84"/>
      <c r="AR15" s="84"/>
      <c r="AS15" s="84"/>
      <c r="AT15" s="85"/>
      <c r="AU15" s="503"/>
      <c r="AV15" s="257"/>
      <c r="AW15" s="257"/>
      <c r="AX15" s="257"/>
      <c r="AY15" s="257"/>
      <c r="AZ15" s="257"/>
      <c r="BA15" s="257"/>
      <c r="BB15" s="257"/>
      <c r="BC15" s="257"/>
      <c r="BD15" s="257"/>
      <c r="BE15" s="257"/>
      <c r="BF15" s="257"/>
      <c r="BG15" s="257"/>
      <c r="BH15" s="257"/>
      <c r="BI15" s="257"/>
      <c r="BJ15" s="257"/>
      <c r="BK15" s="258"/>
    </row>
    <row r="16" spans="1:63" ht="15.75" customHeight="1">
      <c r="A16" s="1011">
        <v>5</v>
      </c>
      <c r="B16" s="1012"/>
      <c r="C16" s="259" t="s">
        <v>535</v>
      </c>
      <c r="D16" s="137" t="s">
        <v>536</v>
      </c>
      <c r="E16" s="138"/>
      <c r="F16" s="138"/>
      <c r="G16" s="262"/>
      <c r="H16" s="262"/>
      <c r="I16" s="138"/>
      <c r="J16" s="138"/>
      <c r="K16" s="138"/>
      <c r="L16" s="139"/>
      <c r="M16" s="137" t="s">
        <v>288</v>
      </c>
      <c r="N16" s="138"/>
      <c r="O16" s="138"/>
      <c r="P16" s="138"/>
      <c r="Q16" s="138"/>
      <c r="R16" s="138"/>
      <c r="S16" s="138"/>
      <c r="T16" s="138"/>
      <c r="U16" s="138"/>
      <c r="V16" s="138"/>
      <c r="W16" s="139"/>
      <c r="X16" s="260" t="s">
        <v>388</v>
      </c>
      <c r="Y16" s="500" t="s">
        <v>541</v>
      </c>
      <c r="Z16" s="138"/>
      <c r="AA16" s="138"/>
      <c r="AB16" s="138"/>
      <c r="AC16" s="499" t="s">
        <v>573</v>
      </c>
      <c r="AD16" s="138"/>
      <c r="AE16" s="138"/>
      <c r="AF16" s="138"/>
      <c r="AG16" s="139"/>
      <c r="AH16" s="137" t="s">
        <v>669</v>
      </c>
      <c r="AI16" s="138"/>
      <c r="AJ16" s="138"/>
      <c r="AK16" s="138"/>
      <c r="AL16" s="138"/>
      <c r="AM16" s="262"/>
      <c r="AN16" s="262"/>
      <c r="AO16" s="138"/>
      <c r="AP16" s="138"/>
      <c r="AQ16" s="138"/>
      <c r="AR16" s="138"/>
      <c r="AS16" s="138"/>
      <c r="AT16" s="139"/>
      <c r="AU16" s="261"/>
      <c r="AV16" s="262"/>
      <c r="AW16" s="262"/>
      <c r="AX16" s="262"/>
      <c r="AY16" s="262"/>
      <c r="AZ16" s="262"/>
      <c r="BA16" s="262"/>
      <c r="BB16" s="262"/>
      <c r="BC16" s="262"/>
      <c r="BD16" s="262"/>
      <c r="BE16" s="262"/>
      <c r="BF16" s="262"/>
      <c r="BG16" s="262"/>
      <c r="BH16" s="262"/>
      <c r="BI16" s="262"/>
      <c r="BJ16" s="262"/>
      <c r="BK16" s="263"/>
    </row>
    <row r="17" spans="1:63" ht="15.75" customHeight="1">
      <c r="A17" s="1011">
        <v>6</v>
      </c>
      <c r="B17" s="1012"/>
      <c r="C17" s="259" t="s">
        <v>535</v>
      </c>
      <c r="D17" s="137" t="s">
        <v>536</v>
      </c>
      <c r="E17" s="138"/>
      <c r="F17" s="138"/>
      <c r="G17" s="262"/>
      <c r="H17" s="262"/>
      <c r="I17" s="138"/>
      <c r="J17" s="138"/>
      <c r="K17" s="138"/>
      <c r="L17" s="139"/>
      <c r="M17" s="137" t="s">
        <v>542</v>
      </c>
      <c r="N17" s="138"/>
      <c r="O17" s="138"/>
      <c r="P17" s="138"/>
      <c r="Q17" s="138"/>
      <c r="R17" s="138"/>
      <c r="S17" s="138"/>
      <c r="T17" s="138"/>
      <c r="U17" s="138"/>
      <c r="V17" s="138"/>
      <c r="W17" s="139"/>
      <c r="X17" s="260" t="s">
        <v>388</v>
      </c>
      <c r="Y17" s="500" t="s">
        <v>541</v>
      </c>
      <c r="Z17" s="138"/>
      <c r="AA17" s="138"/>
      <c r="AB17" s="138"/>
      <c r="AC17" s="499" t="s">
        <v>560</v>
      </c>
      <c r="AD17" s="138"/>
      <c r="AE17" s="138"/>
      <c r="AF17" s="138"/>
      <c r="AG17" s="139"/>
      <c r="AH17" s="137" t="s">
        <v>542</v>
      </c>
      <c r="AI17" s="138"/>
      <c r="AJ17" s="138"/>
      <c r="AK17" s="138"/>
      <c r="AL17" s="138"/>
      <c r="AM17" s="262"/>
      <c r="AN17" s="262"/>
      <c r="AO17" s="138"/>
      <c r="AP17" s="138"/>
      <c r="AQ17" s="138"/>
      <c r="AR17" s="138"/>
      <c r="AS17" s="138"/>
      <c r="AT17" s="139"/>
      <c r="AU17" s="261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3"/>
    </row>
    <row r="18" spans="1:63" ht="15.75" customHeight="1">
      <c r="A18" s="1011">
        <v>7</v>
      </c>
      <c r="B18" s="1012"/>
      <c r="C18" s="259" t="s">
        <v>535</v>
      </c>
      <c r="D18" s="137" t="s">
        <v>536</v>
      </c>
      <c r="E18" s="138"/>
      <c r="F18" s="138"/>
      <c r="G18" s="262"/>
      <c r="H18" s="262"/>
      <c r="I18" s="138"/>
      <c r="J18" s="138"/>
      <c r="K18" s="138"/>
      <c r="L18" s="139"/>
      <c r="M18" s="137" t="s">
        <v>543</v>
      </c>
      <c r="N18" s="138"/>
      <c r="O18" s="138"/>
      <c r="P18" s="138"/>
      <c r="Q18" s="138"/>
      <c r="R18" s="138"/>
      <c r="S18" s="138"/>
      <c r="T18" s="138"/>
      <c r="U18" s="138"/>
      <c r="V18" s="138"/>
      <c r="W18" s="139"/>
      <c r="X18" s="260" t="s">
        <v>388</v>
      </c>
      <c r="Y18" s="137" t="s">
        <v>544</v>
      </c>
      <c r="Z18" s="138"/>
      <c r="AA18" s="138"/>
      <c r="AB18" s="138"/>
      <c r="AC18" s="138"/>
      <c r="AD18" s="138"/>
      <c r="AE18" s="138"/>
      <c r="AF18" s="138"/>
      <c r="AG18" s="139"/>
      <c r="AH18" s="137" t="s">
        <v>310</v>
      </c>
      <c r="AI18" s="138"/>
      <c r="AJ18" s="138"/>
      <c r="AK18" s="138"/>
      <c r="AL18" s="499" t="s">
        <v>670</v>
      </c>
      <c r="AM18" s="262"/>
      <c r="AN18" s="262"/>
      <c r="AO18" s="138"/>
      <c r="AP18" s="138"/>
      <c r="AQ18" s="138"/>
      <c r="AR18" s="138"/>
      <c r="AS18" s="138"/>
      <c r="AT18" s="139"/>
      <c r="AU18" s="261" t="s">
        <v>545</v>
      </c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3"/>
    </row>
    <row r="19" spans="1:63" ht="15.75" customHeight="1">
      <c r="A19" s="1011">
        <v>8</v>
      </c>
      <c r="B19" s="1012"/>
      <c r="C19" s="259" t="s">
        <v>535</v>
      </c>
      <c r="D19" s="137" t="s">
        <v>536</v>
      </c>
      <c r="E19" s="138"/>
      <c r="F19" s="138"/>
      <c r="G19" s="262"/>
      <c r="H19" s="262"/>
      <c r="I19" s="138"/>
      <c r="J19" s="138"/>
      <c r="K19" s="138"/>
      <c r="L19" s="139"/>
      <c r="M19" s="137" t="s">
        <v>420</v>
      </c>
      <c r="N19" s="138"/>
      <c r="O19" s="138"/>
      <c r="P19" s="138"/>
      <c r="Q19" s="138"/>
      <c r="R19" s="138"/>
      <c r="S19" s="138"/>
      <c r="T19" s="138"/>
      <c r="U19" s="138"/>
      <c r="V19" s="138"/>
      <c r="W19" s="139"/>
      <c r="X19" s="260" t="s">
        <v>388</v>
      </c>
      <c r="Y19" s="137" t="s">
        <v>546</v>
      </c>
      <c r="Z19" s="138"/>
      <c r="AA19" s="138"/>
      <c r="AB19" s="138"/>
      <c r="AC19" s="138"/>
      <c r="AD19" s="138"/>
      <c r="AE19" s="138"/>
      <c r="AF19" s="138"/>
      <c r="AG19" s="139"/>
      <c r="AH19" s="137" t="s">
        <v>420</v>
      </c>
      <c r="AI19" s="138"/>
      <c r="AJ19" s="138"/>
      <c r="AK19" s="138"/>
      <c r="AL19" s="499" t="s">
        <v>671</v>
      </c>
      <c r="AM19" s="262"/>
      <c r="AN19" s="262"/>
      <c r="AO19" s="138"/>
      <c r="AP19" s="138"/>
      <c r="AQ19" s="138"/>
      <c r="AR19" s="138"/>
      <c r="AS19" s="138"/>
      <c r="AT19" s="139"/>
      <c r="AU19" s="261" t="s">
        <v>547</v>
      </c>
      <c r="AV19" s="262"/>
      <c r="AW19" s="262"/>
      <c r="AX19" s="262"/>
      <c r="AY19" s="262"/>
      <c r="AZ19" s="262"/>
      <c r="BA19" s="262"/>
      <c r="BB19" s="262"/>
      <c r="BC19" s="262"/>
      <c r="BD19" s="262"/>
      <c r="BE19" s="262"/>
      <c r="BF19" s="262"/>
      <c r="BG19" s="262"/>
      <c r="BH19" s="262"/>
      <c r="BI19" s="262"/>
      <c r="BJ19" s="262"/>
      <c r="BK19" s="263"/>
    </row>
    <row r="20" spans="1:63" ht="15.75" customHeight="1">
      <c r="A20" s="1011">
        <v>9</v>
      </c>
      <c r="B20" s="1012"/>
      <c r="C20" s="259" t="s">
        <v>535</v>
      </c>
      <c r="D20" s="137" t="s">
        <v>536</v>
      </c>
      <c r="E20" s="138"/>
      <c r="F20" s="138"/>
      <c r="G20" s="262"/>
      <c r="H20" s="262"/>
      <c r="I20" s="138"/>
      <c r="J20" s="138"/>
      <c r="K20" s="138"/>
      <c r="L20" s="139"/>
      <c r="M20" s="137" t="s">
        <v>548</v>
      </c>
      <c r="N20" s="138"/>
      <c r="O20" s="138"/>
      <c r="P20" s="138"/>
      <c r="Q20" s="138"/>
      <c r="R20" s="138"/>
      <c r="S20" s="138"/>
      <c r="T20" s="138"/>
      <c r="U20" s="138"/>
      <c r="V20" s="138"/>
      <c r="W20" s="139"/>
      <c r="X20" s="260" t="s">
        <v>388</v>
      </c>
      <c r="Y20" s="137" t="s">
        <v>546</v>
      </c>
      <c r="Z20" s="138"/>
      <c r="AA20" s="138"/>
      <c r="AB20" s="138"/>
      <c r="AC20" s="138"/>
      <c r="AD20" s="138"/>
      <c r="AE20" s="138"/>
      <c r="AF20" s="138"/>
      <c r="AG20" s="139"/>
      <c r="AH20" s="137" t="s">
        <v>548</v>
      </c>
      <c r="AI20" s="138"/>
      <c r="AJ20" s="138"/>
      <c r="AK20" s="138"/>
      <c r="AL20" s="138"/>
      <c r="AM20" s="262"/>
      <c r="AN20" s="262"/>
      <c r="AO20" s="138"/>
      <c r="AP20" s="138"/>
      <c r="AQ20" s="138"/>
      <c r="AR20" s="138"/>
      <c r="AS20" s="138"/>
      <c r="AT20" s="139"/>
      <c r="AU20" s="261" t="s">
        <v>547</v>
      </c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3"/>
    </row>
    <row r="21" spans="1:63" ht="15.75" customHeight="1">
      <c r="A21" s="1011">
        <v>10</v>
      </c>
      <c r="B21" s="1012"/>
      <c r="C21" s="259" t="s">
        <v>535</v>
      </c>
      <c r="D21" s="137" t="s">
        <v>536</v>
      </c>
      <c r="E21" s="138"/>
      <c r="F21" s="138"/>
      <c r="G21" s="262"/>
      <c r="H21" s="262"/>
      <c r="I21" s="138"/>
      <c r="J21" s="138"/>
      <c r="K21" s="138"/>
      <c r="L21" s="139"/>
      <c r="M21" s="137" t="s">
        <v>424</v>
      </c>
      <c r="N21" s="138"/>
      <c r="O21" s="138"/>
      <c r="P21" s="138"/>
      <c r="Q21" s="138"/>
      <c r="R21" s="138"/>
      <c r="S21" s="138"/>
      <c r="T21" s="138"/>
      <c r="U21" s="138"/>
      <c r="V21" s="138"/>
      <c r="W21" s="139"/>
      <c r="X21" s="260" t="s">
        <v>388</v>
      </c>
      <c r="Y21" s="137" t="s">
        <v>546</v>
      </c>
      <c r="Z21" s="138"/>
      <c r="AA21" s="138"/>
      <c r="AB21" s="138"/>
      <c r="AC21" s="138"/>
      <c r="AD21" s="138"/>
      <c r="AE21" s="138"/>
      <c r="AF21" s="138"/>
      <c r="AG21" s="139"/>
      <c r="AH21" s="137" t="s">
        <v>424</v>
      </c>
      <c r="AI21" s="138"/>
      <c r="AJ21" s="138"/>
      <c r="AK21" s="138"/>
      <c r="AL21" s="138"/>
      <c r="AM21" s="262"/>
      <c r="AN21" s="262"/>
      <c r="AO21" s="138"/>
      <c r="AP21" s="138"/>
      <c r="AQ21" s="138"/>
      <c r="AR21" s="138"/>
      <c r="AS21" s="138"/>
      <c r="AT21" s="139"/>
      <c r="AU21" s="261" t="s">
        <v>547</v>
      </c>
      <c r="AV21" s="262"/>
      <c r="AW21" s="262"/>
      <c r="AX21" s="262"/>
      <c r="AY21" s="262"/>
      <c r="AZ21" s="262"/>
      <c r="BA21" s="262"/>
      <c r="BB21" s="262"/>
      <c r="BC21" s="262"/>
      <c r="BD21" s="262"/>
      <c r="BE21" s="262"/>
      <c r="BF21" s="262"/>
      <c r="BG21" s="262"/>
      <c r="BH21" s="262"/>
      <c r="BI21" s="262"/>
      <c r="BJ21" s="262"/>
      <c r="BK21" s="263"/>
    </row>
    <row r="22" spans="1:63" ht="15.75" customHeight="1">
      <c r="A22" s="1011">
        <v>11</v>
      </c>
      <c r="B22" s="1012"/>
      <c r="C22" s="259" t="s">
        <v>535</v>
      </c>
      <c r="D22" s="137" t="s">
        <v>536</v>
      </c>
      <c r="E22" s="138"/>
      <c r="F22" s="138"/>
      <c r="G22" s="262"/>
      <c r="H22" s="262"/>
      <c r="I22" s="138"/>
      <c r="J22" s="138"/>
      <c r="K22" s="138"/>
      <c r="L22" s="139"/>
      <c r="M22" s="137" t="s">
        <v>549</v>
      </c>
      <c r="N22" s="138"/>
      <c r="O22" s="138"/>
      <c r="P22" s="138"/>
      <c r="Q22" s="138"/>
      <c r="R22" s="138"/>
      <c r="S22" s="138"/>
      <c r="T22" s="138"/>
      <c r="U22" s="138"/>
      <c r="V22" s="138"/>
      <c r="W22" s="139"/>
      <c r="X22" s="260" t="s">
        <v>388</v>
      </c>
      <c r="Y22" s="137" t="s">
        <v>541</v>
      </c>
      <c r="Z22" s="138"/>
      <c r="AA22" s="138"/>
      <c r="AB22" s="138"/>
      <c r="AC22" s="138"/>
      <c r="AD22" s="138"/>
      <c r="AE22" s="138"/>
      <c r="AF22" s="138"/>
      <c r="AG22" s="139"/>
      <c r="AH22" s="137" t="s">
        <v>549</v>
      </c>
      <c r="AI22" s="138"/>
      <c r="AJ22" s="138"/>
      <c r="AK22" s="138"/>
      <c r="AL22" s="499" t="s">
        <v>672</v>
      </c>
      <c r="AM22" s="262"/>
      <c r="AN22" s="262"/>
      <c r="AO22" s="138"/>
      <c r="AP22" s="138"/>
      <c r="AQ22" s="138"/>
      <c r="AR22" s="138"/>
      <c r="AS22" s="138"/>
      <c r="AT22" s="139"/>
      <c r="AU22" s="261"/>
      <c r="AV22" s="262"/>
      <c r="AW22" s="262"/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62"/>
      <c r="BI22" s="262"/>
      <c r="BJ22" s="262"/>
      <c r="BK22" s="263"/>
    </row>
    <row r="23" spans="1:63" ht="15.75" customHeight="1">
      <c r="A23" s="1011">
        <v>12</v>
      </c>
      <c r="B23" s="1012"/>
      <c r="C23" s="259" t="s">
        <v>535</v>
      </c>
      <c r="D23" s="137" t="s">
        <v>536</v>
      </c>
      <c r="E23" s="138"/>
      <c r="F23" s="138"/>
      <c r="G23" s="262"/>
      <c r="H23" s="262"/>
      <c r="I23" s="138"/>
      <c r="J23" s="138"/>
      <c r="K23" s="138"/>
      <c r="L23" s="139"/>
      <c r="M23" s="137" t="s">
        <v>461</v>
      </c>
      <c r="N23" s="138"/>
      <c r="O23" s="138"/>
      <c r="P23" s="138"/>
      <c r="Q23" s="138"/>
      <c r="R23" s="138"/>
      <c r="S23" s="138"/>
      <c r="T23" s="138"/>
      <c r="U23" s="138"/>
      <c r="V23" s="138"/>
      <c r="W23" s="139"/>
      <c r="X23" s="260" t="s">
        <v>388</v>
      </c>
      <c r="Y23" s="137" t="s">
        <v>541</v>
      </c>
      <c r="Z23" s="138"/>
      <c r="AA23" s="138"/>
      <c r="AB23" s="138"/>
      <c r="AC23" s="138"/>
      <c r="AD23" s="138"/>
      <c r="AE23" s="138"/>
      <c r="AF23" s="138"/>
      <c r="AG23" s="139"/>
      <c r="AH23" s="137" t="s">
        <v>461</v>
      </c>
      <c r="AI23" s="138"/>
      <c r="AJ23" s="138"/>
      <c r="AK23" s="138"/>
      <c r="AL23" s="138"/>
      <c r="AM23" s="262"/>
      <c r="AN23" s="262"/>
      <c r="AO23" s="138"/>
      <c r="AP23" s="138"/>
      <c r="AQ23" s="138"/>
      <c r="AR23" s="138"/>
      <c r="AS23" s="138"/>
      <c r="AT23" s="139"/>
      <c r="AU23" s="261"/>
      <c r="AV23" s="262"/>
      <c r="AW23" s="262"/>
      <c r="AX23" s="262"/>
      <c r="AY23" s="262"/>
      <c r="AZ23" s="262"/>
      <c r="BA23" s="262"/>
      <c r="BB23" s="262"/>
      <c r="BC23" s="262"/>
      <c r="BD23" s="262"/>
      <c r="BE23" s="262"/>
      <c r="BF23" s="262"/>
      <c r="BG23" s="262"/>
      <c r="BH23" s="262"/>
      <c r="BI23" s="262"/>
      <c r="BJ23" s="262"/>
      <c r="BK23" s="263"/>
    </row>
    <row r="24" spans="1:63" ht="15.75" customHeight="1">
      <c r="A24" s="1011">
        <v>13</v>
      </c>
      <c r="B24" s="1012"/>
      <c r="C24" s="259" t="s">
        <v>535</v>
      </c>
      <c r="D24" s="137" t="s">
        <v>536</v>
      </c>
      <c r="E24" s="138"/>
      <c r="F24" s="138"/>
      <c r="G24" s="262"/>
      <c r="H24" s="262"/>
      <c r="I24" s="138"/>
      <c r="J24" s="138"/>
      <c r="K24" s="138"/>
      <c r="L24" s="139"/>
      <c r="M24" s="137" t="s">
        <v>306</v>
      </c>
      <c r="N24" s="138"/>
      <c r="O24" s="138"/>
      <c r="P24" s="138"/>
      <c r="Q24" s="138"/>
      <c r="R24" s="138"/>
      <c r="S24" s="138"/>
      <c r="T24" s="138"/>
      <c r="U24" s="138"/>
      <c r="V24" s="138"/>
      <c r="W24" s="139"/>
      <c r="X24" s="260"/>
      <c r="Y24" s="137"/>
      <c r="Z24" s="138"/>
      <c r="AA24" s="138"/>
      <c r="AB24" s="138"/>
      <c r="AC24" s="138"/>
      <c r="AD24" s="138"/>
      <c r="AE24" s="138"/>
      <c r="AF24" s="138"/>
      <c r="AG24" s="139"/>
      <c r="AH24" s="137" t="s">
        <v>550</v>
      </c>
      <c r="AI24" s="138"/>
      <c r="AJ24" s="138"/>
      <c r="AK24" s="138"/>
      <c r="AL24" s="138"/>
      <c r="AM24" s="262"/>
      <c r="AN24" s="262"/>
      <c r="AO24" s="138"/>
      <c r="AP24" s="138"/>
      <c r="AQ24" s="138"/>
      <c r="AR24" s="138"/>
      <c r="AS24" s="138"/>
      <c r="AT24" s="139"/>
      <c r="AU24" s="261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3"/>
    </row>
    <row r="25" spans="1:63" ht="15.75" customHeight="1">
      <c r="A25" s="1011">
        <v>14</v>
      </c>
      <c r="B25" s="1012"/>
      <c r="C25" s="259" t="s">
        <v>535</v>
      </c>
      <c r="D25" s="137" t="s">
        <v>536</v>
      </c>
      <c r="E25" s="138"/>
      <c r="F25" s="138"/>
      <c r="G25" s="262"/>
      <c r="H25" s="262"/>
      <c r="I25" s="138"/>
      <c r="J25" s="138"/>
      <c r="K25" s="138"/>
      <c r="L25" s="139"/>
      <c r="M25" s="137" t="s">
        <v>307</v>
      </c>
      <c r="N25" s="138"/>
      <c r="O25" s="138"/>
      <c r="P25" s="138"/>
      <c r="Q25" s="138"/>
      <c r="R25" s="138"/>
      <c r="S25" s="138"/>
      <c r="T25" s="138"/>
      <c r="U25" s="138"/>
      <c r="V25" s="138"/>
      <c r="W25" s="139"/>
      <c r="X25" s="260" t="s">
        <v>388</v>
      </c>
      <c r="Y25" s="137" t="s">
        <v>537</v>
      </c>
      <c r="Z25" s="138"/>
      <c r="AA25" s="138"/>
      <c r="AB25" s="138"/>
      <c r="AC25" s="138"/>
      <c r="AD25" s="138"/>
      <c r="AE25" s="138"/>
      <c r="AF25" s="138"/>
      <c r="AG25" s="139"/>
      <c r="AH25" s="137" t="s">
        <v>551</v>
      </c>
      <c r="AI25" s="138"/>
      <c r="AJ25" s="138"/>
      <c r="AK25" s="138"/>
      <c r="AL25" s="138"/>
      <c r="AM25" s="262"/>
      <c r="AN25" s="262"/>
      <c r="AO25" s="138"/>
      <c r="AP25" s="138"/>
      <c r="AQ25" s="138"/>
      <c r="AR25" s="138"/>
      <c r="AS25" s="138"/>
      <c r="AT25" s="139"/>
      <c r="AU25" s="261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2"/>
      <c r="BK25" s="263"/>
    </row>
    <row r="26" spans="1:63" ht="15.75" customHeight="1">
      <c r="A26" s="1011">
        <v>15</v>
      </c>
      <c r="B26" s="1012"/>
      <c r="C26" s="259" t="s">
        <v>535</v>
      </c>
      <c r="D26" s="137" t="s">
        <v>536</v>
      </c>
      <c r="E26" s="138"/>
      <c r="F26" s="138"/>
      <c r="G26" s="262"/>
      <c r="H26" s="262"/>
      <c r="I26" s="138"/>
      <c r="J26" s="138"/>
      <c r="K26" s="138"/>
      <c r="L26" s="139"/>
      <c r="M26" s="137" t="s">
        <v>433</v>
      </c>
      <c r="N26" s="138"/>
      <c r="O26" s="138"/>
      <c r="P26" s="138"/>
      <c r="Q26" s="138"/>
      <c r="R26" s="138"/>
      <c r="S26" s="138"/>
      <c r="T26" s="138"/>
      <c r="U26" s="138"/>
      <c r="V26" s="138"/>
      <c r="W26" s="139"/>
      <c r="X26" s="260"/>
      <c r="Y26" s="137"/>
      <c r="Z26" s="138"/>
      <c r="AA26" s="138"/>
      <c r="AB26" s="138"/>
      <c r="AC26" s="138"/>
      <c r="AD26" s="138"/>
      <c r="AE26" s="138"/>
      <c r="AF26" s="138"/>
      <c r="AG26" s="139"/>
      <c r="AH26" s="137" t="s">
        <v>552</v>
      </c>
      <c r="AI26" s="138"/>
      <c r="AJ26" s="138"/>
      <c r="AK26" s="138"/>
      <c r="AL26" s="138"/>
      <c r="AM26" s="262"/>
      <c r="AN26" s="262"/>
      <c r="AO26" s="138"/>
      <c r="AP26" s="138"/>
      <c r="AQ26" s="138"/>
      <c r="AR26" s="138"/>
      <c r="AS26" s="138"/>
      <c r="AT26" s="139"/>
      <c r="AU26" s="261"/>
      <c r="AV26" s="262"/>
      <c r="AW26" s="262"/>
      <c r="AX26" s="262"/>
      <c r="AY26" s="262"/>
      <c r="AZ26" s="262"/>
      <c r="BA26" s="262"/>
      <c r="BB26" s="262"/>
      <c r="BC26" s="262"/>
      <c r="BD26" s="262"/>
      <c r="BE26" s="262"/>
      <c r="BF26" s="262"/>
      <c r="BG26" s="262"/>
      <c r="BH26" s="262"/>
      <c r="BI26" s="262"/>
      <c r="BJ26" s="262"/>
      <c r="BK26" s="263"/>
    </row>
    <row r="27" spans="1:63" ht="15.75" customHeight="1" thickBot="1">
      <c r="A27" s="1013"/>
      <c r="B27" s="1014"/>
      <c r="C27" s="264"/>
      <c r="D27" s="265"/>
      <c r="E27" s="266"/>
      <c r="F27" s="266"/>
      <c r="G27" s="270"/>
      <c r="H27" s="270"/>
      <c r="I27" s="266"/>
      <c r="J27" s="266"/>
      <c r="K27" s="266"/>
      <c r="L27" s="267"/>
      <c r="M27" s="265"/>
      <c r="N27" s="266"/>
      <c r="O27" s="266"/>
      <c r="P27" s="266"/>
      <c r="Q27" s="266"/>
      <c r="R27" s="266"/>
      <c r="S27" s="266"/>
      <c r="T27" s="266"/>
      <c r="U27" s="266"/>
      <c r="V27" s="266"/>
      <c r="W27" s="267"/>
      <c r="X27" s="268"/>
      <c r="Y27" s="265"/>
      <c r="Z27" s="266"/>
      <c r="AA27" s="266"/>
      <c r="AB27" s="266"/>
      <c r="AC27" s="266"/>
      <c r="AD27" s="266"/>
      <c r="AE27" s="266"/>
      <c r="AF27" s="266"/>
      <c r="AG27" s="267"/>
      <c r="AH27" s="265"/>
      <c r="AI27" s="266"/>
      <c r="AJ27" s="266"/>
      <c r="AK27" s="266"/>
      <c r="AL27" s="266"/>
      <c r="AM27" s="270"/>
      <c r="AN27" s="270"/>
      <c r="AO27" s="266"/>
      <c r="AP27" s="266"/>
      <c r="AQ27" s="266"/>
      <c r="AR27" s="266"/>
      <c r="AS27" s="266"/>
      <c r="AT27" s="267"/>
      <c r="AU27" s="269"/>
      <c r="AV27" s="270"/>
      <c r="AW27" s="270"/>
      <c r="AX27" s="270"/>
      <c r="AY27" s="270"/>
      <c r="AZ27" s="270"/>
      <c r="BA27" s="270"/>
      <c r="BB27" s="270"/>
      <c r="BC27" s="270"/>
      <c r="BD27" s="270"/>
      <c r="BE27" s="270"/>
      <c r="BF27" s="270"/>
      <c r="BG27" s="270"/>
      <c r="BH27" s="270"/>
      <c r="BI27" s="270"/>
      <c r="BJ27" s="270"/>
      <c r="BK27" s="271"/>
    </row>
  </sheetData>
  <mergeCells count="37">
    <mergeCell ref="AS2:AY3"/>
    <mergeCell ref="AZ2:BE3"/>
    <mergeCell ref="K1:T1"/>
    <mergeCell ref="U1:Y1"/>
    <mergeCell ref="Z1:AD1"/>
    <mergeCell ref="AE1:AI1"/>
    <mergeCell ref="AJ1:AR1"/>
    <mergeCell ref="K2:T2"/>
    <mergeCell ref="U2:Y2"/>
    <mergeCell ref="Z2:AD2"/>
    <mergeCell ref="AE2:AI2"/>
    <mergeCell ref="AJ2:AR2"/>
    <mergeCell ref="A18:B18"/>
    <mergeCell ref="BF2:BK3"/>
    <mergeCell ref="K3:T3"/>
    <mergeCell ref="U3:Y3"/>
    <mergeCell ref="Z3:AD3"/>
    <mergeCell ref="AE3:AR3"/>
    <mergeCell ref="A9:B9"/>
    <mergeCell ref="A1:J3"/>
    <mergeCell ref="A10:B10"/>
    <mergeCell ref="A12:B12"/>
    <mergeCell ref="A14:B14"/>
    <mergeCell ref="A16:B16"/>
    <mergeCell ref="A17:B17"/>
    <mergeCell ref="AS1:AY1"/>
    <mergeCell ref="AZ1:BE1"/>
    <mergeCell ref="BF1:BK1"/>
    <mergeCell ref="A26:B26"/>
    <mergeCell ref="A27:B27"/>
    <mergeCell ref="A19:B19"/>
    <mergeCell ref="A20:B20"/>
    <mergeCell ref="A21:B21"/>
    <mergeCell ref="A22:B22"/>
    <mergeCell ref="A23:B23"/>
    <mergeCell ref="A24:B24"/>
    <mergeCell ref="A25:B25"/>
  </mergeCells>
  <phoneticPr fontId="9"/>
  <dataValidations count="1">
    <dataValidation imeMode="off" allowBlank="1" showInputMessage="1" showErrorMessage="1" sqref="D9:L27 Y9:AG27" xr:uid="{71724C76-7039-41A3-B370-96324C9107BC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595D-64CB-47A5-82F7-2A317EA1962A}">
  <sheetPr codeName="Sheet9">
    <pageSetUpPr fitToPage="1"/>
  </sheetPr>
  <dimension ref="A1:BK26"/>
  <sheetViews>
    <sheetView showGridLines="0" showZeros="0" view="pageBreakPreview" zoomScaleNormal="100" zoomScaleSheetLayoutView="100" workbookViewId="0">
      <pane ySplit="4" topLeftCell="A5" activePane="bottomLeft" state="frozen"/>
      <selection sqref="A1:N3"/>
      <selection pane="bottomLeft" sqref="A1:J3"/>
    </sheetView>
  </sheetViews>
  <sheetFormatPr defaultColWidth="2.125" defaultRowHeight="15.75" customHeight="1"/>
  <cols>
    <col min="1" max="2" width="2.125" style="14" customWidth="1"/>
    <col min="3" max="3" width="2.375" style="15" customWidth="1"/>
    <col min="4" max="4" width="2.125" style="15" customWidth="1"/>
    <col min="5" max="5" width="3" style="15" customWidth="1"/>
    <col min="6" max="9" width="2.125" style="14" customWidth="1"/>
    <col min="10" max="10" width="2.125" style="15" customWidth="1"/>
    <col min="11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66" width="2.125" style="14" customWidth="1"/>
    <col min="67" max="16384" width="2.125" style="14"/>
  </cols>
  <sheetData>
    <row r="1" spans="1:63" s="1" customFormat="1" ht="15.75" customHeight="1">
      <c r="A1" s="963" t="str">
        <f>表紙!A54</f>
        <v>Webシステム</v>
      </c>
      <c r="B1" s="964"/>
      <c r="C1" s="964"/>
      <c r="D1" s="964"/>
      <c r="E1" s="964"/>
      <c r="F1" s="964"/>
      <c r="G1" s="964"/>
      <c r="H1" s="964"/>
      <c r="I1" s="964"/>
      <c r="J1" s="965"/>
      <c r="K1" s="988" t="s">
        <v>152</v>
      </c>
      <c r="L1" s="989"/>
      <c r="M1" s="989"/>
      <c r="N1" s="989"/>
      <c r="O1" s="989"/>
      <c r="P1" s="989"/>
      <c r="Q1" s="989"/>
      <c r="R1" s="989"/>
      <c r="S1" s="989"/>
      <c r="T1" s="990"/>
      <c r="U1" s="991" t="s">
        <v>153</v>
      </c>
      <c r="V1" s="992"/>
      <c r="W1" s="992"/>
      <c r="X1" s="992"/>
      <c r="Y1" s="993"/>
      <c r="Z1" s="994" t="str">
        <f>表紙!$AJ$63</f>
        <v>MS</v>
      </c>
      <c r="AA1" s="995"/>
      <c r="AB1" s="995"/>
      <c r="AC1" s="995"/>
      <c r="AD1" s="996"/>
      <c r="AE1" s="997" t="s">
        <v>154</v>
      </c>
      <c r="AF1" s="974"/>
      <c r="AG1" s="974"/>
      <c r="AH1" s="974"/>
      <c r="AI1" s="975"/>
      <c r="AJ1" s="998" t="str">
        <f>表紙!$AX$63</f>
        <v>Webシステム</v>
      </c>
      <c r="AK1" s="999"/>
      <c r="AL1" s="999"/>
      <c r="AM1" s="999"/>
      <c r="AN1" s="999"/>
      <c r="AO1" s="999"/>
      <c r="AP1" s="999"/>
      <c r="AQ1" s="999"/>
      <c r="AR1" s="1000"/>
      <c r="AS1" s="972" t="s">
        <v>101</v>
      </c>
      <c r="AT1" s="972"/>
      <c r="AU1" s="972"/>
      <c r="AV1" s="972"/>
      <c r="AW1" s="972"/>
      <c r="AX1" s="972"/>
      <c r="AY1" s="972"/>
      <c r="AZ1" s="973" t="s">
        <v>124</v>
      </c>
      <c r="BA1" s="974"/>
      <c r="BB1" s="974"/>
      <c r="BC1" s="974"/>
      <c r="BD1" s="974"/>
      <c r="BE1" s="975"/>
      <c r="BF1" s="973" t="s">
        <v>155</v>
      </c>
      <c r="BG1" s="974"/>
      <c r="BH1" s="974"/>
      <c r="BI1" s="974"/>
      <c r="BJ1" s="974"/>
      <c r="BK1" s="976"/>
    </row>
    <row r="2" spans="1:63" s="1" customFormat="1" ht="15.75" customHeight="1">
      <c r="A2" s="966"/>
      <c r="B2" s="967"/>
      <c r="C2" s="967"/>
      <c r="D2" s="967"/>
      <c r="E2" s="967"/>
      <c r="F2" s="967"/>
      <c r="G2" s="967"/>
      <c r="H2" s="967"/>
      <c r="I2" s="967"/>
      <c r="J2" s="968"/>
      <c r="K2" s="977" t="str">
        <f>表紙!O64</f>
        <v>アドオン設計書</v>
      </c>
      <c r="L2" s="944"/>
      <c r="M2" s="944"/>
      <c r="N2" s="944"/>
      <c r="O2" s="944"/>
      <c r="P2" s="944"/>
      <c r="Q2" s="944"/>
      <c r="R2" s="944"/>
      <c r="S2" s="944"/>
      <c r="T2" s="978"/>
      <c r="U2" s="979" t="s">
        <v>156</v>
      </c>
      <c r="V2" s="980"/>
      <c r="W2" s="980"/>
      <c r="X2" s="980"/>
      <c r="Y2" s="981"/>
      <c r="Z2" s="982" t="str">
        <f>表紙!$AJ$64</f>
        <v>MSBB</v>
      </c>
      <c r="AA2" s="983"/>
      <c r="AB2" s="983"/>
      <c r="AC2" s="983"/>
      <c r="AD2" s="984"/>
      <c r="AE2" s="985" t="s">
        <v>157</v>
      </c>
      <c r="AF2" s="986"/>
      <c r="AG2" s="986"/>
      <c r="AH2" s="986"/>
      <c r="AI2" s="987"/>
      <c r="AJ2" s="1002" t="str">
        <f>表紙!$AX$64</f>
        <v>Web販売管理</v>
      </c>
      <c r="AK2" s="1003"/>
      <c r="AL2" s="1003"/>
      <c r="AM2" s="1003"/>
      <c r="AN2" s="1003"/>
      <c r="AO2" s="1003"/>
      <c r="AP2" s="1003"/>
      <c r="AQ2" s="1003"/>
      <c r="AR2" s="1004"/>
      <c r="AS2" s="1005" t="str">
        <f>表紙!$BL$64</f>
        <v>M7-US-1140</v>
      </c>
      <c r="AT2" s="1006"/>
      <c r="AU2" s="1006"/>
      <c r="AV2" s="1006"/>
      <c r="AW2" s="1006"/>
      <c r="AX2" s="1006"/>
      <c r="AY2" s="1006"/>
      <c r="AZ2" s="1008" t="str">
        <f>表紙!$BU$64</f>
        <v>7.0.2</v>
      </c>
      <c r="BA2" s="944"/>
      <c r="BB2" s="944"/>
      <c r="BC2" s="944"/>
      <c r="BD2" s="944"/>
      <c r="BE2" s="978"/>
      <c r="BF2" s="943">
        <f>表紙!$CB$64</f>
        <v>1</v>
      </c>
      <c r="BG2" s="944"/>
      <c r="BH2" s="944"/>
      <c r="BI2" s="944"/>
      <c r="BJ2" s="944"/>
      <c r="BK2" s="945"/>
    </row>
    <row r="3" spans="1:63" s="1" customFormat="1" ht="15.75" customHeight="1" thickBot="1">
      <c r="A3" s="969"/>
      <c r="B3" s="970"/>
      <c r="C3" s="970"/>
      <c r="D3" s="970"/>
      <c r="E3" s="970"/>
      <c r="F3" s="970"/>
      <c r="G3" s="970"/>
      <c r="H3" s="970"/>
      <c r="I3" s="970"/>
      <c r="J3" s="971"/>
      <c r="K3" s="949" t="str">
        <f ca="1">RIGHT(CELL("filename",$A$1),LEN(CELL("filename",$A$1))-FIND("]",CELL("filename",$A$1)))</f>
        <v>ファイル入出力仕様</v>
      </c>
      <c r="L3" s="950"/>
      <c r="M3" s="950"/>
      <c r="N3" s="950"/>
      <c r="O3" s="950"/>
      <c r="P3" s="950"/>
      <c r="Q3" s="950"/>
      <c r="R3" s="950"/>
      <c r="S3" s="950"/>
      <c r="T3" s="951"/>
      <c r="U3" s="952" t="s">
        <v>158</v>
      </c>
      <c r="V3" s="953"/>
      <c r="W3" s="953"/>
      <c r="X3" s="953"/>
      <c r="Y3" s="954"/>
      <c r="Z3" s="955" t="str">
        <f>表紙!$AJ$65</f>
        <v>MSBBPA100</v>
      </c>
      <c r="AA3" s="956"/>
      <c r="AB3" s="956"/>
      <c r="AC3" s="956"/>
      <c r="AD3" s="956"/>
      <c r="AE3" s="957" t="str">
        <f>表紙!$AQ$65</f>
        <v>WebFSC製品化チェックシート出力</v>
      </c>
      <c r="AF3" s="958"/>
      <c r="AG3" s="958"/>
      <c r="AH3" s="958"/>
      <c r="AI3" s="958"/>
      <c r="AJ3" s="958"/>
      <c r="AK3" s="958"/>
      <c r="AL3" s="958"/>
      <c r="AM3" s="958"/>
      <c r="AN3" s="958"/>
      <c r="AO3" s="958"/>
      <c r="AP3" s="958"/>
      <c r="AQ3" s="958"/>
      <c r="AR3" s="959"/>
      <c r="AS3" s="1007"/>
      <c r="AT3" s="1007"/>
      <c r="AU3" s="1007"/>
      <c r="AV3" s="1007"/>
      <c r="AW3" s="1007"/>
      <c r="AX3" s="1007"/>
      <c r="AY3" s="1007"/>
      <c r="AZ3" s="946"/>
      <c r="BA3" s="947"/>
      <c r="BB3" s="947"/>
      <c r="BC3" s="947"/>
      <c r="BD3" s="947"/>
      <c r="BE3" s="1009"/>
      <c r="BF3" s="946"/>
      <c r="BG3" s="947"/>
      <c r="BH3" s="947"/>
      <c r="BI3" s="947"/>
      <c r="BJ3" s="947"/>
      <c r="BK3" s="948"/>
    </row>
    <row r="4" spans="1:63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63" ht="15.75" customHeight="1">
      <c r="A5" s="201" t="s">
        <v>450</v>
      </c>
      <c r="B5" s="202"/>
      <c r="C5" s="202"/>
      <c r="D5" s="202"/>
      <c r="E5" s="203"/>
      <c r="F5" s="204"/>
      <c r="G5" s="205">
        <v>1</v>
      </c>
      <c r="H5" s="206"/>
      <c r="I5" s="207"/>
      <c r="J5" s="207"/>
      <c r="K5" s="207"/>
      <c r="L5" s="207"/>
      <c r="M5" s="207"/>
      <c r="N5" s="207"/>
      <c r="O5" s="207"/>
      <c r="P5" s="207"/>
      <c r="Q5" s="207"/>
      <c r="R5" s="208"/>
      <c r="S5" s="209" t="s">
        <v>553</v>
      </c>
      <c r="T5" s="210"/>
      <c r="U5" s="210"/>
      <c r="V5" s="210"/>
      <c r="W5" s="210"/>
      <c r="X5" s="210"/>
      <c r="Y5" s="211"/>
      <c r="Z5" s="212" t="s">
        <v>554</v>
      </c>
      <c r="AA5" s="212"/>
      <c r="AB5" s="212"/>
      <c r="AC5" s="212"/>
      <c r="AD5" s="207"/>
      <c r="AE5" s="212"/>
      <c r="AF5" s="212"/>
      <c r="AG5" s="212"/>
      <c r="AH5" s="213" t="s">
        <v>520</v>
      </c>
      <c r="AI5" s="210"/>
      <c r="AJ5" s="211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4"/>
    </row>
    <row r="6" spans="1:63" ht="15.75" customHeight="1">
      <c r="A6" s="272" t="s">
        <v>522</v>
      </c>
      <c r="B6" s="273"/>
      <c r="C6" s="273"/>
      <c r="D6" s="274"/>
      <c r="E6" s="275" t="s">
        <v>555</v>
      </c>
      <c r="F6" s="276"/>
      <c r="G6" s="276"/>
      <c r="H6" s="220"/>
      <c r="I6" s="220"/>
      <c r="J6" s="220"/>
      <c r="K6" s="220"/>
      <c r="L6" s="221"/>
      <c r="M6" s="221"/>
      <c r="N6" s="221"/>
      <c r="O6" s="221"/>
      <c r="P6" s="221"/>
      <c r="Q6" s="221"/>
      <c r="R6" s="221"/>
      <c r="S6" s="222" t="s">
        <v>524</v>
      </c>
      <c r="T6" s="216"/>
      <c r="U6" s="216"/>
      <c r="V6" s="216"/>
      <c r="W6" s="216"/>
      <c r="X6" s="216"/>
      <c r="Y6" s="223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24"/>
    </row>
    <row r="7" spans="1:63" ht="15.75" customHeight="1">
      <c r="A7" s="225" t="s">
        <v>450</v>
      </c>
      <c r="B7" s="226"/>
      <c r="C7" s="227" t="s">
        <v>526</v>
      </c>
      <c r="D7" s="228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7" t="s">
        <v>527</v>
      </c>
      <c r="Y7" s="228"/>
      <c r="Z7" s="229"/>
      <c r="AA7" s="229"/>
      <c r="AB7" s="229"/>
      <c r="AC7" s="229"/>
      <c r="AD7" s="229"/>
      <c r="AE7" s="226"/>
      <c r="AF7" s="229"/>
      <c r="AG7" s="229"/>
      <c r="AH7" s="229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30" t="s">
        <v>528</v>
      </c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31"/>
    </row>
    <row r="8" spans="1:63" ht="15.75" customHeight="1" thickBot="1">
      <c r="A8" s="232"/>
      <c r="B8" s="233"/>
      <c r="C8" s="234" t="s">
        <v>529</v>
      </c>
      <c r="D8" s="235" t="s">
        <v>530</v>
      </c>
      <c r="E8" s="236"/>
      <c r="F8" s="236"/>
      <c r="G8" s="236"/>
      <c r="H8" s="236"/>
      <c r="I8" s="236"/>
      <c r="J8" s="236"/>
      <c r="K8" s="236"/>
      <c r="L8" s="237"/>
      <c r="M8" s="235" t="s">
        <v>531</v>
      </c>
      <c r="N8" s="236"/>
      <c r="O8" s="236"/>
      <c r="P8" s="236"/>
      <c r="Q8" s="236"/>
      <c r="R8" s="236"/>
      <c r="S8" s="236"/>
      <c r="T8" s="236"/>
      <c r="U8" s="236"/>
      <c r="V8" s="236"/>
      <c r="W8" s="237"/>
      <c r="X8" s="234" t="s">
        <v>529</v>
      </c>
      <c r="Y8" s="235" t="s">
        <v>530</v>
      </c>
      <c r="Z8" s="236"/>
      <c r="AA8" s="236"/>
      <c r="AB8" s="236"/>
      <c r="AC8" s="236"/>
      <c r="AD8" s="236"/>
      <c r="AE8" s="236"/>
      <c r="AF8" s="236"/>
      <c r="AG8" s="236"/>
      <c r="AH8" s="237"/>
      <c r="AI8" s="235" t="s">
        <v>531</v>
      </c>
      <c r="AJ8" s="236"/>
      <c r="AK8" s="236"/>
      <c r="AL8" s="236"/>
      <c r="AM8" s="236"/>
      <c r="AN8" s="236"/>
      <c r="AO8" s="236"/>
      <c r="AP8" s="236"/>
      <c r="AQ8" s="236"/>
      <c r="AR8" s="237"/>
      <c r="AS8" s="238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9"/>
    </row>
    <row r="9" spans="1:63" ht="15.75" customHeight="1" thickTop="1">
      <c r="A9" s="1015">
        <v>1</v>
      </c>
      <c r="B9" s="1016"/>
      <c r="C9" s="240" t="s">
        <v>556</v>
      </c>
      <c r="D9" s="241" t="s">
        <v>536</v>
      </c>
      <c r="E9" s="242"/>
      <c r="F9" s="242"/>
      <c r="G9" s="242"/>
      <c r="H9" s="242"/>
      <c r="I9" s="242"/>
      <c r="J9" s="242"/>
      <c r="K9" s="242"/>
      <c r="L9" s="243"/>
      <c r="M9" s="241" t="s">
        <v>534</v>
      </c>
      <c r="N9" s="242"/>
      <c r="O9" s="242"/>
      <c r="P9" s="242"/>
      <c r="Q9" s="242"/>
      <c r="R9" s="242"/>
      <c r="S9" s="242"/>
      <c r="T9" s="242"/>
      <c r="U9" s="242"/>
      <c r="V9" s="242"/>
      <c r="W9" s="243"/>
      <c r="X9" s="244" t="s">
        <v>532</v>
      </c>
      <c r="Y9" s="241" t="s">
        <v>536</v>
      </c>
      <c r="Z9" s="242"/>
      <c r="AA9" s="242"/>
      <c r="AB9" s="242"/>
      <c r="AC9" s="242"/>
      <c r="AD9" s="242"/>
      <c r="AE9" s="242"/>
      <c r="AF9" s="242"/>
      <c r="AG9" s="242"/>
      <c r="AH9" s="243"/>
      <c r="AI9" s="241" t="s">
        <v>534</v>
      </c>
      <c r="AJ9" s="242"/>
      <c r="AK9" s="242"/>
      <c r="AL9" s="242"/>
      <c r="AM9" s="242"/>
      <c r="AN9" s="242"/>
      <c r="AO9" s="242"/>
      <c r="AP9" s="242"/>
      <c r="AQ9" s="242"/>
      <c r="AR9" s="243"/>
      <c r="AS9" s="241"/>
      <c r="AT9" s="242"/>
      <c r="AU9" s="242"/>
      <c r="AV9" s="242"/>
      <c r="AW9" s="242"/>
      <c r="AX9" s="242"/>
      <c r="AY9" s="242"/>
      <c r="AZ9" s="242"/>
      <c r="BA9" s="242"/>
      <c r="BB9" s="242"/>
      <c r="BC9" s="242"/>
      <c r="BD9" s="242"/>
      <c r="BE9" s="242"/>
      <c r="BF9" s="242"/>
      <c r="BG9" s="242"/>
      <c r="BH9" s="242"/>
      <c r="BI9" s="242"/>
      <c r="BJ9" s="242"/>
      <c r="BK9" s="245"/>
    </row>
    <row r="10" spans="1:63" ht="15.75" customHeight="1">
      <c r="A10" s="1017">
        <v>2</v>
      </c>
      <c r="B10" s="1018"/>
      <c r="C10" s="246" t="s">
        <v>556</v>
      </c>
      <c r="D10" s="247" t="s">
        <v>536</v>
      </c>
      <c r="E10" s="134"/>
      <c r="F10" s="134"/>
      <c r="G10" s="134"/>
      <c r="H10" s="250"/>
      <c r="I10" s="250"/>
      <c r="J10" s="134"/>
      <c r="K10" s="134"/>
      <c r="L10" s="141"/>
      <c r="M10" s="247" t="s">
        <v>379</v>
      </c>
      <c r="N10" s="134"/>
      <c r="O10" s="134"/>
      <c r="P10" s="134"/>
      <c r="Q10" s="134"/>
      <c r="R10" s="134"/>
      <c r="S10" s="134"/>
      <c r="T10" s="134"/>
      <c r="U10" s="134"/>
      <c r="V10" s="134"/>
      <c r="W10" s="141"/>
      <c r="X10" s="248" t="s">
        <v>557</v>
      </c>
      <c r="Y10" s="247" t="s">
        <v>536</v>
      </c>
      <c r="Z10" s="134"/>
      <c r="AA10" s="134"/>
      <c r="AB10" s="134"/>
      <c r="AC10" s="134"/>
      <c r="AD10" s="134"/>
      <c r="AE10" s="134"/>
      <c r="AF10" s="134"/>
      <c r="AG10" s="134"/>
      <c r="AH10" s="141"/>
      <c r="AI10" s="247" t="s">
        <v>379</v>
      </c>
      <c r="AJ10" s="134"/>
      <c r="AK10" s="134"/>
      <c r="AL10" s="134"/>
      <c r="AM10" s="134"/>
      <c r="AN10" s="134"/>
      <c r="AO10" s="134"/>
      <c r="AP10" s="134"/>
      <c r="AQ10" s="134"/>
      <c r="AR10" s="141"/>
      <c r="AS10" s="249"/>
      <c r="AT10" s="250"/>
      <c r="AU10" s="250"/>
      <c r="AV10" s="250"/>
      <c r="AW10" s="250"/>
      <c r="AX10" s="250"/>
      <c r="AY10" s="250"/>
      <c r="AZ10" s="250"/>
      <c r="BA10" s="250"/>
      <c r="BB10" s="250"/>
      <c r="BC10" s="250"/>
      <c r="BD10" s="250"/>
      <c r="BE10" s="250"/>
      <c r="BF10" s="250"/>
      <c r="BG10" s="250"/>
      <c r="BH10" s="250"/>
      <c r="BI10" s="250"/>
      <c r="BJ10" s="250"/>
      <c r="BK10" s="251"/>
    </row>
    <row r="11" spans="1:63" ht="15.75" customHeight="1">
      <c r="A11" s="252"/>
      <c r="B11" s="253"/>
      <c r="C11" s="254" t="s">
        <v>556</v>
      </c>
      <c r="D11" s="83" t="s">
        <v>536</v>
      </c>
      <c r="E11" s="84"/>
      <c r="F11" s="84"/>
      <c r="G11" s="84"/>
      <c r="H11" s="257"/>
      <c r="I11" s="257"/>
      <c r="J11" s="84"/>
      <c r="K11" s="84"/>
      <c r="L11" s="85"/>
      <c r="M11" s="83" t="s">
        <v>539</v>
      </c>
      <c r="N11" s="84"/>
      <c r="O11" s="84"/>
      <c r="P11" s="84"/>
      <c r="Q11" s="84"/>
      <c r="R11" s="84"/>
      <c r="S11" s="84"/>
      <c r="T11" s="84"/>
      <c r="U11" s="84"/>
      <c r="V11" s="84"/>
      <c r="W11" s="85"/>
      <c r="X11" s="255"/>
      <c r="Y11" s="83"/>
      <c r="Z11" s="84"/>
      <c r="AA11" s="84"/>
      <c r="AB11" s="84"/>
      <c r="AC11" s="84"/>
      <c r="AD11" s="84"/>
      <c r="AE11" s="84"/>
      <c r="AF11" s="84"/>
      <c r="AG11" s="84"/>
      <c r="AH11" s="85"/>
      <c r="AI11" s="83" t="s">
        <v>539</v>
      </c>
      <c r="AJ11" s="84"/>
      <c r="AK11" s="84"/>
      <c r="AL11" s="84"/>
      <c r="AM11" s="84"/>
      <c r="AN11" s="84"/>
      <c r="AO11" s="84"/>
      <c r="AP11" s="84"/>
      <c r="AQ11" s="84"/>
      <c r="AR11" s="85"/>
      <c r="AS11" s="256"/>
      <c r="AT11" s="257"/>
      <c r="AU11" s="257"/>
      <c r="AV11" s="257"/>
      <c r="AW11" s="257"/>
      <c r="AX11" s="257"/>
      <c r="AY11" s="257"/>
      <c r="AZ11" s="257"/>
      <c r="BA11" s="257"/>
      <c r="BB11" s="257"/>
      <c r="BC11" s="257"/>
      <c r="BD11" s="257"/>
      <c r="BE11" s="257"/>
      <c r="BF11" s="257"/>
      <c r="BG11" s="257"/>
      <c r="BH11" s="257"/>
      <c r="BI11" s="257"/>
      <c r="BJ11" s="257"/>
      <c r="BK11" s="258"/>
    </row>
    <row r="12" spans="1:63" ht="15.75" customHeight="1">
      <c r="A12" s="1017">
        <v>3</v>
      </c>
      <c r="B12" s="1018"/>
      <c r="C12" s="246" t="s">
        <v>556</v>
      </c>
      <c r="D12" s="247" t="s">
        <v>536</v>
      </c>
      <c r="E12" s="134"/>
      <c r="F12" s="134"/>
      <c r="G12" s="134"/>
      <c r="H12" s="250"/>
      <c r="I12" s="250"/>
      <c r="J12" s="134"/>
      <c r="K12" s="134"/>
      <c r="L12" s="141"/>
      <c r="M12" s="247" t="s">
        <v>391</v>
      </c>
      <c r="N12" s="134"/>
      <c r="O12" s="134"/>
      <c r="P12" s="134"/>
      <c r="Q12" s="134"/>
      <c r="R12" s="134"/>
      <c r="S12" s="134"/>
      <c r="T12" s="134"/>
      <c r="U12" s="134"/>
      <c r="V12" s="134"/>
      <c r="W12" s="141"/>
      <c r="X12" s="248" t="s">
        <v>557</v>
      </c>
      <c r="Y12" s="247" t="s">
        <v>536</v>
      </c>
      <c r="Z12" s="134"/>
      <c r="AA12" s="134"/>
      <c r="AB12" s="134"/>
      <c r="AC12" s="134"/>
      <c r="AD12" s="134"/>
      <c r="AE12" s="134"/>
      <c r="AF12" s="134"/>
      <c r="AG12" s="134"/>
      <c r="AH12" s="141"/>
      <c r="AI12" s="247" t="s">
        <v>391</v>
      </c>
      <c r="AJ12" s="134"/>
      <c r="AK12" s="134"/>
      <c r="AL12" s="134"/>
      <c r="AM12" s="134"/>
      <c r="AN12" s="134"/>
      <c r="AO12" s="134"/>
      <c r="AP12" s="134"/>
      <c r="AQ12" s="134"/>
      <c r="AR12" s="141"/>
      <c r="AS12" s="249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1"/>
    </row>
    <row r="13" spans="1:63" ht="15.75" customHeight="1">
      <c r="A13" s="252"/>
      <c r="B13" s="253"/>
      <c r="C13" s="254" t="s">
        <v>556</v>
      </c>
      <c r="D13" s="83" t="s">
        <v>536</v>
      </c>
      <c r="E13" s="84"/>
      <c r="F13" s="84"/>
      <c r="G13" s="84"/>
      <c r="H13" s="257"/>
      <c r="I13" s="257"/>
      <c r="J13" s="84"/>
      <c r="K13" s="84"/>
      <c r="L13" s="85"/>
      <c r="M13" s="83" t="s">
        <v>299</v>
      </c>
      <c r="N13" s="84"/>
      <c r="O13" s="84"/>
      <c r="P13" s="84"/>
      <c r="Q13" s="84"/>
      <c r="R13" s="84"/>
      <c r="S13" s="84"/>
      <c r="T13" s="84"/>
      <c r="U13" s="84"/>
      <c r="V13" s="84"/>
      <c r="W13" s="85"/>
      <c r="X13" s="255"/>
      <c r="Y13" s="83"/>
      <c r="Z13" s="84"/>
      <c r="AA13" s="84"/>
      <c r="AB13" s="84"/>
      <c r="AC13" s="84"/>
      <c r="AD13" s="84"/>
      <c r="AE13" s="84"/>
      <c r="AF13" s="84"/>
      <c r="AG13" s="84"/>
      <c r="AH13" s="85"/>
      <c r="AI13" s="83" t="s">
        <v>299</v>
      </c>
      <c r="AJ13" s="84"/>
      <c r="AK13" s="84"/>
      <c r="AL13" s="84"/>
      <c r="AM13" s="84"/>
      <c r="AN13" s="84"/>
      <c r="AO13" s="84"/>
      <c r="AP13" s="84"/>
      <c r="AQ13" s="84"/>
      <c r="AR13" s="85"/>
      <c r="AS13" s="256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8"/>
    </row>
    <row r="14" spans="1:63" ht="15.75" customHeight="1">
      <c r="A14" s="1017">
        <v>4</v>
      </c>
      <c r="B14" s="1018"/>
      <c r="C14" s="246" t="s">
        <v>556</v>
      </c>
      <c r="D14" s="247" t="s">
        <v>536</v>
      </c>
      <c r="E14" s="134"/>
      <c r="F14" s="134"/>
      <c r="G14" s="134"/>
      <c r="H14" s="250"/>
      <c r="I14" s="250"/>
      <c r="J14" s="134"/>
      <c r="K14" s="134"/>
      <c r="L14" s="141"/>
      <c r="M14" s="247" t="s">
        <v>408</v>
      </c>
      <c r="N14" s="134"/>
      <c r="O14" s="134"/>
      <c r="P14" s="134"/>
      <c r="Q14" s="134"/>
      <c r="R14" s="134"/>
      <c r="S14" s="134"/>
      <c r="T14" s="134"/>
      <c r="U14" s="134"/>
      <c r="V14" s="134"/>
      <c r="W14" s="141"/>
      <c r="X14" s="248" t="s">
        <v>557</v>
      </c>
      <c r="Y14" s="247" t="s">
        <v>536</v>
      </c>
      <c r="Z14" s="134"/>
      <c r="AA14" s="134"/>
      <c r="AB14" s="134"/>
      <c r="AC14" s="134"/>
      <c r="AD14" s="134"/>
      <c r="AE14" s="134"/>
      <c r="AF14" s="134"/>
      <c r="AG14" s="134"/>
      <c r="AH14" s="141"/>
      <c r="AI14" s="247" t="s">
        <v>408</v>
      </c>
      <c r="AJ14" s="134"/>
      <c r="AK14" s="134"/>
      <c r="AL14" s="134"/>
      <c r="AM14" s="134"/>
      <c r="AN14" s="134"/>
      <c r="AO14" s="134"/>
      <c r="AP14" s="134"/>
      <c r="AQ14" s="134"/>
      <c r="AR14" s="141"/>
      <c r="AS14" s="249"/>
      <c r="AT14" s="250"/>
      <c r="AU14" s="250"/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  <c r="BF14" s="250"/>
      <c r="BG14" s="250"/>
      <c r="BH14" s="250"/>
      <c r="BI14" s="250"/>
      <c r="BJ14" s="250"/>
      <c r="BK14" s="251"/>
    </row>
    <row r="15" spans="1:63" ht="15.75" customHeight="1">
      <c r="A15" s="252"/>
      <c r="B15" s="253"/>
      <c r="C15" s="254" t="s">
        <v>556</v>
      </c>
      <c r="D15" s="83" t="s">
        <v>536</v>
      </c>
      <c r="E15" s="84"/>
      <c r="F15" s="84"/>
      <c r="G15" s="84"/>
      <c r="H15" s="257"/>
      <c r="I15" s="257"/>
      <c r="J15" s="84"/>
      <c r="K15" s="84"/>
      <c r="L15" s="85"/>
      <c r="M15" s="83" t="s">
        <v>301</v>
      </c>
      <c r="N15" s="84"/>
      <c r="O15" s="84"/>
      <c r="P15" s="84"/>
      <c r="Q15" s="84"/>
      <c r="R15" s="84"/>
      <c r="S15" s="84"/>
      <c r="T15" s="84"/>
      <c r="U15" s="84"/>
      <c r="V15" s="84"/>
      <c r="W15" s="85"/>
      <c r="X15" s="255"/>
      <c r="Y15" s="83"/>
      <c r="Z15" s="84"/>
      <c r="AA15" s="84"/>
      <c r="AB15" s="84"/>
      <c r="AC15" s="84"/>
      <c r="AD15" s="84"/>
      <c r="AE15" s="84"/>
      <c r="AF15" s="84"/>
      <c r="AG15" s="84"/>
      <c r="AH15" s="85"/>
      <c r="AI15" s="83" t="s">
        <v>301</v>
      </c>
      <c r="AJ15" s="84"/>
      <c r="AK15" s="84"/>
      <c r="AL15" s="84"/>
      <c r="AM15" s="84"/>
      <c r="AN15" s="84"/>
      <c r="AO15" s="84"/>
      <c r="AP15" s="84"/>
      <c r="AQ15" s="84"/>
      <c r="AR15" s="85"/>
      <c r="AS15" s="256"/>
      <c r="AT15" s="257"/>
      <c r="AU15" s="257"/>
      <c r="AV15" s="257"/>
      <c r="AW15" s="257"/>
      <c r="AX15" s="257"/>
      <c r="AY15" s="257"/>
      <c r="AZ15" s="257"/>
      <c r="BA15" s="257"/>
      <c r="BB15" s="257"/>
      <c r="BC15" s="257"/>
      <c r="BD15" s="257"/>
      <c r="BE15" s="257"/>
      <c r="BF15" s="257"/>
      <c r="BG15" s="257"/>
      <c r="BH15" s="257"/>
      <c r="BI15" s="257"/>
      <c r="BJ15" s="257"/>
      <c r="BK15" s="258"/>
    </row>
    <row r="16" spans="1:63" ht="15.75" customHeight="1">
      <c r="A16" s="1011">
        <v>5</v>
      </c>
      <c r="B16" s="1012"/>
      <c r="C16" s="259" t="s">
        <v>556</v>
      </c>
      <c r="D16" s="137" t="s">
        <v>536</v>
      </c>
      <c r="E16" s="138"/>
      <c r="F16" s="138"/>
      <c r="G16" s="138"/>
      <c r="H16" s="262"/>
      <c r="I16" s="262"/>
      <c r="J16" s="138"/>
      <c r="K16" s="138"/>
      <c r="L16" s="139"/>
      <c r="M16" s="137" t="s">
        <v>288</v>
      </c>
      <c r="N16" s="138"/>
      <c r="O16" s="138"/>
      <c r="P16" s="138"/>
      <c r="Q16" s="138"/>
      <c r="R16" s="138"/>
      <c r="S16" s="138"/>
      <c r="T16" s="138"/>
      <c r="U16" s="138"/>
      <c r="V16" s="138"/>
      <c r="W16" s="139"/>
      <c r="X16" s="260" t="s">
        <v>557</v>
      </c>
      <c r="Y16" s="137" t="s">
        <v>536</v>
      </c>
      <c r="Z16" s="138"/>
      <c r="AA16" s="138"/>
      <c r="AB16" s="138"/>
      <c r="AC16" s="138"/>
      <c r="AD16" s="138"/>
      <c r="AE16" s="138"/>
      <c r="AF16" s="138"/>
      <c r="AG16" s="138"/>
      <c r="AH16" s="139"/>
      <c r="AI16" s="137" t="s">
        <v>288</v>
      </c>
      <c r="AJ16" s="138"/>
      <c r="AK16" s="138"/>
      <c r="AL16" s="138"/>
      <c r="AM16" s="138"/>
      <c r="AN16" s="138"/>
      <c r="AO16" s="138"/>
      <c r="AP16" s="138"/>
      <c r="AQ16" s="138"/>
      <c r="AR16" s="139"/>
      <c r="AS16" s="261"/>
      <c r="AT16" s="262"/>
      <c r="AU16" s="262"/>
      <c r="AV16" s="262"/>
      <c r="AW16" s="262"/>
      <c r="AX16" s="262"/>
      <c r="AY16" s="262"/>
      <c r="AZ16" s="262"/>
      <c r="BA16" s="262"/>
      <c r="BB16" s="262"/>
      <c r="BC16" s="262"/>
      <c r="BD16" s="262"/>
      <c r="BE16" s="262"/>
      <c r="BF16" s="262"/>
      <c r="BG16" s="262"/>
      <c r="BH16" s="262"/>
      <c r="BI16" s="262"/>
      <c r="BJ16" s="262"/>
      <c r="BK16" s="263"/>
    </row>
    <row r="17" spans="1:63" ht="15.75" customHeight="1">
      <c r="A17" s="1011">
        <v>6</v>
      </c>
      <c r="B17" s="1012"/>
      <c r="C17" s="259" t="s">
        <v>556</v>
      </c>
      <c r="D17" s="137" t="s">
        <v>536</v>
      </c>
      <c r="E17" s="138"/>
      <c r="F17" s="138"/>
      <c r="G17" s="138"/>
      <c r="H17" s="262"/>
      <c r="I17" s="262"/>
      <c r="J17" s="138"/>
      <c r="K17" s="138"/>
      <c r="L17" s="139"/>
      <c r="M17" s="137" t="s">
        <v>413</v>
      </c>
      <c r="N17" s="138"/>
      <c r="O17" s="138"/>
      <c r="P17" s="138"/>
      <c r="Q17" s="138"/>
      <c r="R17" s="138"/>
      <c r="S17" s="138"/>
      <c r="T17" s="138"/>
      <c r="U17" s="138"/>
      <c r="V17" s="138"/>
      <c r="W17" s="139"/>
      <c r="X17" s="260" t="s">
        <v>557</v>
      </c>
      <c r="Y17" s="137" t="s">
        <v>536</v>
      </c>
      <c r="Z17" s="138"/>
      <c r="AA17" s="138"/>
      <c r="AB17" s="138"/>
      <c r="AC17" s="138"/>
      <c r="AD17" s="138"/>
      <c r="AE17" s="138"/>
      <c r="AF17" s="138"/>
      <c r="AG17" s="138"/>
      <c r="AH17" s="139"/>
      <c r="AI17" s="137" t="s">
        <v>413</v>
      </c>
      <c r="AJ17" s="138"/>
      <c r="AK17" s="138"/>
      <c r="AL17" s="138"/>
      <c r="AM17" s="138"/>
      <c r="AN17" s="138"/>
      <c r="AO17" s="138"/>
      <c r="AP17" s="138"/>
      <c r="AQ17" s="138"/>
      <c r="AR17" s="139"/>
      <c r="AS17" s="261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3"/>
    </row>
    <row r="18" spans="1:63" ht="15.75" customHeight="1">
      <c r="A18" s="1011">
        <v>7</v>
      </c>
      <c r="B18" s="1012"/>
      <c r="C18" s="259" t="s">
        <v>556</v>
      </c>
      <c r="D18" s="137" t="s">
        <v>536</v>
      </c>
      <c r="E18" s="138"/>
      <c r="F18" s="138"/>
      <c r="G18" s="138"/>
      <c r="H18" s="262"/>
      <c r="I18" s="262"/>
      <c r="J18" s="138"/>
      <c r="K18" s="138"/>
      <c r="L18" s="139"/>
      <c r="M18" s="137" t="s">
        <v>543</v>
      </c>
      <c r="N18" s="138"/>
      <c r="O18" s="138"/>
      <c r="P18" s="138"/>
      <c r="Q18" s="138"/>
      <c r="R18" s="138"/>
      <c r="S18" s="138"/>
      <c r="T18" s="138"/>
      <c r="U18" s="138"/>
      <c r="V18" s="138"/>
      <c r="W18" s="139"/>
      <c r="X18" s="260" t="s">
        <v>557</v>
      </c>
      <c r="Y18" s="137" t="s">
        <v>536</v>
      </c>
      <c r="Z18" s="138"/>
      <c r="AA18" s="138"/>
      <c r="AB18" s="138"/>
      <c r="AC18" s="138"/>
      <c r="AD18" s="138"/>
      <c r="AE18" s="138"/>
      <c r="AF18" s="138"/>
      <c r="AG18" s="138"/>
      <c r="AH18" s="139"/>
      <c r="AI18" s="137" t="s">
        <v>543</v>
      </c>
      <c r="AJ18" s="138"/>
      <c r="AK18" s="138"/>
      <c r="AL18" s="138"/>
      <c r="AM18" s="138"/>
      <c r="AN18" s="138"/>
      <c r="AO18" s="138"/>
      <c r="AP18" s="138"/>
      <c r="AQ18" s="138"/>
      <c r="AR18" s="139"/>
      <c r="AS18" s="261"/>
      <c r="AT18" s="262"/>
      <c r="AU18" s="262"/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3"/>
    </row>
    <row r="19" spans="1:63" ht="15.75" customHeight="1">
      <c r="A19" s="1011">
        <v>8</v>
      </c>
      <c r="B19" s="1012"/>
      <c r="C19" s="259" t="s">
        <v>556</v>
      </c>
      <c r="D19" s="137" t="s">
        <v>536</v>
      </c>
      <c r="E19" s="138"/>
      <c r="F19" s="138"/>
      <c r="G19" s="138"/>
      <c r="H19" s="262"/>
      <c r="I19" s="262"/>
      <c r="J19" s="138"/>
      <c r="K19" s="138"/>
      <c r="L19" s="139"/>
      <c r="M19" s="137" t="s">
        <v>420</v>
      </c>
      <c r="N19" s="138"/>
      <c r="O19" s="138"/>
      <c r="P19" s="138"/>
      <c r="Q19" s="138"/>
      <c r="R19" s="138"/>
      <c r="S19" s="138"/>
      <c r="T19" s="138"/>
      <c r="U19" s="138"/>
      <c r="V19" s="138"/>
      <c r="W19" s="139"/>
      <c r="X19" s="260" t="s">
        <v>557</v>
      </c>
      <c r="Y19" s="137" t="s">
        <v>536</v>
      </c>
      <c r="Z19" s="138"/>
      <c r="AA19" s="138"/>
      <c r="AB19" s="138"/>
      <c r="AC19" s="138"/>
      <c r="AD19" s="138"/>
      <c r="AE19" s="138"/>
      <c r="AF19" s="138"/>
      <c r="AG19" s="138"/>
      <c r="AH19" s="139"/>
      <c r="AI19" s="137" t="s">
        <v>420</v>
      </c>
      <c r="AJ19" s="138"/>
      <c r="AK19" s="138"/>
      <c r="AL19" s="138"/>
      <c r="AM19" s="138"/>
      <c r="AN19" s="138"/>
      <c r="AO19" s="138"/>
      <c r="AP19" s="138"/>
      <c r="AQ19" s="138"/>
      <c r="AR19" s="139"/>
      <c r="AS19" s="261"/>
      <c r="AT19" s="262"/>
      <c r="AU19" s="262"/>
      <c r="AV19" s="262"/>
      <c r="AW19" s="262"/>
      <c r="AX19" s="262"/>
      <c r="AY19" s="262"/>
      <c r="AZ19" s="262"/>
      <c r="BA19" s="262"/>
      <c r="BB19" s="262"/>
      <c r="BC19" s="262"/>
      <c r="BD19" s="262"/>
      <c r="BE19" s="262"/>
      <c r="BF19" s="262"/>
      <c r="BG19" s="262"/>
      <c r="BH19" s="262"/>
      <c r="BI19" s="262"/>
      <c r="BJ19" s="262"/>
      <c r="BK19" s="263"/>
    </row>
    <row r="20" spans="1:63" ht="15.75" customHeight="1">
      <c r="A20" s="1011">
        <v>9</v>
      </c>
      <c r="B20" s="1012"/>
      <c r="C20" s="259" t="s">
        <v>556</v>
      </c>
      <c r="D20" s="137" t="s">
        <v>536</v>
      </c>
      <c r="E20" s="138"/>
      <c r="F20" s="138"/>
      <c r="G20" s="138"/>
      <c r="H20" s="262"/>
      <c r="I20" s="262"/>
      <c r="J20" s="138"/>
      <c r="K20" s="138"/>
      <c r="L20" s="139"/>
      <c r="M20" s="137" t="s">
        <v>422</v>
      </c>
      <c r="N20" s="138"/>
      <c r="O20" s="138"/>
      <c r="P20" s="138"/>
      <c r="Q20" s="138"/>
      <c r="R20" s="138"/>
      <c r="S20" s="138"/>
      <c r="T20" s="138"/>
      <c r="U20" s="138"/>
      <c r="V20" s="138"/>
      <c r="W20" s="139"/>
      <c r="X20" s="260" t="s">
        <v>557</v>
      </c>
      <c r="Y20" s="137" t="s">
        <v>536</v>
      </c>
      <c r="Z20" s="138"/>
      <c r="AA20" s="138"/>
      <c r="AB20" s="138"/>
      <c r="AC20" s="138"/>
      <c r="AD20" s="138"/>
      <c r="AE20" s="138"/>
      <c r="AF20" s="138"/>
      <c r="AG20" s="138"/>
      <c r="AH20" s="139"/>
      <c r="AI20" s="137" t="s">
        <v>422</v>
      </c>
      <c r="AJ20" s="138"/>
      <c r="AK20" s="138"/>
      <c r="AL20" s="138"/>
      <c r="AM20" s="138"/>
      <c r="AN20" s="138"/>
      <c r="AO20" s="138"/>
      <c r="AP20" s="138"/>
      <c r="AQ20" s="138"/>
      <c r="AR20" s="139"/>
      <c r="AS20" s="261"/>
      <c r="AT20" s="262"/>
      <c r="AU20" s="262"/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3"/>
    </row>
    <row r="21" spans="1:63" ht="15.75" customHeight="1">
      <c r="A21" s="1011">
        <v>10</v>
      </c>
      <c r="B21" s="1012"/>
      <c r="C21" s="259" t="s">
        <v>556</v>
      </c>
      <c r="D21" s="137" t="s">
        <v>536</v>
      </c>
      <c r="E21" s="138"/>
      <c r="F21" s="138"/>
      <c r="G21" s="138"/>
      <c r="H21" s="262"/>
      <c r="I21" s="262"/>
      <c r="J21" s="138"/>
      <c r="K21" s="138"/>
      <c r="L21" s="139"/>
      <c r="M21" s="137" t="s">
        <v>424</v>
      </c>
      <c r="N21" s="138"/>
      <c r="O21" s="138"/>
      <c r="P21" s="138"/>
      <c r="Q21" s="138"/>
      <c r="R21" s="138"/>
      <c r="S21" s="138"/>
      <c r="T21" s="138"/>
      <c r="U21" s="138"/>
      <c r="V21" s="138"/>
      <c r="W21" s="139"/>
      <c r="X21" s="260" t="s">
        <v>557</v>
      </c>
      <c r="Y21" s="137" t="s">
        <v>536</v>
      </c>
      <c r="Z21" s="138"/>
      <c r="AA21" s="138"/>
      <c r="AB21" s="138"/>
      <c r="AC21" s="138"/>
      <c r="AD21" s="138"/>
      <c r="AE21" s="138"/>
      <c r="AF21" s="138"/>
      <c r="AG21" s="138"/>
      <c r="AH21" s="139"/>
      <c r="AI21" s="137" t="s">
        <v>424</v>
      </c>
      <c r="AJ21" s="138"/>
      <c r="AK21" s="138"/>
      <c r="AL21" s="138"/>
      <c r="AM21" s="138"/>
      <c r="AN21" s="138"/>
      <c r="AO21" s="138"/>
      <c r="AP21" s="138"/>
      <c r="AQ21" s="138"/>
      <c r="AR21" s="139"/>
      <c r="AS21" s="261"/>
      <c r="AT21" s="262"/>
      <c r="AU21" s="262"/>
      <c r="AV21" s="262"/>
      <c r="AW21" s="262"/>
      <c r="AX21" s="262"/>
      <c r="AY21" s="262"/>
      <c r="AZ21" s="262"/>
      <c r="BA21" s="262"/>
      <c r="BB21" s="262"/>
      <c r="BC21" s="262"/>
      <c r="BD21" s="262"/>
      <c r="BE21" s="262"/>
      <c r="BF21" s="262"/>
      <c r="BG21" s="262"/>
      <c r="BH21" s="262"/>
      <c r="BI21" s="262"/>
      <c r="BJ21" s="262"/>
      <c r="BK21" s="263"/>
    </row>
    <row r="22" spans="1:63" ht="15.75" customHeight="1">
      <c r="A22" s="1011">
        <v>11</v>
      </c>
      <c r="B22" s="1012"/>
      <c r="C22" s="259" t="s">
        <v>556</v>
      </c>
      <c r="D22" s="137" t="s">
        <v>536</v>
      </c>
      <c r="E22" s="138"/>
      <c r="F22" s="138"/>
      <c r="G22" s="138"/>
      <c r="H22" s="262"/>
      <c r="I22" s="262"/>
      <c r="J22" s="138"/>
      <c r="K22" s="138"/>
      <c r="L22" s="139"/>
      <c r="M22" s="137" t="s">
        <v>549</v>
      </c>
      <c r="N22" s="138"/>
      <c r="O22" s="138"/>
      <c r="P22" s="138"/>
      <c r="Q22" s="138"/>
      <c r="R22" s="138"/>
      <c r="S22" s="138"/>
      <c r="T22" s="138"/>
      <c r="U22" s="138"/>
      <c r="V22" s="138"/>
      <c r="W22" s="139"/>
      <c r="X22" s="260" t="s">
        <v>557</v>
      </c>
      <c r="Y22" s="137" t="s">
        <v>536</v>
      </c>
      <c r="Z22" s="138"/>
      <c r="AA22" s="138"/>
      <c r="AB22" s="138"/>
      <c r="AC22" s="138"/>
      <c r="AD22" s="138"/>
      <c r="AE22" s="138"/>
      <c r="AF22" s="138"/>
      <c r="AG22" s="138"/>
      <c r="AH22" s="139"/>
      <c r="AI22" s="137" t="s">
        <v>549</v>
      </c>
      <c r="AJ22" s="138"/>
      <c r="AK22" s="138"/>
      <c r="AL22" s="138"/>
      <c r="AM22" s="138"/>
      <c r="AN22" s="138"/>
      <c r="AO22" s="138"/>
      <c r="AP22" s="138"/>
      <c r="AQ22" s="138"/>
      <c r="AR22" s="139"/>
      <c r="AS22" s="261"/>
      <c r="AT22" s="262"/>
      <c r="AU22" s="262"/>
      <c r="AV22" s="262"/>
      <c r="AW22" s="262"/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62"/>
      <c r="BI22" s="262"/>
      <c r="BJ22" s="262"/>
      <c r="BK22" s="263"/>
    </row>
    <row r="23" spans="1:63" ht="15.75" customHeight="1">
      <c r="A23" s="1011">
        <v>12</v>
      </c>
      <c r="B23" s="1012"/>
      <c r="C23" s="259" t="s">
        <v>556</v>
      </c>
      <c r="D23" s="137" t="s">
        <v>536</v>
      </c>
      <c r="E23" s="138"/>
      <c r="F23" s="138"/>
      <c r="G23" s="138"/>
      <c r="H23" s="262"/>
      <c r="I23" s="262"/>
      <c r="J23" s="138"/>
      <c r="K23" s="138"/>
      <c r="L23" s="139"/>
      <c r="M23" s="137" t="s">
        <v>461</v>
      </c>
      <c r="N23" s="138"/>
      <c r="O23" s="138"/>
      <c r="P23" s="138"/>
      <c r="Q23" s="138"/>
      <c r="R23" s="138"/>
      <c r="S23" s="138"/>
      <c r="T23" s="138"/>
      <c r="U23" s="138"/>
      <c r="V23" s="138"/>
      <c r="W23" s="139"/>
      <c r="X23" s="260" t="s">
        <v>557</v>
      </c>
      <c r="Y23" s="137" t="s">
        <v>536</v>
      </c>
      <c r="Z23" s="138"/>
      <c r="AA23" s="138"/>
      <c r="AB23" s="138"/>
      <c r="AC23" s="138"/>
      <c r="AD23" s="138"/>
      <c r="AE23" s="138"/>
      <c r="AF23" s="138"/>
      <c r="AG23" s="138"/>
      <c r="AH23" s="139"/>
      <c r="AI23" s="137" t="s">
        <v>461</v>
      </c>
      <c r="AJ23" s="138"/>
      <c r="AK23" s="138"/>
      <c r="AL23" s="138"/>
      <c r="AM23" s="138"/>
      <c r="AN23" s="138"/>
      <c r="AO23" s="138"/>
      <c r="AP23" s="138"/>
      <c r="AQ23" s="138"/>
      <c r="AR23" s="139"/>
      <c r="AS23" s="261"/>
      <c r="AT23" s="262"/>
      <c r="AU23" s="262"/>
      <c r="AV23" s="262"/>
      <c r="AW23" s="262"/>
      <c r="AX23" s="262"/>
      <c r="AY23" s="262"/>
      <c r="AZ23" s="262"/>
      <c r="BA23" s="262"/>
      <c r="BB23" s="262"/>
      <c r="BC23" s="262"/>
      <c r="BD23" s="262"/>
      <c r="BE23" s="262"/>
      <c r="BF23" s="262"/>
      <c r="BG23" s="262"/>
      <c r="BH23" s="262"/>
      <c r="BI23" s="262"/>
      <c r="BJ23" s="262"/>
      <c r="BK23" s="263"/>
    </row>
    <row r="24" spans="1:63" ht="15.75" customHeight="1">
      <c r="A24" s="1011">
        <v>13</v>
      </c>
      <c r="B24" s="1012"/>
      <c r="C24" s="259" t="s">
        <v>556</v>
      </c>
      <c r="D24" s="137" t="s">
        <v>536</v>
      </c>
      <c r="E24" s="138"/>
      <c r="F24" s="138"/>
      <c r="G24" s="138"/>
      <c r="H24" s="262"/>
      <c r="I24" s="262"/>
      <c r="J24" s="138"/>
      <c r="K24" s="138"/>
      <c r="L24" s="139"/>
      <c r="M24" s="137" t="s">
        <v>307</v>
      </c>
      <c r="N24" s="138"/>
      <c r="O24" s="138"/>
      <c r="P24" s="138"/>
      <c r="Q24" s="138"/>
      <c r="R24" s="138"/>
      <c r="S24" s="138"/>
      <c r="T24" s="138"/>
      <c r="U24" s="138"/>
      <c r="V24" s="138"/>
      <c r="W24" s="139"/>
      <c r="X24" s="260" t="s">
        <v>557</v>
      </c>
      <c r="Y24" s="137" t="s">
        <v>536</v>
      </c>
      <c r="Z24" s="138"/>
      <c r="AA24" s="138"/>
      <c r="AB24" s="138"/>
      <c r="AC24" s="138"/>
      <c r="AD24" s="138"/>
      <c r="AE24" s="138"/>
      <c r="AF24" s="138"/>
      <c r="AG24" s="138"/>
      <c r="AH24" s="139"/>
      <c r="AI24" s="137" t="s">
        <v>307</v>
      </c>
      <c r="AJ24" s="138"/>
      <c r="AK24" s="138"/>
      <c r="AL24" s="138"/>
      <c r="AM24" s="138"/>
      <c r="AN24" s="138"/>
      <c r="AO24" s="138"/>
      <c r="AP24" s="138"/>
      <c r="AQ24" s="138"/>
      <c r="AR24" s="139"/>
      <c r="AS24" s="261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3"/>
    </row>
    <row r="25" spans="1:63" ht="15.75" customHeight="1">
      <c r="A25" s="1011">
        <v>14</v>
      </c>
      <c r="B25" s="1012"/>
      <c r="C25" s="259" t="s">
        <v>556</v>
      </c>
      <c r="D25" s="137" t="s">
        <v>536</v>
      </c>
      <c r="E25" s="138"/>
      <c r="F25" s="138"/>
      <c r="G25" s="138"/>
      <c r="H25" s="262"/>
      <c r="I25" s="262"/>
      <c r="J25" s="138"/>
      <c r="K25" s="138"/>
      <c r="L25" s="139"/>
      <c r="M25" s="137" t="s">
        <v>433</v>
      </c>
      <c r="N25" s="138"/>
      <c r="O25" s="138"/>
      <c r="P25" s="138"/>
      <c r="Q25" s="138"/>
      <c r="R25" s="138"/>
      <c r="S25" s="138"/>
      <c r="T25" s="138"/>
      <c r="U25" s="138"/>
      <c r="V25" s="138"/>
      <c r="W25" s="139"/>
      <c r="X25" s="260" t="s">
        <v>557</v>
      </c>
      <c r="Y25" s="137" t="s">
        <v>536</v>
      </c>
      <c r="Z25" s="138"/>
      <c r="AA25" s="138"/>
      <c r="AB25" s="138"/>
      <c r="AC25" s="138"/>
      <c r="AD25" s="138"/>
      <c r="AE25" s="138"/>
      <c r="AF25" s="138"/>
      <c r="AG25" s="138"/>
      <c r="AH25" s="139"/>
      <c r="AI25" s="137" t="s">
        <v>433</v>
      </c>
      <c r="AJ25" s="138"/>
      <c r="AK25" s="138"/>
      <c r="AL25" s="138"/>
      <c r="AM25" s="138"/>
      <c r="AN25" s="138"/>
      <c r="AO25" s="138"/>
      <c r="AP25" s="138"/>
      <c r="AQ25" s="138"/>
      <c r="AR25" s="139"/>
      <c r="AS25" s="261"/>
      <c r="AT25" s="262"/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2"/>
      <c r="BK25" s="263"/>
    </row>
    <row r="26" spans="1:63" ht="15.75" customHeight="1" thickBot="1">
      <c r="A26" s="1013"/>
      <c r="B26" s="1014"/>
      <c r="C26" s="264"/>
      <c r="D26" s="265"/>
      <c r="E26" s="266"/>
      <c r="F26" s="266"/>
      <c r="G26" s="266"/>
      <c r="H26" s="270"/>
      <c r="I26" s="270"/>
      <c r="J26" s="266"/>
      <c r="K26" s="266"/>
      <c r="L26" s="267"/>
      <c r="M26" s="265"/>
      <c r="N26" s="266"/>
      <c r="O26" s="266"/>
      <c r="P26" s="266"/>
      <c r="Q26" s="266"/>
      <c r="R26" s="266"/>
      <c r="S26" s="266"/>
      <c r="T26" s="266"/>
      <c r="U26" s="266"/>
      <c r="V26" s="266"/>
      <c r="W26" s="267"/>
      <c r="X26" s="268"/>
      <c r="Y26" s="265"/>
      <c r="Z26" s="266"/>
      <c r="AA26" s="266"/>
      <c r="AB26" s="266"/>
      <c r="AC26" s="266"/>
      <c r="AD26" s="266"/>
      <c r="AE26" s="266"/>
      <c r="AF26" s="266"/>
      <c r="AG26" s="266"/>
      <c r="AH26" s="267"/>
      <c r="AI26" s="265"/>
      <c r="AJ26" s="266"/>
      <c r="AK26" s="266"/>
      <c r="AL26" s="266"/>
      <c r="AM26" s="266"/>
      <c r="AN26" s="266"/>
      <c r="AO26" s="266"/>
      <c r="AP26" s="266"/>
      <c r="AQ26" s="266"/>
      <c r="AR26" s="267"/>
      <c r="AS26" s="269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0"/>
      <c r="BK26" s="271"/>
    </row>
  </sheetData>
  <mergeCells count="36">
    <mergeCell ref="AS2:AY3"/>
    <mergeCell ref="AZ2:BE3"/>
    <mergeCell ref="K1:T1"/>
    <mergeCell ref="U1:Y1"/>
    <mergeCell ref="Z1:AD1"/>
    <mergeCell ref="AE1:AI1"/>
    <mergeCell ref="AJ1:AR1"/>
    <mergeCell ref="K2:T2"/>
    <mergeCell ref="U2:Y2"/>
    <mergeCell ref="Z2:AD2"/>
    <mergeCell ref="AE2:AI2"/>
    <mergeCell ref="AJ2:AR2"/>
    <mergeCell ref="A18:B18"/>
    <mergeCell ref="BF2:BK3"/>
    <mergeCell ref="K3:T3"/>
    <mergeCell ref="U3:Y3"/>
    <mergeCell ref="Z3:AD3"/>
    <mergeCell ref="AE3:AR3"/>
    <mergeCell ref="A9:B9"/>
    <mergeCell ref="A1:J3"/>
    <mergeCell ref="A10:B10"/>
    <mergeCell ref="A12:B12"/>
    <mergeCell ref="A14:B14"/>
    <mergeCell ref="A16:B16"/>
    <mergeCell ref="A17:B17"/>
    <mergeCell ref="AS1:AY1"/>
    <mergeCell ref="AZ1:BE1"/>
    <mergeCell ref="BF1:BK1"/>
    <mergeCell ref="A26:B26"/>
    <mergeCell ref="A19:B19"/>
    <mergeCell ref="A20:B20"/>
    <mergeCell ref="A21:B21"/>
    <mergeCell ref="A22:B22"/>
    <mergeCell ref="A23:B23"/>
    <mergeCell ref="A24:B24"/>
    <mergeCell ref="A25:B25"/>
  </mergeCells>
  <phoneticPr fontId="9"/>
  <dataValidations count="1">
    <dataValidation imeMode="off" allowBlank="1" showInputMessage="1" showErrorMessage="1" sqref="D9:L26 Y9:AH26" xr:uid="{0804B083-EC36-4F9C-9D67-5D573343B8ED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E7FA-72FC-4BB1-8D5F-C7088A1CE346}">
  <sheetPr codeName="Sheet10">
    <pageSetUpPr fitToPage="1"/>
  </sheetPr>
  <dimension ref="A1:BK29"/>
  <sheetViews>
    <sheetView showGridLines="0" showZeros="0" view="pageBreakPreview" zoomScale="85" zoomScaleNormal="100" zoomScaleSheetLayoutView="85" workbookViewId="0">
      <pane ySplit="4" topLeftCell="A5" activePane="bottomLeft" state="frozen"/>
      <selection activeCell="AT31" sqref="AT31"/>
      <selection pane="bottomLeft" activeCell="AD24" sqref="AD24"/>
    </sheetView>
  </sheetViews>
  <sheetFormatPr defaultColWidth="2.125" defaultRowHeight="15.75" customHeight="1"/>
  <cols>
    <col min="1" max="2" width="2.125" style="14" customWidth="1"/>
    <col min="3" max="3" width="2.375" style="15" customWidth="1"/>
    <col min="4" max="4" width="2.125" style="15" customWidth="1"/>
    <col min="5" max="5" width="3" style="15" customWidth="1"/>
    <col min="6" max="9" width="2.125" style="14" customWidth="1"/>
    <col min="10" max="10" width="2.125" style="15" customWidth="1"/>
    <col min="11" max="16" width="2.125" style="14" customWidth="1"/>
    <col min="17" max="17" width="2.125" style="16" customWidth="1"/>
    <col min="18" max="29" width="2.125" style="14" customWidth="1"/>
    <col min="30" max="30" width="35.375" style="14" customWidth="1"/>
    <col min="31" max="62" width="2.125" style="14" customWidth="1"/>
    <col min="63" max="63" width="2.25" style="14" customWidth="1"/>
    <col min="64" max="66" width="2.125" style="14" customWidth="1"/>
    <col min="67" max="16384" width="2.125" style="14"/>
  </cols>
  <sheetData>
    <row r="1" spans="1:63" s="1" customFormat="1" ht="15.75" customHeight="1">
      <c r="A1" s="963" t="str">
        <f>表紙!A54</f>
        <v>Webシステム</v>
      </c>
      <c r="B1" s="964"/>
      <c r="C1" s="964"/>
      <c r="D1" s="964"/>
      <c r="E1" s="964"/>
      <c r="F1" s="964"/>
      <c r="G1" s="964"/>
      <c r="H1" s="964"/>
      <c r="I1" s="964"/>
      <c r="J1" s="965"/>
      <c r="K1" s="988" t="s">
        <v>152</v>
      </c>
      <c r="L1" s="989"/>
      <c r="M1" s="989"/>
      <c r="N1" s="989"/>
      <c r="O1" s="989"/>
      <c r="P1" s="989"/>
      <c r="Q1" s="989"/>
      <c r="R1" s="989"/>
      <c r="S1" s="989"/>
      <c r="T1" s="990"/>
      <c r="U1" s="991" t="s">
        <v>153</v>
      </c>
      <c r="V1" s="992"/>
      <c r="W1" s="992"/>
      <c r="X1" s="992"/>
      <c r="Y1" s="993"/>
      <c r="Z1" s="994" t="str">
        <f>表紙!$AJ$63</f>
        <v>MS</v>
      </c>
      <c r="AA1" s="995"/>
      <c r="AB1" s="995"/>
      <c r="AC1" s="995"/>
      <c r="AD1" s="996"/>
      <c r="AE1" s="997" t="s">
        <v>154</v>
      </c>
      <c r="AF1" s="974"/>
      <c r="AG1" s="974"/>
      <c r="AH1" s="974"/>
      <c r="AI1" s="975"/>
      <c r="AJ1" s="998" t="str">
        <f>表紙!$AX$63</f>
        <v>Webシステム</v>
      </c>
      <c r="AK1" s="999"/>
      <c r="AL1" s="999"/>
      <c r="AM1" s="999"/>
      <c r="AN1" s="999"/>
      <c r="AO1" s="999"/>
      <c r="AP1" s="999"/>
      <c r="AQ1" s="999"/>
      <c r="AR1" s="1000"/>
      <c r="AS1" s="972" t="s">
        <v>101</v>
      </c>
      <c r="AT1" s="972"/>
      <c r="AU1" s="972"/>
      <c r="AV1" s="972"/>
      <c r="AW1" s="972"/>
      <c r="AX1" s="972"/>
      <c r="AY1" s="972"/>
      <c r="AZ1" s="973" t="s">
        <v>124</v>
      </c>
      <c r="BA1" s="974"/>
      <c r="BB1" s="974"/>
      <c r="BC1" s="974"/>
      <c r="BD1" s="974"/>
      <c r="BE1" s="975"/>
      <c r="BF1" s="973" t="s">
        <v>155</v>
      </c>
      <c r="BG1" s="974"/>
      <c r="BH1" s="974"/>
      <c r="BI1" s="974"/>
      <c r="BJ1" s="974"/>
      <c r="BK1" s="976"/>
    </row>
    <row r="2" spans="1:63" s="1" customFormat="1" ht="15.75" customHeight="1">
      <c r="A2" s="966"/>
      <c r="B2" s="967"/>
      <c r="C2" s="967"/>
      <c r="D2" s="967"/>
      <c r="E2" s="967"/>
      <c r="F2" s="967"/>
      <c r="G2" s="967"/>
      <c r="H2" s="967"/>
      <c r="I2" s="967"/>
      <c r="J2" s="968"/>
      <c r="K2" s="977" t="str">
        <f>表紙!O64</f>
        <v>アドオン設計書</v>
      </c>
      <c r="L2" s="944"/>
      <c r="M2" s="944"/>
      <c r="N2" s="944"/>
      <c r="O2" s="944"/>
      <c r="P2" s="944"/>
      <c r="Q2" s="944"/>
      <c r="R2" s="944"/>
      <c r="S2" s="944"/>
      <c r="T2" s="978"/>
      <c r="U2" s="979" t="s">
        <v>156</v>
      </c>
      <c r="V2" s="980"/>
      <c r="W2" s="980"/>
      <c r="X2" s="980"/>
      <c r="Y2" s="981"/>
      <c r="Z2" s="982" t="str">
        <f>表紙!$AJ$64</f>
        <v>MSBB</v>
      </c>
      <c r="AA2" s="983"/>
      <c r="AB2" s="983"/>
      <c r="AC2" s="983"/>
      <c r="AD2" s="984"/>
      <c r="AE2" s="985" t="s">
        <v>157</v>
      </c>
      <c r="AF2" s="986"/>
      <c r="AG2" s="986"/>
      <c r="AH2" s="986"/>
      <c r="AI2" s="987"/>
      <c r="AJ2" s="1002" t="str">
        <f>表紙!$AX$64</f>
        <v>Web販売管理</v>
      </c>
      <c r="AK2" s="1003"/>
      <c r="AL2" s="1003"/>
      <c r="AM2" s="1003"/>
      <c r="AN2" s="1003"/>
      <c r="AO2" s="1003"/>
      <c r="AP2" s="1003"/>
      <c r="AQ2" s="1003"/>
      <c r="AR2" s="1004"/>
      <c r="AS2" s="1005" t="str">
        <f>表紙!$BL$64</f>
        <v>M7-US-1140</v>
      </c>
      <c r="AT2" s="1006"/>
      <c r="AU2" s="1006"/>
      <c r="AV2" s="1006"/>
      <c r="AW2" s="1006"/>
      <c r="AX2" s="1006"/>
      <c r="AY2" s="1006"/>
      <c r="AZ2" s="1008" t="str">
        <f>表紙!$BU$64</f>
        <v>7.0.2</v>
      </c>
      <c r="BA2" s="944"/>
      <c r="BB2" s="944"/>
      <c r="BC2" s="944"/>
      <c r="BD2" s="944"/>
      <c r="BE2" s="978"/>
      <c r="BF2" s="943">
        <f>表紙!$CB$64</f>
        <v>1</v>
      </c>
      <c r="BG2" s="944"/>
      <c r="BH2" s="944"/>
      <c r="BI2" s="944"/>
      <c r="BJ2" s="944"/>
      <c r="BK2" s="945"/>
    </row>
    <row r="3" spans="1:63" s="1" customFormat="1" ht="15.75" customHeight="1" thickBot="1">
      <c r="A3" s="969"/>
      <c r="B3" s="970"/>
      <c r="C3" s="970"/>
      <c r="D3" s="970"/>
      <c r="E3" s="970"/>
      <c r="F3" s="970"/>
      <c r="G3" s="970"/>
      <c r="H3" s="970"/>
      <c r="I3" s="970"/>
      <c r="J3" s="971"/>
      <c r="K3" s="949" t="str">
        <f ca="1">RIGHT(CELL("filename",$A$1),LEN(CELL("filename",$A$1))-FIND("]",CELL("filename",$A$1)))</f>
        <v>更新入出力仕様</v>
      </c>
      <c r="L3" s="950"/>
      <c r="M3" s="950"/>
      <c r="N3" s="950"/>
      <c r="O3" s="950"/>
      <c r="P3" s="950"/>
      <c r="Q3" s="950"/>
      <c r="R3" s="950"/>
      <c r="S3" s="950"/>
      <c r="T3" s="951"/>
      <c r="U3" s="952" t="s">
        <v>158</v>
      </c>
      <c r="V3" s="953"/>
      <c r="W3" s="953"/>
      <c r="X3" s="953"/>
      <c r="Y3" s="954"/>
      <c r="Z3" s="955" t="str">
        <f>表紙!$AJ$65</f>
        <v>MSBBPA100</v>
      </c>
      <c r="AA3" s="956"/>
      <c r="AB3" s="956"/>
      <c r="AC3" s="956"/>
      <c r="AD3" s="956"/>
      <c r="AE3" s="957" t="str">
        <f>表紙!$AQ$65</f>
        <v>WebFSC製品化チェックシート出力</v>
      </c>
      <c r="AF3" s="958"/>
      <c r="AG3" s="958"/>
      <c r="AH3" s="958"/>
      <c r="AI3" s="958"/>
      <c r="AJ3" s="958"/>
      <c r="AK3" s="958"/>
      <c r="AL3" s="958"/>
      <c r="AM3" s="958"/>
      <c r="AN3" s="958"/>
      <c r="AO3" s="958"/>
      <c r="AP3" s="958"/>
      <c r="AQ3" s="958"/>
      <c r="AR3" s="959"/>
      <c r="AS3" s="1007"/>
      <c r="AT3" s="1007"/>
      <c r="AU3" s="1007"/>
      <c r="AV3" s="1007"/>
      <c r="AW3" s="1007"/>
      <c r="AX3" s="1007"/>
      <c r="AY3" s="1007"/>
      <c r="AZ3" s="946"/>
      <c r="BA3" s="947"/>
      <c r="BB3" s="947"/>
      <c r="BC3" s="947"/>
      <c r="BD3" s="947"/>
      <c r="BE3" s="1009"/>
      <c r="BF3" s="946"/>
      <c r="BG3" s="947"/>
      <c r="BH3" s="947"/>
      <c r="BI3" s="947"/>
      <c r="BJ3" s="947"/>
      <c r="BK3" s="948"/>
    </row>
    <row r="4" spans="1:63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63" ht="15.75" customHeight="1">
      <c r="A5" s="201" t="s">
        <v>450</v>
      </c>
      <c r="B5" s="202"/>
      <c r="C5" s="202"/>
      <c r="D5" s="202"/>
      <c r="E5" s="203"/>
      <c r="F5" s="204"/>
      <c r="G5" s="205">
        <v>1</v>
      </c>
      <c r="H5" s="206"/>
      <c r="I5" s="207"/>
      <c r="J5" s="207"/>
      <c r="K5" s="207"/>
      <c r="L5" s="207"/>
      <c r="M5" s="207"/>
      <c r="N5" s="207"/>
      <c r="O5" s="207"/>
      <c r="P5" s="207"/>
      <c r="Q5" s="207"/>
      <c r="R5" s="208"/>
      <c r="S5" s="209" t="s">
        <v>553</v>
      </c>
      <c r="T5" s="210"/>
      <c r="U5" s="210"/>
      <c r="V5" s="210"/>
      <c r="W5" s="210"/>
      <c r="X5" s="210"/>
      <c r="Y5" s="211"/>
      <c r="Z5" s="212" t="s">
        <v>558</v>
      </c>
      <c r="AA5" s="212"/>
      <c r="AB5" s="212"/>
      <c r="AC5" s="212"/>
      <c r="AD5" s="207"/>
      <c r="AE5" s="212"/>
      <c r="AF5" s="212"/>
      <c r="AG5" s="212"/>
      <c r="AH5" s="213" t="s">
        <v>520</v>
      </c>
      <c r="AI5" s="210"/>
      <c r="AJ5" s="211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4"/>
    </row>
    <row r="6" spans="1:63" ht="15.75" customHeight="1">
      <c r="A6" s="272" t="s">
        <v>522</v>
      </c>
      <c r="B6" s="273"/>
      <c r="C6" s="273"/>
      <c r="D6" s="274"/>
      <c r="E6" s="275" t="s">
        <v>559</v>
      </c>
      <c r="F6" s="276"/>
      <c r="G6" s="276"/>
      <c r="H6" s="220"/>
      <c r="I6" s="220"/>
      <c r="J6" s="220"/>
      <c r="K6" s="220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  <c r="AZ6" s="276"/>
      <c r="BA6" s="276"/>
      <c r="BB6" s="276"/>
      <c r="BC6" s="276"/>
      <c r="BD6" s="276"/>
      <c r="BE6" s="276"/>
      <c r="BF6" s="276"/>
      <c r="BG6" s="276"/>
      <c r="BH6" s="276"/>
      <c r="BI6" s="276"/>
      <c r="BJ6" s="276"/>
      <c r="BK6" s="299"/>
    </row>
    <row r="7" spans="1:63" ht="15.75" customHeight="1">
      <c r="A7" s="225" t="s">
        <v>450</v>
      </c>
      <c r="B7" s="226"/>
      <c r="C7" s="227" t="s">
        <v>526</v>
      </c>
      <c r="D7" s="228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7" t="s">
        <v>527</v>
      </c>
      <c r="W7" s="228"/>
      <c r="X7" s="229"/>
      <c r="Y7" s="229"/>
      <c r="Z7" s="229"/>
      <c r="AA7" s="229"/>
      <c r="AB7" s="229"/>
      <c r="AC7" s="229"/>
      <c r="AD7" s="229"/>
      <c r="AE7" s="229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30" t="s">
        <v>528</v>
      </c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31"/>
    </row>
    <row r="8" spans="1:63" ht="15.75" customHeight="1" thickBot="1">
      <c r="A8" s="232"/>
      <c r="B8" s="233"/>
      <c r="C8" s="234" t="s">
        <v>529</v>
      </c>
      <c r="D8" s="235" t="s">
        <v>530</v>
      </c>
      <c r="E8" s="236"/>
      <c r="F8" s="236"/>
      <c r="G8" s="236"/>
      <c r="H8" s="236"/>
      <c r="I8" s="236"/>
      <c r="J8" s="237"/>
      <c r="K8" s="235" t="s">
        <v>531</v>
      </c>
      <c r="L8" s="236"/>
      <c r="M8" s="236"/>
      <c r="N8" s="236"/>
      <c r="O8" s="236"/>
      <c r="P8" s="236"/>
      <c r="Q8" s="236"/>
      <c r="R8" s="236"/>
      <c r="S8" s="236"/>
      <c r="T8" s="236"/>
      <c r="U8" s="237"/>
      <c r="V8" s="234" t="s">
        <v>529</v>
      </c>
      <c r="W8" s="235" t="s">
        <v>530</v>
      </c>
      <c r="X8" s="236"/>
      <c r="Y8" s="236"/>
      <c r="Z8" s="236"/>
      <c r="AA8" s="236"/>
      <c r="AB8" s="236"/>
      <c r="AC8" s="236"/>
      <c r="AD8" s="236"/>
      <c r="AE8" s="237"/>
      <c r="AF8" s="235" t="s">
        <v>531</v>
      </c>
      <c r="AG8" s="236"/>
      <c r="AH8" s="236"/>
      <c r="AI8" s="236"/>
      <c r="AJ8" s="236"/>
      <c r="AK8" s="236"/>
      <c r="AL8" s="236"/>
      <c r="AM8" s="236"/>
      <c r="AN8" s="236"/>
      <c r="AO8" s="236"/>
      <c r="AP8" s="237"/>
      <c r="AQ8" s="238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9"/>
    </row>
    <row r="9" spans="1:63" ht="15.75" customHeight="1" thickTop="1">
      <c r="A9" s="1011">
        <v>1</v>
      </c>
      <c r="B9" s="1012"/>
      <c r="C9" s="254" t="s">
        <v>388</v>
      </c>
      <c r="D9" s="300" t="s">
        <v>560</v>
      </c>
      <c r="E9" s="138"/>
      <c r="F9" s="84"/>
      <c r="G9" s="84"/>
      <c r="H9" s="84"/>
      <c r="I9" s="84"/>
      <c r="J9" s="85"/>
      <c r="K9" s="140" t="s">
        <v>307</v>
      </c>
      <c r="L9" s="84"/>
      <c r="M9" s="84"/>
      <c r="N9" s="84"/>
      <c r="O9" s="84"/>
      <c r="P9" s="84"/>
      <c r="Q9" s="84"/>
      <c r="R9" s="84"/>
      <c r="S9" s="84"/>
      <c r="T9" s="84"/>
      <c r="U9" s="85"/>
      <c r="V9" s="255"/>
      <c r="W9" s="83"/>
      <c r="X9" s="84"/>
      <c r="Y9" s="84"/>
      <c r="Z9" s="84"/>
      <c r="AA9" s="84"/>
      <c r="AB9" s="84"/>
      <c r="AC9" s="84"/>
      <c r="AD9" s="84"/>
      <c r="AE9" s="85"/>
      <c r="AF9" s="140" t="s">
        <v>551</v>
      </c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3" t="s">
        <v>561</v>
      </c>
      <c r="AR9" s="302"/>
      <c r="AS9" s="302"/>
      <c r="AT9" s="302"/>
      <c r="AU9" s="302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2"/>
      <c r="BG9" s="302"/>
      <c r="BH9" s="302"/>
      <c r="BI9" s="302"/>
      <c r="BJ9" s="302"/>
      <c r="BK9" s="303"/>
    </row>
    <row r="10" spans="1:63" ht="15.75" customHeight="1">
      <c r="A10" s="1011">
        <v>2</v>
      </c>
      <c r="B10" s="1012"/>
      <c r="C10" s="254" t="s">
        <v>388</v>
      </c>
      <c r="D10" s="300" t="s">
        <v>560</v>
      </c>
      <c r="E10" s="84"/>
      <c r="F10" s="84"/>
      <c r="G10" s="84"/>
      <c r="H10" s="84"/>
      <c r="I10" s="84"/>
      <c r="J10" s="85"/>
      <c r="K10" s="140" t="s">
        <v>562</v>
      </c>
      <c r="L10" s="84"/>
      <c r="M10" s="84"/>
      <c r="N10" s="84"/>
      <c r="O10" s="84"/>
      <c r="P10" s="84"/>
      <c r="Q10" s="84"/>
      <c r="R10" s="84"/>
      <c r="S10" s="84"/>
      <c r="T10" s="84"/>
      <c r="U10" s="85"/>
      <c r="V10" s="255"/>
      <c r="W10" s="83"/>
      <c r="X10" s="84"/>
      <c r="Y10" s="84"/>
      <c r="Z10" s="84"/>
      <c r="AA10" s="84"/>
      <c r="AB10" s="84"/>
      <c r="AC10" s="84"/>
      <c r="AD10" s="84"/>
      <c r="AE10" s="85"/>
      <c r="AF10" s="304" t="s">
        <v>563</v>
      </c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301"/>
      <c r="AR10" s="302"/>
      <c r="AS10" s="302"/>
      <c r="AT10" s="302"/>
      <c r="AU10" s="302"/>
      <c r="AV10" s="302"/>
      <c r="AW10" s="302"/>
      <c r="AX10" s="302"/>
      <c r="AY10" s="302"/>
      <c r="AZ10" s="302"/>
      <c r="BA10" s="302"/>
      <c r="BB10" s="302"/>
      <c r="BC10" s="302"/>
      <c r="BD10" s="302"/>
      <c r="BE10" s="302"/>
      <c r="BF10" s="302"/>
      <c r="BG10" s="302"/>
      <c r="BH10" s="302"/>
      <c r="BI10" s="302"/>
      <c r="BJ10" s="302"/>
      <c r="BK10" s="303"/>
    </row>
    <row r="11" spans="1:63" ht="15.75" customHeight="1" thickBot="1">
      <c r="A11" s="1021"/>
      <c r="B11" s="1022"/>
      <c r="C11" s="254"/>
      <c r="D11" s="300"/>
      <c r="E11" s="84"/>
      <c r="F11" s="84"/>
      <c r="G11" s="84"/>
      <c r="H11" s="84"/>
      <c r="I11" s="84"/>
      <c r="J11" s="85"/>
      <c r="K11" s="140"/>
      <c r="L11" s="84"/>
      <c r="M11" s="84"/>
      <c r="N11" s="84"/>
      <c r="O11" s="84"/>
      <c r="P11" s="84"/>
      <c r="Q11" s="84"/>
      <c r="R11" s="84"/>
      <c r="S11" s="84"/>
      <c r="T11" s="84"/>
      <c r="U11" s="85"/>
      <c r="V11" s="255"/>
      <c r="W11" s="83"/>
      <c r="X11" s="84"/>
      <c r="Y11" s="84"/>
      <c r="Z11" s="84"/>
      <c r="AA11" s="84"/>
      <c r="AB11" s="84"/>
      <c r="AC11" s="84"/>
      <c r="AD11" s="84"/>
      <c r="AE11" s="85"/>
      <c r="AF11" s="83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301"/>
      <c r="AR11" s="302"/>
      <c r="AS11" s="302"/>
      <c r="AT11" s="302"/>
      <c r="AU11" s="302"/>
      <c r="AV11" s="302"/>
      <c r="AW11" s="302"/>
      <c r="AX11" s="302"/>
      <c r="AY11" s="302"/>
      <c r="AZ11" s="302"/>
      <c r="BA11" s="302"/>
      <c r="BB11" s="302"/>
      <c r="BC11" s="302"/>
      <c r="BD11" s="302"/>
      <c r="BE11" s="302"/>
      <c r="BF11" s="302"/>
      <c r="BG11" s="302"/>
      <c r="BH11" s="302"/>
      <c r="BI11" s="302"/>
      <c r="BJ11" s="302"/>
      <c r="BK11" s="303"/>
    </row>
    <row r="12" spans="1:63" ht="15.75" customHeight="1">
      <c r="A12" s="201" t="s">
        <v>450</v>
      </c>
      <c r="B12" s="202"/>
      <c r="C12" s="202"/>
      <c r="D12" s="202"/>
      <c r="E12" s="203"/>
      <c r="F12" s="204"/>
      <c r="G12" s="205">
        <v>2</v>
      </c>
      <c r="H12" s="206"/>
      <c r="I12" s="207"/>
      <c r="J12" s="207"/>
      <c r="K12" s="207"/>
      <c r="L12" s="207"/>
      <c r="M12" s="207"/>
      <c r="N12" s="207"/>
      <c r="O12" s="207"/>
      <c r="P12" s="207"/>
      <c r="Q12" s="207"/>
      <c r="R12" s="208"/>
      <c r="S12" s="209" t="s">
        <v>553</v>
      </c>
      <c r="T12" s="210"/>
      <c r="U12" s="210"/>
      <c r="V12" s="210"/>
      <c r="W12" s="210"/>
      <c r="X12" s="210"/>
      <c r="Y12" s="211"/>
      <c r="Z12" s="212" t="s">
        <v>564</v>
      </c>
      <c r="AA12" s="212"/>
      <c r="AB12" s="212"/>
      <c r="AC12" s="212"/>
      <c r="AD12" s="207"/>
      <c r="AE12" s="212"/>
      <c r="AF12" s="212"/>
      <c r="AG12" s="212"/>
      <c r="AH12" s="213" t="s">
        <v>520</v>
      </c>
      <c r="AI12" s="210"/>
      <c r="AJ12" s="211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4"/>
    </row>
    <row r="13" spans="1:63" ht="15.75" customHeight="1">
      <c r="A13" s="272" t="s">
        <v>522</v>
      </c>
      <c r="B13" s="273"/>
      <c r="C13" s="273"/>
      <c r="D13" s="274"/>
      <c r="E13" s="275" t="s">
        <v>559</v>
      </c>
      <c r="F13" s="276"/>
      <c r="G13" s="276"/>
      <c r="H13" s="220"/>
      <c r="I13" s="220"/>
      <c r="J13" s="220"/>
      <c r="K13" s="220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99"/>
    </row>
    <row r="14" spans="1:63" ht="15.75" customHeight="1">
      <c r="A14" s="225" t="s">
        <v>450</v>
      </c>
      <c r="B14" s="226"/>
      <c r="C14" s="227" t="s">
        <v>526</v>
      </c>
      <c r="D14" s="228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7" t="s">
        <v>527</v>
      </c>
      <c r="W14" s="228"/>
      <c r="X14" s="229"/>
      <c r="Y14" s="229"/>
      <c r="Z14" s="229"/>
      <c r="AA14" s="229"/>
      <c r="AB14" s="229"/>
      <c r="AC14" s="229"/>
      <c r="AD14" s="229"/>
      <c r="AE14" s="229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30" t="s">
        <v>528</v>
      </c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31"/>
    </row>
    <row r="15" spans="1:63" ht="15.75" customHeight="1" thickBot="1">
      <c r="A15" s="232"/>
      <c r="B15" s="233"/>
      <c r="C15" s="234" t="s">
        <v>529</v>
      </c>
      <c r="D15" s="235" t="s">
        <v>530</v>
      </c>
      <c r="E15" s="236"/>
      <c r="F15" s="236"/>
      <c r="G15" s="236"/>
      <c r="H15" s="236"/>
      <c r="I15" s="236"/>
      <c r="J15" s="237"/>
      <c r="K15" s="235" t="s">
        <v>531</v>
      </c>
      <c r="L15" s="236"/>
      <c r="M15" s="236"/>
      <c r="N15" s="236"/>
      <c r="O15" s="236"/>
      <c r="P15" s="236"/>
      <c r="Q15" s="236"/>
      <c r="R15" s="236"/>
      <c r="S15" s="236"/>
      <c r="T15" s="236"/>
      <c r="U15" s="237"/>
      <c r="V15" s="234" t="s">
        <v>529</v>
      </c>
      <c r="W15" s="235" t="s">
        <v>530</v>
      </c>
      <c r="X15" s="236"/>
      <c r="Y15" s="236"/>
      <c r="Z15" s="236"/>
      <c r="AA15" s="236"/>
      <c r="AB15" s="236"/>
      <c r="AC15" s="236"/>
      <c r="AD15" s="236"/>
      <c r="AE15" s="237"/>
      <c r="AF15" s="235" t="s">
        <v>531</v>
      </c>
      <c r="AG15" s="236"/>
      <c r="AH15" s="236"/>
      <c r="AI15" s="236"/>
      <c r="AJ15" s="236"/>
      <c r="AK15" s="236"/>
      <c r="AL15" s="236"/>
      <c r="AM15" s="236"/>
      <c r="AN15" s="236"/>
      <c r="AO15" s="236"/>
      <c r="AP15" s="237"/>
      <c r="AQ15" s="238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9"/>
    </row>
    <row r="16" spans="1:63" ht="15.75" customHeight="1" thickTop="1">
      <c r="A16" s="1011">
        <v>1</v>
      </c>
      <c r="B16" s="1012"/>
      <c r="C16" s="254" t="s">
        <v>388</v>
      </c>
      <c r="D16" s="300" t="s">
        <v>565</v>
      </c>
      <c r="E16" s="138"/>
      <c r="F16" s="84"/>
      <c r="G16" s="84"/>
      <c r="H16" s="84"/>
      <c r="I16" s="84"/>
      <c r="J16" s="85"/>
      <c r="K16" s="140" t="s">
        <v>307</v>
      </c>
      <c r="L16" s="84"/>
      <c r="M16" s="84"/>
      <c r="N16" s="84"/>
      <c r="O16" s="84"/>
      <c r="P16" s="84"/>
      <c r="Q16" s="84"/>
      <c r="R16" s="84"/>
      <c r="S16" s="84"/>
      <c r="T16" s="84"/>
      <c r="U16" s="85"/>
      <c r="V16" s="255"/>
      <c r="W16" s="83"/>
      <c r="X16" s="84"/>
      <c r="Y16" s="84"/>
      <c r="Z16" s="84"/>
      <c r="AA16" s="84"/>
      <c r="AB16" s="84"/>
      <c r="AC16" s="84"/>
      <c r="AD16" s="84"/>
      <c r="AE16" s="85"/>
      <c r="AF16" s="140" t="s">
        <v>307</v>
      </c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3" t="s">
        <v>561</v>
      </c>
      <c r="AR16" s="302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2"/>
      <c r="BD16" s="302"/>
      <c r="BE16" s="302"/>
      <c r="BF16" s="302"/>
      <c r="BG16" s="302"/>
      <c r="BH16" s="302"/>
      <c r="BI16" s="302"/>
      <c r="BJ16" s="302"/>
      <c r="BK16" s="303"/>
    </row>
    <row r="17" spans="1:63" ht="15.75" customHeight="1">
      <c r="A17" s="306"/>
      <c r="B17" s="307"/>
      <c r="C17" s="254"/>
      <c r="D17" s="300"/>
      <c r="E17" s="84"/>
      <c r="F17" s="84"/>
      <c r="G17" s="84"/>
      <c r="H17" s="84"/>
      <c r="I17" s="84"/>
      <c r="J17" s="85"/>
      <c r="K17" s="140"/>
      <c r="L17" s="84"/>
      <c r="M17" s="84"/>
      <c r="N17" s="84"/>
      <c r="O17" s="84"/>
      <c r="P17" s="84"/>
      <c r="Q17" s="84"/>
      <c r="R17" s="84"/>
      <c r="S17" s="84"/>
      <c r="T17" s="84"/>
      <c r="U17" s="85"/>
      <c r="V17" s="255"/>
      <c r="W17" s="83"/>
      <c r="X17" s="84"/>
      <c r="Y17" s="84"/>
      <c r="Z17" s="84"/>
      <c r="AA17" s="84"/>
      <c r="AB17" s="84"/>
      <c r="AC17" s="84"/>
      <c r="AD17" s="84"/>
      <c r="AE17" s="85"/>
      <c r="AF17" s="30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301"/>
      <c r="AR17" s="302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2"/>
      <c r="BG17" s="302"/>
      <c r="BH17" s="302"/>
      <c r="BI17" s="302"/>
      <c r="BJ17" s="302"/>
      <c r="BK17" s="303"/>
    </row>
    <row r="18" spans="1:63" ht="15.75" customHeight="1">
      <c r="A18" s="415"/>
      <c r="B18" s="416"/>
      <c r="C18" s="416"/>
      <c r="D18" s="417"/>
      <c r="E18" s="134"/>
      <c r="F18" s="134"/>
      <c r="G18" s="134"/>
      <c r="H18" s="134"/>
      <c r="I18" s="134"/>
      <c r="J18" s="134"/>
      <c r="K18" s="417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321"/>
      <c r="W18" s="134"/>
      <c r="X18" s="134"/>
      <c r="Y18" s="134"/>
      <c r="Z18" s="134"/>
      <c r="AA18" s="134"/>
      <c r="AB18" s="134"/>
      <c r="AC18" s="134"/>
      <c r="AD18" s="134"/>
      <c r="AE18" s="134"/>
      <c r="AF18" s="417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94"/>
      <c r="AR18" s="418"/>
      <c r="AS18" s="418"/>
      <c r="AT18" s="418"/>
      <c r="AU18" s="418"/>
      <c r="AV18" s="418"/>
      <c r="AW18" s="418"/>
      <c r="AX18" s="418"/>
      <c r="AY18" s="418"/>
      <c r="AZ18" s="418"/>
      <c r="BA18" s="418"/>
      <c r="BB18" s="418"/>
      <c r="BC18" s="418"/>
      <c r="BD18" s="418"/>
      <c r="BE18" s="418"/>
      <c r="BF18" s="418"/>
      <c r="BG18" s="418"/>
      <c r="BH18" s="418"/>
      <c r="BI18" s="418"/>
      <c r="BJ18" s="418"/>
      <c r="BK18" s="419"/>
    </row>
    <row r="19" spans="1:63" ht="15.75" customHeight="1">
      <c r="A19" s="420"/>
      <c r="B19" s="412"/>
      <c r="C19" s="76" t="s">
        <v>566</v>
      </c>
      <c r="D19" s="413"/>
      <c r="E19" s="76"/>
      <c r="F19" s="76"/>
      <c r="G19" s="76"/>
      <c r="H19" s="76"/>
      <c r="I19" s="76"/>
      <c r="J19" s="76"/>
      <c r="K19" s="413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5"/>
      <c r="W19" s="76"/>
      <c r="X19" s="76"/>
      <c r="Y19" s="76"/>
      <c r="Z19" s="76"/>
      <c r="AA19" s="76"/>
      <c r="AB19" s="76"/>
      <c r="AC19" s="76"/>
      <c r="AD19" s="76"/>
      <c r="AE19" s="76"/>
      <c r="AF19" s="413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88"/>
      <c r="AR19" s="414"/>
      <c r="AS19" s="414"/>
      <c r="AT19" s="414"/>
      <c r="AU19" s="414"/>
      <c r="AV19" s="414"/>
      <c r="AW19" s="414"/>
      <c r="AX19" s="414"/>
      <c r="AY19" s="414"/>
      <c r="AZ19" s="414"/>
      <c r="BA19" s="414"/>
      <c r="BB19" s="414"/>
      <c r="BC19" s="414"/>
      <c r="BD19" s="414"/>
      <c r="BE19" s="414"/>
      <c r="BF19" s="414"/>
      <c r="BG19" s="414"/>
      <c r="BH19" s="414"/>
      <c r="BI19" s="414"/>
      <c r="BJ19" s="414"/>
      <c r="BK19" s="421"/>
    </row>
    <row r="20" spans="1:63" ht="15.75" customHeight="1">
      <c r="A20" s="420"/>
      <c r="B20" s="412"/>
      <c r="C20" s="76"/>
      <c r="D20" s="413" t="s">
        <v>567</v>
      </c>
      <c r="E20" s="76"/>
      <c r="F20" s="76"/>
      <c r="G20" s="76"/>
      <c r="H20" s="76"/>
      <c r="I20" s="76"/>
      <c r="J20" s="76"/>
      <c r="K20" s="413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5"/>
      <c r="W20" s="76"/>
      <c r="X20" s="76"/>
      <c r="Y20" s="76"/>
      <c r="Z20" s="76"/>
      <c r="AA20" s="76"/>
      <c r="AB20" s="76"/>
      <c r="AC20" s="76"/>
      <c r="AD20" s="76"/>
      <c r="AE20" s="76"/>
      <c r="AF20" s="413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88"/>
      <c r="AR20" s="414"/>
      <c r="AS20" s="414"/>
      <c r="AT20" s="414"/>
      <c r="AU20" s="414"/>
      <c r="AV20" s="414"/>
      <c r="AW20" s="414"/>
      <c r="AX20" s="414"/>
      <c r="AY20" s="414"/>
      <c r="AZ20" s="414"/>
      <c r="BA20" s="414"/>
      <c r="BB20" s="414"/>
      <c r="BC20" s="414"/>
      <c r="BD20" s="414"/>
      <c r="BE20" s="414"/>
      <c r="BF20" s="414"/>
      <c r="BG20" s="414"/>
      <c r="BH20" s="414"/>
      <c r="BI20" s="414"/>
      <c r="BJ20" s="414"/>
      <c r="BK20" s="421"/>
    </row>
    <row r="21" spans="1:63" ht="15.75" customHeight="1">
      <c r="A21" s="420"/>
      <c r="B21" s="412"/>
      <c r="C21" s="76"/>
      <c r="D21" s="413" t="s">
        <v>568</v>
      </c>
      <c r="E21" s="76"/>
      <c r="F21" s="76"/>
      <c r="G21" s="76"/>
      <c r="H21" s="76"/>
      <c r="I21" s="76"/>
      <c r="J21" s="76"/>
      <c r="K21" s="413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5"/>
      <c r="W21" s="76"/>
      <c r="X21" s="76"/>
      <c r="Y21" s="76"/>
      <c r="Z21" s="76"/>
      <c r="AA21" s="76"/>
      <c r="AB21" s="76"/>
      <c r="AC21" s="76"/>
      <c r="AD21" s="76"/>
      <c r="AE21" s="76"/>
      <c r="AF21" s="413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88"/>
      <c r="AR21" s="414"/>
      <c r="AS21" s="414"/>
      <c r="AT21" s="414"/>
      <c r="AU21" s="414"/>
      <c r="AV21" s="414"/>
      <c r="AW21" s="414"/>
      <c r="AX21" s="414"/>
      <c r="AY21" s="414"/>
      <c r="AZ21" s="414"/>
      <c r="BA21" s="414"/>
      <c r="BB21" s="414"/>
      <c r="BC21" s="414"/>
      <c r="BD21" s="414"/>
      <c r="BE21" s="414"/>
      <c r="BF21" s="414"/>
      <c r="BG21" s="414"/>
      <c r="BH21" s="414"/>
      <c r="BI21" s="414"/>
      <c r="BJ21" s="414"/>
      <c r="BK21" s="421"/>
    </row>
    <row r="22" spans="1:63" ht="15.75" customHeight="1">
      <c r="A22" s="420"/>
      <c r="B22" s="412"/>
      <c r="C22" s="76"/>
      <c r="D22" s="413" t="s">
        <v>569</v>
      </c>
      <c r="E22" s="76"/>
      <c r="F22" s="76"/>
      <c r="G22" s="76"/>
      <c r="H22" s="76"/>
      <c r="I22" s="76"/>
      <c r="J22" s="76"/>
      <c r="K22" s="413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5"/>
      <c r="W22" s="76"/>
      <c r="X22" s="76"/>
      <c r="Y22" s="76"/>
      <c r="Z22" s="76"/>
      <c r="AA22" s="76"/>
      <c r="AB22" s="76"/>
      <c r="AC22" s="76"/>
      <c r="AD22" s="76"/>
      <c r="AE22" s="76"/>
      <c r="AF22" s="413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88"/>
      <c r="AR22" s="414"/>
      <c r="AS22" s="414"/>
      <c r="AT22" s="414"/>
      <c r="AU22" s="414"/>
      <c r="AV22" s="414"/>
      <c r="AW22" s="414"/>
      <c r="AX22" s="414"/>
      <c r="AY22" s="414"/>
      <c r="AZ22" s="414"/>
      <c r="BA22" s="414"/>
      <c r="BB22" s="414"/>
      <c r="BC22" s="414"/>
      <c r="BD22" s="414"/>
      <c r="BE22" s="414"/>
      <c r="BF22" s="414"/>
      <c r="BG22" s="414"/>
      <c r="BH22" s="414"/>
      <c r="BI22" s="414"/>
      <c r="BJ22" s="414"/>
      <c r="BK22" s="421"/>
    </row>
    <row r="23" spans="1:63" ht="15.75" customHeight="1">
      <c r="A23" s="420"/>
      <c r="B23" s="412"/>
      <c r="C23" s="412"/>
      <c r="D23" s="413"/>
      <c r="E23" s="76"/>
      <c r="F23" s="76"/>
      <c r="G23" s="76"/>
      <c r="H23" s="76"/>
      <c r="I23" s="76"/>
      <c r="J23" s="76"/>
      <c r="K23" s="413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5"/>
      <c r="W23" s="76"/>
      <c r="X23" s="76"/>
      <c r="Y23" s="76"/>
      <c r="Z23" s="76"/>
      <c r="AA23" s="76"/>
      <c r="AB23" s="76"/>
      <c r="AC23" s="76"/>
      <c r="AD23" s="76"/>
      <c r="AE23" s="76"/>
      <c r="AF23" s="413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88"/>
      <c r="AR23" s="414"/>
      <c r="AS23" s="414"/>
      <c r="AT23" s="414"/>
      <c r="AU23" s="414"/>
      <c r="AV23" s="414"/>
      <c r="AW23" s="414"/>
      <c r="AX23" s="414"/>
      <c r="AY23" s="414"/>
      <c r="AZ23" s="414"/>
      <c r="BA23" s="414"/>
      <c r="BB23" s="414"/>
      <c r="BC23" s="414"/>
      <c r="BD23" s="414"/>
      <c r="BE23" s="414"/>
      <c r="BF23" s="414"/>
      <c r="BG23" s="414"/>
      <c r="BH23" s="414"/>
      <c r="BI23" s="414"/>
      <c r="BJ23" s="414"/>
      <c r="BK23" s="421"/>
    </row>
    <row r="24" spans="1:63" ht="15.75" customHeight="1">
      <c r="A24" s="420"/>
      <c r="B24" s="412"/>
      <c r="C24" s="76" t="s">
        <v>570</v>
      </c>
      <c r="D24" s="413"/>
      <c r="E24" s="76"/>
      <c r="F24" s="76"/>
      <c r="G24" s="76"/>
      <c r="H24" s="76"/>
      <c r="I24" s="76"/>
      <c r="J24" s="76"/>
      <c r="K24" s="413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5"/>
      <c r="W24" s="76"/>
      <c r="X24" s="76"/>
      <c r="Y24" s="76"/>
      <c r="Z24" s="76"/>
      <c r="AA24" s="76"/>
      <c r="AB24" s="76"/>
      <c r="AC24" s="76"/>
      <c r="AD24" s="76"/>
      <c r="AE24" s="76"/>
      <c r="AF24" s="413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88"/>
      <c r="AR24" s="414"/>
      <c r="AS24" s="414"/>
      <c r="AT24" s="414"/>
      <c r="AU24" s="414"/>
      <c r="AV24" s="414"/>
      <c r="AW24" s="414"/>
      <c r="AX24" s="414"/>
      <c r="AY24" s="414"/>
      <c r="AZ24" s="414"/>
      <c r="BA24" s="414"/>
      <c r="BB24" s="414"/>
      <c r="BC24" s="414"/>
      <c r="BD24" s="414"/>
      <c r="BE24" s="414"/>
      <c r="BF24" s="414"/>
      <c r="BG24" s="414"/>
      <c r="BH24" s="414"/>
      <c r="BI24" s="414"/>
      <c r="BJ24" s="414"/>
      <c r="BK24" s="421"/>
    </row>
    <row r="25" spans="1:63" ht="15.75" customHeight="1">
      <c r="A25" s="420"/>
      <c r="B25" s="412"/>
      <c r="C25" s="412"/>
      <c r="D25" s="435" t="s">
        <v>571</v>
      </c>
      <c r="E25" s="436"/>
      <c r="F25" s="436"/>
      <c r="G25" s="436"/>
      <c r="H25" s="436"/>
      <c r="I25" s="436"/>
      <c r="J25" s="436"/>
      <c r="K25" s="437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8"/>
      <c r="W25" s="436" t="s">
        <v>572</v>
      </c>
      <c r="X25" s="436"/>
      <c r="Y25" s="436"/>
      <c r="Z25" s="436"/>
      <c r="AA25" s="436"/>
      <c r="AB25" s="436"/>
      <c r="AC25" s="436"/>
      <c r="AD25" s="436"/>
      <c r="AE25" s="436"/>
      <c r="AF25" s="437"/>
      <c r="AG25" s="436"/>
      <c r="AH25" s="436"/>
      <c r="AI25" s="436"/>
      <c r="AJ25" s="436"/>
      <c r="AK25" s="436"/>
      <c r="AL25" s="436"/>
      <c r="AM25" s="436"/>
      <c r="AN25" s="436"/>
      <c r="AO25" s="436"/>
      <c r="AP25" s="436"/>
      <c r="AQ25" s="439"/>
      <c r="AR25" s="440"/>
      <c r="AS25" s="440"/>
      <c r="AT25" s="440"/>
      <c r="AU25" s="440"/>
      <c r="AV25" s="440"/>
      <c r="AW25" s="440"/>
      <c r="AX25" s="440"/>
      <c r="AY25" s="440"/>
      <c r="AZ25" s="441"/>
      <c r="BA25" s="414"/>
      <c r="BB25" s="414"/>
      <c r="BC25" s="414"/>
      <c r="BD25" s="414"/>
      <c r="BE25" s="414"/>
      <c r="BF25" s="414"/>
      <c r="BG25" s="414"/>
      <c r="BH25" s="414"/>
      <c r="BI25" s="414"/>
      <c r="BJ25" s="414"/>
      <c r="BK25" s="421"/>
    </row>
    <row r="26" spans="1:63" ht="15.75" customHeight="1">
      <c r="A26" s="420"/>
      <c r="B26" s="412"/>
      <c r="C26" s="412"/>
      <c r="D26" s="424" t="s">
        <v>573</v>
      </c>
      <c r="E26" s="76"/>
      <c r="F26" s="76"/>
      <c r="G26" s="76"/>
      <c r="H26" s="76"/>
      <c r="I26" s="76"/>
      <c r="J26" s="76"/>
      <c r="K26" s="413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425"/>
      <c r="W26" s="81" t="s">
        <v>574</v>
      </c>
      <c r="X26" s="76"/>
      <c r="Y26" s="76"/>
      <c r="Z26" s="76"/>
      <c r="AA26" s="76"/>
      <c r="AB26" s="76"/>
      <c r="AC26" s="76"/>
      <c r="AD26" s="76"/>
      <c r="AE26" s="76"/>
      <c r="AF26" s="413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88"/>
      <c r="AR26" s="414"/>
      <c r="AS26" s="414"/>
      <c r="AT26" s="414"/>
      <c r="AU26" s="414"/>
      <c r="AV26" s="414"/>
      <c r="AW26" s="414"/>
      <c r="AX26" s="414"/>
      <c r="AY26" s="414"/>
      <c r="AZ26" s="428"/>
      <c r="BA26" s="414"/>
      <c r="BB26" s="414"/>
      <c r="BC26" s="414"/>
      <c r="BD26" s="414"/>
      <c r="BE26" s="414"/>
      <c r="BF26" s="414"/>
      <c r="BG26" s="414"/>
      <c r="BH26" s="414"/>
      <c r="BI26" s="414"/>
      <c r="BJ26" s="414"/>
      <c r="BK26" s="421"/>
    </row>
    <row r="27" spans="1:63" ht="15.75" customHeight="1">
      <c r="A27" s="420"/>
      <c r="B27" s="412"/>
      <c r="C27" s="412"/>
      <c r="D27" s="426"/>
      <c r="E27" s="84"/>
      <c r="F27" s="84"/>
      <c r="G27" s="84"/>
      <c r="H27" s="84"/>
      <c r="I27" s="84"/>
      <c r="J27" s="84"/>
      <c r="K27" s="30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427"/>
      <c r="W27" s="83" t="s">
        <v>575</v>
      </c>
      <c r="X27" s="84"/>
      <c r="Y27" s="84"/>
      <c r="Z27" s="84"/>
      <c r="AA27" s="84"/>
      <c r="AB27" s="84"/>
      <c r="AC27" s="84"/>
      <c r="AD27" s="84"/>
      <c r="AE27" s="84"/>
      <c r="AF27" s="30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9"/>
      <c r="AR27" s="302"/>
      <c r="AS27" s="302"/>
      <c r="AT27" s="302"/>
      <c r="AU27" s="302"/>
      <c r="AV27" s="302"/>
      <c r="AW27" s="302"/>
      <c r="AX27" s="302"/>
      <c r="AY27" s="302"/>
      <c r="AZ27" s="429"/>
      <c r="BA27" s="414"/>
      <c r="BB27" s="414"/>
      <c r="BC27" s="414"/>
      <c r="BD27" s="414"/>
      <c r="BE27" s="414"/>
      <c r="BF27" s="414"/>
      <c r="BG27" s="414"/>
      <c r="BH27" s="414"/>
      <c r="BI27" s="414"/>
      <c r="BJ27" s="414"/>
      <c r="BK27" s="421"/>
    </row>
    <row r="28" spans="1:63" ht="15.75" customHeight="1">
      <c r="A28" s="420"/>
      <c r="B28" s="412"/>
      <c r="C28" s="412"/>
      <c r="D28" s="300" t="s">
        <v>576</v>
      </c>
      <c r="E28" s="138"/>
      <c r="F28" s="138"/>
      <c r="G28" s="138"/>
      <c r="H28" s="138"/>
      <c r="I28" s="138"/>
      <c r="J28" s="138"/>
      <c r="K28" s="430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431"/>
      <c r="W28" s="138"/>
      <c r="X28" s="138"/>
      <c r="Y28" s="138"/>
      <c r="Z28" s="138"/>
      <c r="AA28" s="138"/>
      <c r="AB28" s="138"/>
      <c r="AC28" s="138"/>
      <c r="AD28" s="138"/>
      <c r="AE28" s="138"/>
      <c r="AF28" s="430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432"/>
      <c r="AR28" s="433"/>
      <c r="AS28" s="433"/>
      <c r="AT28" s="433"/>
      <c r="AU28" s="433"/>
      <c r="AV28" s="433"/>
      <c r="AW28" s="433"/>
      <c r="AX28" s="433"/>
      <c r="AY28" s="433"/>
      <c r="AZ28" s="434"/>
      <c r="BA28" s="414"/>
      <c r="BB28" s="414"/>
      <c r="BC28" s="414"/>
      <c r="BD28" s="414"/>
      <c r="BE28" s="414"/>
      <c r="BF28" s="414"/>
      <c r="BG28" s="414"/>
      <c r="BH28" s="414"/>
      <c r="BI28" s="414"/>
      <c r="BJ28" s="414"/>
      <c r="BK28" s="421"/>
    </row>
    <row r="29" spans="1:63" ht="15.75" customHeight="1">
      <c r="A29" s="1019"/>
      <c r="B29" s="1020"/>
      <c r="C29" s="422"/>
      <c r="D29" s="304"/>
      <c r="E29" s="84"/>
      <c r="F29" s="84"/>
      <c r="G29" s="84"/>
      <c r="H29" s="84"/>
      <c r="I29" s="84"/>
      <c r="J29" s="84"/>
      <c r="K29" s="30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423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9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3"/>
    </row>
  </sheetData>
  <mergeCells count="26">
    <mergeCell ref="A16:B16"/>
    <mergeCell ref="A29:B29"/>
    <mergeCell ref="A11:B11"/>
    <mergeCell ref="BF2:BK3"/>
    <mergeCell ref="K3:T3"/>
    <mergeCell ref="U3:Y3"/>
    <mergeCell ref="Z3:AD3"/>
    <mergeCell ref="AE3:AR3"/>
    <mergeCell ref="A9:B9"/>
    <mergeCell ref="A1:J3"/>
    <mergeCell ref="AS1:AY1"/>
    <mergeCell ref="AZ1:BE1"/>
    <mergeCell ref="BF1:BK1"/>
    <mergeCell ref="K2:T2"/>
    <mergeCell ref="U2:Y2"/>
    <mergeCell ref="Z2:AD2"/>
    <mergeCell ref="K1:T1"/>
    <mergeCell ref="U1:Y1"/>
    <mergeCell ref="Z1:AD1"/>
    <mergeCell ref="AE1:AI1"/>
    <mergeCell ref="AJ1:AR1"/>
    <mergeCell ref="A10:B10"/>
    <mergeCell ref="AE2:AI2"/>
    <mergeCell ref="AJ2:AR2"/>
    <mergeCell ref="AS2:AY3"/>
    <mergeCell ref="AZ2:BE3"/>
  </mergeCells>
  <phoneticPr fontId="9"/>
  <dataValidations count="1">
    <dataValidation imeMode="off" allowBlank="1" showInputMessage="1" showErrorMessage="1" sqref="D9:J10 W9:AE10 W16:AE28 D16:J28" xr:uid="{222A8E64-F596-4BA5-99FE-A416A77DEB41}"/>
  </dataValidations>
  <pageMargins left="0.51181102362204722" right="0.74803149606299213" top="0.70866141732283472" bottom="0.43307086614173229" header="0.51181102362204722" footer="0.19685039370078741"/>
  <pageSetup paperSize="9" scale="80" fitToHeight="0" orientation="landscape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1B7C-AD54-447B-B02C-5448E33F931A}">
  <sheetPr codeName="Sheet14">
    <pageSetUpPr fitToPage="1"/>
  </sheetPr>
  <dimension ref="A1:CI37"/>
  <sheetViews>
    <sheetView showGridLines="0" showZeros="0" view="pageBreakPreview" zoomScale="85" zoomScaleNormal="100" zoomScaleSheetLayoutView="85" workbookViewId="0">
      <selection activeCell="D26" sqref="D26"/>
    </sheetView>
  </sheetViews>
  <sheetFormatPr defaultColWidth="2.125" defaultRowHeight="15.75" customHeight="1"/>
  <cols>
    <col min="1" max="1" width="2.125" style="101" customWidth="1"/>
    <col min="2" max="2" width="2.125" style="76" customWidth="1"/>
    <col min="3" max="3" width="2.375" style="76" customWidth="1"/>
    <col min="4" max="4" width="2.125" style="76" customWidth="1"/>
    <col min="5" max="5" width="3" style="76" customWidth="1"/>
    <col min="6" max="59" width="2.125" style="76" customWidth="1"/>
    <col min="60" max="60" width="10.375" style="76" customWidth="1"/>
    <col min="61" max="62" width="2.125" style="76" customWidth="1"/>
    <col min="63" max="63" width="2.25" style="76" customWidth="1"/>
    <col min="64" max="16384" width="2.125" style="76"/>
  </cols>
  <sheetData>
    <row r="1" spans="1:87" s="73" customFormat="1" ht="15.75" customHeight="1">
      <c r="A1" s="963" t="str">
        <f>表紙!A54</f>
        <v>Webシステム</v>
      </c>
      <c r="B1" s="964"/>
      <c r="C1" s="964"/>
      <c r="D1" s="964"/>
      <c r="E1" s="964"/>
      <c r="F1" s="964"/>
      <c r="G1" s="964"/>
      <c r="H1" s="964"/>
      <c r="I1" s="964"/>
      <c r="J1" s="965"/>
      <c r="K1" s="988" t="s">
        <v>152</v>
      </c>
      <c r="L1" s="989"/>
      <c r="M1" s="989"/>
      <c r="N1" s="989"/>
      <c r="O1" s="989"/>
      <c r="P1" s="989"/>
      <c r="Q1" s="989"/>
      <c r="R1" s="989"/>
      <c r="S1" s="989"/>
      <c r="T1" s="990"/>
      <c r="U1" s="991" t="s">
        <v>153</v>
      </c>
      <c r="V1" s="992"/>
      <c r="W1" s="992"/>
      <c r="X1" s="992"/>
      <c r="Y1" s="993"/>
      <c r="Z1" s="994" t="str">
        <f>表紙!$AJ$63</f>
        <v>MS</v>
      </c>
      <c r="AA1" s="995"/>
      <c r="AB1" s="995"/>
      <c r="AC1" s="995"/>
      <c r="AD1" s="996"/>
      <c r="AE1" s="997" t="s">
        <v>154</v>
      </c>
      <c r="AF1" s="974"/>
      <c r="AG1" s="974"/>
      <c r="AH1" s="974"/>
      <c r="AI1" s="975"/>
      <c r="AJ1" s="998" t="str">
        <f>表紙!$AX$63</f>
        <v>Webシステム</v>
      </c>
      <c r="AK1" s="999"/>
      <c r="AL1" s="999"/>
      <c r="AM1" s="999"/>
      <c r="AN1" s="999"/>
      <c r="AO1" s="999"/>
      <c r="AP1" s="999"/>
      <c r="AQ1" s="999"/>
      <c r="AR1" s="1000"/>
      <c r="AS1" s="972" t="s">
        <v>101</v>
      </c>
      <c r="AT1" s="972"/>
      <c r="AU1" s="972"/>
      <c r="AV1" s="972"/>
      <c r="AW1" s="972"/>
      <c r="AX1" s="972"/>
      <c r="AY1" s="972"/>
      <c r="AZ1" s="973" t="s">
        <v>124</v>
      </c>
      <c r="BA1" s="974"/>
      <c r="BB1" s="974"/>
      <c r="BC1" s="974"/>
      <c r="BD1" s="974"/>
      <c r="BE1" s="975"/>
      <c r="BF1" s="973" t="s">
        <v>155</v>
      </c>
      <c r="BG1" s="974"/>
      <c r="BH1" s="974"/>
      <c r="BI1" s="974"/>
      <c r="BJ1" s="974"/>
      <c r="BK1" s="976"/>
    </row>
    <row r="2" spans="1:87" s="73" customFormat="1" ht="15.75" customHeight="1">
      <c r="A2" s="966"/>
      <c r="B2" s="967"/>
      <c r="C2" s="967"/>
      <c r="D2" s="967"/>
      <c r="E2" s="967"/>
      <c r="F2" s="967"/>
      <c r="G2" s="967"/>
      <c r="H2" s="967"/>
      <c r="I2" s="967"/>
      <c r="J2" s="968"/>
      <c r="K2" s="977" t="str">
        <f>表紙!O64</f>
        <v>アドオン設計書</v>
      </c>
      <c r="L2" s="944"/>
      <c r="M2" s="944"/>
      <c r="N2" s="944"/>
      <c r="O2" s="944"/>
      <c r="P2" s="944"/>
      <c r="Q2" s="944"/>
      <c r="R2" s="944"/>
      <c r="S2" s="944"/>
      <c r="T2" s="978"/>
      <c r="U2" s="979" t="s">
        <v>156</v>
      </c>
      <c r="V2" s="980"/>
      <c r="W2" s="980"/>
      <c r="X2" s="980"/>
      <c r="Y2" s="981"/>
      <c r="Z2" s="982" t="str">
        <f>表紙!$AJ$64</f>
        <v>MSBB</v>
      </c>
      <c r="AA2" s="983"/>
      <c r="AB2" s="983"/>
      <c r="AC2" s="983"/>
      <c r="AD2" s="984"/>
      <c r="AE2" s="985" t="s">
        <v>157</v>
      </c>
      <c r="AF2" s="986"/>
      <c r="AG2" s="986"/>
      <c r="AH2" s="986"/>
      <c r="AI2" s="987"/>
      <c r="AJ2" s="1002" t="str">
        <f>表紙!$AX$64</f>
        <v>Web販売管理</v>
      </c>
      <c r="AK2" s="1003"/>
      <c r="AL2" s="1003"/>
      <c r="AM2" s="1003"/>
      <c r="AN2" s="1003"/>
      <c r="AO2" s="1003"/>
      <c r="AP2" s="1003"/>
      <c r="AQ2" s="1003"/>
      <c r="AR2" s="1004"/>
      <c r="AS2" s="1005" t="str">
        <f>表紙!$BL$64</f>
        <v>M7-US-1140</v>
      </c>
      <c r="AT2" s="1006"/>
      <c r="AU2" s="1006"/>
      <c r="AV2" s="1006"/>
      <c r="AW2" s="1006"/>
      <c r="AX2" s="1006"/>
      <c r="AY2" s="1006"/>
      <c r="AZ2" s="1008" t="str">
        <f>表紙!$BU$64</f>
        <v>7.0.2</v>
      </c>
      <c r="BA2" s="944"/>
      <c r="BB2" s="944"/>
      <c r="BC2" s="944"/>
      <c r="BD2" s="944"/>
      <c r="BE2" s="978"/>
      <c r="BF2" s="943">
        <f>表紙!$CB$64</f>
        <v>1</v>
      </c>
      <c r="BG2" s="944"/>
      <c r="BH2" s="944"/>
      <c r="BI2" s="944"/>
      <c r="BJ2" s="944"/>
      <c r="BK2" s="945"/>
    </row>
    <row r="3" spans="1:87" s="73" customFormat="1" ht="15.75" customHeight="1" thickBot="1">
      <c r="A3" s="969"/>
      <c r="B3" s="970"/>
      <c r="C3" s="970"/>
      <c r="D3" s="970"/>
      <c r="E3" s="970"/>
      <c r="F3" s="970"/>
      <c r="G3" s="970"/>
      <c r="H3" s="970"/>
      <c r="I3" s="970"/>
      <c r="J3" s="971"/>
      <c r="K3" s="949" t="str">
        <f ca="1">RIGHT(CELL("filename",$A$1),LEN(CELL("filename",$A$1))-FIND("]",CELL("filename",$A$1)))</f>
        <v>画面遷移</v>
      </c>
      <c r="L3" s="950"/>
      <c r="M3" s="950"/>
      <c r="N3" s="950"/>
      <c r="O3" s="950"/>
      <c r="P3" s="950"/>
      <c r="Q3" s="950"/>
      <c r="R3" s="950"/>
      <c r="S3" s="950"/>
      <c r="T3" s="951"/>
      <c r="U3" s="952" t="s">
        <v>158</v>
      </c>
      <c r="V3" s="953"/>
      <c r="W3" s="953"/>
      <c r="X3" s="953"/>
      <c r="Y3" s="954"/>
      <c r="Z3" s="955" t="str">
        <f>表紙!$AJ$65</f>
        <v>MSBBPA100</v>
      </c>
      <c r="AA3" s="956"/>
      <c r="AB3" s="956"/>
      <c r="AC3" s="956"/>
      <c r="AD3" s="956"/>
      <c r="AE3" s="957" t="str">
        <f>表紙!$AQ$65</f>
        <v>WebFSC製品化チェックシート出力</v>
      </c>
      <c r="AF3" s="958"/>
      <c r="AG3" s="958"/>
      <c r="AH3" s="958"/>
      <c r="AI3" s="958"/>
      <c r="AJ3" s="958"/>
      <c r="AK3" s="958"/>
      <c r="AL3" s="958"/>
      <c r="AM3" s="958"/>
      <c r="AN3" s="958"/>
      <c r="AO3" s="958"/>
      <c r="AP3" s="958"/>
      <c r="AQ3" s="958"/>
      <c r="AR3" s="959"/>
      <c r="AS3" s="1007"/>
      <c r="AT3" s="1007"/>
      <c r="AU3" s="1007"/>
      <c r="AV3" s="1007"/>
      <c r="AW3" s="1007"/>
      <c r="AX3" s="1007"/>
      <c r="AY3" s="1007"/>
      <c r="AZ3" s="946"/>
      <c r="BA3" s="947"/>
      <c r="BB3" s="947"/>
      <c r="BC3" s="947"/>
      <c r="BD3" s="947"/>
      <c r="BE3" s="1009"/>
      <c r="BF3" s="946"/>
      <c r="BG3" s="947"/>
      <c r="BH3" s="947"/>
      <c r="BI3" s="947"/>
      <c r="BJ3" s="947"/>
      <c r="BK3" s="948"/>
    </row>
    <row r="4" spans="1:87" s="73" customFormat="1" ht="6.75" customHeight="1" thickBot="1">
      <c r="B4" s="69"/>
      <c r="C4" s="70"/>
      <c r="D4" s="70"/>
      <c r="E4" s="70"/>
      <c r="F4" s="71"/>
      <c r="G4" s="71"/>
      <c r="H4" s="71"/>
      <c r="I4" s="71"/>
      <c r="J4" s="70"/>
      <c r="K4" s="71"/>
      <c r="L4" s="71"/>
      <c r="M4" s="71"/>
      <c r="N4" s="71"/>
      <c r="O4" s="71"/>
      <c r="P4" s="71"/>
      <c r="Q4" s="72"/>
    </row>
    <row r="5" spans="1:87" ht="15.75" customHeight="1" thickBot="1">
      <c r="A5" s="278" t="s">
        <v>577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279"/>
      <c r="AR5" s="279"/>
      <c r="AS5" s="279"/>
      <c r="AT5" s="279"/>
      <c r="AU5" s="279"/>
      <c r="AV5" s="279"/>
      <c r="AW5" s="279"/>
      <c r="AX5" s="279"/>
      <c r="AY5" s="279"/>
      <c r="AZ5" s="279"/>
      <c r="BA5" s="279"/>
      <c r="BB5" s="279"/>
      <c r="BC5" s="279"/>
      <c r="BD5" s="279"/>
      <c r="BE5" s="279"/>
      <c r="BF5" s="279"/>
      <c r="BG5" s="279"/>
      <c r="BH5" s="279"/>
      <c r="BI5" s="279"/>
      <c r="BJ5" s="279"/>
      <c r="BK5" s="279"/>
      <c r="BL5" s="279"/>
      <c r="BM5" s="279"/>
      <c r="BN5" s="279"/>
      <c r="BO5" s="279"/>
      <c r="BP5" s="279"/>
      <c r="BQ5" s="279"/>
      <c r="BR5" s="279"/>
      <c r="BS5" s="279"/>
      <c r="BT5" s="279"/>
      <c r="BU5" s="279"/>
      <c r="BV5" s="279"/>
      <c r="BW5" s="279"/>
      <c r="BX5" s="279"/>
      <c r="BY5" s="279"/>
      <c r="BZ5" s="279"/>
      <c r="CA5" s="279"/>
      <c r="CB5" s="279"/>
      <c r="CC5" s="279"/>
      <c r="CD5" s="279"/>
      <c r="CE5" s="279"/>
      <c r="CF5" s="279"/>
      <c r="CG5" s="279"/>
      <c r="CH5" s="280"/>
    </row>
    <row r="6" spans="1:87" ht="15.75" customHeight="1" thickBot="1">
      <c r="A6" s="308" t="s">
        <v>578</v>
      </c>
      <c r="B6" s="309"/>
      <c r="C6" s="310" t="s">
        <v>579</v>
      </c>
      <c r="D6" s="311"/>
      <c r="E6" s="311" t="s">
        <v>580</v>
      </c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  <c r="AD6" s="311"/>
      <c r="AE6" s="311"/>
      <c r="AF6" s="311"/>
      <c r="AG6" s="311"/>
      <c r="AH6" s="311"/>
      <c r="AI6" s="311"/>
      <c r="AJ6" s="311"/>
      <c r="AK6" s="311"/>
      <c r="AL6" s="311"/>
      <c r="AM6" s="311"/>
      <c r="AN6" s="311"/>
      <c r="AO6" s="311"/>
      <c r="AP6" s="311"/>
      <c r="AQ6" s="311"/>
      <c r="AR6" s="311"/>
      <c r="AS6" s="311"/>
      <c r="AT6" s="311"/>
      <c r="AU6" s="311"/>
      <c r="AV6" s="311"/>
      <c r="AW6" s="311"/>
      <c r="AX6" s="311"/>
      <c r="AY6" s="311"/>
      <c r="AZ6" s="311"/>
      <c r="BA6" s="311"/>
      <c r="BB6" s="311"/>
      <c r="BC6" s="311"/>
      <c r="BD6" s="311"/>
      <c r="BE6" s="311"/>
      <c r="BF6" s="311"/>
      <c r="BG6" s="311"/>
      <c r="BH6" s="311"/>
      <c r="BI6" s="311"/>
      <c r="BJ6" s="311"/>
      <c r="BK6" s="311"/>
      <c r="BL6" s="311"/>
      <c r="BM6" s="311"/>
      <c r="BN6" s="311"/>
      <c r="BO6" s="311"/>
      <c r="BP6" s="311"/>
      <c r="BQ6" s="311"/>
      <c r="BR6" s="311"/>
      <c r="BS6" s="311"/>
      <c r="BT6" s="311"/>
      <c r="BU6" s="311"/>
      <c r="BV6" s="311"/>
      <c r="BW6" s="311"/>
      <c r="BX6" s="311"/>
      <c r="BY6" s="311"/>
      <c r="BZ6" s="311"/>
      <c r="CA6" s="311"/>
      <c r="CB6" s="311"/>
      <c r="CC6" s="311"/>
      <c r="CD6" s="311"/>
      <c r="CE6" s="311"/>
      <c r="CF6" s="311"/>
      <c r="CG6" s="311"/>
      <c r="CH6" s="312"/>
      <c r="CI6" s="91"/>
    </row>
    <row r="7" spans="1:87" ht="15.75" customHeight="1">
      <c r="A7" s="77"/>
      <c r="K7" s="91"/>
      <c r="CH7" s="78"/>
    </row>
    <row r="8" spans="1:87" ht="15.75" customHeight="1">
      <c r="A8" s="77"/>
      <c r="K8" s="91"/>
      <c r="CH8" s="78"/>
    </row>
    <row r="9" spans="1:87" ht="15.75" customHeight="1">
      <c r="A9" s="77"/>
      <c r="D9" s="91" t="s">
        <v>581</v>
      </c>
      <c r="K9" s="91"/>
      <c r="CH9" s="78"/>
    </row>
    <row r="10" spans="1:87" ht="15.75" customHeight="1">
      <c r="A10" s="77"/>
      <c r="D10" s="76" t="s">
        <v>582</v>
      </c>
      <c r="K10" s="91"/>
      <c r="R10" s="91"/>
      <c r="AI10" s="91"/>
      <c r="CH10" s="78"/>
    </row>
    <row r="11" spans="1:87" ht="15.75" customHeight="1">
      <c r="A11" s="77"/>
      <c r="K11" s="91"/>
      <c r="CH11" s="78"/>
    </row>
    <row r="12" spans="1:87" ht="15.75" customHeight="1">
      <c r="A12" s="77"/>
      <c r="D12" s="91"/>
      <c r="E12" s="91"/>
      <c r="F12" s="91"/>
      <c r="G12" s="91"/>
      <c r="H12" s="91"/>
      <c r="I12" s="91"/>
      <c r="J12" s="91"/>
      <c r="K12" s="91" t="s">
        <v>523</v>
      </c>
      <c r="R12" s="91" t="s">
        <v>583</v>
      </c>
      <c r="T12" s="91"/>
      <c r="U12" s="91"/>
      <c r="V12" s="91"/>
      <c r="W12" s="91"/>
      <c r="Y12" s="91"/>
      <c r="Z12" s="91"/>
      <c r="AA12" s="91"/>
      <c r="AB12" s="91"/>
      <c r="AC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W12" s="91"/>
      <c r="AX12" s="91"/>
      <c r="AY12" s="91"/>
      <c r="AZ12" s="91"/>
      <c r="BA12" s="91"/>
      <c r="BB12" s="91"/>
      <c r="BC12" s="91"/>
      <c r="BD12" s="91"/>
      <c r="CH12" s="78"/>
    </row>
    <row r="13" spans="1:87" ht="15.75" customHeight="1">
      <c r="A13" s="77"/>
      <c r="D13" s="91"/>
      <c r="E13" s="91"/>
      <c r="F13" s="91"/>
      <c r="G13" s="91"/>
      <c r="H13" s="91"/>
      <c r="I13" s="91"/>
      <c r="J13" s="91"/>
      <c r="K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CH13" s="78"/>
    </row>
    <row r="14" spans="1:87" ht="15.75" customHeight="1">
      <c r="A14" s="77"/>
      <c r="D14" s="91"/>
      <c r="E14" s="91"/>
      <c r="F14" s="91"/>
      <c r="G14" s="91"/>
      <c r="H14" s="91"/>
      <c r="I14" s="91"/>
      <c r="J14" s="91"/>
      <c r="K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CH14" s="78"/>
    </row>
    <row r="15" spans="1:87" ht="15.75" customHeight="1">
      <c r="A15" s="77"/>
      <c r="D15" s="91" t="s">
        <v>584</v>
      </c>
      <c r="K15" s="91" t="s">
        <v>523</v>
      </c>
      <c r="CH15" s="78"/>
    </row>
    <row r="16" spans="1:87" ht="15.75" customHeight="1">
      <c r="A16" s="77"/>
      <c r="D16" s="76" t="s">
        <v>585</v>
      </c>
      <c r="K16" s="91"/>
      <c r="CH16" s="78"/>
    </row>
    <row r="17" spans="1:87" ht="15.75" customHeight="1">
      <c r="A17" s="77"/>
      <c r="K17" s="91"/>
      <c r="CH17" s="78"/>
    </row>
    <row r="18" spans="1:87" ht="15.75" customHeight="1">
      <c r="A18" s="77"/>
      <c r="K18" s="91"/>
      <c r="CH18" s="78"/>
    </row>
    <row r="19" spans="1:87" ht="15.75" customHeight="1">
      <c r="A19" s="77"/>
      <c r="K19" s="91"/>
      <c r="CH19" s="78"/>
    </row>
    <row r="20" spans="1:87" ht="15.75" customHeight="1">
      <c r="A20" s="77"/>
      <c r="CH20" s="78"/>
    </row>
    <row r="21" spans="1:87" ht="15.75" customHeight="1" thickBot="1">
      <c r="A21" s="79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80"/>
    </row>
    <row r="22" spans="1:87" ht="15.75" customHeight="1">
      <c r="A22" s="313" t="s">
        <v>586</v>
      </c>
      <c r="B22" s="314"/>
      <c r="C22" s="314"/>
      <c r="D22" s="315" t="s">
        <v>587</v>
      </c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  <c r="AM22" s="314"/>
      <c r="AN22" s="314"/>
      <c r="AO22" s="314"/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6"/>
      <c r="BA22" s="316"/>
      <c r="BB22" s="316"/>
      <c r="BC22" s="316"/>
      <c r="BD22" s="316"/>
      <c r="BE22" s="316"/>
      <c r="BF22" s="316"/>
      <c r="BG22" s="316"/>
      <c r="BH22" s="316"/>
      <c r="BI22" s="316"/>
      <c r="BJ22" s="316"/>
      <c r="BK22" s="316"/>
      <c r="BL22" s="316"/>
      <c r="BM22" s="316"/>
      <c r="BN22" s="316"/>
      <c r="BO22" s="316"/>
      <c r="BP22" s="316"/>
      <c r="BQ22" s="316"/>
      <c r="BR22" s="316"/>
      <c r="BS22" s="316"/>
      <c r="BT22" s="316"/>
      <c r="BU22" s="316"/>
      <c r="BV22" s="316"/>
      <c r="BW22" s="316"/>
      <c r="BX22" s="316"/>
      <c r="BY22" s="316"/>
      <c r="BZ22" s="316"/>
      <c r="CA22" s="316"/>
      <c r="CB22" s="316"/>
      <c r="CC22" s="316"/>
      <c r="CD22" s="316"/>
      <c r="CE22" s="316"/>
      <c r="CF22" s="316"/>
      <c r="CG22" s="316"/>
      <c r="CH22" s="317"/>
    </row>
    <row r="23" spans="1:87" ht="15.75" customHeight="1">
      <c r="A23" s="318" t="s">
        <v>579</v>
      </c>
      <c r="B23" s="138"/>
      <c r="C23" s="221"/>
      <c r="D23" s="137" t="s">
        <v>588</v>
      </c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319"/>
    </row>
    <row r="24" spans="1:87" s="50" customFormat="1" ht="15.75" customHeight="1">
      <c r="A24" s="320"/>
      <c r="B24" s="134"/>
      <c r="C24" s="134"/>
      <c r="D24" s="134"/>
      <c r="E24" s="134"/>
      <c r="F24" s="134"/>
      <c r="G24" s="321"/>
      <c r="H24" s="134"/>
      <c r="I24" s="134"/>
      <c r="J24" s="134"/>
      <c r="K24" s="134"/>
      <c r="L24" s="134"/>
      <c r="M24" s="134"/>
      <c r="N24" s="134"/>
      <c r="O24" s="134"/>
      <c r="P24" s="134"/>
      <c r="Q24" s="9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322"/>
      <c r="CI24" s="76"/>
    </row>
    <row r="25" spans="1:87" s="50" customFormat="1" ht="15.75" customHeight="1">
      <c r="A25" s="323"/>
      <c r="B25" s="324" t="s">
        <v>589</v>
      </c>
      <c r="C25" s="325"/>
      <c r="D25" s="324" t="s">
        <v>590</v>
      </c>
      <c r="E25" s="326"/>
      <c r="F25" s="327"/>
      <c r="G25" s="325"/>
      <c r="H25" s="324" t="s">
        <v>591</v>
      </c>
      <c r="I25" s="326"/>
      <c r="J25" s="326"/>
      <c r="K25" s="326"/>
      <c r="L25" s="326"/>
      <c r="M25" s="326"/>
      <c r="N25" s="326"/>
      <c r="O25" s="326"/>
      <c r="P25" s="328"/>
      <c r="Q25" s="325"/>
      <c r="R25" s="324" t="s">
        <v>592</v>
      </c>
      <c r="S25" s="326"/>
      <c r="T25" s="326"/>
      <c r="U25" s="327"/>
      <c r="V25" s="325"/>
      <c r="W25" s="324" t="s">
        <v>593</v>
      </c>
      <c r="X25" s="326"/>
      <c r="Y25" s="326"/>
      <c r="Z25" s="326"/>
      <c r="AA25" s="326"/>
      <c r="AB25" s="326"/>
      <c r="AC25" s="326"/>
      <c r="AD25" s="328"/>
      <c r="AE25" s="325"/>
      <c r="AF25" s="324" t="s">
        <v>594</v>
      </c>
      <c r="AG25" s="326"/>
      <c r="AH25" s="326"/>
      <c r="AI25" s="328"/>
      <c r="AJ25" s="325"/>
      <c r="AK25" s="324" t="s">
        <v>595</v>
      </c>
      <c r="AL25" s="326"/>
      <c r="AM25" s="326"/>
      <c r="AN25" s="326"/>
      <c r="AO25" s="328"/>
      <c r="AP25" s="326"/>
      <c r="AQ25" s="326"/>
      <c r="AR25" s="328"/>
      <c r="AS25" s="325"/>
      <c r="AT25" s="324" t="s">
        <v>596</v>
      </c>
      <c r="AU25" s="326"/>
      <c r="AV25" s="326"/>
      <c r="AW25" s="326"/>
      <c r="AX25" s="326"/>
      <c r="AY25" s="326"/>
      <c r="AZ25" s="326"/>
      <c r="BA25" s="326"/>
      <c r="BB25" s="328"/>
      <c r="BC25" s="325"/>
      <c r="BD25" s="324" t="s">
        <v>597</v>
      </c>
      <c r="BE25" s="326"/>
      <c r="BF25" s="326"/>
      <c r="BG25" s="326"/>
      <c r="BH25" s="326"/>
      <c r="BI25" s="326"/>
      <c r="BJ25" s="326"/>
      <c r="BK25" s="328"/>
      <c r="BL25" s="325"/>
      <c r="BM25" s="324" t="s">
        <v>598</v>
      </c>
      <c r="BN25" s="326"/>
      <c r="BO25" s="326"/>
      <c r="BP25" s="328"/>
      <c r="BQ25" s="326"/>
      <c r="BR25" s="326"/>
      <c r="BS25" s="326"/>
      <c r="BT25" s="326"/>
      <c r="BU25" s="328"/>
      <c r="BV25" s="325"/>
      <c r="BW25" s="324" t="s">
        <v>520</v>
      </c>
      <c r="BX25" s="326"/>
      <c r="BY25" s="326"/>
      <c r="BZ25" s="326"/>
      <c r="CA25" s="326"/>
      <c r="CB25" s="326"/>
      <c r="CC25" s="326"/>
      <c r="CD25" s="328"/>
      <c r="CE25" s="326"/>
      <c r="CF25" s="328"/>
      <c r="CG25" s="325"/>
      <c r="CH25" s="329"/>
    </row>
    <row r="26" spans="1:87" s="50" customFormat="1" ht="15.75" customHeight="1">
      <c r="A26" s="323"/>
      <c r="B26" s="1023">
        <v>1</v>
      </c>
      <c r="C26" s="1024"/>
      <c r="D26" s="330" t="s">
        <v>599</v>
      </c>
      <c r="E26" s="331"/>
      <c r="F26" s="332"/>
      <c r="G26" s="333"/>
      <c r="H26" s="330" t="s">
        <v>583</v>
      </c>
      <c r="I26" s="331"/>
      <c r="J26" s="331"/>
      <c r="K26" s="331"/>
      <c r="L26" s="331"/>
      <c r="M26" s="331"/>
      <c r="N26" s="331"/>
      <c r="O26" s="331"/>
      <c r="P26" s="334"/>
      <c r="Q26" s="333"/>
      <c r="R26" s="330" t="s">
        <v>127</v>
      </c>
      <c r="S26" s="331"/>
      <c r="T26" s="331"/>
      <c r="U26" s="332"/>
      <c r="V26" s="333"/>
      <c r="W26" s="330" t="s">
        <v>600</v>
      </c>
      <c r="X26" s="331"/>
      <c r="Y26" s="331"/>
      <c r="Z26" s="331"/>
      <c r="AA26" s="331"/>
      <c r="AB26" s="331"/>
      <c r="AC26" s="331"/>
      <c r="AD26" s="334"/>
      <c r="AE26" s="333"/>
      <c r="AF26" s="330" t="s">
        <v>601</v>
      </c>
      <c r="AG26" s="331"/>
      <c r="AH26" s="331"/>
      <c r="AI26" s="334"/>
      <c r="AJ26" s="333"/>
      <c r="AK26" s="330" t="s">
        <v>602</v>
      </c>
      <c r="AL26" s="331"/>
      <c r="AM26" s="331"/>
      <c r="AN26" s="331"/>
      <c r="AO26" s="334"/>
      <c r="AP26" s="331"/>
      <c r="AQ26" s="331"/>
      <c r="AR26" s="334"/>
      <c r="AS26" s="333"/>
      <c r="AT26" s="330" t="s">
        <v>603</v>
      </c>
      <c r="AU26" s="331"/>
      <c r="AV26" s="331"/>
      <c r="AW26" s="331"/>
      <c r="AX26" s="331"/>
      <c r="AY26" s="331"/>
      <c r="AZ26" s="331"/>
      <c r="BA26" s="331"/>
      <c r="BB26" s="334"/>
      <c r="BC26" s="333"/>
      <c r="BD26" s="330" t="s">
        <v>604</v>
      </c>
      <c r="BE26" s="331"/>
      <c r="BF26" s="331"/>
      <c r="BG26" s="331"/>
      <c r="BH26" s="331"/>
      <c r="BI26" s="331"/>
      <c r="BJ26" s="331"/>
      <c r="BK26" s="334"/>
      <c r="BL26" s="333"/>
      <c r="BM26" s="330" t="s">
        <v>605</v>
      </c>
      <c r="BN26" s="331"/>
      <c r="BO26" s="331"/>
      <c r="BP26" s="334"/>
      <c r="BQ26" s="331"/>
      <c r="BR26" s="331"/>
      <c r="BS26" s="331"/>
      <c r="BT26" s="331"/>
      <c r="BU26" s="334"/>
      <c r="BV26" s="333"/>
      <c r="BW26" s="330" t="s">
        <v>606</v>
      </c>
      <c r="BX26" s="331"/>
      <c r="BY26" s="331"/>
      <c r="BZ26" s="331"/>
      <c r="CA26" s="331"/>
      <c r="CB26" s="331"/>
      <c r="CC26" s="331"/>
      <c r="CD26" s="334"/>
      <c r="CE26" s="331"/>
      <c r="CF26" s="334"/>
      <c r="CG26" s="333"/>
      <c r="CH26" s="329"/>
    </row>
    <row r="27" spans="1:87" s="50" customFormat="1" ht="15.75" customHeight="1">
      <c r="A27" s="323"/>
      <c r="B27" s="1023">
        <v>2</v>
      </c>
      <c r="C27" s="1024"/>
      <c r="D27" s="330" t="s">
        <v>599</v>
      </c>
      <c r="E27" s="331"/>
      <c r="F27" s="332"/>
      <c r="G27" s="333"/>
      <c r="H27" s="330" t="s">
        <v>583</v>
      </c>
      <c r="I27" s="331"/>
      <c r="J27" s="331"/>
      <c r="K27" s="331"/>
      <c r="L27" s="331"/>
      <c r="M27" s="331"/>
      <c r="N27" s="331"/>
      <c r="O27" s="331"/>
      <c r="P27" s="334"/>
      <c r="Q27" s="333"/>
      <c r="R27" s="330" t="s">
        <v>607</v>
      </c>
      <c r="S27" s="331"/>
      <c r="T27" s="331"/>
      <c r="U27" s="332"/>
      <c r="V27" s="333"/>
      <c r="W27" s="330" t="s">
        <v>608</v>
      </c>
      <c r="X27" s="331"/>
      <c r="Y27" s="331"/>
      <c r="Z27" s="331"/>
      <c r="AA27" s="331"/>
      <c r="AB27" s="331"/>
      <c r="AC27" s="331"/>
      <c r="AD27" s="334"/>
      <c r="AE27" s="333"/>
      <c r="AF27" s="330" t="s">
        <v>601</v>
      </c>
      <c r="AG27" s="331"/>
      <c r="AH27" s="331"/>
      <c r="AI27" s="334"/>
      <c r="AJ27" s="333"/>
      <c r="AK27" s="330"/>
      <c r="AL27" s="331"/>
      <c r="AM27" s="331"/>
      <c r="AN27" s="331"/>
      <c r="AO27" s="334"/>
      <c r="AP27" s="331"/>
      <c r="AQ27" s="331"/>
      <c r="AR27" s="334"/>
      <c r="AS27" s="333"/>
      <c r="AT27" s="330" t="s">
        <v>603</v>
      </c>
      <c r="AU27" s="331"/>
      <c r="AV27" s="331"/>
      <c r="AW27" s="331"/>
      <c r="AX27" s="331"/>
      <c r="AY27" s="331"/>
      <c r="AZ27" s="331"/>
      <c r="BA27" s="331"/>
      <c r="BB27" s="334"/>
      <c r="BC27" s="333"/>
      <c r="BD27" s="330" t="s">
        <v>609</v>
      </c>
      <c r="BE27" s="331"/>
      <c r="BF27" s="331"/>
      <c r="BG27" s="331"/>
      <c r="BH27" s="331"/>
      <c r="BI27" s="331"/>
      <c r="BJ27" s="331"/>
      <c r="BK27" s="334"/>
      <c r="BL27" s="333"/>
      <c r="BM27" s="330" t="s">
        <v>610</v>
      </c>
      <c r="BN27" s="331"/>
      <c r="BO27" s="331"/>
      <c r="BP27" s="334"/>
      <c r="BQ27" s="331"/>
      <c r="BR27" s="331"/>
      <c r="BS27" s="331"/>
      <c r="BT27" s="331"/>
      <c r="BU27" s="334"/>
      <c r="BV27" s="333"/>
      <c r="BW27" s="330" t="s">
        <v>611</v>
      </c>
      <c r="BX27" s="331"/>
      <c r="BY27" s="331"/>
      <c r="BZ27" s="331"/>
      <c r="CA27" s="331"/>
      <c r="CB27" s="331"/>
      <c r="CC27" s="331"/>
      <c r="CD27" s="334"/>
      <c r="CE27" s="331"/>
      <c r="CF27" s="334"/>
      <c r="CG27" s="333"/>
      <c r="CH27" s="329"/>
    </row>
    <row r="28" spans="1:87" s="50" customFormat="1" ht="15.75" customHeight="1">
      <c r="A28" s="323"/>
      <c r="B28" s="1023">
        <v>3</v>
      </c>
      <c r="C28" s="1024"/>
      <c r="D28" s="330"/>
      <c r="E28" s="331"/>
      <c r="F28" s="332"/>
      <c r="G28" s="333"/>
      <c r="H28" s="330"/>
      <c r="I28" s="331"/>
      <c r="J28" s="331"/>
      <c r="K28" s="331"/>
      <c r="L28" s="331"/>
      <c r="M28" s="331"/>
      <c r="N28" s="331"/>
      <c r="O28" s="331"/>
      <c r="P28" s="334"/>
      <c r="Q28" s="333"/>
      <c r="R28" s="330"/>
      <c r="S28" s="331"/>
      <c r="T28" s="331"/>
      <c r="U28" s="332"/>
      <c r="V28" s="333"/>
      <c r="W28" s="330"/>
      <c r="X28" s="331"/>
      <c r="Y28" s="331"/>
      <c r="Z28" s="331"/>
      <c r="AA28" s="331"/>
      <c r="AB28" s="331"/>
      <c r="AC28" s="331"/>
      <c r="AD28" s="334"/>
      <c r="AE28" s="333"/>
      <c r="AF28" s="330"/>
      <c r="AG28" s="331"/>
      <c r="AH28" s="331"/>
      <c r="AI28" s="334"/>
      <c r="AJ28" s="333"/>
      <c r="AK28" s="330"/>
      <c r="AL28" s="331"/>
      <c r="AM28" s="331"/>
      <c r="AN28" s="331"/>
      <c r="AO28" s="334"/>
      <c r="AP28" s="331"/>
      <c r="AQ28" s="331"/>
      <c r="AR28" s="334"/>
      <c r="AS28" s="333"/>
      <c r="AT28" s="330"/>
      <c r="AU28" s="331"/>
      <c r="AV28" s="331"/>
      <c r="AW28" s="331"/>
      <c r="AX28" s="331"/>
      <c r="AY28" s="331"/>
      <c r="AZ28" s="331"/>
      <c r="BA28" s="331"/>
      <c r="BB28" s="334"/>
      <c r="BC28" s="333"/>
      <c r="BD28" s="330"/>
      <c r="BE28" s="331"/>
      <c r="BF28" s="331"/>
      <c r="BG28" s="331"/>
      <c r="BH28" s="331"/>
      <c r="BI28" s="331"/>
      <c r="BJ28" s="331"/>
      <c r="BK28" s="334"/>
      <c r="BL28" s="333"/>
      <c r="BM28" s="330"/>
      <c r="BN28" s="331"/>
      <c r="BO28" s="331"/>
      <c r="BP28" s="334"/>
      <c r="BQ28" s="331"/>
      <c r="BR28" s="331"/>
      <c r="BS28" s="331"/>
      <c r="BT28" s="331"/>
      <c r="BU28" s="334"/>
      <c r="BV28" s="333"/>
      <c r="BW28" s="330"/>
      <c r="BX28" s="331"/>
      <c r="BY28" s="331"/>
      <c r="BZ28" s="331"/>
      <c r="CA28" s="331"/>
      <c r="CB28" s="331"/>
      <c r="CC28" s="331"/>
      <c r="CD28" s="334"/>
      <c r="CE28" s="331"/>
      <c r="CF28" s="334"/>
      <c r="CG28" s="333"/>
      <c r="CH28" s="329"/>
    </row>
    <row r="29" spans="1:87" s="50" customFormat="1" ht="15.75" customHeight="1">
      <c r="A29" s="323"/>
      <c r="B29" s="1023">
        <v>4</v>
      </c>
      <c r="C29" s="1024"/>
      <c r="D29" s="330"/>
      <c r="E29" s="331"/>
      <c r="F29" s="332"/>
      <c r="G29" s="333"/>
      <c r="H29" s="330"/>
      <c r="I29" s="331"/>
      <c r="J29" s="331"/>
      <c r="K29" s="331"/>
      <c r="L29" s="331"/>
      <c r="M29" s="331"/>
      <c r="N29" s="331"/>
      <c r="O29" s="331"/>
      <c r="P29" s="334"/>
      <c r="Q29" s="333"/>
      <c r="R29" s="330"/>
      <c r="S29" s="331"/>
      <c r="T29" s="331"/>
      <c r="U29" s="332"/>
      <c r="V29" s="333"/>
      <c r="W29" s="330"/>
      <c r="X29" s="331"/>
      <c r="Y29" s="331"/>
      <c r="Z29" s="331"/>
      <c r="AA29" s="331"/>
      <c r="AB29" s="331"/>
      <c r="AC29" s="331"/>
      <c r="AD29" s="334"/>
      <c r="AE29" s="333"/>
      <c r="AF29" s="330"/>
      <c r="AG29" s="331"/>
      <c r="AH29" s="331"/>
      <c r="AI29" s="334"/>
      <c r="AJ29" s="333"/>
      <c r="AK29" s="330"/>
      <c r="AL29" s="331"/>
      <c r="AM29" s="331"/>
      <c r="AN29" s="331"/>
      <c r="AO29" s="334"/>
      <c r="AP29" s="331"/>
      <c r="AQ29" s="331"/>
      <c r="AR29" s="334"/>
      <c r="AS29" s="333"/>
      <c r="AT29" s="330"/>
      <c r="AU29" s="331"/>
      <c r="AV29" s="331"/>
      <c r="AW29" s="331"/>
      <c r="AX29" s="331"/>
      <c r="AY29" s="331"/>
      <c r="AZ29" s="331"/>
      <c r="BA29" s="331"/>
      <c r="BB29" s="334"/>
      <c r="BC29" s="333"/>
      <c r="BD29" s="330"/>
      <c r="BE29" s="331"/>
      <c r="BF29" s="331"/>
      <c r="BG29" s="331"/>
      <c r="BH29" s="331"/>
      <c r="BI29" s="331"/>
      <c r="BJ29" s="331"/>
      <c r="BK29" s="334"/>
      <c r="BL29" s="333"/>
      <c r="BM29" s="330"/>
      <c r="BN29" s="331"/>
      <c r="BO29" s="331"/>
      <c r="BP29" s="334"/>
      <c r="BQ29" s="331"/>
      <c r="BR29" s="331"/>
      <c r="BS29" s="331"/>
      <c r="BT29" s="331"/>
      <c r="BU29" s="334"/>
      <c r="BV29" s="333"/>
      <c r="BW29" s="330"/>
      <c r="BX29" s="331"/>
      <c r="BY29" s="331"/>
      <c r="BZ29" s="331"/>
      <c r="CA29" s="331"/>
      <c r="CB29" s="331"/>
      <c r="CC29" s="331"/>
      <c r="CD29" s="334"/>
      <c r="CE29" s="331"/>
      <c r="CF29" s="334"/>
      <c r="CG29" s="333"/>
      <c r="CH29" s="329"/>
    </row>
    <row r="30" spans="1:87" s="50" customFormat="1" ht="15.75" customHeight="1">
      <c r="A30" s="323"/>
      <c r="B30" s="1023">
        <v>5</v>
      </c>
      <c r="C30" s="1024"/>
      <c r="D30" s="330"/>
      <c r="E30" s="331"/>
      <c r="F30" s="332"/>
      <c r="G30" s="333"/>
      <c r="H30" s="330"/>
      <c r="I30" s="331"/>
      <c r="J30" s="331"/>
      <c r="K30" s="331"/>
      <c r="L30" s="331"/>
      <c r="M30" s="331"/>
      <c r="N30" s="331"/>
      <c r="O30" s="331"/>
      <c r="P30" s="334"/>
      <c r="Q30" s="333"/>
      <c r="R30" s="330"/>
      <c r="S30" s="331"/>
      <c r="T30" s="331"/>
      <c r="U30" s="332"/>
      <c r="V30" s="333"/>
      <c r="W30" s="330"/>
      <c r="X30" s="331"/>
      <c r="Y30" s="331"/>
      <c r="Z30" s="331"/>
      <c r="AA30" s="331"/>
      <c r="AB30" s="331"/>
      <c r="AC30" s="331"/>
      <c r="AD30" s="334"/>
      <c r="AE30" s="333"/>
      <c r="AF30" s="330"/>
      <c r="AG30" s="331"/>
      <c r="AH30" s="331"/>
      <c r="AI30" s="334"/>
      <c r="AJ30" s="333"/>
      <c r="AK30" s="330"/>
      <c r="AL30" s="331"/>
      <c r="AM30" s="331"/>
      <c r="AN30" s="331"/>
      <c r="AO30" s="334"/>
      <c r="AP30" s="331"/>
      <c r="AQ30" s="331"/>
      <c r="AR30" s="334"/>
      <c r="AS30" s="333"/>
      <c r="AT30" s="330"/>
      <c r="AU30" s="331"/>
      <c r="AV30" s="331"/>
      <c r="AW30" s="331"/>
      <c r="AX30" s="331"/>
      <c r="AY30" s="331"/>
      <c r="AZ30" s="331"/>
      <c r="BA30" s="331"/>
      <c r="BB30" s="334"/>
      <c r="BC30" s="333"/>
      <c r="BD30" s="330"/>
      <c r="BE30" s="331"/>
      <c r="BF30" s="331"/>
      <c r="BG30" s="331"/>
      <c r="BH30" s="331"/>
      <c r="BI30" s="331"/>
      <c r="BJ30" s="331"/>
      <c r="BK30" s="334"/>
      <c r="BL30" s="333"/>
      <c r="BM30" s="330"/>
      <c r="BN30" s="331"/>
      <c r="BO30" s="331"/>
      <c r="BP30" s="334"/>
      <c r="BQ30" s="331"/>
      <c r="BR30" s="331"/>
      <c r="BS30" s="331"/>
      <c r="BT30" s="331"/>
      <c r="BU30" s="334"/>
      <c r="BV30" s="333"/>
      <c r="BW30" s="330"/>
      <c r="BX30" s="331"/>
      <c r="BY30" s="331"/>
      <c r="BZ30" s="331"/>
      <c r="CA30" s="331"/>
      <c r="CB30" s="331"/>
      <c r="CC30" s="331"/>
      <c r="CD30" s="334"/>
      <c r="CE30" s="331"/>
      <c r="CF30" s="334"/>
      <c r="CG30" s="333"/>
      <c r="CH30" s="329"/>
    </row>
    <row r="31" spans="1:87" s="50" customFormat="1" ht="15.75" customHeight="1">
      <c r="A31" s="323"/>
      <c r="B31" s="1023">
        <v>6</v>
      </c>
      <c r="C31" s="1024"/>
      <c r="D31" s="330"/>
      <c r="E31" s="331"/>
      <c r="F31" s="332"/>
      <c r="G31" s="333"/>
      <c r="H31" s="330"/>
      <c r="I31" s="331"/>
      <c r="J31" s="331"/>
      <c r="K31" s="331"/>
      <c r="L31" s="331"/>
      <c r="M31" s="331"/>
      <c r="N31" s="331"/>
      <c r="O31" s="331"/>
      <c r="P31" s="334"/>
      <c r="Q31" s="333"/>
      <c r="R31" s="330"/>
      <c r="S31" s="331"/>
      <c r="T31" s="331"/>
      <c r="U31" s="332"/>
      <c r="V31" s="333"/>
      <c r="W31" s="330"/>
      <c r="X31" s="331"/>
      <c r="Y31" s="331"/>
      <c r="Z31" s="331"/>
      <c r="AA31" s="331"/>
      <c r="AB31" s="331"/>
      <c r="AC31" s="331"/>
      <c r="AD31" s="334"/>
      <c r="AE31" s="333"/>
      <c r="AF31" s="330"/>
      <c r="AG31" s="331"/>
      <c r="AH31" s="331"/>
      <c r="AI31" s="334"/>
      <c r="AJ31" s="333"/>
      <c r="AK31" s="330"/>
      <c r="AL31" s="331"/>
      <c r="AM31" s="331"/>
      <c r="AN31" s="331"/>
      <c r="AO31" s="334"/>
      <c r="AP31" s="331"/>
      <c r="AQ31" s="331"/>
      <c r="AR31" s="334"/>
      <c r="AS31" s="333"/>
      <c r="AT31" s="330"/>
      <c r="AU31" s="331"/>
      <c r="AV31" s="331"/>
      <c r="AW31" s="331"/>
      <c r="AX31" s="331"/>
      <c r="AY31" s="331"/>
      <c r="AZ31" s="331"/>
      <c r="BA31" s="331"/>
      <c r="BB31" s="334"/>
      <c r="BC31" s="333"/>
      <c r="BD31" s="330"/>
      <c r="BE31" s="331"/>
      <c r="BF31" s="331"/>
      <c r="BG31" s="331"/>
      <c r="BH31" s="331"/>
      <c r="BI31" s="331"/>
      <c r="BJ31" s="331"/>
      <c r="BK31" s="334"/>
      <c r="BL31" s="333"/>
      <c r="BM31" s="330"/>
      <c r="BN31" s="331"/>
      <c r="BO31" s="331"/>
      <c r="BP31" s="334"/>
      <c r="BQ31" s="331"/>
      <c r="BR31" s="331"/>
      <c r="BS31" s="331"/>
      <c r="BT31" s="331"/>
      <c r="BU31" s="334"/>
      <c r="BV31" s="333"/>
      <c r="BW31" s="330"/>
      <c r="BX31" s="331"/>
      <c r="BY31" s="331"/>
      <c r="BZ31" s="331"/>
      <c r="CA31" s="331"/>
      <c r="CB31" s="331"/>
      <c r="CC31" s="331"/>
      <c r="CD31" s="334"/>
      <c r="CE31" s="331"/>
      <c r="CF31" s="334"/>
      <c r="CG31" s="333"/>
      <c r="CH31" s="329"/>
    </row>
    <row r="32" spans="1:87" s="50" customFormat="1" ht="15.75" customHeight="1">
      <c r="A32" s="323"/>
      <c r="B32" s="1023">
        <v>7</v>
      </c>
      <c r="C32" s="1024"/>
      <c r="D32" s="330"/>
      <c r="E32" s="331"/>
      <c r="F32" s="332"/>
      <c r="G32" s="333"/>
      <c r="H32" s="330"/>
      <c r="I32" s="331"/>
      <c r="J32" s="331"/>
      <c r="K32" s="331"/>
      <c r="L32" s="331"/>
      <c r="M32" s="331"/>
      <c r="N32" s="331"/>
      <c r="O32" s="331"/>
      <c r="P32" s="334"/>
      <c r="Q32" s="333"/>
      <c r="R32" s="330"/>
      <c r="S32" s="331"/>
      <c r="T32" s="331"/>
      <c r="U32" s="332"/>
      <c r="V32" s="333"/>
      <c r="W32" s="330"/>
      <c r="X32" s="331"/>
      <c r="Y32" s="331"/>
      <c r="Z32" s="331"/>
      <c r="AA32" s="331"/>
      <c r="AB32" s="331"/>
      <c r="AC32" s="331"/>
      <c r="AD32" s="334"/>
      <c r="AE32" s="333"/>
      <c r="AF32" s="330"/>
      <c r="AG32" s="331"/>
      <c r="AH32" s="331"/>
      <c r="AI32" s="334"/>
      <c r="AJ32" s="333"/>
      <c r="AK32" s="330"/>
      <c r="AL32" s="331"/>
      <c r="AM32" s="331"/>
      <c r="AN32" s="331"/>
      <c r="AO32" s="334"/>
      <c r="AP32" s="331"/>
      <c r="AQ32" s="331"/>
      <c r="AR32" s="334"/>
      <c r="AS32" s="333"/>
      <c r="AT32" s="330"/>
      <c r="AU32" s="331"/>
      <c r="AV32" s="331"/>
      <c r="AW32" s="331"/>
      <c r="AX32" s="331"/>
      <c r="AY32" s="331"/>
      <c r="AZ32" s="331"/>
      <c r="BA32" s="331"/>
      <c r="BB32" s="334"/>
      <c r="BC32" s="333"/>
      <c r="BD32" s="330"/>
      <c r="BE32" s="331"/>
      <c r="BF32" s="331"/>
      <c r="BG32" s="331"/>
      <c r="BH32" s="331"/>
      <c r="BI32" s="331"/>
      <c r="BJ32" s="331"/>
      <c r="BK32" s="334"/>
      <c r="BL32" s="333"/>
      <c r="BM32" s="330"/>
      <c r="BN32" s="331"/>
      <c r="BO32" s="331"/>
      <c r="BP32" s="334"/>
      <c r="BQ32" s="331"/>
      <c r="BR32" s="331"/>
      <c r="BS32" s="331"/>
      <c r="BT32" s="331"/>
      <c r="BU32" s="334"/>
      <c r="BV32" s="333"/>
      <c r="BW32" s="330"/>
      <c r="BX32" s="331"/>
      <c r="BY32" s="331"/>
      <c r="BZ32" s="331"/>
      <c r="CA32" s="331"/>
      <c r="CB32" s="331"/>
      <c r="CC32" s="331"/>
      <c r="CD32" s="334"/>
      <c r="CE32" s="331"/>
      <c r="CF32" s="334"/>
      <c r="CG32" s="333"/>
      <c r="CH32" s="329"/>
    </row>
    <row r="33" spans="1:87" ht="15.75" customHeight="1">
      <c r="A33" s="323"/>
      <c r="B33" s="1023">
        <v>8</v>
      </c>
      <c r="C33" s="1024"/>
      <c r="D33" s="330"/>
      <c r="E33" s="331"/>
      <c r="F33" s="332"/>
      <c r="G33" s="333"/>
      <c r="H33" s="330"/>
      <c r="I33" s="331"/>
      <c r="J33" s="331"/>
      <c r="K33" s="331"/>
      <c r="L33" s="331"/>
      <c r="M33" s="331"/>
      <c r="N33" s="331"/>
      <c r="O33" s="331"/>
      <c r="P33" s="334"/>
      <c r="Q33" s="333"/>
      <c r="R33" s="330"/>
      <c r="S33" s="331"/>
      <c r="T33" s="331"/>
      <c r="U33" s="332"/>
      <c r="V33" s="333"/>
      <c r="W33" s="330"/>
      <c r="X33" s="331"/>
      <c r="Y33" s="331"/>
      <c r="Z33" s="331"/>
      <c r="AA33" s="331"/>
      <c r="AB33" s="331"/>
      <c r="AC33" s="331"/>
      <c r="AD33" s="334"/>
      <c r="AE33" s="333"/>
      <c r="AF33" s="330"/>
      <c r="AG33" s="331"/>
      <c r="AH33" s="331"/>
      <c r="AI33" s="334"/>
      <c r="AJ33" s="333"/>
      <c r="AK33" s="330"/>
      <c r="AL33" s="331"/>
      <c r="AM33" s="331"/>
      <c r="AN33" s="331"/>
      <c r="AO33" s="334"/>
      <c r="AP33" s="331"/>
      <c r="AQ33" s="331"/>
      <c r="AR33" s="334"/>
      <c r="AS33" s="333"/>
      <c r="AT33" s="330"/>
      <c r="AU33" s="331"/>
      <c r="AV33" s="331"/>
      <c r="AW33" s="331"/>
      <c r="AX33" s="331"/>
      <c r="AY33" s="331"/>
      <c r="AZ33" s="331"/>
      <c r="BA33" s="331"/>
      <c r="BB33" s="334"/>
      <c r="BC33" s="333"/>
      <c r="BD33" s="330"/>
      <c r="BE33" s="331"/>
      <c r="BF33" s="331"/>
      <c r="BG33" s="331"/>
      <c r="BH33" s="331"/>
      <c r="BI33" s="331"/>
      <c r="BJ33" s="331"/>
      <c r="BK33" s="334"/>
      <c r="BL33" s="333"/>
      <c r="BM33" s="330"/>
      <c r="BN33" s="331"/>
      <c r="BO33" s="331"/>
      <c r="BP33" s="334"/>
      <c r="BQ33" s="331"/>
      <c r="BR33" s="331"/>
      <c r="BS33" s="331"/>
      <c r="BT33" s="331"/>
      <c r="BU33" s="334"/>
      <c r="BV33" s="333"/>
      <c r="BW33" s="330"/>
      <c r="BX33" s="331"/>
      <c r="BY33" s="331"/>
      <c r="BZ33" s="331"/>
      <c r="CA33" s="331"/>
      <c r="CB33" s="331"/>
      <c r="CC33" s="331"/>
      <c r="CD33" s="334"/>
      <c r="CE33" s="331"/>
      <c r="CF33" s="334"/>
      <c r="CG33" s="333"/>
      <c r="CH33" s="329"/>
      <c r="CI33" s="50"/>
    </row>
    <row r="34" spans="1:87" ht="15.75" customHeight="1">
      <c r="A34" s="77"/>
      <c r="G34" s="75"/>
      <c r="Q34" s="88"/>
      <c r="CH34" s="78"/>
    </row>
    <row r="35" spans="1:87" ht="15.75" customHeight="1">
      <c r="A35" s="77"/>
      <c r="G35" s="75"/>
      <c r="Q35" s="88"/>
      <c r="CH35" s="78"/>
    </row>
    <row r="36" spans="1:87" ht="15.75" customHeight="1">
      <c r="A36" s="77"/>
      <c r="G36" s="75"/>
      <c r="Q36" s="88"/>
      <c r="CH36" s="78"/>
    </row>
    <row r="37" spans="1:87" ht="15.75" customHeight="1" thickBot="1">
      <c r="A37" s="79"/>
      <c r="B37" s="74"/>
      <c r="C37" s="335"/>
      <c r="D37" s="74"/>
      <c r="E37" s="336"/>
      <c r="F37" s="74"/>
      <c r="G37" s="74"/>
      <c r="H37" s="74"/>
      <c r="I37" s="74"/>
      <c r="J37" s="336"/>
      <c r="K37" s="74"/>
      <c r="L37" s="74"/>
      <c r="M37" s="74"/>
      <c r="N37" s="74"/>
      <c r="O37" s="74"/>
      <c r="P37" s="74"/>
      <c r="Q37" s="10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4"/>
      <c r="CF37" s="74"/>
      <c r="CG37" s="74"/>
      <c r="CH37" s="80"/>
    </row>
  </sheetData>
  <mergeCells count="29">
    <mergeCell ref="B33:C33"/>
    <mergeCell ref="B26:C26"/>
    <mergeCell ref="B27:C27"/>
    <mergeCell ref="B29:C29"/>
    <mergeCell ref="B30:C30"/>
    <mergeCell ref="B31:C31"/>
    <mergeCell ref="B32:C32"/>
    <mergeCell ref="B28:C28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9"/>
  <pageMargins left="0.51181102362204722" right="0.74803149606299213" top="0.70866141732283472" bottom="0.43307086614173229" header="0.51181102362204722" footer="0.19685039370078741"/>
  <pageSetup paperSize="9" scale="70" fitToHeight="0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D8A4-DC8B-4C49-A0AE-F30208751F69}">
  <sheetPr codeName="Sheet13">
    <pageSetUpPr fitToPage="1"/>
  </sheetPr>
  <dimension ref="A1:BK30"/>
  <sheetViews>
    <sheetView showGridLines="0" showZeros="0" view="pageBreakPreview" zoomScale="115" zoomScaleNormal="100" zoomScaleSheetLayoutView="115" workbookViewId="0">
      <selection activeCell="Q13" sqref="Q13"/>
    </sheetView>
  </sheetViews>
  <sheetFormatPr defaultColWidth="2.125" defaultRowHeight="15.75" customHeight="1"/>
  <cols>
    <col min="1" max="1" width="2.125" style="374" customWidth="1"/>
    <col min="2" max="2" width="2.125" style="339" customWidth="1"/>
    <col min="3" max="3" width="2.375" style="339" customWidth="1"/>
    <col min="4" max="4" width="2.125" style="339" customWidth="1"/>
    <col min="5" max="5" width="3" style="339" customWidth="1"/>
    <col min="6" max="58" width="2.125" style="339" customWidth="1"/>
    <col min="59" max="59" width="7.875" style="339" customWidth="1"/>
    <col min="60" max="62" width="2.125" style="339" customWidth="1"/>
    <col min="63" max="63" width="2.25" style="339" customWidth="1"/>
    <col min="64" max="16384" width="2.125" style="339"/>
  </cols>
  <sheetData>
    <row r="1" spans="1:63" s="305" customFormat="1" ht="15.75" customHeight="1">
      <c r="A1" s="963" t="str">
        <f>表紙!A54</f>
        <v>Webシステム</v>
      </c>
      <c r="B1" s="964"/>
      <c r="C1" s="964"/>
      <c r="D1" s="964"/>
      <c r="E1" s="964"/>
      <c r="F1" s="964"/>
      <c r="G1" s="964"/>
      <c r="H1" s="964"/>
      <c r="I1" s="964"/>
      <c r="J1" s="965"/>
      <c r="K1" s="988" t="s">
        <v>152</v>
      </c>
      <c r="L1" s="989"/>
      <c r="M1" s="989"/>
      <c r="N1" s="989"/>
      <c r="O1" s="989"/>
      <c r="P1" s="989"/>
      <c r="Q1" s="989"/>
      <c r="R1" s="989"/>
      <c r="S1" s="989"/>
      <c r="T1" s="990"/>
      <c r="U1" s="991" t="s">
        <v>153</v>
      </c>
      <c r="V1" s="992"/>
      <c r="W1" s="992"/>
      <c r="X1" s="992"/>
      <c r="Y1" s="993"/>
      <c r="Z1" s="994" t="str">
        <f>表紙!$AJ$63</f>
        <v>MS</v>
      </c>
      <c r="AA1" s="995"/>
      <c r="AB1" s="995"/>
      <c r="AC1" s="995"/>
      <c r="AD1" s="996"/>
      <c r="AE1" s="997" t="s">
        <v>154</v>
      </c>
      <c r="AF1" s="974"/>
      <c r="AG1" s="974"/>
      <c r="AH1" s="974"/>
      <c r="AI1" s="975"/>
      <c r="AJ1" s="998" t="str">
        <f>表紙!$AX$63</f>
        <v>Webシステム</v>
      </c>
      <c r="AK1" s="999"/>
      <c r="AL1" s="999"/>
      <c r="AM1" s="999"/>
      <c r="AN1" s="999"/>
      <c r="AO1" s="999"/>
      <c r="AP1" s="999"/>
      <c r="AQ1" s="999"/>
      <c r="AR1" s="1000"/>
      <c r="AS1" s="972" t="s">
        <v>101</v>
      </c>
      <c r="AT1" s="972"/>
      <c r="AU1" s="972"/>
      <c r="AV1" s="972"/>
      <c r="AW1" s="972"/>
      <c r="AX1" s="972"/>
      <c r="AY1" s="972"/>
      <c r="AZ1" s="973" t="s">
        <v>124</v>
      </c>
      <c r="BA1" s="974"/>
      <c r="BB1" s="974"/>
      <c r="BC1" s="974"/>
      <c r="BD1" s="974"/>
      <c r="BE1" s="975"/>
      <c r="BF1" s="973" t="s">
        <v>155</v>
      </c>
      <c r="BG1" s="974"/>
      <c r="BH1" s="974"/>
      <c r="BI1" s="974"/>
      <c r="BJ1" s="974"/>
      <c r="BK1" s="976"/>
    </row>
    <row r="2" spans="1:63" s="305" customFormat="1" ht="15.75" customHeight="1">
      <c r="A2" s="966"/>
      <c r="B2" s="967"/>
      <c r="C2" s="967"/>
      <c r="D2" s="967"/>
      <c r="E2" s="967"/>
      <c r="F2" s="967"/>
      <c r="G2" s="967"/>
      <c r="H2" s="967"/>
      <c r="I2" s="967"/>
      <c r="J2" s="968"/>
      <c r="K2" s="977" t="str">
        <f>表紙!O64</f>
        <v>アドオン設計書</v>
      </c>
      <c r="L2" s="944"/>
      <c r="M2" s="944"/>
      <c r="N2" s="944"/>
      <c r="O2" s="944"/>
      <c r="P2" s="944"/>
      <c r="Q2" s="944"/>
      <c r="R2" s="944"/>
      <c r="S2" s="944"/>
      <c r="T2" s="978"/>
      <c r="U2" s="979" t="s">
        <v>156</v>
      </c>
      <c r="V2" s="980"/>
      <c r="W2" s="980"/>
      <c r="X2" s="980"/>
      <c r="Y2" s="981"/>
      <c r="Z2" s="982" t="str">
        <f>表紙!$AJ$64</f>
        <v>MSBB</v>
      </c>
      <c r="AA2" s="983"/>
      <c r="AB2" s="983"/>
      <c r="AC2" s="983"/>
      <c r="AD2" s="984"/>
      <c r="AE2" s="985" t="s">
        <v>157</v>
      </c>
      <c r="AF2" s="986"/>
      <c r="AG2" s="986"/>
      <c r="AH2" s="986"/>
      <c r="AI2" s="987"/>
      <c r="AJ2" s="1002" t="str">
        <f>表紙!$AX$64</f>
        <v>Web販売管理</v>
      </c>
      <c r="AK2" s="1003"/>
      <c r="AL2" s="1003"/>
      <c r="AM2" s="1003"/>
      <c r="AN2" s="1003"/>
      <c r="AO2" s="1003"/>
      <c r="AP2" s="1003"/>
      <c r="AQ2" s="1003"/>
      <c r="AR2" s="1004"/>
      <c r="AS2" s="1005" t="str">
        <f>表紙!$BL$64</f>
        <v>M7-US-1140</v>
      </c>
      <c r="AT2" s="1006"/>
      <c r="AU2" s="1006"/>
      <c r="AV2" s="1006"/>
      <c r="AW2" s="1006"/>
      <c r="AX2" s="1006"/>
      <c r="AY2" s="1006"/>
      <c r="AZ2" s="1008" t="str">
        <f>表紙!$BU$64</f>
        <v>7.0.2</v>
      </c>
      <c r="BA2" s="944"/>
      <c r="BB2" s="944"/>
      <c r="BC2" s="944"/>
      <c r="BD2" s="944"/>
      <c r="BE2" s="978"/>
      <c r="BF2" s="943">
        <f>表紙!$CB$64</f>
        <v>1</v>
      </c>
      <c r="BG2" s="944"/>
      <c r="BH2" s="944"/>
      <c r="BI2" s="944"/>
      <c r="BJ2" s="944"/>
      <c r="BK2" s="945"/>
    </row>
    <row r="3" spans="1:63" s="305" customFormat="1" ht="15.75" customHeight="1" thickBot="1">
      <c r="A3" s="969"/>
      <c r="B3" s="970"/>
      <c r="C3" s="970"/>
      <c r="D3" s="970"/>
      <c r="E3" s="970"/>
      <c r="F3" s="970"/>
      <c r="G3" s="970"/>
      <c r="H3" s="970"/>
      <c r="I3" s="970"/>
      <c r="J3" s="971"/>
      <c r="K3" s="949" t="str">
        <f ca="1">RIGHT(CELL("filename",$A$1),LEN(CELL("filename",$A$1))-FIND("]",CELL("filename",$A$1)))</f>
        <v>メッセージ一覧</v>
      </c>
      <c r="L3" s="950"/>
      <c r="M3" s="950"/>
      <c r="N3" s="950"/>
      <c r="O3" s="950"/>
      <c r="P3" s="950"/>
      <c r="Q3" s="950"/>
      <c r="R3" s="950"/>
      <c r="S3" s="950"/>
      <c r="T3" s="951"/>
      <c r="U3" s="952" t="s">
        <v>158</v>
      </c>
      <c r="V3" s="953"/>
      <c r="W3" s="953"/>
      <c r="X3" s="953"/>
      <c r="Y3" s="954"/>
      <c r="Z3" s="955" t="str">
        <f>表紙!$AJ$65</f>
        <v>MSBBPA100</v>
      </c>
      <c r="AA3" s="956"/>
      <c r="AB3" s="956"/>
      <c r="AC3" s="956"/>
      <c r="AD3" s="956"/>
      <c r="AE3" s="957" t="str">
        <f>表紙!$AQ$65</f>
        <v>WebFSC製品化チェックシート出力</v>
      </c>
      <c r="AF3" s="958"/>
      <c r="AG3" s="958"/>
      <c r="AH3" s="958"/>
      <c r="AI3" s="958"/>
      <c r="AJ3" s="958"/>
      <c r="AK3" s="958"/>
      <c r="AL3" s="958"/>
      <c r="AM3" s="958"/>
      <c r="AN3" s="958"/>
      <c r="AO3" s="958"/>
      <c r="AP3" s="958"/>
      <c r="AQ3" s="958"/>
      <c r="AR3" s="959"/>
      <c r="AS3" s="1007"/>
      <c r="AT3" s="1007"/>
      <c r="AU3" s="1007"/>
      <c r="AV3" s="1007"/>
      <c r="AW3" s="1007"/>
      <c r="AX3" s="1007"/>
      <c r="AY3" s="1007"/>
      <c r="AZ3" s="946"/>
      <c r="BA3" s="947"/>
      <c r="BB3" s="947"/>
      <c r="BC3" s="947"/>
      <c r="BD3" s="947"/>
      <c r="BE3" s="1009"/>
      <c r="BF3" s="946"/>
      <c r="BG3" s="947"/>
      <c r="BH3" s="947"/>
      <c r="BI3" s="947"/>
      <c r="BJ3" s="947"/>
      <c r="BK3" s="948"/>
    </row>
    <row r="4" spans="1:63" ht="15.75" customHeight="1" thickBot="1">
      <c r="A4" s="337"/>
      <c r="B4" s="338"/>
      <c r="C4" s="339" t="s">
        <v>612</v>
      </c>
      <c r="Q4" s="340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337"/>
      <c r="AK4" s="337"/>
      <c r="AL4" s="337"/>
      <c r="AM4" s="337"/>
      <c r="AN4" s="337"/>
      <c r="AO4" s="337"/>
      <c r="AP4" s="337"/>
      <c r="AQ4" s="337"/>
      <c r="AR4" s="337"/>
      <c r="AS4" s="337"/>
      <c r="AT4" s="337"/>
      <c r="AU4" s="337"/>
      <c r="AV4" s="337"/>
      <c r="AW4" s="337"/>
      <c r="AX4" s="337"/>
      <c r="AY4" s="337"/>
      <c r="AZ4" s="337"/>
      <c r="BA4" s="337"/>
      <c r="BB4" s="337"/>
      <c r="BC4" s="337"/>
      <c r="BD4" s="337"/>
      <c r="BE4" s="337"/>
      <c r="BF4" s="337"/>
      <c r="BG4" s="337"/>
      <c r="BH4" s="337"/>
      <c r="BI4" s="337"/>
      <c r="BJ4" s="337"/>
      <c r="BK4" s="341"/>
    </row>
    <row r="5" spans="1:63" s="346" customFormat="1" ht="13.5" customHeight="1">
      <c r="A5" s="1025" t="s">
        <v>450</v>
      </c>
      <c r="B5" s="1026"/>
      <c r="C5" s="1027" t="s">
        <v>613</v>
      </c>
      <c r="D5" s="1028"/>
      <c r="E5" s="1027" t="s">
        <v>614</v>
      </c>
      <c r="F5" s="1028"/>
      <c r="G5" s="342" t="s">
        <v>615</v>
      </c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3"/>
      <c r="AB5" s="343"/>
      <c r="AC5" s="343"/>
      <c r="AD5" s="343"/>
      <c r="AE5" s="343"/>
      <c r="AF5" s="343"/>
      <c r="AG5" s="343"/>
      <c r="AH5" s="343"/>
      <c r="AI5" s="343"/>
      <c r="AJ5" s="343"/>
      <c r="AK5" s="343"/>
      <c r="AL5" s="343"/>
      <c r="AM5" s="343"/>
      <c r="AN5" s="343"/>
      <c r="AO5" s="343"/>
      <c r="AP5" s="344"/>
      <c r="AQ5" s="342" t="s">
        <v>616</v>
      </c>
      <c r="AR5" s="343"/>
      <c r="AS5" s="343"/>
      <c r="AT5" s="343"/>
      <c r="AU5" s="343"/>
      <c r="AV5" s="343"/>
      <c r="AW5" s="343"/>
      <c r="AX5" s="343"/>
      <c r="AY5" s="343"/>
      <c r="AZ5" s="343"/>
      <c r="BA5" s="343"/>
      <c r="BB5" s="343"/>
      <c r="BC5" s="343"/>
      <c r="BD5" s="343"/>
      <c r="BE5" s="343"/>
      <c r="BF5" s="344"/>
      <c r="BG5" s="342" t="s">
        <v>617</v>
      </c>
      <c r="BH5" s="343"/>
      <c r="BI5" s="343"/>
      <c r="BJ5" s="343"/>
      <c r="BK5" s="345"/>
    </row>
    <row r="6" spans="1:63" s="351" customFormat="1" ht="12">
      <c r="A6" s="1029">
        <v>1</v>
      </c>
      <c r="B6" s="1030"/>
      <c r="C6" s="1031" t="s">
        <v>618</v>
      </c>
      <c r="D6" s="1031"/>
      <c r="E6" s="1031" t="s">
        <v>619</v>
      </c>
      <c r="F6" s="1031"/>
      <c r="G6" s="359" t="s">
        <v>748</v>
      </c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0"/>
      <c r="AD6" s="360"/>
      <c r="AE6" s="360"/>
      <c r="AF6" s="360"/>
      <c r="AG6" s="360"/>
      <c r="AH6" s="360"/>
      <c r="AI6" s="360"/>
      <c r="AJ6" s="360"/>
      <c r="AK6" s="360"/>
      <c r="AL6" s="360"/>
      <c r="AM6" s="360"/>
      <c r="AN6" s="360"/>
      <c r="AO6" s="360"/>
      <c r="AP6" s="361"/>
      <c r="AQ6" s="359"/>
      <c r="AR6" s="360"/>
      <c r="AS6" s="360"/>
      <c r="AT6" s="360"/>
      <c r="AU6" s="360"/>
      <c r="AV6" s="360"/>
      <c r="AW6" s="360"/>
      <c r="AX6" s="360"/>
      <c r="AY6" s="360"/>
      <c r="AZ6" s="360"/>
      <c r="BA6" s="360"/>
      <c r="BB6" s="360"/>
      <c r="BC6" s="360"/>
      <c r="BD6" s="360"/>
      <c r="BE6" s="360"/>
      <c r="BF6" s="361"/>
      <c r="BG6" s="359" t="s">
        <v>749</v>
      </c>
      <c r="BH6" s="360"/>
      <c r="BI6" s="360"/>
      <c r="BJ6" s="360"/>
      <c r="BK6" s="366"/>
    </row>
    <row r="7" spans="1:63" s="351" customFormat="1" ht="12">
      <c r="A7" s="1039">
        <v>2</v>
      </c>
      <c r="B7" s="1040"/>
      <c r="C7" s="1044" t="s">
        <v>618</v>
      </c>
      <c r="D7" s="1045"/>
      <c r="E7" s="1044" t="s">
        <v>619</v>
      </c>
      <c r="F7" s="1045"/>
      <c r="G7" s="359" t="s">
        <v>620</v>
      </c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  <c r="V7" s="360"/>
      <c r="W7" s="360"/>
      <c r="X7" s="360"/>
      <c r="Y7" s="360"/>
      <c r="Z7" s="360"/>
      <c r="AA7" s="360"/>
      <c r="AB7" s="360"/>
      <c r="AC7" s="360"/>
      <c r="AD7" s="360"/>
      <c r="AE7" s="360"/>
      <c r="AF7" s="360"/>
      <c r="AG7" s="360"/>
      <c r="AH7" s="360"/>
      <c r="AI7" s="360"/>
      <c r="AJ7" s="360"/>
      <c r="AK7" s="360"/>
      <c r="AL7" s="360"/>
      <c r="AM7" s="360"/>
      <c r="AN7" s="360"/>
      <c r="AO7" s="360"/>
      <c r="AP7" s="361"/>
      <c r="AQ7" s="362" t="s">
        <v>753</v>
      </c>
      <c r="AR7" s="363"/>
      <c r="AS7" s="363"/>
      <c r="AT7" s="363"/>
      <c r="AU7" s="363"/>
      <c r="AV7" s="363"/>
      <c r="AW7" s="363"/>
      <c r="AX7" s="363"/>
      <c r="AY7" s="363"/>
      <c r="AZ7" s="363"/>
      <c r="BA7" s="363"/>
      <c r="BB7" s="363"/>
      <c r="BC7" s="363"/>
      <c r="BD7" s="363"/>
      <c r="BE7" s="363"/>
      <c r="BF7" s="364"/>
      <c r="BG7" s="362" t="s">
        <v>750</v>
      </c>
      <c r="BH7" s="363"/>
      <c r="BI7" s="363"/>
      <c r="BJ7" s="363"/>
      <c r="BK7" s="365"/>
    </row>
    <row r="8" spans="1:63" s="351" customFormat="1" ht="12">
      <c r="A8" s="1041">
        <v>3</v>
      </c>
      <c r="B8" s="1042"/>
      <c r="C8" s="1043" t="s">
        <v>618</v>
      </c>
      <c r="D8" s="1043"/>
      <c r="E8" s="1043" t="s">
        <v>619</v>
      </c>
      <c r="F8" s="1043"/>
      <c r="G8" s="347" t="s">
        <v>621</v>
      </c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8"/>
      <c r="AK8" s="348"/>
      <c r="AL8" s="348"/>
      <c r="AM8" s="348"/>
      <c r="AN8" s="348"/>
      <c r="AO8" s="348"/>
      <c r="AP8" s="349"/>
      <c r="AQ8" s="347" t="s">
        <v>622</v>
      </c>
      <c r="AR8" s="348"/>
      <c r="AS8" s="348"/>
      <c r="AT8" s="348"/>
      <c r="AU8" s="348"/>
      <c r="AV8" s="348"/>
      <c r="AW8" s="348"/>
      <c r="AX8" s="348"/>
      <c r="AY8" s="348"/>
      <c r="AZ8" s="348"/>
      <c r="BA8" s="348"/>
      <c r="BB8" s="348"/>
      <c r="BC8" s="348"/>
      <c r="BD8" s="348"/>
      <c r="BE8" s="348"/>
      <c r="BF8" s="349"/>
      <c r="BG8" s="347" t="s">
        <v>751</v>
      </c>
      <c r="BH8" s="348"/>
      <c r="BI8" s="348"/>
      <c r="BJ8" s="348"/>
      <c r="BK8" s="350"/>
    </row>
    <row r="9" spans="1:63" s="351" customFormat="1" ht="12">
      <c r="A9" s="1035"/>
      <c r="B9" s="1036"/>
      <c r="C9" s="1037"/>
      <c r="D9" s="1038"/>
      <c r="E9" s="1037"/>
      <c r="F9" s="1038"/>
      <c r="G9" s="352"/>
      <c r="H9" s="353"/>
      <c r="I9" s="353"/>
      <c r="J9" s="353"/>
      <c r="K9" s="353"/>
      <c r="L9" s="353"/>
      <c r="M9" s="353"/>
      <c r="N9" s="353"/>
      <c r="O9" s="353"/>
      <c r="P9" s="353"/>
      <c r="Q9" s="353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353"/>
      <c r="AH9" s="353"/>
      <c r="AI9" s="353"/>
      <c r="AJ9" s="353"/>
      <c r="AK9" s="353"/>
      <c r="AL9" s="353"/>
      <c r="AM9" s="353"/>
      <c r="AN9" s="353"/>
      <c r="AO9" s="353"/>
      <c r="AP9" s="354"/>
      <c r="AQ9" s="355" t="s">
        <v>288</v>
      </c>
      <c r="AR9" s="356"/>
      <c r="AS9" s="356"/>
      <c r="AT9" s="356"/>
      <c r="AU9" s="356"/>
      <c r="AV9" s="356"/>
      <c r="AW9" s="356"/>
      <c r="AX9" s="356"/>
      <c r="AY9" s="356"/>
      <c r="AZ9" s="356"/>
      <c r="BA9" s="356"/>
      <c r="BB9" s="356"/>
      <c r="BC9" s="356"/>
      <c r="BD9" s="356"/>
      <c r="BE9" s="356"/>
      <c r="BF9" s="357"/>
      <c r="BG9" s="355"/>
      <c r="BH9" s="356"/>
      <c r="BI9" s="356"/>
      <c r="BJ9" s="356"/>
      <c r="BK9" s="358"/>
    </row>
    <row r="10" spans="1:63" s="351" customFormat="1" ht="12">
      <c r="A10" s="1039">
        <v>4</v>
      </c>
      <c r="B10" s="1040"/>
      <c r="C10" s="1031" t="s">
        <v>618</v>
      </c>
      <c r="D10" s="1031"/>
      <c r="E10" s="1031" t="s">
        <v>619</v>
      </c>
      <c r="F10" s="1031"/>
      <c r="G10" s="359" t="s">
        <v>623</v>
      </c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  <c r="Z10" s="360"/>
      <c r="AA10" s="360"/>
      <c r="AB10" s="360"/>
      <c r="AC10" s="360"/>
      <c r="AD10" s="360"/>
      <c r="AE10" s="360"/>
      <c r="AF10" s="360"/>
      <c r="AG10" s="360"/>
      <c r="AH10" s="360"/>
      <c r="AI10" s="360"/>
      <c r="AJ10" s="360"/>
      <c r="AK10" s="360"/>
      <c r="AL10" s="360"/>
      <c r="AM10" s="360"/>
      <c r="AN10" s="360"/>
      <c r="AO10" s="360"/>
      <c r="AP10" s="361"/>
      <c r="AQ10" s="362" t="s">
        <v>293</v>
      </c>
      <c r="AR10" s="363"/>
      <c r="AS10" s="363"/>
      <c r="AT10" s="363"/>
      <c r="AU10" s="363"/>
      <c r="AV10" s="363"/>
      <c r="AW10" s="363"/>
      <c r="AX10" s="363"/>
      <c r="AY10" s="363"/>
      <c r="AZ10" s="363"/>
      <c r="BA10" s="363"/>
      <c r="BB10" s="363"/>
      <c r="BC10" s="363"/>
      <c r="BD10" s="363"/>
      <c r="BE10" s="363"/>
      <c r="BF10" s="364"/>
      <c r="BG10" s="359" t="s">
        <v>752</v>
      </c>
      <c r="BH10" s="363"/>
      <c r="BI10" s="363"/>
      <c r="BJ10" s="363"/>
      <c r="BK10" s="365"/>
    </row>
    <row r="11" spans="1:63" s="351" customFormat="1" ht="12">
      <c r="A11" s="1032">
        <v>5</v>
      </c>
      <c r="B11" s="1033"/>
      <c r="C11" s="1034" t="s">
        <v>618</v>
      </c>
      <c r="D11" s="1034"/>
      <c r="E11" s="1034" t="s">
        <v>619</v>
      </c>
      <c r="F11" s="1034"/>
      <c r="G11" s="512" t="s">
        <v>620</v>
      </c>
      <c r="H11" s="513"/>
      <c r="I11" s="513"/>
      <c r="J11" s="513"/>
      <c r="K11" s="513"/>
      <c r="L11" s="513"/>
      <c r="M11" s="513"/>
      <c r="N11" s="513"/>
      <c r="O11" s="513"/>
      <c r="P11" s="513"/>
      <c r="Q11" s="513"/>
      <c r="R11" s="513"/>
      <c r="S11" s="513"/>
      <c r="T11" s="513"/>
      <c r="U11" s="513"/>
      <c r="V11" s="513"/>
      <c r="W11" s="513"/>
      <c r="X11" s="513"/>
      <c r="Y11" s="513"/>
      <c r="Z11" s="513"/>
      <c r="AA11" s="513"/>
      <c r="AB11" s="513"/>
      <c r="AC11" s="513"/>
      <c r="AD11" s="513"/>
      <c r="AE11" s="513"/>
      <c r="AF11" s="513"/>
      <c r="AG11" s="513"/>
      <c r="AH11" s="513"/>
      <c r="AI11" s="513"/>
      <c r="AJ11" s="513"/>
      <c r="AK11" s="513"/>
      <c r="AL11" s="513"/>
      <c r="AM11" s="513"/>
      <c r="AN11" s="513"/>
      <c r="AO11" s="513"/>
      <c r="AP11" s="514"/>
      <c r="AQ11" s="515" t="s">
        <v>360</v>
      </c>
      <c r="AR11" s="516"/>
      <c r="AS11" s="516"/>
      <c r="AT11" s="516"/>
      <c r="AU11" s="516"/>
      <c r="AV11" s="516"/>
      <c r="AW11" s="516"/>
      <c r="AX11" s="516"/>
      <c r="AY11" s="516"/>
      <c r="AZ11" s="516"/>
      <c r="BA11" s="516"/>
      <c r="BB11" s="516"/>
      <c r="BC11" s="516"/>
      <c r="BD11" s="516"/>
      <c r="BE11" s="516"/>
      <c r="BF11" s="517"/>
      <c r="BG11" s="512" t="s">
        <v>750</v>
      </c>
      <c r="BH11" s="516"/>
      <c r="BI11" s="516"/>
      <c r="BJ11" s="516"/>
      <c r="BK11" s="518"/>
    </row>
    <row r="12" spans="1:63" s="351" customFormat="1" ht="12">
      <c r="A12" s="1039">
        <v>6</v>
      </c>
      <c r="B12" s="1040"/>
      <c r="C12" s="1031" t="s">
        <v>618</v>
      </c>
      <c r="D12" s="1031"/>
      <c r="E12" s="1031" t="s">
        <v>619</v>
      </c>
      <c r="F12" s="1031"/>
      <c r="G12" s="359" t="s">
        <v>624</v>
      </c>
      <c r="H12" s="360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1"/>
      <c r="AQ12" s="362"/>
      <c r="AR12" s="363"/>
      <c r="AS12" s="363"/>
      <c r="AT12" s="363"/>
      <c r="AU12" s="363"/>
      <c r="AV12" s="363"/>
      <c r="AW12" s="363"/>
      <c r="AX12" s="363"/>
      <c r="AY12" s="363"/>
      <c r="AZ12" s="363"/>
      <c r="BA12" s="363"/>
      <c r="BB12" s="363"/>
      <c r="BC12" s="363"/>
      <c r="BD12" s="363"/>
      <c r="BE12" s="363"/>
      <c r="BF12" s="364"/>
      <c r="BG12" s="359" t="s">
        <v>625</v>
      </c>
      <c r="BH12" s="363"/>
      <c r="BI12" s="363"/>
      <c r="BJ12" s="363"/>
      <c r="BK12" s="365"/>
    </row>
    <row r="13" spans="1:63" s="351" customFormat="1" ht="12">
      <c r="A13" s="1046">
        <v>7</v>
      </c>
      <c r="B13" s="1047"/>
      <c r="C13" s="1048" t="s">
        <v>618</v>
      </c>
      <c r="D13" s="1049"/>
      <c r="E13" s="1048" t="s">
        <v>619</v>
      </c>
      <c r="F13" s="1049"/>
      <c r="G13" s="547" t="s">
        <v>792</v>
      </c>
      <c r="H13" s="549"/>
      <c r="I13" s="549"/>
      <c r="J13" s="549"/>
      <c r="K13" s="549"/>
      <c r="L13" s="549"/>
      <c r="M13" s="549"/>
      <c r="N13" s="549"/>
      <c r="O13" s="549"/>
      <c r="P13" s="549"/>
      <c r="Q13" s="549"/>
      <c r="R13" s="549"/>
      <c r="S13" s="549"/>
      <c r="T13" s="549"/>
      <c r="U13" s="549"/>
      <c r="V13" s="549"/>
      <c r="W13" s="549"/>
      <c r="X13" s="549"/>
      <c r="Y13" s="549"/>
      <c r="Z13" s="549"/>
      <c r="AA13" s="549"/>
      <c r="AB13" s="549"/>
      <c r="AC13" s="549"/>
      <c r="AD13" s="549"/>
      <c r="AE13" s="549"/>
      <c r="AF13" s="549"/>
      <c r="AG13" s="549"/>
      <c r="AH13" s="549"/>
      <c r="AI13" s="549"/>
      <c r="AJ13" s="549"/>
      <c r="AK13" s="549"/>
      <c r="AL13" s="549"/>
      <c r="AM13" s="549"/>
      <c r="AN13" s="549"/>
      <c r="AO13" s="549"/>
      <c r="AP13" s="548"/>
      <c r="AQ13" s="547"/>
      <c r="AR13" s="549"/>
      <c r="AS13" s="549"/>
      <c r="AT13" s="549"/>
      <c r="AU13" s="549"/>
      <c r="AV13" s="549"/>
      <c r="AW13" s="549"/>
      <c r="AX13" s="549"/>
      <c r="AY13" s="549"/>
      <c r="AZ13" s="549"/>
      <c r="BA13" s="549"/>
      <c r="BB13" s="549"/>
      <c r="BC13" s="549"/>
      <c r="BD13" s="549"/>
      <c r="BE13" s="549"/>
      <c r="BF13" s="548"/>
      <c r="BG13" s="550" t="s">
        <v>793</v>
      </c>
      <c r="BH13" s="549"/>
      <c r="BI13" s="549"/>
      <c r="BJ13" s="549"/>
      <c r="BK13" s="551"/>
    </row>
    <row r="14" spans="1:63" s="351" customFormat="1" ht="12">
      <c r="A14" s="1046">
        <v>8</v>
      </c>
      <c r="B14" s="1047"/>
      <c r="C14" s="1048" t="s">
        <v>618</v>
      </c>
      <c r="D14" s="1049"/>
      <c r="E14" s="1048" t="s">
        <v>794</v>
      </c>
      <c r="F14" s="1049"/>
      <c r="G14" s="547" t="s">
        <v>795</v>
      </c>
      <c r="H14" s="549"/>
      <c r="I14" s="549"/>
      <c r="J14" s="549"/>
      <c r="K14" s="549"/>
      <c r="L14" s="549"/>
      <c r="M14" s="549"/>
      <c r="N14" s="549"/>
      <c r="O14" s="549"/>
      <c r="P14" s="549"/>
      <c r="Q14" s="549"/>
      <c r="R14" s="549"/>
      <c r="S14" s="549"/>
      <c r="T14" s="549"/>
      <c r="U14" s="549"/>
      <c r="V14" s="549"/>
      <c r="W14" s="549"/>
      <c r="X14" s="549"/>
      <c r="Y14" s="549"/>
      <c r="Z14" s="549"/>
      <c r="AA14" s="549"/>
      <c r="AB14" s="549"/>
      <c r="AC14" s="549"/>
      <c r="AD14" s="549"/>
      <c r="AE14" s="549"/>
      <c r="AF14" s="549"/>
      <c r="AG14" s="549"/>
      <c r="AH14" s="549"/>
      <c r="AI14" s="549"/>
      <c r="AJ14" s="549"/>
      <c r="AK14" s="549"/>
      <c r="AL14" s="549"/>
      <c r="AM14" s="549"/>
      <c r="AN14" s="549"/>
      <c r="AO14" s="549"/>
      <c r="AP14" s="548"/>
      <c r="AQ14" s="550"/>
      <c r="AR14" s="552"/>
      <c r="AS14" s="552"/>
      <c r="AT14" s="552"/>
      <c r="AU14" s="552"/>
      <c r="AV14" s="552"/>
      <c r="AW14" s="552"/>
      <c r="AX14" s="552"/>
      <c r="AY14" s="552"/>
      <c r="AZ14" s="552"/>
      <c r="BA14" s="552"/>
      <c r="BB14" s="552"/>
      <c r="BC14" s="552"/>
      <c r="BD14" s="552"/>
      <c r="BE14" s="552"/>
      <c r="BF14" s="553"/>
      <c r="BG14" s="547" t="s">
        <v>796</v>
      </c>
      <c r="BH14" s="552"/>
      <c r="BI14" s="552"/>
      <c r="BJ14" s="552"/>
      <c r="BK14" s="554"/>
    </row>
    <row r="15" spans="1:63" s="351" customFormat="1" ht="12">
      <c r="A15" s="1039"/>
      <c r="B15" s="1040"/>
      <c r="C15" s="1031"/>
      <c r="D15" s="1031"/>
      <c r="E15" s="1031"/>
      <c r="F15" s="1031"/>
      <c r="G15" s="359"/>
      <c r="H15" s="360"/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  <c r="AA15" s="360"/>
      <c r="AB15" s="360"/>
      <c r="AC15" s="360"/>
      <c r="AD15" s="360"/>
      <c r="AE15" s="360"/>
      <c r="AF15" s="360"/>
      <c r="AG15" s="360"/>
      <c r="AH15" s="360"/>
      <c r="AI15" s="360"/>
      <c r="AJ15" s="360"/>
      <c r="AK15" s="360"/>
      <c r="AL15" s="360"/>
      <c r="AM15" s="360"/>
      <c r="AN15" s="360"/>
      <c r="AO15" s="360"/>
      <c r="AP15" s="361"/>
      <c r="AQ15" s="362"/>
      <c r="AR15" s="363"/>
      <c r="AS15" s="363"/>
      <c r="AT15" s="363"/>
      <c r="AU15" s="363"/>
      <c r="AV15" s="363"/>
      <c r="AW15" s="363"/>
      <c r="AX15" s="363"/>
      <c r="AY15" s="363"/>
      <c r="AZ15" s="363"/>
      <c r="BA15" s="363"/>
      <c r="BB15" s="363"/>
      <c r="BC15" s="363"/>
      <c r="BD15" s="363"/>
      <c r="BE15" s="363"/>
      <c r="BF15" s="364"/>
      <c r="BG15" s="362"/>
      <c r="BH15" s="363"/>
      <c r="BI15" s="363"/>
      <c r="BJ15" s="363"/>
      <c r="BK15" s="365"/>
    </row>
    <row r="16" spans="1:63" s="351" customFormat="1" ht="12">
      <c r="A16" s="1029"/>
      <c r="B16" s="1030"/>
      <c r="C16" s="1031"/>
      <c r="D16" s="1031"/>
      <c r="E16" s="1031"/>
      <c r="F16" s="1031"/>
      <c r="G16" s="359"/>
      <c r="H16" s="360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  <c r="AA16" s="360"/>
      <c r="AB16" s="360"/>
      <c r="AC16" s="360"/>
      <c r="AD16" s="360"/>
      <c r="AE16" s="360"/>
      <c r="AF16" s="360"/>
      <c r="AG16" s="360"/>
      <c r="AH16" s="360"/>
      <c r="AI16" s="360"/>
      <c r="AJ16" s="360"/>
      <c r="AK16" s="360"/>
      <c r="AL16" s="360"/>
      <c r="AM16" s="360"/>
      <c r="AN16" s="360"/>
      <c r="AO16" s="360"/>
      <c r="AP16" s="361"/>
      <c r="AQ16" s="362"/>
      <c r="AR16" s="363"/>
      <c r="AS16" s="363"/>
      <c r="AT16" s="363"/>
      <c r="AU16" s="363"/>
      <c r="AV16" s="363"/>
      <c r="AW16" s="363"/>
      <c r="AX16" s="363"/>
      <c r="AY16" s="363"/>
      <c r="AZ16" s="363"/>
      <c r="BA16" s="363"/>
      <c r="BB16" s="363"/>
      <c r="BC16" s="363"/>
      <c r="BD16" s="363"/>
      <c r="BE16" s="363"/>
      <c r="BF16" s="364"/>
      <c r="BG16" s="359"/>
      <c r="BH16" s="363"/>
      <c r="BI16" s="363"/>
      <c r="BJ16" s="363"/>
      <c r="BK16" s="365"/>
    </row>
    <row r="17" spans="1:63" s="351" customFormat="1" ht="12">
      <c r="A17" s="1039"/>
      <c r="B17" s="1040"/>
      <c r="C17" s="1031"/>
      <c r="D17" s="1031"/>
      <c r="E17" s="1031"/>
      <c r="F17" s="1031"/>
      <c r="G17" s="359"/>
      <c r="H17" s="360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  <c r="AA17" s="360"/>
      <c r="AB17" s="360"/>
      <c r="AC17" s="360"/>
      <c r="AD17" s="360"/>
      <c r="AE17" s="360"/>
      <c r="AF17" s="360"/>
      <c r="AG17" s="360"/>
      <c r="AH17" s="360"/>
      <c r="AI17" s="360"/>
      <c r="AJ17" s="360"/>
      <c r="AK17" s="360"/>
      <c r="AL17" s="360"/>
      <c r="AM17" s="360"/>
      <c r="AN17" s="360"/>
      <c r="AO17" s="360"/>
      <c r="AP17" s="361"/>
      <c r="AQ17" s="362"/>
      <c r="AR17" s="363"/>
      <c r="AS17" s="363"/>
      <c r="AT17" s="363"/>
      <c r="AU17" s="363"/>
      <c r="AV17" s="363"/>
      <c r="AW17" s="363"/>
      <c r="AX17" s="363"/>
      <c r="AY17" s="363"/>
      <c r="AZ17" s="363"/>
      <c r="BA17" s="363"/>
      <c r="BB17" s="363"/>
      <c r="BC17" s="363"/>
      <c r="BD17" s="363"/>
      <c r="BE17" s="363"/>
      <c r="BF17" s="364"/>
      <c r="BG17" s="359"/>
      <c r="BH17" s="363"/>
      <c r="BI17" s="363"/>
      <c r="BJ17" s="363"/>
      <c r="BK17" s="365"/>
    </row>
    <row r="18" spans="1:63" s="351" customFormat="1" ht="12">
      <c r="A18" s="1039"/>
      <c r="B18" s="1040"/>
      <c r="C18" s="1031"/>
      <c r="D18" s="1031"/>
      <c r="E18" s="1031"/>
      <c r="F18" s="1031"/>
      <c r="G18" s="359"/>
      <c r="H18" s="360"/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  <c r="AA18" s="360"/>
      <c r="AB18" s="360"/>
      <c r="AC18" s="360"/>
      <c r="AD18" s="360"/>
      <c r="AE18" s="360"/>
      <c r="AF18" s="360"/>
      <c r="AG18" s="360"/>
      <c r="AH18" s="360"/>
      <c r="AI18" s="360"/>
      <c r="AJ18" s="360"/>
      <c r="AK18" s="360"/>
      <c r="AL18" s="360"/>
      <c r="AM18" s="360"/>
      <c r="AN18" s="360"/>
      <c r="AO18" s="360"/>
      <c r="AP18" s="361"/>
      <c r="AQ18" s="362"/>
      <c r="AR18" s="363"/>
      <c r="AS18" s="363"/>
      <c r="AT18" s="363"/>
      <c r="AU18" s="363"/>
      <c r="AV18" s="363"/>
      <c r="AW18" s="363"/>
      <c r="AX18" s="363"/>
      <c r="AY18" s="363"/>
      <c r="AZ18" s="363"/>
      <c r="BA18" s="363"/>
      <c r="BB18" s="363"/>
      <c r="BC18" s="363"/>
      <c r="BD18" s="363"/>
      <c r="BE18" s="363"/>
      <c r="BF18" s="364"/>
      <c r="BG18" s="362"/>
      <c r="BH18" s="363"/>
      <c r="BI18" s="363"/>
      <c r="BJ18" s="363"/>
      <c r="BK18" s="365"/>
    </row>
    <row r="19" spans="1:63" s="351" customFormat="1" ht="12">
      <c r="A19" s="1029"/>
      <c r="B19" s="1030"/>
      <c r="C19" s="1031"/>
      <c r="D19" s="1031"/>
      <c r="E19" s="1031"/>
      <c r="F19" s="1031"/>
      <c r="G19" s="359"/>
      <c r="H19" s="360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  <c r="AA19" s="360"/>
      <c r="AB19" s="360"/>
      <c r="AC19" s="360"/>
      <c r="AD19" s="360"/>
      <c r="AE19" s="360"/>
      <c r="AF19" s="360"/>
      <c r="AG19" s="360"/>
      <c r="AH19" s="360"/>
      <c r="AI19" s="360"/>
      <c r="AJ19" s="360"/>
      <c r="AK19" s="360"/>
      <c r="AL19" s="360"/>
      <c r="AM19" s="360"/>
      <c r="AN19" s="360"/>
      <c r="AO19" s="360"/>
      <c r="AP19" s="361"/>
      <c r="AQ19" s="362"/>
      <c r="AR19" s="363"/>
      <c r="AS19" s="363"/>
      <c r="AT19" s="363"/>
      <c r="AU19" s="363"/>
      <c r="AV19" s="363"/>
      <c r="AW19" s="363"/>
      <c r="AX19" s="363"/>
      <c r="AY19" s="363"/>
      <c r="AZ19" s="363"/>
      <c r="BA19" s="363"/>
      <c r="BB19" s="363"/>
      <c r="BC19" s="363"/>
      <c r="BD19" s="363"/>
      <c r="BE19" s="363"/>
      <c r="BF19" s="364"/>
      <c r="BG19" s="359"/>
      <c r="BH19" s="363"/>
      <c r="BI19" s="363"/>
      <c r="BJ19" s="363"/>
      <c r="BK19" s="365"/>
    </row>
    <row r="20" spans="1:63" s="351" customFormat="1" ht="12">
      <c r="A20" s="1039"/>
      <c r="B20" s="1040"/>
      <c r="C20" s="1031"/>
      <c r="D20" s="1031"/>
      <c r="E20" s="1031"/>
      <c r="F20" s="1031"/>
      <c r="G20" s="359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360"/>
      <c r="AB20" s="360"/>
      <c r="AC20" s="360"/>
      <c r="AD20" s="360"/>
      <c r="AE20" s="360"/>
      <c r="AF20" s="360"/>
      <c r="AG20" s="360"/>
      <c r="AH20" s="360"/>
      <c r="AI20" s="360"/>
      <c r="AJ20" s="360"/>
      <c r="AK20" s="360"/>
      <c r="AL20" s="360"/>
      <c r="AM20" s="360"/>
      <c r="AN20" s="360"/>
      <c r="AO20" s="360"/>
      <c r="AP20" s="361"/>
      <c r="AQ20" s="359"/>
      <c r="AR20" s="360"/>
      <c r="AS20" s="360"/>
      <c r="AT20" s="360"/>
      <c r="AU20" s="360"/>
      <c r="AV20" s="360"/>
      <c r="AW20" s="360"/>
      <c r="AX20" s="360"/>
      <c r="AY20" s="360"/>
      <c r="AZ20" s="360"/>
      <c r="BA20" s="360"/>
      <c r="BB20" s="360"/>
      <c r="BC20" s="360"/>
      <c r="BD20" s="360"/>
      <c r="BE20" s="360"/>
      <c r="BF20" s="361"/>
      <c r="BG20" s="359"/>
      <c r="BH20" s="360"/>
      <c r="BI20" s="360"/>
      <c r="BJ20" s="360"/>
      <c r="BK20" s="366"/>
    </row>
    <row r="21" spans="1:63" s="351" customFormat="1" ht="12">
      <c r="A21" s="1039"/>
      <c r="B21" s="1040"/>
      <c r="C21" s="1050"/>
      <c r="D21" s="1051"/>
      <c r="E21" s="1050"/>
      <c r="F21" s="1051"/>
      <c r="G21" s="359"/>
      <c r="H21" s="360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  <c r="AA21" s="360"/>
      <c r="AB21" s="360"/>
      <c r="AC21" s="360"/>
      <c r="AD21" s="360"/>
      <c r="AE21" s="360"/>
      <c r="AF21" s="360"/>
      <c r="AG21" s="360"/>
      <c r="AH21" s="360"/>
      <c r="AI21" s="360"/>
      <c r="AJ21" s="360"/>
      <c r="AK21" s="360"/>
      <c r="AL21" s="360"/>
      <c r="AM21" s="360"/>
      <c r="AN21" s="360"/>
      <c r="AO21" s="360"/>
      <c r="AP21" s="361"/>
      <c r="AQ21" s="362"/>
      <c r="AR21" s="363"/>
      <c r="AS21" s="363"/>
      <c r="AT21" s="363"/>
      <c r="AU21" s="363"/>
      <c r="AV21" s="363"/>
      <c r="AW21" s="363"/>
      <c r="AX21" s="363"/>
      <c r="AY21" s="363"/>
      <c r="AZ21" s="363"/>
      <c r="BA21" s="363"/>
      <c r="BB21" s="363"/>
      <c r="BC21" s="363"/>
      <c r="BD21" s="363"/>
      <c r="BE21" s="363"/>
      <c r="BF21" s="364"/>
      <c r="BG21" s="362"/>
      <c r="BH21" s="363"/>
      <c r="BI21" s="363"/>
      <c r="BJ21" s="363"/>
      <c r="BK21" s="365"/>
    </row>
    <row r="22" spans="1:63" s="351" customFormat="1" ht="12">
      <c r="A22" s="1029"/>
      <c r="B22" s="1030"/>
      <c r="C22" s="1031"/>
      <c r="D22" s="1031"/>
      <c r="E22" s="1031"/>
      <c r="F22" s="1031"/>
      <c r="G22" s="359"/>
      <c r="H22" s="360"/>
      <c r="I22" s="360"/>
      <c r="J22" s="360"/>
      <c r="K22" s="360"/>
      <c r="L22" s="360"/>
      <c r="M22" s="360"/>
      <c r="N22" s="360"/>
      <c r="O22" s="360"/>
      <c r="P22" s="360"/>
      <c r="Q22" s="360"/>
      <c r="R22" s="360"/>
      <c r="S22" s="360"/>
      <c r="T22" s="360"/>
      <c r="U22" s="360"/>
      <c r="V22" s="360"/>
      <c r="W22" s="360"/>
      <c r="X22" s="360"/>
      <c r="Y22" s="360"/>
      <c r="Z22" s="360"/>
      <c r="AA22" s="360"/>
      <c r="AB22" s="360"/>
      <c r="AC22" s="360"/>
      <c r="AD22" s="360"/>
      <c r="AE22" s="360"/>
      <c r="AF22" s="360"/>
      <c r="AG22" s="360"/>
      <c r="AH22" s="360"/>
      <c r="AI22" s="360"/>
      <c r="AJ22" s="360"/>
      <c r="AK22" s="360"/>
      <c r="AL22" s="360"/>
      <c r="AM22" s="360"/>
      <c r="AN22" s="360"/>
      <c r="AO22" s="360"/>
      <c r="AP22" s="361"/>
      <c r="AQ22" s="362"/>
      <c r="AR22" s="363"/>
      <c r="AS22" s="363"/>
      <c r="AT22" s="363"/>
      <c r="AU22" s="363"/>
      <c r="AV22" s="363"/>
      <c r="AW22" s="363"/>
      <c r="AX22" s="363"/>
      <c r="AY22" s="363"/>
      <c r="AZ22" s="363"/>
      <c r="BA22" s="363"/>
      <c r="BB22" s="363"/>
      <c r="BC22" s="363"/>
      <c r="BD22" s="363"/>
      <c r="BE22" s="363"/>
      <c r="BF22" s="364"/>
      <c r="BG22" s="362"/>
      <c r="BH22" s="363"/>
      <c r="BI22" s="363"/>
      <c r="BJ22" s="363"/>
      <c r="BK22" s="365"/>
    </row>
    <row r="23" spans="1:63" s="351" customFormat="1" ht="12">
      <c r="A23" s="1029"/>
      <c r="B23" s="1030"/>
      <c r="C23" s="1031"/>
      <c r="D23" s="1031"/>
      <c r="E23" s="1031"/>
      <c r="F23" s="1031"/>
      <c r="G23" s="359"/>
      <c r="H23" s="360"/>
      <c r="I23" s="360"/>
      <c r="J23" s="360"/>
      <c r="K23" s="360"/>
      <c r="L23" s="360"/>
      <c r="M23" s="360"/>
      <c r="N23" s="360"/>
      <c r="O23" s="360"/>
      <c r="P23" s="360"/>
      <c r="Q23" s="360"/>
      <c r="R23" s="360"/>
      <c r="S23" s="360"/>
      <c r="T23" s="360"/>
      <c r="U23" s="360"/>
      <c r="V23" s="360"/>
      <c r="W23" s="360"/>
      <c r="X23" s="360"/>
      <c r="Y23" s="360"/>
      <c r="Z23" s="360"/>
      <c r="AA23" s="360"/>
      <c r="AB23" s="360"/>
      <c r="AC23" s="360"/>
      <c r="AD23" s="360"/>
      <c r="AE23" s="360"/>
      <c r="AF23" s="360"/>
      <c r="AG23" s="360"/>
      <c r="AH23" s="360"/>
      <c r="AI23" s="360"/>
      <c r="AJ23" s="360"/>
      <c r="AK23" s="360"/>
      <c r="AL23" s="360"/>
      <c r="AM23" s="360"/>
      <c r="AN23" s="360"/>
      <c r="AO23" s="360"/>
      <c r="AP23" s="361"/>
      <c r="AQ23" s="362"/>
      <c r="AR23" s="363"/>
      <c r="AS23" s="363"/>
      <c r="AT23" s="363"/>
      <c r="AU23" s="363"/>
      <c r="AV23" s="363"/>
      <c r="AW23" s="363"/>
      <c r="AX23" s="363"/>
      <c r="AY23" s="363"/>
      <c r="AZ23" s="363"/>
      <c r="BA23" s="363"/>
      <c r="BB23" s="363"/>
      <c r="BC23" s="363"/>
      <c r="BD23" s="363"/>
      <c r="BE23" s="363"/>
      <c r="BF23" s="364"/>
      <c r="BG23" s="360"/>
      <c r="BH23" s="363"/>
      <c r="BI23" s="363"/>
      <c r="BJ23" s="363"/>
      <c r="BK23" s="365"/>
    </row>
    <row r="24" spans="1:63" s="351" customFormat="1" ht="12">
      <c r="A24" s="1029"/>
      <c r="B24" s="1030"/>
      <c r="C24" s="1031"/>
      <c r="D24" s="1031"/>
      <c r="E24" s="1031"/>
      <c r="F24" s="1031"/>
      <c r="G24" s="359"/>
      <c r="H24" s="360"/>
      <c r="I24" s="360"/>
      <c r="J24" s="360"/>
      <c r="K24" s="360"/>
      <c r="L24" s="360"/>
      <c r="M24" s="360"/>
      <c r="N24" s="360"/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  <c r="AA24" s="360"/>
      <c r="AB24" s="360"/>
      <c r="AC24" s="360"/>
      <c r="AD24" s="360"/>
      <c r="AE24" s="360"/>
      <c r="AF24" s="360"/>
      <c r="AG24" s="360"/>
      <c r="AH24" s="360"/>
      <c r="AI24" s="360"/>
      <c r="AJ24" s="360"/>
      <c r="AK24" s="360"/>
      <c r="AL24" s="360"/>
      <c r="AM24" s="360"/>
      <c r="AN24" s="360"/>
      <c r="AO24" s="360"/>
      <c r="AP24" s="361"/>
      <c r="AQ24" s="362"/>
      <c r="AR24" s="363"/>
      <c r="AS24" s="363"/>
      <c r="AT24" s="363"/>
      <c r="AU24" s="363"/>
      <c r="AV24" s="363"/>
      <c r="AW24" s="363"/>
      <c r="AX24" s="363"/>
      <c r="AY24" s="363"/>
      <c r="AZ24" s="363"/>
      <c r="BA24" s="363"/>
      <c r="BB24" s="363"/>
      <c r="BC24" s="363"/>
      <c r="BD24" s="363"/>
      <c r="BE24" s="363"/>
      <c r="BF24" s="364"/>
      <c r="BG24" s="360"/>
      <c r="BH24" s="363"/>
      <c r="BI24" s="363"/>
      <c r="BJ24" s="363"/>
      <c r="BK24" s="365"/>
    </row>
    <row r="25" spans="1:63" s="351" customFormat="1" ht="12">
      <c r="A25" s="1029"/>
      <c r="B25" s="1030"/>
      <c r="C25" s="1031"/>
      <c r="D25" s="1031"/>
      <c r="E25" s="1031"/>
      <c r="F25" s="1031"/>
      <c r="G25" s="359"/>
      <c r="H25" s="360"/>
      <c r="I25" s="360"/>
      <c r="J25" s="360"/>
      <c r="K25" s="360"/>
      <c r="L25" s="360"/>
      <c r="M25" s="360"/>
      <c r="N25" s="360"/>
      <c r="O25" s="360"/>
      <c r="P25" s="360"/>
      <c r="Q25" s="360"/>
      <c r="R25" s="360"/>
      <c r="S25" s="360"/>
      <c r="T25" s="360"/>
      <c r="U25" s="360"/>
      <c r="V25" s="360"/>
      <c r="W25" s="360"/>
      <c r="X25" s="360"/>
      <c r="Y25" s="360"/>
      <c r="Z25" s="360"/>
      <c r="AA25" s="360"/>
      <c r="AB25" s="360"/>
      <c r="AC25" s="360"/>
      <c r="AD25" s="360"/>
      <c r="AE25" s="360"/>
      <c r="AF25" s="360"/>
      <c r="AG25" s="360"/>
      <c r="AH25" s="360"/>
      <c r="AI25" s="360"/>
      <c r="AJ25" s="360"/>
      <c r="AK25" s="360"/>
      <c r="AL25" s="360"/>
      <c r="AM25" s="360"/>
      <c r="AN25" s="360"/>
      <c r="AO25" s="360"/>
      <c r="AP25" s="361"/>
      <c r="AQ25" s="362"/>
      <c r="AR25" s="363"/>
      <c r="AS25" s="363"/>
      <c r="AT25" s="363"/>
      <c r="AU25" s="363"/>
      <c r="AV25" s="363"/>
      <c r="AW25" s="363"/>
      <c r="AX25" s="363"/>
      <c r="AY25" s="363"/>
      <c r="AZ25" s="363"/>
      <c r="BA25" s="363"/>
      <c r="BB25" s="363"/>
      <c r="BC25" s="363"/>
      <c r="BD25" s="363"/>
      <c r="BE25" s="363"/>
      <c r="BF25" s="364"/>
      <c r="BG25" s="360"/>
      <c r="BH25" s="363"/>
      <c r="BI25" s="363"/>
      <c r="BJ25" s="363"/>
      <c r="BK25" s="365"/>
    </row>
    <row r="26" spans="1:63" s="351" customFormat="1" ht="12">
      <c r="A26" s="1039"/>
      <c r="B26" s="1040"/>
      <c r="C26" s="1031"/>
      <c r="D26" s="1031"/>
      <c r="E26" s="1031"/>
      <c r="F26" s="1031"/>
      <c r="G26" s="359"/>
      <c r="H26" s="360"/>
      <c r="I26" s="360"/>
      <c r="J26" s="360"/>
      <c r="K26" s="360"/>
      <c r="L26" s="360"/>
      <c r="M26" s="360"/>
      <c r="N26" s="360"/>
      <c r="O26" s="360"/>
      <c r="P26" s="360"/>
      <c r="Q26" s="360"/>
      <c r="R26" s="360"/>
      <c r="S26" s="360"/>
      <c r="T26" s="360"/>
      <c r="U26" s="360"/>
      <c r="V26" s="360"/>
      <c r="W26" s="360"/>
      <c r="X26" s="360"/>
      <c r="Y26" s="360"/>
      <c r="Z26" s="360"/>
      <c r="AA26" s="360"/>
      <c r="AB26" s="360"/>
      <c r="AC26" s="360"/>
      <c r="AD26" s="360"/>
      <c r="AE26" s="360"/>
      <c r="AF26" s="360"/>
      <c r="AG26" s="360"/>
      <c r="AH26" s="360"/>
      <c r="AI26" s="360"/>
      <c r="AJ26" s="360"/>
      <c r="AK26" s="360"/>
      <c r="AL26" s="360"/>
      <c r="AM26" s="360"/>
      <c r="AN26" s="360"/>
      <c r="AO26" s="360"/>
      <c r="AP26" s="361"/>
      <c r="AQ26" s="362"/>
      <c r="AR26" s="363"/>
      <c r="AS26" s="363"/>
      <c r="AT26" s="363"/>
      <c r="AU26" s="363"/>
      <c r="AV26" s="363"/>
      <c r="AW26" s="363"/>
      <c r="AX26" s="363"/>
      <c r="AY26" s="363"/>
      <c r="AZ26" s="363"/>
      <c r="BA26" s="363"/>
      <c r="BB26" s="363"/>
      <c r="BC26" s="363"/>
      <c r="BD26" s="363"/>
      <c r="BE26" s="363"/>
      <c r="BF26" s="364"/>
      <c r="BG26" s="362"/>
      <c r="BH26" s="363"/>
      <c r="BI26" s="363"/>
      <c r="BJ26" s="363"/>
      <c r="BK26" s="365"/>
    </row>
    <row r="27" spans="1:63" s="351" customFormat="1" ht="12">
      <c r="A27" s="1039"/>
      <c r="B27" s="1040"/>
      <c r="C27" s="1031"/>
      <c r="D27" s="1031"/>
      <c r="E27" s="1031"/>
      <c r="F27" s="1031"/>
      <c r="G27" s="359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  <c r="AA27" s="360"/>
      <c r="AB27" s="360"/>
      <c r="AC27" s="360"/>
      <c r="AD27" s="360"/>
      <c r="AE27" s="360"/>
      <c r="AF27" s="360"/>
      <c r="AG27" s="360"/>
      <c r="AH27" s="360"/>
      <c r="AI27" s="360"/>
      <c r="AJ27" s="360"/>
      <c r="AK27" s="360"/>
      <c r="AL27" s="360"/>
      <c r="AM27" s="360"/>
      <c r="AN27" s="360"/>
      <c r="AO27" s="360"/>
      <c r="AP27" s="361"/>
      <c r="AQ27" s="362"/>
      <c r="AR27" s="363"/>
      <c r="AS27" s="363"/>
      <c r="AT27" s="363"/>
      <c r="AU27" s="363"/>
      <c r="AV27" s="363"/>
      <c r="AW27" s="363"/>
      <c r="AX27" s="363"/>
      <c r="AY27" s="363"/>
      <c r="AZ27" s="363"/>
      <c r="BA27" s="363"/>
      <c r="BB27" s="363"/>
      <c r="BC27" s="363"/>
      <c r="BD27" s="363"/>
      <c r="BE27" s="363"/>
      <c r="BF27" s="364"/>
      <c r="BG27" s="362"/>
      <c r="BH27" s="363"/>
      <c r="BI27" s="363"/>
      <c r="BJ27" s="363"/>
      <c r="BK27" s="365"/>
    </row>
    <row r="28" spans="1:63" s="351" customFormat="1" ht="12">
      <c r="A28" s="1029"/>
      <c r="B28" s="1030"/>
      <c r="C28" s="1031"/>
      <c r="D28" s="1031"/>
      <c r="E28" s="1031"/>
      <c r="F28" s="1031"/>
      <c r="G28" s="359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  <c r="AI28" s="360"/>
      <c r="AJ28" s="360"/>
      <c r="AK28" s="360"/>
      <c r="AL28" s="360"/>
      <c r="AM28" s="360"/>
      <c r="AN28" s="360"/>
      <c r="AO28" s="360"/>
      <c r="AP28" s="361"/>
      <c r="AQ28" s="362"/>
      <c r="AR28" s="363"/>
      <c r="AS28" s="363"/>
      <c r="AT28" s="363"/>
      <c r="AU28" s="363"/>
      <c r="AV28" s="363"/>
      <c r="AW28" s="363"/>
      <c r="AX28" s="363"/>
      <c r="AY28" s="363"/>
      <c r="AZ28" s="363"/>
      <c r="BA28" s="363"/>
      <c r="BB28" s="363"/>
      <c r="BC28" s="363"/>
      <c r="BD28" s="363"/>
      <c r="BE28" s="363"/>
      <c r="BF28" s="364"/>
      <c r="BG28" s="362"/>
      <c r="BH28" s="363"/>
      <c r="BI28" s="363"/>
      <c r="BJ28" s="363"/>
      <c r="BK28" s="365"/>
    </row>
    <row r="29" spans="1:63" s="351" customFormat="1" ht="12">
      <c r="A29" s="1039"/>
      <c r="B29" s="1040"/>
      <c r="C29" s="1031"/>
      <c r="D29" s="1031"/>
      <c r="E29" s="1031"/>
      <c r="F29" s="1031"/>
      <c r="G29" s="359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0"/>
      <c r="Y29" s="360"/>
      <c r="Z29" s="360"/>
      <c r="AA29" s="360"/>
      <c r="AB29" s="360"/>
      <c r="AC29" s="360"/>
      <c r="AD29" s="360"/>
      <c r="AE29" s="360"/>
      <c r="AF29" s="360"/>
      <c r="AG29" s="360"/>
      <c r="AH29" s="360"/>
      <c r="AI29" s="360"/>
      <c r="AJ29" s="360"/>
      <c r="AK29" s="360"/>
      <c r="AL29" s="360"/>
      <c r="AM29" s="360"/>
      <c r="AN29" s="360"/>
      <c r="AO29" s="360"/>
      <c r="AP29" s="361"/>
      <c r="AQ29" s="359"/>
      <c r="AR29" s="360"/>
      <c r="AS29" s="360"/>
      <c r="AT29" s="360"/>
      <c r="AU29" s="360"/>
      <c r="AV29" s="360"/>
      <c r="AW29" s="360"/>
      <c r="AX29" s="360"/>
      <c r="AY29" s="360"/>
      <c r="AZ29" s="360"/>
      <c r="BA29" s="360"/>
      <c r="BB29" s="360"/>
      <c r="BC29" s="360"/>
      <c r="BD29" s="360"/>
      <c r="BE29" s="360"/>
      <c r="BF29" s="361"/>
      <c r="BG29" s="359"/>
      <c r="BH29" s="360"/>
      <c r="BI29" s="360"/>
      <c r="BJ29" s="360"/>
      <c r="BK29" s="366"/>
    </row>
    <row r="30" spans="1:63" s="351" customFormat="1" ht="12" customHeight="1" thickBot="1">
      <c r="A30" s="1052"/>
      <c r="B30" s="1053"/>
      <c r="C30" s="1054"/>
      <c r="D30" s="1055"/>
      <c r="E30" s="1054"/>
      <c r="F30" s="1055"/>
      <c r="G30" s="367"/>
      <c r="H30" s="368"/>
      <c r="I30" s="368"/>
      <c r="J30" s="368"/>
      <c r="K30" s="368"/>
      <c r="L30" s="368"/>
      <c r="M30" s="368"/>
      <c r="N30" s="368"/>
      <c r="O30" s="368"/>
      <c r="P30" s="368"/>
      <c r="Q30" s="368"/>
      <c r="R30" s="368"/>
      <c r="S30" s="368"/>
      <c r="T30" s="368"/>
      <c r="U30" s="368"/>
      <c r="V30" s="368"/>
      <c r="W30" s="368"/>
      <c r="X30" s="368"/>
      <c r="Y30" s="368"/>
      <c r="Z30" s="368"/>
      <c r="AA30" s="368"/>
      <c r="AB30" s="368"/>
      <c r="AC30" s="368"/>
      <c r="AD30" s="368"/>
      <c r="AE30" s="368"/>
      <c r="AF30" s="368"/>
      <c r="AG30" s="368"/>
      <c r="AH30" s="368"/>
      <c r="AI30" s="368"/>
      <c r="AJ30" s="368"/>
      <c r="AK30" s="368"/>
      <c r="AL30" s="368"/>
      <c r="AM30" s="368"/>
      <c r="AN30" s="368"/>
      <c r="AO30" s="368"/>
      <c r="AP30" s="369"/>
      <c r="AQ30" s="370"/>
      <c r="AR30" s="371"/>
      <c r="AS30" s="371"/>
      <c r="AT30" s="371"/>
      <c r="AU30" s="371"/>
      <c r="AV30" s="371"/>
      <c r="AW30" s="371"/>
      <c r="AX30" s="371"/>
      <c r="AY30" s="371"/>
      <c r="AZ30" s="371"/>
      <c r="BA30" s="371"/>
      <c r="BB30" s="371"/>
      <c r="BC30" s="371"/>
      <c r="BD30" s="371"/>
      <c r="BE30" s="371"/>
      <c r="BF30" s="372"/>
      <c r="BG30" s="370"/>
      <c r="BH30" s="371"/>
      <c r="BI30" s="371"/>
      <c r="BJ30" s="371"/>
      <c r="BK30" s="373"/>
    </row>
  </sheetData>
  <mergeCells count="99"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8:B18"/>
    <mergeCell ref="C18:D18"/>
    <mergeCell ref="E18:F18"/>
    <mergeCell ref="A21:B21"/>
    <mergeCell ref="C21:D21"/>
    <mergeCell ref="E21:F21"/>
    <mergeCell ref="A16:B16"/>
    <mergeCell ref="C16:D16"/>
    <mergeCell ref="E16:F16"/>
    <mergeCell ref="A17:B17"/>
    <mergeCell ref="C17:D17"/>
    <mergeCell ref="E17:F17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C7:D7"/>
    <mergeCell ref="E7:F7"/>
    <mergeCell ref="A14:B14"/>
    <mergeCell ref="C14:D14"/>
    <mergeCell ref="E14:F14"/>
    <mergeCell ref="A6:B6"/>
    <mergeCell ref="C6:D6"/>
    <mergeCell ref="E6:F6"/>
    <mergeCell ref="A11:B11"/>
    <mergeCell ref="C11:D11"/>
    <mergeCell ref="E11:F11"/>
    <mergeCell ref="A9:B9"/>
    <mergeCell ref="C9:D9"/>
    <mergeCell ref="E9:F9"/>
    <mergeCell ref="A10:B10"/>
    <mergeCell ref="C10:D10"/>
    <mergeCell ref="E10:F10"/>
    <mergeCell ref="A8:B8"/>
    <mergeCell ref="C8:D8"/>
    <mergeCell ref="E8:F8"/>
    <mergeCell ref="A7:B7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  <mergeCell ref="BF2:BK3"/>
    <mergeCell ref="A5:B5"/>
    <mergeCell ref="C5:D5"/>
    <mergeCell ref="E5:F5"/>
    <mergeCell ref="AS1:AY1"/>
    <mergeCell ref="AZ1:BE1"/>
    <mergeCell ref="A1:J3"/>
    <mergeCell ref="K3:T3"/>
    <mergeCell ref="U3:Y3"/>
    <mergeCell ref="Z3:AD3"/>
    <mergeCell ref="AE3:AR3"/>
  </mergeCells>
  <phoneticPr fontId="9"/>
  <pageMargins left="0.51181102362204722" right="0.74803149606299213" top="0.70866141732283472" bottom="0.43307086614173229" header="0.51181102362204722" footer="0.19685039370078741"/>
  <pageSetup paperSize="9" scale="96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EVCTUWYQZQYC-538864054-22798</_dlc_DocId>
    <_dlc_DocIdUrl xmlns="276bdb53-d102-4a67-8437-273e78fbb7dc">
      <Url>https://mitsubishielectricgroup.sharepoint.com/sites/009989/_layouts/15/DocIdRedir.aspx?ID=EVCTUWYQZQYC-538864054-22798</Url>
      <Description>EVCTUWYQZQYC-538864054-22798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19A27DB-901A-483B-83D1-818DB80BD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DD1126-534A-4770-99C8-279663C82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B0440-E3C5-4C1A-9926-75CF195C9894}">
  <ds:schemaRefs>
    <ds:schemaRef ds:uri="http://schemas.microsoft.com/office/2006/metadata/properties"/>
    <ds:schemaRef ds:uri="http://schemas.microsoft.com/office/infopath/2007/PartnerControls"/>
    <ds:schemaRef ds:uri="761a324b-5d78-44cf-b9f7-03e8b2a8fda7"/>
    <ds:schemaRef ds:uri="276bdb53-d102-4a67-8437-273e78fbb7dc"/>
  </ds:schemaRefs>
</ds:datastoreItem>
</file>

<file path=customXml/itemProps4.xml><?xml version="1.0" encoding="utf-8"?>
<ds:datastoreItem xmlns:ds="http://schemas.openxmlformats.org/officeDocument/2006/customXml" ds:itemID="{F5226132-FB76-43FB-87CB-0321A520F09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41</vt:i4>
      </vt:variant>
    </vt:vector>
  </HeadingPairs>
  <TitlesOfParts>
    <vt:vector size="56" baseType="lpstr">
      <vt:lpstr>目次</vt:lpstr>
      <vt:lpstr>表紙</vt:lpstr>
      <vt:lpstr>改訂</vt:lpstr>
      <vt:lpstr>概要</vt:lpstr>
      <vt:lpstr>画面イメージ</vt:lpstr>
      <vt:lpstr>項目説明</vt:lpstr>
      <vt:lpstr>処理概要</vt:lpstr>
      <vt:lpstr>処理詳細</vt:lpstr>
      <vt:lpstr>画面項目制御</vt:lpstr>
      <vt:lpstr>処理・サービス関連図</vt:lpstr>
      <vt:lpstr>検索入出力仕様</vt:lpstr>
      <vt:lpstr>ファイル入出力仕様</vt:lpstr>
      <vt:lpstr>更新入出力仕様</vt:lpstr>
      <vt:lpstr>画面遷移</vt:lpstr>
      <vt:lpstr>メッセージ一覧</vt:lpstr>
      <vt:lpstr>ファイル入出力仕様!Print_Area</vt:lpstr>
      <vt:lpstr>メッセージ一覧!Print_Area</vt:lpstr>
      <vt:lpstr>画面イメージ!Print_Area</vt:lpstr>
      <vt:lpstr>画面遷移!Print_Area</vt:lpstr>
      <vt:lpstr>概要!Print_Area</vt:lpstr>
      <vt:lpstr>検索入出力仕様!Print_Area</vt:lpstr>
      <vt:lpstr>更新入出力仕様!Print_Area</vt:lpstr>
      <vt:lpstr>項目説明!Print_Area</vt:lpstr>
      <vt:lpstr>処理・サービス関連図!Print_Area</vt:lpstr>
      <vt:lpstr>処理概要!Print_Area</vt:lpstr>
      <vt:lpstr>処理詳細!Print_Area</vt:lpstr>
      <vt:lpstr>表紙!Print_Area</vt:lpstr>
      <vt:lpstr>ファイル入出力仕様!Print_Titles</vt:lpstr>
      <vt:lpstr>メッセージ一覧!Print_Titles</vt:lpstr>
      <vt:lpstr>画面イメージ!Print_Titles</vt:lpstr>
      <vt:lpstr>画面遷移!Print_Titles</vt:lpstr>
      <vt:lpstr>概要!Print_Titles</vt:lpstr>
      <vt:lpstr>検索入出力仕様!Print_Titles</vt:lpstr>
      <vt:lpstr>更新入出力仕様!Print_Titles</vt:lpstr>
      <vt:lpstr>項目説明!Print_Titles</vt:lpstr>
      <vt:lpstr>処理・サービス関連図!Print_Titles</vt:lpstr>
      <vt:lpstr>処理概要!Print_Titles</vt:lpstr>
      <vt:lpstr>処理詳細!Print_Titles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jun zhu</cp:lastModifiedBy>
  <cp:revision/>
  <dcterms:created xsi:type="dcterms:W3CDTF">1997-07-09T00:24:33Z</dcterms:created>
  <dcterms:modified xsi:type="dcterms:W3CDTF">2023-04-06T23:16:52Z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bdc00655-0410-4517-8eb0-aab1a0b7789e</vt:lpwstr>
  </property>
  <property fmtid="{D5CDD505-2E9C-101B-9397-08002B2CF9AE}" pid="4" name="MediaServiceImageTags">
    <vt:lpwstr/>
  </property>
</Properties>
</file>